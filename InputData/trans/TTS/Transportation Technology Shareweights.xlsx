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TTS\"/>
    </mc:Choice>
  </mc:AlternateContent>
  <xr:revisionPtr revIDLastSave="0" documentId="13_ncr:1_{F1F388FF-DEA0-47BC-B60C-2D2A02D24EBC}" xr6:coauthVersionLast="47" xr6:coauthVersionMax="47" xr10:uidLastSave="{00000000-0000-0000-0000-000000000000}"/>
  <bookViews>
    <workbookView xWindow="38280" yWindow="-120" windowWidth="29040" windowHeight="17520" activeTab="4" xr2:uid="{00000000-000D-0000-FFFF-FFFF00000000}"/>
  </bookViews>
  <sheets>
    <sheet name="About" sheetId="1" r:id="rId1"/>
    <sheet name="SYVbT-passenger" sheetId="6" r:id="rId2"/>
    <sheet name="Manufacturing Capacity Checks" sheetId="20" r:id="rId3"/>
    <sheet name="AEO Table 38" sheetId="21" r:id="rId4"/>
    <sheet name="Data" sheetId="3" r:id="rId5"/>
    <sheet name="TTS-LDVs-psgr" sheetId="2" r:id="rId6"/>
    <sheet name="TTS-LDVs-frgt" sheetId="8" r:id="rId7"/>
    <sheet name="TTS-HDVs-psgr" sheetId="9" r:id="rId8"/>
    <sheet name="TTS-HDVs-frgt" sheetId="10" r:id="rId9"/>
    <sheet name="TTS-aircraft-psgr" sheetId="11" r:id="rId10"/>
    <sheet name="TTS-aircraft-frgt" sheetId="12" r:id="rId11"/>
    <sheet name="TTS-rail-psgr" sheetId="13" r:id="rId12"/>
    <sheet name="TTS-rail-frgt" sheetId="14" r:id="rId13"/>
    <sheet name="TTS-ships-psgr" sheetId="15" r:id="rId14"/>
    <sheet name="TTS-ships-frgt" sheetId="16" r:id="rId15"/>
    <sheet name="TTS-motorbikes-psgr" sheetId="17" r:id="rId16"/>
    <sheet name="TTS-motorbikes-frgt" sheetId="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3" l="1"/>
  <c r="J32" i="3"/>
  <c r="I33" i="3"/>
  <c r="J33" i="3"/>
  <c r="I34" i="3"/>
  <c r="J34" i="3"/>
  <c r="I35" i="3"/>
  <c r="J35" i="3"/>
  <c r="I36" i="3"/>
  <c r="J36" i="3"/>
  <c r="I37" i="3"/>
  <c r="J37" i="3"/>
  <c r="J31" i="3"/>
  <c r="I31" i="3"/>
  <c r="I25" i="3"/>
  <c r="J25" i="3"/>
  <c r="I26" i="3"/>
  <c r="J26" i="3"/>
  <c r="I27" i="3"/>
  <c r="J27" i="3"/>
  <c r="I28" i="3"/>
  <c r="J28" i="3"/>
  <c r="I29" i="3"/>
  <c r="J29" i="3"/>
  <c r="I30" i="3"/>
  <c r="J30" i="3"/>
  <c r="J24" i="3"/>
  <c r="F21" i="3"/>
  <c r="L21" i="3" s="1"/>
  <c r="L14" i="3"/>
  <c r="I18" i="3"/>
  <c r="J18" i="3"/>
  <c r="I19" i="3"/>
  <c r="J19" i="3"/>
  <c r="I20" i="3"/>
  <c r="J20" i="3"/>
  <c r="I21" i="3"/>
  <c r="J21" i="3"/>
  <c r="I22" i="3"/>
  <c r="J22" i="3"/>
  <c r="I23" i="3"/>
  <c r="J23" i="3"/>
  <c r="I17" i="3"/>
  <c r="I10" i="3"/>
  <c r="B6" i="20"/>
  <c r="F14" i="3"/>
  <c r="F84" i="3" s="1"/>
  <c r="C6" i="20"/>
  <c r="B5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V2" i="20"/>
  <c r="W2" i="20"/>
  <c r="X2" i="20"/>
  <c r="Y2" i="20"/>
  <c r="Z2" i="20"/>
  <c r="AA2" i="20"/>
  <c r="AB2" i="20"/>
  <c r="B2" i="20"/>
  <c r="C5" i="20" s="1"/>
  <c r="F80" i="3"/>
  <c r="F81" i="3"/>
  <c r="F82" i="3"/>
  <c r="F83" i="3"/>
  <c r="F85" i="3"/>
  <c r="F86" i="3"/>
  <c r="F37" i="3"/>
  <c r="F36" i="3"/>
  <c r="F35" i="3"/>
  <c r="F33" i="3"/>
  <c r="F32" i="3"/>
  <c r="F30" i="3"/>
  <c r="F29" i="3"/>
  <c r="F28" i="3"/>
  <c r="F26" i="3"/>
  <c r="F25" i="3"/>
  <c r="F23" i="3"/>
  <c r="F22" i="3"/>
  <c r="F19" i="3"/>
  <c r="F18" i="3"/>
  <c r="F16" i="3"/>
  <c r="F15" i="3"/>
  <c r="F13" i="3"/>
  <c r="F11" i="3"/>
  <c r="E14" i="3"/>
  <c r="AD21" i="3" l="1"/>
  <c r="AA21" i="3"/>
  <c r="U21" i="3"/>
  <c r="S21" i="3"/>
  <c r="R21" i="3"/>
  <c r="Q21" i="3"/>
  <c r="AB21" i="3"/>
  <c r="Y21" i="3"/>
  <c r="W21" i="3"/>
  <c r="T21" i="3"/>
  <c r="P21" i="3"/>
  <c r="AI21" i="3"/>
  <c r="O21" i="3"/>
  <c r="Z21" i="3"/>
  <c r="AH21" i="3"/>
  <c r="N21" i="3"/>
  <c r="AG21" i="3"/>
  <c r="M21" i="3"/>
  <c r="AE21" i="3"/>
  <c r="AC21" i="3"/>
  <c r="X21" i="3"/>
  <c r="V21" i="3"/>
  <c r="K21" i="3"/>
  <c r="AF21" i="3"/>
  <c r="D81" i="3"/>
  <c r="E81" i="3"/>
  <c r="D82" i="3"/>
  <c r="E82" i="3"/>
  <c r="D83" i="3"/>
  <c r="E83" i="3"/>
  <c r="D84" i="3"/>
  <c r="E84" i="3"/>
  <c r="D85" i="3"/>
  <c r="E85" i="3"/>
  <c r="D86" i="3"/>
  <c r="E86" i="3"/>
  <c r="E80" i="3"/>
  <c r="D80" i="3"/>
  <c r="J10" i="3"/>
  <c r="B1" i="2"/>
  <c r="J9" i="3"/>
  <c r="I24" i="3" l="1"/>
  <c r="J14" i="3" l="1"/>
  <c r="I14" i="3"/>
  <c r="B2" i="2" l="1"/>
  <c r="K9" i="3" l="1"/>
  <c r="E52" i="3" l="1"/>
  <c r="E55" i="3" l="1"/>
  <c r="G29" i="3" l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G23" i="3"/>
  <c r="G22" i="3"/>
  <c r="B7" i="9"/>
  <c r="B8" i="9"/>
  <c r="B7" i="10"/>
  <c r="B8" i="10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B7" i="8"/>
  <c r="B8" i="8"/>
  <c r="I15" i="3"/>
  <c r="B7" i="2" s="1"/>
  <c r="G16" i="3" l="1"/>
  <c r="I16" i="3"/>
  <c r="B8" i="2" s="1"/>
  <c r="G15" i="3"/>
  <c r="B1" i="18" l="1"/>
  <c r="B1" i="16"/>
  <c r="B1" i="14"/>
  <c r="B1" i="12"/>
  <c r="B1" i="10"/>
  <c r="C7" i="10"/>
  <c r="B1" i="13"/>
  <c r="B1" i="9"/>
  <c r="B1" i="11"/>
  <c r="B1" i="8"/>
  <c r="B1" i="15"/>
  <c r="B1" i="17"/>
  <c r="C8" i="10" l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C8" i="9"/>
  <c r="J15" i="3"/>
  <c r="C7" i="2" s="1"/>
  <c r="J86" i="3"/>
  <c r="C8" i="17" s="1"/>
  <c r="C7" i="9"/>
  <c r="C7" i="8"/>
  <c r="J16" i="3"/>
  <c r="C8" i="2" s="1"/>
  <c r="C8" i="8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Q14" i="3" l="1"/>
  <c r="R14" i="3"/>
  <c r="S14" i="3"/>
  <c r="T14" i="3"/>
  <c r="W14" i="3"/>
  <c r="X14" i="3"/>
  <c r="Y14" i="3"/>
  <c r="Z14" i="3"/>
  <c r="AA14" i="3"/>
  <c r="AB14" i="3"/>
  <c r="AC14" i="3"/>
  <c r="AD14" i="3"/>
  <c r="AE14" i="3"/>
  <c r="AF14" i="3"/>
  <c r="M14" i="3"/>
  <c r="AG14" i="3"/>
  <c r="N14" i="3"/>
  <c r="AH14" i="3"/>
  <c r="O14" i="3"/>
  <c r="AI14" i="3"/>
  <c r="P14" i="3"/>
  <c r="K14" i="3"/>
  <c r="U14" i="3"/>
  <c r="V14" i="3"/>
  <c r="C6" i="2"/>
  <c r="B6" i="2"/>
  <c r="K36" i="3"/>
  <c r="D7" i="10" s="1"/>
  <c r="K37" i="3"/>
  <c r="D8" i="10" s="1"/>
  <c r="K23" i="3"/>
  <c r="D8" i="8" s="1"/>
  <c r="K16" i="3"/>
  <c r="D8" i="2" s="1"/>
  <c r="K57" i="3"/>
  <c r="D7" i="13" s="1"/>
  <c r="K44" i="3"/>
  <c r="D8" i="11" s="1"/>
  <c r="K50" i="3"/>
  <c r="D7" i="12" s="1"/>
  <c r="K58" i="3"/>
  <c r="D8" i="13" s="1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D1" i="11"/>
  <c r="D1" i="13"/>
  <c r="D1" i="2"/>
  <c r="I12" i="3"/>
  <c r="B4" i="2" s="1"/>
  <c r="I81" i="3"/>
  <c r="L36" i="3" l="1"/>
  <c r="E7" i="10" s="1"/>
  <c r="L37" i="3"/>
  <c r="E8" i="10" s="1"/>
  <c r="L43" i="3"/>
  <c r="E7" i="11" s="1"/>
  <c r="L51" i="3"/>
  <c r="E8" i="12" s="1"/>
  <c r="L57" i="3"/>
  <c r="E7" i="13" s="1"/>
  <c r="L44" i="3"/>
  <c r="E8" i="11" s="1"/>
  <c r="L50" i="3"/>
  <c r="E7" i="12" s="1"/>
  <c r="L58" i="3"/>
  <c r="E8" i="13" s="1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M36" i="3" l="1"/>
  <c r="F7" i="10" s="1"/>
  <c r="M37" i="3"/>
  <c r="F8" i="10" s="1"/>
  <c r="M58" i="3"/>
  <c r="F8" i="13" s="1"/>
  <c r="M64" i="3"/>
  <c r="F7" i="14" s="1"/>
  <c r="M43" i="3"/>
  <c r="F7" i="11" s="1"/>
  <c r="M51" i="3"/>
  <c r="F8" i="12" s="1"/>
  <c r="M57" i="3"/>
  <c r="F7" i="13" s="1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N23" i="3" l="1"/>
  <c r="G8" i="8" s="1"/>
  <c r="N36" i="3"/>
  <c r="G7" i="10" s="1"/>
  <c r="N37" i="3"/>
  <c r="G8" i="10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57" i="3"/>
  <c r="G7" i="13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J12" i="3" s="1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36" i="3" l="1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E3" i="13" s="1"/>
  <c r="M53" i="3"/>
  <c r="F3" i="13" s="1"/>
  <c r="J53" i="3"/>
  <c r="C3" i="13" s="1"/>
  <c r="N53" i="3"/>
  <c r="G3" i="13" s="1"/>
  <c r="K53" i="3"/>
  <c r="D3" i="13" s="1"/>
  <c r="O53" i="3"/>
  <c r="H3" i="13" s="1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H7" i="13" s="1"/>
  <c r="O44" i="3"/>
  <c r="H8" i="11" s="1"/>
  <c r="O50" i="3"/>
  <c r="H7" i="12" s="1"/>
  <c r="O58" i="3"/>
  <c r="H8" i="13" s="1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D2" i="13" s="1"/>
  <c r="O52" i="3"/>
  <c r="H2" i="13" s="1"/>
  <c r="L52" i="3"/>
  <c r="E2" i="13" s="1"/>
  <c r="J52" i="3"/>
  <c r="C2" i="13" s="1"/>
  <c r="M52" i="3"/>
  <c r="F2" i="13" s="1"/>
  <c r="N52" i="3"/>
  <c r="G2" i="13" s="1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C4" i="2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D6" i="13" s="1"/>
  <c r="O56" i="3"/>
  <c r="H6" i="13" s="1"/>
  <c r="L56" i="3"/>
  <c r="E6" i="13" s="1"/>
  <c r="J56" i="3"/>
  <c r="C6" i="13" s="1"/>
  <c r="M56" i="3"/>
  <c r="F6" i="13" s="1"/>
  <c r="N56" i="3"/>
  <c r="G6" i="13" s="1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H2" i="11" s="1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C5" i="10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F5" i="13" s="1"/>
  <c r="J55" i="3"/>
  <c r="C5" i="13" s="1"/>
  <c r="N55" i="3"/>
  <c r="G5" i="13" s="1"/>
  <c r="L55" i="3"/>
  <c r="E5" i="13" s="1"/>
  <c r="O55" i="3"/>
  <c r="H5" i="13" s="1"/>
  <c r="K55" i="3"/>
  <c r="D5" i="13" s="1"/>
  <c r="N12" i="3"/>
  <c r="G4" i="2" s="1"/>
  <c r="C5" i="9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C4" i="8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D4" i="13" s="1"/>
  <c r="O54" i="3"/>
  <c r="H4" i="13" s="1"/>
  <c r="L54" i="3"/>
  <c r="E4" i="13" s="1"/>
  <c r="J54" i="3"/>
  <c r="C4" i="13" s="1"/>
  <c r="M54" i="3"/>
  <c r="F4" i="13" s="1"/>
  <c r="N54" i="3"/>
  <c r="G4" i="13" s="1"/>
  <c r="C5" i="8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B5" i="8"/>
  <c r="P36" i="3" l="1"/>
  <c r="I7" i="10" s="1"/>
  <c r="P37" i="3"/>
  <c r="I8" i="10" s="1"/>
  <c r="P43" i="3"/>
  <c r="I7" i="11" s="1"/>
  <c r="P51" i="3"/>
  <c r="I8" i="12" s="1"/>
  <c r="P57" i="3"/>
  <c r="I7" i="13" s="1"/>
  <c r="P44" i="3"/>
  <c r="I8" i="11" s="1"/>
  <c r="P50" i="3"/>
  <c r="I7" i="12" s="1"/>
  <c r="P58" i="3"/>
  <c r="I8" i="13" s="1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I3" i="13" s="1"/>
  <c r="P88" i="3"/>
  <c r="P87" i="3"/>
  <c r="P91" i="3"/>
  <c r="P89" i="3"/>
  <c r="P42" i="3"/>
  <c r="I6" i="11" s="1"/>
  <c r="P52" i="3"/>
  <c r="I2" i="13" s="1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I4" i="13" s="1"/>
  <c r="P45" i="3"/>
  <c r="I2" i="12" s="1"/>
  <c r="P27" i="3"/>
  <c r="I5" i="9" s="1"/>
  <c r="P68" i="3"/>
  <c r="I4" i="15" s="1"/>
  <c r="P56" i="3"/>
  <c r="I6" i="13" s="1"/>
  <c r="P67" i="3"/>
  <c r="I3" i="15" s="1"/>
  <c r="P74" i="3"/>
  <c r="I3" i="16" s="1"/>
  <c r="P60" i="3"/>
  <c r="I3" i="14" s="1"/>
  <c r="P55" i="3"/>
  <c r="I5" i="13" s="1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I84" i="3"/>
  <c r="I83" i="3"/>
  <c r="I80" i="3"/>
  <c r="Q36" i="3" l="1"/>
  <c r="J7" i="10" s="1"/>
  <c r="Q37" i="3"/>
  <c r="J8" i="10" s="1"/>
  <c r="Q58" i="3"/>
  <c r="J8" i="13" s="1"/>
  <c r="Q64" i="3"/>
  <c r="J7" i="14" s="1"/>
  <c r="Q43" i="3"/>
  <c r="J7" i="11" s="1"/>
  <c r="Q51" i="3"/>
  <c r="J8" i="12" s="1"/>
  <c r="Q57" i="3"/>
  <c r="J7" i="13" s="1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J3" i="13" s="1"/>
  <c r="Q91" i="3"/>
  <c r="Q89" i="3"/>
  <c r="Q23" i="3"/>
  <c r="J8" i="8" s="1"/>
  <c r="Q90" i="3"/>
  <c r="Q88" i="3"/>
  <c r="Q87" i="3"/>
  <c r="Q42" i="3"/>
  <c r="J6" i="11" s="1"/>
  <c r="Q52" i="3"/>
  <c r="J2" i="13" s="1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J6" i="13" s="1"/>
  <c r="Q47" i="3"/>
  <c r="J4" i="12" s="1"/>
  <c r="Q74" i="3"/>
  <c r="J3" i="16" s="1"/>
  <c r="Q60" i="3"/>
  <c r="J3" i="14" s="1"/>
  <c r="Q55" i="3"/>
  <c r="J5" i="13" s="1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J4" i="13" s="1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K31" i="3" s="1"/>
  <c r="G32" i="3"/>
  <c r="G81" i="3"/>
  <c r="G24" i="3"/>
  <c r="G33" i="3"/>
  <c r="G83" i="3"/>
  <c r="G80" i="3"/>
  <c r="G35" i="3"/>
  <c r="G84" i="3"/>
  <c r="AE24" i="3" l="1"/>
  <c r="L24" i="3"/>
  <c r="AF24" i="3"/>
  <c r="M24" i="3"/>
  <c r="AG24" i="3"/>
  <c r="N24" i="3"/>
  <c r="G2" i="9" s="1"/>
  <c r="AH24" i="3"/>
  <c r="O24" i="3"/>
  <c r="H2" i="9" s="1"/>
  <c r="AI24" i="3"/>
  <c r="P24" i="3"/>
  <c r="I2" i="9" s="1"/>
  <c r="K24" i="3"/>
  <c r="D2" i="9" s="1"/>
  <c r="Q24" i="3"/>
  <c r="J2" i="9" s="1"/>
  <c r="R24" i="3"/>
  <c r="K2" i="9" s="1"/>
  <c r="S24" i="3"/>
  <c r="T24" i="3"/>
  <c r="U24" i="3"/>
  <c r="V24" i="3"/>
  <c r="W24" i="3"/>
  <c r="X24" i="3"/>
  <c r="Y24" i="3"/>
  <c r="Z24" i="3"/>
  <c r="AA24" i="3"/>
  <c r="AB24" i="3"/>
  <c r="AD24" i="3"/>
  <c r="AC24" i="3"/>
  <c r="E2" i="9"/>
  <c r="F2" i="9"/>
  <c r="L31" i="3"/>
  <c r="E2" i="10" s="1"/>
  <c r="M31" i="3"/>
  <c r="F2" i="10" s="1"/>
  <c r="N31" i="3"/>
  <c r="G2" i="10" s="1"/>
  <c r="O31" i="3"/>
  <c r="H2" i="10" s="1"/>
  <c r="C2" i="10"/>
  <c r="D2" i="10"/>
  <c r="P31" i="3"/>
  <c r="I2" i="10" s="1"/>
  <c r="Q31" i="3"/>
  <c r="J2" i="10" s="1"/>
  <c r="R31" i="3"/>
  <c r="K2" i="10" s="1"/>
  <c r="C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C6" i="10"/>
  <c r="N35" i="3"/>
  <c r="G6" i="10" s="1"/>
  <c r="R35" i="3"/>
  <c r="K6" i="10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57" i="3"/>
  <c r="K7" i="13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K3" i="13" s="1"/>
  <c r="R52" i="3"/>
  <c r="K2" i="13" s="1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K4" i="13" s="1"/>
  <c r="R38" i="3"/>
  <c r="K2" i="11" s="1"/>
  <c r="R45" i="3"/>
  <c r="K2" i="12" s="1"/>
  <c r="R27" i="3"/>
  <c r="K5" i="9" s="1"/>
  <c r="R39" i="3"/>
  <c r="K3" i="11" s="1"/>
  <c r="R77" i="3"/>
  <c r="K6" i="16" s="1"/>
  <c r="R56" i="3"/>
  <c r="K6" i="13" s="1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K5" i="13" s="1"/>
  <c r="R19" i="3"/>
  <c r="K4" i="8" s="1"/>
  <c r="R63" i="3"/>
  <c r="K6" i="14" s="1"/>
  <c r="R20" i="3"/>
  <c r="K5" i="8" s="1"/>
  <c r="C3" i="10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C4" i="10"/>
  <c r="N33" i="3"/>
  <c r="G4" i="10" s="1"/>
  <c r="R33" i="3"/>
  <c r="K4" i="10" s="1"/>
  <c r="K33" i="3"/>
  <c r="D4" i="10" s="1"/>
  <c r="O33" i="3"/>
  <c r="H4" i="10" s="1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C6" i="9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C4" i="9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C3" i="9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B4" i="9"/>
  <c r="B2" i="17"/>
  <c r="B3" i="17"/>
  <c r="B6" i="17"/>
  <c r="G11" i="3"/>
  <c r="J11" i="3" s="1"/>
  <c r="B5" i="17"/>
  <c r="B3" i="10"/>
  <c r="G10" i="3"/>
  <c r="B6" i="10"/>
  <c r="G17" i="3"/>
  <c r="B3" i="9"/>
  <c r="L17" i="3" l="1"/>
  <c r="AF17" i="3"/>
  <c r="M17" i="3"/>
  <c r="AG17" i="3"/>
  <c r="N17" i="3"/>
  <c r="AH17" i="3"/>
  <c r="O17" i="3"/>
  <c r="AI17" i="3"/>
  <c r="P17" i="3"/>
  <c r="K17" i="3"/>
  <c r="D2" i="8" s="1"/>
  <c r="Q17" i="3"/>
  <c r="J17" i="3"/>
  <c r="S17" i="3"/>
  <c r="T17" i="3"/>
  <c r="U17" i="3"/>
  <c r="V17" i="3"/>
  <c r="W17" i="3"/>
  <c r="X17" i="3"/>
  <c r="Y17" i="3"/>
  <c r="R17" i="3"/>
  <c r="K2" i="8" s="1"/>
  <c r="Z17" i="3"/>
  <c r="AA17" i="3"/>
  <c r="AB17" i="3"/>
  <c r="AC17" i="3"/>
  <c r="AD17" i="3"/>
  <c r="AE17" i="3"/>
  <c r="K10" i="3"/>
  <c r="D2" i="2" s="1"/>
  <c r="L10" i="3"/>
  <c r="E2" i="2" s="1"/>
  <c r="G2" i="8"/>
  <c r="I2" i="8"/>
  <c r="J2" i="8"/>
  <c r="L2" i="8"/>
  <c r="C2" i="8"/>
  <c r="E2" i="8"/>
  <c r="F2" i="8"/>
  <c r="H2" i="8"/>
  <c r="N10" i="3"/>
  <c r="G2" i="2" s="1"/>
  <c r="O10" i="3"/>
  <c r="H2" i="2" s="1"/>
  <c r="P10" i="3"/>
  <c r="I2" i="2" s="1"/>
  <c r="Q10" i="3"/>
  <c r="J2" i="2" s="1"/>
  <c r="M10" i="3"/>
  <c r="F2" i="2" s="1"/>
  <c r="R10" i="3"/>
  <c r="K2" i="2" s="1"/>
  <c r="S10" i="3"/>
  <c r="L2" i="2" s="1"/>
  <c r="L2" i="9"/>
  <c r="S31" i="3"/>
  <c r="L2" i="10" s="1"/>
  <c r="S80" i="3"/>
  <c r="L2" i="17" s="1"/>
  <c r="L6" i="2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L7" i="13" s="1"/>
  <c r="S44" i="3"/>
  <c r="L8" i="11" s="1"/>
  <c r="S50" i="3"/>
  <c r="L7" i="12" s="1"/>
  <c r="S58" i="3"/>
  <c r="L8" i="13" s="1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L3" i="13" s="1"/>
  <c r="S89" i="3"/>
  <c r="S76" i="3"/>
  <c r="L5" i="16" s="1"/>
  <c r="S52" i="3"/>
  <c r="L2" i="13" s="1"/>
  <c r="S61" i="3"/>
  <c r="L4" i="14" s="1"/>
  <c r="S56" i="3"/>
  <c r="L6" i="13" s="1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L4" i="13" s="1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L5" i="13" s="1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C6" i="8"/>
  <c r="G6" i="8"/>
  <c r="K6" i="8"/>
  <c r="F6" i="8"/>
  <c r="D6" i="8"/>
  <c r="H6" i="8"/>
  <c r="L6" i="8"/>
  <c r="J6" i="8"/>
  <c r="E6" i="8"/>
  <c r="I6" i="8"/>
  <c r="T9" i="3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10" i="3" l="1"/>
  <c r="M2" i="2" s="1"/>
  <c r="M2" i="9"/>
  <c r="T31" i="3"/>
  <c r="M2" i="10" s="1"/>
  <c r="M2" i="8"/>
  <c r="T13" i="3"/>
  <c r="M5" i="2" s="1"/>
  <c r="M6" i="2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M7" i="13" s="1"/>
  <c r="T44" i="3"/>
  <c r="M8" i="11" s="1"/>
  <c r="T50" i="3"/>
  <c r="M7" i="12" s="1"/>
  <c r="T58" i="3"/>
  <c r="M8" i="13" s="1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M3" i="13" s="1"/>
  <c r="T91" i="3"/>
  <c r="T89" i="3"/>
  <c r="T88" i="3"/>
  <c r="T87" i="3"/>
  <c r="T42" i="3"/>
  <c r="M6" i="11" s="1"/>
  <c r="T76" i="3"/>
  <c r="M5" i="16" s="1"/>
  <c r="T61" i="3"/>
  <c r="M4" i="14" s="1"/>
  <c r="T52" i="3"/>
  <c r="M2" i="13" s="1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M4" i="13" s="1"/>
  <c r="T45" i="3"/>
  <c r="M2" i="12" s="1"/>
  <c r="T27" i="3"/>
  <c r="M5" i="9" s="1"/>
  <c r="T77" i="3"/>
  <c r="M6" i="16" s="1"/>
  <c r="T68" i="3"/>
  <c r="M4" i="15" s="1"/>
  <c r="T56" i="3"/>
  <c r="M6" i="13" s="1"/>
  <c r="T67" i="3"/>
  <c r="M3" i="15" s="1"/>
  <c r="T74" i="3"/>
  <c r="M3" i="16" s="1"/>
  <c r="T60" i="3"/>
  <c r="M3" i="14" s="1"/>
  <c r="T55" i="3"/>
  <c r="M5" i="13" s="1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M6" i="8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N2" i="8" l="1"/>
  <c r="N2" i="9"/>
  <c r="U10" i="3"/>
  <c r="N2" i="2" s="1"/>
  <c r="U31" i="3"/>
  <c r="N2" i="10" s="1"/>
  <c r="U80" i="3"/>
  <c r="N2" i="17" s="1"/>
  <c r="N6" i="2"/>
  <c r="U36" i="3"/>
  <c r="N7" i="10" s="1"/>
  <c r="U37" i="3"/>
  <c r="N8" i="10" s="1"/>
  <c r="U58" i="3"/>
  <c r="N8" i="13" s="1"/>
  <c r="U64" i="3"/>
  <c r="N7" i="14" s="1"/>
  <c r="U43" i="3"/>
  <c r="N7" i="11" s="1"/>
  <c r="U51" i="3"/>
  <c r="N8" i="12" s="1"/>
  <c r="U57" i="3"/>
  <c r="N7" i="13" s="1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N3" i="13" s="1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N2" i="13" s="1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N6" i="13" s="1"/>
  <c r="U38" i="3"/>
  <c r="N2" i="11" s="1"/>
  <c r="U67" i="3"/>
  <c r="N3" i="15" s="1"/>
  <c r="U74" i="3"/>
  <c r="N3" i="16" s="1"/>
  <c r="U60" i="3"/>
  <c r="N3" i="14" s="1"/>
  <c r="U55" i="3"/>
  <c r="N5" i="13" s="1"/>
  <c r="U39" i="3"/>
  <c r="N3" i="11" s="1"/>
  <c r="U63" i="3"/>
  <c r="N6" i="14" s="1"/>
  <c r="U20" i="3"/>
  <c r="N5" i="8" s="1"/>
  <c r="U54" i="3"/>
  <c r="N4" i="13" s="1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N6" i="8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V31" i="3" l="1"/>
  <c r="O2" i="10" s="1"/>
  <c r="O6" i="2"/>
  <c r="O2" i="8"/>
  <c r="O2" i="9"/>
  <c r="V10" i="3"/>
  <c r="O2" i="2" s="1"/>
  <c r="V80" i="3"/>
  <c r="O2" i="17" s="1"/>
  <c r="V25" i="3"/>
  <c r="O3" i="9" s="1"/>
  <c r="V32" i="3"/>
  <c r="O3" i="10" s="1"/>
  <c r="O6" i="8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O8" i="13" s="1"/>
  <c r="V64" i="3"/>
  <c r="O7" i="14" s="1"/>
  <c r="V43" i="3"/>
  <c r="O7" i="11" s="1"/>
  <c r="V51" i="3"/>
  <c r="O8" i="12" s="1"/>
  <c r="V57" i="3"/>
  <c r="O7" i="13" s="1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O3" i="13" s="1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O2" i="13" s="1"/>
  <c r="V41" i="3"/>
  <c r="O5" i="11" s="1"/>
  <c r="V34" i="3"/>
  <c r="O5" i="10" s="1"/>
  <c r="V49" i="3"/>
  <c r="O6" i="12" s="1"/>
  <c r="V74" i="3"/>
  <c r="O3" i="16" s="1"/>
  <c r="V55" i="3"/>
  <c r="O5" i="13" s="1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O6" i="13" s="1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O4" i="13" s="1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P2" i="8" l="1"/>
  <c r="W10" i="3"/>
  <c r="P2" i="2" s="1"/>
  <c r="P2" i="9"/>
  <c r="W31" i="3"/>
  <c r="P2" i="10" s="1"/>
  <c r="P6" i="2"/>
  <c r="W80" i="3"/>
  <c r="P2" i="17" s="1"/>
  <c r="W36" i="3"/>
  <c r="P7" i="10" s="1"/>
  <c r="W37" i="3"/>
  <c r="P8" i="10" s="1"/>
  <c r="W57" i="3"/>
  <c r="P7" i="13" s="1"/>
  <c r="W44" i="3"/>
  <c r="P8" i="11" s="1"/>
  <c r="W50" i="3"/>
  <c r="P7" i="12" s="1"/>
  <c r="W58" i="3"/>
  <c r="P8" i="13" s="1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P3" i="13" s="1"/>
  <c r="W89" i="3"/>
  <c r="W52" i="3"/>
  <c r="P2" i="13" s="1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P6" i="13" s="1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P4" i="13" s="1"/>
  <c r="W38" i="3"/>
  <c r="P2" i="11" s="1"/>
  <c r="W55" i="3"/>
  <c r="P5" i="13" s="1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P6" i="8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Q2" i="8" l="1"/>
  <c r="Q2" i="9"/>
  <c r="Q6" i="2"/>
  <c r="X10" i="3"/>
  <c r="Q2" i="2" s="1"/>
  <c r="X31" i="3"/>
  <c r="Q2" i="10" s="1"/>
  <c r="X80" i="3"/>
  <c r="Q2" i="17" s="1"/>
  <c r="X11" i="3"/>
  <c r="Q3" i="2" s="1"/>
  <c r="X36" i="3"/>
  <c r="Q7" i="10" s="1"/>
  <c r="X37" i="3"/>
  <c r="Q8" i="10" s="1"/>
  <c r="Q6" i="8"/>
  <c r="X25" i="3"/>
  <c r="Q3" i="9" s="1"/>
  <c r="X28" i="3"/>
  <c r="Q6" i="9" s="1"/>
  <c r="X32" i="3"/>
  <c r="Q3" i="10" s="1"/>
  <c r="X43" i="3"/>
  <c r="Q7" i="11" s="1"/>
  <c r="X51" i="3"/>
  <c r="Q8" i="12" s="1"/>
  <c r="X57" i="3"/>
  <c r="Q7" i="13" s="1"/>
  <c r="X44" i="3"/>
  <c r="Q8" i="11" s="1"/>
  <c r="X50" i="3"/>
  <c r="Q7" i="12" s="1"/>
  <c r="X58" i="3"/>
  <c r="Q8" i="13" s="1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Q3" i="13" s="1"/>
  <c r="X88" i="3"/>
  <c r="X91" i="3"/>
  <c r="X89" i="3"/>
  <c r="X42" i="3"/>
  <c r="Q6" i="11" s="1"/>
  <c r="X52" i="3"/>
  <c r="Q2" i="13" s="1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Q6" i="13" s="1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Q5" i="13" s="1"/>
  <c r="X27" i="3"/>
  <c r="Q5" i="9" s="1"/>
  <c r="X77" i="3"/>
  <c r="Q6" i="16" s="1"/>
  <c r="X68" i="3"/>
  <c r="Q4" i="15" s="1"/>
  <c r="X54" i="3"/>
  <c r="Q4" i="13" s="1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R2" i="8" l="1"/>
  <c r="R2" i="9"/>
  <c r="Y10" i="3"/>
  <c r="R2" i="2" s="1"/>
  <c r="Y31" i="3"/>
  <c r="R2" i="10" s="1"/>
  <c r="R6" i="2"/>
  <c r="Y80" i="3"/>
  <c r="R2" i="17" s="1"/>
  <c r="Y36" i="3"/>
  <c r="R7" i="10" s="1"/>
  <c r="Y37" i="3"/>
  <c r="R8" i="10" s="1"/>
  <c r="R6" i="8"/>
  <c r="Y58" i="3"/>
  <c r="R8" i="13" s="1"/>
  <c r="Y43" i="3"/>
  <c r="R7" i="11" s="1"/>
  <c r="Y51" i="3"/>
  <c r="R8" i="12" s="1"/>
  <c r="Y57" i="3"/>
  <c r="R7" i="13" s="1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R2" i="13" s="1"/>
  <c r="Y53" i="3"/>
  <c r="R3" i="13" s="1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R5" i="13" s="1"/>
  <c r="Y27" i="3"/>
  <c r="R5" i="9" s="1"/>
  <c r="Y39" i="3"/>
  <c r="R3" i="11" s="1"/>
  <c r="Y63" i="3"/>
  <c r="R6" i="14" s="1"/>
  <c r="Y54" i="3"/>
  <c r="R4" i="13" s="1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R6" i="13" s="1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S2" i="8" l="1"/>
  <c r="S2" i="9"/>
  <c r="Z10" i="3"/>
  <c r="S2" i="2" s="1"/>
  <c r="Z31" i="3"/>
  <c r="S2" i="10" s="1"/>
  <c r="Z80" i="3"/>
  <c r="S2" i="17" s="1"/>
  <c r="S6" i="2"/>
  <c r="Z11" i="3"/>
  <c r="S3" i="2" s="1"/>
  <c r="Z36" i="3"/>
  <c r="S7" i="10" s="1"/>
  <c r="Z37" i="3"/>
  <c r="S8" i="10" s="1"/>
  <c r="Z44" i="3"/>
  <c r="S8" i="11" s="1"/>
  <c r="Z50" i="3"/>
  <c r="S7" i="12" s="1"/>
  <c r="Z58" i="3"/>
  <c r="S8" i="13" s="1"/>
  <c r="Z64" i="3"/>
  <c r="S7" i="14" s="1"/>
  <c r="Z43" i="3"/>
  <c r="S7" i="11" s="1"/>
  <c r="Z51" i="3"/>
  <c r="S8" i="12" s="1"/>
  <c r="Z57" i="3"/>
  <c r="S7" i="13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S3" i="13" s="1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S2" i="13" s="1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S5" i="13" s="1"/>
  <c r="Z73" i="3"/>
  <c r="S2" i="16" s="1"/>
  <c r="Z63" i="3"/>
  <c r="S6" i="14" s="1"/>
  <c r="Z54" i="3"/>
  <c r="S4" i="13" s="1"/>
  <c r="Z47" i="3"/>
  <c r="S4" i="12" s="1"/>
  <c r="Z69" i="3"/>
  <c r="S5" i="15" s="1"/>
  <c r="Z39" i="3"/>
  <c r="S3" i="11" s="1"/>
  <c r="Z59" i="3"/>
  <c r="S2" i="14" s="1"/>
  <c r="Z56" i="3"/>
  <c r="S6" i="13" s="1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S6" i="8"/>
  <c r="AA9" i="3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T6" i="2" l="1"/>
  <c r="T2" i="8"/>
  <c r="AA31" i="3"/>
  <c r="T2" i="10" s="1"/>
  <c r="T2" i="9"/>
  <c r="AA10" i="3"/>
  <c r="T2" i="2" s="1"/>
  <c r="AA80" i="3"/>
  <c r="T2" i="17" s="1"/>
  <c r="T6" i="8"/>
  <c r="AA36" i="3"/>
  <c r="T7" i="10" s="1"/>
  <c r="AA37" i="3"/>
  <c r="T8" i="10" s="1"/>
  <c r="AA57" i="3"/>
  <c r="T7" i="13" s="1"/>
  <c r="AA44" i="3"/>
  <c r="T8" i="11" s="1"/>
  <c r="AA50" i="3"/>
  <c r="T7" i="12" s="1"/>
  <c r="AA58" i="3"/>
  <c r="T8" i="13" s="1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T3" i="13" s="1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T2" i="13" s="1"/>
  <c r="AA76" i="3"/>
  <c r="T5" i="16" s="1"/>
  <c r="AA70" i="3"/>
  <c r="T6" i="15" s="1"/>
  <c r="AA61" i="3"/>
  <c r="T4" i="14" s="1"/>
  <c r="AA38" i="3"/>
  <c r="T2" i="11" s="1"/>
  <c r="AA55" i="3"/>
  <c r="T5" i="13" s="1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T6" i="13" s="1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T4" i="13" s="1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U2" i="8" l="1"/>
  <c r="U2" i="9"/>
  <c r="AB10" i="3"/>
  <c r="U2" i="2" s="1"/>
  <c r="AB31" i="3"/>
  <c r="U2" i="10" s="1"/>
  <c r="U6" i="2"/>
  <c r="AB80" i="3"/>
  <c r="U2" i="17" s="1"/>
  <c r="AB11" i="3"/>
  <c r="U3" i="2" s="1"/>
  <c r="AB36" i="3"/>
  <c r="U7" i="10" s="1"/>
  <c r="AB37" i="3"/>
  <c r="U8" i="10" s="1"/>
  <c r="AB43" i="3"/>
  <c r="U7" i="11" s="1"/>
  <c r="AB51" i="3"/>
  <c r="U8" i="12" s="1"/>
  <c r="AB57" i="3"/>
  <c r="U7" i="13" s="1"/>
  <c r="AB44" i="3"/>
  <c r="U8" i="11" s="1"/>
  <c r="AB50" i="3"/>
  <c r="U7" i="12" s="1"/>
  <c r="AB58" i="3"/>
  <c r="U8" i="13" s="1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U3" i="13" s="1"/>
  <c r="AB62" i="3"/>
  <c r="U5" i="14" s="1"/>
  <c r="AB41" i="3"/>
  <c r="U5" i="11" s="1"/>
  <c r="AB75" i="3"/>
  <c r="U4" i="16" s="1"/>
  <c r="AB70" i="3"/>
  <c r="U6" i="15" s="1"/>
  <c r="AB66" i="3"/>
  <c r="U2" i="15" s="1"/>
  <c r="AB52" i="3"/>
  <c r="U2" i="13" s="1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U5" i="13" s="1"/>
  <c r="AB27" i="3"/>
  <c r="U5" i="9" s="1"/>
  <c r="AB48" i="3"/>
  <c r="U5" i="12" s="1"/>
  <c r="AB77" i="3"/>
  <c r="U6" i="16" s="1"/>
  <c r="AB68" i="3"/>
  <c r="U4" i="15" s="1"/>
  <c r="AB56" i="3"/>
  <c r="U6" i="13" s="1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U4" i="13" s="1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AB28" i="3"/>
  <c r="U6" i="9" s="1"/>
  <c r="AB35" i="3"/>
  <c r="U6" i="10" s="1"/>
  <c r="AB32" i="3"/>
  <c r="U3" i="10" s="1"/>
  <c r="U6" i="8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V2" i="8" l="1"/>
  <c r="V2" i="9"/>
  <c r="AC10" i="3"/>
  <c r="V2" i="2" s="1"/>
  <c r="AC31" i="3"/>
  <c r="V2" i="10" s="1"/>
  <c r="V6" i="2"/>
  <c r="AC80" i="3"/>
  <c r="V2" i="17" s="1"/>
  <c r="AC36" i="3"/>
  <c r="V7" i="10" s="1"/>
  <c r="AC37" i="3"/>
  <c r="V8" i="10" s="1"/>
  <c r="AC58" i="3"/>
  <c r="V8" i="13" s="1"/>
  <c r="AC43" i="3"/>
  <c r="V7" i="11" s="1"/>
  <c r="AC51" i="3"/>
  <c r="V8" i="12" s="1"/>
  <c r="AC57" i="3"/>
  <c r="V7" i="13" s="1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V3" i="13" s="1"/>
  <c r="AC52" i="3"/>
  <c r="V2" i="13" s="1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V6" i="13" s="1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V5" i="13" s="1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V4" i="13" s="1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AC32" i="3"/>
  <c r="V3" i="10" s="1"/>
  <c r="AC25" i="3"/>
  <c r="V3" i="9" s="1"/>
  <c r="AC28" i="3"/>
  <c r="V6" i="9" s="1"/>
  <c r="V6" i="8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W6" i="2" l="1"/>
  <c r="W2" i="8"/>
  <c r="W2" i="9"/>
  <c r="AD10" i="3"/>
  <c r="W2" i="2" s="1"/>
  <c r="AD31" i="3"/>
  <c r="W2" i="10" s="1"/>
  <c r="AD80" i="3"/>
  <c r="W2" i="17" s="1"/>
  <c r="AD11" i="3"/>
  <c r="W3" i="2" s="1"/>
  <c r="AD36" i="3"/>
  <c r="W7" i="10" s="1"/>
  <c r="AD37" i="3"/>
  <c r="W8" i="10" s="1"/>
  <c r="AD44" i="3"/>
  <c r="W8" i="11" s="1"/>
  <c r="AD50" i="3"/>
  <c r="W7" i="12" s="1"/>
  <c r="AD58" i="3"/>
  <c r="W8" i="13" s="1"/>
  <c r="AD64" i="3"/>
  <c r="W7" i="14" s="1"/>
  <c r="AD43" i="3"/>
  <c r="W7" i="11" s="1"/>
  <c r="AD51" i="3"/>
  <c r="W8" i="12" s="1"/>
  <c r="AD57" i="3"/>
  <c r="W7" i="13" s="1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W3" i="13" s="1"/>
  <c r="AD87" i="3"/>
  <c r="AD91" i="3"/>
  <c r="AD89" i="3"/>
  <c r="AD90" i="3"/>
  <c r="AD42" i="3"/>
  <c r="W6" i="11" s="1"/>
  <c r="AD88" i="3"/>
  <c r="AD52" i="3"/>
  <c r="W2" i="13" s="1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W6" i="13" s="1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W5" i="13" s="1"/>
  <c r="AD63" i="3"/>
  <c r="W6" i="14" s="1"/>
  <c r="AD47" i="3"/>
  <c r="W4" i="12" s="1"/>
  <c r="AD69" i="3"/>
  <c r="W5" i="15" s="1"/>
  <c r="AD39" i="3"/>
  <c r="W3" i="11" s="1"/>
  <c r="AD59" i="3"/>
  <c r="W2" i="14" s="1"/>
  <c r="AD54" i="3"/>
  <c r="W4" i="13" s="1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AD28" i="3"/>
  <c r="W6" i="9" s="1"/>
  <c r="AD32" i="3"/>
  <c r="W3" i="10" s="1"/>
  <c r="AD25" i="3"/>
  <c r="W3" i="9" s="1"/>
  <c r="W6" i="8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X6" i="2" l="1"/>
  <c r="X2" i="8"/>
  <c r="X2" i="9"/>
  <c r="AE10" i="3"/>
  <c r="X2" i="2" s="1"/>
  <c r="AE31" i="3"/>
  <c r="X2" i="10" s="1"/>
  <c r="AE80" i="3"/>
  <c r="X2" i="17" s="1"/>
  <c r="AE36" i="3"/>
  <c r="X7" i="10" s="1"/>
  <c r="AE37" i="3"/>
  <c r="X8" i="10" s="1"/>
  <c r="AE57" i="3"/>
  <c r="X7" i="13" s="1"/>
  <c r="AE44" i="3"/>
  <c r="X8" i="11" s="1"/>
  <c r="AE50" i="3"/>
  <c r="X7" i="12" s="1"/>
  <c r="AE58" i="3"/>
  <c r="X8" i="13" s="1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X3" i="13" s="1"/>
  <c r="AE89" i="3"/>
  <c r="AE52" i="3"/>
  <c r="X2" i="13" s="1"/>
  <c r="AE90" i="3"/>
  <c r="AE42" i="3"/>
  <c r="X6" i="11" s="1"/>
  <c r="AE61" i="3"/>
  <c r="X4" i="14" s="1"/>
  <c r="AE56" i="3"/>
  <c r="X6" i="13" s="1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X5" i="13" s="1"/>
  <c r="AE68" i="3"/>
  <c r="X4" i="15" s="1"/>
  <c r="AE59" i="3"/>
  <c r="X2" i="14" s="1"/>
  <c r="AE54" i="3"/>
  <c r="X4" i="13" s="1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AE25" i="3"/>
  <c r="X3" i="9" s="1"/>
  <c r="AE32" i="3"/>
  <c r="X3" i="10" s="1"/>
  <c r="X6" i="8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Y6" i="2" l="1"/>
  <c r="Y2" i="8"/>
  <c r="Y2" i="9"/>
  <c r="AF10" i="3"/>
  <c r="Y2" i="2" s="1"/>
  <c r="AF31" i="3"/>
  <c r="Y2" i="10" s="1"/>
  <c r="AF80" i="3"/>
  <c r="Y2" i="17" s="1"/>
  <c r="AF36" i="3"/>
  <c r="Y7" i="10" s="1"/>
  <c r="AF37" i="3"/>
  <c r="Y8" i="10" s="1"/>
  <c r="AF43" i="3"/>
  <c r="Y7" i="11" s="1"/>
  <c r="AF51" i="3"/>
  <c r="Y8" i="12" s="1"/>
  <c r="AF57" i="3"/>
  <c r="Y7" i="13" s="1"/>
  <c r="AF44" i="3"/>
  <c r="Y8" i="11" s="1"/>
  <c r="AF50" i="3"/>
  <c r="Y7" i="12" s="1"/>
  <c r="AF58" i="3"/>
  <c r="Y8" i="13" s="1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Y3" i="13" s="1"/>
  <c r="AF91" i="3"/>
  <c r="AF89" i="3"/>
  <c r="AF42" i="3"/>
  <c r="Y6" i="11" s="1"/>
  <c r="AF52" i="3"/>
  <c r="Y2" i="13" s="1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Y5" i="13" s="1"/>
  <c r="AF77" i="3"/>
  <c r="Y6" i="16" s="1"/>
  <c r="AF73" i="3"/>
  <c r="Y2" i="16" s="1"/>
  <c r="AF59" i="3"/>
  <c r="Y2" i="14" s="1"/>
  <c r="AF54" i="3"/>
  <c r="Y4" i="13" s="1"/>
  <c r="AF45" i="3"/>
  <c r="Y2" i="12" s="1"/>
  <c r="AF27" i="3"/>
  <c r="Y5" i="9" s="1"/>
  <c r="AF68" i="3"/>
  <c r="Y4" i="15" s="1"/>
  <c r="AF56" i="3"/>
  <c r="Y6" i="13" s="1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AF32" i="3"/>
  <c r="Y3" i="10" s="1"/>
  <c r="AF28" i="3"/>
  <c r="Y6" i="9" s="1"/>
  <c r="Y6" i="8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Z6" i="2" l="1"/>
  <c r="AG10" i="3"/>
  <c r="Z2" i="2" s="1"/>
  <c r="Z2" i="9"/>
  <c r="AG31" i="3"/>
  <c r="Z2" i="10" s="1"/>
  <c r="AG80" i="3"/>
  <c r="Z2" i="17" s="1"/>
  <c r="Z2" i="8"/>
  <c r="AG36" i="3"/>
  <c r="Z7" i="10" s="1"/>
  <c r="AG37" i="3"/>
  <c r="Z8" i="10" s="1"/>
  <c r="AG58" i="3"/>
  <c r="Z8" i="13" s="1"/>
  <c r="AG43" i="3"/>
  <c r="Z7" i="11" s="1"/>
  <c r="AG51" i="3"/>
  <c r="Z8" i="12" s="1"/>
  <c r="AG57" i="3"/>
  <c r="Z7" i="13" s="1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Z3" i="13" s="1"/>
  <c r="AG42" i="3"/>
  <c r="AG91" i="3"/>
  <c r="AG89" i="3"/>
  <c r="AG90" i="3"/>
  <c r="AG88" i="3"/>
  <c r="AG87" i="3"/>
  <c r="AG75" i="3"/>
  <c r="Z4" i="16" s="1"/>
  <c r="AG52" i="3"/>
  <c r="Z2" i="13" s="1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Z6" i="13" s="1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Z4" i="13" s="1"/>
  <c r="AG38" i="3"/>
  <c r="Z2" i="11" s="1"/>
  <c r="AG67" i="3"/>
  <c r="Z3" i="15" s="1"/>
  <c r="AG45" i="3"/>
  <c r="Z2" i="12" s="1"/>
  <c r="AG60" i="3"/>
  <c r="Z3" i="14" s="1"/>
  <c r="AG55" i="3"/>
  <c r="Z5" i="13" s="1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AG28" i="3"/>
  <c r="Z6" i="9" s="1"/>
  <c r="Z6" i="8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A2" i="8" l="1"/>
  <c r="AH10" i="3"/>
  <c r="AA2" i="2" s="1"/>
  <c r="AA2" i="9"/>
  <c r="AH31" i="3"/>
  <c r="AA2" i="10" s="1"/>
  <c r="AA6" i="2"/>
  <c r="AH80" i="3"/>
  <c r="AA2" i="17" s="1"/>
  <c r="AH36" i="3"/>
  <c r="AA7" i="10" s="1"/>
  <c r="AH37" i="3"/>
  <c r="AA8" i="10" s="1"/>
  <c r="AH44" i="3"/>
  <c r="AA8" i="11" s="1"/>
  <c r="AH50" i="3"/>
  <c r="AA7" i="12" s="1"/>
  <c r="AH58" i="3"/>
  <c r="AA8" i="13" s="1"/>
  <c r="AH64" i="3"/>
  <c r="AA7" i="14" s="1"/>
  <c r="AH43" i="3"/>
  <c r="AA7" i="11" s="1"/>
  <c r="AH51" i="3"/>
  <c r="AA8" i="12" s="1"/>
  <c r="AH57" i="3"/>
  <c r="AA7" i="13" s="1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A3" i="13" s="1"/>
  <c r="AH91" i="3"/>
  <c r="AH89" i="3"/>
  <c r="AH88" i="3"/>
  <c r="AH90" i="3"/>
  <c r="AH87" i="3"/>
  <c r="AH42" i="3"/>
  <c r="AA6" i="11" s="1"/>
  <c r="AH52" i="3"/>
  <c r="AA2" i="13" s="1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A6" i="13" s="1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A5" i="13" s="1"/>
  <c r="AH39" i="3"/>
  <c r="AA3" i="11" s="1"/>
  <c r="AH63" i="3"/>
  <c r="AA6" i="14" s="1"/>
  <c r="AH54" i="3"/>
  <c r="AA4" i="13" s="1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H32" i="3"/>
  <c r="AA3" i="10" s="1"/>
  <c r="AA6" i="8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B2" i="8" l="1"/>
  <c r="AB2" i="9"/>
  <c r="AI10" i="3"/>
  <c r="AB2" i="2" s="1"/>
  <c r="AI31" i="3"/>
  <c r="AB2" i="10" s="1"/>
  <c r="AB6" i="2"/>
  <c r="AI80" i="3"/>
  <c r="AB2" i="17" s="1"/>
  <c r="AI36" i="3"/>
  <c r="AB7" i="10" s="1"/>
  <c r="AI37" i="3"/>
  <c r="AB8" i="10" s="1"/>
  <c r="AI57" i="3"/>
  <c r="AB7" i="13" s="1"/>
  <c r="AI44" i="3"/>
  <c r="AB8" i="11" s="1"/>
  <c r="AI50" i="3"/>
  <c r="AB7" i="12" s="1"/>
  <c r="AI58" i="3"/>
  <c r="AB8" i="13" s="1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B3" i="13" s="1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B2" i="13" s="1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B5" i="13" s="1"/>
  <c r="AI59" i="3"/>
  <c r="AB2" i="14" s="1"/>
  <c r="AI54" i="3"/>
  <c r="AB4" i="13" s="1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B6" i="13" s="1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B6" i="8"/>
  <c r="AI25" i="3"/>
  <c r="AB3" i="9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</calcChain>
</file>

<file path=xl/sharedStrings.xml><?xml version="1.0" encoding="utf-8"?>
<sst xmlns="http://schemas.openxmlformats.org/spreadsheetml/2006/main" count="546" uniqueCount="245">
  <si>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</si>
  <si>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</si>
  <si>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</si>
  <si>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</si>
  <si>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</si>
  <si>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</si>
  <si>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</si>
  <si>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</si>
  <si>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</si>
  <si>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</si>
  <si>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</si>
  <si>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</si>
  <si>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</si>
  <si>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</si>
  <si>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</si>
  <si>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</si>
  <si>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</si>
  <si>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</si>
  <si>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</si>
  <si>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</si>
  <si>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</si>
  <si>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- -</t>
  </si>
  <si>
    <t>Here are the assumptions we use for the U.S.: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</si>
  <si>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</si>
  <si>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</si>
  <si>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</si>
  <si>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</si>
  <si>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</si>
  <si>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</si>
  <si>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</si>
  <si>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</si>
  <si>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</si>
  <si>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linear</t>
  </si>
  <si>
    <t>LPG vehicle</t>
  </si>
  <si>
    <t>hydrogen vehicle</t>
  </si>
  <si>
    <t>Max Fraction of Production (dimensionless)</t>
  </si>
  <si>
    <t>Number of Vehicles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</si>
  <si>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</si>
  <si>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</si>
  <si>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</si>
  <si>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Source: U.S. Energy Information Administration</t>
  </si>
  <si>
    <t>full name</t>
  </si>
  <si>
    <t>api key</t>
  </si>
  <si>
    <t>units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</si>
  <si>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</si>
  <si>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</si>
  <si>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</si>
  <si>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</si>
  <si>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</si>
  <si>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</si>
  <si>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</si>
  <si>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Electric-Diesel Hybrid</t>
  </si>
  <si>
    <t>Electric-Gasoline Hybrid</t>
  </si>
  <si>
    <t>Natural Gas ICE</t>
  </si>
  <si>
    <t>Natural Gas Bi-fuel</t>
  </si>
  <si>
    <t>Propane ICE</t>
  </si>
  <si>
    <t>Propane Bi-fuel</t>
  </si>
  <si>
    <t>Fuel Cell Methanol</t>
  </si>
  <si>
    <t>Fuel Cell Hydrogen</t>
  </si>
  <si>
    <t>Total Alternative Cars</t>
  </si>
  <si>
    <t>Conventional Light Trucks</t>
  </si>
  <si>
    <t>Total Conventional Light Trucks</t>
  </si>
  <si>
    <t>Alternative-Fuel Light Trucks</t>
  </si>
  <si>
    <t>Total Alternative Light Trucks</t>
  </si>
  <si>
    <t>Total Sales</t>
  </si>
  <si>
    <t xml:space="preserve"> Cars and Light Trucks</t>
  </si>
  <si>
    <t>Conventional Gasoline</t>
  </si>
  <si>
    <t>TDI Diesel</t>
  </si>
  <si>
    <t>Flex-Fuel</t>
  </si>
  <si>
    <t>Electric</t>
  </si>
  <si>
    <t>Plug-in Electric Hybrid</t>
  </si>
  <si>
    <t>Electric Hybrid</t>
  </si>
  <si>
    <t>Gaseous (Propane and Natural Gas)</t>
  </si>
  <si>
    <t>Fuel Cell</t>
  </si>
  <si>
    <t>TTS Transportation Technology Shareweights</t>
  </si>
  <si>
    <t>This variable provides the shareweights used in the modified logit equation for vehicle</t>
  </si>
  <si>
    <t>technology selection.  We base them on estimated potential maximum sales shares in each year.</t>
  </si>
  <si>
    <t>https://jgcri.github.io/gcam-doc/choice.html</t>
  </si>
  <si>
    <t>Psgr LDVs only</t>
  </si>
  <si>
    <t>Sigmoidal Curve Values for PHEV passenger LDV Technologies</t>
  </si>
  <si>
    <t>Plug-in 50 Gasoline Hybrid</t>
  </si>
  <si>
    <t>Plug-in 20 Gasoline Hybrid</t>
  </si>
  <si>
    <t>300-Mile Electric Vehicle</t>
  </si>
  <si>
    <t>200-Mile Electric Vehicle</t>
  </si>
  <si>
    <t>100-Mile Electric Vehicle</t>
  </si>
  <si>
    <t>Growth (2024-2050)</t>
  </si>
  <si>
    <t>Table 38.  Light-Duty Vehicle Sales by Technology Type</t>
  </si>
  <si>
    <t>https://www.eia.gov/outlooks/aeo/data/browser/#/?id=48-AEO2025&amp;cases=alttrnp&amp;sourcekey=0</t>
  </si>
  <si>
    <t>Mon Jan 26 2026 11:28:44 GMT-0800 (Pacific Standard Time)</t>
  </si>
  <si>
    <t>New Car Sales</t>
  </si>
  <si>
    <t>Light-Duty Vehicle Sales: Conventional Cars: Gasoline: Alternative Transportation</t>
  </si>
  <si>
    <t>AEO.2025.ALTTRNP.ECI_SAL_TRN_CAR_GSL_NA_NA_TH.A</t>
  </si>
  <si>
    <t>Light-Duty Vehicle Sales: Conventional Cars: TDI Diesel: Alternative Transportation</t>
  </si>
  <si>
    <t>AEO.2025.ALTTRNP.ECI_SAL_TRN_CAR_TDS_NA_NA_TH.A</t>
  </si>
  <si>
    <t>Light-Duty Vehicle Sales: Conventional Cars: Total: Alternative Transportation</t>
  </si>
  <si>
    <t>AEO.2025.ALTTRNP.ECI_SAL_TRN_CAR_CNV_NA_NA_TH.A</t>
  </si>
  <si>
    <t>Light-Duty Vehicle Sales: Alternative-Fuel Cars: Ethanol-Flex Fuel ICE: Alternative Transportation</t>
  </si>
  <si>
    <t>AEO.2025.ALTTRNP.ECI_SAL_TRN_CAR_EFFI_NA_NA_TH.A</t>
  </si>
  <si>
    <t>Light-Duty Vehicle Sales: Alternative-Fuel Cars: 100-Mile Electric Vehicle: Alternative Transportation</t>
  </si>
  <si>
    <t>AEO.2025.ALTTRNP.ECI_SAL_TRN_CAR_100MIEV_NA_NA_TH.A</t>
  </si>
  <si>
    <t>Light-Duty Vehicle Sales: Alternative-Fuel Cars: 200-Mile Electric Vehicle: Alternative Transportation</t>
  </si>
  <si>
    <t>AEO.2025.ALTTRNP.ECI_SAL_TRN_CAR_200MIEV_NA_NA_TH.A</t>
  </si>
  <si>
    <t>Light-Duty Vehicle Sales: Alternative-Fuel Cars: 300-Mile Electric Vehicle: Alternative Transportation</t>
  </si>
  <si>
    <t>AEO.2025.ALTTRNP.ECI_SAL_TRN_CAR_300MIEV_NA_NA_TH.A</t>
  </si>
  <si>
    <t>Light-Duty Vehicle Sales: Alternative-Fuel Cars: Plug-in 20 Gasoline Hybrid: Alternative Transportation</t>
  </si>
  <si>
    <t>AEO.2025.ALTTRNP.ECI_SAL_TRN_CAR_PI20GH_NA_NA_TH.A</t>
  </si>
  <si>
    <t>Light-Duty Vehicle Sales: Alternative-Fuel Cars: Plug-in 50 Gasoline Hybrid: Alternative Transportation</t>
  </si>
  <si>
    <t>AEO.2025.ALTTRNP.ECI_SAL_TRN_CAR_PI50GH_NA_NA_TH.A</t>
  </si>
  <si>
    <t>Light-Duty Vehicle Sales: Alternative-Fuel Cars: Electric-Diesel Hybrid: Alternative Transportation</t>
  </si>
  <si>
    <t>AEO.2025.ALTTRNP.ECI_SAL_TRN_CAR_EDH_NA_NA_TH.A</t>
  </si>
  <si>
    <t>Light-Duty Vehicle Sales: Alternative-Fuel Cars: Electric-Gasoline Hybrid: Alternative Transportation</t>
  </si>
  <si>
    <t>AEO.2025.ALTTRNP.ECI_SAL_TRN_CAR_EGH_NA_NA_TH.A</t>
  </si>
  <si>
    <t>Light-Duty Vehicle Sales: Alternative-Fuel Cars: Natural Gas ICE: Alternative Transportation</t>
  </si>
  <si>
    <t>AEO.2025.ALTTRNP.ECI_SAL_TRN_CAR_NGI_NA_NA_TH.A</t>
  </si>
  <si>
    <t>Light-Duty Vehicle Sales: Alternative-Fuel Cars: Natural Gas Bi-fuel: Alternative Transportation</t>
  </si>
  <si>
    <t>AEO.2025.ALTTRNP.ECI_SAL_TRN_CAR_NBF_NA_NA_TH.A</t>
  </si>
  <si>
    <t>Light-Duty Vehicle Sales: Alternative-Fuel Cars: Propane: Alternative Transportation</t>
  </si>
  <si>
    <t>AEO.2025.ALTTRNP.ECI_SAL_TRN_CAR_PROP_NA_NA_TH.A</t>
  </si>
  <si>
    <t>AEO.2025.ALTTRNP.ECI_SAL_TRN_CAR_PBF_NA_NA_TH.A</t>
  </si>
  <si>
    <t>Light-Duty Vehicle Sales: Alternative-Fuel Cars: Fuel Cell Methanol: Alternative Transportation</t>
  </si>
  <si>
    <t>AEO.2025.ALTTRNP.ECI_SAL_TRN_CAR_FCLMTH_NA_NA_TH.A</t>
  </si>
  <si>
    <t>Light-Duty Vehicle Sales: Alternative-Fuel cars: Fuel Cell Hydrogen: Alternative Transportation</t>
  </si>
  <si>
    <t>AEO.2025.ALTTRNP.ECI_SAL_TRN_CAR_FCH_NA_NA_TH.A</t>
  </si>
  <si>
    <t>Light-Duty Vehicle Sales: Alternative-Fuel Cars: Total: Alternative Transportation</t>
  </si>
  <si>
    <t>AEO.2025.ALTTRNP.ECI_SAL_TRN_CAR_ALT_NA_NA_TH.A</t>
  </si>
  <si>
    <t>Percentage Alternative Car Sales</t>
  </si>
  <si>
    <t>Light-Duty Vehicle Sales: Percentage Alternative Car: Alternative Transportation</t>
  </si>
  <si>
    <t>AEO.2025.ALTTRNP.ECI_SAL_TRN_CAR_ALT_NA_NA_PCT.A</t>
  </si>
  <si>
    <t>percent</t>
  </si>
  <si>
    <t>Total New Car Sales</t>
  </si>
  <si>
    <t>Light-Duty Vehicle Sales: Total New Car: Alternative Transportation</t>
  </si>
  <si>
    <t>AEO.2025.ALTTRNP.ECI_SAL_TRN_CAR_TOT_NA_NA_TH.A</t>
  </si>
  <si>
    <t>New Light Truck Sales</t>
  </si>
  <si>
    <t>Light-Duty Vehicle Sales: Conventional Light Trucks: Gasoline: Alternative Transportation</t>
  </si>
  <si>
    <t>AEO.2025.ALTTRNP.ECI_SAL_TRN_LTK_GSL_NA_NA_TH.A</t>
  </si>
  <si>
    <t>Light-Duty Vehicle Sales: Conventional Light Trucks: TDI Diesel: Alternative Transportation</t>
  </si>
  <si>
    <t>AEO.2025.ALTTRNP.ECI_SAL_TRN_LTK_DSL_NA_NA_TH.A</t>
  </si>
  <si>
    <t>Light-Duty Vehicle Sales: Conventional Light Trucks: Total: Alternative Transportation</t>
  </si>
  <si>
    <t>AEO.2025.ALTTRNP.ECI_SAL_TRN_LTK_CNV_NA_NA_TH.A</t>
  </si>
  <si>
    <t>Light-Duty Vehicle Sales: Alternative-Fuel Light Trucks: Ethanol-Flex Fuel ICE: Alternative Transportation</t>
  </si>
  <si>
    <t>AEO.2025.ALTTRNP.ECI_SAL_TRN_LTK_EFFI_NA_NA_TH.A</t>
  </si>
  <si>
    <t>Light-Duty Vehicle Sales: Alternative-Fuel Light Trucks: 100-Mile Electric Vehicle: Alternative Transportation</t>
  </si>
  <si>
    <t>AEO.2025.ALTTRNP.ECI_SAL_TRN_LTK_100MIEV_NA_NA_TH.A</t>
  </si>
  <si>
    <t>Light-Duty Vehicle Sales: Alternative-Fuel Light Trucks: 200-Mile Electric Vehicle: Alternative Transportation</t>
  </si>
  <si>
    <t>AEO.2025.ALTTRNP.ECI_SAL_TRN_LTK_200MIEV_NA_NA_TH.A</t>
  </si>
  <si>
    <t>Light-Duty Vehicle Sales: Alternative-Fuel Light Trucks: 300-Mile Electric Vehicle: Alternative Transportation</t>
  </si>
  <si>
    <t>AEO.2025.ALTTRNP.ECI_SAL_TRN_LTK_300MIEV_NA_NA_TH.A</t>
  </si>
  <si>
    <t>Light-Duty Vehicle Sales: Alternative-Fuel Light Trucks: Plug-in 20 Gasoline Hybrid: Alternative Transportation</t>
  </si>
  <si>
    <t>AEO.2025.ALTTRNP.ECI_SAL_TRN_LTK_PI20GH_NA_NA_TH.A</t>
  </si>
  <si>
    <t>Light-Duty Vehicle Sales: Alternative-Fuel Light Trucks: Plug-in 50 Gasoline Hybrid: Alternative Transportation</t>
  </si>
  <si>
    <t>AEO.2025.ALTTRNP.ECI_SAL_TRN_LTK_PI50GH_NA_NA_TH.A</t>
  </si>
  <si>
    <t>Light-Duty Vehicle Sales: Alternative-Fuel Light Trucks: Electric-Diesel Hybrid: Alternative Transportation</t>
  </si>
  <si>
    <t>AEO.2025.ALTTRNP.ECI_SAL_TRN_LTK_EDH_NA_NA_TH.A</t>
  </si>
  <si>
    <t>Light-Duty Vehicle Sales: Alternative-Fuel Light Trucks: Electric-Gasoline Hybrid: Alternative Transportation</t>
  </si>
  <si>
    <t>AEO.2025.ALTTRNP.ECI_SAL_TRN_LTK_EGH_NA_NA_TH.A</t>
  </si>
  <si>
    <t>Light-Duty Vehicle Sales: Alternative-Fuel Light Trucks: Natural Gas ICE: Alternative Transportation</t>
  </si>
  <si>
    <t>AEO.2025.ALTTRNP.ECI_SAL_TRN_LTK_NGI_NA_NA_TH.A</t>
  </si>
  <si>
    <t>Light-Duty Vehicle Sales: Alternative-Fuel Light Trucks: Natural Gas Bi-fuel: Alternative Transportation</t>
  </si>
  <si>
    <t>AEO.2025.ALTTRNP.ECI_SAL_TRN_LTK_NBF_NA_NA_TH.A</t>
  </si>
  <si>
    <t>Light-Duty Vehicle Sales: Alternative-Fuel Light Trucks: Propane ICE: Alternative Transportation</t>
  </si>
  <si>
    <t>AEO.2025.ALTTRNP.ECI_SAL_TRN_LTK_PROP_NA_NA_TH.A</t>
  </si>
  <si>
    <t>Light-Duty Vehicle Sales: Alternative-Fuel Light Trucks: Propane Bi-fuel: Alternative Transportation</t>
  </si>
  <si>
    <t>AEO.2025.ALTTRNP.ECI_SAL_TRN_LTK_PBF_NA_NA_TH.A</t>
  </si>
  <si>
    <t>Light-Duty Vehicle Sales: Alternative-Fuel Light Trucks: Fuel Cell Methanol: Alternative Transportation</t>
  </si>
  <si>
    <t>AEO.2025.ALTTRNP.ECI_SAL_TRN_LTK_FCLMTH_NA_NA_TH.A</t>
  </si>
  <si>
    <t>Light-Duty Vehicle Sales: Alternative-Fuel Light Trucks: Fuel Cell Hydrogen: Alternative Transportation</t>
  </si>
  <si>
    <t>AEO.2025.ALTTRNP.ECI_SAL_TRN_LTK_FCH_NA_NA_TH.A</t>
  </si>
  <si>
    <t>Light-Duty Vehicle Sales: Alternative-Fuel Light Trucks: Total: Alternative Transportation</t>
  </si>
  <si>
    <t>AEO.2025.ALTTRNP.ECI_SAL_TRN_LTK_ALT_NA_NA_TH.A</t>
  </si>
  <si>
    <t>Percentage Alternative Light Truck Sales</t>
  </si>
  <si>
    <t>Light-Duty Vehicle Sales: Percentage Alternative Light Truck Sales: Alternative Transportation</t>
  </si>
  <si>
    <t>AEO.2025.ALTTRNP.ECI_SAL_TRN_LTK_ALT_NA_NA_PCT.A</t>
  </si>
  <si>
    <t>Total New Light Truck Sales</t>
  </si>
  <si>
    <t>Light-Duty Vehicle Sales: Total New Truck: Alternative Transportation</t>
  </si>
  <si>
    <t>AEO.2025.ALTTRNP.ECI_SAL_TRN_LTK_NA_NA_NA_TH.A</t>
  </si>
  <si>
    <t>Percentage Total Alternative Sales</t>
  </si>
  <si>
    <t>Light-Duty Vehicle Sales: Percentage Total Alternative Sales: Alternative Transportation</t>
  </si>
  <si>
    <t>AEO.2025.ALTTRNP.ECI_SAL_TRN_LDTY_ALT_NA_NA_PCT.A</t>
  </si>
  <si>
    <t>EPACT Legislative  Alternative Sales</t>
  </si>
  <si>
    <t>Light-Duty Vehicle Sales: EPACT Legislative Alternative Sales: Alternative Transportation</t>
  </si>
  <si>
    <t>AEO.2025.ALTTRNP.ECI_SAL_TRN_LDTY_EPACLEGI_NA_NA_TH.A</t>
  </si>
  <si>
    <t>ZEVP Legislative Alternative Sales</t>
  </si>
  <si>
    <t>Light-Duty Vehicle Sales: ZEVP Legislative Alternative Sales: Alternative Transportation</t>
  </si>
  <si>
    <t>AEO.2025.ALTTRNP.ECI_SAL_TRN_LDTY_ZVPLG_NA_NA_TH.A</t>
  </si>
  <si>
    <t>Light-Duty Vehicle Sales: Total Sales, Cars and Light Trucks: Conventional Gasoline: Alternative Transportation</t>
  </si>
  <si>
    <t>AEO.2025.ALTTRNP.ECI_SAL_TRN_LDTY_CVG_NA_NA_TH.A</t>
  </si>
  <si>
    <t>Light-Duty Vehicle Sales: Total Sales, Cars and Light Trucks: TDI Diesel: Alternative Transportation</t>
  </si>
  <si>
    <t>AEO.2025.ALTTRNP.ECI_SAL_TRN_LDTY_TDS_NA_NA_TH.A</t>
  </si>
  <si>
    <t>Light-Duty Vehicle Sales: Total Sales, Cars and Light Trucks: Flex-Fuel: Alternative Transportation</t>
  </si>
  <si>
    <t>AEO.2025.ALTTRNP.ECI_SAL_TRN_LDTY_FXF_NA_NA_TH.A</t>
  </si>
  <si>
    <t>Light-Duty Vehicle Sales: Total Sales, Cars and Light Trucks: Electric: Alternative Transportation</t>
  </si>
  <si>
    <t>AEO.2025.ALTTRNP.ECI_SAL_TRN_LDTY_ELE_NA_NA_TH.A</t>
  </si>
  <si>
    <t>Light-Duty Vehicle Sales: Total Sales, Cars and Light Trucks: Plug-in Electric Hybrid: Alternative Transportation</t>
  </si>
  <si>
    <t>AEO.2025.ALTTRNP.ECI_SAL_TRN_LDTY_PIE_NA_NA_TH.A</t>
  </si>
  <si>
    <t>Light-Duty Vehicle Sales: Total Sales, Cars and Light Trucks: Electric Hybrid: Alternative Transportation</t>
  </si>
  <si>
    <t>AEO.2025.ALTTRNP.ECI_SAL_TRN_LDTY_EHY_NA_NA_TH.A</t>
  </si>
  <si>
    <t>Light-Duty Vehicle Sales: Total Sales, Cars and Light Trucks: Gaseous: Alternative Transportation</t>
  </si>
  <si>
    <t>AEO.2025.ALTTRNP.ECI_SAL_TRN_LDTY_GSU_NA_NA_TH.A</t>
  </si>
  <si>
    <t>Light-Duty Vehicle Sales: Total Sales, Cars and Light Trucks: Fuel Cell: Alternative Transportation</t>
  </si>
  <si>
    <t>AEO.2025.ALTTRNP.ECI_SAL_TRN_LDTY_FUC_NA_NA_TH.A</t>
  </si>
  <si>
    <t>Total Vehicles Sales</t>
  </si>
  <si>
    <t>Light-Duty Vehicle Sales: Total Vehicles Sales: Alternative Transportation</t>
  </si>
  <si>
    <t>AEO.2025.ALTTRNP.ECI_SAL_TRN_LDTY_NA_NA_NA_TH.A</t>
  </si>
  <si>
    <t>Conventional Gasoline Microhybrids</t>
  </si>
  <si>
    <t>Light-Duty Vehicle Sales: Microhybrids: Conventional Gasoline: Alternative Transportation</t>
  </si>
  <si>
    <t>AEO.2025.ALTTRNP.ECI_SAL_TRN_MCHY_CVG_NA_NA_TH.A</t>
  </si>
  <si>
    <t>TDI Diesel Microhybrids</t>
  </si>
  <si>
    <t>Light-Duty Vehicle Sales: Microhybrids: TDI Diesel: Alternative Transportation</t>
  </si>
  <si>
    <t>AEO.2025.ALTTRNP.ECI_SAL_TRN_MCHY_TDS_NA_NA_TH.A</t>
  </si>
  <si>
    <t>Total Alternative-Fueled Vehicle Sales</t>
  </si>
  <si>
    <t>Light-Duty Vehicle Sales: Alternative-Fueled Vehicles: Alternative Transportation</t>
  </si>
  <si>
    <t>passenger LDV sales</t>
  </si>
  <si>
    <t>manufacturing capacity assumptions</t>
  </si>
  <si>
    <t>EV manufacturing capacity</t>
  </si>
  <si>
    <t>share of domestic demand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</si>
  <si>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</si>
  <si>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</si>
  <si>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</si>
  <si>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</si>
  <si>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</si>
  <si>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For more on this, see the "Unmodified Logit" equation description at: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</si>
  <si>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</si>
  <si>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</si>
  <si>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</si>
  <si>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</si>
  <si>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 xml:space="preserve">The 2024/2025 shareweights are slightly less than 10%, which we can roughly </t>
  </si>
  <si>
    <t>correlate to current domestic EV manufacturing capacity (about 1.5 million</t>
  </si>
  <si>
    <t>vehicles per year, compared to domestic demand of about 15 million vehicles).</t>
  </si>
  <si>
    <t>Based on a literature survey on expected growth in manufacturing capacity,</t>
  </si>
  <si>
    <t>or about 30% of demand. We find that setting the growth in the shareweights</t>
  </si>
  <si>
    <t xml:space="preserve">of about 0.4 in 2035, aligning with the growth in manufacturing capacity. </t>
  </si>
  <si>
    <t>a mid-range estimate of capacity by 2035 could be roughly 6 million vehicles,</t>
  </si>
  <si>
    <t>for passenger LDV BEVs to a s-curve that reaches 0.7 by 2050 results in a shareweight</t>
  </si>
  <si>
    <t>We set the growth in PHEV shareweights to the same annual increases as</t>
  </si>
  <si>
    <t>BEVs. ICE vehicles use constant shareweights.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</si>
  <si>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</si>
  <si>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</si>
  <si>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</si>
  <si>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</si>
  <si>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</si>
  <si>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</si>
  <si>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2024 and 2025 shareweights for onroad vehicle types copied/pasted from the Python solver outputs, explained on the About page</t>
  </si>
  <si>
    <t>s-curve</t>
  </si>
  <si>
    <t>Sigmoidal Curve Values for battery electric/PHEV passenger HDV and freight LDV Technologies</t>
  </si>
  <si>
    <t>Sigmoidal Curve Values for battery electric freight HDV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</si>
</sst>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15" applyNumberFormat="0" applyAlignment="0" applyProtection="0"/>
    <xf numFmtId="0" fontId="17" fillId="8" borderId="16" applyNumberFormat="0" applyAlignment="0" applyProtection="0"/>
    <xf numFmtId="0" fontId="18" fillId="8" borderId="15" applyNumberFormat="0" applyAlignment="0" applyProtection="0"/>
    <xf numFmtId="0" fontId="19" fillId="0" borderId="17" applyNumberFormat="0" applyFill="0" applyAlignment="0" applyProtection="0"/>
    <xf numFmtId="0" fontId="20" fillId="9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5" fillId="0" borderId="0"/>
    <xf numFmtId="43" fontId="26" fillId="0" borderId="0" applyFont="0" applyFill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7" fillId="0" borderId="0"/>
    <xf numFmtId="0" fontId="7" fillId="10" borderId="19" applyNumberFormat="0" applyFont="0" applyAlignment="0" applyProtection="0"/>
    <xf numFmtId="0" fontId="6" fillId="0" borderId="0" applyNumberForma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9" fillId="0" borderId="0"/>
    <xf numFmtId="0" fontId="7" fillId="0" borderId="0"/>
    <xf numFmtId="0" fontId="7" fillId="0" borderId="0"/>
    <xf numFmtId="0" fontId="30" fillId="0" borderId="0"/>
    <xf numFmtId="9" fontId="30" fillId="0" borderId="0" applyFont="0" applyFill="0" applyBorder="0" applyAlignment="0" applyProtection="0"/>
    <xf numFmtId="0" fontId="26" fillId="0" borderId="0"/>
    <xf numFmtId="0" fontId="27" fillId="0" borderId="0"/>
    <xf numFmtId="43" fontId="27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30" fillId="0" borderId="0"/>
    <xf numFmtId="0" fontId="31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3" fillId="0" borderId="0"/>
    <xf numFmtId="9" fontId="33" fillId="0" borderId="0" applyFont="0" applyFill="0" applyBorder="0" applyAlignment="0" applyProtection="0"/>
    <xf numFmtId="0" fontId="7" fillId="0" borderId="0"/>
    <xf numFmtId="0" fontId="30" fillId="0" borderId="0"/>
    <xf numFmtId="9" fontId="7" fillId="0" borderId="0" applyFont="0" applyFill="0" applyBorder="0" applyAlignment="0" applyProtection="0"/>
    <xf numFmtId="0" fontId="34" fillId="0" borderId="0"/>
    <xf numFmtId="0" fontId="24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2" borderId="0" xfId="0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10" fontId="0" fillId="0" borderId="0" xfId="0" applyNumberFormat="1"/>
    <xf numFmtId="0" fontId="6" fillId="0" borderId="0" xfId="8" applyAlignment="1"/>
    <xf numFmtId="9" fontId="0" fillId="0" borderId="0" xfId="10" applyFont="1"/>
    <xf numFmtId="164" fontId="5" fillId="0" borderId="0" xfId="0" applyNumberFormat="1" applyFont="1"/>
    <xf numFmtId="166" fontId="0" fillId="0" borderId="0" xfId="0" applyNumberFormat="1"/>
    <xf numFmtId="0" fontId="0" fillId="0" borderId="0" xfId="0" applyAlignment="1">
      <alignment wrapText="1"/>
    </xf>
    <xf numFmtId="0" fontId="1" fillId="35" borderId="0" xfId="0" applyFont="1" applyFill="1" applyAlignment="1">
      <alignment horizontal="center" wrapText="1"/>
    </xf>
    <xf numFmtId="0" fontId="0" fillId="35" borderId="0" xfId="0" applyFill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Data!$I$17:$AI$17</c:f>
              <c:numCache>
                <c:formatCode>General</c:formatCode>
                <c:ptCount val="27"/>
                <c:pt idx="0" formatCode="0.0000">
                  <c:v>0.139546683447</c:v>
                </c:pt>
                <c:pt idx="1">
                  <c:v>6.2019274287835199E-2</c:v>
                </c:pt>
                <c:pt idx="2">
                  <c:v>0.14191438128525985</c:v>
                </c:pt>
                <c:pt idx="3">
                  <c:v>0.14301211999875416</c:v>
                </c:pt>
                <c:pt idx="4">
                  <c:v>0.14457474879671367</c:v>
                </c:pt>
                <c:pt idx="5">
                  <c:v>0.14675289542604564</c:v>
                </c:pt>
                <c:pt idx="6">
                  <c:v>0.149701729185583</c:v>
                </c:pt>
                <c:pt idx="7">
                  <c:v>0.15354012798430811</c:v>
                </c:pt>
                <c:pt idx="8">
                  <c:v>0.15828875427890052</c:v>
                </c:pt>
                <c:pt idx="9">
                  <c:v>0.16380734536684707</c:v>
                </c:pt>
                <c:pt idx="10">
                  <c:v>0.1697733417235</c:v>
                </c:pt>
                <c:pt idx="11">
                  <c:v>0.17573933808015293</c:v>
                </c:pt>
                <c:pt idx="12">
                  <c:v>0.18125792916809949</c:v>
                </c:pt>
                <c:pt idx="13">
                  <c:v>0.1860065554626919</c:v>
                </c:pt>
                <c:pt idx="14">
                  <c:v>0.18984495426141701</c:v>
                </c:pt>
                <c:pt idx="15">
                  <c:v>0.19279378802095437</c:v>
                </c:pt>
                <c:pt idx="16">
                  <c:v>0.19497193465028634</c:v>
                </c:pt>
                <c:pt idx="17">
                  <c:v>0.19653456344824585</c:v>
                </c:pt>
                <c:pt idx="18">
                  <c:v>0.19763230216174016</c:v>
                </c:pt>
                <c:pt idx="19">
                  <c:v>0.19839212352793961</c:v>
                </c:pt>
                <c:pt idx="20">
                  <c:v>0.19891267395557297</c:v>
                </c:pt>
                <c:pt idx="21">
                  <c:v>0.1992667958806032</c:v>
                </c:pt>
                <c:pt idx="22">
                  <c:v>0.19950654550219166</c:v>
                </c:pt>
                <c:pt idx="23">
                  <c:v>0.19966833503592715</c:v>
                </c:pt>
                <c:pt idx="24">
                  <c:v>0.19977727547910223</c:v>
                </c:pt>
                <c:pt idx="25">
                  <c:v>0.19985052172959569</c:v>
                </c:pt>
                <c:pt idx="26">
                  <c:v>0.19989971997320177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5C-4075-B5DD-84C402E7B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8187728"/>
        <c:axId val="668186768"/>
      </c:lineChart>
      <c:catAx>
        <c:axId val="6681877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186768"/>
        <c:crosses val="autoZero"/>
        <c:auto val="1"/>
        <c:lblAlgn val="ctr"/>
        <c:lblOffset val="100"/>
        <c:noMultiLvlLbl val="0"/>
      </c:catAx>
      <c:valAx>
        <c:axId val="66818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187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409575</xdr:colOff>
      <xdr:row>26</xdr:row>
      <xdr:rowOff>74612</xdr:rowOff>
    </xdr:from>
    <xdr:to>
      <xdr:col>15</xdr:col>
      <xdr:colOff>377825</xdr:colOff>
      <xdr:row>41</xdr:row>
      <xdr:rowOff>77787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014761-5676-B4FA-B42B-342FE5A0C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1"/>
  <sheetViews>
    <sheetView workbookViewId="0">
      <selection activeCell="A24" sqref="A24:XFD28"/>
    </sheetView>
  </sheetViews>
  <sheetFormatPr defaultColWidth="9.08984375" defaultRowHeight="14.5" x14ac:dyDescent="0.35"/>
  <cols>
    <col min="2" max="2" width="63.453125" customWidth="1"/>
  </cols>
  <sheetData>
    <row r="1" spans="1:2" x14ac:dyDescent="0.35">
      <c r="A1" s="1" t="s">
        <v>74</v>
      </c>
    </row>
    <row r="3" spans="1:2" x14ac:dyDescent="0.35">
      <c r="A3" s="1" t="s">
        <v>0</v>
      </c>
      <c r="B3" s="9" t="s">
        <v>215</v>
      </c>
    </row>
    <row r="4" spans="1:2" x14ac:dyDescent="0.35">
      <c r="A4" s="1"/>
      <c r="B4" t="s">
        <v>216</v>
      </c>
    </row>
    <row r="5" spans="1:2" x14ac:dyDescent="0.35">
      <c r="A5" s="1"/>
      <c r="B5" t="s">
        <v>217</v>
      </c>
    </row>
    <row r="6" spans="1:2" x14ac:dyDescent="0.35">
      <c r="A6" s="1"/>
      <c r="B6" t="s">
        <v>218</v>
      </c>
    </row>
    <row r="7" spans="1:2" x14ac:dyDescent="0.35">
      <c r="A7" s="1"/>
      <c r="B7" t="s">
        <v>219</v>
      </c>
    </row>
    <row r="9" spans="1:2" x14ac:dyDescent="0.35">
      <c r="A9" s="1" t="s">
        <v>6</v>
      </c>
    </row>
    <row r="10" spans="1:2" x14ac:dyDescent="0.35">
      <c r="A10" t="s">
        <v>75</v>
      </c>
    </row>
    <row r="11" spans="1:2" x14ac:dyDescent="0.35">
      <c r="A11" t="s">
        <v>76</v>
      </c>
    </row>
    <row r="12" spans="1:2" x14ac:dyDescent="0.35">
      <c r="A12" t="s">
        <v>220</v>
      </c>
    </row>
    <row r="13" spans="1:2" x14ac:dyDescent="0.35">
      <c r="A13" s="24" t="s">
        <v>77</v>
      </c>
    </row>
    <row r="14" spans="1:2" x14ac:dyDescent="0.35">
      <c r="A14" s="1"/>
    </row>
    <row r="15" spans="1:2" x14ac:dyDescent="0.35">
      <c r="A15" t="s">
        <v>7</v>
      </c>
    </row>
    <row r="16" spans="1:2" x14ac:dyDescent="0.35">
      <c r="A16" t="s">
        <v>8</v>
      </c>
    </row>
    <row r="18" spans="1:2" x14ac:dyDescent="0.35">
      <c r="A18" t="s">
        <v>235</v>
      </c>
    </row>
    <row r="19" spans="1:2" x14ac:dyDescent="0.35">
      <c r="A19" t="s">
        <v>236</v>
      </c>
    </row>
    <row r="20" spans="1:2" x14ac:dyDescent="0.35">
      <c r="A20" t="s">
        <v>237</v>
      </c>
    </row>
    <row r="21" spans="1:2" x14ac:dyDescent="0.35">
      <c r="A21" t="s">
        <v>238</v>
      </c>
    </row>
    <row r="22" spans="1:2" x14ac:dyDescent="0.35">
      <c r="A22" t="s">
        <v>239</v>
      </c>
    </row>
    <row r="23" spans="1:2" x14ac:dyDescent="0.35">
      <c r="A23" t="s">
        <v>240</v>
      </c>
    </row>
    <row r="25" spans="1:2" x14ac:dyDescent="0.35">
      <c r="A25" s="9" t="s">
        <v>22</v>
      </c>
      <c r="B25" s="10"/>
    </row>
    <row r="27" spans="1:2" x14ac:dyDescent="0.35">
      <c r="B27" s="1" t="s">
        <v>221</v>
      </c>
    </row>
    <row r="28" spans="1:2" x14ac:dyDescent="0.35">
      <c r="B28" t="s">
        <v>222</v>
      </c>
    </row>
    <row r="29" spans="1:2" x14ac:dyDescent="0.35">
      <c r="B29" t="s">
        <v>223</v>
      </c>
    </row>
    <row r="30" spans="1:2" x14ac:dyDescent="0.35">
      <c r="B30" t="s">
        <v>224</v>
      </c>
    </row>
    <row r="31" spans="1:2" x14ac:dyDescent="0.35">
      <c r="B31" t="s">
        <v>225</v>
      </c>
    </row>
    <row r="32" spans="1:2" x14ac:dyDescent="0.35">
      <c r="B32" t="s">
        <v>226</v>
      </c>
    </row>
    <row r="33" spans="2:2" x14ac:dyDescent="0.35">
      <c r="B33" t="s">
        <v>227</v>
      </c>
    </row>
    <row r="34" spans="2:2" x14ac:dyDescent="0.35">
      <c r="B34" t="s">
        <v>228</v>
      </c>
    </row>
    <row r="35" spans="2:2" x14ac:dyDescent="0.35">
      <c r="B35" t="s">
        <v>231</v>
      </c>
    </row>
    <row r="36" spans="2:2" x14ac:dyDescent="0.35">
      <c r="B36" t="s">
        <v>229</v>
      </c>
    </row>
    <row r="37" spans="2:2" x14ac:dyDescent="0.35">
      <c r="B37" t="s">
        <v>232</v>
      </c>
    </row>
    <row r="38" spans="2:2" x14ac:dyDescent="0.35">
      <c r="B38" t="s">
        <v>230</v>
      </c>
    </row>
    <row r="39" spans="2:2" x14ac:dyDescent="0.35">
      <c r="B39" t="s">
        <v>233</v>
      </c>
    </row>
    <row r="40" spans="2:2" x14ac:dyDescent="0.35">
      <c r="B40" t="s">
        <v>234</v>
      </c>
    </row>
    <row r="45" spans="2:2" x14ac:dyDescent="0.35">
      <c r="B45" s="1"/>
    </row>
    <row r="51" spans="2:2" x14ac:dyDescent="0.35">
      <c r="B51" s="1"/>
    </row>
  </sheetData>
  <hyperlinks>
    <hyperlink ref="A13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4.5" x14ac:dyDescent="0.35"/>
  <cols>
    <col min="1" max="1" width="16.81640625" customWidth="1"/>
    <col min="2" max="2" width="24.54296875" customWidth="1"/>
    <col min="3" max="3" width="20.81640625" customWidth="1"/>
    <col min="4" max="4" width="18.26953125" customWidth="1"/>
    <col min="5" max="5" width="17.08984375" customWidth="1"/>
    <col min="6" max="8" width="23.26953125" customWidth="1"/>
    <col min="10" max="10" width="14.36328125" bestFit="1" customWidth="1"/>
  </cols>
  <sheetData>
    <row r="1" spans="1:10" x14ac:dyDescent="0.35">
      <c r="A1" t="s">
        <v>36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33</v>
      </c>
      <c r="H1" t="s">
        <v>34</v>
      </c>
    </row>
    <row r="2" spans="1:10" x14ac:dyDescent="0.35">
      <c r="A2" t="s">
        <v>12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35">
      <c r="A3" t="s">
        <v>13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9"/>
    </row>
    <row r="4" spans="1:10" x14ac:dyDescent="0.35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35">
      <c r="A5" t="s">
        <v>15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35">
      <c r="A6" t="s">
        <v>16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35">
      <c r="A7" t="s">
        <v>17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3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838DD-2A40-4094-BDED-2341A398F388}">
  <dimension ref="A1:AD6"/>
  <sheetViews>
    <sheetView workbookViewId="0">
      <selection activeCell="B7" sqref="B7"/>
    </sheetView>
  </sheetViews>
  <sheetFormatPr defaultRowHeight="14.5" x14ac:dyDescent="0.35"/>
  <cols>
    <col min="1" max="1" width="33.1796875" customWidth="1"/>
    <col min="2" max="2" width="10.81640625" bestFit="1" customWidth="1"/>
  </cols>
  <sheetData>
    <row r="1" spans="1:30" x14ac:dyDescent="0.35"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30" x14ac:dyDescent="0.35">
      <c r="A2" s="1" t="s">
        <v>211</v>
      </c>
      <c r="B2" s="3">
        <f>'AEO Table 38'!F64*1000</f>
        <v>15153429.688000001</v>
      </c>
      <c r="C2" s="3">
        <f>'AEO Table 38'!G64*1000</f>
        <v>15455872.07</v>
      </c>
      <c r="D2" s="3">
        <f>'AEO Table 38'!H64*1000</f>
        <v>16087580.078000002</v>
      </c>
      <c r="E2" s="3">
        <f>'AEO Table 38'!I64*1000</f>
        <v>16167304.688000001</v>
      </c>
      <c r="F2" s="3">
        <f>'AEO Table 38'!J64*1000</f>
        <v>15661874.023</v>
      </c>
      <c r="G2" s="3">
        <f>'AEO Table 38'!K64*1000</f>
        <v>15410783.203000002</v>
      </c>
      <c r="H2" s="3">
        <f>'AEO Table 38'!L64*1000</f>
        <v>15199616.211000001</v>
      </c>
      <c r="I2" s="3">
        <f>'AEO Table 38'!M64*1000</f>
        <v>14843441.405999999</v>
      </c>
      <c r="J2" s="3">
        <f>'AEO Table 38'!N64*1000</f>
        <v>14691375.977</v>
      </c>
      <c r="K2" s="3">
        <f>'AEO Table 38'!O64*1000</f>
        <v>14720266.602</v>
      </c>
      <c r="L2" s="3">
        <f>'AEO Table 38'!P64*1000</f>
        <v>14786203.125</v>
      </c>
      <c r="M2" s="3">
        <f>'AEO Table 38'!Q64*1000</f>
        <v>14774537.109000001</v>
      </c>
      <c r="N2" s="3">
        <f>'AEO Table 38'!R64*1000</f>
        <v>14758954.102</v>
      </c>
      <c r="O2" s="3">
        <f>'AEO Table 38'!S64*1000</f>
        <v>14749166.015999999</v>
      </c>
      <c r="P2" s="3">
        <f>'AEO Table 38'!T64*1000</f>
        <v>14787875.977</v>
      </c>
      <c r="Q2" s="3">
        <f>'AEO Table 38'!U64*1000</f>
        <v>14847477.538999999</v>
      </c>
      <c r="R2" s="3">
        <f>'AEO Table 38'!V64*1000</f>
        <v>14856637.695</v>
      </c>
      <c r="S2" s="3">
        <f>'AEO Table 38'!W64*1000</f>
        <v>14802121.094000001</v>
      </c>
      <c r="T2" s="3">
        <f>'AEO Table 38'!X64*1000</f>
        <v>14746281.25</v>
      </c>
      <c r="U2" s="3">
        <f>'AEO Table 38'!Y64*1000</f>
        <v>14671773.438000001</v>
      </c>
      <c r="V2" s="3">
        <f>'AEO Table 38'!Z64*1000</f>
        <v>14624125</v>
      </c>
      <c r="W2" s="3">
        <f>'AEO Table 38'!AA64*1000</f>
        <v>14588690.43</v>
      </c>
      <c r="X2" s="3">
        <f>'AEO Table 38'!AB64*1000</f>
        <v>14512471.68</v>
      </c>
      <c r="Y2" s="3">
        <f>'AEO Table 38'!AC64*1000</f>
        <v>14438543.945</v>
      </c>
      <c r="Z2" s="3">
        <f>'AEO Table 38'!AD64*1000</f>
        <v>14303833.007999999</v>
      </c>
      <c r="AA2" s="3">
        <f>'AEO Table 38'!AE64*1000</f>
        <v>14195256.836000001</v>
      </c>
      <c r="AB2" s="3">
        <f>'AEO Table 38'!AF64*1000</f>
        <v>14124661.132999999</v>
      </c>
      <c r="AC2" s="3"/>
      <c r="AD2" s="3"/>
    </row>
    <row r="4" spans="1:30" ht="43.5" x14ac:dyDescent="0.35">
      <c r="A4" s="1" t="s">
        <v>212</v>
      </c>
      <c r="B4" s="28" t="s">
        <v>213</v>
      </c>
      <c r="C4" s="28" t="s">
        <v>214</v>
      </c>
    </row>
    <row r="5" spans="1:30" x14ac:dyDescent="0.35">
      <c r="A5">
        <v>2025</v>
      </c>
      <c r="B5">
        <f>1.5*10^6</f>
        <v>1500000</v>
      </c>
      <c r="C5" s="25">
        <f>B5/B2</f>
        <v>9.8987491999111582E-2</v>
      </c>
    </row>
    <row r="6" spans="1:30" x14ac:dyDescent="0.35">
      <c r="A6">
        <v>2035</v>
      </c>
      <c r="B6">
        <f>6*10^6</f>
        <v>6000000</v>
      </c>
      <c r="C6" s="25">
        <f>B6/M2</f>
        <v>0.40610409353163845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7E7F1-7350-46C1-9BF2-2656C5A026AD}">
  <dimension ref="A1:AG67"/>
  <sheetViews>
    <sheetView topLeftCell="A40" workbookViewId="0">
      <selection activeCell="C11" sqref="C11"/>
    </sheetView>
  </sheetViews>
  <sheetFormatPr defaultRowHeight="14.5" x14ac:dyDescent="0.35"/>
  <cols>
    <col min="1" max="1" width="31.36328125" customWidth="1"/>
  </cols>
  <sheetData>
    <row r="1" spans="1:33" x14ac:dyDescent="0.35">
      <c r="A1" t="s">
        <v>86</v>
      </c>
    </row>
    <row r="2" spans="1:33" x14ac:dyDescent="0.35">
      <c r="A2" t="s">
        <v>87</v>
      </c>
    </row>
    <row r="3" spans="1:33" x14ac:dyDescent="0.35">
      <c r="A3" t="s">
        <v>88</v>
      </c>
    </row>
    <row r="4" spans="1:33" x14ac:dyDescent="0.35">
      <c r="A4" t="s">
        <v>40</v>
      </c>
    </row>
    <row r="5" spans="1:33" x14ac:dyDescent="0.35">
      <c r="B5" t="s">
        <v>41</v>
      </c>
      <c r="C5" t="s">
        <v>42</v>
      </c>
      <c r="D5" t="s">
        <v>43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85</v>
      </c>
    </row>
    <row r="6" spans="1:33" x14ac:dyDescent="0.35">
      <c r="A6" t="s">
        <v>89</v>
      </c>
    </row>
    <row r="7" spans="1:33" x14ac:dyDescent="0.35">
      <c r="A7" t="s">
        <v>44</v>
      </c>
    </row>
    <row r="8" spans="1:33" x14ac:dyDescent="0.35">
      <c r="A8" t="s">
        <v>45</v>
      </c>
      <c r="B8" t="s">
        <v>90</v>
      </c>
      <c r="C8" t="s">
        <v>91</v>
      </c>
      <c r="D8" t="s">
        <v>46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23">
        <v>-2.8000000000000001E-2</v>
      </c>
    </row>
    <row r="9" spans="1:33" x14ac:dyDescent="0.35">
      <c r="A9" t="s">
        <v>47</v>
      </c>
      <c r="B9" t="s">
        <v>92</v>
      </c>
      <c r="C9" t="s">
        <v>93</v>
      </c>
      <c r="D9" t="s">
        <v>46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21</v>
      </c>
    </row>
    <row r="10" spans="1:33" x14ac:dyDescent="0.35">
      <c r="A10" t="s">
        <v>48</v>
      </c>
      <c r="B10" t="s">
        <v>94</v>
      </c>
      <c r="C10" t="s">
        <v>95</v>
      </c>
      <c r="D10" t="s">
        <v>46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23">
        <v>-2.8000000000000001E-2</v>
      </c>
    </row>
    <row r="11" spans="1:33" x14ac:dyDescent="0.35">
      <c r="A11" t="s">
        <v>49</v>
      </c>
    </row>
    <row r="12" spans="1:33" x14ac:dyDescent="0.35">
      <c r="A12" t="s">
        <v>50</v>
      </c>
      <c r="B12" t="s">
        <v>96</v>
      </c>
      <c r="C12" t="s">
        <v>97</v>
      </c>
      <c r="D12" t="s">
        <v>46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23">
        <v>-4.5999999999999999E-2</v>
      </c>
    </row>
    <row r="13" spans="1:33" x14ac:dyDescent="0.35">
      <c r="A13" t="s">
        <v>84</v>
      </c>
      <c r="B13" t="s">
        <v>98</v>
      </c>
      <c r="C13" t="s">
        <v>99</v>
      </c>
      <c r="D13" t="s">
        <v>46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23">
        <v>1.0999999999999999E-2</v>
      </c>
    </row>
    <row r="14" spans="1:33" x14ac:dyDescent="0.35">
      <c r="A14" t="s">
        <v>83</v>
      </c>
      <c r="B14" t="s">
        <v>100</v>
      </c>
      <c r="C14" t="s">
        <v>101</v>
      </c>
      <c r="D14" t="s">
        <v>46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23">
        <v>7.0999999999999994E-2</v>
      </c>
    </row>
    <row r="15" spans="1:33" x14ac:dyDescent="0.35">
      <c r="A15" t="s">
        <v>82</v>
      </c>
      <c r="B15" t="s">
        <v>102</v>
      </c>
      <c r="C15" t="s">
        <v>103</v>
      </c>
      <c r="D15" t="s">
        <v>46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23">
        <v>2.5000000000000001E-2</v>
      </c>
    </row>
    <row r="16" spans="1:33" x14ac:dyDescent="0.35">
      <c r="A16" t="s">
        <v>81</v>
      </c>
      <c r="B16" t="s">
        <v>104</v>
      </c>
      <c r="C16" t="s">
        <v>105</v>
      </c>
      <c r="D16" t="s">
        <v>46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23">
        <v>2.3E-2</v>
      </c>
    </row>
    <row r="17" spans="1:33" x14ac:dyDescent="0.35">
      <c r="A17" t="s">
        <v>80</v>
      </c>
      <c r="B17" t="s">
        <v>106</v>
      </c>
      <c r="C17" t="s">
        <v>107</v>
      </c>
      <c r="D17" t="s">
        <v>46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23">
        <v>0.03</v>
      </c>
    </row>
    <row r="18" spans="1:33" x14ac:dyDescent="0.35">
      <c r="A18" t="s">
        <v>51</v>
      </c>
      <c r="B18" t="s">
        <v>108</v>
      </c>
      <c r="C18" t="s">
        <v>109</v>
      </c>
      <c r="D18" t="s">
        <v>46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</v>
      </c>
    </row>
    <row r="19" spans="1:33" x14ac:dyDescent="0.35">
      <c r="A19" t="s">
        <v>52</v>
      </c>
      <c r="B19" t="s">
        <v>110</v>
      </c>
      <c r="C19" t="s">
        <v>111</v>
      </c>
      <c r="D19" t="s">
        <v>46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23">
        <v>1.7999999999999999E-2</v>
      </c>
    </row>
    <row r="20" spans="1:33" x14ac:dyDescent="0.35">
      <c r="A20" t="s">
        <v>53</v>
      </c>
      <c r="B20" t="s">
        <v>112</v>
      </c>
      <c r="C20" t="s">
        <v>113</v>
      </c>
      <c r="D20" t="s">
        <v>46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21</v>
      </c>
    </row>
    <row r="21" spans="1:33" x14ac:dyDescent="0.35">
      <c r="A21" t="s">
        <v>54</v>
      </c>
      <c r="B21" t="s">
        <v>114</v>
      </c>
      <c r="C21" t="s">
        <v>115</v>
      </c>
      <c r="D21" t="s">
        <v>46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21</v>
      </c>
    </row>
    <row r="22" spans="1:33" x14ac:dyDescent="0.35">
      <c r="A22" t="s">
        <v>55</v>
      </c>
      <c r="B22" t="s">
        <v>116</v>
      </c>
      <c r="C22" t="s">
        <v>117</v>
      </c>
      <c r="D22" t="s">
        <v>46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21</v>
      </c>
    </row>
    <row r="23" spans="1:33" x14ac:dyDescent="0.35">
      <c r="A23" t="s">
        <v>56</v>
      </c>
      <c r="B23" t="s">
        <v>116</v>
      </c>
      <c r="C23" t="s">
        <v>118</v>
      </c>
      <c r="D23" t="s">
        <v>46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21</v>
      </c>
    </row>
    <row r="24" spans="1:33" x14ac:dyDescent="0.35">
      <c r="A24" t="s">
        <v>57</v>
      </c>
      <c r="B24" t="s">
        <v>119</v>
      </c>
      <c r="C24" t="s">
        <v>120</v>
      </c>
      <c r="D24" t="s">
        <v>46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21</v>
      </c>
    </row>
    <row r="25" spans="1:33" x14ac:dyDescent="0.35">
      <c r="A25" t="s">
        <v>58</v>
      </c>
      <c r="B25" t="s">
        <v>121</v>
      </c>
      <c r="C25" t="s">
        <v>122</v>
      </c>
      <c r="D25" t="s">
        <v>46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23">
        <v>-3.7999999999999999E-2</v>
      </c>
    </row>
    <row r="26" spans="1:33" x14ac:dyDescent="0.35">
      <c r="A26" t="s">
        <v>59</v>
      </c>
      <c r="B26" t="s">
        <v>123</v>
      </c>
      <c r="C26" t="s">
        <v>124</v>
      </c>
      <c r="D26" t="s">
        <v>46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23">
        <v>3.1E-2</v>
      </c>
    </row>
    <row r="27" spans="1:33" x14ac:dyDescent="0.35">
      <c r="A27" t="s">
        <v>125</v>
      </c>
      <c r="B27" t="s">
        <v>126</v>
      </c>
      <c r="C27" t="s">
        <v>127</v>
      </c>
      <c r="D27" t="s">
        <v>128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23">
        <v>3.2000000000000001E-2</v>
      </c>
    </row>
    <row r="28" spans="1:33" x14ac:dyDescent="0.35">
      <c r="A28" t="s">
        <v>129</v>
      </c>
      <c r="B28" t="s">
        <v>130</v>
      </c>
      <c r="C28" t="s">
        <v>131</v>
      </c>
      <c r="D28" t="s">
        <v>46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23">
        <v>-1E-3</v>
      </c>
    </row>
    <row r="29" spans="1:33" x14ac:dyDescent="0.35">
      <c r="A29" t="s">
        <v>132</v>
      </c>
    </row>
    <row r="30" spans="1:33" x14ac:dyDescent="0.35">
      <c r="A30" t="s">
        <v>60</v>
      </c>
    </row>
    <row r="31" spans="1:33" x14ac:dyDescent="0.35">
      <c r="A31" t="s">
        <v>45</v>
      </c>
      <c r="B31" t="s">
        <v>133</v>
      </c>
      <c r="C31" t="s">
        <v>134</v>
      </c>
      <c r="D31" t="s">
        <v>46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23">
        <v>-1.7999999999999999E-2</v>
      </c>
    </row>
    <row r="32" spans="1:33" x14ac:dyDescent="0.35">
      <c r="A32" t="s">
        <v>47</v>
      </c>
      <c r="B32" t="s">
        <v>135</v>
      </c>
      <c r="C32" t="s">
        <v>136</v>
      </c>
      <c r="D32" t="s">
        <v>46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23">
        <v>-0.02</v>
      </c>
    </row>
    <row r="33" spans="1:33" x14ac:dyDescent="0.35">
      <c r="A33" t="s">
        <v>61</v>
      </c>
      <c r="B33" t="s">
        <v>137</v>
      </c>
      <c r="C33" t="s">
        <v>138</v>
      </c>
      <c r="D33" t="s">
        <v>46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23">
        <v>-1.7999999999999999E-2</v>
      </c>
    </row>
    <row r="34" spans="1:33" x14ac:dyDescent="0.35">
      <c r="A34" t="s">
        <v>62</v>
      </c>
    </row>
    <row r="35" spans="1:33" x14ac:dyDescent="0.35">
      <c r="A35" t="s">
        <v>50</v>
      </c>
      <c r="B35" t="s">
        <v>139</v>
      </c>
      <c r="C35" t="s">
        <v>140</v>
      </c>
      <c r="D35" t="s">
        <v>46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23">
        <v>-4.2999999999999997E-2</v>
      </c>
    </row>
    <row r="36" spans="1:33" x14ac:dyDescent="0.35">
      <c r="A36" t="s">
        <v>84</v>
      </c>
      <c r="B36" t="s">
        <v>141</v>
      </c>
      <c r="C36" t="s">
        <v>142</v>
      </c>
      <c r="D36" t="s">
        <v>46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21</v>
      </c>
    </row>
    <row r="37" spans="1:33" x14ac:dyDescent="0.35">
      <c r="A37" t="s">
        <v>83</v>
      </c>
      <c r="B37" t="s">
        <v>143</v>
      </c>
      <c r="C37" t="s">
        <v>144</v>
      </c>
      <c r="D37" t="s">
        <v>46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23">
        <v>6.0999999999999999E-2</v>
      </c>
    </row>
    <row r="38" spans="1:33" x14ac:dyDescent="0.35">
      <c r="A38" t="s">
        <v>82</v>
      </c>
      <c r="B38" t="s">
        <v>145</v>
      </c>
      <c r="C38" t="s">
        <v>146</v>
      </c>
      <c r="D38" t="s">
        <v>46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23">
        <v>5.8999999999999997E-2</v>
      </c>
    </row>
    <row r="39" spans="1:33" x14ac:dyDescent="0.35">
      <c r="A39" t="s">
        <v>81</v>
      </c>
      <c r="B39" t="s">
        <v>147</v>
      </c>
      <c r="C39" t="s">
        <v>148</v>
      </c>
      <c r="D39" t="s">
        <v>46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23">
        <v>2.7E-2</v>
      </c>
    </row>
    <row r="40" spans="1:33" x14ac:dyDescent="0.35">
      <c r="A40" t="s">
        <v>80</v>
      </c>
      <c r="B40" t="s">
        <v>149</v>
      </c>
      <c r="C40" t="s">
        <v>150</v>
      </c>
      <c r="D40" t="s">
        <v>46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23">
        <v>9.0999999999999998E-2</v>
      </c>
    </row>
    <row r="41" spans="1:33" x14ac:dyDescent="0.35">
      <c r="A41" t="s">
        <v>51</v>
      </c>
      <c r="B41" t="s">
        <v>151</v>
      </c>
      <c r="C41" t="s">
        <v>152</v>
      </c>
      <c r="D41" t="s">
        <v>46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</v>
      </c>
    </row>
    <row r="42" spans="1:33" x14ac:dyDescent="0.35">
      <c r="A42" t="s">
        <v>52</v>
      </c>
      <c r="B42" t="s">
        <v>153</v>
      </c>
      <c r="C42" t="s">
        <v>154</v>
      </c>
      <c r="D42" t="s">
        <v>46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23">
        <v>2.1000000000000001E-2</v>
      </c>
    </row>
    <row r="43" spans="1:33" x14ac:dyDescent="0.35">
      <c r="A43" t="s">
        <v>53</v>
      </c>
      <c r="B43" t="s">
        <v>155</v>
      </c>
      <c r="C43" t="s">
        <v>156</v>
      </c>
      <c r="D43" t="s">
        <v>46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21</v>
      </c>
    </row>
    <row r="44" spans="1:33" x14ac:dyDescent="0.35">
      <c r="A44" t="s">
        <v>54</v>
      </c>
      <c r="B44" t="s">
        <v>157</v>
      </c>
      <c r="C44" t="s">
        <v>158</v>
      </c>
      <c r="D44" t="s">
        <v>46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21</v>
      </c>
    </row>
    <row r="45" spans="1:33" x14ac:dyDescent="0.35">
      <c r="A45" t="s">
        <v>55</v>
      </c>
      <c r="B45" t="s">
        <v>159</v>
      </c>
      <c r="C45" t="s">
        <v>160</v>
      </c>
      <c r="D45" t="s">
        <v>46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21</v>
      </c>
    </row>
    <row r="46" spans="1:33" x14ac:dyDescent="0.35">
      <c r="A46" t="s">
        <v>56</v>
      </c>
      <c r="B46" t="s">
        <v>161</v>
      </c>
      <c r="C46" t="s">
        <v>162</v>
      </c>
      <c r="D46" t="s">
        <v>46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21</v>
      </c>
    </row>
    <row r="47" spans="1:33" x14ac:dyDescent="0.35">
      <c r="A47" t="s">
        <v>57</v>
      </c>
      <c r="B47" t="s">
        <v>163</v>
      </c>
      <c r="C47" t="s">
        <v>164</v>
      </c>
      <c r="D47" t="s">
        <v>46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21</v>
      </c>
    </row>
    <row r="48" spans="1:33" x14ac:dyDescent="0.35">
      <c r="A48" t="s">
        <v>58</v>
      </c>
      <c r="B48" t="s">
        <v>165</v>
      </c>
      <c r="C48" t="s">
        <v>166</v>
      </c>
      <c r="D48" t="s">
        <v>46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21</v>
      </c>
    </row>
    <row r="49" spans="1:33" x14ac:dyDescent="0.35">
      <c r="A49" t="s">
        <v>63</v>
      </c>
      <c r="B49" t="s">
        <v>167</v>
      </c>
      <c r="C49" t="s">
        <v>168</v>
      </c>
      <c r="D49" t="s">
        <v>46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23">
        <v>3.4000000000000002E-2</v>
      </c>
    </row>
    <row r="50" spans="1:33" x14ac:dyDescent="0.35">
      <c r="A50" t="s">
        <v>169</v>
      </c>
      <c r="B50" t="s">
        <v>170</v>
      </c>
      <c r="C50" t="s">
        <v>171</v>
      </c>
      <c r="D50" t="s">
        <v>128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23">
        <v>3.7999999999999999E-2</v>
      </c>
    </row>
    <row r="51" spans="1:33" x14ac:dyDescent="0.35">
      <c r="A51" t="s">
        <v>172</v>
      </c>
      <c r="B51" t="s">
        <v>173</v>
      </c>
      <c r="C51" t="s">
        <v>174</v>
      </c>
      <c r="D51" t="s">
        <v>46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23">
        <v>-4.0000000000000001E-3</v>
      </c>
    </row>
    <row r="52" spans="1:33" x14ac:dyDescent="0.35">
      <c r="A52" t="s">
        <v>175</v>
      </c>
      <c r="B52" t="s">
        <v>176</v>
      </c>
      <c r="C52" t="s">
        <v>177</v>
      </c>
      <c r="D52" t="s">
        <v>128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23">
        <v>3.5000000000000003E-2</v>
      </c>
    </row>
    <row r="53" spans="1:33" x14ac:dyDescent="0.35">
      <c r="A53" t="s">
        <v>178</v>
      </c>
      <c r="B53" t="s">
        <v>179</v>
      </c>
      <c r="C53" t="s">
        <v>180</v>
      </c>
      <c r="D53" t="s">
        <v>46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23">
        <v>3.2000000000000001E-2</v>
      </c>
    </row>
    <row r="54" spans="1:33" x14ac:dyDescent="0.35">
      <c r="A54" t="s">
        <v>181</v>
      </c>
      <c r="B54" t="s">
        <v>182</v>
      </c>
      <c r="C54" t="s">
        <v>183</v>
      </c>
      <c r="D54" t="s">
        <v>46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21</v>
      </c>
    </row>
    <row r="55" spans="1:33" x14ac:dyDescent="0.35">
      <c r="A55" t="s">
        <v>64</v>
      </c>
      <c r="B55" t="s">
        <v>65</v>
      </c>
    </row>
    <row r="56" spans="1:33" x14ac:dyDescent="0.35">
      <c r="A56" t="s">
        <v>66</v>
      </c>
      <c r="B56" t="s">
        <v>184</v>
      </c>
      <c r="C56" t="s">
        <v>185</v>
      </c>
      <c r="D56" t="s">
        <v>46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23">
        <v>-2.1999999999999999E-2</v>
      </c>
    </row>
    <row r="57" spans="1:33" x14ac:dyDescent="0.35">
      <c r="A57" t="s">
        <v>67</v>
      </c>
      <c r="B57" t="s">
        <v>186</v>
      </c>
      <c r="C57" t="s">
        <v>187</v>
      </c>
      <c r="D57" t="s">
        <v>46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23">
        <v>-0.02</v>
      </c>
    </row>
    <row r="58" spans="1:33" x14ac:dyDescent="0.35">
      <c r="A58" t="s">
        <v>68</v>
      </c>
      <c r="B58" t="s">
        <v>188</v>
      </c>
      <c r="C58" t="s">
        <v>189</v>
      </c>
      <c r="D58" t="s">
        <v>46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23">
        <v>-4.2999999999999997E-2</v>
      </c>
    </row>
    <row r="59" spans="1:33" x14ac:dyDescent="0.35">
      <c r="A59" t="s">
        <v>69</v>
      </c>
      <c r="B59" t="s">
        <v>190</v>
      </c>
      <c r="C59" t="s">
        <v>191</v>
      </c>
      <c r="D59" t="s">
        <v>46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23">
        <v>0.04</v>
      </c>
    </row>
    <row r="60" spans="1:33" x14ac:dyDescent="0.35">
      <c r="A60" t="s">
        <v>70</v>
      </c>
      <c r="B60" t="s">
        <v>192</v>
      </c>
      <c r="C60" t="s">
        <v>193</v>
      </c>
      <c r="D60" t="s">
        <v>46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23">
        <v>4.8000000000000001E-2</v>
      </c>
    </row>
    <row r="61" spans="1:33" x14ac:dyDescent="0.35">
      <c r="A61" t="s">
        <v>71</v>
      </c>
      <c r="B61" t="s">
        <v>194</v>
      </c>
      <c r="C61" t="s">
        <v>195</v>
      </c>
      <c r="D61" t="s">
        <v>46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23">
        <v>0.02</v>
      </c>
    </row>
    <row r="62" spans="1:33" x14ac:dyDescent="0.35">
      <c r="A62" t="s">
        <v>72</v>
      </c>
      <c r="B62" t="s">
        <v>196</v>
      </c>
      <c r="C62" t="s">
        <v>197</v>
      </c>
      <c r="D62" t="s">
        <v>46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21</v>
      </c>
    </row>
    <row r="63" spans="1:33" x14ac:dyDescent="0.35">
      <c r="A63" t="s">
        <v>73</v>
      </c>
      <c r="B63" t="s">
        <v>198</v>
      </c>
      <c r="C63" t="s">
        <v>199</v>
      </c>
      <c r="D63" t="s">
        <v>46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23">
        <v>-3.7999999999999999E-2</v>
      </c>
    </row>
    <row r="64" spans="1:33" x14ac:dyDescent="0.35">
      <c r="A64" t="s">
        <v>200</v>
      </c>
      <c r="B64" t="s">
        <v>201</v>
      </c>
      <c r="C64" t="s">
        <v>202</v>
      </c>
      <c r="D64" t="s">
        <v>46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23">
        <v>-3.0000000000000001E-3</v>
      </c>
    </row>
    <row r="65" spans="1:33" x14ac:dyDescent="0.35">
      <c r="A65" t="s">
        <v>203</v>
      </c>
      <c r="B65" t="s">
        <v>204</v>
      </c>
      <c r="C65" t="s">
        <v>205</v>
      </c>
      <c r="D65" t="s">
        <v>46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23">
        <v>-0.01</v>
      </c>
    </row>
    <row r="66" spans="1:33" x14ac:dyDescent="0.35">
      <c r="A66" t="s">
        <v>206</v>
      </c>
      <c r="B66" t="s">
        <v>207</v>
      </c>
      <c r="C66" t="s">
        <v>208</v>
      </c>
      <c r="D66" t="s">
        <v>46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23">
        <v>-1.9E-2</v>
      </c>
    </row>
    <row r="67" spans="1:33" x14ac:dyDescent="0.35">
      <c r="A67" t="s">
        <v>209</v>
      </c>
      <c r="B67" t="s">
        <v>210</v>
      </c>
      <c r="C67" t="s">
        <v>202</v>
      </c>
      <c r="D67" t="s">
        <v>46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23">
        <v>3.1E-2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93"/>
  <sheetViews>
    <sheetView tabSelected="1" workbookViewId="0">
      <selection activeCell="F18" sqref="F18"/>
    </sheetView>
  </sheetViews>
  <sheetFormatPr defaultColWidth="9.08984375" defaultRowHeight="14.5" x14ac:dyDescent="0.35"/>
  <cols>
    <col min="1" max="1" width="23.26953125" customWidth="1"/>
    <col min="2" max="2" width="18.81640625" customWidth="1"/>
    <col min="3" max="3" width="24.08984375" customWidth="1"/>
    <col min="4" max="4" width="14.7265625" customWidth="1"/>
    <col min="5" max="5" width="16.26953125" customWidth="1"/>
    <col min="6" max="6" width="18" style="5" customWidth="1"/>
    <col min="7" max="7" width="13.08984375" customWidth="1"/>
    <col min="8" max="9" width="9.08984375" customWidth="1"/>
    <col min="14" max="14" width="11.08984375" customWidth="1"/>
  </cols>
  <sheetData>
    <row r="1" spans="1:37" x14ac:dyDescent="0.35">
      <c r="A1" t="s">
        <v>27</v>
      </c>
      <c r="H1" s="11" t="s">
        <v>39</v>
      </c>
      <c r="I1" s="12"/>
      <c r="J1" s="13"/>
      <c r="K1" s="13"/>
      <c r="L1" s="13"/>
      <c r="N1" s="11" t="s">
        <v>38</v>
      </c>
      <c r="O1" s="12"/>
      <c r="P1" s="13"/>
      <c r="Q1" s="11" t="s">
        <v>244</v>
      </c>
      <c r="R1" s="12"/>
      <c r="T1" s="11" t="s">
        <v>79</v>
      </c>
      <c r="U1" s="12"/>
      <c r="W1" s="11" t="s">
        <v>243</v>
      </c>
      <c r="X1" s="12"/>
    </row>
    <row r="2" spans="1:37" x14ac:dyDescent="0.35">
      <c r="A2" t="s">
        <v>28</v>
      </c>
      <c r="H2" s="7" t="s">
        <v>23</v>
      </c>
      <c r="I2" s="14">
        <v>1</v>
      </c>
      <c r="N2" s="7" t="s">
        <v>23</v>
      </c>
      <c r="O2" s="14">
        <v>1</v>
      </c>
      <c r="Q2" s="7" t="s">
        <v>23</v>
      </c>
      <c r="R2" s="14">
        <v>1</v>
      </c>
      <c r="T2" s="7" t="s">
        <v>23</v>
      </c>
      <c r="U2" s="14">
        <v>1</v>
      </c>
      <c r="W2" s="7" t="s">
        <v>23</v>
      </c>
      <c r="X2" s="14">
        <v>1</v>
      </c>
    </row>
    <row r="3" spans="1:37" x14ac:dyDescent="0.35">
      <c r="A3" t="s">
        <v>29</v>
      </c>
      <c r="H3" s="7" t="s">
        <v>24</v>
      </c>
      <c r="I3" s="14">
        <v>-0.3</v>
      </c>
      <c r="N3" s="7" t="s">
        <v>24</v>
      </c>
      <c r="O3" s="14">
        <v>-0.4</v>
      </c>
      <c r="Q3" s="7" t="s">
        <v>24</v>
      </c>
      <c r="R3" s="14">
        <v>-0.4</v>
      </c>
      <c r="T3" s="7" t="s">
        <v>24</v>
      </c>
      <c r="U3" s="14">
        <v>-0.4</v>
      </c>
      <c r="W3" s="7" t="s">
        <v>24</v>
      </c>
      <c r="X3" s="14">
        <v>-0.4</v>
      </c>
    </row>
    <row r="4" spans="1:37" ht="15" thickBot="1" x14ac:dyDescent="0.4">
      <c r="A4" t="s">
        <v>30</v>
      </c>
      <c r="H4" s="8" t="s">
        <v>25</v>
      </c>
      <c r="I4" s="15">
        <v>-16</v>
      </c>
      <c r="N4" s="8" t="s">
        <v>25</v>
      </c>
      <c r="O4" s="15">
        <v>-11</v>
      </c>
      <c r="Q4" s="8" t="s">
        <v>25</v>
      </c>
      <c r="R4" s="15">
        <v>-11</v>
      </c>
      <c r="T4" s="8" t="s">
        <v>25</v>
      </c>
      <c r="U4" s="15">
        <v>-11</v>
      </c>
      <c r="W4" s="8" t="s">
        <v>25</v>
      </c>
      <c r="X4" s="15">
        <v>-11</v>
      </c>
    </row>
    <row r="5" spans="1:37" x14ac:dyDescent="0.35">
      <c r="A5" t="s">
        <v>31</v>
      </c>
    </row>
    <row r="6" spans="1:37" ht="29" x14ac:dyDescent="0.35">
      <c r="A6" s="9"/>
      <c r="B6" s="9"/>
      <c r="C6" s="9"/>
      <c r="D6" s="9"/>
      <c r="E6" s="2" t="s">
        <v>20</v>
      </c>
      <c r="F6" s="2" t="s">
        <v>20</v>
      </c>
      <c r="G6" s="2" t="s">
        <v>26</v>
      </c>
      <c r="N6" s="20"/>
      <c r="O6" s="17"/>
      <c r="R6" s="20"/>
    </row>
    <row r="7" spans="1:37" x14ac:dyDescent="0.35">
      <c r="A7" s="9"/>
      <c r="B7" s="9"/>
      <c r="C7" s="9" t="s">
        <v>78</v>
      </c>
      <c r="D7" s="9"/>
      <c r="E7" s="2">
        <v>2020</v>
      </c>
      <c r="F7" s="2">
        <v>2050</v>
      </c>
      <c r="G7" s="2"/>
      <c r="N7" s="20"/>
    </row>
    <row r="8" spans="1:37" ht="87" x14ac:dyDescent="0.35">
      <c r="A8" s="9"/>
      <c r="B8" s="9"/>
      <c r="C8" s="9"/>
      <c r="D8" s="29" t="s">
        <v>241</v>
      </c>
      <c r="E8" s="29"/>
      <c r="F8" s="22"/>
      <c r="G8" s="22" t="s">
        <v>37</v>
      </c>
    </row>
    <row r="9" spans="1:37" x14ac:dyDescent="0.35">
      <c r="A9" s="9" t="s">
        <v>9</v>
      </c>
      <c r="B9" s="9" t="s">
        <v>10</v>
      </c>
      <c r="C9" s="9" t="s">
        <v>11</v>
      </c>
      <c r="D9" s="9">
        <v>2024</v>
      </c>
      <c r="E9" s="9">
        <v>2025</v>
      </c>
      <c r="F9" s="9">
        <v>2050</v>
      </c>
      <c r="G9" s="4"/>
      <c r="I9" s="16">
        <v>2024</v>
      </c>
      <c r="J9" s="16">
        <f>E9</f>
        <v>2025</v>
      </c>
      <c r="K9" s="16">
        <f t="shared" ref="K9:AI9" si="0">J9+1</f>
        <v>2026</v>
      </c>
      <c r="L9" s="16">
        <f t="shared" si="0"/>
        <v>2027</v>
      </c>
      <c r="M9" s="16">
        <f t="shared" si="0"/>
        <v>2028</v>
      </c>
      <c r="N9" s="16">
        <f t="shared" si="0"/>
        <v>2029</v>
      </c>
      <c r="O9" s="16">
        <f t="shared" si="0"/>
        <v>2030</v>
      </c>
      <c r="P9" s="16">
        <f t="shared" si="0"/>
        <v>2031</v>
      </c>
      <c r="Q9" s="16">
        <f t="shared" si="0"/>
        <v>2032</v>
      </c>
      <c r="R9" s="16">
        <f t="shared" si="0"/>
        <v>2033</v>
      </c>
      <c r="S9" s="16">
        <f t="shared" si="0"/>
        <v>2034</v>
      </c>
      <c r="T9" s="16">
        <f t="shared" si="0"/>
        <v>2035</v>
      </c>
      <c r="U9" s="16">
        <f t="shared" si="0"/>
        <v>2036</v>
      </c>
      <c r="V9" s="16">
        <f t="shared" si="0"/>
        <v>2037</v>
      </c>
      <c r="W9" s="16">
        <f t="shared" si="0"/>
        <v>2038</v>
      </c>
      <c r="X9" s="16">
        <f t="shared" si="0"/>
        <v>2039</v>
      </c>
      <c r="Y9" s="16">
        <f t="shared" si="0"/>
        <v>2040</v>
      </c>
      <c r="Z9" s="16">
        <f t="shared" si="0"/>
        <v>2041</v>
      </c>
      <c r="AA9" s="16">
        <f t="shared" si="0"/>
        <v>2042</v>
      </c>
      <c r="AB9" s="16">
        <f t="shared" si="0"/>
        <v>2043</v>
      </c>
      <c r="AC9" s="16">
        <f t="shared" si="0"/>
        <v>2044</v>
      </c>
      <c r="AD9" s="16">
        <f t="shared" si="0"/>
        <v>2045</v>
      </c>
      <c r="AE9" s="16">
        <f t="shared" si="0"/>
        <v>2046</v>
      </c>
      <c r="AF9" s="16">
        <f t="shared" si="0"/>
        <v>2047</v>
      </c>
      <c r="AG9" s="16">
        <f t="shared" si="0"/>
        <v>2048</v>
      </c>
      <c r="AH9" s="16">
        <f t="shared" si="0"/>
        <v>2049</v>
      </c>
      <c r="AI9" s="16">
        <f t="shared" si="0"/>
        <v>2050</v>
      </c>
      <c r="AJ9" s="16"/>
      <c r="AK9" s="16"/>
    </row>
    <row r="10" spans="1:37" x14ac:dyDescent="0.35">
      <c r="A10" t="s">
        <v>12</v>
      </c>
      <c r="B10" t="s">
        <v>19</v>
      </c>
      <c r="C10" t="s">
        <v>1</v>
      </c>
      <c r="D10">
        <v>8.2556397301899995E-2</v>
      </c>
      <c r="E10" s="17">
        <v>6.6873740826300002E-2</v>
      </c>
      <c r="F10">
        <v>0.7</v>
      </c>
      <c r="G10" s="5" t="str">
        <f>IF(E10=F10,"n/a",IF(OR(C10="battery electric vehicle",C10="natural gas vehicle",C10="plugin hybrid vehicle"),"s-curve","linear"))</f>
        <v>s-curve</v>
      </c>
      <c r="I10">
        <f>D10</f>
        <v>8.2556397301899995E-2</v>
      </c>
      <c r="J10" s="17">
        <f>E10</f>
        <v>6.6873740826300002E-2</v>
      </c>
      <c r="K10">
        <f>IF($G10="s-curve",$E10+($F10-$E10)*$O$2/(1+EXP($O$3*(COUNT($K$9:K$9)+$O$4))),TREND($E10:$F10,$E$9:$F$9,K$9))</f>
        <v>7.826128265631177E-2</v>
      </c>
      <c r="L10">
        <f>IF($G10="s-curve",$E10+($F10-$E10)*$O$2/(1+EXP($O$3*(COUNT($K$9:L$9)+$O$4))),TREND($E10:$F10,$E$9:$F$9,L$9))</f>
        <v>8.3712995874888008E-2</v>
      </c>
      <c r="M10">
        <f>IF($G10="s-curve",$E10+($F10-$E10)*$O$2/(1+EXP($O$3*(COUNT($K$9:M$9)+$O$4))),TREND($E10:$F10,$E$9:$F$9,M$9))</f>
        <v>9.167058838844952E-2</v>
      </c>
      <c r="N10">
        <f>IF($G10="s-curve",$E10+($F10-$E10)*$O$2/(1+EXP($O$3*(COUNT($K$9:N$9)+$O$4))),TREND($E10:$F10,$E$9:$F$9,N$9))</f>
        <v>0.10316718187336593</v>
      </c>
      <c r="O10">
        <f>IF($G10="s-curve",$E10+($F10-$E10)*$O$2/(1+EXP($O$3*(COUNT($K$9:O$9)+$O$4))),TREND($E10:$F10,$E$9:$F$9,O$9))</f>
        <v>0.11953255902288656</v>
      </c>
      <c r="P10">
        <f>IF($G10="s-curve",$E10+($F10-$E10)*$O$2/(1+EXP($O$3*(COUNT($K$9:P$9)+$O$4))),TREND($E10:$F10,$E$9:$F$9,P$9))</f>
        <v>0.14234424092873754</v>
      </c>
      <c r="Q10">
        <f>IF($G10="s-curve",$E10+($F10-$E10)*$O$2/(1+EXP($O$3*(COUNT($K$9:Q$9)+$O$4))),TREND($E10:$F10,$E$9:$F$9,Q$9))</f>
        <v>0.17322731225641558</v>
      </c>
      <c r="R10">
        <f>IF($G10="s-curve",$E10+($F10-$E10)*$O$2/(1+EXP($O$3*(COUNT($K$9:R$9)+$O$4))),TREND($E10:$F10,$E$9:$F$9,R$9))</f>
        <v>0.21342677874098925</v>
      </c>
      <c r="S10">
        <f>IF($G10="s-curve",$E10+($F10-$E10)*$O$2/(1+EXP($O$3*(COUNT($K$9:S$9)+$O$4))),TREND($E10:$F10,$E$9:$F$9,S$9))</f>
        <v>0.26315903783836003</v>
      </c>
      <c r="T10">
        <f>IF($G10="s-curve",$E10+($F10-$E10)*$O$2/(1+EXP($O$3*(COUNT($K$9:T$9)+$O$4))),TREND($E10:$F10,$E$9:$F$9,T$9))</f>
        <v>0.32095512133954762</v>
      </c>
      <c r="U10">
        <f>IF($G10="s-curve",$E10+($F10-$E10)*$O$2/(1+EXP($O$3*(COUNT($K$9:U$9)+$O$4))),TREND($E10:$F10,$E$9:$F$9,U$9))</f>
        <v>0.38343687041314994</v>
      </c>
      <c r="V10">
        <f>IF($G10="s-curve",$E10+($F10-$E10)*$O$2/(1+EXP($O$3*(COUNT($K$9:V$9)+$O$4))),TREND($E10:$F10,$E$9:$F$9,V$9))</f>
        <v>0.44591861948675221</v>
      </c>
      <c r="W10">
        <f>IF($G10="s-curve",$E10+($F10-$E10)*$O$2/(1+EXP($O$3*(COUNT($K$9:W$9)+$O$4))),TREND($E10:$F10,$E$9:$F$9,W$9))</f>
        <v>0.50371470298793986</v>
      </c>
      <c r="X10">
        <f>IF($G10="s-curve",$E10+($F10-$E10)*$O$2/(1+EXP($O$3*(COUNT($K$9:X$9)+$O$4))),TREND($E10:$F10,$E$9:$F$9,X$9))</f>
        <v>0.55344696208531075</v>
      </c>
      <c r="Y10">
        <f>IF($G10="s-curve",$E10+($F10-$E10)*$O$2/(1+EXP($O$3*(COUNT($K$9:Y$9)+$O$4))),TREND($E10:$F10,$E$9:$F$9,Y$9))</f>
        <v>0.59364642856988437</v>
      </c>
      <c r="Z10">
        <f>IF($G10="s-curve",$E10+($F10-$E10)*$O$2/(1+EXP($O$3*(COUNT($K$9:Z$9)+$O$4))),TREND($E10:$F10,$E$9:$F$9,Z$9))</f>
        <v>0.62452949989756235</v>
      </c>
      <c r="AA10">
        <f>IF($G10="s-curve",$E10+($F10-$E10)*$O$2/(1+EXP($O$3*(COUNT($K$9:AA$9)+$O$4))),TREND($E10:$F10,$E$9:$F$9,AA$9))</f>
        <v>0.64734118180341338</v>
      </c>
      <c r="AB10">
        <f>IF($G10="s-curve",$E10+($F10-$E10)*$O$2/(1+EXP($O$3*(COUNT($K$9:AB$9)+$O$4))),TREND($E10:$F10,$E$9:$F$9,AB$9))</f>
        <v>0.66370655895293407</v>
      </c>
      <c r="AC10">
        <f>IF($G10="s-curve",$E10+($F10-$E10)*$O$2/(1+EXP($O$3*(COUNT($K$9:AC$9)+$O$4))),TREND($E10:$F10,$E$9:$F$9,AC$9))</f>
        <v>0.67520315243785045</v>
      </c>
      <c r="AD10">
        <f>IF($G10="s-curve",$E10+($F10-$E10)*$O$2/(1+EXP($O$3*(COUNT($K$9:AD$9)+$O$4))),TREND($E10:$F10,$E$9:$F$9,AD$9))</f>
        <v>0.68316074495141188</v>
      </c>
      <c r="AE10">
        <f>IF($G10="s-curve",$E10+($F10-$E10)*$O$2/(1+EXP($O$3*(COUNT($K$9:AE$9)+$O$4))),TREND($E10:$F10,$E$9:$F$9,AE$9))</f>
        <v>0.68861245816998817</v>
      </c>
      <c r="AF10">
        <f>IF($G10="s-curve",$E10+($F10-$E10)*$O$2/(1+EXP($O$3*(COUNT($K$9:AF$9)+$O$4))),TREND($E10:$F10,$E$9:$F$9,AF$9))</f>
        <v>0.69232116932877497</v>
      </c>
      <c r="AG10">
        <f>IF($G10="s-curve",$E10+($F10-$E10)*$O$2/(1+EXP($O$3*(COUNT($K$9:AG$9)+$O$4))),TREND($E10:$F10,$E$9:$F$9,AG$9))</f>
        <v>0.69483206186056068</v>
      </c>
      <c r="AH10">
        <f>IF($G10="s-curve",$E10+($F10-$E10)*$O$2/(1+EXP($O$3*(COUNT($K$9:AH$9)+$O$4))),TREND($E10:$F10,$E$9:$F$9,AH$9))</f>
        <v>0.69652648010108209</v>
      </c>
      <c r="AI10">
        <f>IF($G10="s-curve",$E10+($F10-$E10)*$O$2/(1+EXP($O$3*(COUNT($K$9:AI$9)+$O$4))),TREND($E10:$F10,$E$9:$F$9,AI$9))</f>
        <v>0.69766741097457163</v>
      </c>
    </row>
    <row r="11" spans="1:37" x14ac:dyDescent="0.35">
      <c r="C11" t="s">
        <v>2</v>
      </c>
      <c r="D11">
        <v>1.0005073039100001E-4</v>
      </c>
      <c r="E11" s="17">
        <v>9.1114481822700006E-5</v>
      </c>
      <c r="F11" s="17">
        <f>E11</f>
        <v>9.1114481822700006E-5</v>
      </c>
      <c r="G11" s="5" t="str">
        <f>IF(E11=F11,"n/a",IF(OR(C11="battery electric vehicle",C11="natural gas vehicle",C11="plugin hybrid vehicle"),"s-curve","linear"))</f>
        <v>n/a</v>
      </c>
      <c r="I11" s="17">
        <f t="shared" ref="I11:I40" si="1">E11</f>
        <v>9.1114481822700006E-5</v>
      </c>
      <c r="J11">
        <f>IF($G11="s-curve",$E11+($F11-$E11)*$I$2/(1+EXP($I$3*(COUNT($I$9:J$9)+$I$4))),TREND($E11:$F11,$E$9:$F$9,J$9))</f>
        <v>9.1114481822700006E-5</v>
      </c>
      <c r="K11">
        <f>IF($G11="s-curve",$E11+($F11-$E11)*$I$2/(1+EXP($I$3*(COUNT($I$9:K$9)+$I$4))),TREND($E11:$F11,$E$9:$F$9,K$9))</f>
        <v>9.1114481822700006E-5</v>
      </c>
      <c r="L11">
        <f>IF($G11="s-curve",$E11+($F11-$E11)*$I$2/(1+EXP($I$3*(COUNT($I$9:L$9)+$I$4))),TREND($E11:$F11,$E$9:$F$9,L$9))</f>
        <v>9.1114481822700006E-5</v>
      </c>
      <c r="M11">
        <f>IF($G11="s-curve",$E11+($F11-$E11)*$I$2/(1+EXP($I$3*(COUNT($I$9:M$9)+$I$4))),TREND($E11:$F11,$E$9:$F$9,M$9))</f>
        <v>9.1114481822700006E-5</v>
      </c>
      <c r="N11">
        <f>IF($G11="s-curve",$E11+($F11-$E11)*$I$2/(1+EXP($I$3*(COUNT($I$9:N$9)+$I$4))),TREND($E11:$F11,$E$9:$F$9,N$9))</f>
        <v>9.1114481822700006E-5</v>
      </c>
      <c r="O11">
        <f>IF($G11="s-curve",$E11+($F11-$E11)*$I$2/(1+EXP($I$3*(COUNT($I$9:O$9)+$I$4))),TREND($E11:$F11,$E$9:$F$9,O$9))</f>
        <v>9.1114481822700006E-5</v>
      </c>
      <c r="P11">
        <f>IF($G11="s-curve",$E11+($F11-$E11)*$I$2/(1+EXP($I$3*(COUNT($I$9:P$9)+$I$4))),TREND($E11:$F11,$E$9:$F$9,P$9))</f>
        <v>9.1114481822700006E-5</v>
      </c>
      <c r="Q11">
        <f>IF($G11="s-curve",$E11+($F11-$E11)*$I$2/(1+EXP($I$3*(COUNT($I$9:Q$9)+$I$4))),TREND($E11:$F11,$E$9:$F$9,Q$9))</f>
        <v>9.1114481822700006E-5</v>
      </c>
      <c r="R11">
        <f>IF($G11="s-curve",$E11+($F11-$E11)*$I$2/(1+EXP($I$3*(COUNT($I$9:R$9)+$I$4))),TREND($E11:$F11,$E$9:$F$9,R$9))</f>
        <v>9.1114481822700006E-5</v>
      </c>
      <c r="S11">
        <f>IF($G11="s-curve",$E11+($F11-$E11)*$I$2/(1+EXP($I$3*(COUNT($I$9:S$9)+$I$4))),TREND($E11:$F11,$E$9:$F$9,S$9))</f>
        <v>9.1114481822700006E-5</v>
      </c>
      <c r="T11">
        <f>IF($G11="s-curve",$E11+($F11-$E11)*$I$2/(1+EXP($I$3*(COUNT($I$9:T$9)+$I$4))),TREND($E11:$F11,$E$9:$F$9,T$9))</f>
        <v>9.1114481822700006E-5</v>
      </c>
      <c r="U11">
        <f>IF($G11="s-curve",$E11+($F11-$E11)*$I$2/(1+EXP($I$3*(COUNT($I$9:U$9)+$I$4))),TREND($E11:$F11,$E$9:$F$9,U$9))</f>
        <v>9.1114481822700006E-5</v>
      </c>
      <c r="V11">
        <f>IF($G11="s-curve",$E11+($F11-$E11)*$I$2/(1+EXP($I$3*(COUNT($I$9:V$9)+$I$4))),TREND($E11:$F11,$E$9:$F$9,V$9))</f>
        <v>9.1114481822700006E-5</v>
      </c>
      <c r="W11">
        <f>IF($G11="s-curve",$E11+($F11-$E11)*$I$2/(1+EXP($I$3*(COUNT($I$9:W$9)+$I$4))),TREND($E11:$F11,$E$9:$F$9,W$9))</f>
        <v>9.1114481822700006E-5</v>
      </c>
      <c r="X11">
        <f>IF($G11="s-curve",$E11+($F11-$E11)*$I$2/(1+EXP($I$3*(COUNT($I$9:X$9)+$I$4))),TREND($E11:$F11,$E$9:$F$9,X$9))</f>
        <v>9.1114481822700006E-5</v>
      </c>
      <c r="Y11">
        <f>IF($G11="s-curve",$E11+($F11-$E11)*$I$2/(1+EXP($I$3*(COUNT($I$9:Y$9)+$I$4))),TREND($E11:$F11,$E$9:$F$9,Y$9))</f>
        <v>9.1114481822700006E-5</v>
      </c>
      <c r="Z11">
        <f>IF($G11="s-curve",$E11+($F11-$E11)*$I$2/(1+EXP($I$3*(COUNT($I$9:Z$9)+$I$4))),TREND($E11:$F11,$E$9:$F$9,Z$9))</f>
        <v>9.1114481822700006E-5</v>
      </c>
      <c r="AA11">
        <f>IF($G11="s-curve",$E11+($F11-$E11)*$I$2/(1+EXP($I$3*(COUNT($I$9:AA$9)+$I$4))),TREND($E11:$F11,$E$9:$F$9,AA$9))</f>
        <v>9.1114481822700006E-5</v>
      </c>
      <c r="AB11">
        <f>IF($G11="s-curve",$E11+($F11-$E11)*$I$2/(1+EXP($I$3*(COUNT($I$9:AB$9)+$I$4))),TREND($E11:$F11,$E$9:$F$9,AB$9))</f>
        <v>9.1114481822700006E-5</v>
      </c>
      <c r="AC11">
        <f>IF($G11="s-curve",$E11+($F11-$E11)*$I$2/(1+EXP($I$3*(COUNT($I$9:AC$9)+$I$4))),TREND($E11:$F11,$E$9:$F$9,AC$9))</f>
        <v>9.1114481822700006E-5</v>
      </c>
      <c r="AD11">
        <f>IF($G11="s-curve",$E11+($F11-$E11)*$I$2/(1+EXP($I$3*(COUNT($I$9:AD$9)+$I$4))),TREND($E11:$F11,$E$9:$F$9,AD$9))</f>
        <v>9.1114481822700006E-5</v>
      </c>
      <c r="AE11">
        <f>IF($G11="s-curve",$E11+($F11-$E11)*$I$2/(1+EXP($I$3*(COUNT($I$9:AE$9)+$I$4))),TREND($E11:$F11,$E$9:$F$9,AE$9))</f>
        <v>9.1114481822700006E-5</v>
      </c>
      <c r="AF11">
        <f>IF($G11="s-curve",$E11+($F11-$E11)*$I$2/(1+EXP($I$3*(COUNT($I$9:AF$9)+$I$4))),TREND($E11:$F11,$E$9:$F$9,AF$9))</f>
        <v>9.1114481822700006E-5</v>
      </c>
      <c r="AG11">
        <f>IF($G11="s-curve",$E11+($F11-$E11)*$I$2/(1+EXP($I$3*(COUNT($I$9:AG$9)+$I$4))),TREND($E11:$F11,$E$9:$F$9,AG$9))</f>
        <v>9.1114481822700006E-5</v>
      </c>
      <c r="AH11">
        <f>IF($G11="s-curve",$E11+($F11-$E11)*$I$2/(1+EXP($I$3*(COUNT($I$9:AH$9)+$I$4))),TREND($E11:$F11,$E$9:$F$9,AH$9))</f>
        <v>9.1114481822700006E-5</v>
      </c>
      <c r="AI11">
        <f>IF($G11="s-curve",$E11+($F11-$E11)*$I$2/(1+EXP($I$3*(COUNT($I$9:AI$9)+$I$4))),TREND($E11:$F11,$E$9:$F$9,AI$9))</f>
        <v>9.1114481822700006E-5</v>
      </c>
    </row>
    <row r="12" spans="1:37" x14ac:dyDescent="0.35">
      <c r="C12" t="s">
        <v>3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7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35">
      <c r="C13" t="s">
        <v>4</v>
      </c>
      <c r="D13">
        <v>6.6777915503600002E-2</v>
      </c>
      <c r="E13" s="17">
        <v>6.08023121013E-2</v>
      </c>
      <c r="F13" s="17">
        <f>E13</f>
        <v>6.08023121013E-2</v>
      </c>
      <c r="G13" s="5" t="str">
        <f>IF(E13=F13,"n/a",IF(OR(C13="battery electric vehicle",C13="natural gas vehicle",C13="plugin hybrid vehicle"),"s-curve","linear"))</f>
        <v>n/a</v>
      </c>
      <c r="I13" s="17">
        <f t="shared" si="1"/>
        <v>6.08023121013E-2</v>
      </c>
      <c r="J13">
        <f>IF($G13="s-curve",$E13+($F13-$E13)*$I$2/(1+EXP($I$3*(COUNT($I$9:J$9)+$I$4))),TREND($E13:$F13,$E$9:$F$9,J$9))</f>
        <v>6.08023121013E-2</v>
      </c>
      <c r="K13">
        <f>IF($G13="s-curve",$E13+($F13-$E13)*$I$2/(1+EXP($I$3*(COUNT($I$9:K$9)+$I$4))),TREND($E13:$F13,$E$9:$F$9,K$9))</f>
        <v>6.08023121013E-2</v>
      </c>
      <c r="L13">
        <f>IF($G13="s-curve",$E13+($F13-$E13)*$I$2/(1+EXP($I$3*(COUNT($I$9:L$9)+$I$4))),TREND($E13:$F13,$E$9:$F$9,L$9))</f>
        <v>6.08023121013E-2</v>
      </c>
      <c r="M13">
        <f>IF($G13="s-curve",$E13+($F13-$E13)*$I$2/(1+EXP($I$3*(COUNT($I$9:M$9)+$I$4))),TREND($E13:$F13,$E$9:$F$9,M$9))</f>
        <v>6.08023121013E-2</v>
      </c>
      <c r="N13">
        <f>IF($G13="s-curve",$E13+($F13-$E13)*$I$2/(1+EXP($I$3*(COUNT($I$9:N$9)+$I$4))),TREND($E13:$F13,$E$9:$F$9,N$9))</f>
        <v>6.08023121013E-2</v>
      </c>
      <c r="O13">
        <f>IF($G13="s-curve",$E13+($F13-$E13)*$I$2/(1+EXP($I$3*(COUNT($I$9:O$9)+$I$4))),TREND($E13:$F13,$E$9:$F$9,O$9))</f>
        <v>6.08023121013E-2</v>
      </c>
      <c r="P13">
        <f>IF($G13="s-curve",$E13+($F13-$E13)*$I$2/(1+EXP($I$3*(COUNT($I$9:P$9)+$I$4))),TREND($E13:$F13,$E$9:$F$9,P$9))</f>
        <v>6.08023121013E-2</v>
      </c>
      <c r="Q13">
        <f>IF($G13="s-curve",$E13+($F13-$E13)*$I$2/(1+EXP($I$3*(COUNT($I$9:Q$9)+$I$4))),TREND($E13:$F13,$E$9:$F$9,Q$9))</f>
        <v>6.08023121013E-2</v>
      </c>
      <c r="R13">
        <f>IF($G13="s-curve",$E13+($F13-$E13)*$I$2/(1+EXP($I$3*(COUNT($I$9:R$9)+$I$4))),TREND($E13:$F13,$E$9:$F$9,R$9))</f>
        <v>6.08023121013E-2</v>
      </c>
      <c r="S13">
        <f>IF($G13="s-curve",$E13+($F13-$E13)*$I$2/(1+EXP($I$3*(COUNT($I$9:S$9)+$I$4))),TREND($E13:$F13,$E$9:$F$9,S$9))</f>
        <v>6.08023121013E-2</v>
      </c>
      <c r="T13">
        <f>IF($G13="s-curve",$E13+($F13-$E13)*$I$2/(1+EXP($I$3*(COUNT($I$9:T$9)+$I$4))),TREND($E13:$F13,$E$9:$F$9,T$9))</f>
        <v>6.08023121013E-2</v>
      </c>
      <c r="U13">
        <f>IF($G13="s-curve",$E13+($F13-$E13)*$I$2/(1+EXP($I$3*(COUNT($I$9:U$9)+$I$4))),TREND($E13:$F13,$E$9:$F$9,U$9))</f>
        <v>6.08023121013E-2</v>
      </c>
      <c r="V13">
        <f>IF($G13="s-curve",$E13+($F13-$E13)*$I$2/(1+EXP($I$3*(COUNT($I$9:V$9)+$I$4))),TREND($E13:$F13,$E$9:$F$9,V$9))</f>
        <v>6.08023121013E-2</v>
      </c>
      <c r="W13">
        <f>IF($G13="s-curve",$E13+($F13-$E13)*$I$2/(1+EXP($I$3*(COUNT($I$9:W$9)+$I$4))),TREND($E13:$F13,$E$9:$F$9,W$9))</f>
        <v>6.08023121013E-2</v>
      </c>
      <c r="X13">
        <f>IF($G13="s-curve",$E13+($F13-$E13)*$I$2/(1+EXP($I$3*(COUNT($I$9:X$9)+$I$4))),TREND($E13:$F13,$E$9:$F$9,X$9))</f>
        <v>6.08023121013E-2</v>
      </c>
      <c r="Y13">
        <f>IF($G13="s-curve",$E13+($F13-$E13)*$I$2/(1+EXP($I$3*(COUNT($I$9:Y$9)+$I$4))),TREND($E13:$F13,$E$9:$F$9,Y$9))</f>
        <v>6.08023121013E-2</v>
      </c>
      <c r="Z13">
        <f>IF($G13="s-curve",$E13+($F13-$E13)*$I$2/(1+EXP($I$3*(COUNT($I$9:Z$9)+$I$4))),TREND($E13:$F13,$E$9:$F$9,Z$9))</f>
        <v>6.08023121013E-2</v>
      </c>
      <c r="AA13">
        <f>IF($G13="s-curve",$E13+($F13-$E13)*$I$2/(1+EXP($I$3*(COUNT($I$9:AA$9)+$I$4))),TREND($E13:$F13,$E$9:$F$9,AA$9))</f>
        <v>6.08023121013E-2</v>
      </c>
      <c r="AB13">
        <f>IF($G13="s-curve",$E13+($F13-$E13)*$I$2/(1+EXP($I$3*(COUNT($I$9:AB$9)+$I$4))),TREND($E13:$F13,$E$9:$F$9,AB$9))</f>
        <v>6.08023121013E-2</v>
      </c>
      <c r="AC13">
        <f>IF($G13="s-curve",$E13+($F13-$E13)*$I$2/(1+EXP($I$3*(COUNT($I$9:AC$9)+$I$4))),TREND($E13:$F13,$E$9:$F$9,AC$9))</f>
        <v>6.08023121013E-2</v>
      </c>
      <c r="AD13">
        <f>IF($G13="s-curve",$E13+($F13-$E13)*$I$2/(1+EXP($I$3*(COUNT($I$9:AD$9)+$I$4))),TREND($E13:$F13,$E$9:$F$9,AD$9))</f>
        <v>6.08023121013E-2</v>
      </c>
      <c r="AE13">
        <f>IF($G13="s-curve",$E13+($F13-$E13)*$I$2/(1+EXP($I$3*(COUNT($I$9:AE$9)+$I$4))),TREND($E13:$F13,$E$9:$F$9,AE$9))</f>
        <v>6.08023121013E-2</v>
      </c>
      <c r="AF13">
        <f>IF($G13="s-curve",$E13+($F13-$E13)*$I$2/(1+EXP($I$3*(COUNT($I$9:AF$9)+$I$4))),TREND($E13:$F13,$E$9:$F$9,AF$9))</f>
        <v>6.08023121013E-2</v>
      </c>
      <c r="AG13">
        <f>IF($G13="s-curve",$E13+($F13-$E13)*$I$2/(1+EXP($I$3*(COUNT($I$9:AG$9)+$I$4))),TREND($E13:$F13,$E$9:$F$9,AG$9))</f>
        <v>6.08023121013E-2</v>
      </c>
      <c r="AH13">
        <f>IF($G13="s-curve",$E13+($F13-$E13)*$I$2/(1+EXP($I$3*(COUNT($I$9:AH$9)+$I$4))),TREND($E13:$F13,$E$9:$F$9,AH$9))</f>
        <v>6.08023121013E-2</v>
      </c>
      <c r="AI13">
        <f>IF($G13="s-curve",$E13+($F13-$E13)*$I$2/(1+EXP($I$3*(COUNT($I$9:AI$9)+$I$4))),TREND($E13:$F13,$E$9:$F$9,AI$9))</f>
        <v>6.08023121013E-2</v>
      </c>
    </row>
    <row r="14" spans="1:37" x14ac:dyDescent="0.35">
      <c r="C14" t="s">
        <v>5</v>
      </c>
      <c r="D14">
        <v>1.5463740197399999E-2</v>
      </c>
      <c r="E14" s="17">
        <f>D14</f>
        <v>1.5463740197399999E-2</v>
      </c>
      <c r="F14" s="26">
        <f>D14/D10*F10</f>
        <v>0.13111785993513644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1.5463740197399999E-2</v>
      </c>
      <c r="J14">
        <f>E14</f>
        <v>1.5463740197399999E-2</v>
      </c>
      <c r="K14">
        <f>IF($G14="s-curve",$E14+($F14-$E14)*$U$2/(1+EXP($U$3*(COUNT($I$9:K$9)+$U$4))),TREND($E14:$F14,$E$9:$F$9,K$9))</f>
        <v>1.9993417391351978E-2</v>
      </c>
      <c r="L14">
        <f>IF($G14="s-curve",$E14+($F14-$E14)*$U$2/(1+EXP($U$3*(COUNT($I$9:L$9)+$U$4))),TREND($E14:$F14,$E$9:$F$9,L$9))</f>
        <v>2.2093517300674829E-2</v>
      </c>
      <c r="M14">
        <f>IF($G14="s-curve",$E14+($F14-$E14)*$U$2/(1+EXP($U$3*(COUNT($I$9:M$9)+$U$4))),TREND($E14:$F14,$E$9:$F$9,M$9))</f>
        <v>2.5083005196618505E-2</v>
      </c>
      <c r="N14">
        <f>IF($G14="s-curve",$E14+($F14-$E14)*$U$2/(1+EXP($U$3*(COUNT($I$9:N$9)+$U$4))),TREND($E14:$F14,$E$9:$F$9,N$9))</f>
        <v>2.9250049214034041E-2</v>
      </c>
      <c r="O14">
        <f>IF($G14="s-curve",$E14+($F14-$E14)*$U$2/(1+EXP($U$3*(COUNT($I$9:O$9)+$U$4))),TREND($E14:$F14,$E$9:$F$9,O$9))</f>
        <v>3.4891505996859425E-2</v>
      </c>
      <c r="P14">
        <f>IF($G14="s-curve",$E14+($F14-$E14)*$U$2/(1+EXP($U$3*(COUNT($I$9:P$9)+$U$4))),TREND($E14:$F14,$E$9:$F$9,P$9))</f>
        <v>4.2234802602923074E-2</v>
      </c>
      <c r="Q14">
        <f>IF($G14="s-curve",$E14+($F14-$E14)*$U$2/(1+EXP($U$3*(COUNT($I$9:Q$9)+$U$4))),TREND($E14:$F14,$E$9:$F$9,Q$9))</f>
        <v>5.1319468678820979E-2</v>
      </c>
      <c r="R14">
        <f>IF($G14="s-curve",$E14+($F14-$E14)*$U$2/(1+EXP($U$3*(COUNT($I$9:R$9)+$U$4))),TREND($E14:$F14,$E$9:$F$9,R$9))</f>
        <v>6.1877165606985654E-2</v>
      </c>
      <c r="S14">
        <f>IF($G14="s-curve",$E14+($F14-$E14)*$U$2/(1+EXP($U$3*(COUNT($I$9:S$9)+$U$4))),TREND($E14:$F14,$E$9:$F$9,S$9))</f>
        <v>7.3290800066268216E-2</v>
      </c>
      <c r="T14">
        <f>IF($G14="s-curve",$E14+($F14-$E14)*$U$2/(1+EXP($U$3*(COUNT($I$9:T$9)+$U$4))),TREND($E14:$F14,$E$9:$F$9,T$9))</f>
        <v>8.4704434525550779E-2</v>
      </c>
      <c r="U14">
        <f>IF($G14="s-curve",$E14+($F14-$E14)*$U$2/(1+EXP($U$3*(COUNT($I$9:U$9)+$U$4))),TREND($E14:$F14,$E$9:$F$9,U$9))</f>
        <v>9.5262131453715468E-2</v>
      </c>
      <c r="V14">
        <f>IF($G14="s-curve",$E14+($F14-$E14)*$U$2/(1+EXP($U$3*(COUNT($I$9:V$9)+$U$4))),TREND($E14:$F14,$E$9:$F$9,V$9))</f>
        <v>0.10434679752961337</v>
      </c>
      <c r="W14">
        <f>IF($G14="s-curve",$E14+($F14-$E14)*$U$2/(1+EXP($U$3*(COUNT($I$9:W$9)+$U$4))),TREND($E14:$F14,$E$9:$F$9,W$9))</f>
        <v>0.11169009413567701</v>
      </c>
      <c r="X14">
        <f>IF($G14="s-curve",$E14+($F14-$E14)*$U$2/(1+EXP($U$3*(COUNT($I$9:X$9)+$U$4))),TREND($E14:$F14,$E$9:$F$9,X$9))</f>
        <v>0.11733155091850239</v>
      </c>
      <c r="Y14">
        <f>IF($G14="s-curve",$E14+($F14-$E14)*$U$2/(1+EXP($U$3*(COUNT($I$9:Y$9)+$U$4))),TREND($E14:$F14,$E$9:$F$9,Y$9))</f>
        <v>0.12149859493591794</v>
      </c>
      <c r="Z14">
        <f>IF($G14="s-curve",$E14+($F14-$E14)*$U$2/(1+EXP($U$3*(COUNT($I$9:Z$9)+$U$4))),TREND($E14:$F14,$E$9:$F$9,Z$9))</f>
        <v>0.12448808283186162</v>
      </c>
      <c r="AA14">
        <f>IF($G14="s-curve",$E14+($F14-$E14)*$U$2/(1+EXP($U$3*(COUNT($I$9:AA$9)+$U$4))),TREND($E14:$F14,$E$9:$F$9,AA$9))</f>
        <v>0.12658818274118447</v>
      </c>
      <c r="AB14">
        <f>IF($G14="s-curve",$E14+($F14-$E14)*$U$2/(1+EXP($U$3*(COUNT($I$9:AB$9)+$U$4))),TREND($E14:$F14,$E$9:$F$9,AB$9))</f>
        <v>0.12804180805533377</v>
      </c>
      <c r="AC14">
        <f>IF($G14="s-curve",$E14+($F14-$E14)*$U$2/(1+EXP($U$3*(COUNT($I$9:AC$9)+$U$4))),TREND($E14:$F14,$E$9:$F$9,AC$9))</f>
        <v>0.12903768065455262</v>
      </c>
      <c r="AD14">
        <f>IF($G14="s-curve",$E14+($F14-$E14)*$U$2/(1+EXP($U$3*(COUNT($I$9:AD$9)+$U$4))),TREND($E14:$F14,$E$9:$F$9,AD$9))</f>
        <v>0.12971515646323384</v>
      </c>
      <c r="AE14">
        <f>IF($G14="s-curve",$E14+($F14-$E14)*$U$2/(1+EXP($U$3*(COUNT($I$9:AE$9)+$U$4))),TREND($E14:$F14,$E$9:$F$9,AE$9))</f>
        <v>0.13017382495362109</v>
      </c>
      <c r="AF14">
        <f>IF($G14="s-curve",$E14+($F14-$E14)*$U$2/(1+EXP($U$3*(COUNT($I$9:AF$9)+$U$4))),TREND($E14:$F14,$E$9:$F$9,AF$9))</f>
        <v>0.13048334686530239</v>
      </c>
      <c r="AG14">
        <f>IF($G14="s-curve",$E14+($F14-$E14)*$U$2/(1+EXP($U$3*(COUNT($I$9:AG$9)+$U$4))),TREND($E14:$F14,$E$9:$F$9,AG$9))</f>
        <v>0.13069176241266453</v>
      </c>
      <c r="AH14">
        <f>IF($G14="s-curve",$E14+($F14-$E14)*$U$2/(1+EXP($U$3*(COUNT($I$9:AH$9)+$U$4))),TREND($E14:$F14,$E$9:$F$9,AH$9))</f>
        <v>0.1308318908805127</v>
      </c>
      <c r="AI14">
        <f>IF($G14="s-curve",$E14+($F14-$E14)*$U$2/(1+EXP($U$3*(COUNT($I$9:AI$9)+$U$4))),TREND($E14:$F14,$E$9:$F$9,AI$9))</f>
        <v>0.13092601275638885</v>
      </c>
    </row>
    <row r="15" spans="1:37" x14ac:dyDescent="0.35">
      <c r="C15" t="s">
        <v>33</v>
      </c>
      <c r="D15">
        <v>0</v>
      </c>
      <c r="E15" s="17">
        <v>0</v>
      </c>
      <c r="F15" s="17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7">
        <f t="shared" si="1"/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" thickBot="1" x14ac:dyDescent="0.4">
      <c r="A16" s="18"/>
      <c r="B16" s="18"/>
      <c r="C16" s="18" t="s">
        <v>34</v>
      </c>
      <c r="D16" s="18">
        <v>0</v>
      </c>
      <c r="E16" s="21">
        <v>0</v>
      </c>
      <c r="F16" s="21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7">
        <f t="shared" si="1"/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35">
      <c r="A17" t="s">
        <v>12</v>
      </c>
      <c r="B17" t="s">
        <v>18</v>
      </c>
      <c r="C17" t="s">
        <v>1</v>
      </c>
      <c r="D17">
        <v>0.139546683447</v>
      </c>
      <c r="E17">
        <v>5.8249127235400003E-2</v>
      </c>
      <c r="F17">
        <v>0.2</v>
      </c>
      <c r="G17" s="5" t="str">
        <f>IF(E17=F17,"n/a",IF(OR(C17="battery electric vehicle",C17="natural gas vehicle",C17="plugin hybrid vehicle"),"s-curve","linear"))</f>
        <v>s-curve</v>
      </c>
      <c r="I17" s="17">
        <f>D17</f>
        <v>0.139546683447</v>
      </c>
      <c r="J17">
        <f>IF($G17="s-curve",$E17+($F17-$E17)*$X$2/(1+EXP($X$3*(COUNT($I$9:J$9)+$X$4))),TREND($E17:$F17,$E$9:$F$9,J$9))</f>
        <v>6.2019274287835199E-2</v>
      </c>
      <c r="K17" s="30">
        <f>IF($G17="s-curve",$D17+($F17-$D17)*$X$2/(1+EXP($X$3*(COUNT($I$9:K$9)+$X$4))),TREND($D17:$F17,$E$9:$F$9,K$9))</f>
        <v>0.14191438128525985</v>
      </c>
      <c r="L17" s="30">
        <f>IF($G17="s-curve",$D17+($F17-$D17)*$X$2/(1+EXP($X$3*(COUNT($I$9:L$9)+$X$4))),TREND($D17:$F17,$E$9:$F$9,L$9))</f>
        <v>0.14301211999875416</v>
      </c>
      <c r="M17" s="30">
        <f>IF($G17="s-curve",$D17+($F17-$D17)*$X$2/(1+EXP($X$3*(COUNT($I$9:M$9)+$X$4))),TREND($D17:$F17,$E$9:$F$9,M$9))</f>
        <v>0.14457474879671367</v>
      </c>
      <c r="N17" s="30">
        <f>IF($G17="s-curve",$D17+($F17-$D17)*$X$2/(1+EXP($X$3*(COUNT($I$9:N$9)+$X$4))),TREND($D17:$F17,$E$9:$F$9,N$9))</f>
        <v>0.14675289542604564</v>
      </c>
      <c r="O17" s="30">
        <f>IF($G17="s-curve",$D17+($F17-$D17)*$X$2/(1+EXP($X$3*(COUNT($I$9:O$9)+$X$4))),TREND($D17:$F17,$E$9:$F$9,O$9))</f>
        <v>0.149701729185583</v>
      </c>
      <c r="P17" s="30">
        <f>IF($G17="s-curve",$D17+($F17-$D17)*$X$2/(1+EXP($X$3*(COUNT($I$9:P$9)+$X$4))),TREND($D17:$F17,$E$9:$F$9,P$9))</f>
        <v>0.15354012798430811</v>
      </c>
      <c r="Q17" s="30">
        <f>IF($G17="s-curve",$D17+($F17-$D17)*$X$2/(1+EXP($X$3*(COUNT($I$9:Q$9)+$X$4))),TREND($D17:$F17,$E$9:$F$9,Q$9))</f>
        <v>0.15828875427890052</v>
      </c>
      <c r="R17" s="30">
        <f>IF($G17="s-curve",$D17+($F17-$D17)*$X$2/(1+EXP($X$3*(COUNT($I$9:R$9)+$X$4))),TREND($D17:$F17,$E$9:$F$9,R$9))</f>
        <v>0.16380734536684707</v>
      </c>
      <c r="S17" s="30">
        <f>IF($G17="s-curve",$D17+($F17-$D17)*$X$2/(1+EXP($X$3*(COUNT($I$9:S$9)+$X$4))),TREND($D17:$F17,$E$9:$F$9,S$9))</f>
        <v>0.1697733417235</v>
      </c>
      <c r="T17" s="30">
        <f>IF($G17="s-curve",$D17+($F17-$D17)*$X$2/(1+EXP($X$3*(COUNT($I$9:T$9)+$X$4))),TREND($D17:$F17,$E$9:$F$9,T$9))</f>
        <v>0.17573933808015293</v>
      </c>
      <c r="U17" s="30">
        <f>IF($G17="s-curve",$D17+($F17-$D17)*$X$2/(1+EXP($X$3*(COUNT($I$9:U$9)+$X$4))),TREND($D17:$F17,$E$9:$F$9,U$9))</f>
        <v>0.18125792916809949</v>
      </c>
      <c r="V17" s="30">
        <f>IF($G17="s-curve",$D17+($F17-$D17)*$X$2/(1+EXP($X$3*(COUNT($I$9:V$9)+$X$4))),TREND($D17:$F17,$E$9:$F$9,V$9))</f>
        <v>0.1860065554626919</v>
      </c>
      <c r="W17" s="30">
        <f>IF($G17="s-curve",$D17+($F17-$D17)*$X$2/(1+EXP($X$3*(COUNT($I$9:W$9)+$X$4))),TREND($D17:$F17,$E$9:$F$9,W$9))</f>
        <v>0.18984495426141701</v>
      </c>
      <c r="X17" s="30">
        <f>IF($G17="s-curve",$D17+($F17-$D17)*$X$2/(1+EXP($X$3*(COUNT($I$9:X$9)+$X$4))),TREND($D17:$F17,$E$9:$F$9,X$9))</f>
        <v>0.19279378802095437</v>
      </c>
      <c r="Y17" s="30">
        <f>IF($G17="s-curve",$D17+($F17-$D17)*$X$2/(1+EXP($X$3*(COUNT($I$9:Y$9)+$X$4))),TREND($D17:$F17,$E$9:$F$9,Y$9))</f>
        <v>0.19497193465028634</v>
      </c>
      <c r="Z17" s="30">
        <f>IF($G17="s-curve",$D17+($F17-$D17)*$X$2/(1+EXP($X$3*(COUNT($I$9:Z$9)+$X$4))),TREND($D17:$F17,$E$9:$F$9,Z$9))</f>
        <v>0.19653456344824585</v>
      </c>
      <c r="AA17" s="30">
        <f>IF($G17="s-curve",$D17+($F17-$D17)*$X$2/(1+EXP($X$3*(COUNT($I$9:AA$9)+$X$4))),TREND($D17:$F17,$E$9:$F$9,AA$9))</f>
        <v>0.19763230216174016</v>
      </c>
      <c r="AB17" s="30">
        <f>IF($G17="s-curve",$D17+($F17-$D17)*$X$2/(1+EXP($X$3*(COUNT($I$9:AB$9)+$X$4))),TREND($D17:$F17,$E$9:$F$9,AB$9))</f>
        <v>0.19839212352793961</v>
      </c>
      <c r="AC17" s="30">
        <f>IF($G17="s-curve",$D17+($F17-$D17)*$X$2/(1+EXP($X$3*(COUNT($I$9:AC$9)+$X$4))),TREND($D17:$F17,$E$9:$F$9,AC$9))</f>
        <v>0.19891267395557297</v>
      </c>
      <c r="AD17" s="30">
        <f>IF($G17="s-curve",$D17+($F17-$D17)*$X$2/(1+EXP($X$3*(COUNT($I$9:AD$9)+$X$4))),TREND($D17:$F17,$E$9:$F$9,AD$9))</f>
        <v>0.1992667958806032</v>
      </c>
      <c r="AE17" s="30">
        <f>IF($G17="s-curve",$D17+($F17-$D17)*$X$2/(1+EXP($X$3*(COUNT($I$9:AE$9)+$X$4))),TREND($D17:$F17,$E$9:$F$9,AE$9))</f>
        <v>0.19950654550219166</v>
      </c>
      <c r="AF17" s="30">
        <f>IF($G17="s-curve",$D17+($F17-$D17)*$X$2/(1+EXP($X$3*(COUNT($I$9:AF$9)+$X$4))),TREND($D17:$F17,$E$9:$F$9,AF$9))</f>
        <v>0.19966833503592715</v>
      </c>
      <c r="AG17" s="30">
        <f>IF($G17="s-curve",$D17+($F17-$D17)*$X$2/(1+EXP($X$3*(COUNT($I$9:AG$9)+$X$4))),TREND($D17:$F17,$E$9:$F$9,AG$9))</f>
        <v>0.19977727547910223</v>
      </c>
      <c r="AH17" s="30">
        <f>IF($G17="s-curve",$D17+($F17-$D17)*$X$2/(1+EXP($X$3*(COUNT($I$9:AH$9)+$X$4))),TREND($D17:$F17,$E$9:$F$9,AH$9))</f>
        <v>0.19985052172959569</v>
      </c>
      <c r="AI17" s="30">
        <f>IF($G17="s-curve",$D17+($F17-$D17)*$X$2/(1+EXP($X$3*(COUNT($I$9:AI$9)+$X$4))),TREND($D17:$F17,$E$9:$F$9,AI$9))</f>
        <v>0.19989971997320177</v>
      </c>
    </row>
    <row r="18" spans="1:35" x14ac:dyDescent="0.35">
      <c r="C18" t="s">
        <v>2</v>
      </c>
      <c r="D18">
        <v>0</v>
      </c>
      <c r="E18">
        <v>0</v>
      </c>
      <c r="F18" s="17">
        <f>E18</f>
        <v>0</v>
      </c>
      <c r="G18" s="5" t="s">
        <v>32</v>
      </c>
      <c r="I18" s="17">
        <f t="shared" ref="I18:I23" si="2">D18</f>
        <v>0</v>
      </c>
      <c r="J18" s="17">
        <f t="shared" ref="J18:J23" si="3"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35">
      <c r="C19" t="s">
        <v>3</v>
      </c>
      <c r="D19">
        <v>0.72915442924999996</v>
      </c>
      <c r="E19">
        <v>0.67797888423399999</v>
      </c>
      <c r="F19" s="17">
        <f>E19</f>
        <v>0.67797888423399999</v>
      </c>
      <c r="G19" s="5" t="str">
        <f>IF(E19=F19,"n/a",IF(OR(C19="battery electric vehicle",C19="natural gas vehicle",C19="plugin hybrid vehicle"),"s-curve","linear"))</f>
        <v>n/a</v>
      </c>
      <c r="I19" s="17">
        <f t="shared" si="2"/>
        <v>0.72915442924999996</v>
      </c>
      <c r="J19" s="17">
        <f t="shared" si="3"/>
        <v>0.67797888423399999</v>
      </c>
      <c r="K19">
        <f>IF($G19="s-curve",$E19+($F19-$E19)*$I$2/(1+EXP($I$3*(COUNT($I$9:K$9)+$I$4))),TREND($E19:$F19,$E$9:$F$9,K$9))</f>
        <v>0.67797888423399999</v>
      </c>
      <c r="L19">
        <f>IF($G19="s-curve",$E19+($F19-$E19)*$I$2/(1+EXP($I$3*(COUNT($I$9:L$9)+$I$4))),TREND($E19:$F19,$E$9:$F$9,L$9))</f>
        <v>0.67797888423399999</v>
      </c>
      <c r="M19">
        <f>IF($G19="s-curve",$E19+($F19-$E19)*$I$2/(1+EXP($I$3*(COUNT($I$9:M$9)+$I$4))),TREND($E19:$F19,$E$9:$F$9,M$9))</f>
        <v>0.67797888423399999</v>
      </c>
      <c r="N19">
        <f>IF($G19="s-curve",$E19+($F19-$E19)*$I$2/(1+EXP($I$3*(COUNT($I$9:N$9)+$I$4))),TREND($E19:$F19,$E$9:$F$9,N$9))</f>
        <v>0.67797888423399999</v>
      </c>
      <c r="O19">
        <f>IF($G19="s-curve",$E19+($F19-$E19)*$I$2/(1+EXP($I$3*(COUNT($I$9:O$9)+$I$4))),TREND($E19:$F19,$E$9:$F$9,O$9))</f>
        <v>0.67797888423399999</v>
      </c>
      <c r="P19">
        <f>IF($G19="s-curve",$E19+($F19-$E19)*$I$2/(1+EXP($I$3*(COUNT($I$9:P$9)+$I$4))),TREND($E19:$F19,$E$9:$F$9,P$9))</f>
        <v>0.67797888423399999</v>
      </c>
      <c r="Q19">
        <f>IF($G19="s-curve",$E19+($F19-$E19)*$I$2/(1+EXP($I$3*(COUNT($I$9:Q$9)+$I$4))),TREND($E19:$F19,$E$9:$F$9,Q$9))</f>
        <v>0.67797888423399999</v>
      </c>
      <c r="R19">
        <f>IF($G19="s-curve",$E19+($F19-$E19)*$I$2/(1+EXP($I$3*(COUNT($I$9:R$9)+$I$4))),TREND($E19:$F19,$E$9:$F$9,R$9))</f>
        <v>0.67797888423399999</v>
      </c>
      <c r="S19">
        <f>IF($G19="s-curve",$E19+($F19-$E19)*$I$2/(1+EXP($I$3*(COUNT($I$9:S$9)+$I$4))),TREND($E19:$F19,$E$9:$F$9,S$9))</f>
        <v>0.67797888423399999</v>
      </c>
      <c r="T19">
        <f>IF($G19="s-curve",$E19+($F19-$E19)*$I$2/(1+EXP($I$3*(COUNT($I$9:T$9)+$I$4))),TREND($E19:$F19,$E$9:$F$9,T$9))</f>
        <v>0.67797888423399999</v>
      </c>
      <c r="U19">
        <f>IF($G19="s-curve",$E19+($F19-$E19)*$I$2/(1+EXP($I$3*(COUNT($I$9:U$9)+$I$4))),TREND($E19:$F19,$E$9:$F$9,U$9))</f>
        <v>0.67797888423399999</v>
      </c>
      <c r="V19">
        <f>IF($G19="s-curve",$E19+($F19-$E19)*$I$2/(1+EXP($I$3*(COUNT($I$9:V$9)+$I$4))),TREND($E19:$F19,$E$9:$F$9,V$9))</f>
        <v>0.67797888423399999</v>
      </c>
      <c r="W19">
        <f>IF($G19="s-curve",$E19+($F19-$E19)*$I$2/(1+EXP($I$3*(COUNT($I$9:W$9)+$I$4))),TREND($E19:$F19,$E$9:$F$9,W$9))</f>
        <v>0.67797888423399999</v>
      </c>
      <c r="X19">
        <f>IF($G19="s-curve",$E19+($F19-$E19)*$I$2/(1+EXP($I$3*(COUNT($I$9:X$9)+$I$4))),TREND($E19:$F19,$E$9:$F$9,X$9))</f>
        <v>0.67797888423399999</v>
      </c>
      <c r="Y19">
        <f>IF($G19="s-curve",$E19+($F19-$E19)*$I$2/(1+EXP($I$3*(COUNT($I$9:Y$9)+$I$4))),TREND($E19:$F19,$E$9:$F$9,Y$9))</f>
        <v>0.67797888423399999</v>
      </c>
      <c r="Z19">
        <f>IF($G19="s-curve",$E19+($F19-$E19)*$I$2/(1+EXP($I$3*(COUNT($I$9:Z$9)+$I$4))),TREND($E19:$F19,$E$9:$F$9,Z$9))</f>
        <v>0.67797888423399999</v>
      </c>
      <c r="AA19">
        <f>IF($G19="s-curve",$E19+($F19-$E19)*$I$2/(1+EXP($I$3*(COUNT($I$9:AA$9)+$I$4))),TREND($E19:$F19,$E$9:$F$9,AA$9))</f>
        <v>0.67797888423399999</v>
      </c>
      <c r="AB19">
        <f>IF($G19="s-curve",$E19+($F19-$E19)*$I$2/(1+EXP($I$3*(COUNT($I$9:AB$9)+$I$4))),TREND($E19:$F19,$E$9:$F$9,AB$9))</f>
        <v>0.67797888423399999</v>
      </c>
      <c r="AC19">
        <f>IF($G19="s-curve",$E19+($F19-$E19)*$I$2/(1+EXP($I$3*(COUNT($I$9:AC$9)+$I$4))),TREND($E19:$F19,$E$9:$F$9,AC$9))</f>
        <v>0.67797888423399999</v>
      </c>
      <c r="AD19">
        <f>IF($G19="s-curve",$E19+($F19-$E19)*$I$2/(1+EXP($I$3*(COUNT($I$9:AD$9)+$I$4))),TREND($E19:$F19,$E$9:$F$9,AD$9))</f>
        <v>0.67797888423399999</v>
      </c>
      <c r="AE19">
        <f>IF($G19="s-curve",$E19+($F19-$E19)*$I$2/(1+EXP($I$3*(COUNT($I$9:AE$9)+$I$4))),TREND($E19:$F19,$E$9:$F$9,AE$9))</f>
        <v>0.67797888423399999</v>
      </c>
      <c r="AF19">
        <f>IF($G19="s-curve",$E19+($F19-$E19)*$I$2/(1+EXP($I$3*(COUNT($I$9:AF$9)+$I$4))),TREND($E19:$F19,$E$9:$F$9,AF$9))</f>
        <v>0.67797888423399999</v>
      </c>
      <c r="AG19">
        <f>IF($G19="s-curve",$E19+($F19-$E19)*$I$2/(1+EXP($I$3*(COUNT($I$9:AG$9)+$I$4))),TREND($E19:$F19,$E$9:$F$9,AG$9))</f>
        <v>0.67797888423399999</v>
      </c>
      <c r="AH19">
        <f>IF($G19="s-curve",$E19+($F19-$E19)*$I$2/(1+EXP($I$3*(COUNT($I$9:AH$9)+$I$4))),TREND($E19:$F19,$E$9:$F$9,AH$9))</f>
        <v>0.67797888423399999</v>
      </c>
      <c r="AI19">
        <f>IF($G19="s-curve",$E19+($F19-$E19)*$I$2/(1+EXP($I$3*(COUNT($I$9:AI$9)+$I$4))),TREND($E19:$F19,$E$9:$F$9,AI$9))</f>
        <v>0.67797888423399999</v>
      </c>
    </row>
    <row r="20" spans="1:35" x14ac:dyDescent="0.35">
      <c r="C20" t="s">
        <v>4</v>
      </c>
      <c r="D20">
        <v>1</v>
      </c>
      <c r="E20">
        <v>1</v>
      </c>
      <c r="F20" s="27">
        <v>1</v>
      </c>
      <c r="G20" s="5" t="str">
        <f>IF(E20=F20,"n/a",IF(OR(C20="battery electric vehicle",C20="natural gas vehicle",C20="plugin hybrid vehicle"),"s-curve","linear"))</f>
        <v>n/a</v>
      </c>
      <c r="I20" s="17">
        <f t="shared" si="2"/>
        <v>1</v>
      </c>
      <c r="J20" s="17">
        <f t="shared" si="3"/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35">
      <c r="C21" t="s">
        <v>5</v>
      </c>
      <c r="D21">
        <v>0</v>
      </c>
      <c r="E21">
        <v>6.4220413235999997E-4</v>
      </c>
      <c r="F21" s="17">
        <f>E21/E17*F17</f>
        <v>2.2050257672177119E-3</v>
      </c>
      <c r="G21" s="5" t="s">
        <v>242</v>
      </c>
      <c r="I21" s="17">
        <f t="shared" si="2"/>
        <v>0</v>
      </c>
      <c r="J21" s="17">
        <f t="shared" si="3"/>
        <v>6.4220413235999997E-4</v>
      </c>
      <c r="K21">
        <f>IF($G21="s-curve",$E21+($F21-$E21)*$X$2/(1+EXP($X$3*(COUNT($I$9:K$9)+$X$4))),TREND($E21:$F21,$E$9:$F$9,K$9))</f>
        <v>7.034131712916232E-4</v>
      </c>
      <c r="L21">
        <f>IF($G21="s-curve",$E21+($F21-$E21)*$X$2/(1+EXP($X$3*(COUNT($I$9:L$9)+$X$4))),TREND($E21:$F21,$E$9:$F$9,L$9))</f>
        <v>7.3179159465514107E-4</v>
      </c>
      <c r="M21">
        <f>IF($G21="s-curve",$E21+($F21-$E21)*$X$2/(1+EXP($X$3*(COUNT($I$9:M$9)+$X$4))),TREND($E21:$F21,$E$9:$F$9,M$9))</f>
        <v>7.7218822187015597E-4</v>
      </c>
      <c r="N21">
        <f>IF($G21="s-curve",$E21+($F21-$E21)*$X$2/(1+EXP($X$3*(COUNT($I$9:N$9)+$X$4))),TREND($E21:$F21,$E$9:$F$9,N$9))</f>
        <v>8.284970378344221E-4</v>
      </c>
      <c r="O21">
        <f>IF($G21="s-curve",$E21+($F21-$E21)*$X$2/(1+EXP($X$3*(COUNT($I$9:O$9)+$X$4))),TREND($E21:$F21,$E$9:$F$9,O$9))</f>
        <v>9.0472943433103864E-4</v>
      </c>
      <c r="P21">
        <f>IF($G21="s-curve",$E21+($F21-$E21)*$X$2/(1+EXP($X$3*(COUNT($I$9:P$9)+$X$4))),TREND($E21:$F21,$E$9:$F$9,P$9))</f>
        <v>1.0039586086411079E-3</v>
      </c>
      <c r="Q21">
        <f>IF($G21="s-curve",$E21+($F21-$E21)*$X$2/(1+EXP($X$3*(COUNT($I$9:Q$9)+$X$4))),TREND($E21:$F21,$E$9:$F$9,Q$9))</f>
        <v>1.126718720611755E-3</v>
      </c>
      <c r="R21">
        <f>IF($G21="s-curve",$E21+($F21-$E21)*$X$2/(1+EXP($X$3*(COUNT($I$9:R$9)+$X$4))),TREND($E21:$F21,$E$9:$F$9,R$9))</f>
        <v>1.2693837394716313E-3</v>
      </c>
      <c r="S21">
        <f>IF($G21="s-curve",$E21+($F21-$E21)*$X$2/(1+EXP($X$3*(COUNT($I$9:S$9)+$X$4))),TREND($E21:$F21,$E$9:$F$9,S$9))</f>
        <v>1.4236149497888558E-3</v>
      </c>
      <c r="T21">
        <f>IF($G21="s-curve",$E21+($F21-$E21)*$X$2/(1+EXP($X$3*(COUNT($I$9:T$9)+$X$4))),TREND($E21:$F21,$E$9:$F$9,T$9))</f>
        <v>1.5778461601060802E-3</v>
      </c>
      <c r="U21">
        <f>IF($G21="s-curve",$E21+($F21-$E21)*$X$2/(1+EXP($X$3*(COUNT($I$9:U$9)+$X$4))),TREND($E21:$F21,$E$9:$F$9,U$9))</f>
        <v>1.7205111789659567E-3</v>
      </c>
      <c r="V21">
        <f>IF($G21="s-curve",$E21+($F21-$E21)*$X$2/(1+EXP($X$3*(COUNT($I$9:V$9)+$X$4))),TREND($E21:$F21,$E$9:$F$9,V$9))</f>
        <v>1.8432712909366039E-3</v>
      </c>
      <c r="W21">
        <f>IF($G21="s-curve",$E21+($F21-$E21)*$X$2/(1+EXP($X$3*(COUNT($I$9:W$9)+$X$4))),TREND($E21:$F21,$E$9:$F$9,W$9))</f>
        <v>1.942500465246673E-3</v>
      </c>
      <c r="X21">
        <f>IF($G21="s-curve",$E21+($F21-$E21)*$X$2/(1+EXP($X$3*(COUNT($I$9:X$9)+$X$4))),TREND($E21:$F21,$E$9:$F$9,X$9))</f>
        <v>2.0187328617432897E-3</v>
      </c>
      <c r="Y21">
        <f>IF($G21="s-curve",$E21+($F21-$E21)*$X$2/(1+EXP($X$3*(COUNT($I$9:Y$9)+$X$4))),TREND($E21:$F21,$E$9:$F$9,Y$9))</f>
        <v>2.075041677707556E-3</v>
      </c>
      <c r="Z21">
        <f>IF($G21="s-curve",$E21+($F21-$E21)*$X$2/(1+EXP($X$3*(COUNT($I$9:Z$9)+$X$4))),TREND($E21:$F21,$E$9:$F$9,Z$9))</f>
        <v>2.1154383049225706E-3</v>
      </c>
      <c r="AA21">
        <f>IF($G21="s-curve",$E21+($F21-$E21)*$X$2/(1+EXP($X$3*(COUNT($I$9:AA$9)+$X$4))),TREND($E21:$F21,$E$9:$F$9,AA$9))</f>
        <v>2.1438167282860888E-3</v>
      </c>
      <c r="AB21">
        <f>IF($G21="s-curve",$E21+($F21-$E21)*$X$2/(1+EXP($X$3*(COUNT($I$9:AB$9)+$X$4))),TREND($E21:$F21,$E$9:$F$9,AB$9))</f>
        <v>2.163459410233614E-3</v>
      </c>
      <c r="AC21">
        <f>IF($G21="s-curve",$E21+($F21-$E21)*$X$2/(1+EXP($X$3*(COUNT($I$9:AC$9)+$X$4))),TREND($E21:$F21,$E$9:$F$9,AC$9))</f>
        <v>2.1769165291598619E-3</v>
      </c>
      <c r="AD21">
        <f>IF($G21="s-curve",$E21+($F21-$E21)*$X$2/(1+EXP($X$3*(COUNT($I$9:AD$9)+$X$4))),TREND($E21:$F21,$E$9:$F$9,AD$9))</f>
        <v>2.1860711866273229E-3</v>
      </c>
      <c r="AE21">
        <f>IF($G21="s-curve",$E21+($F21-$E21)*$X$2/(1+EXP($X$3*(COUNT($I$9:AE$9)+$X$4))),TREND($E21:$F21,$E$9:$F$9,AE$9))</f>
        <v>2.1922691244234882E-3</v>
      </c>
      <c r="AF21">
        <f>IF($G21="s-curve",$E21+($F21-$E21)*$X$2/(1+EXP($X$3*(COUNT($I$9:AF$9)+$X$4))),TREND($E21:$F21,$E$9:$F$9,AF$9))</f>
        <v>2.1964516606023544E-3</v>
      </c>
      <c r="AG21">
        <f>IF($G21="s-curve",$E21+($F21-$E21)*$X$2/(1+EXP($X$3*(COUNT($I$9:AG$9)+$X$4))),TREND($E21:$F21,$E$9:$F$9,AG$9))</f>
        <v>2.1992679573948674E-3</v>
      </c>
      <c r="AH21">
        <f>IF($G21="s-curve",$E21+($F21-$E21)*$X$2/(1+EXP($X$3*(COUNT($I$9:AH$9)+$X$4))),TREND($E21:$F21,$E$9:$F$9,AH$9))</f>
        <v>2.2011614982536728E-3</v>
      </c>
      <c r="AI21">
        <f>IF($G21="s-curve",$E21+($F21-$E21)*$X$2/(1+EXP($X$3*(COUNT($I$9:AI$9)+$X$4))),TREND($E21:$F21,$E$9:$F$9,AI$9))</f>
        <v>2.2024333570016897E-3</v>
      </c>
    </row>
    <row r="22" spans="1:35" x14ac:dyDescent="0.35">
      <c r="C22" t="s">
        <v>33</v>
      </c>
      <c r="D22">
        <v>0</v>
      </c>
      <c r="E22">
        <v>0</v>
      </c>
      <c r="F22" s="17">
        <f>E22</f>
        <v>0</v>
      </c>
      <c r="G22" s="5" t="str">
        <f>IF(E22=F22,"n/a",IF(OR(C22="battery electric vehicle",C22="natural gas vehicle",C22="plugin hybrid vehicle",C22="hydrogen vehicle"),"s-curve","linear"))</f>
        <v>n/a</v>
      </c>
      <c r="I22" s="17">
        <f t="shared" si="2"/>
        <v>0</v>
      </c>
      <c r="J22" s="17">
        <f t="shared" si="3"/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ht="15" thickBot="1" x14ac:dyDescent="0.4">
      <c r="A23" s="18"/>
      <c r="B23" s="18"/>
      <c r="C23" s="18" t="s">
        <v>34</v>
      </c>
      <c r="D23">
        <v>0</v>
      </c>
      <c r="E23">
        <v>0</v>
      </c>
      <c r="F23" s="21">
        <f>E23</f>
        <v>0</v>
      </c>
      <c r="G23" s="6" t="str">
        <f>IF(E23=F23,"n/a",IF(OR(C23="battery electric vehicle",C23="natural gas vehicle",C23="plugin hybrid vehicle",C23="hydrogen vehicle"),"s-curve","linear"))</f>
        <v>n/a</v>
      </c>
      <c r="I23" s="17">
        <f t="shared" si="2"/>
        <v>0</v>
      </c>
      <c r="J23" s="17">
        <f t="shared" si="3"/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35">
      <c r="A24" t="s">
        <v>13</v>
      </c>
      <c r="B24" t="s">
        <v>19</v>
      </c>
      <c r="C24" t="s">
        <v>1</v>
      </c>
      <c r="D24">
        <v>3.0938506857799999E-2</v>
      </c>
      <c r="E24">
        <v>3.0393141812799999E-2</v>
      </c>
      <c r="F24" s="27">
        <v>0.7</v>
      </c>
      <c r="G24" s="5" t="str">
        <f>IF(E24=F24,"n/a",IF(OR(C24="battery electric vehicle",C24="natural gas vehicle",C24="plugin hybrid vehicle"),"s-curve","linear"))</f>
        <v>s-curve</v>
      </c>
      <c r="I24" s="17">
        <f>D24</f>
        <v>3.0938506857799999E-2</v>
      </c>
      <c r="J24" s="17">
        <f>E24</f>
        <v>3.0393141812799999E-2</v>
      </c>
      <c r="K24">
        <f>IF($G24="s-curve",$E24+($F24-$E24)*$X$2/(1+EXP($X$3*(COUNT($I$9:K$9)+$X$4))),TREND($E24:$F24,$E$9:$F$9,K$9))</f>
        <v>5.6618778403372177E-2</v>
      </c>
      <c r="L24">
        <f>IF($G24="s-curve",$E24+($F24-$E24)*$X$2/(1+EXP($X$3*(COUNT($I$9:L$9)+$X$4))),TREND($E24:$F24,$E$9:$F$9,L$9))</f>
        <v>6.8777803134611903E-2</v>
      </c>
      <c r="M24">
        <f>IF($G24="s-curve",$E24+($F24-$E24)*$X$2/(1+EXP($X$3*(COUNT($I$9:M$9)+$X$4))),TREND($E24:$F24,$E$9:$F$9,M$9))</f>
        <v>8.608614979905288E-2</v>
      </c>
      <c r="N24">
        <f>IF($G24="s-curve",$E24+($F24-$E24)*$X$2/(1+EXP($X$3*(COUNT($I$9:N$9)+$X$4))),TREND($E24:$F24,$E$9:$F$9,N$9))</f>
        <v>0.11021223591476392</v>
      </c>
      <c r="O24">
        <f>IF($G24="s-curve",$E24+($F24-$E24)*$X$2/(1+EXP($X$3*(COUNT($I$9:O$9)+$X$4))),TREND($E24:$F24,$E$9:$F$9,O$9))</f>
        <v>0.14287478317648508</v>
      </c>
      <c r="P24">
        <f>IF($G24="s-curve",$E24+($F24-$E24)*$X$2/(1+EXP($X$3*(COUNT($I$9:P$9)+$X$4))),TREND($E24:$F24,$E$9:$F$9,P$9))</f>
        <v>0.18539053428222468</v>
      </c>
      <c r="Q24">
        <f>IF($G24="s-curve",$E24+($F24-$E24)*$X$2/(1+EXP($X$3*(COUNT($I$9:Q$9)+$X$4))),TREND($E24:$F24,$E$9:$F$9,Q$9))</f>
        <v>0.2379883554627959</v>
      </c>
      <c r="R24">
        <f>IF($G24="s-curve",$E24+($F24-$E24)*$X$2/(1+EXP($X$3*(COUNT($I$9:R$9)+$X$4))),TREND($E24:$F24,$E$9:$F$9,R$9))</f>
        <v>0.29911463687665474</v>
      </c>
      <c r="S24">
        <f>IF($G24="s-curve",$E24+($F24-$E24)*$X$2/(1+EXP($X$3*(COUNT($I$9:S$9)+$X$4))),TREND($E24:$F24,$E$9:$F$9,S$9))</f>
        <v>0.36519657090640001</v>
      </c>
      <c r="T24">
        <f>IF($G24="s-curve",$E24+($F24-$E24)*$X$2/(1+EXP($X$3*(COUNT($I$9:T$9)+$X$4))),TREND($E24:$F24,$E$9:$F$9,T$9))</f>
        <v>0.43127850493614522</v>
      </c>
      <c r="U24">
        <f>IF($G24="s-curve",$E24+($F24-$E24)*$X$2/(1+EXP($X$3*(COUNT($I$9:U$9)+$X$4))),TREND($E24:$F24,$E$9:$F$9,U$9))</f>
        <v>0.49240478635000412</v>
      </c>
      <c r="V24">
        <f>IF($G24="s-curve",$E24+($F24-$E24)*$X$2/(1+EXP($X$3*(COUNT($I$9:V$9)+$X$4))),TREND($E24:$F24,$E$9:$F$9,V$9))</f>
        <v>0.54500260753057528</v>
      </c>
      <c r="W24">
        <f>IF($G24="s-curve",$E24+($F24-$E24)*$X$2/(1+EXP($X$3*(COUNT($I$9:W$9)+$X$4))),TREND($E24:$F24,$E$9:$F$9,W$9))</f>
        <v>0.58751835863631485</v>
      </c>
      <c r="X24">
        <f>IF($G24="s-curve",$E24+($F24-$E24)*$X$2/(1+EXP($X$3*(COUNT($I$9:X$9)+$X$4))),TREND($E24:$F24,$E$9:$F$9,X$9))</f>
        <v>0.62018090589803598</v>
      </c>
      <c r="Y24">
        <f>IF($G24="s-curve",$E24+($F24-$E24)*$X$2/(1+EXP($X$3*(COUNT($I$9:Y$9)+$X$4))),TREND($E24:$F24,$E$9:$F$9,Y$9))</f>
        <v>0.64430699201374708</v>
      </c>
      <c r="Z24">
        <f>IF($G24="s-curve",$E24+($F24-$E24)*$X$2/(1+EXP($X$3*(COUNT($I$9:Z$9)+$X$4))),TREND($E24:$F24,$E$9:$F$9,Z$9))</f>
        <v>0.66161533867818811</v>
      </c>
      <c r="AA24">
        <f>IF($G24="s-curve",$E24+($F24-$E24)*$X$2/(1+EXP($X$3*(COUNT($I$9:AA$9)+$X$4))),TREND($E24:$F24,$E$9:$F$9,AA$9))</f>
        <v>0.67377436340942776</v>
      </c>
      <c r="AB24">
        <f>IF($G24="s-curve",$E24+($F24-$E24)*$X$2/(1+EXP($X$3*(COUNT($I$9:AB$9)+$X$4))),TREND($E24:$F24,$E$9:$F$9,AB$9))</f>
        <v>0.68219047069376959</v>
      </c>
      <c r="AC24">
        <f>IF($G24="s-curve",$E24+($F24-$E24)*$X$2/(1+EXP($X$3*(COUNT($I$9:AC$9)+$X$4))),TREND($E24:$F24,$E$9:$F$9,AC$9))</f>
        <v>0.68795631045658845</v>
      </c>
      <c r="AD24">
        <f>IF($G24="s-curve",$E24+($F24-$E24)*$X$2/(1+EXP($X$3*(COUNT($I$9:AD$9)+$X$4))),TREND($E24:$F24,$E$9:$F$9,AD$9))</f>
        <v>0.69187871675545232</v>
      </c>
      <c r="AE24">
        <f>IF($G24="s-curve",$E24+($F24-$E24)*$X$2/(1+EXP($X$3*(COUNT($I$9:AE$9)+$X$4))),TREND($E24:$F24,$E$9:$F$9,AE$9))</f>
        <v>0.69453428637540304</v>
      </c>
      <c r="AF24">
        <f>IF($G24="s-curve",$E24+($F24-$E24)*$X$2/(1+EXP($X$3*(COUNT($I$9:AF$9)+$X$4))),TREND($E24:$F24,$E$9:$F$9,AF$9))</f>
        <v>0.69632633663086296</v>
      </c>
      <c r="AG24">
        <f>IF($G24="s-curve",$E24+($F24-$E24)*$X$2/(1+EXP($X$3*(COUNT($I$9:AG$9)+$X$4))),TREND($E24:$F24,$E$9:$F$9,AG$9))</f>
        <v>0.6975330076961308</v>
      </c>
      <c r="AH24">
        <f>IF($G24="s-curve",$E24+($F24-$E24)*$X$2/(1+EXP($X$3*(COUNT($I$9:AH$9)+$X$4))),TREND($E24:$F24,$E$9:$F$9,AH$9))</f>
        <v>0.69834431457660484</v>
      </c>
      <c r="AI24">
        <f>IF($G24="s-curve",$E24+($F24-$E24)*$X$2/(1+EXP($X$3*(COUNT($I$9:AI$9)+$X$4))),TREND($E24:$F24,$E$9:$F$9,AI$9))</f>
        <v>0.69888925542034686</v>
      </c>
    </row>
    <row r="25" spans="1:35" x14ac:dyDescent="0.35">
      <c r="C25" t="s">
        <v>2</v>
      </c>
      <c r="D25">
        <v>0</v>
      </c>
      <c r="E25">
        <v>0</v>
      </c>
      <c r="F25" s="17">
        <f>E25</f>
        <v>0</v>
      </c>
      <c r="G25" s="5" t="str">
        <f>IF(E25=F25,"n/a",IF(OR(C25="battery electric vehicle",C25="natural gas vehicle",C25="plugin hybrid vehicle"),"s-curve","linear"))</f>
        <v>n/a</v>
      </c>
      <c r="I25" s="17">
        <f t="shared" ref="I25:I30" si="4">D25</f>
        <v>0</v>
      </c>
      <c r="J25" s="17">
        <f t="shared" ref="J25:J30" si="5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35">
      <c r="C26" t="s">
        <v>3</v>
      </c>
      <c r="D26">
        <v>0</v>
      </c>
      <c r="E26">
        <v>0</v>
      </c>
      <c r="F26" s="17">
        <f>E26</f>
        <v>0</v>
      </c>
      <c r="G26" s="5" t="str">
        <f>IF(E26=F26,"n/a",IF(OR(C26="battery electric vehicle",C26="natural gas vehicle",C26="plugin hybrid vehicle"),"s-curve","linear"))</f>
        <v>n/a</v>
      </c>
      <c r="I26" s="17">
        <f t="shared" si="4"/>
        <v>0</v>
      </c>
      <c r="J26" s="17">
        <f t="shared" si="5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35">
      <c r="C27" t="s">
        <v>4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7">
        <f t="shared" si="4"/>
        <v>1</v>
      </c>
      <c r="J27" s="17">
        <f t="shared" si="5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35">
      <c r="C28" t="s">
        <v>5</v>
      </c>
      <c r="D28">
        <v>0</v>
      </c>
      <c r="E28">
        <v>0</v>
      </c>
      <c r="F28" s="17">
        <f>E28</f>
        <v>0</v>
      </c>
      <c r="G28" s="5" t="str">
        <f>IF(E28=F28,"n/a",IF(OR(C28="battery electric vehicle",C28="natural gas vehicle",C28="plugin hybrid vehicle"),"s-curve","linear"))</f>
        <v>n/a</v>
      </c>
      <c r="I28" s="17">
        <f t="shared" si="4"/>
        <v>0</v>
      </c>
      <c r="J28" s="17">
        <f t="shared" si="5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35">
      <c r="C29" t="s">
        <v>33</v>
      </c>
      <c r="D29">
        <v>0</v>
      </c>
      <c r="E29">
        <v>0</v>
      </c>
      <c r="F29" s="17">
        <f>E29</f>
        <v>0</v>
      </c>
      <c r="G29" s="5" t="str">
        <f>IF(E29=F29,"n/a",IF(OR(C29="battery electric vehicle",C29="natural gas vehicle",C29="plugin hybrid vehicle",C29="hydrogen vehicle"),"s-curve","linear"))</f>
        <v>n/a</v>
      </c>
      <c r="I29" s="17">
        <f t="shared" si="4"/>
        <v>0</v>
      </c>
      <c r="J29" s="17">
        <f t="shared" si="5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ht="15" thickBot="1" x14ac:dyDescent="0.4">
      <c r="A30" s="18"/>
      <c r="B30" s="18"/>
      <c r="C30" s="18" t="s">
        <v>34</v>
      </c>
      <c r="D30">
        <v>0</v>
      </c>
      <c r="E30">
        <v>0</v>
      </c>
      <c r="F30" s="21">
        <f>E30</f>
        <v>0</v>
      </c>
      <c r="G30" s="6" t="str">
        <f>IF(E30=F30,"n/a",IF(OR(C30="battery electric vehicle",C30="natural gas vehicle",C30="plugin hybrid vehicle",C30="hydrogen vehicle"),"s-curve","linear"))</f>
        <v>n/a</v>
      </c>
      <c r="I30" s="17">
        <f t="shared" si="4"/>
        <v>0</v>
      </c>
      <c r="J30" s="17">
        <f t="shared" si="5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35">
      <c r="A31" t="s">
        <v>13</v>
      </c>
      <c r="B31" t="s">
        <v>18</v>
      </c>
      <c r="C31" t="s">
        <v>1</v>
      </c>
      <c r="D31">
        <v>3.9969151262900003E-3</v>
      </c>
      <c r="E31">
        <v>5.0541532112899999E-3</v>
      </c>
      <c r="F31" s="17">
        <v>0.3</v>
      </c>
      <c r="G31" s="5" t="str">
        <f>IF(E31=F31,"n/a",IF(OR(C31="battery electric vehicle",C31="natural gas vehicle",C31="plugin hybrid vehicle"),"s-curve","linear"))</f>
        <v>s-curve</v>
      </c>
      <c r="I31" s="17">
        <f>D31</f>
        <v>3.9969151262900003E-3</v>
      </c>
      <c r="J31" s="17">
        <f>E31</f>
        <v>5.0541532112899999E-3</v>
      </c>
      <c r="K31">
        <f>IF($G31="s-curve",$E31+($F31-$E31)*$R$2/(1+EXP($R$3*(COUNT($K$9:K$9)+$R$4))),TREND($E31:$F31,$E$9:$F$9,K$9))</f>
        <v>1.0359111139078626E-2</v>
      </c>
      <c r="L31">
        <f>IF($G31="s-curve",$E31+($F31-$E31)*$R$2/(1+EXP($R$3*(COUNT($K$9:L$9)+$R$4))),TREND($E31:$F31,$E$9:$F$9,L$9))</f>
        <v>1.289882600385258E-2</v>
      </c>
      <c r="M31">
        <f>IF($G31="s-curve",$E31+($F31-$E31)*$R$2/(1+EXP($R$3*(COUNT($K$9:M$9)+$R$4))),TREND($E31:$F31,$E$9:$F$9,M$9))</f>
        <v>1.6605920486673545E-2</v>
      </c>
      <c r="N31">
        <f>IF($G31="s-curve",$E31+($F31-$E31)*$R$2/(1+EXP($R$3*(COUNT($K$9:N$9)+$R$4))),TREND($E31:$F31,$E$9:$F$9,N$9))</f>
        <v>2.1961680813246801E-2</v>
      </c>
      <c r="O31">
        <f>IF($G31="s-curve",$E31+($F31-$E31)*$R$2/(1+EXP($R$3*(COUNT($K$9:O$9)+$R$4))),TREND($E31:$F31,$E$9:$F$9,O$9))</f>
        <v>2.9585594608390296E-2</v>
      </c>
      <c r="P31">
        <f>IF($G31="s-curve",$E31+($F31-$E31)*$R$2/(1+EXP($R$3*(COUNT($K$9:P$9)+$R$4))),TREND($E31:$F31,$E$9:$F$9,P$9))</f>
        <v>4.0212559986792025E-2</v>
      </c>
      <c r="Q31">
        <f>IF($G31="s-curve",$E31+($F31-$E31)*$R$2/(1+EXP($R$3*(COUNT($K$9:Q$9)+$R$4))),TREND($E31:$F31,$E$9:$F$9,Q$9))</f>
        <v>5.4599632852899593E-2</v>
      </c>
      <c r="R31">
        <f>IF($G31="s-curve",$E31+($F31-$E31)*$R$2/(1+EXP($R$3*(COUNT($K$9:R$9)+$R$4))),TREND($E31:$F31,$E$9:$F$9,R$9))</f>
        <v>7.3326806952772217E-2</v>
      </c>
      <c r="S31">
        <f>IF($G31="s-curve",$E31+($F31-$E31)*$R$2/(1+EXP($R$3*(COUNT($K$9:S$9)+$R$4))),TREND($E31:$F31,$E$9:$F$9,S$9))</f>
        <v>9.6494892401215532E-2</v>
      </c>
      <c r="T31">
        <f>IF($G31="s-curve",$E31+($F31-$E31)*$R$2/(1+EXP($R$3*(COUNT($K$9:T$9)+$R$4))),TREND($E31:$F31,$E$9:$F$9,T$9))</f>
        <v>0.12341956112618145</v>
      </c>
      <c r="U31">
        <f>IF($G31="s-curve",$E31+($F31-$E31)*$R$2/(1+EXP($R$3*(COUNT($K$9:U$9)+$R$4))),TREND($E31:$F31,$E$9:$F$9,U$9))</f>
        <v>0.15252707660564499</v>
      </c>
      <c r="V31">
        <f>IF($G31="s-curve",$E31+($F31-$E31)*$R$2/(1+EXP($R$3*(COUNT($K$9:V$9)+$R$4))),TREND($E31:$F31,$E$9:$F$9,V$9))</f>
        <v>0.18163459208510854</v>
      </c>
      <c r="W31">
        <f>IF($G31="s-curve",$E31+($F31-$E31)*$R$2/(1+EXP($R$3*(COUNT($K$9:W$9)+$R$4))),TREND($E31:$F31,$E$9:$F$9,W$9))</f>
        <v>0.20855926081007445</v>
      </c>
      <c r="X31">
        <f>IF($G31="s-curve",$E31+($F31-$E31)*$R$2/(1+EXP($R$3*(COUNT($K$9:X$9)+$R$4))),TREND($E31:$F31,$E$9:$F$9,X$9))</f>
        <v>0.23172734625851779</v>
      </c>
      <c r="Y31">
        <f>IF($G31="s-curve",$E31+($F31-$E31)*$R$2/(1+EXP($R$3*(COUNT($K$9:Y$9)+$R$4))),TREND($E31:$F31,$E$9:$F$9,Y$9))</f>
        <v>0.25045452035839039</v>
      </c>
      <c r="Z31">
        <f>IF($G31="s-curve",$E31+($F31-$E31)*$R$2/(1+EXP($R$3*(COUNT($K$9:Z$9)+$R$4))),TREND($E31:$F31,$E$9:$F$9,Z$9))</f>
        <v>0.26484159322449791</v>
      </c>
      <c r="AA31">
        <f>IF($G31="s-curve",$E31+($F31-$E31)*$R$2/(1+EXP($R$3*(COUNT($K$9:AA$9)+$R$4))),TREND($E31:$F31,$E$9:$F$9,AA$9))</f>
        <v>0.2754685586028997</v>
      </c>
      <c r="AB31">
        <f>IF($G31="s-curve",$E31+($F31-$E31)*$R$2/(1+EXP($R$3*(COUNT($K$9:AB$9)+$R$4))),TREND($E31:$F31,$E$9:$F$9,AB$9))</f>
        <v>0.28309247239804319</v>
      </c>
      <c r="AC31">
        <f>IF($G31="s-curve",$E31+($F31-$E31)*$R$2/(1+EXP($R$3*(COUNT($K$9:AC$9)+$R$4))),TREND($E31:$F31,$E$9:$F$9,AC$9))</f>
        <v>0.28844823272461645</v>
      </c>
      <c r="AD31">
        <f>IF($G31="s-curve",$E31+($F31-$E31)*$R$2/(1+EXP($R$3*(COUNT($K$9:AD$9)+$R$4))),TREND($E31:$F31,$E$9:$F$9,AD$9))</f>
        <v>0.29215532720743737</v>
      </c>
      <c r="AE31">
        <f>IF($G31="s-curve",$E31+($F31-$E31)*$R$2/(1+EXP($R$3*(COUNT($K$9:AE$9)+$R$4))),TREND($E31:$F31,$E$9:$F$9,AE$9))</f>
        <v>0.29469504207221137</v>
      </c>
      <c r="AF31">
        <f>IF($G31="s-curve",$E31+($F31-$E31)*$R$2/(1+EXP($R$3*(COUNT($K$9:AF$9)+$R$4))),TREND($E31:$F31,$E$9:$F$9,AF$9))</f>
        <v>0.29642276847334142</v>
      </c>
      <c r="AG31">
        <f>IF($G31="s-curve",$E31+($F31-$E31)*$R$2/(1+EXP($R$3*(COUNT($K$9:AG$9)+$R$4))),TREND($E31:$F31,$E$9:$F$9,AG$9))</f>
        <v>0.29759248353925816</v>
      </c>
      <c r="AH31">
        <f>IF($G31="s-curve",$E31+($F31-$E31)*$R$2/(1+EXP($R$3*(COUNT($K$9:AH$9)+$R$4))),TREND($E31:$F31,$E$9:$F$9,AH$9))</f>
        <v>0.29838183892536557</v>
      </c>
      <c r="AI31">
        <f>IF($G31="s-curve",$E31+($F31-$E31)*$R$2/(1+EXP($R$3*(COUNT($K$9:AI$9)+$R$4))),TREND($E31:$F31,$E$9:$F$9,AI$9))</f>
        <v>0.29891334874308811</v>
      </c>
    </row>
    <row r="32" spans="1:35" x14ac:dyDescent="0.35">
      <c r="C32" t="s">
        <v>2</v>
      </c>
      <c r="D32">
        <v>0</v>
      </c>
      <c r="E32">
        <v>0</v>
      </c>
      <c r="F32" s="17">
        <f>E32</f>
        <v>0</v>
      </c>
      <c r="G32" s="5" t="str">
        <f>IF(E32=F32,"n/a",IF(OR(C32="battery electric vehicle",C32="natural gas vehicle",C32="plugin hybrid vehicle"),"s-curve","linear"))</f>
        <v>n/a</v>
      </c>
      <c r="I32" s="17">
        <f t="shared" ref="I32:I37" si="6">D32</f>
        <v>0</v>
      </c>
      <c r="J32" s="17">
        <f t="shared" ref="J32:J37" si="7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35">
      <c r="C33" t="s">
        <v>3</v>
      </c>
      <c r="D33">
        <v>0</v>
      </c>
      <c r="E33">
        <v>0</v>
      </c>
      <c r="F33" s="17">
        <f>E33</f>
        <v>0</v>
      </c>
      <c r="G33" s="5" t="str">
        <f>IF(E33=F33,"n/a",IF(OR(C33="battery electric vehicle",C33="natural gas vehicle",C33="plugin hybrid vehicle"),"s-curve","linear"))</f>
        <v>n/a</v>
      </c>
      <c r="I33" s="17">
        <f t="shared" si="6"/>
        <v>0</v>
      </c>
      <c r="J33" s="17">
        <f t="shared" si="7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35">
      <c r="C34" t="s">
        <v>4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7">
        <f t="shared" si="6"/>
        <v>1</v>
      </c>
      <c r="J34" s="17">
        <f t="shared" si="7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35">
      <c r="C35" t="s">
        <v>5</v>
      </c>
      <c r="D35">
        <v>0</v>
      </c>
      <c r="E35">
        <v>0</v>
      </c>
      <c r="F35" s="17">
        <f>E35</f>
        <v>0</v>
      </c>
      <c r="G35" s="5" t="str">
        <f>IF(E35=F35,"n/a",IF(OR(C35="battery electric vehicle",C35="natural gas vehicle",C35="plugin hybrid vehicle"),"s-curve","linear"))</f>
        <v>n/a</v>
      </c>
      <c r="I35" s="17">
        <f t="shared" si="6"/>
        <v>0</v>
      </c>
      <c r="J35" s="17">
        <f t="shared" si="7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35">
      <c r="C36" t="s">
        <v>33</v>
      </c>
      <c r="D36">
        <v>0</v>
      </c>
      <c r="E36">
        <v>0</v>
      </c>
      <c r="F36" s="17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7">
        <f t="shared" si="6"/>
        <v>0</v>
      </c>
      <c r="J36" s="17">
        <f t="shared" si="7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" thickBot="1" x14ac:dyDescent="0.4">
      <c r="A37" s="18"/>
      <c r="B37" s="18"/>
      <c r="C37" s="18" t="s">
        <v>34</v>
      </c>
      <c r="D37">
        <v>0</v>
      </c>
      <c r="E37">
        <v>0</v>
      </c>
      <c r="F37" s="21">
        <f>E37</f>
        <v>0</v>
      </c>
      <c r="G37" s="6" t="str">
        <f>IF(E37=F37,"n/a",IF(OR(C37="battery electric vehicle",C37="natural gas vehicle",C37="plugin hybrid vehicle",C37="hydrogen vehicle"),"s-curve","linear"))</f>
        <v>n/a</v>
      </c>
      <c r="I37" s="17">
        <f t="shared" si="6"/>
        <v>0</v>
      </c>
      <c r="J37" s="17">
        <f t="shared" si="7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35">
      <c r="A38" t="s">
        <v>14</v>
      </c>
      <c r="B38" t="s">
        <v>19</v>
      </c>
      <c r="C38" t="s">
        <v>1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7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35">
      <c r="C39" t="s">
        <v>2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7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35">
      <c r="C40" t="s">
        <v>3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7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35">
      <c r="C41" t="s">
        <v>4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7">
        <f t="shared" ref="I41:I72" si="8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35">
      <c r="C42" t="s">
        <v>5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7">
        <f t="shared" si="8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35">
      <c r="C43" t="s">
        <v>33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7">
        <f t="shared" si="8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" thickBot="1" x14ac:dyDescent="0.4">
      <c r="A44" s="18"/>
      <c r="B44" s="18"/>
      <c r="C44" s="18" t="s">
        <v>34</v>
      </c>
      <c r="D44" s="18"/>
      <c r="E44" s="18">
        <v>0</v>
      </c>
      <c r="F44" s="18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7">
        <f t="shared" si="8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35">
      <c r="A45" t="s">
        <v>14</v>
      </c>
      <c r="B45" t="s">
        <v>18</v>
      </c>
      <c r="C45" t="s">
        <v>1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7">
        <f t="shared" si="8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35">
      <c r="C46" t="s">
        <v>2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7">
        <f t="shared" si="8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35">
      <c r="C47" t="s">
        <v>3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7">
        <f t="shared" si="8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35">
      <c r="C48" t="s">
        <v>4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7">
        <f t="shared" si="8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35">
      <c r="C49" t="s">
        <v>5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7">
        <f t="shared" si="8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35">
      <c r="C50" t="s">
        <v>33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7">
        <f t="shared" si="8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" thickBot="1" x14ac:dyDescent="0.4">
      <c r="A51" s="18"/>
      <c r="B51" s="18"/>
      <c r="C51" s="18" t="s">
        <v>34</v>
      </c>
      <c r="D51" s="18"/>
      <c r="E51" s="18">
        <v>0</v>
      </c>
      <c r="F51" s="18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7">
        <f t="shared" si="8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35">
      <c r="A52" t="s">
        <v>15</v>
      </c>
      <c r="B52" t="s">
        <v>19</v>
      </c>
      <c r="C52" t="s">
        <v>1</v>
      </c>
      <c r="E52" s="17">
        <f>'SYVbT-passenger'!B5/SUM('SYVbT-passenger'!B5:H5)</f>
        <v>0.93664816810144857</v>
      </c>
      <c r="F52">
        <v>1</v>
      </c>
      <c r="G52" s="5" t="str">
        <f>IF(E52=F52,"n/a",IF(OR(C52="battery electric vehicle",C52="natural gas vehicle",C52="plugin hybrid vehicle"),"s-curve","linear"))</f>
        <v>s-curve</v>
      </c>
      <c r="I52" s="17">
        <f t="shared" si="8"/>
        <v>0.93664816810144857</v>
      </c>
      <c r="J52">
        <f>IF($G52="s-curve",$E52+($F52-$E52)*$I$2/(1+EXP($I$3*(COUNT($I$9:J$9)+$I$4))),TREND($E52:$F52,$E$9:$F$9,J$9))</f>
        <v>0.93758413007374464</v>
      </c>
      <c r="K52">
        <f>IF($G52="s-curve",$E52+($F52-$E52)*$I$2/(1+EXP($I$3*(COUNT($I$9:K$9)+$I$4))),TREND($E52:$F52,$E$9:$F$9,K$9))</f>
        <v>0.93790508781512971</v>
      </c>
      <c r="L52">
        <f>IF($G52="s-curve",$E52+($F52-$E52)*$I$2/(1+EXP($I$3*(COUNT($I$9:L$9)+$I$4))),TREND($E52:$F52,$E$9:$F$9,L$9))</f>
        <v>0.93833313636753701</v>
      </c>
      <c r="M52">
        <f>IF($G52="s-curve",$E52+($F52-$E52)*$I$2/(1+EXP($I$3*(COUNT($I$9:M$9)+$I$4))),TREND($E52:$F52,$E$9:$F$9,M$9))</f>
        <v>0.93890166810468023</v>
      </c>
      <c r="N52">
        <f>IF($G52="s-curve",$E52+($F52-$E52)*$I$2/(1+EXP($I$3*(COUNT($I$9:N$9)+$I$4))),TREND($E52:$F52,$E$9:$F$9,N$9))</f>
        <v>0.93965268404663582</v>
      </c>
      <c r="O52">
        <f>IF($G52="s-curve",$E52+($F52-$E52)*$I$2/(1+EXP($I$3*(COUNT($I$9:O$9)+$I$4))),TREND($E52:$F52,$E$9:$F$9,O$9))</f>
        <v>0.94063764556845908</v>
      </c>
      <c r="P52">
        <f>IF($G52="s-curve",$E52+($F52-$E52)*$I$2/(1+EXP($I$3*(COUNT($I$9:P$9)+$I$4))),TREND($E52:$F52,$E$9:$F$9,P$9))</f>
        <v>0.94191731078828078</v>
      </c>
      <c r="Q52">
        <f>IF($G52="s-curve",$E52+($F52-$E52)*$I$2/(1+EXP($I$3*(COUNT($I$9:Q$9)+$I$4))),TREND($E52:$F52,$E$9:$F$9,Q$9))</f>
        <v>0.94355965157849941</v>
      </c>
      <c r="R52">
        <f>IF($G52="s-curve",$E52+($F52-$E52)*$I$2/(1+EXP($I$3*(COUNT($I$9:R$9)+$I$4))),TREND($E52:$F52,$E$9:$F$9,R$9))</f>
        <v>0.94563469291965474</v>
      </c>
      <c r="S52">
        <f>IF($G52="s-curve",$E52+($F52-$E52)*$I$2/(1+EXP($I$3*(COUNT($I$9:S$9)+$I$4))),TREND($E52:$F52,$E$9:$F$9,S$9))</f>
        <v>0.94820515921963411</v>
      </c>
      <c r="T52">
        <f>IF($G52="s-curve",$E52+($F52-$E52)*$I$2/(1+EXP($I$3*(COUNT($I$9:T$9)+$I$4))),TREND($E52:$F52,$E$9:$F$9,T$9))</f>
        <v>0.95131254710589963</v>
      </c>
      <c r="U52">
        <f>IF($G52="s-curve",$E52+($F52-$E52)*$I$2/(1+EXP($I$3*(COUNT($I$9:U$9)+$I$4))),TREND($E52:$F52,$E$9:$F$9,U$9))</f>
        <v>0.95496004662134204</v>
      </c>
      <c r="V52">
        <f>IF($G52="s-curve",$E52+($F52-$E52)*$I$2/(1+EXP($I$3*(COUNT($I$9:V$9)+$I$4))),TREND($E52:$F52,$E$9:$F$9,V$9))</f>
        <v>0.95909649022374377</v>
      </c>
      <c r="W52">
        <f>IF($G52="s-curve",$E52+($F52-$E52)*$I$2/(1+EXP($I$3*(COUNT($I$9:W$9)+$I$4))),TREND($E52:$F52,$E$9:$F$9,W$9))</f>
        <v>0.96360801423956699</v>
      </c>
      <c r="X52">
        <f>IF($G52="s-curve",$E52+($F52-$E52)*$I$2/(1+EXP($I$3*(COUNT($I$9:X$9)+$I$4))),TREND($E52:$F52,$E$9:$F$9,X$9))</f>
        <v>0.96832408405072434</v>
      </c>
      <c r="Y52">
        <f>IF($G52="s-curve",$E52+($F52-$E52)*$I$2/(1+EXP($I$3*(COUNT($I$9:Y$9)+$I$4))),TREND($E52:$F52,$E$9:$F$9,Y$9))</f>
        <v>0.97304015386188158</v>
      </c>
      <c r="Z52">
        <f>IF($G52="s-curve",$E52+($F52-$E52)*$I$2/(1+EXP($I$3*(COUNT($I$9:Z$9)+$I$4))),TREND($E52:$F52,$E$9:$F$9,Z$9))</f>
        <v>0.97755167787770481</v>
      </c>
      <c r="AA52">
        <f>IF($G52="s-curve",$E52+($F52-$E52)*$I$2/(1+EXP($I$3*(COUNT($I$9:AA$9)+$I$4))),TREND($E52:$F52,$E$9:$F$9,AA$9))</f>
        <v>0.98168812148010653</v>
      </c>
      <c r="AB52">
        <f>IF($G52="s-curve",$E52+($F52-$E52)*$I$2/(1+EXP($I$3*(COUNT($I$9:AB$9)+$I$4))),TREND($E52:$F52,$E$9:$F$9,AB$9))</f>
        <v>0.98533562099554894</v>
      </c>
      <c r="AC52">
        <f>IF($G52="s-curve",$E52+($F52-$E52)*$I$2/(1+EXP($I$3*(COUNT($I$9:AC$9)+$I$4))),TREND($E52:$F52,$E$9:$F$9,AC$9))</f>
        <v>0.98844300888181458</v>
      </c>
      <c r="AD52">
        <f>IF($G52="s-curve",$E52+($F52-$E52)*$I$2/(1+EXP($I$3*(COUNT($I$9:AD$9)+$I$4))),TREND($E52:$F52,$E$9:$F$9,AD$9))</f>
        <v>0.99101347518179383</v>
      </c>
      <c r="AE52">
        <f>IF($G52="s-curve",$E52+($F52-$E52)*$I$2/(1+EXP($I$3*(COUNT($I$9:AE$9)+$I$4))),TREND($E52:$F52,$E$9:$F$9,AE$9))</f>
        <v>0.99308851652294916</v>
      </c>
      <c r="AF52">
        <f>IF($G52="s-curve",$E52+($F52-$E52)*$I$2/(1+EXP($I$3*(COUNT($I$9:AF$9)+$I$4))),TREND($E52:$F52,$E$9:$F$9,AF$9))</f>
        <v>0.99473085731316779</v>
      </c>
      <c r="AG52">
        <f>IF($G52="s-curve",$E52+($F52-$E52)*$I$2/(1+EXP($I$3*(COUNT($I$9:AG$9)+$I$4))),TREND($E52:$F52,$E$9:$F$9,AG$9))</f>
        <v>0.9960105225329895</v>
      </c>
      <c r="AH52">
        <f>IF($G52="s-curve",$E52+($F52-$E52)*$I$2/(1+EXP($I$3*(COUNT($I$9:AH$9)+$I$4))),TREND($E52:$F52,$E$9:$F$9,AH$9))</f>
        <v>0.99699548405481275</v>
      </c>
      <c r="AI52">
        <f>IF($G52="s-curve",$E52+($F52-$E52)*$I$2/(1+EXP($I$3*(COUNT($I$9:AI$9)+$I$4))),TREND($E52:$F52,$E$9:$F$9,AI$9))</f>
        <v>0.99774649999676845</v>
      </c>
    </row>
    <row r="53" spans="1:35" x14ac:dyDescent="0.35">
      <c r="C53" t="s">
        <v>2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7">
        <f t="shared" si="8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35">
      <c r="C54" t="s">
        <v>3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7">
        <f t="shared" si="8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35">
      <c r="C55" t="s">
        <v>4</v>
      </c>
      <c r="E55" s="17">
        <f>1-E52</f>
        <v>6.3351831898551425E-2</v>
      </c>
      <c r="F55">
        <v>1</v>
      </c>
      <c r="G55" s="5" t="str">
        <f>IF(E55=F55,"n/a",IF(OR(C55="battery electric vehicle",C55="natural gas vehicle",C55="plugin hybrid vehicle"),"s-curve","linear"))</f>
        <v>linear</v>
      </c>
      <c r="I55" s="17">
        <f t="shared" si="8"/>
        <v>6.3351831898551425E-2</v>
      </c>
      <c r="J55">
        <f>IF($G55="s-curve",$E55+($F55-$E55)*$I$2/(1+EXP($I$3*(COUNT($I$9:J$9)+$I$4))),TREND($E55:$F55,$E$9:$F$9,J$9))</f>
        <v>6.3351831898557975E-2</v>
      </c>
      <c r="K55">
        <f>IF($G55="s-curve",$E55+($F55-$E55)*$I$2/(1+EXP($I$3*(COUNT($I$9:K$9)+$I$4))),TREND($E55:$F55,$E$9:$F$9,K$9))</f>
        <v>0.10081775862262532</v>
      </c>
      <c r="L55">
        <f>IF($G55="s-curve",$E55+($F55-$E55)*$I$2/(1+EXP($I$3*(COUNT($I$9:L$9)+$I$4))),TREND($E55:$F55,$E$9:$F$9,L$9))</f>
        <v>0.13828368534667845</v>
      </c>
      <c r="M55">
        <f>IF($G55="s-curve",$E55+($F55-$E55)*$I$2/(1+EXP($I$3*(COUNT($I$9:M$9)+$I$4))),TREND($E55:$F55,$E$9:$F$9,M$9))</f>
        <v>0.17574961207073159</v>
      </c>
      <c r="N55">
        <f>IF($G55="s-curve",$E55+($F55-$E55)*$I$2/(1+EXP($I$3*(COUNT($I$9:N$9)+$I$4))),TREND($E55:$F55,$E$9:$F$9,N$9))</f>
        <v>0.21321553879479893</v>
      </c>
      <c r="O55">
        <f>IF($G55="s-curve",$E55+($F55-$E55)*$I$2/(1+EXP($I$3*(COUNT($I$9:O$9)+$I$4))),TREND($E55:$F55,$E$9:$F$9,O$9))</f>
        <v>0.25068146551885206</v>
      </c>
      <c r="P55">
        <f>IF($G55="s-curve",$E55+($F55-$E55)*$I$2/(1+EXP($I$3*(COUNT($I$9:P$9)+$I$4))),TREND($E55:$F55,$E$9:$F$9,P$9))</f>
        <v>0.2881473922429052</v>
      </c>
      <c r="Q55">
        <f>IF($G55="s-curve",$E55+($F55-$E55)*$I$2/(1+EXP($I$3*(COUNT($I$9:Q$9)+$I$4))),TREND($E55:$F55,$E$9:$F$9,Q$9))</f>
        <v>0.32561331896697254</v>
      </c>
      <c r="R55">
        <f>IF($G55="s-curve",$E55+($F55-$E55)*$I$2/(1+EXP($I$3*(COUNT($I$9:R$9)+$I$4))),TREND($E55:$F55,$E$9:$F$9,R$9))</f>
        <v>0.36307924569102568</v>
      </c>
      <c r="S55">
        <f>IF($G55="s-curve",$E55+($F55-$E55)*$I$2/(1+EXP($I$3*(COUNT($I$9:S$9)+$I$4))),TREND($E55:$F55,$E$9:$F$9,S$9))</f>
        <v>0.40054517241507881</v>
      </c>
      <c r="T55">
        <f>IF($G55="s-curve",$E55+($F55-$E55)*$I$2/(1+EXP($I$3*(COUNT($I$9:T$9)+$I$4))),TREND($E55:$F55,$E$9:$F$9,T$9))</f>
        <v>0.43801109913914615</v>
      </c>
      <c r="U55">
        <f>IF($G55="s-curve",$E55+($F55-$E55)*$I$2/(1+EXP($I$3*(COUNT($I$9:U$9)+$I$4))),TREND($E55:$F55,$E$9:$F$9,U$9))</f>
        <v>0.47547702586319929</v>
      </c>
      <c r="V55">
        <f>IF($G55="s-curve",$E55+($F55-$E55)*$I$2/(1+EXP($I$3*(COUNT($I$9:V$9)+$I$4))),TREND($E55:$F55,$E$9:$F$9,V$9))</f>
        <v>0.51294295258725242</v>
      </c>
      <c r="W55">
        <f>IF($G55="s-curve",$E55+($F55-$E55)*$I$2/(1+EXP($I$3*(COUNT($I$9:W$9)+$I$4))),TREND($E55:$F55,$E$9:$F$9,W$9))</f>
        <v>0.55040887931131977</v>
      </c>
      <c r="X55">
        <f>IF($G55="s-curve",$E55+($F55-$E55)*$I$2/(1+EXP($I$3*(COUNT($I$9:X$9)+$I$4))),TREND($E55:$F55,$E$9:$F$9,X$9))</f>
        <v>0.5878748060353729</v>
      </c>
      <c r="Y55">
        <f>IF($G55="s-curve",$E55+($F55-$E55)*$I$2/(1+EXP($I$3*(COUNT($I$9:Y$9)+$I$4))),TREND($E55:$F55,$E$9:$F$9,Y$9))</f>
        <v>0.62534073275942603</v>
      </c>
      <c r="Z55">
        <f>IF($G55="s-curve",$E55+($F55-$E55)*$I$2/(1+EXP($I$3*(COUNT($I$9:Z$9)+$I$4))),TREND($E55:$F55,$E$9:$F$9,Z$9))</f>
        <v>0.66280665948349338</v>
      </c>
      <c r="AA55">
        <f>IF($G55="s-curve",$E55+($F55-$E55)*$I$2/(1+EXP($I$3*(COUNT($I$9:AA$9)+$I$4))),TREND($E55:$F55,$E$9:$F$9,AA$9))</f>
        <v>0.70027258620754651</v>
      </c>
      <c r="AB55">
        <f>IF($G55="s-curve",$E55+($F55-$E55)*$I$2/(1+EXP($I$3*(COUNT($I$9:AB$9)+$I$4))),TREND($E55:$F55,$E$9:$F$9,AB$9))</f>
        <v>0.73773851293159964</v>
      </c>
      <c r="AC55">
        <f>IF($G55="s-curve",$E55+($F55-$E55)*$I$2/(1+EXP($I$3*(COUNT($I$9:AC$9)+$I$4))),TREND($E55:$F55,$E$9:$F$9,AC$9))</f>
        <v>0.77520443965566699</v>
      </c>
      <c r="AD55">
        <f>IF($G55="s-curve",$E55+($F55-$E55)*$I$2/(1+EXP($I$3*(COUNT($I$9:AD$9)+$I$4))),TREND($E55:$F55,$E$9:$F$9,AD$9))</f>
        <v>0.81267036637972012</v>
      </c>
      <c r="AE55">
        <f>IF($G55="s-curve",$E55+($F55-$E55)*$I$2/(1+EXP($I$3*(COUNT($I$9:AE$9)+$I$4))),TREND($E55:$F55,$E$9:$F$9,AE$9))</f>
        <v>0.85013629310377326</v>
      </c>
      <c r="AF55">
        <f>IF($G55="s-curve",$E55+($F55-$E55)*$I$2/(1+EXP($I$3*(COUNT($I$9:AF$9)+$I$4))),TREND($E55:$F55,$E$9:$F$9,AF$9))</f>
        <v>0.8876022198278406</v>
      </c>
      <c r="AG55">
        <f>IF($G55="s-curve",$E55+($F55-$E55)*$I$2/(1+EXP($I$3*(COUNT($I$9:AG$9)+$I$4))),TREND($E55:$F55,$E$9:$F$9,AG$9))</f>
        <v>0.92506814655189373</v>
      </c>
      <c r="AH55">
        <f>IF($G55="s-curve",$E55+($F55-$E55)*$I$2/(1+EXP($I$3*(COUNT($I$9:AH$9)+$I$4))),TREND($E55:$F55,$E$9:$F$9,AH$9))</f>
        <v>0.96253407327594687</v>
      </c>
      <c r="AI55">
        <f>IF($G55="s-curve",$E55+($F55-$E55)*$I$2/(1+EXP($I$3*(COUNT($I$9:AI$9)+$I$4))),TREND($E55:$F55,$E$9:$F$9,AI$9))</f>
        <v>1.0000000000000142</v>
      </c>
    </row>
    <row r="56" spans="1:35" x14ac:dyDescent="0.35">
      <c r="C56" t="s">
        <v>5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7">
        <f t="shared" si="8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35">
      <c r="C57" t="s">
        <v>33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7">
        <f t="shared" si="8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" thickBot="1" x14ac:dyDescent="0.4">
      <c r="A58" s="18"/>
      <c r="B58" s="18"/>
      <c r="C58" s="18" t="s">
        <v>34</v>
      </c>
      <c r="D58" s="18"/>
      <c r="E58" s="18">
        <v>0</v>
      </c>
      <c r="F58" s="18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7">
        <f t="shared" si="8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35">
      <c r="A59" t="s">
        <v>15</v>
      </c>
      <c r="B59" t="s">
        <v>18</v>
      </c>
      <c r="C59" t="s">
        <v>1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7">
        <f t="shared" si="8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35">
      <c r="C60" t="s">
        <v>2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7">
        <f t="shared" si="8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35">
      <c r="C61" t="s">
        <v>3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7">
        <f t="shared" si="8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35">
      <c r="C62" t="s">
        <v>4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7">
        <f t="shared" si="8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35">
      <c r="C63" t="s">
        <v>5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7">
        <f t="shared" si="8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35">
      <c r="C64" t="s">
        <v>33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7">
        <f t="shared" si="8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" thickBot="1" x14ac:dyDescent="0.4">
      <c r="A65" s="18"/>
      <c r="B65" s="18"/>
      <c r="C65" s="18" t="s">
        <v>34</v>
      </c>
      <c r="D65" s="18"/>
      <c r="E65" s="18">
        <v>0</v>
      </c>
      <c r="F65" s="18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7">
        <f t="shared" si="8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35">
      <c r="A66" t="s">
        <v>16</v>
      </c>
      <c r="B66" t="s">
        <v>19</v>
      </c>
      <c r="C66" t="s">
        <v>1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7">
        <f t="shared" si="8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35">
      <c r="C67" t="s">
        <v>2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7">
        <f t="shared" si="8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35">
      <c r="C68" t="s">
        <v>3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7">
        <f t="shared" si="8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35">
      <c r="C69" t="s">
        <v>4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7">
        <f t="shared" si="8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35">
      <c r="C70" t="s">
        <v>5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7">
        <f t="shared" si="8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35">
      <c r="C71" t="s">
        <v>33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7">
        <f t="shared" si="8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" thickBot="1" x14ac:dyDescent="0.4">
      <c r="A72" s="18"/>
      <c r="B72" s="18"/>
      <c r="C72" s="18" t="s">
        <v>34</v>
      </c>
      <c r="D72" s="18"/>
      <c r="E72" s="18">
        <v>0</v>
      </c>
      <c r="F72" s="18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7">
        <f t="shared" si="8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35">
      <c r="A73" t="s">
        <v>16</v>
      </c>
      <c r="B73" t="s">
        <v>18</v>
      </c>
      <c r="C73" t="s">
        <v>1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7">
        <f t="shared" ref="I73:I93" si="9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35">
      <c r="C74" t="s">
        <v>2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7">
        <f t="shared" si="9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35">
      <c r="C75" t="s">
        <v>3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7">
        <f t="shared" si="9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35">
      <c r="C76" t="s">
        <v>4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7">
        <f t="shared" si="9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35">
      <c r="C77" t="s">
        <v>5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7">
        <f t="shared" si="9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35">
      <c r="C78" t="s">
        <v>33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7">
        <f t="shared" si="9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" thickBot="1" x14ac:dyDescent="0.4">
      <c r="A79" s="18"/>
      <c r="B79" s="18"/>
      <c r="C79" s="18" t="s">
        <v>34</v>
      </c>
      <c r="D79" s="18"/>
      <c r="E79" s="18">
        <v>0</v>
      </c>
      <c r="F79" s="18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7">
        <f t="shared" si="9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35">
      <c r="A80" t="s">
        <v>17</v>
      </c>
      <c r="B80" t="s">
        <v>19</v>
      </c>
      <c r="C80" t="s">
        <v>1</v>
      </c>
      <c r="D80">
        <f>D10</f>
        <v>8.2556397301899995E-2</v>
      </c>
      <c r="E80">
        <f>E10</f>
        <v>6.6873740826300002E-2</v>
      </c>
      <c r="F80">
        <f>F10</f>
        <v>0.7</v>
      </c>
      <c r="G80" s="5" t="str">
        <f>IF(E80=F80,"n/a",IF(OR(C80="battery electric vehicle",C80="natural gas vehicle",C80="plugin hybrid vehicle"),"s-curve","linear"))</f>
        <v>s-curve</v>
      </c>
      <c r="I80" s="17">
        <f t="shared" si="9"/>
        <v>6.6873740826300002E-2</v>
      </c>
      <c r="J80">
        <f>IF($G80="s-curve",$E80+($F80-$E80)*$O$2/(1+EXP($O$3*(COUNT($I$9:J$9)+$O$4))),TREND($E80:$F80,$E$9:$F$9,J$9))</f>
        <v>8.3712995874888008E-2</v>
      </c>
      <c r="K80">
        <f>IF($G80="s-curve",$E80+($F80-$E80)*$O$2/(1+EXP($O$3*(COUNT($I$9:K$9)+$O$4))),TREND($E80:$F80,$E$9:$F$9,K$9))</f>
        <v>9.167058838844952E-2</v>
      </c>
      <c r="L80">
        <f>IF($G80="s-curve",$E80+($F80-$E80)*$O$2/(1+EXP($O$3*(COUNT($I$9:L$9)+$O$4))),TREND($E80:$F80,$E$9:$F$9,L$9))</f>
        <v>0.10316718187336593</v>
      </c>
      <c r="M80">
        <f>IF($G80="s-curve",$E80+($F80-$E80)*$O$2/(1+EXP($O$3*(COUNT($I$9:M$9)+$O$4))),TREND($E80:$F80,$E$9:$F$9,M$9))</f>
        <v>0.11953255902288656</v>
      </c>
      <c r="N80">
        <f>IF($G80="s-curve",$E80+($F80-$E80)*$O$2/(1+EXP($O$3*(COUNT($I$9:N$9)+$O$4))),TREND($E80:$F80,$E$9:$F$9,N$9))</f>
        <v>0.14234424092873754</v>
      </c>
      <c r="O80">
        <f>IF($G80="s-curve",$E80+($F80-$E80)*$O$2/(1+EXP($O$3*(COUNT($I$9:O$9)+$O$4))),TREND($E80:$F80,$E$9:$F$9,O$9))</f>
        <v>0.17322731225641558</v>
      </c>
      <c r="P80">
        <f>IF($G80="s-curve",$E80+($F80-$E80)*$O$2/(1+EXP($O$3*(COUNT($I$9:P$9)+$O$4))),TREND($E80:$F80,$E$9:$F$9,P$9))</f>
        <v>0.21342677874098925</v>
      </c>
      <c r="Q80">
        <f>IF($G80="s-curve",$E80+($F80-$E80)*$O$2/(1+EXP($O$3*(COUNT($I$9:Q$9)+$O$4))),TREND($E80:$F80,$E$9:$F$9,Q$9))</f>
        <v>0.26315903783836003</v>
      </c>
      <c r="R80">
        <f>IF($G80="s-curve",$E80+($F80-$E80)*$O$2/(1+EXP($O$3*(COUNT($I$9:R$9)+$O$4))),TREND($E80:$F80,$E$9:$F$9,R$9))</f>
        <v>0.32095512133954762</v>
      </c>
      <c r="S80">
        <f>IF($G80="s-curve",$E80+($F80-$E80)*$O$2/(1+EXP($O$3*(COUNT($I$9:S$9)+$O$4))),TREND($E80:$F80,$E$9:$F$9,S$9))</f>
        <v>0.38343687041314994</v>
      </c>
      <c r="T80">
        <f>IF($G80="s-curve",$E80+($F80-$E80)*$O$2/(1+EXP($O$3*(COUNT($I$9:T$9)+$O$4))),TREND($E80:$F80,$E$9:$F$9,T$9))</f>
        <v>0.44591861948675221</v>
      </c>
      <c r="U80">
        <f>IF($G80="s-curve",$E80+($F80-$E80)*$O$2/(1+EXP($O$3*(COUNT($I$9:U$9)+$O$4))),TREND($E80:$F80,$E$9:$F$9,U$9))</f>
        <v>0.50371470298793986</v>
      </c>
      <c r="V80">
        <f>IF($G80="s-curve",$E80+($F80-$E80)*$O$2/(1+EXP($O$3*(COUNT($I$9:V$9)+$O$4))),TREND($E80:$F80,$E$9:$F$9,V$9))</f>
        <v>0.55344696208531075</v>
      </c>
      <c r="W80">
        <f>IF($G80="s-curve",$E80+($F80-$E80)*$O$2/(1+EXP($O$3*(COUNT($I$9:W$9)+$O$4))),TREND($E80:$F80,$E$9:$F$9,W$9))</f>
        <v>0.59364642856988437</v>
      </c>
      <c r="X80">
        <f>IF($G80="s-curve",$E80+($F80-$E80)*$O$2/(1+EXP($O$3*(COUNT($I$9:X$9)+$O$4))),TREND($E80:$F80,$E$9:$F$9,X$9))</f>
        <v>0.62452949989756235</v>
      </c>
      <c r="Y80">
        <f>IF($G80="s-curve",$E80+($F80-$E80)*$O$2/(1+EXP($O$3*(COUNT($I$9:Y$9)+$O$4))),TREND($E80:$F80,$E$9:$F$9,Y$9))</f>
        <v>0.64734118180341338</v>
      </c>
      <c r="Z80">
        <f>IF($G80="s-curve",$E80+($F80-$E80)*$O$2/(1+EXP($O$3*(COUNT($I$9:Z$9)+$O$4))),TREND($E80:$F80,$E$9:$F$9,Z$9))</f>
        <v>0.66370655895293407</v>
      </c>
      <c r="AA80">
        <f>IF($G80="s-curve",$E80+($F80-$E80)*$O$2/(1+EXP($O$3*(COUNT($I$9:AA$9)+$O$4))),TREND($E80:$F80,$E$9:$F$9,AA$9))</f>
        <v>0.67520315243785045</v>
      </c>
      <c r="AB80">
        <f>IF($G80="s-curve",$E80+($F80-$E80)*$O$2/(1+EXP($O$3*(COUNT($I$9:AB$9)+$O$4))),TREND($E80:$F80,$E$9:$F$9,AB$9))</f>
        <v>0.68316074495141188</v>
      </c>
      <c r="AC80">
        <f>IF($G80="s-curve",$E80+($F80-$E80)*$O$2/(1+EXP($O$3*(COUNT($I$9:AC$9)+$O$4))),TREND($E80:$F80,$E$9:$F$9,AC$9))</f>
        <v>0.68861245816998817</v>
      </c>
      <c r="AD80">
        <f>IF($G80="s-curve",$E80+($F80-$E80)*$O$2/(1+EXP($O$3*(COUNT($I$9:AD$9)+$O$4))),TREND($E80:$F80,$E$9:$F$9,AD$9))</f>
        <v>0.69232116932877497</v>
      </c>
      <c r="AE80">
        <f>IF($G80="s-curve",$E80+($F80-$E80)*$O$2/(1+EXP($O$3*(COUNT($I$9:AE$9)+$O$4))),TREND($E80:$F80,$E$9:$F$9,AE$9))</f>
        <v>0.69483206186056068</v>
      </c>
      <c r="AF80">
        <f>IF($G80="s-curve",$E80+($F80-$E80)*$O$2/(1+EXP($O$3*(COUNT($I$9:AF$9)+$O$4))),TREND($E80:$F80,$E$9:$F$9,AF$9))</f>
        <v>0.69652648010108209</v>
      </c>
      <c r="AG80">
        <f>IF($G80="s-curve",$E80+($F80-$E80)*$O$2/(1+EXP($O$3*(COUNT($I$9:AG$9)+$O$4))),TREND($E80:$F80,$E$9:$F$9,AG$9))</f>
        <v>0.69766741097457163</v>
      </c>
      <c r="AH80">
        <f>IF($G80="s-curve",$E80+($F80-$E80)*$O$2/(1+EXP($O$3*(COUNT($I$9:AH$9)+$O$4))),TREND($E80:$F80,$E$9:$F$9,AH$9))</f>
        <v>0.69843451735049356</v>
      </c>
      <c r="AI80">
        <f>IF($G80="s-curve",$E80+($F80-$E80)*$O$2/(1+EXP($O$3*(COUNT($I$9:AI$9)+$O$4))),TREND($E80:$F80,$E$9:$F$9,AI$9))</f>
        <v>0.69894976947739584</v>
      </c>
    </row>
    <row r="81" spans="1:35" x14ac:dyDescent="0.35">
      <c r="C81" t="s">
        <v>2</v>
      </c>
      <c r="D81">
        <f t="shared" ref="D81:E81" si="10">D11</f>
        <v>1.0005073039100001E-4</v>
      </c>
      <c r="E81">
        <f t="shared" si="10"/>
        <v>9.1114481822700006E-5</v>
      </c>
      <c r="F81">
        <f t="shared" ref="F81" si="11">F11</f>
        <v>9.1114481822700006E-5</v>
      </c>
      <c r="G81" s="5" t="str">
        <f>IF(E81=F81,"n/a",IF(OR(C81="battery electric vehicle",C81="natural gas vehicle",C81="plugin hybrid vehicle"),"s-curve","linear"))</f>
        <v>n/a</v>
      </c>
      <c r="I81" s="17">
        <f t="shared" si="9"/>
        <v>9.1114481822700006E-5</v>
      </c>
      <c r="J81">
        <f>IF($G81="s-curve",$E81+($F81-$E81)*$I$2/(1+EXP($I$3*(COUNT($I$9:J$9)+$I$4))),TREND($E81:$F81,$E$9:$F$9,J$9))</f>
        <v>9.1114481822700006E-5</v>
      </c>
      <c r="K81">
        <f>IF($G81="s-curve",$E81+($F81-$E81)*$I$2/(1+EXP($I$3*(COUNT($I$9:K$9)+$I$4))),TREND($E81:$F81,$E$9:$F$9,K$9))</f>
        <v>9.1114481822700006E-5</v>
      </c>
      <c r="L81">
        <f>IF($G81="s-curve",$E81+($F81-$E81)*$I$2/(1+EXP($I$3*(COUNT($I$9:L$9)+$I$4))),TREND($E81:$F81,$E$9:$F$9,L$9))</f>
        <v>9.1114481822700006E-5</v>
      </c>
      <c r="M81">
        <f>IF($G81="s-curve",$E81+($F81-$E81)*$I$2/(1+EXP($I$3*(COUNT($I$9:M$9)+$I$4))),TREND($E81:$F81,$E$9:$F$9,M$9))</f>
        <v>9.1114481822700006E-5</v>
      </c>
      <c r="N81">
        <f>IF($G81="s-curve",$E81+($F81-$E81)*$I$2/(1+EXP($I$3*(COUNT($I$9:N$9)+$I$4))),TREND($E81:$F81,$E$9:$F$9,N$9))</f>
        <v>9.1114481822700006E-5</v>
      </c>
      <c r="O81">
        <f>IF($G81="s-curve",$E81+($F81-$E81)*$I$2/(1+EXP($I$3*(COUNT($I$9:O$9)+$I$4))),TREND($E81:$F81,$E$9:$F$9,O$9))</f>
        <v>9.1114481822700006E-5</v>
      </c>
      <c r="P81">
        <f>IF($G81="s-curve",$E81+($F81-$E81)*$I$2/(1+EXP($I$3*(COUNT($I$9:P$9)+$I$4))),TREND($E81:$F81,$E$9:$F$9,P$9))</f>
        <v>9.1114481822700006E-5</v>
      </c>
      <c r="Q81">
        <f>IF($G81="s-curve",$E81+($F81-$E81)*$I$2/(1+EXP($I$3*(COUNT($I$9:Q$9)+$I$4))),TREND($E81:$F81,$E$9:$F$9,Q$9))</f>
        <v>9.1114481822700006E-5</v>
      </c>
      <c r="R81">
        <f>IF($G81="s-curve",$E81+($F81-$E81)*$I$2/(1+EXP($I$3*(COUNT($I$9:R$9)+$I$4))),TREND($E81:$F81,$E$9:$F$9,R$9))</f>
        <v>9.1114481822700006E-5</v>
      </c>
      <c r="S81">
        <f>IF($G81="s-curve",$E81+($F81-$E81)*$I$2/(1+EXP($I$3*(COUNT($I$9:S$9)+$I$4))),TREND($E81:$F81,$E$9:$F$9,S$9))</f>
        <v>9.1114481822700006E-5</v>
      </c>
      <c r="T81">
        <f>IF($G81="s-curve",$E81+($F81-$E81)*$I$2/(1+EXP($I$3*(COUNT($I$9:T$9)+$I$4))),TREND($E81:$F81,$E$9:$F$9,T$9))</f>
        <v>9.1114481822700006E-5</v>
      </c>
      <c r="U81">
        <f>IF($G81="s-curve",$E81+($F81-$E81)*$I$2/(1+EXP($I$3*(COUNT($I$9:U$9)+$I$4))),TREND($E81:$F81,$E$9:$F$9,U$9))</f>
        <v>9.1114481822700006E-5</v>
      </c>
      <c r="V81">
        <f>IF($G81="s-curve",$E81+($F81-$E81)*$I$2/(1+EXP($I$3*(COUNT($I$9:V$9)+$I$4))),TREND($E81:$F81,$E$9:$F$9,V$9))</f>
        <v>9.1114481822700006E-5</v>
      </c>
      <c r="W81">
        <f>IF($G81="s-curve",$E81+($F81-$E81)*$I$2/(1+EXP($I$3*(COUNT($I$9:W$9)+$I$4))),TREND($E81:$F81,$E$9:$F$9,W$9))</f>
        <v>9.1114481822700006E-5</v>
      </c>
      <c r="X81">
        <f>IF($G81="s-curve",$E81+($F81-$E81)*$I$2/(1+EXP($I$3*(COUNT($I$9:X$9)+$I$4))),TREND($E81:$F81,$E$9:$F$9,X$9))</f>
        <v>9.1114481822700006E-5</v>
      </c>
      <c r="Y81">
        <f>IF($G81="s-curve",$E81+($F81-$E81)*$I$2/(1+EXP($I$3*(COUNT($I$9:Y$9)+$I$4))),TREND($E81:$F81,$E$9:$F$9,Y$9))</f>
        <v>9.1114481822700006E-5</v>
      </c>
      <c r="Z81">
        <f>IF($G81="s-curve",$E81+($F81-$E81)*$I$2/(1+EXP($I$3*(COUNT($I$9:Z$9)+$I$4))),TREND($E81:$F81,$E$9:$F$9,Z$9))</f>
        <v>9.1114481822700006E-5</v>
      </c>
      <c r="AA81">
        <f>IF($G81="s-curve",$E81+($F81-$E81)*$I$2/(1+EXP($I$3*(COUNT($I$9:AA$9)+$I$4))),TREND($E81:$F81,$E$9:$F$9,AA$9))</f>
        <v>9.1114481822700006E-5</v>
      </c>
      <c r="AB81">
        <f>IF($G81="s-curve",$E81+($F81-$E81)*$I$2/(1+EXP($I$3*(COUNT($I$9:AB$9)+$I$4))),TREND($E81:$F81,$E$9:$F$9,AB$9))</f>
        <v>9.1114481822700006E-5</v>
      </c>
      <c r="AC81">
        <f>IF($G81="s-curve",$E81+($F81-$E81)*$I$2/(1+EXP($I$3*(COUNT($I$9:AC$9)+$I$4))),TREND($E81:$F81,$E$9:$F$9,AC$9))</f>
        <v>9.1114481822700006E-5</v>
      </c>
      <c r="AD81">
        <f>IF($G81="s-curve",$E81+($F81-$E81)*$I$2/(1+EXP($I$3*(COUNT($I$9:AD$9)+$I$4))),TREND($E81:$F81,$E$9:$F$9,AD$9))</f>
        <v>9.1114481822700006E-5</v>
      </c>
      <c r="AE81">
        <f>IF($G81="s-curve",$E81+($F81-$E81)*$I$2/(1+EXP($I$3*(COUNT($I$9:AE$9)+$I$4))),TREND($E81:$F81,$E$9:$F$9,AE$9))</f>
        <v>9.1114481822700006E-5</v>
      </c>
      <c r="AF81">
        <f>IF($G81="s-curve",$E81+($F81-$E81)*$I$2/(1+EXP($I$3*(COUNT($I$9:AF$9)+$I$4))),TREND($E81:$F81,$E$9:$F$9,AF$9))</f>
        <v>9.1114481822700006E-5</v>
      </c>
      <c r="AG81">
        <f>IF($G81="s-curve",$E81+($F81-$E81)*$I$2/(1+EXP($I$3*(COUNT($I$9:AG$9)+$I$4))),TREND($E81:$F81,$E$9:$F$9,AG$9))</f>
        <v>9.1114481822700006E-5</v>
      </c>
      <c r="AH81">
        <f>IF($G81="s-curve",$E81+($F81-$E81)*$I$2/(1+EXP($I$3*(COUNT($I$9:AH$9)+$I$4))),TREND($E81:$F81,$E$9:$F$9,AH$9))</f>
        <v>9.1114481822700006E-5</v>
      </c>
      <c r="AI81">
        <f>IF($G81="s-curve",$E81+($F81-$E81)*$I$2/(1+EXP($I$3*(COUNT($I$9:AI$9)+$I$4))),TREND($E81:$F81,$E$9:$F$9,AI$9))</f>
        <v>9.1114481822700006E-5</v>
      </c>
    </row>
    <row r="82" spans="1:35" x14ac:dyDescent="0.35">
      <c r="C82" t="s">
        <v>3</v>
      </c>
      <c r="D82">
        <f t="shared" ref="D82:E82" si="12">D12</f>
        <v>1</v>
      </c>
      <c r="E82">
        <f t="shared" si="12"/>
        <v>1</v>
      </c>
      <c r="F82">
        <f t="shared" ref="F82" si="13">F12</f>
        <v>1</v>
      </c>
      <c r="G82" s="5" t="str">
        <f>IF(E82=F82,"n/a",IF(OR(C82="battery electric vehicle",C82="natural gas vehicle",C82="plugin hybrid vehicle"),"s-curve","linear"))</f>
        <v>n/a</v>
      </c>
      <c r="I82" s="17">
        <f t="shared" si="9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35">
      <c r="C83" t="s">
        <v>4</v>
      </c>
      <c r="D83">
        <f t="shared" ref="D83:E83" si="14">D13</f>
        <v>6.6777915503600002E-2</v>
      </c>
      <c r="E83">
        <f t="shared" si="14"/>
        <v>6.08023121013E-2</v>
      </c>
      <c r="F83">
        <f t="shared" ref="F83" si="15">F13</f>
        <v>6.08023121013E-2</v>
      </c>
      <c r="G83" s="5" t="str">
        <f>IF(E83=F83,"n/a",IF(OR(C83="battery electric vehicle",C83="natural gas vehicle",C83="plugin hybrid vehicle"),"s-curve","linear"))</f>
        <v>n/a</v>
      </c>
      <c r="I83" s="17">
        <f t="shared" si="9"/>
        <v>6.08023121013E-2</v>
      </c>
      <c r="J83">
        <f>IF($G83="s-curve",$E83+($F83-$E83)*$I$2/(1+EXP($I$3*(COUNT($I$9:J$9)+$I$4))),TREND($E83:$F83,$E$9:$F$9,J$9))</f>
        <v>6.08023121013E-2</v>
      </c>
      <c r="K83">
        <f>IF($G83="s-curve",$E83+($F83-$E83)*$I$2/(1+EXP($I$3*(COUNT($I$9:K$9)+$I$4))),TREND($E83:$F83,$E$9:$F$9,K$9))</f>
        <v>6.08023121013E-2</v>
      </c>
      <c r="L83">
        <f>IF($G83="s-curve",$E83+($F83-$E83)*$I$2/(1+EXP($I$3*(COUNT($I$9:L$9)+$I$4))),TREND($E83:$F83,$E$9:$F$9,L$9))</f>
        <v>6.08023121013E-2</v>
      </c>
      <c r="M83">
        <f>IF($G83="s-curve",$E83+($F83-$E83)*$I$2/(1+EXP($I$3*(COUNT($I$9:M$9)+$I$4))),TREND($E83:$F83,$E$9:$F$9,M$9))</f>
        <v>6.08023121013E-2</v>
      </c>
      <c r="N83">
        <f>IF($G83="s-curve",$E83+($F83-$E83)*$I$2/(1+EXP($I$3*(COUNT($I$9:N$9)+$I$4))),TREND($E83:$F83,$E$9:$F$9,N$9))</f>
        <v>6.08023121013E-2</v>
      </c>
      <c r="O83">
        <f>IF($G83="s-curve",$E83+($F83-$E83)*$I$2/(1+EXP($I$3*(COUNT($I$9:O$9)+$I$4))),TREND($E83:$F83,$E$9:$F$9,O$9))</f>
        <v>6.08023121013E-2</v>
      </c>
      <c r="P83">
        <f>IF($G83="s-curve",$E83+($F83-$E83)*$I$2/(1+EXP($I$3*(COUNT($I$9:P$9)+$I$4))),TREND($E83:$F83,$E$9:$F$9,P$9))</f>
        <v>6.08023121013E-2</v>
      </c>
      <c r="Q83">
        <f>IF($G83="s-curve",$E83+($F83-$E83)*$I$2/(1+EXP($I$3*(COUNT($I$9:Q$9)+$I$4))),TREND($E83:$F83,$E$9:$F$9,Q$9))</f>
        <v>6.08023121013E-2</v>
      </c>
      <c r="R83">
        <f>IF($G83="s-curve",$E83+($F83-$E83)*$I$2/(1+EXP($I$3*(COUNT($I$9:R$9)+$I$4))),TREND($E83:$F83,$E$9:$F$9,R$9))</f>
        <v>6.08023121013E-2</v>
      </c>
      <c r="S83">
        <f>IF($G83="s-curve",$E83+($F83-$E83)*$I$2/(1+EXP($I$3*(COUNT($I$9:S$9)+$I$4))),TREND($E83:$F83,$E$9:$F$9,S$9))</f>
        <v>6.08023121013E-2</v>
      </c>
      <c r="T83">
        <f>IF($G83="s-curve",$E83+($F83-$E83)*$I$2/(1+EXP($I$3*(COUNT($I$9:T$9)+$I$4))),TREND($E83:$F83,$E$9:$F$9,T$9))</f>
        <v>6.08023121013E-2</v>
      </c>
      <c r="U83">
        <f>IF($G83="s-curve",$E83+($F83-$E83)*$I$2/(1+EXP($I$3*(COUNT($I$9:U$9)+$I$4))),TREND($E83:$F83,$E$9:$F$9,U$9))</f>
        <v>6.08023121013E-2</v>
      </c>
      <c r="V83">
        <f>IF($G83="s-curve",$E83+($F83-$E83)*$I$2/(1+EXP($I$3*(COUNT($I$9:V$9)+$I$4))),TREND($E83:$F83,$E$9:$F$9,V$9))</f>
        <v>6.08023121013E-2</v>
      </c>
      <c r="W83">
        <f>IF($G83="s-curve",$E83+($F83-$E83)*$I$2/(1+EXP($I$3*(COUNT($I$9:W$9)+$I$4))),TREND($E83:$F83,$E$9:$F$9,W$9))</f>
        <v>6.08023121013E-2</v>
      </c>
      <c r="X83">
        <f>IF($G83="s-curve",$E83+($F83-$E83)*$I$2/(1+EXP($I$3*(COUNT($I$9:X$9)+$I$4))),TREND($E83:$F83,$E$9:$F$9,X$9))</f>
        <v>6.08023121013E-2</v>
      </c>
      <c r="Y83">
        <f>IF($G83="s-curve",$E83+($F83-$E83)*$I$2/(1+EXP($I$3*(COUNT($I$9:Y$9)+$I$4))),TREND($E83:$F83,$E$9:$F$9,Y$9))</f>
        <v>6.08023121013E-2</v>
      </c>
      <c r="Z83">
        <f>IF($G83="s-curve",$E83+($F83-$E83)*$I$2/(1+EXP($I$3*(COUNT($I$9:Z$9)+$I$4))),TREND($E83:$F83,$E$9:$F$9,Z$9))</f>
        <v>6.08023121013E-2</v>
      </c>
      <c r="AA83">
        <f>IF($G83="s-curve",$E83+($F83-$E83)*$I$2/(1+EXP($I$3*(COUNT($I$9:AA$9)+$I$4))),TREND($E83:$F83,$E$9:$F$9,AA$9))</f>
        <v>6.08023121013E-2</v>
      </c>
      <c r="AB83">
        <f>IF($G83="s-curve",$E83+($F83-$E83)*$I$2/(1+EXP($I$3*(COUNT($I$9:AB$9)+$I$4))),TREND($E83:$F83,$E$9:$F$9,AB$9))</f>
        <v>6.08023121013E-2</v>
      </c>
      <c r="AC83">
        <f>IF($G83="s-curve",$E83+($F83-$E83)*$I$2/(1+EXP($I$3*(COUNT($I$9:AC$9)+$I$4))),TREND($E83:$F83,$E$9:$F$9,AC$9))</f>
        <v>6.08023121013E-2</v>
      </c>
      <c r="AD83">
        <f>IF($G83="s-curve",$E83+($F83-$E83)*$I$2/(1+EXP($I$3*(COUNT($I$9:AD$9)+$I$4))),TREND($E83:$F83,$E$9:$F$9,AD$9))</f>
        <v>6.08023121013E-2</v>
      </c>
      <c r="AE83">
        <f>IF($G83="s-curve",$E83+($F83-$E83)*$I$2/(1+EXP($I$3*(COUNT($I$9:AE$9)+$I$4))),TREND($E83:$F83,$E$9:$F$9,AE$9))</f>
        <v>6.08023121013E-2</v>
      </c>
      <c r="AF83">
        <f>IF($G83="s-curve",$E83+($F83-$E83)*$I$2/(1+EXP($I$3*(COUNT($I$9:AF$9)+$I$4))),TREND($E83:$F83,$E$9:$F$9,AF$9))</f>
        <v>6.08023121013E-2</v>
      </c>
      <c r="AG83">
        <f>IF($G83="s-curve",$E83+($F83-$E83)*$I$2/(1+EXP($I$3*(COUNT($I$9:AG$9)+$I$4))),TREND($E83:$F83,$E$9:$F$9,AG$9))</f>
        <v>6.08023121013E-2</v>
      </c>
      <c r="AH83">
        <f>IF($G83="s-curve",$E83+($F83-$E83)*$I$2/(1+EXP($I$3*(COUNT($I$9:AH$9)+$I$4))),TREND($E83:$F83,$E$9:$F$9,AH$9))</f>
        <v>6.08023121013E-2</v>
      </c>
      <c r="AI83">
        <f>IF($G83="s-curve",$E83+($F83-$E83)*$I$2/(1+EXP($I$3*(COUNT($I$9:AI$9)+$I$4))),TREND($E83:$F83,$E$9:$F$9,AI$9))</f>
        <v>6.08023121013E-2</v>
      </c>
    </row>
    <row r="84" spans="1:35" x14ac:dyDescent="0.35">
      <c r="C84" t="s">
        <v>5</v>
      </c>
      <c r="D84">
        <f t="shared" ref="D84:E84" si="16">D14</f>
        <v>1.5463740197399999E-2</v>
      </c>
      <c r="E84">
        <f t="shared" si="16"/>
        <v>1.5463740197399999E-2</v>
      </c>
      <c r="F84">
        <f t="shared" ref="F84" si="17">F14</f>
        <v>0.13111785993513644</v>
      </c>
      <c r="G84" s="5" t="str">
        <f>IF(E84=F84,"n/a",IF(OR(C84="battery electric vehicle",C84="natural gas vehicle",C84="plugin hybrid vehicle"),"s-curve","linear"))</f>
        <v>s-curve</v>
      </c>
      <c r="I84" s="17">
        <f t="shared" si="9"/>
        <v>1.5463740197399999E-2</v>
      </c>
      <c r="J84">
        <f>IF($G84="s-curve",$E84+($F84-$E84)*$I$2/(1+EXP($I$3*(COUNT($I$9:J$9)+$I$4))),TREND($E84:$F84,$E$9:$F$9,J$9))</f>
        <v>1.7172417827862912E-2</v>
      </c>
      <c r="K84">
        <f>IF($G84="s-curve",$E84+($F84-$E84)*$I$2/(1+EXP($I$3*(COUNT($I$9:K$9)+$I$4))),TREND($E84:$F84,$E$9:$F$9,K$9))</f>
        <v>1.7758353292402298E-2</v>
      </c>
      <c r="L84">
        <f>IF($G84="s-curve",$E84+($F84-$E84)*$I$2/(1+EXP($I$3*(COUNT($I$9:L$9)+$I$4))),TREND($E84:$F84,$E$9:$F$9,L$9))</f>
        <v>1.853979207720265E-2</v>
      </c>
      <c r="M84">
        <f>IF($G84="s-curve",$E84+($F84-$E84)*$I$2/(1+EXP($I$3*(COUNT($I$9:M$9)+$I$4))),TREND($E84:$F84,$E$9:$F$9,M$9))</f>
        <v>1.9577694780751151E-2</v>
      </c>
      <c r="N84">
        <f>IF($G84="s-curve",$E84+($F84-$E84)*$I$2/(1+EXP($I$3*(COUNT($I$9:N$9)+$I$4))),TREND($E84:$F84,$E$9:$F$9,N$9))</f>
        <v>2.0948737812545012E-2</v>
      </c>
      <c r="O84">
        <f>IF($G84="s-curve",$E84+($F84-$E84)*$I$2/(1+EXP($I$3*(COUNT($I$9:O$9)+$I$4))),TREND($E84:$F84,$E$9:$F$9,O$9))</f>
        <v>2.2746868259102986E-2</v>
      </c>
      <c r="P84">
        <f>IF($G84="s-curve",$E84+($F84-$E84)*$I$2/(1+EXP($I$3*(COUNT($I$9:P$9)+$I$4))),TREND($E84:$F84,$E$9:$F$9,P$9))</f>
        <v>2.5083005196618512E-2</v>
      </c>
      <c r="Q84">
        <f>IF($G84="s-curve",$E84+($F84-$E84)*$I$2/(1+EXP($I$3*(COUNT($I$9:Q$9)+$I$4))),TREND($E84:$F84,$E$9:$F$9,Q$9))</f>
        <v>2.8081237018963839E-2</v>
      </c>
      <c r="R84">
        <f>IF($G84="s-curve",$E84+($F84-$E84)*$I$2/(1+EXP($I$3*(COUNT($I$9:R$9)+$I$4))),TREND($E84:$F84,$E$9:$F$9,R$9))</f>
        <v>3.1869400242326443E-2</v>
      </c>
      <c r="S84">
        <f>IF($G84="s-curve",$E84+($F84-$E84)*$I$2/(1+EXP($I$3*(COUNT($I$9:S$9)+$I$4))),TREND($E84:$F84,$E$9:$F$9,S$9))</f>
        <v>3.6562003570919627E-2</v>
      </c>
      <c r="T84">
        <f>IF($G84="s-curve",$E84+($F84-$E84)*$I$2/(1+EXP($I$3*(COUNT($I$9:T$9)+$I$4))),TREND($E84:$F84,$E$9:$F$9,T$9))</f>
        <v>4.2234802602923081E-2</v>
      </c>
      <c r="U84">
        <f>IF($G84="s-curve",$E84+($F84-$E84)*$I$2/(1+EXP($I$3*(COUNT($I$9:U$9)+$I$4))),TREND($E84:$F84,$E$9:$F$9,U$9))</f>
        <v>4.8893621031060069E-2</v>
      </c>
      <c r="V84">
        <f>IF($G84="s-curve",$E84+($F84-$E84)*$I$2/(1+EXP($I$3*(COUNT($I$9:V$9)+$I$4))),TREND($E84:$F84,$E$9:$F$9,V$9))</f>
        <v>5.6445048185473662E-2</v>
      </c>
      <c r="W84">
        <f>IF($G84="s-curve",$E84+($F84-$E84)*$I$2/(1+EXP($I$3*(COUNT($I$9:W$9)+$I$4))),TREND($E84:$F84,$E$9:$F$9,W$9))</f>
        <v>6.4681216313354148E-2</v>
      </c>
      <c r="X84">
        <f>IF($G84="s-curve",$E84+($F84-$E84)*$I$2/(1+EXP($I$3*(COUNT($I$9:X$9)+$I$4))),TREND($E84:$F84,$E$9:$F$9,X$9))</f>
        <v>7.3290800066268216E-2</v>
      </c>
      <c r="Y84">
        <f>IF($G84="s-curve",$E84+($F84-$E84)*$I$2/(1+EXP($I$3*(COUNT($I$9:Y$9)+$I$4))),TREND($E84:$F84,$E$9:$F$9,Y$9))</f>
        <v>8.1900383819182299E-2</v>
      </c>
      <c r="Z84">
        <f>IF($G84="s-curve",$E84+($F84-$E84)*$I$2/(1+EXP($I$3*(COUNT($I$9:Z$9)+$I$4))),TREND($E84:$F84,$E$9:$F$9,Z$9))</f>
        <v>9.0136551947062771E-2</v>
      </c>
      <c r="AA84">
        <f>IF($G84="s-curve",$E84+($F84-$E84)*$I$2/(1+EXP($I$3*(COUNT($I$9:AA$9)+$I$4))),TREND($E84:$F84,$E$9:$F$9,AA$9))</f>
        <v>9.7687979101476377E-2</v>
      </c>
      <c r="AB84">
        <f>IF($G84="s-curve",$E84+($F84-$E84)*$I$2/(1+EXP($I$3*(COUNT($I$9:AB$9)+$I$4))),TREND($E84:$F84,$E$9:$F$9,AB$9))</f>
        <v>0.10434679752961336</v>
      </c>
      <c r="AC84">
        <f>IF($G84="s-curve",$E84+($F84-$E84)*$I$2/(1+EXP($I$3*(COUNT($I$9:AC$9)+$I$4))),TREND($E84:$F84,$E$9:$F$9,AC$9))</f>
        <v>0.11001959656161681</v>
      </c>
      <c r="AD84">
        <f>IF($G84="s-curve",$E84+($F84-$E84)*$I$2/(1+EXP($I$3*(COUNT($I$9:AD$9)+$I$4))),TREND($E84:$F84,$E$9:$F$9,AD$9))</f>
        <v>0.11471219989021002</v>
      </c>
      <c r="AE84">
        <f>IF($G84="s-curve",$E84+($F84-$E84)*$I$2/(1+EXP($I$3*(COUNT($I$9:AE$9)+$I$4))),TREND($E84:$F84,$E$9:$F$9,AE$9))</f>
        <v>0.11850036311357261</v>
      </c>
      <c r="AF84">
        <f>IF($G84="s-curve",$E84+($F84-$E84)*$I$2/(1+EXP($I$3*(COUNT($I$9:AF$9)+$I$4))),TREND($E84:$F84,$E$9:$F$9,AF$9))</f>
        <v>0.12149859493591794</v>
      </c>
      <c r="AG84">
        <f>IF($G84="s-curve",$E84+($F84-$E84)*$I$2/(1+EXP($I$3*(COUNT($I$9:AG$9)+$I$4))),TREND($E84:$F84,$E$9:$F$9,AG$9))</f>
        <v>0.12383473187343347</v>
      </c>
      <c r="AH84">
        <f>IF($G84="s-curve",$E84+($F84-$E84)*$I$2/(1+EXP($I$3*(COUNT($I$9:AH$9)+$I$4))),TREND($E84:$F84,$E$9:$F$9,AH$9))</f>
        <v>0.12563286231999143</v>
      </c>
      <c r="AI84">
        <f>IF($G84="s-curve",$E84+($F84-$E84)*$I$2/(1+EXP($I$3*(COUNT($I$9:AI$9)+$I$4))),TREND($E84:$F84,$E$9:$F$9,AI$9))</f>
        <v>0.1270039053517853</v>
      </c>
    </row>
    <row r="85" spans="1:35" x14ac:dyDescent="0.35">
      <c r="C85" t="s">
        <v>33</v>
      </c>
      <c r="D85">
        <f t="shared" ref="D85:E85" si="18">D15</f>
        <v>0</v>
      </c>
      <c r="E85">
        <f t="shared" si="18"/>
        <v>0</v>
      </c>
      <c r="F85">
        <f t="shared" ref="F85" si="19">F15</f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7">
        <f t="shared" si="9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" thickBot="1" x14ac:dyDescent="0.4">
      <c r="A86" s="18"/>
      <c r="B86" s="18"/>
      <c r="C86" s="18" t="s">
        <v>34</v>
      </c>
      <c r="D86">
        <f t="shared" ref="D86:E86" si="20">D16</f>
        <v>0</v>
      </c>
      <c r="E86">
        <f t="shared" si="20"/>
        <v>0</v>
      </c>
      <c r="F86">
        <f t="shared" ref="F86" si="21">F16</f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7">
        <f t="shared" si="9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35">
      <c r="A87" t="s">
        <v>17</v>
      </c>
      <c r="B87" t="s">
        <v>18</v>
      </c>
      <c r="C87" t="s">
        <v>1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7">
        <f t="shared" si="9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35">
      <c r="C88" t="s">
        <v>2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7">
        <f t="shared" si="9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35">
      <c r="C89" t="s">
        <v>3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7">
        <f t="shared" si="9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35">
      <c r="C90" t="s">
        <v>4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7">
        <f t="shared" si="9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35">
      <c r="C91" t="s">
        <v>5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7">
        <f t="shared" si="9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35">
      <c r="C92" t="s">
        <v>33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7">
        <f t="shared" si="9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" thickBot="1" x14ac:dyDescent="0.4">
      <c r="A93" s="18"/>
      <c r="B93" s="18"/>
      <c r="C93" s="18" t="s">
        <v>34</v>
      </c>
      <c r="D93" s="18"/>
      <c r="E93" s="18">
        <v>0</v>
      </c>
      <c r="F93" s="18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7">
        <f t="shared" si="9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08984375" defaultRowHeight="14.5" x14ac:dyDescent="0.35"/>
  <cols>
    <col min="1" max="1" width="24.36328125" customWidth="1"/>
    <col min="2" max="2" width="13.5429687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Data!I10</f>
        <v>8.2556397301899995E-2</v>
      </c>
      <c r="C2">
        <f>Data!J10</f>
        <v>6.6873740826300002E-2</v>
      </c>
      <c r="D2">
        <f>Data!K10</f>
        <v>7.826128265631177E-2</v>
      </c>
      <c r="E2">
        <f>Data!L10</f>
        <v>8.3712995874888008E-2</v>
      </c>
      <c r="F2">
        <f>Data!M10</f>
        <v>9.167058838844952E-2</v>
      </c>
      <c r="G2">
        <f>Data!N10</f>
        <v>0.10316718187336593</v>
      </c>
      <c r="H2">
        <f>Data!O10</f>
        <v>0.11953255902288656</v>
      </c>
      <c r="I2">
        <f>Data!P10</f>
        <v>0.14234424092873754</v>
      </c>
      <c r="J2">
        <f>Data!Q10</f>
        <v>0.17322731225641558</v>
      </c>
      <c r="K2">
        <f>Data!R10</f>
        <v>0.21342677874098925</v>
      </c>
      <c r="L2">
        <f>Data!S10</f>
        <v>0.26315903783836003</v>
      </c>
      <c r="M2">
        <f>Data!T10</f>
        <v>0.32095512133954762</v>
      </c>
      <c r="N2">
        <f>Data!U10</f>
        <v>0.38343687041314994</v>
      </c>
      <c r="O2">
        <f>Data!V10</f>
        <v>0.44591861948675221</v>
      </c>
      <c r="P2">
        <f>Data!W10</f>
        <v>0.50371470298793986</v>
      </c>
      <c r="Q2">
        <f>Data!X10</f>
        <v>0.55344696208531075</v>
      </c>
      <c r="R2">
        <f>Data!Y10</f>
        <v>0.59364642856988437</v>
      </c>
      <c r="S2">
        <f>Data!Z10</f>
        <v>0.62452949989756235</v>
      </c>
      <c r="T2">
        <f>Data!AA10</f>
        <v>0.64734118180341338</v>
      </c>
      <c r="U2">
        <f>Data!AB10</f>
        <v>0.66370655895293407</v>
      </c>
      <c r="V2">
        <f>Data!AC10</f>
        <v>0.67520315243785045</v>
      </c>
      <c r="W2">
        <f>Data!AD10</f>
        <v>0.68316074495141188</v>
      </c>
      <c r="X2">
        <f>Data!AE10</f>
        <v>0.68861245816998817</v>
      </c>
      <c r="Y2">
        <f>Data!AF10</f>
        <v>0.69232116932877497</v>
      </c>
      <c r="Z2">
        <f>Data!AG10</f>
        <v>0.69483206186056068</v>
      </c>
      <c r="AA2">
        <f>Data!AH10</f>
        <v>0.69652648010108209</v>
      </c>
      <c r="AB2">
        <f>Data!AI10</f>
        <v>0.69766741097457163</v>
      </c>
    </row>
    <row r="3" spans="1:28" x14ac:dyDescent="0.35">
      <c r="A3" t="s">
        <v>2</v>
      </c>
      <c r="B3">
        <f>Data!I11</f>
        <v>9.1114481822700006E-5</v>
      </c>
      <c r="C3">
        <f>Data!J11</f>
        <v>9.1114481822700006E-5</v>
      </c>
      <c r="D3">
        <f>Data!K11</f>
        <v>9.1114481822700006E-5</v>
      </c>
      <c r="E3">
        <f>Data!L11</f>
        <v>9.1114481822700006E-5</v>
      </c>
      <c r="F3">
        <f>Data!M11</f>
        <v>9.1114481822700006E-5</v>
      </c>
      <c r="G3">
        <f>Data!N11</f>
        <v>9.1114481822700006E-5</v>
      </c>
      <c r="H3">
        <f>Data!O11</f>
        <v>9.1114481822700006E-5</v>
      </c>
      <c r="I3">
        <f>Data!P11</f>
        <v>9.1114481822700006E-5</v>
      </c>
      <c r="J3">
        <f>Data!Q11</f>
        <v>9.1114481822700006E-5</v>
      </c>
      <c r="K3">
        <f>Data!R11</f>
        <v>9.1114481822700006E-5</v>
      </c>
      <c r="L3">
        <f>Data!S11</f>
        <v>9.1114481822700006E-5</v>
      </c>
      <c r="M3">
        <f>Data!T11</f>
        <v>9.1114481822700006E-5</v>
      </c>
      <c r="N3">
        <f>Data!U11</f>
        <v>9.1114481822700006E-5</v>
      </c>
      <c r="O3">
        <f>Data!V11</f>
        <v>9.1114481822700006E-5</v>
      </c>
      <c r="P3">
        <f>Data!W11</f>
        <v>9.1114481822700006E-5</v>
      </c>
      <c r="Q3">
        <f>Data!X11</f>
        <v>9.1114481822700006E-5</v>
      </c>
      <c r="R3">
        <f>Data!Y11</f>
        <v>9.1114481822700006E-5</v>
      </c>
      <c r="S3">
        <f>Data!Z11</f>
        <v>9.1114481822700006E-5</v>
      </c>
      <c r="T3">
        <f>Data!AA11</f>
        <v>9.1114481822700006E-5</v>
      </c>
      <c r="U3">
        <f>Data!AB11</f>
        <v>9.1114481822700006E-5</v>
      </c>
      <c r="V3">
        <f>Data!AC11</f>
        <v>9.1114481822700006E-5</v>
      </c>
      <c r="W3">
        <f>Data!AD11</f>
        <v>9.1114481822700006E-5</v>
      </c>
      <c r="X3">
        <f>Data!AE11</f>
        <v>9.1114481822700006E-5</v>
      </c>
      <c r="Y3">
        <f>Data!AF11</f>
        <v>9.1114481822700006E-5</v>
      </c>
      <c r="Z3">
        <f>Data!AG11</f>
        <v>9.1114481822700006E-5</v>
      </c>
      <c r="AA3">
        <f>Data!AH11</f>
        <v>9.1114481822700006E-5</v>
      </c>
      <c r="AB3">
        <f>Data!AI11</f>
        <v>9.1114481822700006E-5</v>
      </c>
    </row>
    <row r="4" spans="1:28" x14ac:dyDescent="0.3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35">
      <c r="A5" t="s">
        <v>4</v>
      </c>
      <c r="B5">
        <f>Data!I13</f>
        <v>6.08023121013E-2</v>
      </c>
      <c r="C5">
        <f>Data!J13</f>
        <v>6.08023121013E-2</v>
      </c>
      <c r="D5">
        <f>Data!K13</f>
        <v>6.08023121013E-2</v>
      </c>
      <c r="E5">
        <f>Data!L13</f>
        <v>6.08023121013E-2</v>
      </c>
      <c r="F5">
        <f>Data!M13</f>
        <v>6.08023121013E-2</v>
      </c>
      <c r="G5">
        <f>Data!N13</f>
        <v>6.08023121013E-2</v>
      </c>
      <c r="H5">
        <f>Data!O13</f>
        <v>6.08023121013E-2</v>
      </c>
      <c r="I5">
        <f>Data!P13</f>
        <v>6.08023121013E-2</v>
      </c>
      <c r="J5">
        <f>Data!Q13</f>
        <v>6.08023121013E-2</v>
      </c>
      <c r="K5">
        <f>Data!R13</f>
        <v>6.08023121013E-2</v>
      </c>
      <c r="L5">
        <f>Data!S13</f>
        <v>6.08023121013E-2</v>
      </c>
      <c r="M5">
        <f>Data!T13</f>
        <v>6.08023121013E-2</v>
      </c>
      <c r="N5">
        <f>Data!U13</f>
        <v>6.08023121013E-2</v>
      </c>
      <c r="O5">
        <f>Data!V13</f>
        <v>6.08023121013E-2</v>
      </c>
      <c r="P5">
        <f>Data!W13</f>
        <v>6.08023121013E-2</v>
      </c>
      <c r="Q5">
        <f>Data!X13</f>
        <v>6.08023121013E-2</v>
      </c>
      <c r="R5">
        <f>Data!Y13</f>
        <v>6.08023121013E-2</v>
      </c>
      <c r="S5">
        <f>Data!Z13</f>
        <v>6.08023121013E-2</v>
      </c>
      <c r="T5">
        <f>Data!AA13</f>
        <v>6.08023121013E-2</v>
      </c>
      <c r="U5">
        <f>Data!AB13</f>
        <v>6.08023121013E-2</v>
      </c>
      <c r="V5">
        <f>Data!AC13</f>
        <v>6.08023121013E-2</v>
      </c>
      <c r="W5">
        <f>Data!AD13</f>
        <v>6.08023121013E-2</v>
      </c>
      <c r="X5">
        <f>Data!AE13</f>
        <v>6.08023121013E-2</v>
      </c>
      <c r="Y5">
        <f>Data!AF13</f>
        <v>6.08023121013E-2</v>
      </c>
      <c r="Z5">
        <f>Data!AG13</f>
        <v>6.08023121013E-2</v>
      </c>
      <c r="AA5">
        <f>Data!AH13</f>
        <v>6.08023121013E-2</v>
      </c>
      <c r="AB5">
        <f>Data!AI13</f>
        <v>6.08023121013E-2</v>
      </c>
    </row>
    <row r="6" spans="1:28" x14ac:dyDescent="0.35">
      <c r="A6" t="s">
        <v>5</v>
      </c>
      <c r="B6">
        <f>Data!I14</f>
        <v>1.5463740197399999E-2</v>
      </c>
      <c r="C6">
        <f>Data!J14</f>
        <v>1.5463740197399999E-2</v>
      </c>
      <c r="D6">
        <f>Data!K14</f>
        <v>1.9993417391351978E-2</v>
      </c>
      <c r="E6">
        <f>Data!L14</f>
        <v>2.2093517300674829E-2</v>
      </c>
      <c r="F6">
        <f>Data!M14</f>
        <v>2.5083005196618505E-2</v>
      </c>
      <c r="G6">
        <f>Data!N14</f>
        <v>2.9250049214034041E-2</v>
      </c>
      <c r="H6">
        <f>Data!O14</f>
        <v>3.4891505996859425E-2</v>
      </c>
      <c r="I6">
        <f>Data!P14</f>
        <v>4.2234802602923074E-2</v>
      </c>
      <c r="J6">
        <f>Data!Q14</f>
        <v>5.1319468678820979E-2</v>
      </c>
      <c r="K6">
        <f>Data!R14</f>
        <v>6.1877165606985654E-2</v>
      </c>
      <c r="L6">
        <f>Data!S14</f>
        <v>7.3290800066268216E-2</v>
      </c>
      <c r="M6">
        <f>Data!T14</f>
        <v>8.4704434525550779E-2</v>
      </c>
      <c r="N6">
        <f>Data!U14</f>
        <v>9.5262131453715468E-2</v>
      </c>
      <c r="O6">
        <f>Data!V14</f>
        <v>0.10434679752961337</v>
      </c>
      <c r="P6">
        <f>Data!W14</f>
        <v>0.11169009413567701</v>
      </c>
      <c r="Q6">
        <f>Data!X14</f>
        <v>0.11733155091850239</v>
      </c>
      <c r="R6">
        <f>Data!Y14</f>
        <v>0.12149859493591794</v>
      </c>
      <c r="S6">
        <f>Data!Z14</f>
        <v>0.12448808283186162</v>
      </c>
      <c r="T6">
        <f>Data!AA14</f>
        <v>0.12658818274118447</v>
      </c>
      <c r="U6">
        <f>Data!AB14</f>
        <v>0.12804180805533377</v>
      </c>
      <c r="V6">
        <f>Data!AC14</f>
        <v>0.12903768065455262</v>
      </c>
      <c r="W6">
        <f>Data!AD14</f>
        <v>0.12971515646323384</v>
      </c>
      <c r="X6">
        <f>Data!AE14</f>
        <v>0.13017382495362109</v>
      </c>
      <c r="Y6">
        <f>Data!AF14</f>
        <v>0.13048334686530239</v>
      </c>
      <c r="Z6">
        <f>Data!AG14</f>
        <v>0.13069176241266453</v>
      </c>
      <c r="AA6">
        <f>Data!AH14</f>
        <v>0.1308318908805127</v>
      </c>
      <c r="AB6">
        <f>Data!AI14</f>
        <v>0.13092601275638885</v>
      </c>
    </row>
    <row r="7" spans="1:28" x14ac:dyDescent="0.35">
      <c r="A7" t="s">
        <v>33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35">
      <c r="A8" t="s">
        <v>34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Data!I17</f>
        <v>0.139546683447</v>
      </c>
      <c r="C2">
        <f>Data!J17</f>
        <v>6.2019274287835199E-2</v>
      </c>
      <c r="D2">
        <f>Data!K17</f>
        <v>0.14191438128525985</v>
      </c>
      <c r="E2">
        <f>Data!L17</f>
        <v>0.14301211999875416</v>
      </c>
      <c r="F2">
        <f>Data!M17</f>
        <v>0.14457474879671367</v>
      </c>
      <c r="G2">
        <f>Data!N17</f>
        <v>0.14675289542604564</v>
      </c>
      <c r="H2">
        <f>Data!O17</f>
        <v>0.149701729185583</v>
      </c>
      <c r="I2">
        <f>Data!P17</f>
        <v>0.15354012798430811</v>
      </c>
      <c r="J2">
        <f>Data!Q17</f>
        <v>0.15828875427890052</v>
      </c>
      <c r="K2">
        <f>Data!R17</f>
        <v>0.16380734536684707</v>
      </c>
      <c r="L2">
        <f>Data!S17</f>
        <v>0.1697733417235</v>
      </c>
      <c r="M2">
        <f>Data!T17</f>
        <v>0.17573933808015293</v>
      </c>
      <c r="N2">
        <f>Data!U17</f>
        <v>0.18125792916809949</v>
      </c>
      <c r="O2">
        <f>Data!V17</f>
        <v>0.1860065554626919</v>
      </c>
      <c r="P2">
        <f>Data!W17</f>
        <v>0.18984495426141701</v>
      </c>
      <c r="Q2">
        <f>Data!X17</f>
        <v>0.19279378802095437</v>
      </c>
      <c r="R2">
        <f>Data!Y17</f>
        <v>0.19497193465028634</v>
      </c>
      <c r="S2">
        <f>Data!Z17</f>
        <v>0.19653456344824585</v>
      </c>
      <c r="T2">
        <f>Data!AA17</f>
        <v>0.19763230216174016</v>
      </c>
      <c r="U2">
        <f>Data!AB17</f>
        <v>0.19839212352793961</v>
      </c>
      <c r="V2">
        <f>Data!AC17</f>
        <v>0.19891267395557297</v>
      </c>
      <c r="W2">
        <f>Data!AD17</f>
        <v>0.1992667958806032</v>
      </c>
      <c r="X2">
        <f>Data!AE17</f>
        <v>0.19950654550219166</v>
      </c>
      <c r="Y2">
        <f>Data!AF17</f>
        <v>0.19966833503592715</v>
      </c>
      <c r="Z2">
        <f>Data!AG17</f>
        <v>0.19977727547910223</v>
      </c>
      <c r="AA2">
        <f>Data!AH17</f>
        <v>0.19985052172959569</v>
      </c>
      <c r="AB2">
        <f>Data!AI17</f>
        <v>0.19989971997320177</v>
      </c>
    </row>
    <row r="3" spans="1:28" x14ac:dyDescent="0.35">
      <c r="A3" t="s">
        <v>2</v>
      </c>
      <c r="B3">
        <f>Data!I18</f>
        <v>0</v>
      </c>
      <c r="C3">
        <f>Data!J18</f>
        <v>0</v>
      </c>
      <c r="D3">
        <f>Data!K18</f>
        <v>0</v>
      </c>
      <c r="E3">
        <f>Data!L18</f>
        <v>0</v>
      </c>
      <c r="F3">
        <f>Data!M18</f>
        <v>0</v>
      </c>
      <c r="G3">
        <f>Data!N18</f>
        <v>0</v>
      </c>
      <c r="H3">
        <f>Data!O18</f>
        <v>0</v>
      </c>
      <c r="I3">
        <f>Data!P18</f>
        <v>0</v>
      </c>
      <c r="J3">
        <f>Data!Q18</f>
        <v>0</v>
      </c>
      <c r="K3">
        <f>Data!R18</f>
        <v>0</v>
      </c>
      <c r="L3">
        <f>Data!S18</f>
        <v>0</v>
      </c>
      <c r="M3">
        <f>Data!T18</f>
        <v>0</v>
      </c>
      <c r="N3">
        <f>Data!U18</f>
        <v>0</v>
      </c>
      <c r="O3">
        <f>Data!V18</f>
        <v>0</v>
      </c>
      <c r="P3">
        <f>Data!W18</f>
        <v>0</v>
      </c>
      <c r="Q3">
        <f>Data!X18</f>
        <v>0</v>
      </c>
      <c r="R3">
        <f>Data!Y18</f>
        <v>0</v>
      </c>
      <c r="S3">
        <f>Data!Z18</f>
        <v>0</v>
      </c>
      <c r="T3">
        <f>Data!AA18</f>
        <v>0</v>
      </c>
      <c r="U3">
        <f>Data!AB18</f>
        <v>0</v>
      </c>
      <c r="V3">
        <f>Data!AC18</f>
        <v>0</v>
      </c>
      <c r="W3">
        <f>Data!AD18</f>
        <v>0</v>
      </c>
      <c r="X3">
        <f>Data!AE18</f>
        <v>0</v>
      </c>
      <c r="Y3">
        <f>Data!AF18</f>
        <v>0</v>
      </c>
      <c r="Z3">
        <f>Data!AG18</f>
        <v>0</v>
      </c>
      <c r="AA3">
        <f>Data!AH18</f>
        <v>0</v>
      </c>
      <c r="AB3">
        <f>Data!AI18</f>
        <v>0</v>
      </c>
    </row>
    <row r="4" spans="1:28" x14ac:dyDescent="0.35">
      <c r="A4" t="s">
        <v>3</v>
      </c>
      <c r="B4">
        <f>Data!I19</f>
        <v>0.72915442924999996</v>
      </c>
      <c r="C4">
        <f>Data!J19</f>
        <v>0.67797888423399999</v>
      </c>
      <c r="D4">
        <f>Data!K19</f>
        <v>0.67797888423399999</v>
      </c>
      <c r="E4">
        <f>Data!L19</f>
        <v>0.67797888423399999</v>
      </c>
      <c r="F4">
        <f>Data!M19</f>
        <v>0.67797888423399999</v>
      </c>
      <c r="G4">
        <f>Data!N19</f>
        <v>0.67797888423399999</v>
      </c>
      <c r="H4">
        <f>Data!O19</f>
        <v>0.67797888423399999</v>
      </c>
      <c r="I4">
        <f>Data!P19</f>
        <v>0.67797888423399999</v>
      </c>
      <c r="J4">
        <f>Data!Q19</f>
        <v>0.67797888423399999</v>
      </c>
      <c r="K4">
        <f>Data!R19</f>
        <v>0.67797888423399999</v>
      </c>
      <c r="L4">
        <f>Data!S19</f>
        <v>0.67797888423399999</v>
      </c>
      <c r="M4">
        <f>Data!T19</f>
        <v>0.67797888423399999</v>
      </c>
      <c r="N4">
        <f>Data!U19</f>
        <v>0.67797888423399999</v>
      </c>
      <c r="O4">
        <f>Data!V19</f>
        <v>0.67797888423399999</v>
      </c>
      <c r="P4">
        <f>Data!W19</f>
        <v>0.67797888423399999</v>
      </c>
      <c r="Q4">
        <f>Data!X19</f>
        <v>0.67797888423399999</v>
      </c>
      <c r="R4">
        <f>Data!Y19</f>
        <v>0.67797888423399999</v>
      </c>
      <c r="S4">
        <f>Data!Z19</f>
        <v>0.67797888423399999</v>
      </c>
      <c r="T4">
        <f>Data!AA19</f>
        <v>0.67797888423399999</v>
      </c>
      <c r="U4">
        <f>Data!AB19</f>
        <v>0.67797888423399999</v>
      </c>
      <c r="V4">
        <f>Data!AC19</f>
        <v>0.67797888423399999</v>
      </c>
      <c r="W4">
        <f>Data!AD19</f>
        <v>0.67797888423399999</v>
      </c>
      <c r="X4">
        <f>Data!AE19</f>
        <v>0.67797888423399999</v>
      </c>
      <c r="Y4">
        <f>Data!AF19</f>
        <v>0.67797888423399999</v>
      </c>
      <c r="Z4">
        <f>Data!AG19</f>
        <v>0.67797888423399999</v>
      </c>
      <c r="AA4">
        <f>Data!AH19</f>
        <v>0.67797888423399999</v>
      </c>
      <c r="AB4">
        <f>Data!AI19</f>
        <v>0.67797888423399999</v>
      </c>
    </row>
    <row r="5" spans="1:28" x14ac:dyDescent="0.3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35">
      <c r="A6" t="s">
        <v>5</v>
      </c>
      <c r="B6">
        <f>Data!I21</f>
        <v>0</v>
      </c>
      <c r="C6">
        <f>Data!J21</f>
        <v>6.4220413235999997E-4</v>
      </c>
      <c r="D6">
        <f>Data!K21</f>
        <v>7.034131712916232E-4</v>
      </c>
      <c r="E6">
        <f>Data!L21</f>
        <v>7.3179159465514107E-4</v>
      </c>
      <c r="F6">
        <f>Data!M21</f>
        <v>7.7218822187015597E-4</v>
      </c>
      <c r="G6">
        <f>Data!N21</f>
        <v>8.284970378344221E-4</v>
      </c>
      <c r="H6">
        <f>Data!O21</f>
        <v>9.0472943433103864E-4</v>
      </c>
      <c r="I6">
        <f>Data!P21</f>
        <v>1.0039586086411079E-3</v>
      </c>
      <c r="J6">
        <f>Data!Q21</f>
        <v>1.126718720611755E-3</v>
      </c>
      <c r="K6">
        <f>Data!R21</f>
        <v>1.2693837394716313E-3</v>
      </c>
      <c r="L6">
        <f>Data!S21</f>
        <v>1.4236149497888558E-3</v>
      </c>
      <c r="M6">
        <f>Data!T21</f>
        <v>1.5778461601060802E-3</v>
      </c>
      <c r="N6">
        <f>Data!U21</f>
        <v>1.7205111789659567E-3</v>
      </c>
      <c r="O6">
        <f>Data!V21</f>
        <v>1.8432712909366039E-3</v>
      </c>
      <c r="P6">
        <f>Data!W21</f>
        <v>1.942500465246673E-3</v>
      </c>
      <c r="Q6">
        <f>Data!X21</f>
        <v>2.0187328617432897E-3</v>
      </c>
      <c r="R6">
        <f>Data!Y21</f>
        <v>2.075041677707556E-3</v>
      </c>
      <c r="S6">
        <f>Data!Z21</f>
        <v>2.1154383049225706E-3</v>
      </c>
      <c r="T6">
        <f>Data!AA21</f>
        <v>2.1438167282860888E-3</v>
      </c>
      <c r="U6">
        <f>Data!AB21</f>
        <v>2.163459410233614E-3</v>
      </c>
      <c r="V6">
        <f>Data!AC21</f>
        <v>2.1769165291598619E-3</v>
      </c>
      <c r="W6">
        <f>Data!AD21</f>
        <v>2.1860711866273229E-3</v>
      </c>
      <c r="X6">
        <f>Data!AE21</f>
        <v>2.1922691244234882E-3</v>
      </c>
      <c r="Y6">
        <f>Data!AF21</f>
        <v>2.1964516606023544E-3</v>
      </c>
      <c r="Z6">
        <f>Data!AG21</f>
        <v>2.1992679573948674E-3</v>
      </c>
      <c r="AA6">
        <f>Data!AH21</f>
        <v>2.2011614982536728E-3</v>
      </c>
      <c r="AB6">
        <f>Data!AI21</f>
        <v>2.2024333570016897E-3</v>
      </c>
    </row>
    <row r="7" spans="1:28" x14ac:dyDescent="0.35">
      <c r="A7" t="s">
        <v>33</v>
      </c>
      <c r="B7">
        <f>Data!I22</f>
        <v>0</v>
      </c>
      <c r="C7">
        <f>Data!J22</f>
        <v>0</v>
      </c>
      <c r="D7">
        <f>Data!K22</f>
        <v>0</v>
      </c>
      <c r="E7">
        <f>Data!L22</f>
        <v>0</v>
      </c>
      <c r="F7">
        <f>Data!M22</f>
        <v>0</v>
      </c>
      <c r="G7">
        <f>Data!N22</f>
        <v>0</v>
      </c>
      <c r="H7">
        <f>Data!O22</f>
        <v>0</v>
      </c>
      <c r="I7">
        <f>Data!P22</f>
        <v>0</v>
      </c>
      <c r="J7">
        <f>Data!Q22</f>
        <v>0</v>
      </c>
      <c r="K7">
        <f>Data!R22</f>
        <v>0</v>
      </c>
      <c r="L7">
        <f>Data!S22</f>
        <v>0</v>
      </c>
      <c r="M7">
        <f>Data!T22</f>
        <v>0</v>
      </c>
      <c r="N7">
        <f>Data!U22</f>
        <v>0</v>
      </c>
      <c r="O7">
        <f>Data!V22</f>
        <v>0</v>
      </c>
      <c r="P7">
        <f>Data!W22</f>
        <v>0</v>
      </c>
      <c r="Q7">
        <f>Data!X22</f>
        <v>0</v>
      </c>
      <c r="R7">
        <f>Data!Y22</f>
        <v>0</v>
      </c>
      <c r="S7">
        <f>Data!Z22</f>
        <v>0</v>
      </c>
      <c r="T7">
        <f>Data!AA22</f>
        <v>0</v>
      </c>
      <c r="U7">
        <f>Data!AB22</f>
        <v>0</v>
      </c>
      <c r="V7">
        <f>Data!AC22</f>
        <v>0</v>
      </c>
      <c r="W7">
        <f>Data!AD22</f>
        <v>0</v>
      </c>
      <c r="X7">
        <f>Data!AE22</f>
        <v>0</v>
      </c>
      <c r="Y7">
        <f>Data!AF22</f>
        <v>0</v>
      </c>
      <c r="Z7">
        <f>Data!AG22</f>
        <v>0</v>
      </c>
      <c r="AA7">
        <f>Data!AH22</f>
        <v>0</v>
      </c>
      <c r="AB7">
        <f>Data!AI22</f>
        <v>0</v>
      </c>
    </row>
    <row r="8" spans="1:28" x14ac:dyDescent="0.35">
      <c r="A8" t="s">
        <v>34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Data!I24</f>
        <v>3.0938506857799999E-2</v>
      </c>
      <c r="C2">
        <f>Data!J24</f>
        <v>3.0393141812799999E-2</v>
      </c>
      <c r="D2">
        <f>Data!K24</f>
        <v>5.6618778403372177E-2</v>
      </c>
      <c r="E2">
        <f>Data!L24</f>
        <v>6.8777803134611903E-2</v>
      </c>
      <c r="F2">
        <f>Data!M24</f>
        <v>8.608614979905288E-2</v>
      </c>
      <c r="G2">
        <f>Data!N24</f>
        <v>0.11021223591476392</v>
      </c>
      <c r="H2">
        <f>Data!O24</f>
        <v>0.14287478317648508</v>
      </c>
      <c r="I2">
        <f>Data!P24</f>
        <v>0.18539053428222468</v>
      </c>
      <c r="J2">
        <f>Data!Q24</f>
        <v>0.2379883554627959</v>
      </c>
      <c r="K2">
        <f>Data!R24</f>
        <v>0.29911463687665474</v>
      </c>
      <c r="L2">
        <f>Data!S24</f>
        <v>0.36519657090640001</v>
      </c>
      <c r="M2">
        <f>Data!T24</f>
        <v>0.43127850493614522</v>
      </c>
      <c r="N2">
        <f>Data!U24</f>
        <v>0.49240478635000412</v>
      </c>
      <c r="O2">
        <f>Data!V24</f>
        <v>0.54500260753057528</v>
      </c>
      <c r="P2">
        <f>Data!W24</f>
        <v>0.58751835863631485</v>
      </c>
      <c r="Q2">
        <f>Data!X24</f>
        <v>0.62018090589803598</v>
      </c>
      <c r="R2">
        <f>Data!Y24</f>
        <v>0.64430699201374708</v>
      </c>
      <c r="S2">
        <f>Data!Z24</f>
        <v>0.66161533867818811</v>
      </c>
      <c r="T2">
        <f>Data!AA24</f>
        <v>0.67377436340942776</v>
      </c>
      <c r="U2">
        <f>Data!AB24</f>
        <v>0.68219047069376959</v>
      </c>
      <c r="V2">
        <f>Data!AC24</f>
        <v>0.68795631045658845</v>
      </c>
      <c r="W2">
        <f>Data!AD24</f>
        <v>0.69187871675545232</v>
      </c>
      <c r="X2">
        <f>Data!AE24</f>
        <v>0.69453428637540304</v>
      </c>
      <c r="Y2">
        <f>Data!AF24</f>
        <v>0.69632633663086296</v>
      </c>
      <c r="Z2">
        <f>Data!AG24</f>
        <v>0.6975330076961308</v>
      </c>
      <c r="AA2">
        <f>Data!AH24</f>
        <v>0.69834431457660484</v>
      </c>
      <c r="AB2">
        <f>Data!AI24</f>
        <v>0.69888925542034686</v>
      </c>
    </row>
    <row r="3" spans="1:28" x14ac:dyDescent="0.35">
      <c r="A3" t="s">
        <v>2</v>
      </c>
      <c r="B3">
        <f>Data!I25</f>
        <v>0</v>
      </c>
      <c r="C3">
        <f>Data!J25</f>
        <v>0</v>
      </c>
      <c r="D3">
        <f>Data!K25</f>
        <v>0</v>
      </c>
      <c r="E3">
        <f>Data!L25</f>
        <v>0</v>
      </c>
      <c r="F3">
        <f>Data!M25</f>
        <v>0</v>
      </c>
      <c r="G3">
        <f>Data!N25</f>
        <v>0</v>
      </c>
      <c r="H3">
        <f>Data!O25</f>
        <v>0</v>
      </c>
      <c r="I3">
        <f>Data!P25</f>
        <v>0</v>
      </c>
      <c r="J3">
        <f>Data!Q25</f>
        <v>0</v>
      </c>
      <c r="K3">
        <f>Data!R25</f>
        <v>0</v>
      </c>
      <c r="L3">
        <f>Data!S25</f>
        <v>0</v>
      </c>
      <c r="M3">
        <f>Data!T25</f>
        <v>0</v>
      </c>
      <c r="N3">
        <f>Data!U25</f>
        <v>0</v>
      </c>
      <c r="O3">
        <f>Data!V25</f>
        <v>0</v>
      </c>
      <c r="P3">
        <f>Data!W25</f>
        <v>0</v>
      </c>
      <c r="Q3">
        <f>Data!X25</f>
        <v>0</v>
      </c>
      <c r="R3">
        <f>Data!Y25</f>
        <v>0</v>
      </c>
      <c r="S3">
        <f>Data!Z25</f>
        <v>0</v>
      </c>
      <c r="T3">
        <f>Data!AA25</f>
        <v>0</v>
      </c>
      <c r="U3">
        <f>Data!AB25</f>
        <v>0</v>
      </c>
      <c r="V3">
        <f>Data!AC25</f>
        <v>0</v>
      </c>
      <c r="W3">
        <f>Data!AD25</f>
        <v>0</v>
      </c>
      <c r="X3">
        <f>Data!AE25</f>
        <v>0</v>
      </c>
      <c r="Y3">
        <f>Data!AF25</f>
        <v>0</v>
      </c>
      <c r="Z3">
        <f>Data!AG25</f>
        <v>0</v>
      </c>
      <c r="AA3">
        <f>Data!AH25</f>
        <v>0</v>
      </c>
      <c r="AB3">
        <f>Data!AI25</f>
        <v>0</v>
      </c>
    </row>
    <row r="4" spans="1:28" x14ac:dyDescent="0.35">
      <c r="A4" t="s">
        <v>3</v>
      </c>
      <c r="B4">
        <f>Data!I26</f>
        <v>0</v>
      </c>
      <c r="C4">
        <f>Data!J26</f>
        <v>0</v>
      </c>
      <c r="D4">
        <f>Data!K26</f>
        <v>0</v>
      </c>
      <c r="E4">
        <f>Data!L26</f>
        <v>0</v>
      </c>
      <c r="F4">
        <f>Data!M26</f>
        <v>0</v>
      </c>
      <c r="G4">
        <f>Data!N26</f>
        <v>0</v>
      </c>
      <c r="H4">
        <f>Data!O26</f>
        <v>0</v>
      </c>
      <c r="I4">
        <f>Data!P26</f>
        <v>0</v>
      </c>
      <c r="J4">
        <f>Data!Q26</f>
        <v>0</v>
      </c>
      <c r="K4">
        <f>Data!R26</f>
        <v>0</v>
      </c>
      <c r="L4">
        <f>Data!S26</f>
        <v>0</v>
      </c>
      <c r="M4">
        <f>Data!T26</f>
        <v>0</v>
      </c>
      <c r="N4">
        <f>Data!U26</f>
        <v>0</v>
      </c>
      <c r="O4">
        <f>Data!V26</f>
        <v>0</v>
      </c>
      <c r="P4">
        <f>Data!W26</f>
        <v>0</v>
      </c>
      <c r="Q4">
        <f>Data!X26</f>
        <v>0</v>
      </c>
      <c r="R4">
        <f>Data!Y26</f>
        <v>0</v>
      </c>
      <c r="S4">
        <f>Data!Z26</f>
        <v>0</v>
      </c>
      <c r="T4">
        <f>Data!AA26</f>
        <v>0</v>
      </c>
      <c r="U4">
        <f>Data!AB26</f>
        <v>0</v>
      </c>
      <c r="V4">
        <f>Data!AC26</f>
        <v>0</v>
      </c>
      <c r="W4">
        <f>Data!AD26</f>
        <v>0</v>
      </c>
      <c r="X4">
        <f>Data!AE26</f>
        <v>0</v>
      </c>
      <c r="Y4">
        <f>Data!AF26</f>
        <v>0</v>
      </c>
      <c r="Z4">
        <f>Data!AG26</f>
        <v>0</v>
      </c>
      <c r="AA4">
        <f>Data!AH26</f>
        <v>0</v>
      </c>
      <c r="AB4">
        <f>Data!AI26</f>
        <v>0</v>
      </c>
    </row>
    <row r="5" spans="1:28" x14ac:dyDescent="0.3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35">
      <c r="A6" t="s">
        <v>5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35">
      <c r="A7" t="s">
        <v>33</v>
      </c>
      <c r="B7">
        <f>Data!I29</f>
        <v>0</v>
      </c>
      <c r="C7">
        <f>Data!J29</f>
        <v>0</v>
      </c>
      <c r="D7">
        <f>Data!K29</f>
        <v>0</v>
      </c>
      <c r="E7">
        <f>Data!L29</f>
        <v>0</v>
      </c>
      <c r="F7">
        <f>Data!M29</f>
        <v>0</v>
      </c>
      <c r="G7">
        <f>Data!N29</f>
        <v>0</v>
      </c>
      <c r="H7">
        <f>Data!O29</f>
        <v>0</v>
      </c>
      <c r="I7">
        <f>Data!P29</f>
        <v>0</v>
      </c>
      <c r="J7">
        <f>Data!Q29</f>
        <v>0</v>
      </c>
      <c r="K7">
        <f>Data!R29</f>
        <v>0</v>
      </c>
      <c r="L7">
        <f>Data!S29</f>
        <v>0</v>
      </c>
      <c r="M7">
        <f>Data!T29</f>
        <v>0</v>
      </c>
      <c r="N7">
        <f>Data!U29</f>
        <v>0</v>
      </c>
      <c r="O7">
        <f>Data!V29</f>
        <v>0</v>
      </c>
      <c r="P7">
        <f>Data!W29</f>
        <v>0</v>
      </c>
      <c r="Q7">
        <f>Data!X29</f>
        <v>0</v>
      </c>
      <c r="R7">
        <f>Data!Y29</f>
        <v>0</v>
      </c>
      <c r="S7">
        <f>Data!Z29</f>
        <v>0</v>
      </c>
      <c r="T7">
        <f>Data!AA29</f>
        <v>0</v>
      </c>
      <c r="U7">
        <f>Data!AB29</f>
        <v>0</v>
      </c>
      <c r="V7">
        <f>Data!AC29</f>
        <v>0</v>
      </c>
      <c r="W7">
        <f>Data!AD29</f>
        <v>0</v>
      </c>
      <c r="X7">
        <f>Data!AE29</f>
        <v>0</v>
      </c>
      <c r="Y7">
        <f>Data!AF29</f>
        <v>0</v>
      </c>
      <c r="Z7">
        <f>Data!AG29</f>
        <v>0</v>
      </c>
      <c r="AA7">
        <f>Data!AH29</f>
        <v>0</v>
      </c>
      <c r="AB7">
        <f>Data!AI29</f>
        <v>0</v>
      </c>
    </row>
    <row r="8" spans="1:28" x14ac:dyDescent="0.35">
      <c r="A8" t="s">
        <v>34</v>
      </c>
      <c r="B8">
        <f>Data!I30</f>
        <v>0</v>
      </c>
      <c r="C8">
        <f>Data!J30</f>
        <v>0</v>
      </c>
      <c r="D8">
        <f>Data!K30</f>
        <v>0</v>
      </c>
      <c r="E8">
        <f>Data!L30</f>
        <v>0</v>
      </c>
      <c r="F8">
        <f>Data!M30</f>
        <v>0</v>
      </c>
      <c r="G8">
        <f>Data!N30</f>
        <v>0</v>
      </c>
      <c r="H8">
        <f>Data!O30</f>
        <v>0</v>
      </c>
      <c r="I8">
        <f>Data!P30</f>
        <v>0</v>
      </c>
      <c r="J8">
        <f>Data!Q30</f>
        <v>0</v>
      </c>
      <c r="K8">
        <f>Data!R30</f>
        <v>0</v>
      </c>
      <c r="L8">
        <f>Data!S30</f>
        <v>0</v>
      </c>
      <c r="M8">
        <f>Data!T30</f>
        <v>0</v>
      </c>
      <c r="N8">
        <f>Data!U30</f>
        <v>0</v>
      </c>
      <c r="O8">
        <f>Data!V30</f>
        <v>0</v>
      </c>
      <c r="P8">
        <f>Data!W30</f>
        <v>0</v>
      </c>
      <c r="Q8">
        <f>Data!X30</f>
        <v>0</v>
      </c>
      <c r="R8">
        <f>Data!Y30</f>
        <v>0</v>
      </c>
      <c r="S8">
        <f>Data!Z30</f>
        <v>0</v>
      </c>
      <c r="T8">
        <f>Data!AA30</f>
        <v>0</v>
      </c>
      <c r="U8">
        <f>Data!AB30</f>
        <v>0</v>
      </c>
      <c r="V8">
        <f>Data!AC30</f>
        <v>0</v>
      </c>
      <c r="W8">
        <f>Data!AD30</f>
        <v>0</v>
      </c>
      <c r="X8">
        <f>Data!AE30</f>
        <v>0</v>
      </c>
      <c r="Y8">
        <f>Data!AF30</f>
        <v>0</v>
      </c>
      <c r="Z8">
        <f>Data!AG30</f>
        <v>0</v>
      </c>
      <c r="AA8">
        <f>Data!AH30</f>
        <v>0</v>
      </c>
      <c r="AB8">
        <f>Data!AI30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Data!I31</f>
        <v>3.9969151262900003E-3</v>
      </c>
      <c r="C2">
        <f>Data!J31</f>
        <v>5.0541532112899999E-3</v>
      </c>
      <c r="D2">
        <f>Data!K31</f>
        <v>1.0359111139078626E-2</v>
      </c>
      <c r="E2">
        <f>Data!L31</f>
        <v>1.289882600385258E-2</v>
      </c>
      <c r="F2">
        <f>Data!M31</f>
        <v>1.6605920486673545E-2</v>
      </c>
      <c r="G2">
        <f>Data!N31</f>
        <v>2.1961680813246801E-2</v>
      </c>
      <c r="H2">
        <f>Data!O31</f>
        <v>2.9585594608390296E-2</v>
      </c>
      <c r="I2">
        <f>Data!P31</f>
        <v>4.0212559986792025E-2</v>
      </c>
      <c r="J2">
        <f>Data!Q31</f>
        <v>5.4599632852899593E-2</v>
      </c>
      <c r="K2">
        <f>Data!R31</f>
        <v>7.3326806952772217E-2</v>
      </c>
      <c r="L2">
        <f>Data!S31</f>
        <v>9.6494892401215532E-2</v>
      </c>
      <c r="M2">
        <f>Data!T31</f>
        <v>0.12341956112618145</v>
      </c>
      <c r="N2">
        <f>Data!U31</f>
        <v>0.15252707660564499</v>
      </c>
      <c r="O2">
        <f>Data!V31</f>
        <v>0.18163459208510854</v>
      </c>
      <c r="P2">
        <f>Data!W31</f>
        <v>0.20855926081007445</v>
      </c>
      <c r="Q2">
        <f>Data!X31</f>
        <v>0.23172734625851779</v>
      </c>
      <c r="R2">
        <f>Data!Y31</f>
        <v>0.25045452035839039</v>
      </c>
      <c r="S2">
        <f>Data!Z31</f>
        <v>0.26484159322449791</v>
      </c>
      <c r="T2">
        <f>Data!AA31</f>
        <v>0.2754685586028997</v>
      </c>
      <c r="U2">
        <f>Data!AB31</f>
        <v>0.28309247239804319</v>
      </c>
      <c r="V2">
        <f>Data!AC31</f>
        <v>0.28844823272461645</v>
      </c>
      <c r="W2">
        <f>Data!AD31</f>
        <v>0.29215532720743737</v>
      </c>
      <c r="X2">
        <f>Data!AE31</f>
        <v>0.29469504207221137</v>
      </c>
      <c r="Y2">
        <f>Data!AF31</f>
        <v>0.29642276847334142</v>
      </c>
      <c r="Z2">
        <f>Data!AG31</f>
        <v>0.29759248353925816</v>
      </c>
      <c r="AA2">
        <f>Data!AH31</f>
        <v>0.29838183892536557</v>
      </c>
      <c r="AB2">
        <f>Data!AI31</f>
        <v>0.29891334874308811</v>
      </c>
    </row>
    <row r="3" spans="1:28" x14ac:dyDescent="0.35">
      <c r="A3" t="s">
        <v>2</v>
      </c>
      <c r="B3">
        <f>Data!I32</f>
        <v>0</v>
      </c>
      <c r="C3">
        <f>Data!J32</f>
        <v>0</v>
      </c>
      <c r="D3">
        <f>Data!K32</f>
        <v>0</v>
      </c>
      <c r="E3">
        <f>Data!L32</f>
        <v>0</v>
      </c>
      <c r="F3">
        <f>Data!M32</f>
        <v>0</v>
      </c>
      <c r="G3">
        <f>Data!N32</f>
        <v>0</v>
      </c>
      <c r="H3">
        <f>Data!O32</f>
        <v>0</v>
      </c>
      <c r="I3">
        <f>Data!P32</f>
        <v>0</v>
      </c>
      <c r="J3">
        <f>Data!Q32</f>
        <v>0</v>
      </c>
      <c r="K3">
        <f>Data!R32</f>
        <v>0</v>
      </c>
      <c r="L3">
        <f>Data!S32</f>
        <v>0</v>
      </c>
      <c r="M3">
        <f>Data!T32</f>
        <v>0</v>
      </c>
      <c r="N3">
        <f>Data!U32</f>
        <v>0</v>
      </c>
      <c r="O3">
        <f>Data!V32</f>
        <v>0</v>
      </c>
      <c r="P3">
        <f>Data!W32</f>
        <v>0</v>
      </c>
      <c r="Q3">
        <f>Data!X32</f>
        <v>0</v>
      </c>
      <c r="R3">
        <f>Data!Y32</f>
        <v>0</v>
      </c>
      <c r="S3">
        <f>Data!Z32</f>
        <v>0</v>
      </c>
      <c r="T3">
        <f>Data!AA32</f>
        <v>0</v>
      </c>
      <c r="U3">
        <f>Data!AB32</f>
        <v>0</v>
      </c>
      <c r="V3">
        <f>Data!AC32</f>
        <v>0</v>
      </c>
      <c r="W3">
        <f>Data!AD32</f>
        <v>0</v>
      </c>
      <c r="X3">
        <f>Data!AE32</f>
        <v>0</v>
      </c>
      <c r="Y3">
        <f>Data!AF32</f>
        <v>0</v>
      </c>
      <c r="Z3">
        <f>Data!AG32</f>
        <v>0</v>
      </c>
      <c r="AA3">
        <f>Data!AH32</f>
        <v>0</v>
      </c>
      <c r="AB3">
        <f>Data!AI32</f>
        <v>0</v>
      </c>
    </row>
    <row r="4" spans="1:28" x14ac:dyDescent="0.3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</row>
    <row r="5" spans="1:28" x14ac:dyDescent="0.35">
      <c r="A5" t="s">
        <v>4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35">
      <c r="A6" t="s">
        <v>5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35">
      <c r="A7" t="s">
        <v>33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35">
      <c r="A8" t="s">
        <v>34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3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3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3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3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35">
      <c r="A7" t="s">
        <v>33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35">
      <c r="A8" t="s">
        <v>34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3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3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3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3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35">
      <c r="A7" t="s">
        <v>33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35">
      <c r="A8" t="s">
        <v>34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Data!I52</f>
        <v>0.93664816810144857</v>
      </c>
      <c r="C2">
        <f>Data!J52</f>
        <v>0.93758413007374464</v>
      </c>
      <c r="D2">
        <f>Data!K52</f>
        <v>0.93790508781512971</v>
      </c>
      <c r="E2">
        <f>Data!L52</f>
        <v>0.93833313636753701</v>
      </c>
      <c r="F2">
        <f>Data!M52</f>
        <v>0.93890166810468023</v>
      </c>
      <c r="G2">
        <f>Data!N52</f>
        <v>0.93965268404663582</v>
      </c>
      <c r="H2">
        <f>Data!O52</f>
        <v>0.94063764556845908</v>
      </c>
      <c r="I2">
        <f>Data!P52</f>
        <v>0.94191731078828078</v>
      </c>
      <c r="J2">
        <f>Data!Q52</f>
        <v>0.94355965157849941</v>
      </c>
      <c r="K2">
        <f>Data!R52</f>
        <v>0.94563469291965474</v>
      </c>
      <c r="L2">
        <f>Data!S52</f>
        <v>0.94820515921963411</v>
      </c>
      <c r="M2">
        <f>Data!T52</f>
        <v>0.95131254710589963</v>
      </c>
      <c r="N2">
        <f>Data!U52</f>
        <v>0.95496004662134204</v>
      </c>
      <c r="O2">
        <f>Data!V52</f>
        <v>0.95909649022374377</v>
      </c>
      <c r="P2">
        <f>Data!W52</f>
        <v>0.96360801423956699</v>
      </c>
      <c r="Q2">
        <f>Data!X52</f>
        <v>0.96832408405072434</v>
      </c>
      <c r="R2">
        <f>Data!Y52</f>
        <v>0.97304015386188158</v>
      </c>
      <c r="S2">
        <f>Data!Z52</f>
        <v>0.97755167787770481</v>
      </c>
      <c r="T2">
        <f>Data!AA52</f>
        <v>0.98168812148010653</v>
      </c>
      <c r="U2">
        <f>Data!AB52</f>
        <v>0.98533562099554894</v>
      </c>
      <c r="V2">
        <f>Data!AC52</f>
        <v>0.98844300888181458</v>
      </c>
      <c r="W2">
        <f>Data!AD52</f>
        <v>0.99101347518179383</v>
      </c>
      <c r="X2">
        <f>Data!AE52</f>
        <v>0.99308851652294916</v>
      </c>
      <c r="Y2">
        <f>Data!AF52</f>
        <v>0.99473085731316779</v>
      </c>
      <c r="Z2">
        <f>Data!AG52</f>
        <v>0.9960105225329895</v>
      </c>
      <c r="AA2">
        <f>Data!AH52</f>
        <v>0.99699548405481275</v>
      </c>
      <c r="AB2">
        <f>Data!AI52</f>
        <v>0.99774649999676845</v>
      </c>
    </row>
    <row r="3" spans="1:28" x14ac:dyDescent="0.3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3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35">
      <c r="A5" t="s">
        <v>4</v>
      </c>
      <c r="B5">
        <f>Data!I55</f>
        <v>6.3351831898551425E-2</v>
      </c>
      <c r="C5">
        <f>Data!J55</f>
        <v>6.3351831898557975E-2</v>
      </c>
      <c r="D5">
        <f>Data!K55</f>
        <v>0.10081775862262532</v>
      </c>
      <c r="E5">
        <f>Data!L55</f>
        <v>0.13828368534667845</v>
      </c>
      <c r="F5">
        <f>Data!M55</f>
        <v>0.17574961207073159</v>
      </c>
      <c r="G5">
        <f>Data!N55</f>
        <v>0.21321553879479893</v>
      </c>
      <c r="H5">
        <f>Data!O55</f>
        <v>0.25068146551885206</v>
      </c>
      <c r="I5">
        <f>Data!P55</f>
        <v>0.2881473922429052</v>
      </c>
      <c r="J5">
        <f>Data!Q55</f>
        <v>0.32561331896697254</v>
      </c>
      <c r="K5">
        <f>Data!R55</f>
        <v>0.36307924569102568</v>
      </c>
      <c r="L5">
        <f>Data!S55</f>
        <v>0.40054517241507881</v>
      </c>
      <c r="M5">
        <f>Data!T55</f>
        <v>0.43801109913914615</v>
      </c>
      <c r="N5">
        <f>Data!U55</f>
        <v>0.47547702586319929</v>
      </c>
      <c r="O5">
        <f>Data!V55</f>
        <v>0.51294295258725242</v>
      </c>
      <c r="P5">
        <f>Data!W55</f>
        <v>0.55040887931131977</v>
      </c>
      <c r="Q5">
        <f>Data!X55</f>
        <v>0.5878748060353729</v>
      </c>
      <c r="R5">
        <f>Data!Y55</f>
        <v>0.62534073275942603</v>
      </c>
      <c r="S5">
        <f>Data!Z55</f>
        <v>0.66280665948349338</v>
      </c>
      <c r="T5">
        <f>Data!AA55</f>
        <v>0.70027258620754651</v>
      </c>
      <c r="U5">
        <f>Data!AB55</f>
        <v>0.73773851293159964</v>
      </c>
      <c r="V5">
        <f>Data!AC55</f>
        <v>0.77520443965566699</v>
      </c>
      <c r="W5">
        <f>Data!AD55</f>
        <v>0.81267036637972012</v>
      </c>
      <c r="X5">
        <f>Data!AE55</f>
        <v>0.85013629310377326</v>
      </c>
      <c r="Y5">
        <f>Data!AF55</f>
        <v>0.8876022198278406</v>
      </c>
      <c r="Z5">
        <f>Data!AG55</f>
        <v>0.92506814655189373</v>
      </c>
      <c r="AA5">
        <f>Data!AH55</f>
        <v>0.96253407327594687</v>
      </c>
      <c r="AB5">
        <f>Data!AI55</f>
        <v>1.0000000000000142</v>
      </c>
    </row>
    <row r="6" spans="1:28" x14ac:dyDescent="0.3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35">
      <c r="A7" t="s">
        <v>33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35">
      <c r="A8" t="s">
        <v>34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3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3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3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3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35">
      <c r="A7" t="s">
        <v>33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35">
      <c r="A8" t="s">
        <v>34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3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3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3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3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35">
      <c r="A7" t="s">
        <v>33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35">
      <c r="A8" t="s">
        <v>34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3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3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3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3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35">
      <c r="A7" t="s">
        <v>33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35">
      <c r="A8" t="s">
        <v>34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f>Data!I80</f>
        <v>6.6873740826300002E-2</v>
      </c>
      <c r="C2">
        <f>Data!J80</f>
        <v>8.3712995874888008E-2</v>
      </c>
      <c r="D2">
        <f>Data!K80</f>
        <v>9.167058838844952E-2</v>
      </c>
      <c r="E2">
        <f>Data!L80</f>
        <v>0.10316718187336593</v>
      </c>
      <c r="F2">
        <f>Data!M80</f>
        <v>0.11953255902288656</v>
      </c>
      <c r="G2">
        <f>Data!N80</f>
        <v>0.14234424092873754</v>
      </c>
      <c r="H2">
        <f>Data!O80</f>
        <v>0.17322731225641558</v>
      </c>
      <c r="I2">
        <f>Data!P80</f>
        <v>0.21342677874098925</v>
      </c>
      <c r="J2">
        <f>Data!Q80</f>
        <v>0.26315903783836003</v>
      </c>
      <c r="K2">
        <f>Data!R80</f>
        <v>0.32095512133954762</v>
      </c>
      <c r="L2">
        <f>Data!S80</f>
        <v>0.38343687041314994</v>
      </c>
      <c r="M2">
        <f>Data!T80</f>
        <v>0.44591861948675221</v>
      </c>
      <c r="N2">
        <f>Data!U80</f>
        <v>0.50371470298793986</v>
      </c>
      <c r="O2">
        <f>Data!V80</f>
        <v>0.55344696208531075</v>
      </c>
      <c r="P2">
        <f>Data!W80</f>
        <v>0.59364642856988437</v>
      </c>
      <c r="Q2">
        <f>Data!X80</f>
        <v>0.62452949989756235</v>
      </c>
      <c r="R2">
        <f>Data!Y80</f>
        <v>0.64734118180341338</v>
      </c>
      <c r="S2">
        <f>Data!Z80</f>
        <v>0.66370655895293407</v>
      </c>
      <c r="T2">
        <f>Data!AA80</f>
        <v>0.67520315243785045</v>
      </c>
      <c r="U2">
        <f>Data!AB80</f>
        <v>0.68316074495141188</v>
      </c>
      <c r="V2">
        <f>Data!AC80</f>
        <v>0.68861245816998817</v>
      </c>
      <c r="W2">
        <f>Data!AD80</f>
        <v>0.69232116932877497</v>
      </c>
      <c r="X2">
        <f>Data!AE80</f>
        <v>0.69483206186056068</v>
      </c>
      <c r="Y2">
        <f>Data!AF80</f>
        <v>0.69652648010108209</v>
      </c>
      <c r="Z2">
        <f>Data!AG80</f>
        <v>0.69766741097457163</v>
      </c>
      <c r="AA2">
        <f>Data!AH80</f>
        <v>0.69843451735049356</v>
      </c>
      <c r="AB2">
        <f>Data!AI80</f>
        <v>0.69894976947739584</v>
      </c>
    </row>
    <row r="3" spans="1:28" x14ac:dyDescent="0.35">
      <c r="A3" t="s">
        <v>2</v>
      </c>
      <c r="B3">
        <f>Data!I81</f>
        <v>9.1114481822700006E-5</v>
      </c>
      <c r="C3">
        <f>Data!J81</f>
        <v>9.1114481822700006E-5</v>
      </c>
      <c r="D3">
        <f>Data!K81</f>
        <v>9.1114481822700006E-5</v>
      </c>
      <c r="E3">
        <f>Data!L81</f>
        <v>9.1114481822700006E-5</v>
      </c>
      <c r="F3">
        <f>Data!M81</f>
        <v>9.1114481822700006E-5</v>
      </c>
      <c r="G3">
        <f>Data!N81</f>
        <v>9.1114481822700006E-5</v>
      </c>
      <c r="H3">
        <f>Data!O81</f>
        <v>9.1114481822700006E-5</v>
      </c>
      <c r="I3">
        <f>Data!P81</f>
        <v>9.1114481822700006E-5</v>
      </c>
      <c r="J3">
        <f>Data!Q81</f>
        <v>9.1114481822700006E-5</v>
      </c>
      <c r="K3">
        <f>Data!R81</f>
        <v>9.1114481822700006E-5</v>
      </c>
      <c r="L3">
        <f>Data!S81</f>
        <v>9.1114481822700006E-5</v>
      </c>
      <c r="M3">
        <f>Data!T81</f>
        <v>9.1114481822700006E-5</v>
      </c>
      <c r="N3">
        <f>Data!U81</f>
        <v>9.1114481822700006E-5</v>
      </c>
      <c r="O3">
        <f>Data!V81</f>
        <v>9.1114481822700006E-5</v>
      </c>
      <c r="P3">
        <f>Data!W81</f>
        <v>9.1114481822700006E-5</v>
      </c>
      <c r="Q3">
        <f>Data!X81</f>
        <v>9.1114481822700006E-5</v>
      </c>
      <c r="R3">
        <f>Data!Y81</f>
        <v>9.1114481822700006E-5</v>
      </c>
      <c r="S3">
        <f>Data!Z81</f>
        <v>9.1114481822700006E-5</v>
      </c>
      <c r="T3">
        <f>Data!AA81</f>
        <v>9.1114481822700006E-5</v>
      </c>
      <c r="U3">
        <f>Data!AB81</f>
        <v>9.1114481822700006E-5</v>
      </c>
      <c r="V3">
        <f>Data!AC81</f>
        <v>9.1114481822700006E-5</v>
      </c>
      <c r="W3">
        <f>Data!AD81</f>
        <v>9.1114481822700006E-5</v>
      </c>
      <c r="X3">
        <f>Data!AE81</f>
        <v>9.1114481822700006E-5</v>
      </c>
      <c r="Y3">
        <f>Data!AF81</f>
        <v>9.1114481822700006E-5</v>
      </c>
      <c r="Z3">
        <f>Data!AG81</f>
        <v>9.1114481822700006E-5</v>
      </c>
      <c r="AA3">
        <f>Data!AH81</f>
        <v>9.1114481822700006E-5</v>
      </c>
      <c r="AB3">
        <f>Data!AI81</f>
        <v>9.1114481822700006E-5</v>
      </c>
    </row>
    <row r="4" spans="1:28" x14ac:dyDescent="0.35">
      <c r="A4" t="s">
        <v>3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35">
      <c r="A5" t="s">
        <v>4</v>
      </c>
      <c r="B5">
        <f>Data!I83</f>
        <v>6.08023121013E-2</v>
      </c>
      <c r="C5">
        <f>Data!J83</f>
        <v>6.08023121013E-2</v>
      </c>
      <c r="D5">
        <f>Data!K83</f>
        <v>6.08023121013E-2</v>
      </c>
      <c r="E5">
        <f>Data!L83</f>
        <v>6.08023121013E-2</v>
      </c>
      <c r="F5">
        <f>Data!M83</f>
        <v>6.08023121013E-2</v>
      </c>
      <c r="G5">
        <f>Data!N83</f>
        <v>6.08023121013E-2</v>
      </c>
      <c r="H5">
        <f>Data!O83</f>
        <v>6.08023121013E-2</v>
      </c>
      <c r="I5">
        <f>Data!P83</f>
        <v>6.08023121013E-2</v>
      </c>
      <c r="J5">
        <f>Data!Q83</f>
        <v>6.08023121013E-2</v>
      </c>
      <c r="K5">
        <f>Data!R83</f>
        <v>6.08023121013E-2</v>
      </c>
      <c r="L5">
        <f>Data!S83</f>
        <v>6.08023121013E-2</v>
      </c>
      <c r="M5">
        <f>Data!T83</f>
        <v>6.08023121013E-2</v>
      </c>
      <c r="N5">
        <f>Data!U83</f>
        <v>6.08023121013E-2</v>
      </c>
      <c r="O5">
        <f>Data!V83</f>
        <v>6.08023121013E-2</v>
      </c>
      <c r="P5">
        <f>Data!W83</f>
        <v>6.08023121013E-2</v>
      </c>
      <c r="Q5">
        <f>Data!X83</f>
        <v>6.08023121013E-2</v>
      </c>
      <c r="R5">
        <f>Data!Y83</f>
        <v>6.08023121013E-2</v>
      </c>
      <c r="S5">
        <f>Data!Z83</f>
        <v>6.08023121013E-2</v>
      </c>
      <c r="T5">
        <f>Data!AA83</f>
        <v>6.08023121013E-2</v>
      </c>
      <c r="U5">
        <f>Data!AB83</f>
        <v>6.08023121013E-2</v>
      </c>
      <c r="V5">
        <f>Data!AC83</f>
        <v>6.08023121013E-2</v>
      </c>
      <c r="W5">
        <f>Data!AD83</f>
        <v>6.08023121013E-2</v>
      </c>
      <c r="X5">
        <f>Data!AE83</f>
        <v>6.08023121013E-2</v>
      </c>
      <c r="Y5">
        <f>Data!AF83</f>
        <v>6.08023121013E-2</v>
      </c>
      <c r="Z5">
        <f>Data!AG83</f>
        <v>6.08023121013E-2</v>
      </c>
      <c r="AA5">
        <f>Data!AH83</f>
        <v>6.08023121013E-2</v>
      </c>
      <c r="AB5">
        <f>Data!AI83</f>
        <v>6.08023121013E-2</v>
      </c>
    </row>
    <row r="6" spans="1:28" x14ac:dyDescent="0.35">
      <c r="A6" t="s">
        <v>5</v>
      </c>
      <c r="B6">
        <f>Data!I84</f>
        <v>1.5463740197399999E-2</v>
      </c>
      <c r="C6">
        <f>Data!J84</f>
        <v>1.7172417827862912E-2</v>
      </c>
      <c r="D6">
        <f>Data!K84</f>
        <v>1.7758353292402298E-2</v>
      </c>
      <c r="E6">
        <f>Data!L84</f>
        <v>1.853979207720265E-2</v>
      </c>
      <c r="F6">
        <f>Data!M84</f>
        <v>1.9577694780751151E-2</v>
      </c>
      <c r="G6">
        <f>Data!N84</f>
        <v>2.0948737812545012E-2</v>
      </c>
      <c r="H6">
        <f>Data!O84</f>
        <v>2.2746868259102986E-2</v>
      </c>
      <c r="I6">
        <f>Data!P84</f>
        <v>2.5083005196618512E-2</v>
      </c>
      <c r="J6">
        <f>Data!Q84</f>
        <v>2.8081237018963839E-2</v>
      </c>
      <c r="K6">
        <f>Data!R84</f>
        <v>3.1869400242326443E-2</v>
      </c>
      <c r="L6">
        <f>Data!S84</f>
        <v>3.6562003570919627E-2</v>
      </c>
      <c r="M6">
        <f>Data!T84</f>
        <v>4.2234802602923081E-2</v>
      </c>
      <c r="N6">
        <f>Data!U84</f>
        <v>4.8893621031060069E-2</v>
      </c>
      <c r="O6">
        <f>Data!V84</f>
        <v>5.6445048185473662E-2</v>
      </c>
      <c r="P6">
        <f>Data!W84</f>
        <v>6.4681216313354148E-2</v>
      </c>
      <c r="Q6">
        <f>Data!X84</f>
        <v>7.3290800066268216E-2</v>
      </c>
      <c r="R6">
        <f>Data!Y84</f>
        <v>8.1900383819182299E-2</v>
      </c>
      <c r="S6">
        <f>Data!Z84</f>
        <v>9.0136551947062771E-2</v>
      </c>
      <c r="T6">
        <f>Data!AA84</f>
        <v>9.7687979101476377E-2</v>
      </c>
      <c r="U6">
        <f>Data!AB84</f>
        <v>0.10434679752961336</v>
      </c>
      <c r="V6">
        <f>Data!AC84</f>
        <v>0.11001959656161681</v>
      </c>
      <c r="W6">
        <f>Data!AD84</f>
        <v>0.11471219989021002</v>
      </c>
      <c r="X6">
        <f>Data!AE84</f>
        <v>0.11850036311357261</v>
      </c>
      <c r="Y6">
        <f>Data!AF84</f>
        <v>0.12149859493591794</v>
      </c>
      <c r="Z6">
        <f>Data!AG84</f>
        <v>0.12383473187343347</v>
      </c>
      <c r="AA6">
        <f>Data!AH84</f>
        <v>0.12563286231999143</v>
      </c>
      <c r="AB6">
        <f>Data!AI84</f>
        <v>0.1270039053517853</v>
      </c>
    </row>
    <row r="7" spans="1:28" x14ac:dyDescent="0.35">
      <c r="A7" t="s">
        <v>33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35">
      <c r="A8" t="s">
        <v>34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B8"/>
  <sheetViews>
    <sheetView workbookViewId="0">
      <selection activeCell="Z23" sqref="Z23"/>
    </sheetView>
  </sheetViews>
  <sheetFormatPr defaultColWidth="9.08984375" defaultRowHeight="14.5" x14ac:dyDescent="0.35"/>
  <cols>
    <col min="1" max="1" width="24.36328125" customWidth="1"/>
  </cols>
  <sheetData>
    <row r="1" spans="1:28" ht="29" x14ac:dyDescent="0.35">
      <c r="A1" s="20" t="s">
        <v>35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3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3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35">
      <c r="A8" t="s">
        <v>34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SYVbT-passenger</vt:lpstr>
      <vt:lpstr>Manufacturing Capacity Checks</vt:lpstr>
      <vt:lpstr>AEO Table 38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2017-07-01T03:43:09Z</dcterms:created>
  <dcterms:modified xsi:type="dcterms:W3CDTF">2026-01-29T22:57:02Z</dcterms:modified>
</cp:coreProperties>
</file>