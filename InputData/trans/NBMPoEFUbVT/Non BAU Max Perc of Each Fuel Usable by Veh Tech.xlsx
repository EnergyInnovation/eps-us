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OBrien\Models\EPS\US\eps-us\InputData\trans\MPoEFUbVT\"/>
    </mc:Choice>
  </mc:AlternateContent>
  <xr:revisionPtr revIDLastSave="0" documentId="13_ncr:1_{E8C16FB5-5F07-4EB1-B7F9-C605599A6E14}" xr6:coauthVersionLast="47" xr6:coauthVersionMax="47" xr10:uidLastSave="{00000000-0000-0000-0000-000000000000}"/>
  <bookViews>
    <workbookView xWindow="690" yWindow="1305" windowWidth="23520" windowHeight="15450" firstSheet="67" activeTab="68" xr2:uid="{00000000-000D-0000-FFFF-FFFF00000000}"/>
  </bookViews>
  <sheets>
    <sheet name="About" sheetId="1" r:id="rId1"/>
    <sheet name="Max Biofuel Blends" sheetId="50" r:id="rId2"/>
    <sheet name="LDVs-psgr" sheetId="17" r:id="rId3"/>
    <sheet name="MPoEFUbVT-LDVs-psgr-batelc" sheetId="2" r:id="rId4"/>
    <sheet name="MPoEFUbVT-LDVs-psgr-natgas" sheetId="3" r:id="rId5"/>
    <sheet name="MPoEFUbVT-LDVs-psgr-gasveh" sheetId="5" r:id="rId6"/>
    <sheet name="MPoEFUbVT-LDVs-psgr-dslveh" sheetId="6" r:id="rId7"/>
    <sheet name="MPoEFUbVT-LDVs-psgr-plghyb" sheetId="7" r:id="rId8"/>
    <sheet name="MPoEFUbVT-LDVs-psgr-LPG" sheetId="70" r:id="rId9"/>
    <sheet name="MPoEFUbVT-LDVs-psgr-hydgn" sheetId="71" r:id="rId10"/>
    <sheet name="LDVs-frgt" sheetId="51" r:id="rId11"/>
    <sheet name="MPoEFUbVT-LDVs-frgt-batelc" sheetId="52" r:id="rId12"/>
    <sheet name="MPoEFUbVT-LDVs-frgt-natgas" sheetId="53" r:id="rId13"/>
    <sheet name="MPoEFUbVT-LDVs-frgt-gasveh" sheetId="54" r:id="rId14"/>
    <sheet name="MPoEFUbVT-LDVs-frgt-dslveh" sheetId="55" r:id="rId15"/>
    <sheet name="MPoEFUbVT-LDVs-frgt-plghyb" sheetId="56" r:id="rId16"/>
    <sheet name="MPoEFUbVT-LDVs-frgt-LPG" sheetId="72" r:id="rId17"/>
    <sheet name="MPoEFUbVT-LDVs-frgt-hydgn" sheetId="73" r:id="rId18"/>
    <sheet name="HDVs-psgr" sheetId="24" r:id="rId19"/>
    <sheet name="MPoEFUbVT-HDVs-psgr-batelc" sheetId="19" r:id="rId20"/>
    <sheet name="MPoEFUbVT-HDVs-psgr-natgas" sheetId="20" r:id="rId21"/>
    <sheet name="MPoEFUbVT-HDVs-psgr-gasveh" sheetId="21" r:id="rId22"/>
    <sheet name="MPoEFUbVT-HDVs-psgr-dslveh" sheetId="22" r:id="rId23"/>
    <sheet name="MPoEFUbVT-HDVs-psgr-plghyb" sheetId="23" r:id="rId24"/>
    <sheet name="MPoEFUbVT-HDVs-psgr-LPG" sheetId="76" r:id="rId25"/>
    <sheet name="MPoEFUbVT-HDVs-psgr-hydgn" sheetId="77" r:id="rId26"/>
    <sheet name="HDVs-frgt" sheetId="57" r:id="rId27"/>
    <sheet name="MPoEFUbVT-HDVs-frgt-batelc" sheetId="58" r:id="rId28"/>
    <sheet name="MPoEFUbVT-HDVs-frgt-natgas" sheetId="59" r:id="rId29"/>
    <sheet name="MPoEFUbVT-HDVs-frgt-gasveh" sheetId="60" r:id="rId30"/>
    <sheet name="MPoEFUbVT-HDVs-frgt-dslveh" sheetId="61" r:id="rId31"/>
    <sheet name="MPoEFUbVT-HDVs-frgt-plghyb" sheetId="62" r:id="rId32"/>
    <sheet name="MPoEFUbVT-HDVs-frgt-LPG" sheetId="74" r:id="rId33"/>
    <sheet name="MPoEFUbVT-HDVs-frgt-hydgn" sheetId="75" r:id="rId34"/>
    <sheet name="aircraft-psgr" sheetId="82" r:id="rId35"/>
    <sheet name="MPoEFUbVT-aircraft-psgr-batelc" sheetId="83" r:id="rId36"/>
    <sheet name="MPoEFUbVT-aircraft-psgr-natgas" sheetId="84" r:id="rId37"/>
    <sheet name="MPoEFUbVT-aircraft-psgr-gasveh" sheetId="85" r:id="rId38"/>
    <sheet name="MPoEFUbVT-aircraft-psgr-dslveh" sheetId="86" r:id="rId39"/>
    <sheet name="MPoEFUbVT-aircraft-psgr-hydgn" sheetId="87" r:id="rId40"/>
    <sheet name="aircraft-frgt" sheetId="88" r:id="rId41"/>
    <sheet name="MPoEFUbVT-aircraft-frgt-batelc" sheetId="89" r:id="rId42"/>
    <sheet name="MPoEFUbVT-aircraft-frgt-natgas" sheetId="90" r:id="rId43"/>
    <sheet name="MPoEFUbVT-aircraft-frgt-gasveh" sheetId="91" r:id="rId44"/>
    <sheet name="MPoEFUbVT-aircraft-frgt-dslveh" sheetId="92" r:id="rId45"/>
    <sheet name="MPoEFUbVT-aircraft-frgt-hydgn" sheetId="93" r:id="rId46"/>
    <sheet name="rail-psgr" sheetId="94" r:id="rId47"/>
    <sheet name="MPoEFUbVT-rail-psgr-batelc" sheetId="95" r:id="rId48"/>
    <sheet name="MPoEFUbVT-rail-psgr-natgas" sheetId="96" r:id="rId49"/>
    <sheet name="MPoEFUbVT-rail-psgr-gasveh" sheetId="97" r:id="rId50"/>
    <sheet name="MPoEFUbVT-rail-psgr-dslveh" sheetId="98" r:id="rId51"/>
    <sheet name="MPoEFUbVT-rail-psgr-hydgn" sheetId="99" r:id="rId52"/>
    <sheet name="rail-frgt" sheetId="100" r:id="rId53"/>
    <sheet name="MPoEFUbVT-rail-frgt-batelc" sheetId="101" r:id="rId54"/>
    <sheet name="MPoEFUbVT-rail-frgt-natgas" sheetId="102" r:id="rId55"/>
    <sheet name="MPoEFUbVT-rail-frgt-gasveh" sheetId="103" r:id="rId56"/>
    <sheet name="MPoEFUbVT-rail-frgt-dslveh" sheetId="104" r:id="rId57"/>
    <sheet name="MPoEFUbVT-rail-frgt-hydgn" sheetId="105" r:id="rId58"/>
    <sheet name="ships-psgr" sheetId="106" r:id="rId59"/>
    <sheet name="MPoEFUbVT-ships-psgr-batelc" sheetId="107" r:id="rId60"/>
    <sheet name="MPoEFUbVT-ships-psgr-natgas" sheetId="108" r:id="rId61"/>
    <sheet name="MPoEFUbVT-ships-psgr-gasveh" sheetId="109" r:id="rId62"/>
    <sheet name="MPoEFUbVT-ships-psgr-dslveh" sheetId="110" r:id="rId63"/>
    <sheet name="MPoEFUbVT-ships-psgr-hydgn" sheetId="111" r:id="rId64"/>
    <sheet name="ships-frgt" sheetId="112" r:id="rId65"/>
    <sheet name="MPoEFUbVT-ships-frgt-batelc" sheetId="113" r:id="rId66"/>
    <sheet name="MPoEFUbVT-ships-frgt-natgas" sheetId="114" r:id="rId67"/>
    <sheet name="MPoEFUbVT-ships-frgt-gasveh" sheetId="115" r:id="rId68"/>
    <sheet name="MPoEFUbVT-ships-frgt-dslveh" sheetId="116" r:id="rId69"/>
    <sheet name="MPoEFUbVT-ships-frgt-hydgn" sheetId="117" r:id="rId70"/>
    <sheet name="mtrbks-psgr" sheetId="38" r:id="rId71"/>
    <sheet name="MPoEFUbVT-mtrbks-psgr-batelc" sheetId="39" r:id="rId72"/>
    <sheet name="MPoEFUbVT-mtrbks-psgr-natgas" sheetId="40" r:id="rId73"/>
    <sheet name="MPoEFUbVT-mtrbks-psgr-gasveh" sheetId="41" r:id="rId74"/>
    <sheet name="MPoEFUbVT-mtrbks-psgr-dslveh" sheetId="42" r:id="rId75"/>
    <sheet name="MPoEFUbVT-mtrbks-psgr-plghyb" sheetId="43" r:id="rId76"/>
    <sheet name="MPoEFUbVT-mtrbks-psgr-LPG" sheetId="78" r:id="rId77"/>
    <sheet name="MPoEFUbVT-mtrbks-psgr-hydgn" sheetId="79" r:id="rId78"/>
    <sheet name="mtrbks-frgt" sheetId="64" r:id="rId79"/>
    <sheet name="MPoEFUbVT-mtrbks-frgt-batelc" sheetId="65" r:id="rId80"/>
    <sheet name="MPoEFUbVT-mtrbks-frgt-natgas" sheetId="66" r:id="rId81"/>
    <sheet name="MPoEFUbVT-mtrbks-frgt-gasveh" sheetId="67" r:id="rId82"/>
    <sheet name="MPoEFUbVT-mtrbks-frgt-dslveh" sheetId="68" r:id="rId83"/>
    <sheet name="MPoEFUbVT-mtrbks-frgt-plghyb" sheetId="69" r:id="rId84"/>
    <sheet name="MPoEFUbVT-mtrbks-frgt-LPG" sheetId="80" r:id="rId85"/>
    <sheet name="MPoEFUbVT-mtrbks-frgt-hydgn" sheetId="81" r:id="rId86"/>
  </sheets>
  <definedNames>
    <definedName name="max_biodsl">'Max Biofuel Blends'!$A$3</definedName>
    <definedName name="max_biogas">'Max Biofuel Blends'!$A$2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7" i="116" l="1"/>
  <c r="AF7" i="116"/>
  <c r="AE7" i="116"/>
  <c r="AD7" i="116"/>
  <c r="AC7" i="116"/>
  <c r="AB7" i="116"/>
  <c r="AA7" i="116"/>
  <c r="Z7" i="116"/>
  <c r="Y7" i="116"/>
  <c r="X7" i="116"/>
  <c r="W7" i="116"/>
  <c r="V7" i="116"/>
  <c r="U7" i="116"/>
  <c r="T7" i="116"/>
  <c r="S7" i="116"/>
  <c r="R7" i="116"/>
  <c r="Q7" i="116" s="1"/>
  <c r="P7" i="116" s="1"/>
  <c r="AH7" i="116"/>
  <c r="AG7" i="110"/>
  <c r="AF7" i="110"/>
  <c r="AE7" i="110"/>
  <c r="AD7" i="110"/>
  <c r="AC7" i="110"/>
  <c r="AB7" i="110" s="1"/>
  <c r="AA7" i="110" s="1"/>
  <c r="Z7" i="110" s="1"/>
  <c r="Y7" i="110" s="1"/>
  <c r="X7" i="110" s="1"/>
  <c r="W7" i="110" s="1"/>
  <c r="V7" i="110" s="1"/>
  <c r="U7" i="110" s="1"/>
  <c r="T7" i="110" s="1"/>
  <c r="S7" i="110" s="1"/>
  <c r="R7" i="110" s="1"/>
  <c r="Q7" i="110" s="1"/>
  <c r="P7" i="110" s="1"/>
  <c r="AH7" i="110"/>
  <c r="AH7" i="92"/>
  <c r="AG7" i="92" s="1"/>
  <c r="AF7" i="92" s="1"/>
  <c r="AE7" i="92" s="1"/>
  <c r="AD7" i="92" s="1"/>
  <c r="AC7" i="92" s="1"/>
  <c r="AB7" i="92" s="1"/>
  <c r="AA7" i="92" s="1"/>
  <c r="Z7" i="92" s="1"/>
  <c r="Y7" i="92" s="1"/>
  <c r="X7" i="92" s="1"/>
  <c r="W7" i="92" s="1"/>
  <c r="V7" i="92" s="1"/>
  <c r="U7" i="92" s="1"/>
  <c r="T7" i="92" s="1"/>
  <c r="S7" i="92" s="1"/>
  <c r="R7" i="92" s="1"/>
  <c r="Q7" i="92" s="1"/>
  <c r="P7" i="92" s="1"/>
  <c r="D7" i="92"/>
  <c r="C7" i="92"/>
  <c r="B7" i="92"/>
  <c r="AG7" i="86"/>
  <c r="AF7" i="86" s="1"/>
  <c r="AE7" i="86" s="1"/>
  <c r="AD7" i="86" s="1"/>
  <c r="AC7" i="86" s="1"/>
  <c r="AB7" i="86" s="1"/>
  <c r="AA7" i="86" s="1"/>
  <c r="Z7" i="86" s="1"/>
  <c r="Y7" i="86" s="1"/>
  <c r="X7" i="86" s="1"/>
  <c r="W7" i="86" s="1"/>
  <c r="V7" i="86" s="1"/>
  <c r="U7" i="86" s="1"/>
  <c r="T7" i="86" s="1"/>
  <c r="S7" i="86" s="1"/>
  <c r="R7" i="86" s="1"/>
  <c r="Q7" i="86" s="1"/>
  <c r="P7" i="86" s="1"/>
  <c r="AH7" i="86"/>
  <c r="AI7" i="55"/>
  <c r="AH7" i="55"/>
  <c r="AG7" i="55"/>
  <c r="AF7" i="55"/>
  <c r="AE7" i="55"/>
  <c r="AD7" i="55"/>
  <c r="AC7" i="55"/>
  <c r="AB7" i="55"/>
  <c r="AA7" i="55"/>
  <c r="Z7" i="55"/>
  <c r="Y7" i="55"/>
  <c r="X7" i="55"/>
  <c r="W7" i="55"/>
  <c r="V7" i="55"/>
  <c r="U7" i="55" s="1"/>
  <c r="T7" i="55" s="1"/>
  <c r="S7" i="55" s="1"/>
  <c r="R7" i="55" s="1"/>
  <c r="Q7" i="55" s="1"/>
  <c r="P7" i="55" s="1"/>
  <c r="O7" i="55" s="1"/>
  <c r="N7" i="55" s="1"/>
  <c r="M7" i="55" s="1"/>
  <c r="L7" i="55" s="1"/>
  <c r="K7" i="55" s="1"/>
  <c r="J7" i="55" s="1"/>
  <c r="I7" i="55" s="1"/>
  <c r="H7" i="55" s="1"/>
  <c r="G7" i="55" s="1"/>
  <c r="F7" i="55" s="1"/>
  <c r="E7" i="55" s="1"/>
  <c r="D7" i="55" s="1"/>
  <c r="C7" i="55" s="1"/>
  <c r="B7" i="55" s="1"/>
  <c r="M7" i="61"/>
  <c r="L7" i="61" s="1"/>
  <c r="K7" i="61" s="1"/>
  <c r="J7" i="61" s="1"/>
  <c r="I7" i="61" s="1"/>
  <c r="H7" i="61" s="1"/>
  <c r="G7" i="61" s="1"/>
  <c r="F7" i="61" s="1"/>
  <c r="E7" i="61" s="1"/>
  <c r="D7" i="61" s="1"/>
  <c r="C7" i="61" s="1"/>
  <c r="B7" i="61" s="1"/>
  <c r="N7" i="61"/>
  <c r="O7" i="61"/>
  <c r="P7" i="61"/>
  <c r="AI7" i="61"/>
  <c r="AH7" i="61"/>
  <c r="AG7" i="61"/>
  <c r="AF7" i="61"/>
  <c r="AE7" i="61"/>
  <c r="AD7" i="61"/>
  <c r="AC7" i="61" s="1"/>
  <c r="AB7" i="61" s="1"/>
  <c r="AA7" i="61" s="1"/>
  <c r="Z7" i="61" s="1"/>
  <c r="Y7" i="61" s="1"/>
  <c r="X7" i="61" s="1"/>
  <c r="W7" i="61" s="1"/>
  <c r="V7" i="61" s="1"/>
  <c r="U7" i="61" s="1"/>
  <c r="T7" i="61" s="1"/>
  <c r="S7" i="61" s="1"/>
  <c r="R7" i="61" s="1"/>
  <c r="Q7" i="61" s="1"/>
  <c r="L17" i="50" a="1"/>
  <c r="L17" i="50" s="1"/>
  <c r="K17" i="50" a="1"/>
  <c r="K17" i="50" s="1"/>
  <c r="J17" i="50" a="1"/>
  <c r="J17" i="50" s="1"/>
  <c r="M17" i="50" a="1"/>
  <c r="M17" i="50" s="1"/>
  <c r="N17" i="50" a="1"/>
  <c r="N17" i="50" s="1"/>
  <c r="O17" i="50" a="1"/>
  <c r="O17" i="50" s="1"/>
  <c r="P17" i="50" a="1"/>
  <c r="P17" i="50" s="1"/>
  <c r="Q17" i="50" a="1"/>
  <c r="Q17" i="50" s="1"/>
  <c r="R17" i="50" a="1"/>
  <c r="R17" i="50" s="1"/>
  <c r="S17" i="50" a="1"/>
  <c r="S17" i="50" s="1"/>
  <c r="T17" i="50" a="1"/>
  <c r="T17" i="50"/>
  <c r="U17" i="50" a="1"/>
  <c r="U17" i="50" s="1"/>
  <c r="V17" i="50" a="1"/>
  <c r="V17" i="50" s="1"/>
  <c r="W17" i="50" a="1"/>
  <c r="W17" i="50" s="1"/>
  <c r="X17" i="50" a="1"/>
  <c r="X17" i="50"/>
  <c r="Y17" i="50" a="1"/>
  <c r="Y17" i="50" s="1"/>
  <c r="Z17" i="50" a="1"/>
  <c r="Z17" i="50" s="1"/>
  <c r="AA17" i="50" a="1"/>
  <c r="AA17" i="50" s="1"/>
  <c r="AB17" i="50" a="1"/>
  <c r="AB17" i="50" s="1"/>
  <c r="AC17" i="50" a="1"/>
  <c r="AC17" i="50" s="1"/>
  <c r="AD17" i="50" a="1"/>
  <c r="AD17" i="50" s="1"/>
  <c r="AE17" i="50" a="1"/>
  <c r="AE17" i="50" s="1"/>
  <c r="AF17" i="50" a="1"/>
  <c r="AF17" i="50" s="1"/>
  <c r="AG17" i="50" a="1"/>
  <c r="AG17" i="50" s="1"/>
  <c r="AH17" i="50" a="1"/>
  <c r="AH17" i="50" s="1"/>
  <c r="AI17" i="50" a="1"/>
  <c r="AI17" i="50" s="1"/>
  <c r="I17" i="50" a="1"/>
  <c r="I17" i="50" s="1"/>
  <c r="H17" i="50" a="1"/>
  <c r="H17" i="50" s="1"/>
  <c r="G17" i="50" a="1"/>
  <c r="G17" i="50" s="1"/>
  <c r="G14" i="50"/>
  <c r="Z14" i="50"/>
  <c r="AA14" i="50"/>
  <c r="AB14" i="50"/>
  <c r="AC14" i="50"/>
  <c r="AD14" i="50"/>
  <c r="AE14" i="50"/>
  <c r="AF14" i="50"/>
  <c r="AG14" i="50"/>
  <c r="AH14" i="50"/>
  <c r="AI14" i="50"/>
  <c r="C6" i="69"/>
  <c r="D6" i="69"/>
  <c r="E6" i="69"/>
  <c r="F6" i="69"/>
  <c r="G6" i="69"/>
  <c r="H6" i="69"/>
  <c r="I6" i="69"/>
  <c r="J6" i="69"/>
  <c r="K6" i="69"/>
  <c r="L6" i="69"/>
  <c r="M6" i="69"/>
  <c r="N6" i="69"/>
  <c r="O6" i="69"/>
  <c r="P6" i="69"/>
  <c r="Q6" i="69"/>
  <c r="R6" i="69"/>
  <c r="S6" i="69"/>
  <c r="T6" i="69"/>
  <c r="U6" i="69"/>
  <c r="V6" i="69"/>
  <c r="W6" i="69"/>
  <c r="X6" i="69"/>
  <c r="Y6" i="69"/>
  <c r="Z6" i="69"/>
  <c r="AA6" i="69"/>
  <c r="AB6" i="69"/>
  <c r="AC6" i="69"/>
  <c r="AD6" i="69"/>
  <c r="AE6" i="69"/>
  <c r="AF6" i="69"/>
  <c r="AG6" i="69"/>
  <c r="AH6" i="69"/>
  <c r="AI6" i="69"/>
  <c r="AJ6" i="69"/>
  <c r="B6" i="69"/>
  <c r="C7" i="68"/>
  <c r="D7" i="68"/>
  <c r="E7" i="68"/>
  <c r="F7" i="68"/>
  <c r="G7" i="68"/>
  <c r="H7" i="68"/>
  <c r="I7" i="68"/>
  <c r="J7" i="68"/>
  <c r="K7" i="68"/>
  <c r="L7" i="68"/>
  <c r="M7" i="68"/>
  <c r="N7" i="68"/>
  <c r="O7" i="68"/>
  <c r="P7" i="68"/>
  <c r="Q7" i="68"/>
  <c r="R7" i="68"/>
  <c r="S7" i="68"/>
  <c r="T7" i="68"/>
  <c r="U7" i="68"/>
  <c r="V7" i="68"/>
  <c r="W7" i="68"/>
  <c r="X7" i="68"/>
  <c r="Y7" i="68"/>
  <c r="Z7" i="68"/>
  <c r="AA7" i="68"/>
  <c r="AB7" i="68"/>
  <c r="AC7" i="68"/>
  <c r="AD7" i="68"/>
  <c r="AE7" i="68"/>
  <c r="AF7" i="68"/>
  <c r="AG7" i="68"/>
  <c r="AH7" i="68"/>
  <c r="AI7" i="68"/>
  <c r="AJ7" i="68"/>
  <c r="B7" i="68"/>
  <c r="C6" i="67"/>
  <c r="D6" i="67"/>
  <c r="E6" i="67"/>
  <c r="F6" i="67"/>
  <c r="G6" i="67"/>
  <c r="H6" i="67"/>
  <c r="I6" i="67"/>
  <c r="J6" i="67"/>
  <c r="K6" i="67"/>
  <c r="L6" i="67"/>
  <c r="M6" i="67"/>
  <c r="N6" i="67"/>
  <c r="O6" i="67"/>
  <c r="P6" i="67"/>
  <c r="Q6" i="67"/>
  <c r="R6" i="67"/>
  <c r="S6" i="67"/>
  <c r="T6" i="67"/>
  <c r="U6" i="67"/>
  <c r="V6" i="67"/>
  <c r="W6" i="67"/>
  <c r="X6" i="67"/>
  <c r="Y6" i="67"/>
  <c r="Z6" i="67"/>
  <c r="AA6" i="67"/>
  <c r="AB6" i="67"/>
  <c r="AC6" i="67"/>
  <c r="AD6" i="67"/>
  <c r="AE6" i="67"/>
  <c r="AF6" i="67"/>
  <c r="AG6" i="67"/>
  <c r="AH6" i="67"/>
  <c r="AI6" i="67"/>
  <c r="AJ6" i="67"/>
  <c r="B6" i="67"/>
  <c r="C7" i="62"/>
  <c r="D7" i="62"/>
  <c r="E7" i="62"/>
  <c r="F7" i="62"/>
  <c r="G7" i="62"/>
  <c r="H7" i="62"/>
  <c r="I7" i="62"/>
  <c r="J7" i="62"/>
  <c r="K7" i="62"/>
  <c r="L7" i="62"/>
  <c r="M7" i="62"/>
  <c r="N7" i="62"/>
  <c r="O7" i="62"/>
  <c r="P7" i="62"/>
  <c r="Q7" i="62"/>
  <c r="R7" i="62"/>
  <c r="S7" i="62"/>
  <c r="T7" i="62"/>
  <c r="U7" i="62"/>
  <c r="V7" i="62"/>
  <c r="W7" i="62"/>
  <c r="X7" i="62"/>
  <c r="Y7" i="62"/>
  <c r="Z7" i="62"/>
  <c r="AA7" i="62"/>
  <c r="AB7" i="62"/>
  <c r="AC7" i="62"/>
  <c r="AD7" i="62"/>
  <c r="AE7" i="62"/>
  <c r="AF7" i="62"/>
  <c r="AG7" i="62"/>
  <c r="AH7" i="62"/>
  <c r="AI7" i="62"/>
  <c r="AJ7" i="62"/>
  <c r="B7" i="62"/>
  <c r="C7" i="22"/>
  <c r="D7" i="22"/>
  <c r="E7" i="22"/>
  <c r="F7" i="22"/>
  <c r="G7" i="22"/>
  <c r="H7" i="22"/>
  <c r="I7" i="22"/>
  <c r="J7" i="22"/>
  <c r="K7" i="22"/>
  <c r="L7" i="22"/>
  <c r="M7" i="22"/>
  <c r="N7" i="22"/>
  <c r="O7" i="22"/>
  <c r="P7" i="22"/>
  <c r="Q7" i="22"/>
  <c r="R7" i="22"/>
  <c r="S7" i="22"/>
  <c r="T7" i="22"/>
  <c r="U7" i="22"/>
  <c r="V7" i="22"/>
  <c r="W7" i="22"/>
  <c r="X7" i="22"/>
  <c r="Y7" i="22"/>
  <c r="Z7" i="22"/>
  <c r="AA7" i="22"/>
  <c r="AB7" i="22"/>
  <c r="AC7" i="22"/>
  <c r="AD7" i="22"/>
  <c r="AE7" i="22"/>
  <c r="AF7" i="22"/>
  <c r="AG7" i="22"/>
  <c r="AH7" i="22"/>
  <c r="AI7" i="22"/>
  <c r="AJ7" i="22"/>
  <c r="B7" i="22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B6" i="21"/>
  <c r="C6" i="56"/>
  <c r="D6" i="56"/>
  <c r="E6" i="56"/>
  <c r="F6" i="56"/>
  <c r="G6" i="56"/>
  <c r="H6" i="56"/>
  <c r="I6" i="56"/>
  <c r="J6" i="56"/>
  <c r="K6" i="56"/>
  <c r="L6" i="56"/>
  <c r="M6" i="56"/>
  <c r="N6" i="56"/>
  <c r="O6" i="56"/>
  <c r="P6" i="56"/>
  <c r="Q6" i="56"/>
  <c r="R6" i="56"/>
  <c r="S6" i="56"/>
  <c r="T6" i="56"/>
  <c r="U6" i="56"/>
  <c r="V6" i="56"/>
  <c r="W6" i="56"/>
  <c r="X6" i="56"/>
  <c r="Y6" i="56"/>
  <c r="Z6" i="56"/>
  <c r="AA6" i="56"/>
  <c r="AB6" i="56"/>
  <c r="AC6" i="56"/>
  <c r="AD6" i="56"/>
  <c r="AE6" i="56"/>
  <c r="AF6" i="56"/>
  <c r="AG6" i="56"/>
  <c r="AH6" i="56"/>
  <c r="AI6" i="56"/>
  <c r="AJ6" i="56"/>
  <c r="B6" i="56"/>
  <c r="AJ6" i="7"/>
  <c r="AI6" i="7"/>
  <c r="AH6" i="7"/>
  <c r="AG6" i="7"/>
  <c r="AF6" i="7"/>
  <c r="AE6" i="7"/>
  <c r="AD6" i="7"/>
  <c r="AC6" i="7"/>
  <c r="AB6" i="7"/>
  <c r="AA6" i="7"/>
  <c r="Z6" i="7"/>
  <c r="Y6" i="7"/>
  <c r="X6" i="7"/>
  <c r="W6" i="7"/>
  <c r="V6" i="7"/>
  <c r="U6" i="7"/>
  <c r="T6" i="7"/>
  <c r="S6" i="7"/>
  <c r="R6" i="7"/>
  <c r="Q6" i="7"/>
  <c r="P6" i="7"/>
  <c r="O6" i="7"/>
  <c r="N6" i="7"/>
  <c r="M6" i="7"/>
  <c r="L6" i="7"/>
  <c r="K6" i="7"/>
  <c r="J6" i="7"/>
  <c r="I6" i="7"/>
  <c r="H6" i="7"/>
  <c r="G6" i="7"/>
  <c r="F6" i="7"/>
  <c r="E6" i="7"/>
  <c r="D6" i="7"/>
  <c r="C6" i="7"/>
  <c r="B6" i="7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B6" i="5"/>
  <c r="H14" i="50"/>
  <c r="I14" i="50"/>
  <c r="J14" i="50"/>
  <c r="K14" i="50"/>
  <c r="L14" i="50"/>
  <c r="M14" i="50"/>
  <c r="N14" i="50"/>
  <c r="O14" i="50"/>
  <c r="P14" i="50"/>
  <c r="Q14" i="50"/>
  <c r="R14" i="50"/>
  <c r="S14" i="50"/>
  <c r="T14" i="50"/>
  <c r="U14" i="50"/>
  <c r="V14" i="50"/>
  <c r="W14" i="50"/>
  <c r="X14" i="50"/>
  <c r="Y14" i="50"/>
  <c r="E6" i="115"/>
  <c r="D6" i="115"/>
  <c r="C6" i="115"/>
  <c r="B6" i="115"/>
  <c r="E6" i="109"/>
  <c r="D6" i="109"/>
  <c r="C6" i="109"/>
  <c r="B6" i="109"/>
  <c r="E7" i="104"/>
  <c r="D7" i="104"/>
  <c r="C7" i="104"/>
  <c r="B7" i="104"/>
  <c r="E6" i="103"/>
  <c r="D6" i="103"/>
  <c r="C6" i="103"/>
  <c r="B6" i="103"/>
  <c r="E7" i="98"/>
  <c r="D7" i="98"/>
  <c r="C7" i="98"/>
  <c r="B7" i="98"/>
  <c r="E6" i="97"/>
  <c r="D6" i="97"/>
  <c r="C6" i="97"/>
  <c r="B6" i="97"/>
  <c r="E6" i="91"/>
  <c r="D6" i="91"/>
  <c r="C6" i="91"/>
  <c r="B6" i="91"/>
  <c r="D7" i="86"/>
  <c r="C7" i="86"/>
  <c r="B7" i="86"/>
  <c r="C6" i="85"/>
  <c r="D6" i="85"/>
  <c r="E6" i="85"/>
  <c r="B6" i="85"/>
  <c r="V7" i="98" l="1"/>
  <c r="V7" i="104"/>
  <c r="V6" i="109"/>
  <c r="V6" i="97"/>
  <c r="V6" i="115"/>
  <c r="V6" i="103"/>
  <c r="V6" i="91"/>
  <c r="V6" i="85"/>
  <c r="U6" i="115"/>
  <c r="U6" i="103"/>
  <c r="U7" i="98"/>
  <c r="U6" i="109"/>
  <c r="U7" i="104"/>
  <c r="U6" i="91"/>
  <c r="U6" i="85"/>
  <c r="U6" i="97"/>
  <c r="M6" i="115"/>
  <c r="M6" i="103"/>
  <c r="M6" i="109"/>
  <c r="M6" i="97"/>
  <c r="M7" i="104"/>
  <c r="M6" i="91"/>
  <c r="M6" i="85"/>
  <c r="M7" i="98"/>
  <c r="P6" i="109"/>
  <c r="P6" i="97"/>
  <c r="P6" i="91"/>
  <c r="P6" i="115"/>
  <c r="P7" i="104"/>
  <c r="P6" i="85"/>
  <c r="P6" i="103"/>
  <c r="P7" i="98"/>
  <c r="W7" i="98"/>
  <c r="W7" i="104"/>
  <c r="W6" i="115"/>
  <c r="W6" i="103"/>
  <c r="W6" i="91"/>
  <c r="W6" i="109"/>
  <c r="W6" i="97"/>
  <c r="W6" i="85"/>
  <c r="T6" i="115"/>
  <c r="T6" i="103"/>
  <c r="T6" i="91"/>
  <c r="T6" i="109"/>
  <c r="T6" i="97"/>
  <c r="T7" i="98"/>
  <c r="T7" i="104"/>
  <c r="T6" i="85"/>
  <c r="L6" i="91"/>
  <c r="L6" i="115"/>
  <c r="L6" i="103"/>
  <c r="L6" i="97"/>
  <c r="L6" i="109"/>
  <c r="L7" i="98"/>
  <c r="L7" i="104"/>
  <c r="L6" i="85"/>
  <c r="K7" i="104"/>
  <c r="K6" i="91"/>
  <c r="K7" i="98"/>
  <c r="K6" i="109"/>
  <c r="K6" i="97"/>
  <c r="K6" i="85"/>
  <c r="K6" i="115"/>
  <c r="K6" i="103"/>
  <c r="R7" i="98"/>
  <c r="R7" i="104"/>
  <c r="R6" i="103"/>
  <c r="R6" i="115"/>
  <c r="R6" i="91"/>
  <c r="R6" i="109"/>
  <c r="R6" i="97"/>
  <c r="R6" i="85"/>
  <c r="J7" i="104"/>
  <c r="J7" i="98"/>
  <c r="J6" i="115"/>
  <c r="J6" i="91"/>
  <c r="J6" i="103"/>
  <c r="J6" i="109"/>
  <c r="J6" i="97"/>
  <c r="J6" i="85"/>
  <c r="S7" i="104"/>
  <c r="S6" i="115"/>
  <c r="S6" i="91"/>
  <c r="S7" i="98"/>
  <c r="S6" i="109"/>
  <c r="S6" i="97"/>
  <c r="S6" i="85"/>
  <c r="S6" i="103"/>
  <c r="Y6" i="109"/>
  <c r="Y6" i="97"/>
  <c r="Y6" i="103"/>
  <c r="Y6" i="91"/>
  <c r="Y7" i="104"/>
  <c r="Y7" i="98"/>
  <c r="Y6" i="85"/>
  <c r="Y6" i="115"/>
  <c r="Q6" i="109"/>
  <c r="Q6" i="97"/>
  <c r="Q7" i="104"/>
  <c r="Q6" i="115"/>
  <c r="Q6" i="103"/>
  <c r="Q6" i="91"/>
  <c r="Q6" i="85"/>
  <c r="Q7" i="98"/>
  <c r="I6" i="109"/>
  <c r="I6" i="97"/>
  <c r="I6" i="115"/>
  <c r="I6" i="85"/>
  <c r="I7" i="98"/>
  <c r="I6" i="91"/>
  <c r="I7" i="104"/>
  <c r="I6" i="103"/>
  <c r="H7" i="104"/>
  <c r="H6" i="109"/>
  <c r="H6" i="97"/>
  <c r="H6" i="85"/>
  <c r="H6" i="103"/>
  <c r="H7" i="98"/>
  <c r="H6" i="115"/>
  <c r="H6" i="91"/>
  <c r="X6" i="109"/>
  <c r="X6" i="97"/>
  <c r="X6" i="85"/>
  <c r="X6" i="103"/>
  <c r="X6" i="91"/>
  <c r="X7" i="104"/>
  <c r="X6" i="115"/>
  <c r="X7" i="98"/>
  <c r="O7" i="98"/>
  <c r="O6" i="109"/>
  <c r="O6" i="85"/>
  <c r="O6" i="97"/>
  <c r="O7" i="104"/>
  <c r="O6" i="115"/>
  <c r="O6" i="103"/>
  <c r="O6" i="91"/>
  <c r="G7" i="98"/>
  <c r="G6" i="97"/>
  <c r="G6" i="109"/>
  <c r="G6" i="85"/>
  <c r="G6" i="115"/>
  <c r="G6" i="103"/>
  <c r="G6" i="91"/>
  <c r="G7" i="104"/>
  <c r="N7" i="104"/>
  <c r="N7" i="98"/>
  <c r="N6" i="85"/>
  <c r="N6" i="109"/>
  <c r="N6" i="115"/>
  <c r="N6" i="103"/>
  <c r="N6" i="91"/>
  <c r="N6" i="97"/>
  <c r="F6" i="85"/>
  <c r="F6" i="97"/>
  <c r="F7" i="98"/>
  <c r="F7" i="104"/>
  <c r="F6" i="109"/>
  <c r="F6" i="115"/>
  <c r="F6" i="103"/>
  <c r="F6" i="91"/>
  <c r="Z6" i="91" l="1"/>
  <c r="Z7" i="104"/>
  <c r="Z7" i="98"/>
  <c r="Z6" i="115"/>
  <c r="Z6" i="109"/>
  <c r="Z6" i="97"/>
  <c r="Z6" i="103"/>
  <c r="Z6" i="85"/>
  <c r="AA7" i="104" l="1"/>
  <c r="AA6" i="103"/>
  <c r="AA6" i="115"/>
  <c r="AA6" i="109"/>
  <c r="AA6" i="97"/>
  <c r="AA6" i="85"/>
  <c r="AA7" i="98"/>
  <c r="AA6" i="91"/>
  <c r="C7" i="23"/>
  <c r="D7" i="23"/>
  <c r="E7" i="23"/>
  <c r="F7" i="23"/>
  <c r="G7" i="23"/>
  <c r="H7" i="23"/>
  <c r="I7" i="23"/>
  <c r="J7" i="23"/>
  <c r="K7" i="23"/>
  <c r="L7" i="23"/>
  <c r="M7" i="23"/>
  <c r="N7" i="23"/>
  <c r="O7" i="23"/>
  <c r="P7" i="23"/>
  <c r="Q7" i="23"/>
  <c r="R7" i="23"/>
  <c r="S7" i="23"/>
  <c r="T7" i="23"/>
  <c r="U7" i="23"/>
  <c r="V7" i="23"/>
  <c r="W7" i="23"/>
  <c r="X7" i="23"/>
  <c r="Y7" i="23"/>
  <c r="Z7" i="23"/>
  <c r="AA7" i="23"/>
  <c r="AB7" i="23"/>
  <c r="AC7" i="23"/>
  <c r="AD7" i="23"/>
  <c r="AE7" i="23"/>
  <c r="AF7" i="23"/>
  <c r="AG7" i="23"/>
  <c r="AH7" i="23"/>
  <c r="AI7" i="23"/>
  <c r="AJ7" i="23"/>
  <c r="B7" i="23"/>
  <c r="AB6" i="115" l="1"/>
  <c r="AB6" i="103"/>
  <c r="AB7" i="98"/>
  <c r="AB6" i="109"/>
  <c r="AB7" i="104"/>
  <c r="AB6" i="85"/>
  <c r="AB6" i="91"/>
  <c r="AB6" i="97"/>
  <c r="AC6" i="115" l="1"/>
  <c r="AC6" i="103"/>
  <c r="AC6" i="91"/>
  <c r="AC6" i="85"/>
  <c r="AC6" i="97"/>
  <c r="AC7" i="104"/>
  <c r="AC6" i="109"/>
  <c r="AC7" i="98"/>
  <c r="AD6" i="85" l="1"/>
  <c r="AD7" i="98"/>
  <c r="AD6" i="97"/>
  <c r="AD6" i="109"/>
  <c r="AD6" i="115"/>
  <c r="AD6" i="103"/>
  <c r="AD6" i="91"/>
  <c r="AD7" i="104"/>
  <c r="AE7" i="98" l="1"/>
  <c r="AE6" i="109"/>
  <c r="AE6" i="97"/>
  <c r="AE6" i="85"/>
  <c r="AE6" i="115"/>
  <c r="AE6" i="103"/>
  <c r="AE6" i="91"/>
  <c r="AE7" i="104"/>
  <c r="AF6" i="103" l="1"/>
  <c r="AF6" i="109"/>
  <c r="AF6" i="97"/>
  <c r="AF7" i="104"/>
  <c r="AF6" i="85"/>
  <c r="AF6" i="115"/>
  <c r="AF7" i="98"/>
  <c r="AF6" i="91"/>
  <c r="AG6" i="109" l="1"/>
  <c r="AG6" i="97"/>
  <c r="AG6" i="115"/>
  <c r="AG6" i="103"/>
  <c r="AG6" i="85"/>
  <c r="AG7" i="98"/>
  <c r="AG7" i="104"/>
  <c r="AG6" i="91"/>
  <c r="AH7" i="104" l="1"/>
  <c r="AH6" i="115"/>
  <c r="AH6" i="103"/>
  <c r="AH6" i="91"/>
  <c r="AH6" i="109"/>
  <c r="AH6" i="97"/>
  <c r="AH7" i="98"/>
  <c r="AH6" i="85"/>
  <c r="AI7" i="104" l="1"/>
  <c r="AI6" i="115"/>
  <c r="AI7" i="98"/>
  <c r="AI6" i="103"/>
  <c r="AI6" i="109"/>
  <c r="AI6" i="97"/>
  <c r="AI6" i="85"/>
  <c r="AI6" i="9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<sst xmlns="http://schemas.openxmlformats.org/spreadsheetml/2006/main" count="856" uniqueCount="74">
  <si>
    <t>Sources:</t>
  </si>
  <si>
    <t>About</t>
  </si>
  <si>
    <t>electricity</t>
  </si>
  <si>
    <t>natural gas</t>
  </si>
  <si>
    <t>petroleum gasoline</t>
  </si>
  <si>
    <t>petroleum diesel</t>
  </si>
  <si>
    <t>biofuel gasoline</t>
  </si>
  <si>
    <t>jet fuel</t>
  </si>
  <si>
    <t>biofuel diesel</t>
  </si>
  <si>
    <t>DoE Alternative Fuels Data Center</t>
  </si>
  <si>
    <t>combinations that the model supports, even though some combinations are not used</t>
  </si>
  <si>
    <t>This is to support adaptation to other countries that may wish to use that vehicle</t>
  </si>
  <si>
    <t>MPoEFUbVT Max Perc of Each Fuel Usable by Veh Technology</t>
  </si>
  <si>
    <t>ethanol</t>
  </si>
  <si>
    <t>that can run on up to 100% ethanol, we consider those not to be covered by the</t>
  </si>
  <si>
    <t>"gasoline vehicle" technology type.</t>
  </si>
  <si>
    <t>Wikipedia</t>
  </si>
  <si>
    <t>Common ethanol fuel mixtures</t>
  </si>
  <si>
    <t>https://en.wikipedia.org/wiki/Common_ethanol_fuel_mixtures</t>
  </si>
  <si>
    <t>Introduction and "E20, E25" sections</t>
  </si>
  <si>
    <t>which works without engine modifications.  A model adapter may consider using</t>
  </si>
  <si>
    <t>Note that the U.S. blend wall (allowable ethanol mix) today is 15% for new vehicles,</t>
  </si>
  <si>
    <t>Biofuel Gasoline</t>
  </si>
  <si>
    <t>Biofuel Diesel</t>
  </si>
  <si>
    <t>unspecified date</t>
  </si>
  <si>
    <t>Biodiesel Blends</t>
  </si>
  <si>
    <t>https://www.afdc.energy.gov/fuels/biodiesel_blends.html</t>
  </si>
  <si>
    <t>We include sheets for all possible vehicle type / vehicle technology</t>
  </si>
  <si>
    <t>in the U.S. dataset.  (For example, there are no natural gas motorbikes in the U.S. model.)</t>
  </si>
  <si>
    <t>Nonroad Modes</t>
  </si>
  <si>
    <t>see note below and BPoEFUbVT variable's sources</t>
  </si>
  <si>
    <t>combination.</t>
  </si>
  <si>
    <t>For nonroad modes, we use the same percentages as in the BAU case (see variable BPoEFUbVT),</t>
  </si>
  <si>
    <t>Plug-in Hybrid Vehicle Electricity Use</t>
  </si>
  <si>
    <t>Technically, the maximum share of electricity usable by these vehicles is 100%.</t>
  </si>
  <si>
    <t>However, this variable is used to help govern the way the LCFS policy works, and that</t>
  </si>
  <si>
    <t>That would require drivers to only drive within their cars' electric ranges.</t>
  </si>
  <si>
    <t>policy affects fuel suppliers.  It doesn't affect driving behavior by plug-in hybrid owners.</t>
  </si>
  <si>
    <t>Accordingly, we set the maximum electricity share equal to the BAU electricity share.</t>
  </si>
  <si>
    <t>aircraft</t>
  </si>
  <si>
    <t>all vehicles except aircraft and ships</t>
  </si>
  <si>
    <t>International Energy Agency</t>
  </si>
  <si>
    <t>https://shipandbunker.com/news/features/industry-insight/637086-industry-insight-sustainable-marine-biofuel-scaling-up-for-a-crucial-role-in-a-low-emission-future-for-shipping</t>
  </si>
  <si>
    <t>Ship&amp;Bunker</t>
  </si>
  <si>
    <t>Taken from text</t>
  </si>
  <si>
    <t>biodiesel for on-road modes</t>
  </si>
  <si>
    <t>biofuel for aircraft</t>
  </si>
  <si>
    <t>biofuel for ships</t>
  </si>
  <si>
    <t>nonroad modes, other fuels</t>
  </si>
  <si>
    <t>Interpolate and extrapolate:</t>
  </si>
  <si>
    <t>assumed to be the same as aircraft</t>
  </si>
  <si>
    <t>Note that if you wish to have the non-road vehicles contribute to meeting the LCFS,</t>
  </si>
  <si>
    <t>these modes must be enabled in variable trans/BVTStL.</t>
  </si>
  <si>
    <t>heavy or residual fuel oil</t>
  </si>
  <si>
    <t>LPG propane or butane</t>
  </si>
  <si>
    <t>hydrogen</t>
  </si>
  <si>
    <t>Ships, Rail</t>
  </si>
  <si>
    <t>The potential percentage biofuel use in ships and rail was assumed to be the same as</t>
  </si>
  <si>
    <t>in aircraft.</t>
  </si>
  <si>
    <t>This variable is used in the LCFS calculations.</t>
  </si>
  <si>
    <t>Max Fraction (dimensionless)</t>
  </si>
  <si>
    <t>Percentage Fuel Use (dimensionless)</t>
  </si>
  <si>
    <t>https://iea.blob.core.windows.net/assets/20959e2e-7ab8-4f2a-b1c6-4e63387f03a1/NetZeroby2050-ARoadmapfortheGlobalEnergySector_CORR.pdf</t>
  </si>
  <si>
    <t>Net Zero by 2050 A Roadmap for the Global Energy Sector</t>
  </si>
  <si>
    <t>Aviation fuel consumption in the SFS (pg 136)</t>
  </si>
  <si>
    <t>except for biofuels. We assume the share of biofuels can increase to 1 by 2050, which would</t>
  </si>
  <si>
    <t>https://www.energy.gov/eere/bioenergy/articles/anchors-aweigh-examining-biofuels-maritime-shipping</t>
  </si>
  <si>
    <t>entail retrofits for engines to use drop-in biofuels (which have been demonstrated).</t>
  </si>
  <si>
    <t>rail</t>
  </si>
  <si>
    <t>freight ships</t>
  </si>
  <si>
    <t>For maximum ethanol use in gasoline vehicles, we use 15%, based on the highest ethanol fuel</t>
  </si>
  <si>
    <t>mixture generally available in the US.  Though there exist flex fuel vehicles</t>
  </si>
  <si>
    <t>a higher value to consider a scenario that includes engine modifications.</t>
  </si>
  <si>
    <t>We use a 100% maximum value to represent drop-in biofuel replacements.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</si>
</sst>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9">
    <xf numFmtId="0" fontId="0" fillId="0" borderId="0"/>
    <xf numFmtId="0" fontId="2" fillId="0" borderId="0"/>
    <xf numFmtId="0" fontId="2" fillId="0" borderId="1" applyNumberFormat="0" applyProtection="0">
      <alignment wrapText="1"/>
    </xf>
    <xf numFmtId="0" fontId="3" fillId="0" borderId="2" applyNumberFormat="0" applyProtection="0">
      <alignment wrapText="1"/>
    </xf>
    <xf numFmtId="0" fontId="2" fillId="0" borderId="3" applyNumberFormat="0" applyFont="0" applyProtection="0">
      <alignment wrapText="1"/>
    </xf>
    <xf numFmtId="0" fontId="3" fillId="0" borderId="4" applyNumberFormat="0" applyProtection="0">
      <alignment wrapText="1"/>
    </xf>
    <xf numFmtId="0" fontId="2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5" fillId="0" borderId="0" xfId="8"/>
    <xf numFmtId="1" fontId="0" fillId="0" borderId="0" xfId="0" applyNumberFormat="1"/>
    <xf numFmtId="0" fontId="1" fillId="0" borderId="0" xfId="0" applyFont="1" applyAlignment="1">
      <alignment wrapText="1"/>
    </xf>
    <xf numFmtId="17" fontId="0" fillId="0" borderId="0" xfId="0" applyNumberFormat="1" applyAlignment="1">
      <alignment horizontal="left"/>
    </xf>
    <xf numFmtId="164" fontId="0" fillId="0" borderId="0" xfId="0" applyNumberFormat="1"/>
  </cellXfs>
  <cellStyles count="9">
    <cellStyle name="Body: normal cell" xfId="4" xr:uid="{00000000-0005-0000-0000-000000000000}"/>
    <cellStyle name="Font: Calibri, 9pt regular" xfId="6" xr:uid="{00000000-0005-0000-0000-000001000000}"/>
    <cellStyle name="Footnotes: top row" xfId="2" xr:uid="{00000000-0005-0000-0000-000002000000}"/>
    <cellStyle name="Header: bottom row" xfId="5" xr:uid="{00000000-0005-0000-0000-000003000000}"/>
    <cellStyle name="Hyperlink" xfId="8" builtinId="8"/>
    <cellStyle name="Normal" xfId="0" builtinId="0"/>
    <cellStyle name="Normal 2" xfId="1" xr:uid="{00000000-0005-0000-0000-000006000000}"/>
    <cellStyle name="Parent row" xfId="3" xr:uid="{00000000-0005-0000-0000-000007000000}"/>
    <cellStyle name="Table title" xfId="7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sheetMetadata" Target="metadata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styles" Target="styles.xml"/><Relationship Id="rId9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hipandbunker.com/news/features/industry-insight/637086-industry-insight-sustainable-marine-biofuel-scaling-up-for-a-crucial-role-in-a-low-emission-future-for-shippin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2"/>
  <sheetViews>
    <sheetView workbookViewId="0">
      <selection activeCell="A53" sqref="A53:XFD56"/>
    </sheetView>
  </sheetViews>
  <sheetFormatPr defaultRowHeight="15" x14ac:dyDescent="0.25"/>
  <cols>
    <col min="2" max="2" width="69.28515625" customWidth="1"/>
  </cols>
  <sheetData>
    <row r="1" spans="1:2" x14ac:dyDescent="0.25">
      <c r="A1" s="1" t="s">
        <v>12</v>
      </c>
    </row>
    <row r="3" spans="1:2" x14ac:dyDescent="0.25">
      <c r="A3" s="1" t="s">
        <v>0</v>
      </c>
      <c r="B3" s="2" t="s">
        <v>13</v>
      </c>
    </row>
    <row r="4" spans="1:2" x14ac:dyDescent="0.25">
      <c r="B4" t="s">
        <v>16</v>
      </c>
    </row>
    <row r="5" spans="1:2" x14ac:dyDescent="0.25">
      <c r="B5" s="3">
        <v>2017</v>
      </c>
    </row>
    <row r="6" spans="1:2" x14ac:dyDescent="0.25">
      <c r="B6" t="s">
        <v>17</v>
      </c>
    </row>
    <row r="7" spans="1:2" x14ac:dyDescent="0.25">
      <c r="B7" t="s">
        <v>18</v>
      </c>
    </row>
    <row r="8" spans="1:2" x14ac:dyDescent="0.25">
      <c r="B8" t="s">
        <v>19</v>
      </c>
    </row>
    <row r="10" spans="1:2" x14ac:dyDescent="0.25">
      <c r="B10" s="2" t="s">
        <v>45</v>
      </c>
    </row>
    <row r="11" spans="1:2" x14ac:dyDescent="0.25">
      <c r="B11" t="s">
        <v>9</v>
      </c>
    </row>
    <row r="12" spans="1:2" x14ac:dyDescent="0.25">
      <c r="B12" s="3" t="s">
        <v>24</v>
      </c>
    </row>
    <row r="13" spans="1:2" x14ac:dyDescent="0.25">
      <c r="B13" t="s">
        <v>25</v>
      </c>
    </row>
    <row r="14" spans="1:2" x14ac:dyDescent="0.25">
      <c r="B14" t="s">
        <v>26</v>
      </c>
    </row>
    <row r="16" spans="1:2" x14ac:dyDescent="0.25">
      <c r="B16" s="2" t="s">
        <v>46</v>
      </c>
    </row>
    <row r="17" spans="1:2" x14ac:dyDescent="0.25">
      <c r="B17" t="s">
        <v>41</v>
      </c>
    </row>
    <row r="18" spans="1:2" x14ac:dyDescent="0.25">
      <c r="B18" s="7">
        <v>44317</v>
      </c>
    </row>
    <row r="19" spans="1:2" x14ac:dyDescent="0.25">
      <c r="B19" t="s">
        <v>63</v>
      </c>
    </row>
    <row r="20" spans="1:2" x14ac:dyDescent="0.25">
      <c r="B20" s="4" t="s">
        <v>62</v>
      </c>
    </row>
    <row r="21" spans="1:2" x14ac:dyDescent="0.25">
      <c r="B21" t="s">
        <v>64</v>
      </c>
    </row>
    <row r="23" spans="1:2" x14ac:dyDescent="0.25">
      <c r="B23" s="2" t="s">
        <v>47</v>
      </c>
    </row>
    <row r="24" spans="1:2" x14ac:dyDescent="0.25">
      <c r="B24" t="s">
        <v>43</v>
      </c>
    </row>
    <row r="25" spans="1:2" x14ac:dyDescent="0.25">
      <c r="B25" s="3">
        <v>2016</v>
      </c>
    </row>
    <row r="26" spans="1:2" x14ac:dyDescent="0.25">
      <c r="B26" s="4" t="s">
        <v>42</v>
      </c>
    </row>
    <row r="27" spans="1:2" x14ac:dyDescent="0.25">
      <c r="B27" t="s">
        <v>44</v>
      </c>
    </row>
    <row r="29" spans="1:2" x14ac:dyDescent="0.25">
      <c r="B29" s="2" t="s">
        <v>48</v>
      </c>
    </row>
    <row r="30" spans="1:2" x14ac:dyDescent="0.25">
      <c r="B30" t="s">
        <v>30</v>
      </c>
    </row>
    <row r="32" spans="1:2" x14ac:dyDescent="0.25">
      <c r="A32" s="1" t="s">
        <v>1</v>
      </c>
    </row>
    <row r="33" spans="1:1" x14ac:dyDescent="0.25">
      <c r="A33" t="s">
        <v>59</v>
      </c>
    </row>
    <row r="34" spans="1:1" x14ac:dyDescent="0.25">
      <c r="A34" s="1"/>
    </row>
    <row r="35" spans="1:1" x14ac:dyDescent="0.25">
      <c r="A35" t="s">
        <v>27</v>
      </c>
    </row>
    <row r="36" spans="1:1" x14ac:dyDescent="0.25">
      <c r="A36" t="s">
        <v>10</v>
      </c>
    </row>
    <row r="37" spans="1:1" x14ac:dyDescent="0.25">
      <c r="A37" t="s">
        <v>28</v>
      </c>
    </row>
    <row r="38" spans="1:1" x14ac:dyDescent="0.25">
      <c r="A38" t="s">
        <v>11</v>
      </c>
    </row>
    <row r="39" spans="1:1" x14ac:dyDescent="0.25">
      <c r="A39" t="s">
        <v>31</v>
      </c>
    </row>
    <row r="41" spans="1:1" x14ac:dyDescent="0.25">
      <c r="A41" s="1" t="s">
        <v>22</v>
      </c>
    </row>
    <row r="42" spans="1:1" x14ac:dyDescent="0.25">
      <c r="A42" t="s">
        <v>70</v>
      </c>
    </row>
    <row r="43" spans="1:1" x14ac:dyDescent="0.25">
      <c r="A43" t="s">
        <v>71</v>
      </c>
    </row>
    <row r="44" spans="1:1" x14ac:dyDescent="0.25">
      <c r="A44" t="s">
        <v>14</v>
      </c>
    </row>
    <row r="45" spans="1:1" x14ac:dyDescent="0.25">
      <c r="A45" t="s">
        <v>15</v>
      </c>
    </row>
    <row r="47" spans="1:1" x14ac:dyDescent="0.25">
      <c r="A47" t="s">
        <v>21</v>
      </c>
    </row>
    <row r="48" spans="1:1" x14ac:dyDescent="0.25">
      <c r="A48" t="s">
        <v>20</v>
      </c>
    </row>
    <row r="49" spans="1:1" x14ac:dyDescent="0.25">
      <c r="A49" t="s">
        <v>72</v>
      </c>
    </row>
    <row r="51" spans="1:1" x14ac:dyDescent="0.25">
      <c r="A51" s="1" t="s">
        <v>23</v>
      </c>
    </row>
    <row r="52" spans="1:1" x14ac:dyDescent="0.25">
      <c r="A52" t="s">
        <v>73</v>
      </c>
    </row>
    <row r="54" spans="1:1" x14ac:dyDescent="0.25">
      <c r="A54" s="1" t="s">
        <v>33</v>
      </c>
    </row>
    <row r="55" spans="1:1" x14ac:dyDescent="0.25">
      <c r="A55" t="s">
        <v>34</v>
      </c>
    </row>
    <row r="56" spans="1:1" x14ac:dyDescent="0.25">
      <c r="A56" t="s">
        <v>36</v>
      </c>
    </row>
    <row r="57" spans="1:1" x14ac:dyDescent="0.25">
      <c r="A57" t="s">
        <v>35</v>
      </c>
    </row>
    <row r="58" spans="1:1" x14ac:dyDescent="0.25">
      <c r="A58" t="s">
        <v>37</v>
      </c>
    </row>
    <row r="59" spans="1:1" x14ac:dyDescent="0.25">
      <c r="A59" t="s">
        <v>38</v>
      </c>
    </row>
    <row r="61" spans="1:1" x14ac:dyDescent="0.25">
      <c r="A61" s="1" t="s">
        <v>29</v>
      </c>
    </row>
    <row r="62" spans="1:1" x14ac:dyDescent="0.25">
      <c r="A62" t="s">
        <v>32</v>
      </c>
    </row>
    <row r="63" spans="1:1" x14ac:dyDescent="0.25">
      <c r="A63" t="s">
        <v>65</v>
      </c>
    </row>
    <row r="64" spans="1:1" x14ac:dyDescent="0.25">
      <c r="A64" t="s">
        <v>67</v>
      </c>
    </row>
    <row r="65" spans="1:1" x14ac:dyDescent="0.25">
      <c r="A65" t="s">
        <v>51</v>
      </c>
    </row>
    <row r="66" spans="1:1" x14ac:dyDescent="0.25">
      <c r="A66" t="s">
        <v>52</v>
      </c>
    </row>
    <row r="68" spans="1:1" x14ac:dyDescent="0.25">
      <c r="A68" s="1" t="s">
        <v>56</v>
      </c>
    </row>
    <row r="69" spans="1:1" x14ac:dyDescent="0.25">
      <c r="A69" t="s">
        <v>57</v>
      </c>
    </row>
    <row r="70" spans="1:1" x14ac:dyDescent="0.25">
      <c r="A70" t="s">
        <v>58</v>
      </c>
    </row>
    <row r="72" spans="1:1" x14ac:dyDescent="0.25">
      <c r="A72" t="s">
        <v>66</v>
      </c>
    </row>
  </sheetData>
  <hyperlinks>
    <hyperlink ref="B26" r:id="rId1" xr:uid="{00000000-0004-0000-0000-00000100000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25"/>
  <sheetViews>
    <sheetView workbookViewId="0">
      <selection activeCell="G24" sqref="B24:G24"/>
    </sheetView>
  </sheetViews>
  <sheetFormatPr defaultRowHeight="15" x14ac:dyDescent="0.25"/>
  <cols>
    <col min="1" max="2" width="9.42578125" bestFit="1" customWidth="1"/>
  </cols>
  <sheetData>
    <row r="1" spans="1:35" x14ac:dyDescent="0.25">
      <c r="A1" s="1" t="s">
        <v>40</v>
      </c>
    </row>
    <row r="2" spans="1:35" x14ac:dyDescent="0.25">
      <c r="A2">
        <v>0.15</v>
      </c>
      <c r="B2" t="s">
        <v>6</v>
      </c>
    </row>
    <row r="3" spans="1:35" x14ac:dyDescent="0.25">
      <c r="A3">
        <v>1</v>
      </c>
      <c r="B3" t="s">
        <v>8</v>
      </c>
    </row>
    <row r="5" spans="1:35" x14ac:dyDescent="0.25">
      <c r="A5" s="1" t="s">
        <v>39</v>
      </c>
    </row>
    <row r="6" spans="1:35" x14ac:dyDescent="0.25">
      <c r="A6">
        <v>2020</v>
      </c>
      <c r="B6">
        <v>2050</v>
      </c>
    </row>
    <row r="7" spans="1:35" x14ac:dyDescent="0.25">
      <c r="A7">
        <v>0</v>
      </c>
      <c r="B7">
        <v>1</v>
      </c>
    </row>
    <row r="8" spans="1:35" x14ac:dyDescent="0.25">
      <c r="A8" s="1" t="s">
        <v>69</v>
      </c>
    </row>
    <row r="9" spans="1:35" x14ac:dyDescent="0.25">
      <c r="A9">
        <v>2020</v>
      </c>
      <c r="B9">
        <v>2050</v>
      </c>
    </row>
    <row r="10" spans="1:35" x14ac:dyDescent="0.25">
      <c r="A10">
        <v>0</v>
      </c>
      <c r="B10">
        <v>0.6</v>
      </c>
    </row>
    <row r="12" spans="1:35" x14ac:dyDescent="0.25">
      <c r="A12" s="1" t="s">
        <v>49</v>
      </c>
    </row>
    <row r="13" spans="1:35" x14ac:dyDescent="0.25">
      <c r="A13">
        <v>2016</v>
      </c>
      <c r="B13">
        <v>2017</v>
      </c>
      <c r="C13">
        <v>2018</v>
      </c>
      <c r="D13">
        <v>2019</v>
      </c>
      <c r="E13">
        <v>2020</v>
      </c>
      <c r="F13">
        <v>2021</v>
      </c>
      <c r="G13">
        <v>2022</v>
      </c>
      <c r="H13">
        <v>2023</v>
      </c>
      <c r="I13">
        <v>2024</v>
      </c>
      <c r="J13">
        <v>2025</v>
      </c>
      <c r="K13">
        <v>2026</v>
      </c>
      <c r="L13">
        <v>2027</v>
      </c>
      <c r="M13">
        <v>2028</v>
      </c>
      <c r="N13">
        <v>2029</v>
      </c>
      <c r="O13">
        <v>2030</v>
      </c>
      <c r="P13">
        <v>2031</v>
      </c>
      <c r="Q13">
        <v>2032</v>
      </c>
      <c r="R13">
        <v>2033</v>
      </c>
      <c r="S13">
        <v>2034</v>
      </c>
      <c r="T13">
        <v>2035</v>
      </c>
      <c r="U13">
        <v>2036</v>
      </c>
      <c r="V13">
        <v>2037</v>
      </c>
      <c r="W13">
        <v>2038</v>
      </c>
      <c r="X13">
        <v>2039</v>
      </c>
      <c r="Y13">
        <v>2040</v>
      </c>
      <c r="Z13">
        <v>2041</v>
      </c>
      <c r="AA13">
        <v>2042</v>
      </c>
      <c r="AB13">
        <v>2043</v>
      </c>
      <c r="AC13">
        <v>2044</v>
      </c>
      <c r="AD13">
        <v>2045</v>
      </c>
      <c r="AE13">
        <v>2046</v>
      </c>
      <c r="AF13">
        <v>2047</v>
      </c>
      <c r="AG13">
        <v>2048</v>
      </c>
      <c r="AH13">
        <v>2049</v>
      </c>
      <c r="AI13">
        <v>2050</v>
      </c>
    </row>
    <row r="14" spans="1:35" x14ac:dyDescent="0.25">
      <c r="A14">
        <v>0</v>
      </c>
      <c r="B14">
        <v>0</v>
      </c>
      <c r="C14">
        <v>0</v>
      </c>
      <c r="D14">
        <v>0</v>
      </c>
      <c r="E14" s="5">
        <v>0</v>
      </c>
      <c r="F14" s="5">
        <v>0</v>
      </c>
      <c r="G14">
        <f>_xlfn.FORECAST.LINEAR(G13,$A$7:$B$7,$A$6:$B$6)</f>
        <v>6.6666666666677088E-2</v>
      </c>
      <c r="H14">
        <f t="shared" ref="H14:AI14" si="0">_xlfn.FORECAST.LINEAR(H13,$A$7:$B$7,$A$6:$B$6)</f>
        <v>0.10000000000000853</v>
      </c>
      <c r="I14">
        <f t="shared" si="0"/>
        <v>0.13333333333333997</v>
      </c>
      <c r="J14">
        <f t="shared" si="0"/>
        <v>0.1666666666666714</v>
      </c>
      <c r="K14">
        <f t="shared" si="0"/>
        <v>0.20000000000000284</v>
      </c>
      <c r="L14">
        <f t="shared" si="0"/>
        <v>0.23333333333333428</v>
      </c>
      <c r="M14">
        <f t="shared" si="0"/>
        <v>0.26666666666666572</v>
      </c>
      <c r="N14">
        <f t="shared" si="0"/>
        <v>0.29999999999999716</v>
      </c>
      <c r="O14">
        <f t="shared" si="0"/>
        <v>0.33333333333334281</v>
      </c>
      <c r="P14">
        <f t="shared" si="0"/>
        <v>0.36666666666667425</v>
      </c>
      <c r="Q14">
        <f t="shared" si="0"/>
        <v>0.40000000000000568</v>
      </c>
      <c r="R14">
        <f t="shared" si="0"/>
        <v>0.43333333333333712</v>
      </c>
      <c r="S14">
        <f t="shared" si="0"/>
        <v>0.46666666666666856</v>
      </c>
      <c r="T14">
        <f t="shared" si="0"/>
        <v>0.5</v>
      </c>
      <c r="U14">
        <f t="shared" si="0"/>
        <v>0.53333333333333144</v>
      </c>
      <c r="V14">
        <f t="shared" si="0"/>
        <v>0.56666666666667709</v>
      </c>
      <c r="W14">
        <f t="shared" si="0"/>
        <v>0.60000000000000853</v>
      </c>
      <c r="X14">
        <f t="shared" si="0"/>
        <v>0.63333333333333997</v>
      </c>
      <c r="Y14">
        <f t="shared" si="0"/>
        <v>0.6666666666666714</v>
      </c>
      <c r="Z14">
        <f t="shared" si="0"/>
        <v>0.70000000000000284</v>
      </c>
      <c r="AA14">
        <f t="shared" si="0"/>
        <v>0.73333333333333428</v>
      </c>
      <c r="AB14">
        <f t="shared" si="0"/>
        <v>0.76666666666666572</v>
      </c>
      <c r="AC14">
        <f t="shared" si="0"/>
        <v>0.79999999999999716</v>
      </c>
      <c r="AD14">
        <f t="shared" si="0"/>
        <v>0.83333333333334281</v>
      </c>
      <c r="AE14">
        <f t="shared" si="0"/>
        <v>0.86666666666667425</v>
      </c>
      <c r="AF14">
        <f t="shared" si="0"/>
        <v>0.90000000000000568</v>
      </c>
      <c r="AG14">
        <f t="shared" si="0"/>
        <v>0.93333333333333712</v>
      </c>
      <c r="AH14">
        <f t="shared" si="0"/>
        <v>0.96666666666666856</v>
      </c>
      <c r="AI14">
        <f t="shared" si="0"/>
        <v>1</v>
      </c>
    </row>
    <row r="15" spans="1:35" x14ac:dyDescent="0.25">
      <c r="E15" s="5"/>
      <c r="F15" s="5"/>
    </row>
    <row r="16" spans="1:35" x14ac:dyDescent="0.25">
      <c r="A16">
        <v>2016</v>
      </c>
      <c r="B16">
        <v>2017</v>
      </c>
      <c r="C16">
        <v>2018</v>
      </c>
      <c r="D16">
        <v>2019</v>
      </c>
      <c r="E16">
        <v>2020</v>
      </c>
      <c r="F16">
        <v>2021</v>
      </c>
      <c r="G16">
        <v>2022</v>
      </c>
      <c r="H16">
        <v>2023</v>
      </c>
      <c r="I16">
        <v>2024</v>
      </c>
      <c r="J16">
        <v>2025</v>
      </c>
      <c r="K16">
        <v>2026</v>
      </c>
      <c r="L16">
        <v>2027</v>
      </c>
      <c r="M16">
        <v>2028</v>
      </c>
      <c r="N16">
        <v>2029</v>
      </c>
      <c r="O16">
        <v>2030</v>
      </c>
      <c r="P16">
        <v>2031</v>
      </c>
      <c r="Q16">
        <v>2032</v>
      </c>
      <c r="R16">
        <v>2033</v>
      </c>
      <c r="S16">
        <v>2034</v>
      </c>
      <c r="T16">
        <v>2035</v>
      </c>
      <c r="U16">
        <v>2036</v>
      </c>
      <c r="V16">
        <v>2037</v>
      </c>
      <c r="W16">
        <v>2038</v>
      </c>
      <c r="X16">
        <v>2039</v>
      </c>
      <c r="Y16">
        <v>2040</v>
      </c>
      <c r="Z16">
        <v>2041</v>
      </c>
      <c r="AA16">
        <v>2042</v>
      </c>
      <c r="AB16">
        <v>2043</v>
      </c>
      <c r="AC16">
        <v>2044</v>
      </c>
      <c r="AD16">
        <v>2045</v>
      </c>
      <c r="AE16">
        <v>2046</v>
      </c>
      <c r="AF16">
        <v>2047</v>
      </c>
      <c r="AG16">
        <v>2048</v>
      </c>
      <c r="AH16">
        <v>2049</v>
      </c>
      <c r="AI16">
        <v>2050</v>
      </c>
    </row>
    <row r="17" spans="1:35" x14ac:dyDescent="0.25">
      <c r="A17">
        <v>0</v>
      </c>
      <c r="B17">
        <v>0</v>
      </c>
      <c r="C17">
        <v>0</v>
      </c>
      <c r="D17">
        <v>0</v>
      </c>
      <c r="E17" s="5">
        <v>0</v>
      </c>
      <c r="F17" s="5">
        <v>0</v>
      </c>
      <c r="G17" cm="1">
        <f t="array" ref="G17">TREND($A$10:$B$10,$A$9:$B$9,G16)</f>
        <v>3.9999999999992042E-2</v>
      </c>
      <c r="H17" cm="1">
        <f t="array" ref="H17">TREND($A$10:$B$10,$A$9:$B$9,H16)</f>
        <v>5.9999999999995168E-2</v>
      </c>
      <c r="I17" cm="1">
        <f t="array" ref="I17">TREND($A$10:$B$10,$A$9:$B$9,I16)</f>
        <v>7.9999999999998295E-2</v>
      </c>
      <c r="J17" cm="1">
        <f t="array" ref="J17">TREND($A$10:$B$10,$A$9:$B$9,J16)</f>
        <v>9.9999999999994316E-2</v>
      </c>
      <c r="K17" cm="1">
        <f t="array" ref="K17">TREND($A$10:$B$10,$A$9:$B$9,K16)</f>
        <v>0.11999999999999744</v>
      </c>
      <c r="L17" cm="1">
        <f t="array" ref="L17">TREND($A$10:$B$10,$A$9:$B$9,L16)</f>
        <v>0.13999999999999346</v>
      </c>
      <c r="M17" cm="1">
        <f t="array" ref="M17">TREND($A$10:$B$10,$A$9:$B$9,M16)</f>
        <v>0.15999999999999659</v>
      </c>
      <c r="N17" cm="1">
        <f t="array" ref="N17">TREND($A$10:$B$10,$A$9:$B$9,N16)</f>
        <v>0.17999999999999261</v>
      </c>
      <c r="O17" cm="1">
        <f t="array" ref="O17">TREND($A$10:$B$10,$A$9:$B$9,O16)</f>
        <v>0.19999999999999574</v>
      </c>
      <c r="P17" cm="1">
        <f t="array" ref="P17">TREND($A$10:$B$10,$A$9:$B$9,P16)</f>
        <v>0.21999999999999176</v>
      </c>
      <c r="Q17" cm="1">
        <f t="array" ref="Q17">TREND($A$10:$B$10,$A$9:$B$9,Q16)</f>
        <v>0.23999999999999488</v>
      </c>
      <c r="R17" cm="1">
        <f t="array" ref="R17">TREND($A$10:$B$10,$A$9:$B$9,R16)</f>
        <v>0.25999999999999801</v>
      </c>
      <c r="S17" cm="1">
        <f t="array" ref="S17">TREND($A$10:$B$10,$A$9:$B$9,S16)</f>
        <v>0.27999999999999403</v>
      </c>
      <c r="T17" cm="1">
        <f t="array" ref="T17">TREND($A$10:$B$10,$A$9:$B$9,T16)</f>
        <v>0.29999999999999716</v>
      </c>
      <c r="U17" cm="1">
        <f t="array" ref="U17">TREND($A$10:$B$10,$A$9:$B$9,U16)</f>
        <v>0.31999999999999318</v>
      </c>
      <c r="V17" cm="1">
        <f t="array" ref="V17">TREND($A$10:$B$10,$A$9:$B$9,V16)</f>
        <v>0.33999999999999631</v>
      </c>
      <c r="W17" cm="1">
        <f t="array" ref="W17">TREND($A$10:$B$10,$A$9:$B$9,W16)</f>
        <v>0.35999999999999233</v>
      </c>
      <c r="X17" cm="1">
        <f t="array" ref="X17">TREND($A$10:$B$10,$A$9:$B$9,X16)</f>
        <v>0.37999999999999545</v>
      </c>
      <c r="Y17" cm="1">
        <f t="array" ref="Y17">TREND($A$10:$B$10,$A$9:$B$9,Y16)</f>
        <v>0.39999999999999858</v>
      </c>
      <c r="Z17" cm="1">
        <f t="array" ref="Z17">TREND($A$10:$B$10,$A$9:$B$9,Z16)</f>
        <v>0.4199999999999946</v>
      </c>
      <c r="AA17" cm="1">
        <f t="array" ref="AA17">TREND($A$10:$B$10,$A$9:$B$9,AA16)</f>
        <v>0.43999999999999773</v>
      </c>
      <c r="AB17" cm="1">
        <f t="array" ref="AB17">TREND($A$10:$B$10,$A$9:$B$9,AB16)</f>
        <v>0.45999999999999375</v>
      </c>
      <c r="AC17" cm="1">
        <f t="array" ref="AC17">TREND($A$10:$B$10,$A$9:$B$9,AC16)</f>
        <v>0.47999999999999687</v>
      </c>
      <c r="AD17" cm="1">
        <f t="array" ref="AD17">TREND($A$10:$B$10,$A$9:$B$9,AD16)</f>
        <v>0.49999999999999289</v>
      </c>
      <c r="AE17" cm="1">
        <f t="array" ref="AE17">TREND($A$10:$B$10,$A$9:$B$9,AE16)</f>
        <v>0.51999999999999602</v>
      </c>
      <c r="AF17" cm="1">
        <f t="array" ref="AF17">TREND($A$10:$B$10,$A$9:$B$9,AF16)</f>
        <v>0.53999999999999204</v>
      </c>
      <c r="AG17" cm="1">
        <f t="array" ref="AG17">TREND($A$10:$B$10,$A$9:$B$9,AG16)</f>
        <v>0.55999999999999517</v>
      </c>
      <c r="AH17" cm="1">
        <f t="array" ref="AH17">TREND($A$10:$B$10,$A$9:$B$9,AH16)</f>
        <v>0.57999999999999829</v>
      </c>
      <c r="AI17" cm="1">
        <f t="array" ref="AI17">TREND($A$10:$B$10,$A$9:$B$9,AI16)</f>
        <v>0.59999999999999432</v>
      </c>
    </row>
    <row r="19" spans="1:35" x14ac:dyDescent="0.25">
      <c r="A19" s="1" t="s">
        <v>68</v>
      </c>
    </row>
    <row r="20" spans="1:35" x14ac:dyDescent="0.25">
      <c r="A20" t="s">
        <v>50</v>
      </c>
    </row>
    <row r="25" spans="1:35" x14ac:dyDescent="0.25">
      <c r="A25" s="8"/>
      <c r="B25" s="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J11"/>
  <sheetViews>
    <sheetView workbookViewId="0"/>
  </sheetViews>
  <sheetFormatPr defaultRowHeight="15" x14ac:dyDescent="0.25"/>
  <cols>
    <col min="1" max="1" width="23.285156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AJ11"/>
  <sheetViews>
    <sheetView workbookViewId="0"/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AJ11"/>
  <sheetViews>
    <sheetView topLeftCell="S1" workbookViewId="0">
      <selection activeCell="B6" sqref="B6:AJ6"/>
    </sheetView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f t="shared" ref="B6:AJ6" si="0">max_biogas</f>
        <v>0.15</v>
      </c>
      <c r="C6">
        <f t="shared" si="0"/>
        <v>0.15</v>
      </c>
      <c r="D6">
        <f t="shared" si="0"/>
        <v>0.15</v>
      </c>
      <c r="E6">
        <f t="shared" si="0"/>
        <v>0.15</v>
      </c>
      <c r="F6">
        <f t="shared" si="0"/>
        <v>0.15</v>
      </c>
      <c r="G6">
        <f t="shared" si="0"/>
        <v>0.15</v>
      </c>
      <c r="H6">
        <f t="shared" si="0"/>
        <v>0.15</v>
      </c>
      <c r="I6">
        <f t="shared" si="0"/>
        <v>0.15</v>
      </c>
      <c r="J6">
        <f t="shared" si="0"/>
        <v>0.15</v>
      </c>
      <c r="K6">
        <f t="shared" si="0"/>
        <v>0.15</v>
      </c>
      <c r="L6">
        <f t="shared" si="0"/>
        <v>0.15</v>
      </c>
      <c r="M6">
        <f t="shared" si="0"/>
        <v>0.15</v>
      </c>
      <c r="N6">
        <f t="shared" si="0"/>
        <v>0.15</v>
      </c>
      <c r="O6">
        <f t="shared" si="0"/>
        <v>0.15</v>
      </c>
      <c r="P6">
        <f t="shared" si="0"/>
        <v>0.15</v>
      </c>
      <c r="Q6">
        <f t="shared" si="0"/>
        <v>0.15</v>
      </c>
      <c r="R6">
        <f t="shared" si="0"/>
        <v>0.15</v>
      </c>
      <c r="S6">
        <f t="shared" si="0"/>
        <v>0.15</v>
      </c>
      <c r="T6">
        <f t="shared" si="0"/>
        <v>0.15</v>
      </c>
      <c r="U6">
        <f t="shared" si="0"/>
        <v>0.15</v>
      </c>
      <c r="V6">
        <f t="shared" si="0"/>
        <v>0.15</v>
      </c>
      <c r="W6">
        <f t="shared" si="0"/>
        <v>0.15</v>
      </c>
      <c r="X6">
        <f t="shared" si="0"/>
        <v>0.15</v>
      </c>
      <c r="Y6">
        <f t="shared" si="0"/>
        <v>0.15</v>
      </c>
      <c r="Z6">
        <f t="shared" si="0"/>
        <v>0.15</v>
      </c>
      <c r="AA6">
        <f t="shared" si="0"/>
        <v>0.15</v>
      </c>
      <c r="AB6">
        <f t="shared" si="0"/>
        <v>0.15</v>
      </c>
      <c r="AC6">
        <f t="shared" si="0"/>
        <v>0.15</v>
      </c>
      <c r="AD6">
        <f t="shared" si="0"/>
        <v>0.15</v>
      </c>
      <c r="AE6">
        <f t="shared" si="0"/>
        <v>0.15</v>
      </c>
      <c r="AF6">
        <f t="shared" si="0"/>
        <v>0.15</v>
      </c>
      <c r="AG6">
        <f t="shared" si="0"/>
        <v>0.15</v>
      </c>
      <c r="AH6">
        <f t="shared" si="0"/>
        <v>0.15</v>
      </c>
      <c r="AI6">
        <f t="shared" si="0"/>
        <v>0.15</v>
      </c>
      <c r="AJ6">
        <f t="shared" si="0"/>
        <v>0.15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J11"/>
  <sheetViews>
    <sheetView workbookViewId="0">
      <selection activeCell="A7" sqref="A7"/>
    </sheetView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J11"/>
  <sheetViews>
    <sheetView workbookViewId="0">
      <selection activeCell="A6" sqref="A6"/>
    </sheetView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0.55000000000000004</v>
      </c>
      <c r="C2">
        <v>0.55000000000000004</v>
      </c>
      <c r="D2">
        <v>0.55000000000000004</v>
      </c>
      <c r="E2">
        <v>0.55000000000000004</v>
      </c>
      <c r="F2">
        <v>0.55000000000000004</v>
      </c>
      <c r="G2">
        <v>0.55000000000000004</v>
      </c>
      <c r="H2">
        <v>0.55000000000000004</v>
      </c>
      <c r="I2">
        <v>0.55000000000000004</v>
      </c>
      <c r="J2">
        <v>0.55000000000000004</v>
      </c>
      <c r="K2">
        <v>0.55000000000000004</v>
      </c>
      <c r="L2">
        <v>0.55000000000000004</v>
      </c>
      <c r="M2">
        <v>0.55000000000000004</v>
      </c>
      <c r="N2">
        <v>0.55000000000000004</v>
      </c>
      <c r="O2">
        <v>0.55000000000000004</v>
      </c>
      <c r="P2">
        <v>0.55000000000000004</v>
      </c>
      <c r="Q2">
        <v>0.55000000000000004</v>
      </c>
      <c r="R2">
        <v>0.55000000000000004</v>
      </c>
      <c r="S2">
        <v>0.55000000000000004</v>
      </c>
      <c r="T2">
        <v>0.55000000000000004</v>
      </c>
      <c r="U2">
        <v>0.55000000000000004</v>
      </c>
      <c r="V2">
        <v>0.55000000000000004</v>
      </c>
      <c r="W2">
        <v>0.55000000000000004</v>
      </c>
      <c r="X2">
        <v>0.55000000000000004</v>
      </c>
      <c r="Y2">
        <v>0.55000000000000004</v>
      </c>
      <c r="Z2">
        <v>0.55000000000000004</v>
      </c>
      <c r="AA2">
        <v>0.55000000000000004</v>
      </c>
      <c r="AB2">
        <v>0.55000000000000004</v>
      </c>
      <c r="AC2">
        <v>0.55000000000000004</v>
      </c>
      <c r="AD2">
        <v>0.55000000000000004</v>
      </c>
      <c r="AE2">
        <v>0.55000000000000004</v>
      </c>
      <c r="AF2">
        <v>0.55000000000000004</v>
      </c>
      <c r="AG2">
        <v>0.55000000000000004</v>
      </c>
      <c r="AH2">
        <v>0.55000000000000004</v>
      </c>
      <c r="AI2">
        <v>0.55000000000000004</v>
      </c>
      <c r="AJ2">
        <v>0.55000000000000004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f t="shared" ref="B6:AJ6" si="0">max_biogas</f>
        <v>0.15</v>
      </c>
      <c r="C6">
        <f t="shared" si="0"/>
        <v>0.15</v>
      </c>
      <c r="D6">
        <f t="shared" si="0"/>
        <v>0.15</v>
      </c>
      <c r="E6">
        <f t="shared" si="0"/>
        <v>0.15</v>
      </c>
      <c r="F6">
        <f t="shared" si="0"/>
        <v>0.15</v>
      </c>
      <c r="G6">
        <f t="shared" si="0"/>
        <v>0.15</v>
      </c>
      <c r="H6">
        <f t="shared" si="0"/>
        <v>0.15</v>
      </c>
      <c r="I6">
        <f t="shared" si="0"/>
        <v>0.15</v>
      </c>
      <c r="J6">
        <f t="shared" si="0"/>
        <v>0.15</v>
      </c>
      <c r="K6">
        <f t="shared" si="0"/>
        <v>0.15</v>
      </c>
      <c r="L6">
        <f t="shared" si="0"/>
        <v>0.15</v>
      </c>
      <c r="M6">
        <f t="shared" si="0"/>
        <v>0.15</v>
      </c>
      <c r="N6">
        <f t="shared" si="0"/>
        <v>0.15</v>
      </c>
      <c r="O6">
        <f t="shared" si="0"/>
        <v>0.15</v>
      </c>
      <c r="P6">
        <f t="shared" si="0"/>
        <v>0.15</v>
      </c>
      <c r="Q6">
        <f t="shared" si="0"/>
        <v>0.15</v>
      </c>
      <c r="R6">
        <f t="shared" si="0"/>
        <v>0.15</v>
      </c>
      <c r="S6">
        <f t="shared" si="0"/>
        <v>0.15</v>
      </c>
      <c r="T6">
        <f t="shared" si="0"/>
        <v>0.15</v>
      </c>
      <c r="U6">
        <f t="shared" si="0"/>
        <v>0.15</v>
      </c>
      <c r="V6">
        <f t="shared" si="0"/>
        <v>0.15</v>
      </c>
      <c r="W6">
        <f t="shared" si="0"/>
        <v>0.15</v>
      </c>
      <c r="X6">
        <f t="shared" si="0"/>
        <v>0.15</v>
      </c>
      <c r="Y6">
        <f t="shared" si="0"/>
        <v>0.15</v>
      </c>
      <c r="Z6">
        <f t="shared" si="0"/>
        <v>0.15</v>
      </c>
      <c r="AA6">
        <f t="shared" si="0"/>
        <v>0.15</v>
      </c>
      <c r="AB6">
        <f t="shared" si="0"/>
        <v>0.15</v>
      </c>
      <c r="AC6">
        <f t="shared" si="0"/>
        <v>0.15</v>
      </c>
      <c r="AD6">
        <f t="shared" si="0"/>
        <v>0.15</v>
      </c>
      <c r="AE6">
        <f t="shared" si="0"/>
        <v>0.15</v>
      </c>
      <c r="AF6">
        <f t="shared" si="0"/>
        <v>0.15</v>
      </c>
      <c r="AG6">
        <f t="shared" si="0"/>
        <v>0.15</v>
      </c>
      <c r="AH6">
        <f t="shared" si="0"/>
        <v>0.15</v>
      </c>
      <c r="AI6">
        <f t="shared" si="0"/>
        <v>0.15</v>
      </c>
      <c r="AJ6">
        <f t="shared" si="0"/>
        <v>0.15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  <ignoredErrors>
    <ignoredError sqref="B5:C5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J11"/>
  <sheetViews>
    <sheetView workbookViewId="0"/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</row>
    <row r="11" spans="1:36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J11"/>
  <sheetViews>
    <sheetView workbookViewId="0"/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55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J11"/>
  <sheetViews>
    <sheetView workbookViewId="0"/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J11"/>
  <sheetViews>
    <sheetView workbookViewId="0"/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J11"/>
  <sheetViews>
    <sheetView workbookViewId="0">
      <selection activeCell="B6" sqref="B6:AJ6"/>
    </sheetView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J11"/>
  <sheetViews>
    <sheetView workbookViewId="0">
      <selection sqref="A1:AJ11"/>
    </sheetView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f t="shared" ref="B7:N7" si="0">C7</f>
        <v>7.9999999999999835E-2</v>
      </c>
      <c r="C7">
        <f t="shared" si="0"/>
        <v>7.9999999999999835E-2</v>
      </c>
      <c r="D7">
        <f t="shared" si="0"/>
        <v>7.9999999999999835E-2</v>
      </c>
      <c r="E7">
        <f t="shared" si="0"/>
        <v>7.9999999999999835E-2</v>
      </c>
      <c r="F7">
        <f t="shared" si="0"/>
        <v>7.9999999999999835E-2</v>
      </c>
      <c r="G7">
        <f t="shared" si="0"/>
        <v>7.9999999999999835E-2</v>
      </c>
      <c r="H7">
        <f t="shared" si="0"/>
        <v>7.9999999999999835E-2</v>
      </c>
      <c r="I7">
        <f t="shared" si="0"/>
        <v>7.9999999999999835E-2</v>
      </c>
      <c r="J7">
        <f t="shared" si="0"/>
        <v>7.9999999999999835E-2</v>
      </c>
      <c r="K7">
        <f t="shared" si="0"/>
        <v>7.9999999999999835E-2</v>
      </c>
      <c r="L7">
        <f t="shared" si="0"/>
        <v>7.9999999999999835E-2</v>
      </c>
      <c r="M7">
        <f t="shared" si="0"/>
        <v>7.9999999999999835E-2</v>
      </c>
      <c r="N7">
        <f>O7</f>
        <v>7.9999999999999835E-2</v>
      </c>
      <c r="O7">
        <f t="shared" ref="O7:AI7" si="1">P7-0.02</f>
        <v>7.9999999999999835E-2</v>
      </c>
      <c r="P7">
        <f t="shared" si="1"/>
        <v>9.9999999999999839E-2</v>
      </c>
      <c r="Q7">
        <f t="shared" si="1"/>
        <v>0.11999999999999984</v>
      </c>
      <c r="R7">
        <f t="shared" si="1"/>
        <v>0.13999999999999985</v>
      </c>
      <c r="S7">
        <f t="shared" si="1"/>
        <v>0.15999999999999984</v>
      </c>
      <c r="T7">
        <f t="shared" si="1"/>
        <v>0.17999999999999983</v>
      </c>
      <c r="U7">
        <f t="shared" si="1"/>
        <v>0.19999999999999982</v>
      </c>
      <c r="V7">
        <f t="shared" si="1"/>
        <v>0.21999999999999981</v>
      </c>
      <c r="W7">
        <f t="shared" si="1"/>
        <v>0.2399999999999998</v>
      </c>
      <c r="X7">
        <f t="shared" si="1"/>
        <v>0.25999999999999979</v>
      </c>
      <c r="Y7">
        <f t="shared" si="1"/>
        <v>0.2799999999999998</v>
      </c>
      <c r="Z7">
        <f t="shared" si="1"/>
        <v>0.29999999999999982</v>
      </c>
      <c r="AA7">
        <f t="shared" si="1"/>
        <v>0.31999999999999984</v>
      </c>
      <c r="AB7">
        <f t="shared" si="1"/>
        <v>0.33999999999999986</v>
      </c>
      <c r="AC7">
        <f t="shared" si="1"/>
        <v>0.35999999999999988</v>
      </c>
      <c r="AD7">
        <f t="shared" si="1"/>
        <v>0.37999999999999989</v>
      </c>
      <c r="AE7">
        <f t="shared" si="1"/>
        <v>0.39999999999999991</v>
      </c>
      <c r="AF7">
        <f t="shared" si="1"/>
        <v>0.41999999999999993</v>
      </c>
      <c r="AG7">
        <f t="shared" si="1"/>
        <v>0.43999999999999995</v>
      </c>
      <c r="AH7">
        <f t="shared" si="1"/>
        <v>0.45999999999999996</v>
      </c>
      <c r="AI7">
        <f>AJ7-0.02</f>
        <v>0.48</v>
      </c>
      <c r="AJ7">
        <v>0.5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J11"/>
  <sheetViews>
    <sheetView workbookViewId="0">
      <selection activeCell="A6" sqref="A6"/>
    </sheetView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0.55000000000000004</v>
      </c>
      <c r="C2">
        <v>0.55000000000000004</v>
      </c>
      <c r="D2">
        <v>0.55000000000000004</v>
      </c>
      <c r="E2">
        <v>0.55000000000000004</v>
      </c>
      <c r="F2">
        <v>0.55000000000000004</v>
      </c>
      <c r="G2">
        <v>0.55000000000000004</v>
      </c>
      <c r="H2">
        <v>0.55000000000000004</v>
      </c>
      <c r="I2">
        <v>0.55000000000000004</v>
      </c>
      <c r="J2">
        <v>0.55000000000000004</v>
      </c>
      <c r="K2">
        <v>0.55000000000000004</v>
      </c>
      <c r="L2">
        <v>0.55000000000000004</v>
      </c>
      <c r="M2">
        <v>0.55000000000000004</v>
      </c>
      <c r="N2">
        <v>0.55000000000000004</v>
      </c>
      <c r="O2">
        <v>0.55000000000000004</v>
      </c>
      <c r="P2">
        <v>0.55000000000000004</v>
      </c>
      <c r="Q2">
        <v>0.55000000000000004</v>
      </c>
      <c r="R2">
        <v>0.55000000000000004</v>
      </c>
      <c r="S2">
        <v>0.55000000000000004</v>
      </c>
      <c r="T2">
        <v>0.55000000000000004</v>
      </c>
      <c r="U2">
        <v>0.55000000000000004</v>
      </c>
      <c r="V2">
        <v>0.55000000000000004</v>
      </c>
      <c r="W2">
        <v>0.55000000000000004</v>
      </c>
      <c r="X2">
        <v>0.55000000000000004</v>
      </c>
      <c r="Y2">
        <v>0.55000000000000004</v>
      </c>
      <c r="Z2">
        <v>0.55000000000000004</v>
      </c>
      <c r="AA2">
        <v>0.55000000000000004</v>
      </c>
      <c r="AB2">
        <v>0.55000000000000004</v>
      </c>
      <c r="AC2">
        <v>0.55000000000000004</v>
      </c>
      <c r="AD2">
        <v>0.55000000000000004</v>
      </c>
      <c r="AE2">
        <v>0.55000000000000004</v>
      </c>
      <c r="AF2">
        <v>0.55000000000000004</v>
      </c>
      <c r="AG2">
        <v>0.55000000000000004</v>
      </c>
      <c r="AH2">
        <v>0.55000000000000004</v>
      </c>
      <c r="AI2">
        <v>0.55000000000000004</v>
      </c>
      <c r="AJ2">
        <v>0.55000000000000004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f t="shared" ref="B6:AJ6" si="0">max_biogas</f>
        <v>0.15</v>
      </c>
      <c r="C6">
        <f t="shared" si="0"/>
        <v>0.15</v>
      </c>
      <c r="D6">
        <f t="shared" si="0"/>
        <v>0.15</v>
      </c>
      <c r="E6">
        <f t="shared" si="0"/>
        <v>0.15</v>
      </c>
      <c r="F6">
        <f t="shared" si="0"/>
        <v>0.15</v>
      </c>
      <c r="G6">
        <f t="shared" si="0"/>
        <v>0.15</v>
      </c>
      <c r="H6">
        <f t="shared" si="0"/>
        <v>0.15</v>
      </c>
      <c r="I6">
        <f t="shared" si="0"/>
        <v>0.15</v>
      </c>
      <c r="J6">
        <f t="shared" si="0"/>
        <v>0.15</v>
      </c>
      <c r="K6">
        <f t="shared" si="0"/>
        <v>0.15</v>
      </c>
      <c r="L6">
        <f t="shared" si="0"/>
        <v>0.15</v>
      </c>
      <c r="M6">
        <f t="shared" si="0"/>
        <v>0.15</v>
      </c>
      <c r="N6">
        <f t="shared" si="0"/>
        <v>0.15</v>
      </c>
      <c r="O6">
        <f t="shared" si="0"/>
        <v>0.15</v>
      </c>
      <c r="P6">
        <f t="shared" si="0"/>
        <v>0.15</v>
      </c>
      <c r="Q6">
        <f t="shared" si="0"/>
        <v>0.15</v>
      </c>
      <c r="R6">
        <f t="shared" si="0"/>
        <v>0.15</v>
      </c>
      <c r="S6">
        <f t="shared" si="0"/>
        <v>0.15</v>
      </c>
      <c r="T6">
        <f t="shared" si="0"/>
        <v>0.15</v>
      </c>
      <c r="U6">
        <f t="shared" si="0"/>
        <v>0.15</v>
      </c>
      <c r="V6">
        <f t="shared" si="0"/>
        <v>0.15</v>
      </c>
      <c r="W6">
        <f t="shared" si="0"/>
        <v>0.15</v>
      </c>
      <c r="X6">
        <f t="shared" si="0"/>
        <v>0.15</v>
      </c>
      <c r="Y6">
        <f t="shared" si="0"/>
        <v>0.15</v>
      </c>
      <c r="Z6">
        <f t="shared" si="0"/>
        <v>0.15</v>
      </c>
      <c r="AA6">
        <f t="shared" si="0"/>
        <v>0.15</v>
      </c>
      <c r="AB6">
        <f t="shared" si="0"/>
        <v>0.15</v>
      </c>
      <c r="AC6">
        <f t="shared" si="0"/>
        <v>0.15</v>
      </c>
      <c r="AD6">
        <f t="shared" si="0"/>
        <v>0.15</v>
      </c>
      <c r="AE6">
        <f t="shared" si="0"/>
        <v>0.15</v>
      </c>
      <c r="AF6">
        <f t="shared" si="0"/>
        <v>0.15</v>
      </c>
      <c r="AG6">
        <f t="shared" si="0"/>
        <v>0.15</v>
      </c>
      <c r="AH6">
        <f t="shared" si="0"/>
        <v>0.15</v>
      </c>
      <c r="AI6">
        <f t="shared" si="0"/>
        <v>0.15</v>
      </c>
      <c r="AJ6">
        <f t="shared" si="0"/>
        <v>0.15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J11"/>
  <sheetViews>
    <sheetView workbookViewId="0"/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</row>
    <row r="11" spans="1:36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3"/>
  </sheetPr>
  <dimension ref="A1:AJ11"/>
  <sheetViews>
    <sheetView workbookViewId="0"/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55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0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3"/>
  </sheetPr>
  <dimension ref="A1:AJ11"/>
  <sheetViews>
    <sheetView workbookViewId="0"/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3"/>
  </sheetPr>
  <dimension ref="A1:AJ11"/>
  <sheetViews>
    <sheetView workbookViewId="0"/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3"/>
  </sheetPr>
  <dimension ref="A1:AJ11"/>
  <sheetViews>
    <sheetView workbookViewId="0">
      <selection activeCell="Z9" sqref="A8:Z9"/>
    </sheetView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f t="shared" ref="B6:AJ6" si="0">max_biogas</f>
        <v>0.15</v>
      </c>
      <c r="C6">
        <f t="shared" si="0"/>
        <v>0.15</v>
      </c>
      <c r="D6">
        <f t="shared" si="0"/>
        <v>0.15</v>
      </c>
      <c r="E6">
        <f t="shared" si="0"/>
        <v>0.15</v>
      </c>
      <c r="F6">
        <f t="shared" si="0"/>
        <v>0.15</v>
      </c>
      <c r="G6">
        <f t="shared" si="0"/>
        <v>0.15</v>
      </c>
      <c r="H6">
        <f t="shared" si="0"/>
        <v>0.15</v>
      </c>
      <c r="I6">
        <f t="shared" si="0"/>
        <v>0.15</v>
      </c>
      <c r="J6">
        <f t="shared" si="0"/>
        <v>0.15</v>
      </c>
      <c r="K6">
        <f t="shared" si="0"/>
        <v>0.15</v>
      </c>
      <c r="L6">
        <f t="shared" si="0"/>
        <v>0.15</v>
      </c>
      <c r="M6">
        <f t="shared" si="0"/>
        <v>0.15</v>
      </c>
      <c r="N6">
        <f t="shared" si="0"/>
        <v>0.15</v>
      </c>
      <c r="O6">
        <f t="shared" si="0"/>
        <v>0.15</v>
      </c>
      <c r="P6">
        <f t="shared" si="0"/>
        <v>0.15</v>
      </c>
      <c r="Q6">
        <f t="shared" si="0"/>
        <v>0.15</v>
      </c>
      <c r="R6">
        <f t="shared" si="0"/>
        <v>0.15</v>
      </c>
      <c r="S6">
        <f t="shared" si="0"/>
        <v>0.15</v>
      </c>
      <c r="T6">
        <f t="shared" si="0"/>
        <v>0.15</v>
      </c>
      <c r="U6">
        <f t="shared" si="0"/>
        <v>0.15</v>
      </c>
      <c r="V6">
        <f t="shared" si="0"/>
        <v>0.15</v>
      </c>
      <c r="W6">
        <f t="shared" si="0"/>
        <v>0.15</v>
      </c>
      <c r="X6">
        <f t="shared" si="0"/>
        <v>0.15</v>
      </c>
      <c r="Y6">
        <f t="shared" si="0"/>
        <v>0.15</v>
      </c>
      <c r="Z6">
        <f t="shared" si="0"/>
        <v>0.15</v>
      </c>
      <c r="AA6">
        <f t="shared" si="0"/>
        <v>0.15</v>
      </c>
      <c r="AB6">
        <f t="shared" si="0"/>
        <v>0.15</v>
      </c>
      <c r="AC6">
        <f t="shared" si="0"/>
        <v>0.15</v>
      </c>
      <c r="AD6">
        <f t="shared" si="0"/>
        <v>0.15</v>
      </c>
      <c r="AE6">
        <f t="shared" si="0"/>
        <v>0.15</v>
      </c>
      <c r="AF6">
        <f t="shared" si="0"/>
        <v>0.15</v>
      </c>
      <c r="AG6">
        <f t="shared" si="0"/>
        <v>0.15</v>
      </c>
      <c r="AH6">
        <f t="shared" si="0"/>
        <v>0.15</v>
      </c>
      <c r="AI6">
        <f t="shared" si="0"/>
        <v>0.15</v>
      </c>
      <c r="AJ6">
        <f t="shared" si="0"/>
        <v>0.15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3"/>
  </sheetPr>
  <dimension ref="A1:AJ11"/>
  <sheetViews>
    <sheetView workbookViewId="0">
      <selection activeCell="A7" sqref="A7"/>
    </sheetView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f t="shared" ref="B7:AJ7" si="0">max_biodsl</f>
        <v>1</v>
      </c>
      <c r="C7">
        <f t="shared" si="0"/>
        <v>1</v>
      </c>
      <c r="D7">
        <f t="shared" si="0"/>
        <v>1</v>
      </c>
      <c r="E7">
        <f t="shared" si="0"/>
        <v>1</v>
      </c>
      <c r="F7">
        <f t="shared" si="0"/>
        <v>1</v>
      </c>
      <c r="G7">
        <f t="shared" si="0"/>
        <v>1</v>
      </c>
      <c r="H7">
        <f t="shared" si="0"/>
        <v>1</v>
      </c>
      <c r="I7">
        <f t="shared" si="0"/>
        <v>1</v>
      </c>
      <c r="J7">
        <f t="shared" si="0"/>
        <v>1</v>
      </c>
      <c r="K7">
        <f t="shared" si="0"/>
        <v>1</v>
      </c>
      <c r="L7">
        <f t="shared" si="0"/>
        <v>1</v>
      </c>
      <c r="M7">
        <f t="shared" si="0"/>
        <v>1</v>
      </c>
      <c r="N7">
        <f t="shared" si="0"/>
        <v>1</v>
      </c>
      <c r="O7">
        <f t="shared" si="0"/>
        <v>1</v>
      </c>
      <c r="P7">
        <f t="shared" si="0"/>
        <v>1</v>
      </c>
      <c r="Q7">
        <f t="shared" si="0"/>
        <v>1</v>
      </c>
      <c r="R7">
        <f t="shared" si="0"/>
        <v>1</v>
      </c>
      <c r="S7">
        <f t="shared" si="0"/>
        <v>1</v>
      </c>
      <c r="T7">
        <f t="shared" si="0"/>
        <v>1</v>
      </c>
      <c r="U7">
        <f t="shared" si="0"/>
        <v>1</v>
      </c>
      <c r="V7">
        <f t="shared" si="0"/>
        <v>1</v>
      </c>
      <c r="W7">
        <f t="shared" si="0"/>
        <v>1</v>
      </c>
      <c r="X7">
        <f t="shared" si="0"/>
        <v>1</v>
      </c>
      <c r="Y7">
        <f t="shared" si="0"/>
        <v>1</v>
      </c>
      <c r="Z7">
        <f t="shared" si="0"/>
        <v>1</v>
      </c>
      <c r="AA7">
        <f t="shared" si="0"/>
        <v>1</v>
      </c>
      <c r="AB7">
        <f t="shared" si="0"/>
        <v>1</v>
      </c>
      <c r="AC7">
        <f t="shared" si="0"/>
        <v>1</v>
      </c>
      <c r="AD7">
        <f t="shared" si="0"/>
        <v>1</v>
      </c>
      <c r="AE7">
        <f t="shared" si="0"/>
        <v>1</v>
      </c>
      <c r="AF7">
        <f t="shared" si="0"/>
        <v>1</v>
      </c>
      <c r="AG7">
        <f t="shared" si="0"/>
        <v>1</v>
      </c>
      <c r="AH7">
        <f t="shared" si="0"/>
        <v>1</v>
      </c>
      <c r="AI7">
        <f t="shared" si="0"/>
        <v>1</v>
      </c>
      <c r="AJ7">
        <f t="shared" si="0"/>
        <v>1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3"/>
  </sheetPr>
  <dimension ref="A1:AJ11"/>
  <sheetViews>
    <sheetView topLeftCell="S1" workbookViewId="0">
      <selection activeCell="AJ7" sqref="AJ7"/>
    </sheetView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0.55000000000000004</v>
      </c>
      <c r="C2">
        <v>0.55000000000000004</v>
      </c>
      <c r="D2">
        <v>0.55000000000000004</v>
      </c>
      <c r="E2">
        <v>0.55000000000000004</v>
      </c>
      <c r="F2">
        <v>0.55000000000000004</v>
      </c>
      <c r="G2">
        <v>0.55000000000000004</v>
      </c>
      <c r="H2">
        <v>0.55000000000000004</v>
      </c>
      <c r="I2">
        <v>0.55000000000000004</v>
      </c>
      <c r="J2">
        <v>0.55000000000000004</v>
      </c>
      <c r="K2">
        <v>0.55000000000000004</v>
      </c>
      <c r="L2">
        <v>0.55000000000000004</v>
      </c>
      <c r="M2">
        <v>0.55000000000000004</v>
      </c>
      <c r="N2">
        <v>0.55000000000000004</v>
      </c>
      <c r="O2">
        <v>0.55000000000000004</v>
      </c>
      <c r="P2">
        <v>0.55000000000000004</v>
      </c>
      <c r="Q2">
        <v>0.55000000000000004</v>
      </c>
      <c r="R2">
        <v>0.55000000000000004</v>
      </c>
      <c r="S2">
        <v>0.55000000000000004</v>
      </c>
      <c r="T2">
        <v>0.55000000000000004</v>
      </c>
      <c r="U2">
        <v>0.55000000000000004</v>
      </c>
      <c r="V2">
        <v>0.55000000000000004</v>
      </c>
      <c r="W2">
        <v>0.55000000000000004</v>
      </c>
      <c r="X2">
        <v>0.55000000000000004</v>
      </c>
      <c r="Y2">
        <v>0.55000000000000004</v>
      </c>
      <c r="Z2">
        <v>0.55000000000000004</v>
      </c>
      <c r="AA2">
        <v>0.55000000000000004</v>
      </c>
      <c r="AB2">
        <v>0.55000000000000004</v>
      </c>
      <c r="AC2">
        <v>0.55000000000000004</v>
      </c>
      <c r="AD2">
        <v>0.55000000000000004</v>
      </c>
      <c r="AE2">
        <v>0.55000000000000004</v>
      </c>
      <c r="AF2">
        <v>0.55000000000000004</v>
      </c>
      <c r="AG2">
        <v>0.55000000000000004</v>
      </c>
      <c r="AH2">
        <v>0.55000000000000004</v>
      </c>
      <c r="AI2">
        <v>0.55000000000000004</v>
      </c>
      <c r="AJ2">
        <v>0.55000000000000004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f t="shared" ref="B7:AJ7" si="0">max_biodsl</f>
        <v>1</v>
      </c>
      <c r="C7">
        <f t="shared" si="0"/>
        <v>1</v>
      </c>
      <c r="D7">
        <f t="shared" si="0"/>
        <v>1</v>
      </c>
      <c r="E7">
        <f t="shared" si="0"/>
        <v>1</v>
      </c>
      <c r="F7">
        <f t="shared" si="0"/>
        <v>1</v>
      </c>
      <c r="G7">
        <f t="shared" si="0"/>
        <v>1</v>
      </c>
      <c r="H7">
        <f t="shared" si="0"/>
        <v>1</v>
      </c>
      <c r="I7">
        <f t="shared" si="0"/>
        <v>1</v>
      </c>
      <c r="J7">
        <f t="shared" si="0"/>
        <v>1</v>
      </c>
      <c r="K7">
        <f t="shared" si="0"/>
        <v>1</v>
      </c>
      <c r="L7">
        <f t="shared" si="0"/>
        <v>1</v>
      </c>
      <c r="M7">
        <f t="shared" si="0"/>
        <v>1</v>
      </c>
      <c r="N7">
        <f t="shared" si="0"/>
        <v>1</v>
      </c>
      <c r="O7">
        <f t="shared" si="0"/>
        <v>1</v>
      </c>
      <c r="P7">
        <f t="shared" si="0"/>
        <v>1</v>
      </c>
      <c r="Q7">
        <f t="shared" si="0"/>
        <v>1</v>
      </c>
      <c r="R7">
        <f t="shared" si="0"/>
        <v>1</v>
      </c>
      <c r="S7">
        <f t="shared" si="0"/>
        <v>1</v>
      </c>
      <c r="T7">
        <f t="shared" si="0"/>
        <v>1</v>
      </c>
      <c r="U7">
        <f t="shared" si="0"/>
        <v>1</v>
      </c>
      <c r="V7">
        <f t="shared" si="0"/>
        <v>1</v>
      </c>
      <c r="W7">
        <f t="shared" si="0"/>
        <v>1</v>
      </c>
      <c r="X7">
        <f t="shared" si="0"/>
        <v>1</v>
      </c>
      <c r="Y7">
        <f t="shared" si="0"/>
        <v>1</v>
      </c>
      <c r="Z7">
        <f t="shared" si="0"/>
        <v>1</v>
      </c>
      <c r="AA7">
        <f t="shared" si="0"/>
        <v>1</v>
      </c>
      <c r="AB7">
        <f t="shared" si="0"/>
        <v>1</v>
      </c>
      <c r="AC7">
        <f t="shared" si="0"/>
        <v>1</v>
      </c>
      <c r="AD7">
        <f t="shared" si="0"/>
        <v>1</v>
      </c>
      <c r="AE7">
        <f t="shared" si="0"/>
        <v>1</v>
      </c>
      <c r="AF7">
        <f t="shared" si="0"/>
        <v>1</v>
      </c>
      <c r="AG7">
        <f t="shared" si="0"/>
        <v>1</v>
      </c>
      <c r="AH7">
        <f t="shared" si="0"/>
        <v>1</v>
      </c>
      <c r="AI7">
        <f t="shared" si="0"/>
        <v>1</v>
      </c>
      <c r="AJ7">
        <f t="shared" si="0"/>
        <v>1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3"/>
  </sheetPr>
  <dimension ref="A1:AJ11"/>
  <sheetViews>
    <sheetView workbookViewId="0"/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</row>
    <row r="11" spans="1:36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3"/>
  </sheetPr>
  <dimension ref="A1:AJ11"/>
  <sheetViews>
    <sheetView workbookViewId="0"/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55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0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3"/>
  </sheetPr>
  <dimension ref="A1:AJ11"/>
  <sheetViews>
    <sheetView workbookViewId="0"/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3"/>
  </sheetPr>
  <dimension ref="A1:AJ11"/>
  <sheetViews>
    <sheetView workbookViewId="0"/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3"/>
  </sheetPr>
  <dimension ref="A1:AJ11"/>
  <sheetViews>
    <sheetView workbookViewId="0">
      <selection activeCell="B6" sqref="B6:AJ6"/>
    </sheetView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3"/>
  </sheetPr>
  <dimension ref="A1:AJ11"/>
  <sheetViews>
    <sheetView workbookViewId="0">
      <selection activeCell="N7" sqref="A1:AJ11"/>
    </sheetView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f t="shared" ref="B7:N7" si="0">C7</f>
        <v>7.9999999999999835E-2</v>
      </c>
      <c r="C7">
        <f t="shared" si="0"/>
        <v>7.9999999999999835E-2</v>
      </c>
      <c r="D7">
        <f t="shared" si="0"/>
        <v>7.9999999999999835E-2</v>
      </c>
      <c r="E7">
        <f t="shared" si="0"/>
        <v>7.9999999999999835E-2</v>
      </c>
      <c r="F7">
        <f t="shared" si="0"/>
        <v>7.9999999999999835E-2</v>
      </c>
      <c r="G7">
        <f t="shared" si="0"/>
        <v>7.9999999999999835E-2</v>
      </c>
      <c r="H7">
        <f t="shared" si="0"/>
        <v>7.9999999999999835E-2</v>
      </c>
      <c r="I7">
        <f t="shared" si="0"/>
        <v>7.9999999999999835E-2</v>
      </c>
      <c r="J7">
        <f t="shared" si="0"/>
        <v>7.9999999999999835E-2</v>
      </c>
      <c r="K7">
        <f t="shared" si="0"/>
        <v>7.9999999999999835E-2</v>
      </c>
      <c r="L7">
        <f t="shared" si="0"/>
        <v>7.9999999999999835E-2</v>
      </c>
      <c r="M7">
        <f t="shared" si="0"/>
        <v>7.9999999999999835E-2</v>
      </c>
      <c r="N7">
        <f>O7</f>
        <v>7.9999999999999835E-2</v>
      </c>
      <c r="O7">
        <f t="shared" ref="O7:AI7" si="1">P7-0.02</f>
        <v>7.9999999999999835E-2</v>
      </c>
      <c r="P7">
        <f t="shared" si="1"/>
        <v>9.9999999999999839E-2</v>
      </c>
      <c r="Q7">
        <f t="shared" si="1"/>
        <v>0.11999999999999984</v>
      </c>
      <c r="R7">
        <f t="shared" si="1"/>
        <v>0.13999999999999985</v>
      </c>
      <c r="S7">
        <f t="shared" si="1"/>
        <v>0.15999999999999984</v>
      </c>
      <c r="T7">
        <f t="shared" si="1"/>
        <v>0.17999999999999983</v>
      </c>
      <c r="U7">
        <f t="shared" si="1"/>
        <v>0.19999999999999982</v>
      </c>
      <c r="V7">
        <f t="shared" si="1"/>
        <v>0.21999999999999981</v>
      </c>
      <c r="W7">
        <f t="shared" si="1"/>
        <v>0.2399999999999998</v>
      </c>
      <c r="X7">
        <f t="shared" si="1"/>
        <v>0.25999999999999979</v>
      </c>
      <c r="Y7">
        <f t="shared" si="1"/>
        <v>0.2799999999999998</v>
      </c>
      <c r="Z7">
        <f t="shared" si="1"/>
        <v>0.29999999999999982</v>
      </c>
      <c r="AA7">
        <f t="shared" si="1"/>
        <v>0.31999999999999984</v>
      </c>
      <c r="AB7">
        <f t="shared" si="1"/>
        <v>0.33999999999999986</v>
      </c>
      <c r="AC7">
        <f t="shared" si="1"/>
        <v>0.35999999999999988</v>
      </c>
      <c r="AD7">
        <f t="shared" si="1"/>
        <v>0.37999999999999989</v>
      </c>
      <c r="AE7">
        <f t="shared" si="1"/>
        <v>0.39999999999999991</v>
      </c>
      <c r="AF7">
        <f t="shared" si="1"/>
        <v>0.41999999999999993</v>
      </c>
      <c r="AG7">
        <f t="shared" si="1"/>
        <v>0.43999999999999995</v>
      </c>
      <c r="AH7">
        <f t="shared" si="1"/>
        <v>0.45999999999999996</v>
      </c>
      <c r="AI7">
        <f>AJ7-0.02</f>
        <v>0.48</v>
      </c>
      <c r="AJ7">
        <v>0.5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theme="3"/>
  </sheetPr>
  <dimension ref="A1:AJ11"/>
  <sheetViews>
    <sheetView workbookViewId="0">
      <selection activeCell="A7" sqref="A7"/>
    </sheetView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0.55000000000000004</v>
      </c>
      <c r="C2">
        <v>0.55000000000000004</v>
      </c>
      <c r="D2">
        <v>0.55000000000000004</v>
      </c>
      <c r="E2">
        <v>0.55000000000000004</v>
      </c>
      <c r="F2">
        <v>0.55000000000000004</v>
      </c>
      <c r="G2">
        <v>0.55000000000000004</v>
      </c>
      <c r="H2">
        <v>0.55000000000000004</v>
      </c>
      <c r="I2">
        <v>0.55000000000000004</v>
      </c>
      <c r="J2">
        <v>0.55000000000000004</v>
      </c>
      <c r="K2">
        <v>0.55000000000000004</v>
      </c>
      <c r="L2">
        <v>0.55000000000000004</v>
      </c>
      <c r="M2">
        <v>0.55000000000000004</v>
      </c>
      <c r="N2">
        <v>0.55000000000000004</v>
      </c>
      <c r="O2">
        <v>0.55000000000000004</v>
      </c>
      <c r="P2">
        <v>0.55000000000000004</v>
      </c>
      <c r="Q2">
        <v>0.55000000000000004</v>
      </c>
      <c r="R2">
        <v>0.55000000000000004</v>
      </c>
      <c r="S2">
        <v>0.55000000000000004</v>
      </c>
      <c r="T2">
        <v>0.55000000000000004</v>
      </c>
      <c r="U2">
        <v>0.55000000000000004</v>
      </c>
      <c r="V2">
        <v>0.55000000000000004</v>
      </c>
      <c r="W2">
        <v>0.55000000000000004</v>
      </c>
      <c r="X2">
        <v>0.55000000000000004</v>
      </c>
      <c r="Y2">
        <v>0.55000000000000004</v>
      </c>
      <c r="Z2">
        <v>0.55000000000000004</v>
      </c>
      <c r="AA2">
        <v>0.55000000000000004</v>
      </c>
      <c r="AB2">
        <v>0.55000000000000004</v>
      </c>
      <c r="AC2">
        <v>0.55000000000000004</v>
      </c>
      <c r="AD2">
        <v>0.55000000000000004</v>
      </c>
      <c r="AE2">
        <v>0.55000000000000004</v>
      </c>
      <c r="AF2">
        <v>0.55000000000000004</v>
      </c>
      <c r="AG2">
        <v>0.55000000000000004</v>
      </c>
      <c r="AH2">
        <v>0.55000000000000004</v>
      </c>
      <c r="AI2">
        <v>0.55000000000000004</v>
      </c>
      <c r="AJ2">
        <v>0.55000000000000004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f t="shared" ref="B7:AJ7" si="0">max_biodsl</f>
        <v>1</v>
      </c>
      <c r="C7">
        <f t="shared" si="0"/>
        <v>1</v>
      </c>
      <c r="D7">
        <f t="shared" si="0"/>
        <v>1</v>
      </c>
      <c r="E7">
        <f t="shared" si="0"/>
        <v>1</v>
      </c>
      <c r="F7">
        <f t="shared" si="0"/>
        <v>1</v>
      </c>
      <c r="G7">
        <f t="shared" si="0"/>
        <v>1</v>
      </c>
      <c r="H7">
        <f t="shared" si="0"/>
        <v>1</v>
      </c>
      <c r="I7">
        <f t="shared" si="0"/>
        <v>1</v>
      </c>
      <c r="J7">
        <f t="shared" si="0"/>
        <v>1</v>
      </c>
      <c r="K7">
        <f t="shared" si="0"/>
        <v>1</v>
      </c>
      <c r="L7">
        <f t="shared" si="0"/>
        <v>1</v>
      </c>
      <c r="M7">
        <f t="shared" si="0"/>
        <v>1</v>
      </c>
      <c r="N7">
        <f t="shared" si="0"/>
        <v>1</v>
      </c>
      <c r="O7">
        <f t="shared" si="0"/>
        <v>1</v>
      </c>
      <c r="P7">
        <f t="shared" si="0"/>
        <v>1</v>
      </c>
      <c r="Q7">
        <f t="shared" si="0"/>
        <v>1</v>
      </c>
      <c r="R7">
        <f t="shared" si="0"/>
        <v>1</v>
      </c>
      <c r="S7">
        <f t="shared" si="0"/>
        <v>1</v>
      </c>
      <c r="T7">
        <f t="shared" si="0"/>
        <v>1</v>
      </c>
      <c r="U7">
        <f t="shared" si="0"/>
        <v>1</v>
      </c>
      <c r="V7">
        <f t="shared" si="0"/>
        <v>1</v>
      </c>
      <c r="W7">
        <f t="shared" si="0"/>
        <v>1</v>
      </c>
      <c r="X7">
        <f t="shared" si="0"/>
        <v>1</v>
      </c>
      <c r="Y7">
        <f t="shared" si="0"/>
        <v>1</v>
      </c>
      <c r="Z7">
        <f t="shared" si="0"/>
        <v>1</v>
      </c>
      <c r="AA7">
        <f t="shared" si="0"/>
        <v>1</v>
      </c>
      <c r="AB7">
        <f t="shared" si="0"/>
        <v>1</v>
      </c>
      <c r="AC7">
        <f t="shared" si="0"/>
        <v>1</v>
      </c>
      <c r="AD7">
        <f t="shared" si="0"/>
        <v>1</v>
      </c>
      <c r="AE7">
        <f t="shared" si="0"/>
        <v>1</v>
      </c>
      <c r="AF7">
        <f t="shared" si="0"/>
        <v>1</v>
      </c>
      <c r="AG7">
        <f t="shared" si="0"/>
        <v>1</v>
      </c>
      <c r="AH7">
        <f t="shared" si="0"/>
        <v>1</v>
      </c>
      <c r="AI7">
        <f t="shared" si="0"/>
        <v>1</v>
      </c>
      <c r="AJ7">
        <f t="shared" si="0"/>
        <v>1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theme="3"/>
  </sheetPr>
  <dimension ref="A1:AJ11"/>
  <sheetViews>
    <sheetView workbookViewId="0"/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</row>
    <row r="11" spans="1:36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theme="3"/>
  </sheetPr>
  <dimension ref="A1:AJ11"/>
  <sheetViews>
    <sheetView workbookViewId="0"/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55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0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3"/>
  </sheetPr>
  <dimension ref="A1:AI11"/>
  <sheetViews>
    <sheetView workbookViewId="0"/>
  </sheetViews>
  <sheetFormatPr defaultRowHeight="15" x14ac:dyDescent="0.25"/>
  <cols>
    <col min="1" max="1" width="22.5703125" customWidth="1"/>
  </cols>
  <sheetData>
    <row r="1" spans="1:35" ht="30" x14ac:dyDescent="0.2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</row>
    <row r="3" spans="1:35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theme="3"/>
  </sheetPr>
  <dimension ref="A1:AI11"/>
  <sheetViews>
    <sheetView workbookViewId="0"/>
  </sheetViews>
  <sheetFormatPr defaultRowHeight="15" x14ac:dyDescent="0.25"/>
  <cols>
    <col min="1" max="1" width="22.5703125" customWidth="1"/>
  </cols>
  <sheetData>
    <row r="1" spans="1:35" ht="30" x14ac:dyDescent="0.2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</row>
    <row r="4" spans="1:35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theme="3"/>
  </sheetPr>
  <dimension ref="A1:AI11"/>
  <sheetViews>
    <sheetView workbookViewId="0">
      <selection activeCell="A6" sqref="A6"/>
    </sheetView>
  </sheetViews>
  <sheetFormatPr defaultRowHeight="15" x14ac:dyDescent="0.25"/>
  <cols>
    <col min="1" max="1" width="22.5703125" customWidth="1"/>
  </cols>
  <sheetData>
    <row r="1" spans="1:35" ht="30" x14ac:dyDescent="0.2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</row>
    <row r="5" spans="1:35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6</v>
      </c>
      <c r="B6">
        <f>'Max Biofuel Blends'!B$14</f>
        <v>0</v>
      </c>
      <c r="C6">
        <f>'Max Biofuel Blends'!C$14</f>
        <v>0</v>
      </c>
      <c r="D6">
        <f>'Max Biofuel Blends'!D$14</f>
        <v>0</v>
      </c>
      <c r="E6">
        <f>'Max Biofuel Blends'!E$14</f>
        <v>0</v>
      </c>
      <c r="F6">
        <f>'Max Biofuel Blends'!F$14</f>
        <v>0</v>
      </c>
      <c r="G6">
        <f>'Max Biofuel Blends'!G$14</f>
        <v>6.6666666666677088E-2</v>
      </c>
      <c r="H6">
        <f>'Max Biofuel Blends'!H$14</f>
        <v>0.10000000000000853</v>
      </c>
      <c r="I6">
        <f>'Max Biofuel Blends'!I$14</f>
        <v>0.13333333333333997</v>
      </c>
      <c r="J6">
        <f>'Max Biofuel Blends'!J$14</f>
        <v>0.1666666666666714</v>
      </c>
      <c r="K6">
        <f>'Max Biofuel Blends'!K$14</f>
        <v>0.20000000000000284</v>
      </c>
      <c r="L6">
        <f>'Max Biofuel Blends'!L$14</f>
        <v>0.23333333333333428</v>
      </c>
      <c r="M6">
        <f>'Max Biofuel Blends'!M$14</f>
        <v>0.26666666666666572</v>
      </c>
      <c r="N6">
        <f>'Max Biofuel Blends'!N$14</f>
        <v>0.29999999999999716</v>
      </c>
      <c r="O6">
        <f>'Max Biofuel Blends'!O$14</f>
        <v>0.33333333333334281</v>
      </c>
      <c r="P6">
        <f>'Max Biofuel Blends'!P$14</f>
        <v>0.36666666666667425</v>
      </c>
      <c r="Q6">
        <f>'Max Biofuel Blends'!Q$14</f>
        <v>0.40000000000000568</v>
      </c>
      <c r="R6">
        <f>'Max Biofuel Blends'!R$14</f>
        <v>0.43333333333333712</v>
      </c>
      <c r="S6">
        <f>'Max Biofuel Blends'!S$14</f>
        <v>0.46666666666666856</v>
      </c>
      <c r="T6">
        <f>'Max Biofuel Blends'!T$14</f>
        <v>0.5</v>
      </c>
      <c r="U6">
        <f>'Max Biofuel Blends'!U$14</f>
        <v>0.53333333333333144</v>
      </c>
      <c r="V6">
        <f>'Max Biofuel Blends'!V$14</f>
        <v>0.56666666666667709</v>
      </c>
      <c r="W6">
        <f>'Max Biofuel Blends'!W$14</f>
        <v>0.60000000000000853</v>
      </c>
      <c r="X6">
        <f>'Max Biofuel Blends'!X$14</f>
        <v>0.63333333333333997</v>
      </c>
      <c r="Y6">
        <f>'Max Biofuel Blends'!Y$14</f>
        <v>0.6666666666666714</v>
      </c>
      <c r="Z6">
        <f>'Max Biofuel Blends'!Z$14</f>
        <v>0.70000000000000284</v>
      </c>
      <c r="AA6">
        <f>'Max Biofuel Blends'!AA$14</f>
        <v>0.73333333333333428</v>
      </c>
      <c r="AB6">
        <f>'Max Biofuel Blends'!AB$14</f>
        <v>0.76666666666666572</v>
      </c>
      <c r="AC6">
        <f>'Max Biofuel Blends'!AC$14</f>
        <v>0.79999999999999716</v>
      </c>
      <c r="AD6">
        <f>'Max Biofuel Blends'!AD$14</f>
        <v>0.83333333333334281</v>
      </c>
      <c r="AE6">
        <f>'Max Biofuel Blends'!AE$14</f>
        <v>0.86666666666667425</v>
      </c>
      <c r="AF6">
        <f>'Max Biofuel Blends'!AF$14</f>
        <v>0.90000000000000568</v>
      </c>
      <c r="AG6">
        <f>'Max Biofuel Blends'!AG$14</f>
        <v>0.93333333333333712</v>
      </c>
      <c r="AH6">
        <f>'Max Biofuel Blends'!AH$14</f>
        <v>0.96666666666666856</v>
      </c>
      <c r="AI6">
        <f>'Max Biofuel Blends'!AI$14</f>
        <v>1</v>
      </c>
    </row>
    <row r="7" spans="1:35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theme="3"/>
  </sheetPr>
  <dimension ref="A1:AI11"/>
  <sheetViews>
    <sheetView workbookViewId="0">
      <selection activeCell="O7" sqref="A1:AI11"/>
    </sheetView>
  </sheetViews>
  <sheetFormatPr defaultRowHeight="15" x14ac:dyDescent="0.25"/>
  <cols>
    <col min="1" max="1" width="22.5703125" customWidth="1"/>
  </cols>
  <sheetData>
    <row r="1" spans="1:35" ht="30" x14ac:dyDescent="0.2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5">
      <c r="A7" t="s">
        <v>8</v>
      </c>
      <c r="B7">
        <f>'Max Biofuel Blends'!B$14</f>
        <v>0</v>
      </c>
      <c r="C7">
        <f>'Max Biofuel Blends'!C$14</f>
        <v>0</v>
      </c>
      <c r="D7">
        <f>'Max Biofuel Blends'!D$14</f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f t="shared" ref="O7:AH7" si="0">Q7-0.02</f>
        <v>1.9999999999999938E-2</v>
      </c>
      <c r="Q7">
        <f t="shared" si="0"/>
        <v>3.9999999999999938E-2</v>
      </c>
      <c r="R7">
        <f t="shared" si="0"/>
        <v>5.9999999999999942E-2</v>
      </c>
      <c r="S7">
        <f t="shared" si="0"/>
        <v>7.9999999999999946E-2</v>
      </c>
      <c r="T7">
        <f t="shared" si="0"/>
        <v>9.999999999999995E-2</v>
      </c>
      <c r="U7">
        <f t="shared" si="0"/>
        <v>0.11999999999999995</v>
      </c>
      <c r="V7">
        <f t="shared" si="0"/>
        <v>0.13999999999999996</v>
      </c>
      <c r="W7">
        <f t="shared" si="0"/>
        <v>0.15999999999999995</v>
      </c>
      <c r="X7">
        <f t="shared" si="0"/>
        <v>0.17999999999999994</v>
      </c>
      <c r="Y7">
        <f t="shared" si="0"/>
        <v>0.19999999999999993</v>
      </c>
      <c r="Z7">
        <f t="shared" si="0"/>
        <v>0.21999999999999992</v>
      </c>
      <c r="AA7">
        <f t="shared" si="0"/>
        <v>0.23999999999999991</v>
      </c>
      <c r="AB7">
        <f t="shared" si="0"/>
        <v>0.2599999999999999</v>
      </c>
      <c r="AC7">
        <f t="shared" si="0"/>
        <v>0.27999999999999992</v>
      </c>
      <c r="AD7">
        <f t="shared" si="0"/>
        <v>0.29999999999999993</v>
      </c>
      <c r="AE7">
        <f t="shared" si="0"/>
        <v>0.31999999999999995</v>
      </c>
      <c r="AF7">
        <f t="shared" si="0"/>
        <v>0.33999999999999997</v>
      </c>
      <c r="AG7">
        <f t="shared" si="0"/>
        <v>0.36</v>
      </c>
      <c r="AH7">
        <f>AI7-0.02</f>
        <v>0.38</v>
      </c>
      <c r="AI7">
        <v>0.4</v>
      </c>
    </row>
    <row r="8" spans="1:35" x14ac:dyDescent="0.25">
      <c r="A8" t="s">
        <v>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</row>
    <row r="9" spans="1:35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theme="3"/>
  </sheetPr>
  <dimension ref="A1:AI11"/>
  <sheetViews>
    <sheetView workbookViewId="0"/>
  </sheetViews>
  <sheetFormatPr defaultRowHeight="15" x14ac:dyDescent="0.25"/>
  <cols>
    <col min="1" max="1" width="22.5703125" customWidth="1"/>
  </cols>
  <sheetData>
    <row r="1" spans="1:35" ht="30" x14ac:dyDescent="0.2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55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FF0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theme="3"/>
  </sheetPr>
  <dimension ref="A1:AI11"/>
  <sheetViews>
    <sheetView workbookViewId="0"/>
  </sheetViews>
  <sheetFormatPr defaultRowHeight="15" x14ac:dyDescent="0.25"/>
  <cols>
    <col min="1" max="1" width="22.5703125" customWidth="1"/>
  </cols>
  <sheetData>
    <row r="1" spans="1:35" ht="30" x14ac:dyDescent="0.2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</row>
    <row r="3" spans="1:35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theme="3"/>
  </sheetPr>
  <dimension ref="A1:AI11"/>
  <sheetViews>
    <sheetView workbookViewId="0"/>
  </sheetViews>
  <sheetFormatPr defaultRowHeight="15" x14ac:dyDescent="0.25"/>
  <cols>
    <col min="1" max="1" width="22.5703125" customWidth="1"/>
  </cols>
  <sheetData>
    <row r="1" spans="1:35" ht="30" x14ac:dyDescent="0.2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</row>
    <row r="4" spans="1:35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theme="3"/>
  </sheetPr>
  <dimension ref="A1:AI11"/>
  <sheetViews>
    <sheetView workbookViewId="0"/>
  </sheetViews>
  <sheetFormatPr defaultRowHeight="15" x14ac:dyDescent="0.25"/>
  <cols>
    <col min="1" max="1" width="22.5703125" customWidth="1"/>
  </cols>
  <sheetData>
    <row r="1" spans="1:35" ht="30" x14ac:dyDescent="0.2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</row>
    <row r="5" spans="1:35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6</v>
      </c>
      <c r="B6">
        <f>'Max Biofuel Blends'!B$14</f>
        <v>0</v>
      </c>
      <c r="C6">
        <f>'Max Biofuel Blends'!C$14</f>
        <v>0</v>
      </c>
      <c r="D6">
        <f>'Max Biofuel Blends'!D$14</f>
        <v>0</v>
      </c>
      <c r="E6">
        <f>'Max Biofuel Blends'!E$14</f>
        <v>0</v>
      </c>
      <c r="F6">
        <f>'Max Biofuel Blends'!F$14</f>
        <v>0</v>
      </c>
      <c r="G6">
        <f>'Max Biofuel Blends'!G$14</f>
        <v>6.6666666666677088E-2</v>
      </c>
      <c r="H6">
        <f>'Max Biofuel Blends'!H$14</f>
        <v>0.10000000000000853</v>
      </c>
      <c r="I6">
        <f>'Max Biofuel Blends'!I$14</f>
        <v>0.13333333333333997</v>
      </c>
      <c r="J6">
        <f>'Max Biofuel Blends'!J$14</f>
        <v>0.1666666666666714</v>
      </c>
      <c r="K6">
        <f>'Max Biofuel Blends'!K$14</f>
        <v>0.20000000000000284</v>
      </c>
      <c r="L6">
        <f>'Max Biofuel Blends'!L$14</f>
        <v>0.23333333333333428</v>
      </c>
      <c r="M6">
        <f>'Max Biofuel Blends'!M$14</f>
        <v>0.26666666666666572</v>
      </c>
      <c r="N6">
        <f>'Max Biofuel Blends'!N$14</f>
        <v>0.29999999999999716</v>
      </c>
      <c r="O6">
        <f>'Max Biofuel Blends'!O$14</f>
        <v>0.33333333333334281</v>
      </c>
      <c r="P6">
        <f>'Max Biofuel Blends'!P$14</f>
        <v>0.36666666666667425</v>
      </c>
      <c r="Q6">
        <f>'Max Biofuel Blends'!Q$14</f>
        <v>0.40000000000000568</v>
      </c>
      <c r="R6">
        <f>'Max Biofuel Blends'!R$14</f>
        <v>0.43333333333333712</v>
      </c>
      <c r="S6">
        <f>'Max Biofuel Blends'!S$14</f>
        <v>0.46666666666666856</v>
      </c>
      <c r="T6">
        <f>'Max Biofuel Blends'!T$14</f>
        <v>0.5</v>
      </c>
      <c r="U6">
        <f>'Max Biofuel Blends'!U$14</f>
        <v>0.53333333333333144</v>
      </c>
      <c r="V6">
        <f>'Max Biofuel Blends'!V$14</f>
        <v>0.56666666666667709</v>
      </c>
      <c r="W6">
        <f>'Max Biofuel Blends'!W$14</f>
        <v>0.60000000000000853</v>
      </c>
      <c r="X6">
        <f>'Max Biofuel Blends'!X$14</f>
        <v>0.63333333333333997</v>
      </c>
      <c r="Y6">
        <f>'Max Biofuel Blends'!Y$14</f>
        <v>0.6666666666666714</v>
      </c>
      <c r="Z6">
        <f>'Max Biofuel Blends'!Z$14</f>
        <v>0.70000000000000284</v>
      </c>
      <c r="AA6">
        <f>'Max Biofuel Blends'!AA$14</f>
        <v>0.73333333333333428</v>
      </c>
      <c r="AB6">
        <f>'Max Biofuel Blends'!AB$14</f>
        <v>0.76666666666666572</v>
      </c>
      <c r="AC6">
        <f>'Max Biofuel Blends'!AC$14</f>
        <v>0.79999999999999716</v>
      </c>
      <c r="AD6">
        <f>'Max Biofuel Blends'!AD$14</f>
        <v>0.83333333333334281</v>
      </c>
      <c r="AE6">
        <f>'Max Biofuel Blends'!AE$14</f>
        <v>0.86666666666667425</v>
      </c>
      <c r="AF6">
        <f>'Max Biofuel Blends'!AF$14</f>
        <v>0.90000000000000568</v>
      </c>
      <c r="AG6">
        <f>'Max Biofuel Blends'!AG$14</f>
        <v>0.93333333333333712</v>
      </c>
      <c r="AH6">
        <f>'Max Biofuel Blends'!AH$14</f>
        <v>0.96666666666666856</v>
      </c>
      <c r="AI6">
        <f>'Max Biofuel Blends'!AI$14</f>
        <v>1</v>
      </c>
    </row>
    <row r="7" spans="1:35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theme="3"/>
  </sheetPr>
  <dimension ref="A1:AI11"/>
  <sheetViews>
    <sheetView workbookViewId="0">
      <selection sqref="A1:AI11"/>
    </sheetView>
  </sheetViews>
  <sheetFormatPr defaultRowHeight="15" x14ac:dyDescent="0.25"/>
  <cols>
    <col min="1" max="1" width="22.5703125" customWidth="1"/>
  </cols>
  <sheetData>
    <row r="1" spans="1:35" ht="30" x14ac:dyDescent="0.2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5">
      <c r="A7" t="s">
        <v>8</v>
      </c>
      <c r="B7">
        <f>'Max Biofuel Blends'!B$14</f>
        <v>0</v>
      </c>
      <c r="C7">
        <f>'Max Biofuel Blends'!C$14</f>
        <v>0</v>
      </c>
      <c r="D7">
        <f>'Max Biofuel Blends'!D$14</f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f t="shared" ref="P7:AI7" si="0">Q7-0.02</f>
        <v>1.9999999999999938E-2</v>
      </c>
      <c r="Q7">
        <f t="shared" si="0"/>
        <v>3.9999999999999938E-2</v>
      </c>
      <c r="R7">
        <f t="shared" si="0"/>
        <v>5.9999999999999942E-2</v>
      </c>
      <c r="S7">
        <f t="shared" si="0"/>
        <v>7.9999999999999946E-2</v>
      </c>
      <c r="T7">
        <f t="shared" si="0"/>
        <v>9.999999999999995E-2</v>
      </c>
      <c r="U7">
        <f t="shared" si="0"/>
        <v>0.11999999999999995</v>
      </c>
      <c r="V7">
        <f t="shared" si="0"/>
        <v>0.13999999999999996</v>
      </c>
      <c r="W7">
        <f t="shared" si="0"/>
        <v>0.15999999999999995</v>
      </c>
      <c r="X7">
        <f t="shared" si="0"/>
        <v>0.17999999999999994</v>
      </c>
      <c r="Y7">
        <f t="shared" si="0"/>
        <v>0.19999999999999993</v>
      </c>
      <c r="Z7">
        <f t="shared" si="0"/>
        <v>0.21999999999999992</v>
      </c>
      <c r="AA7">
        <f t="shared" si="0"/>
        <v>0.23999999999999991</v>
      </c>
      <c r="AB7">
        <f t="shared" si="0"/>
        <v>0.2599999999999999</v>
      </c>
      <c r="AC7">
        <f t="shared" si="0"/>
        <v>0.27999999999999992</v>
      </c>
      <c r="AD7">
        <f t="shared" si="0"/>
        <v>0.29999999999999993</v>
      </c>
      <c r="AE7">
        <f t="shared" si="0"/>
        <v>0.31999999999999995</v>
      </c>
      <c r="AF7">
        <f t="shared" si="0"/>
        <v>0.33999999999999997</v>
      </c>
      <c r="AG7">
        <f t="shared" si="0"/>
        <v>0.36</v>
      </c>
      <c r="AH7">
        <f>AI7-0.02</f>
        <v>0.38</v>
      </c>
      <c r="AI7">
        <v>0.4</v>
      </c>
    </row>
    <row r="8" spans="1:35" x14ac:dyDescent="0.25">
      <c r="A8" t="s">
        <v>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</row>
    <row r="9" spans="1:35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theme="3"/>
  </sheetPr>
  <dimension ref="A1:AI11"/>
  <sheetViews>
    <sheetView workbookViewId="0"/>
  </sheetViews>
  <sheetFormatPr defaultRowHeight="15" x14ac:dyDescent="0.25"/>
  <cols>
    <col min="1" max="1" width="22.5703125" customWidth="1"/>
  </cols>
  <sheetData>
    <row r="1" spans="1:35" ht="30" x14ac:dyDescent="0.2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55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FF0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theme="3"/>
  </sheetPr>
  <dimension ref="A1:AI11"/>
  <sheetViews>
    <sheetView workbookViewId="0"/>
  </sheetViews>
  <sheetFormatPr defaultRowHeight="15" x14ac:dyDescent="0.25"/>
  <cols>
    <col min="1" max="1" width="22.5703125" customWidth="1"/>
  </cols>
  <sheetData>
    <row r="1" spans="1:35" ht="30" x14ac:dyDescent="0.2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</row>
    <row r="3" spans="1:35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theme="3"/>
  </sheetPr>
  <dimension ref="A1:AI11"/>
  <sheetViews>
    <sheetView workbookViewId="0"/>
  </sheetViews>
  <sheetFormatPr defaultRowHeight="15" x14ac:dyDescent="0.25"/>
  <cols>
    <col min="1" max="1" width="22.5703125" customWidth="1"/>
  </cols>
  <sheetData>
    <row r="1" spans="1:35" ht="30" x14ac:dyDescent="0.2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</row>
    <row r="4" spans="1:35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theme="3"/>
  </sheetPr>
  <dimension ref="A1:AI11"/>
  <sheetViews>
    <sheetView workbookViewId="0"/>
  </sheetViews>
  <sheetFormatPr defaultRowHeight="15" x14ac:dyDescent="0.25"/>
  <cols>
    <col min="1" max="1" width="22.5703125" customWidth="1"/>
  </cols>
  <sheetData>
    <row r="1" spans="1:35" ht="30" x14ac:dyDescent="0.2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</row>
    <row r="5" spans="1:35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6</v>
      </c>
      <c r="B6">
        <f>'Max Biofuel Blends'!B$14</f>
        <v>0</v>
      </c>
      <c r="C6">
        <f>'Max Biofuel Blends'!C$14</f>
        <v>0</v>
      </c>
      <c r="D6">
        <f>'Max Biofuel Blends'!D$14</f>
        <v>0</v>
      </c>
      <c r="E6">
        <f>'Max Biofuel Blends'!E$14</f>
        <v>0</v>
      </c>
      <c r="F6">
        <f>'Max Biofuel Blends'!F$14</f>
        <v>0</v>
      </c>
      <c r="G6">
        <f>'Max Biofuel Blends'!G$14</f>
        <v>6.6666666666677088E-2</v>
      </c>
      <c r="H6">
        <f>'Max Biofuel Blends'!H$14</f>
        <v>0.10000000000000853</v>
      </c>
      <c r="I6">
        <f>'Max Biofuel Blends'!I$14</f>
        <v>0.13333333333333997</v>
      </c>
      <c r="J6">
        <f>'Max Biofuel Blends'!J$14</f>
        <v>0.1666666666666714</v>
      </c>
      <c r="K6">
        <f>'Max Biofuel Blends'!K$14</f>
        <v>0.20000000000000284</v>
      </c>
      <c r="L6">
        <f>'Max Biofuel Blends'!L$14</f>
        <v>0.23333333333333428</v>
      </c>
      <c r="M6">
        <f>'Max Biofuel Blends'!M$14</f>
        <v>0.26666666666666572</v>
      </c>
      <c r="N6">
        <f>'Max Biofuel Blends'!N$14</f>
        <v>0.29999999999999716</v>
      </c>
      <c r="O6">
        <f>'Max Biofuel Blends'!O$14</f>
        <v>0.33333333333334281</v>
      </c>
      <c r="P6">
        <f>'Max Biofuel Blends'!P$14</f>
        <v>0.36666666666667425</v>
      </c>
      <c r="Q6">
        <f>'Max Biofuel Blends'!Q$14</f>
        <v>0.40000000000000568</v>
      </c>
      <c r="R6">
        <f>'Max Biofuel Blends'!R$14</f>
        <v>0.43333333333333712</v>
      </c>
      <c r="S6">
        <f>'Max Biofuel Blends'!S$14</f>
        <v>0.46666666666666856</v>
      </c>
      <c r="T6">
        <f>'Max Biofuel Blends'!T$14</f>
        <v>0.5</v>
      </c>
      <c r="U6">
        <f>'Max Biofuel Blends'!U$14</f>
        <v>0.53333333333333144</v>
      </c>
      <c r="V6">
        <f>'Max Biofuel Blends'!V$14</f>
        <v>0.56666666666667709</v>
      </c>
      <c r="W6">
        <f>'Max Biofuel Blends'!W$14</f>
        <v>0.60000000000000853</v>
      </c>
      <c r="X6">
        <f>'Max Biofuel Blends'!X$14</f>
        <v>0.63333333333333997</v>
      </c>
      <c r="Y6">
        <f>'Max Biofuel Blends'!Y$14</f>
        <v>0.6666666666666714</v>
      </c>
      <c r="Z6">
        <f>'Max Biofuel Blends'!Z$14</f>
        <v>0.70000000000000284</v>
      </c>
      <c r="AA6">
        <f>'Max Biofuel Blends'!AA$14</f>
        <v>0.73333333333333428</v>
      </c>
      <c r="AB6">
        <f>'Max Biofuel Blends'!AB$14</f>
        <v>0.76666666666666572</v>
      </c>
      <c r="AC6">
        <f>'Max Biofuel Blends'!AC$14</f>
        <v>0.79999999999999716</v>
      </c>
      <c r="AD6">
        <f>'Max Biofuel Blends'!AD$14</f>
        <v>0.83333333333334281</v>
      </c>
      <c r="AE6">
        <f>'Max Biofuel Blends'!AE$14</f>
        <v>0.86666666666667425</v>
      </c>
      <c r="AF6">
        <f>'Max Biofuel Blends'!AF$14</f>
        <v>0.90000000000000568</v>
      </c>
      <c r="AG6">
        <f>'Max Biofuel Blends'!AG$14</f>
        <v>0.93333333333333712</v>
      </c>
      <c r="AH6">
        <f>'Max Biofuel Blends'!AH$14</f>
        <v>0.96666666666666856</v>
      </c>
      <c r="AI6">
        <f>'Max Biofuel Blends'!AI$14</f>
        <v>1</v>
      </c>
    </row>
    <row r="7" spans="1:35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theme="3"/>
  </sheetPr>
  <dimension ref="A1:AI11"/>
  <sheetViews>
    <sheetView workbookViewId="0"/>
  </sheetViews>
  <sheetFormatPr defaultRowHeight="15" x14ac:dyDescent="0.25"/>
  <cols>
    <col min="1" max="1" width="22.5703125" customWidth="1"/>
  </cols>
  <sheetData>
    <row r="1" spans="1:35" ht="30" x14ac:dyDescent="0.2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</row>
    <row r="6" spans="1:35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5">
      <c r="A7" t="s">
        <v>8</v>
      </c>
      <c r="B7">
        <f>'Max Biofuel Blends'!B$14</f>
        <v>0</v>
      </c>
      <c r="C7">
        <f>'Max Biofuel Blends'!C$14</f>
        <v>0</v>
      </c>
      <c r="D7">
        <f>'Max Biofuel Blends'!D$14</f>
        <v>0</v>
      </c>
      <c r="E7">
        <f>'Max Biofuel Blends'!E$14</f>
        <v>0</v>
      </c>
      <c r="F7">
        <f>'Max Biofuel Blends'!F$14</f>
        <v>0</v>
      </c>
      <c r="G7">
        <f>'Max Biofuel Blends'!G$14</f>
        <v>6.6666666666677088E-2</v>
      </c>
      <c r="H7">
        <f>'Max Biofuel Blends'!H$14</f>
        <v>0.10000000000000853</v>
      </c>
      <c r="I7">
        <f>'Max Biofuel Blends'!I$14</f>
        <v>0.13333333333333997</v>
      </c>
      <c r="J7">
        <f>'Max Biofuel Blends'!J$14</f>
        <v>0.1666666666666714</v>
      </c>
      <c r="K7">
        <f>'Max Biofuel Blends'!K$14</f>
        <v>0.20000000000000284</v>
      </c>
      <c r="L7">
        <f>'Max Biofuel Blends'!L$14</f>
        <v>0.23333333333333428</v>
      </c>
      <c r="M7">
        <f>'Max Biofuel Blends'!M$14</f>
        <v>0.26666666666666572</v>
      </c>
      <c r="N7">
        <f>'Max Biofuel Blends'!N$14</f>
        <v>0.29999999999999716</v>
      </c>
      <c r="O7">
        <f>'Max Biofuel Blends'!O$14</f>
        <v>0.33333333333334281</v>
      </c>
      <c r="P7">
        <f>'Max Biofuel Blends'!P$14</f>
        <v>0.36666666666667425</v>
      </c>
      <c r="Q7">
        <f>'Max Biofuel Blends'!Q$14</f>
        <v>0.40000000000000568</v>
      </c>
      <c r="R7">
        <f>'Max Biofuel Blends'!R$14</f>
        <v>0.43333333333333712</v>
      </c>
      <c r="S7">
        <f>'Max Biofuel Blends'!S$14</f>
        <v>0.46666666666666856</v>
      </c>
      <c r="T7">
        <f>'Max Biofuel Blends'!T$14</f>
        <v>0.5</v>
      </c>
      <c r="U7">
        <f>'Max Biofuel Blends'!U$14</f>
        <v>0.53333333333333144</v>
      </c>
      <c r="V7">
        <f>'Max Biofuel Blends'!V$14</f>
        <v>0.56666666666667709</v>
      </c>
      <c r="W7">
        <f>'Max Biofuel Blends'!W$14</f>
        <v>0.60000000000000853</v>
      </c>
      <c r="X7">
        <f>'Max Biofuel Blends'!X$14</f>
        <v>0.63333333333333997</v>
      </c>
      <c r="Y7">
        <f>'Max Biofuel Blends'!Y$14</f>
        <v>0.6666666666666714</v>
      </c>
      <c r="Z7">
        <f>'Max Biofuel Blends'!Z$14</f>
        <v>0.70000000000000284</v>
      </c>
      <c r="AA7">
        <f>'Max Biofuel Blends'!AA$14</f>
        <v>0.73333333333333428</v>
      </c>
      <c r="AB7">
        <f>'Max Biofuel Blends'!AB$14</f>
        <v>0.76666666666666572</v>
      </c>
      <c r="AC7">
        <f>'Max Biofuel Blends'!AC$14</f>
        <v>0.79999999999999716</v>
      </c>
      <c r="AD7">
        <f>'Max Biofuel Blends'!AD$14</f>
        <v>0.83333333333334281</v>
      </c>
      <c r="AE7">
        <f>'Max Biofuel Blends'!AE$14</f>
        <v>0.86666666666667425</v>
      </c>
      <c r="AF7">
        <f>'Max Biofuel Blends'!AF$14</f>
        <v>0.90000000000000568</v>
      </c>
      <c r="AG7">
        <f>'Max Biofuel Blends'!AG$14</f>
        <v>0.93333333333333712</v>
      </c>
      <c r="AH7">
        <f>'Max Biofuel Blends'!AH$14</f>
        <v>0.96666666666666856</v>
      </c>
      <c r="AI7">
        <f>'Max Biofuel Blends'!AI$14</f>
        <v>1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theme="3"/>
  </sheetPr>
  <dimension ref="A1:AI11"/>
  <sheetViews>
    <sheetView workbookViewId="0"/>
  </sheetViews>
  <sheetFormatPr defaultRowHeight="15" x14ac:dyDescent="0.25"/>
  <cols>
    <col min="1" max="1" width="22.5703125" customWidth="1"/>
  </cols>
  <sheetData>
    <row r="1" spans="1:35" ht="30" x14ac:dyDescent="0.2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55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FF0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theme="3"/>
  </sheetPr>
  <dimension ref="A1:AI11"/>
  <sheetViews>
    <sheetView workbookViewId="0"/>
  </sheetViews>
  <sheetFormatPr defaultRowHeight="15" x14ac:dyDescent="0.25"/>
  <cols>
    <col min="1" max="1" width="22.5703125" customWidth="1"/>
  </cols>
  <sheetData>
    <row r="1" spans="1:35" ht="30" x14ac:dyDescent="0.2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</row>
    <row r="3" spans="1:35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theme="3"/>
  </sheetPr>
  <dimension ref="A1:AI11"/>
  <sheetViews>
    <sheetView workbookViewId="0"/>
  </sheetViews>
  <sheetFormatPr defaultRowHeight="15" x14ac:dyDescent="0.25"/>
  <cols>
    <col min="1" max="1" width="22.5703125" customWidth="1"/>
  </cols>
  <sheetData>
    <row r="1" spans="1:35" ht="30" x14ac:dyDescent="0.2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</row>
    <row r="4" spans="1:35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theme="3"/>
  </sheetPr>
  <dimension ref="A1:AI11"/>
  <sheetViews>
    <sheetView workbookViewId="0"/>
  </sheetViews>
  <sheetFormatPr defaultRowHeight="15" x14ac:dyDescent="0.25"/>
  <cols>
    <col min="1" max="1" width="22.5703125" customWidth="1"/>
  </cols>
  <sheetData>
    <row r="1" spans="1:35" ht="30" x14ac:dyDescent="0.2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</row>
    <row r="5" spans="1:35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6</v>
      </c>
      <c r="B6">
        <f>'Max Biofuel Blends'!B$14</f>
        <v>0</v>
      </c>
      <c r="C6">
        <f>'Max Biofuel Blends'!C$14</f>
        <v>0</v>
      </c>
      <c r="D6">
        <f>'Max Biofuel Blends'!D$14</f>
        <v>0</v>
      </c>
      <c r="E6">
        <f>'Max Biofuel Blends'!E$14</f>
        <v>0</v>
      </c>
      <c r="F6">
        <f>'Max Biofuel Blends'!F$14</f>
        <v>0</v>
      </c>
      <c r="G6">
        <f>'Max Biofuel Blends'!G$14</f>
        <v>6.6666666666677088E-2</v>
      </c>
      <c r="H6">
        <f>'Max Biofuel Blends'!H$14</f>
        <v>0.10000000000000853</v>
      </c>
      <c r="I6">
        <f>'Max Biofuel Blends'!I$14</f>
        <v>0.13333333333333997</v>
      </c>
      <c r="J6">
        <f>'Max Biofuel Blends'!J$14</f>
        <v>0.1666666666666714</v>
      </c>
      <c r="K6">
        <f>'Max Biofuel Blends'!K$14</f>
        <v>0.20000000000000284</v>
      </c>
      <c r="L6">
        <f>'Max Biofuel Blends'!L$14</f>
        <v>0.23333333333333428</v>
      </c>
      <c r="M6">
        <f>'Max Biofuel Blends'!M$14</f>
        <v>0.26666666666666572</v>
      </c>
      <c r="N6">
        <f>'Max Biofuel Blends'!N$14</f>
        <v>0.29999999999999716</v>
      </c>
      <c r="O6">
        <f>'Max Biofuel Blends'!O$14</f>
        <v>0.33333333333334281</v>
      </c>
      <c r="P6">
        <f>'Max Biofuel Blends'!P$14</f>
        <v>0.36666666666667425</v>
      </c>
      <c r="Q6">
        <f>'Max Biofuel Blends'!Q$14</f>
        <v>0.40000000000000568</v>
      </c>
      <c r="R6">
        <f>'Max Biofuel Blends'!R$14</f>
        <v>0.43333333333333712</v>
      </c>
      <c r="S6">
        <f>'Max Biofuel Blends'!S$14</f>
        <v>0.46666666666666856</v>
      </c>
      <c r="T6">
        <f>'Max Biofuel Blends'!T$14</f>
        <v>0.5</v>
      </c>
      <c r="U6">
        <f>'Max Biofuel Blends'!U$14</f>
        <v>0.53333333333333144</v>
      </c>
      <c r="V6">
        <f>'Max Biofuel Blends'!V$14</f>
        <v>0.56666666666667709</v>
      </c>
      <c r="W6">
        <f>'Max Biofuel Blends'!W$14</f>
        <v>0.60000000000000853</v>
      </c>
      <c r="X6">
        <f>'Max Biofuel Blends'!X$14</f>
        <v>0.63333333333333997</v>
      </c>
      <c r="Y6">
        <f>'Max Biofuel Blends'!Y$14</f>
        <v>0.6666666666666714</v>
      </c>
      <c r="Z6">
        <f>'Max Biofuel Blends'!Z$14</f>
        <v>0.70000000000000284</v>
      </c>
      <c r="AA6">
        <f>'Max Biofuel Blends'!AA$14</f>
        <v>0.73333333333333428</v>
      </c>
      <c r="AB6">
        <f>'Max Biofuel Blends'!AB$14</f>
        <v>0.76666666666666572</v>
      </c>
      <c r="AC6">
        <f>'Max Biofuel Blends'!AC$14</f>
        <v>0.79999999999999716</v>
      </c>
      <c r="AD6">
        <f>'Max Biofuel Blends'!AD$14</f>
        <v>0.83333333333334281</v>
      </c>
      <c r="AE6">
        <f>'Max Biofuel Blends'!AE$14</f>
        <v>0.86666666666667425</v>
      </c>
      <c r="AF6">
        <f>'Max Biofuel Blends'!AF$14</f>
        <v>0.90000000000000568</v>
      </c>
      <c r="AG6">
        <f>'Max Biofuel Blends'!AG$14</f>
        <v>0.93333333333333712</v>
      </c>
      <c r="AH6">
        <f>'Max Biofuel Blends'!AH$14</f>
        <v>0.96666666666666856</v>
      </c>
      <c r="AI6">
        <f>'Max Biofuel Blends'!AI$14</f>
        <v>1</v>
      </c>
    </row>
    <row r="7" spans="1:35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theme="3"/>
  </sheetPr>
  <dimension ref="A1:AI11"/>
  <sheetViews>
    <sheetView workbookViewId="0"/>
  </sheetViews>
  <sheetFormatPr defaultRowHeight="15" x14ac:dyDescent="0.25"/>
  <cols>
    <col min="1" max="1" width="22.5703125" customWidth="1"/>
  </cols>
  <sheetData>
    <row r="1" spans="1:35" ht="30" x14ac:dyDescent="0.2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</row>
    <row r="6" spans="1:35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5">
      <c r="A7" t="s">
        <v>8</v>
      </c>
      <c r="B7">
        <f>'Max Biofuel Blends'!B$14</f>
        <v>0</v>
      </c>
      <c r="C7">
        <f>'Max Biofuel Blends'!C$14</f>
        <v>0</v>
      </c>
      <c r="D7">
        <f>'Max Biofuel Blends'!D$14</f>
        <v>0</v>
      </c>
      <c r="E7">
        <f>'Max Biofuel Blends'!E$14</f>
        <v>0</v>
      </c>
      <c r="F7">
        <f>'Max Biofuel Blends'!F$14</f>
        <v>0</v>
      </c>
      <c r="G7">
        <f>'Max Biofuel Blends'!G$14</f>
        <v>6.6666666666677088E-2</v>
      </c>
      <c r="H7">
        <f>'Max Biofuel Blends'!H$14</f>
        <v>0.10000000000000853</v>
      </c>
      <c r="I7">
        <f>'Max Biofuel Blends'!I$14</f>
        <v>0.13333333333333997</v>
      </c>
      <c r="J7">
        <f>'Max Biofuel Blends'!J$14</f>
        <v>0.1666666666666714</v>
      </c>
      <c r="K7">
        <f>'Max Biofuel Blends'!K$14</f>
        <v>0.20000000000000284</v>
      </c>
      <c r="L7">
        <f>'Max Biofuel Blends'!L$14</f>
        <v>0.23333333333333428</v>
      </c>
      <c r="M7">
        <f>'Max Biofuel Blends'!M$14</f>
        <v>0.26666666666666572</v>
      </c>
      <c r="N7">
        <f>'Max Biofuel Blends'!N$14</f>
        <v>0.29999999999999716</v>
      </c>
      <c r="O7">
        <f>'Max Biofuel Blends'!O$14</f>
        <v>0.33333333333334281</v>
      </c>
      <c r="P7">
        <f>'Max Biofuel Blends'!P$14</f>
        <v>0.36666666666667425</v>
      </c>
      <c r="Q7">
        <f>'Max Biofuel Blends'!Q$14</f>
        <v>0.40000000000000568</v>
      </c>
      <c r="R7">
        <f>'Max Biofuel Blends'!R$14</f>
        <v>0.43333333333333712</v>
      </c>
      <c r="S7">
        <f>'Max Biofuel Blends'!S$14</f>
        <v>0.46666666666666856</v>
      </c>
      <c r="T7">
        <f>'Max Biofuel Blends'!T$14</f>
        <v>0.5</v>
      </c>
      <c r="U7">
        <f>'Max Biofuel Blends'!U$14</f>
        <v>0.53333333333333144</v>
      </c>
      <c r="V7">
        <f>'Max Biofuel Blends'!V$14</f>
        <v>0.56666666666667709</v>
      </c>
      <c r="W7">
        <f>'Max Biofuel Blends'!W$14</f>
        <v>0.60000000000000853</v>
      </c>
      <c r="X7">
        <f>'Max Biofuel Blends'!X$14</f>
        <v>0.63333333333333997</v>
      </c>
      <c r="Y7">
        <f>'Max Biofuel Blends'!Y$14</f>
        <v>0.6666666666666714</v>
      </c>
      <c r="Z7">
        <f>'Max Biofuel Blends'!Z$14</f>
        <v>0.70000000000000284</v>
      </c>
      <c r="AA7">
        <f>'Max Biofuel Blends'!AA$14</f>
        <v>0.73333333333333428</v>
      </c>
      <c r="AB7">
        <f>'Max Biofuel Blends'!AB$14</f>
        <v>0.76666666666666572</v>
      </c>
      <c r="AC7">
        <f>'Max Biofuel Blends'!AC$14</f>
        <v>0.79999999999999716</v>
      </c>
      <c r="AD7">
        <f>'Max Biofuel Blends'!AD$14</f>
        <v>0.83333333333334281</v>
      </c>
      <c r="AE7">
        <f>'Max Biofuel Blends'!AE$14</f>
        <v>0.86666666666667425</v>
      </c>
      <c r="AF7">
        <f>'Max Biofuel Blends'!AF$14</f>
        <v>0.90000000000000568</v>
      </c>
      <c r="AG7">
        <f>'Max Biofuel Blends'!AG$14</f>
        <v>0.93333333333333712</v>
      </c>
      <c r="AH7">
        <f>'Max Biofuel Blends'!AH$14</f>
        <v>0.96666666666666856</v>
      </c>
      <c r="AI7">
        <f>'Max Biofuel Blends'!AI$14</f>
        <v>1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theme="3"/>
  </sheetPr>
  <dimension ref="A1:AI11"/>
  <sheetViews>
    <sheetView workbookViewId="0"/>
  </sheetViews>
  <sheetFormatPr defaultRowHeight="15" x14ac:dyDescent="0.25"/>
  <cols>
    <col min="1" max="1" width="22.5703125" customWidth="1"/>
  </cols>
  <sheetData>
    <row r="1" spans="1:35" ht="30" x14ac:dyDescent="0.2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55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rgb="FFFF0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theme="3"/>
  </sheetPr>
  <dimension ref="A1:AI11"/>
  <sheetViews>
    <sheetView workbookViewId="0"/>
  </sheetViews>
  <sheetFormatPr defaultRowHeight="15" x14ac:dyDescent="0.25"/>
  <cols>
    <col min="1" max="1" width="22.5703125" customWidth="1"/>
  </cols>
  <sheetData>
    <row r="1" spans="1:35" ht="30" x14ac:dyDescent="0.2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</row>
    <row r="3" spans="1:35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theme="3"/>
  </sheetPr>
  <dimension ref="A1:AI11"/>
  <sheetViews>
    <sheetView workbookViewId="0"/>
  </sheetViews>
  <sheetFormatPr defaultRowHeight="15" x14ac:dyDescent="0.25"/>
  <cols>
    <col min="1" max="1" width="22.5703125" customWidth="1"/>
  </cols>
  <sheetData>
    <row r="1" spans="1:35" ht="30" x14ac:dyDescent="0.2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</row>
    <row r="4" spans="1:35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theme="3"/>
  </sheetPr>
  <dimension ref="A1:AI11"/>
  <sheetViews>
    <sheetView workbookViewId="0"/>
  </sheetViews>
  <sheetFormatPr defaultRowHeight="15" x14ac:dyDescent="0.25"/>
  <cols>
    <col min="1" max="1" width="22.5703125" customWidth="1"/>
  </cols>
  <sheetData>
    <row r="1" spans="1:35" ht="30" x14ac:dyDescent="0.2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</row>
    <row r="5" spans="1:35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6</v>
      </c>
      <c r="B6">
        <f>'Max Biofuel Blends'!B$14</f>
        <v>0</v>
      </c>
      <c r="C6">
        <f>'Max Biofuel Blends'!C$14</f>
        <v>0</v>
      </c>
      <c r="D6">
        <f>'Max Biofuel Blends'!D$14</f>
        <v>0</v>
      </c>
      <c r="E6">
        <f>'Max Biofuel Blends'!E$14</f>
        <v>0</v>
      </c>
      <c r="F6">
        <f>'Max Biofuel Blends'!F$14</f>
        <v>0</v>
      </c>
      <c r="G6">
        <f>'Max Biofuel Blends'!G$14</f>
        <v>6.6666666666677088E-2</v>
      </c>
      <c r="H6">
        <f>'Max Biofuel Blends'!H$14</f>
        <v>0.10000000000000853</v>
      </c>
      <c r="I6">
        <f>'Max Biofuel Blends'!I$14</f>
        <v>0.13333333333333997</v>
      </c>
      <c r="J6">
        <f>'Max Biofuel Blends'!J$14</f>
        <v>0.1666666666666714</v>
      </c>
      <c r="K6">
        <f>'Max Biofuel Blends'!K$14</f>
        <v>0.20000000000000284</v>
      </c>
      <c r="L6">
        <f>'Max Biofuel Blends'!L$14</f>
        <v>0.23333333333333428</v>
      </c>
      <c r="M6">
        <f>'Max Biofuel Blends'!M$14</f>
        <v>0.26666666666666572</v>
      </c>
      <c r="N6">
        <f>'Max Biofuel Blends'!N$14</f>
        <v>0.29999999999999716</v>
      </c>
      <c r="O6">
        <f>'Max Biofuel Blends'!O$14</f>
        <v>0.33333333333334281</v>
      </c>
      <c r="P6">
        <f>'Max Biofuel Blends'!P$14</f>
        <v>0.36666666666667425</v>
      </c>
      <c r="Q6">
        <f>'Max Biofuel Blends'!Q$14</f>
        <v>0.40000000000000568</v>
      </c>
      <c r="R6">
        <f>'Max Biofuel Blends'!R$14</f>
        <v>0.43333333333333712</v>
      </c>
      <c r="S6">
        <f>'Max Biofuel Blends'!S$14</f>
        <v>0.46666666666666856</v>
      </c>
      <c r="T6">
        <f>'Max Biofuel Blends'!T$14</f>
        <v>0.5</v>
      </c>
      <c r="U6">
        <f>'Max Biofuel Blends'!U$14</f>
        <v>0.53333333333333144</v>
      </c>
      <c r="V6">
        <f>'Max Biofuel Blends'!V$14</f>
        <v>0.56666666666667709</v>
      </c>
      <c r="W6">
        <f>'Max Biofuel Blends'!W$14</f>
        <v>0.60000000000000853</v>
      </c>
      <c r="X6">
        <f>'Max Biofuel Blends'!X$14</f>
        <v>0.63333333333333997</v>
      </c>
      <c r="Y6">
        <f>'Max Biofuel Blends'!Y$14</f>
        <v>0.6666666666666714</v>
      </c>
      <c r="Z6">
        <f>'Max Biofuel Blends'!Z$14</f>
        <v>0.70000000000000284</v>
      </c>
      <c r="AA6">
        <f>'Max Biofuel Blends'!AA$14</f>
        <v>0.73333333333333428</v>
      </c>
      <c r="AB6">
        <f>'Max Biofuel Blends'!AB$14</f>
        <v>0.76666666666666572</v>
      </c>
      <c r="AC6">
        <f>'Max Biofuel Blends'!AC$14</f>
        <v>0.79999999999999716</v>
      </c>
      <c r="AD6">
        <f>'Max Biofuel Blends'!AD$14</f>
        <v>0.83333333333334281</v>
      </c>
      <c r="AE6">
        <f>'Max Biofuel Blends'!AE$14</f>
        <v>0.86666666666667425</v>
      </c>
      <c r="AF6">
        <f>'Max Biofuel Blends'!AF$14</f>
        <v>0.90000000000000568</v>
      </c>
      <c r="AG6">
        <f>'Max Biofuel Blends'!AG$14</f>
        <v>0.93333333333333712</v>
      </c>
      <c r="AH6">
        <f>'Max Biofuel Blends'!AH$14</f>
        <v>0.96666666666666856</v>
      </c>
      <c r="AI6">
        <f>'Max Biofuel Blends'!AI$14</f>
        <v>1</v>
      </c>
    </row>
    <row r="7" spans="1:35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theme="3"/>
  </sheetPr>
  <dimension ref="A1:AI11"/>
  <sheetViews>
    <sheetView workbookViewId="0">
      <selection activeCell="O7" sqref="A1:AI11"/>
    </sheetView>
  </sheetViews>
  <sheetFormatPr defaultRowHeight="15" x14ac:dyDescent="0.25"/>
  <cols>
    <col min="1" max="1" width="22.5703125" customWidth="1"/>
  </cols>
  <sheetData>
    <row r="1" spans="1:35" ht="30" x14ac:dyDescent="0.2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</row>
    <row r="6" spans="1:35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f t="shared" ref="O7:AH7" si="0">Q7-0.02</f>
        <v>1.9999999999999938E-2</v>
      </c>
      <c r="Q7">
        <f t="shared" si="0"/>
        <v>3.9999999999999938E-2</v>
      </c>
      <c r="R7">
        <f t="shared" si="0"/>
        <v>5.9999999999999942E-2</v>
      </c>
      <c r="S7">
        <f t="shared" si="0"/>
        <v>7.9999999999999946E-2</v>
      </c>
      <c r="T7">
        <f t="shared" si="0"/>
        <v>9.999999999999995E-2</v>
      </c>
      <c r="U7">
        <f t="shared" si="0"/>
        <v>0.11999999999999995</v>
      </c>
      <c r="V7">
        <f t="shared" si="0"/>
        <v>0.13999999999999996</v>
      </c>
      <c r="W7">
        <f t="shared" si="0"/>
        <v>0.15999999999999995</v>
      </c>
      <c r="X7">
        <f t="shared" si="0"/>
        <v>0.17999999999999994</v>
      </c>
      <c r="Y7">
        <f t="shared" si="0"/>
        <v>0.19999999999999993</v>
      </c>
      <c r="Z7">
        <f t="shared" si="0"/>
        <v>0.21999999999999992</v>
      </c>
      <c r="AA7">
        <f t="shared" si="0"/>
        <v>0.23999999999999991</v>
      </c>
      <c r="AB7">
        <f t="shared" si="0"/>
        <v>0.2599999999999999</v>
      </c>
      <c r="AC7">
        <f t="shared" si="0"/>
        <v>0.27999999999999992</v>
      </c>
      <c r="AD7">
        <f t="shared" si="0"/>
        <v>0.29999999999999993</v>
      </c>
      <c r="AE7">
        <f t="shared" si="0"/>
        <v>0.31999999999999995</v>
      </c>
      <c r="AF7">
        <f t="shared" si="0"/>
        <v>0.33999999999999997</v>
      </c>
      <c r="AG7">
        <f t="shared" si="0"/>
        <v>0.36</v>
      </c>
      <c r="AH7">
        <f>AI7-0.02</f>
        <v>0.38</v>
      </c>
      <c r="AI7">
        <v>0.4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theme="3"/>
  </sheetPr>
  <dimension ref="A1:AI11"/>
  <sheetViews>
    <sheetView workbookViewId="0"/>
  </sheetViews>
  <sheetFormatPr defaultRowHeight="15" x14ac:dyDescent="0.25"/>
  <cols>
    <col min="1" max="1" width="22.5703125" customWidth="1"/>
  </cols>
  <sheetData>
    <row r="1" spans="1:35" ht="30" x14ac:dyDescent="0.2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55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rgb="FFFF0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theme="3"/>
  </sheetPr>
  <dimension ref="A1:AI11"/>
  <sheetViews>
    <sheetView workbookViewId="0"/>
  </sheetViews>
  <sheetFormatPr defaultRowHeight="15" x14ac:dyDescent="0.25"/>
  <cols>
    <col min="1" max="1" width="22.5703125" customWidth="1"/>
  </cols>
  <sheetData>
    <row r="1" spans="1:35" ht="30" x14ac:dyDescent="0.2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</row>
    <row r="3" spans="1:35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theme="3"/>
  </sheetPr>
  <dimension ref="A1:AI11"/>
  <sheetViews>
    <sheetView workbookViewId="0"/>
  </sheetViews>
  <sheetFormatPr defaultRowHeight="15" x14ac:dyDescent="0.25"/>
  <cols>
    <col min="1" max="1" width="22.5703125" customWidth="1"/>
  </cols>
  <sheetData>
    <row r="1" spans="1:35" ht="30" x14ac:dyDescent="0.2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</row>
    <row r="4" spans="1:35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theme="3"/>
  </sheetPr>
  <dimension ref="A1:AI11"/>
  <sheetViews>
    <sheetView workbookViewId="0"/>
  </sheetViews>
  <sheetFormatPr defaultRowHeight="15" x14ac:dyDescent="0.25"/>
  <cols>
    <col min="1" max="1" width="22.5703125" customWidth="1"/>
  </cols>
  <sheetData>
    <row r="1" spans="1:35" ht="30" x14ac:dyDescent="0.2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</row>
    <row r="5" spans="1:35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6</v>
      </c>
      <c r="B6">
        <f>'Max Biofuel Blends'!B$14</f>
        <v>0</v>
      </c>
      <c r="C6">
        <f>'Max Biofuel Blends'!C$14</f>
        <v>0</v>
      </c>
      <c r="D6">
        <f>'Max Biofuel Blends'!D$14</f>
        <v>0</v>
      </c>
      <c r="E6">
        <f>'Max Biofuel Blends'!E$14</f>
        <v>0</v>
      </c>
      <c r="F6">
        <f>'Max Biofuel Blends'!F$14</f>
        <v>0</v>
      </c>
      <c r="G6">
        <f>'Max Biofuel Blends'!G$14</f>
        <v>6.6666666666677088E-2</v>
      </c>
      <c r="H6">
        <f>'Max Biofuel Blends'!H$14</f>
        <v>0.10000000000000853</v>
      </c>
      <c r="I6">
        <f>'Max Biofuel Blends'!I$14</f>
        <v>0.13333333333333997</v>
      </c>
      <c r="J6">
        <f>'Max Biofuel Blends'!J$14</f>
        <v>0.1666666666666714</v>
      </c>
      <c r="K6">
        <f>'Max Biofuel Blends'!K$14</f>
        <v>0.20000000000000284</v>
      </c>
      <c r="L6">
        <f>'Max Biofuel Blends'!L$14</f>
        <v>0.23333333333333428</v>
      </c>
      <c r="M6">
        <f>'Max Biofuel Blends'!M$14</f>
        <v>0.26666666666666572</v>
      </c>
      <c r="N6">
        <f>'Max Biofuel Blends'!N$14</f>
        <v>0.29999999999999716</v>
      </c>
      <c r="O6">
        <f>'Max Biofuel Blends'!O$14</f>
        <v>0.33333333333334281</v>
      </c>
      <c r="P6">
        <f>'Max Biofuel Blends'!P$14</f>
        <v>0.36666666666667425</v>
      </c>
      <c r="Q6">
        <f>'Max Biofuel Blends'!Q$14</f>
        <v>0.40000000000000568</v>
      </c>
      <c r="R6">
        <f>'Max Biofuel Blends'!R$14</f>
        <v>0.43333333333333712</v>
      </c>
      <c r="S6">
        <f>'Max Biofuel Blends'!S$14</f>
        <v>0.46666666666666856</v>
      </c>
      <c r="T6">
        <f>'Max Biofuel Blends'!T$14</f>
        <v>0.5</v>
      </c>
      <c r="U6">
        <f>'Max Biofuel Blends'!U$14</f>
        <v>0.53333333333333144</v>
      </c>
      <c r="V6">
        <f>'Max Biofuel Blends'!V$14</f>
        <v>0.56666666666667709</v>
      </c>
      <c r="W6">
        <f>'Max Biofuel Blends'!W$14</f>
        <v>0.60000000000000853</v>
      </c>
      <c r="X6">
        <f>'Max Biofuel Blends'!X$14</f>
        <v>0.63333333333333997</v>
      </c>
      <c r="Y6">
        <f>'Max Biofuel Blends'!Y$14</f>
        <v>0.6666666666666714</v>
      </c>
      <c r="Z6">
        <f>'Max Biofuel Blends'!Z$14</f>
        <v>0.70000000000000284</v>
      </c>
      <c r="AA6">
        <f>'Max Biofuel Blends'!AA$14</f>
        <v>0.73333333333333428</v>
      </c>
      <c r="AB6">
        <f>'Max Biofuel Blends'!AB$14</f>
        <v>0.76666666666666572</v>
      </c>
      <c r="AC6">
        <f>'Max Biofuel Blends'!AC$14</f>
        <v>0.79999999999999716</v>
      </c>
      <c r="AD6">
        <f>'Max Biofuel Blends'!AD$14</f>
        <v>0.83333333333334281</v>
      </c>
      <c r="AE6">
        <f>'Max Biofuel Blends'!AE$14</f>
        <v>0.86666666666667425</v>
      </c>
      <c r="AF6">
        <f>'Max Biofuel Blends'!AF$14</f>
        <v>0.90000000000000568</v>
      </c>
      <c r="AG6">
        <f>'Max Biofuel Blends'!AG$14</f>
        <v>0.93333333333333712</v>
      </c>
      <c r="AH6">
        <f>'Max Biofuel Blends'!AH$14</f>
        <v>0.96666666666666856</v>
      </c>
      <c r="AI6">
        <f>'Max Biofuel Blends'!AI$14</f>
        <v>1</v>
      </c>
    </row>
    <row r="7" spans="1:35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theme="3"/>
  </sheetPr>
  <dimension ref="A1:AI11"/>
  <sheetViews>
    <sheetView tabSelected="1" workbookViewId="0">
      <selection activeCell="A7" sqref="A7"/>
    </sheetView>
  </sheetViews>
  <sheetFormatPr defaultRowHeight="15" x14ac:dyDescent="0.25"/>
  <cols>
    <col min="1" max="1" width="22.5703125" customWidth="1"/>
  </cols>
  <sheetData>
    <row r="1" spans="1:35" ht="30" x14ac:dyDescent="0.2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5">
      <c r="A5" t="s">
        <v>5</v>
      </c>
      <c r="B5">
        <v>0.35748898814749525</v>
      </c>
      <c r="C5">
        <v>0.37405633409909761</v>
      </c>
      <c r="D5">
        <v>0.41364173151359312</v>
      </c>
      <c r="E5">
        <v>0.62211489756157679</v>
      </c>
      <c r="F5">
        <v>0.52807893237929593</v>
      </c>
      <c r="G5">
        <v>0.41144083793075992</v>
      </c>
      <c r="H5">
        <v>0.38714020981241315</v>
      </c>
      <c r="I5">
        <v>0.37318683813305176</v>
      </c>
      <c r="J5">
        <v>0.36227641691431084</v>
      </c>
      <c r="K5">
        <v>0.36738289601408408</v>
      </c>
      <c r="L5">
        <v>0.36883941191709019</v>
      </c>
      <c r="M5">
        <v>0.37011725174240567</v>
      </c>
      <c r="N5">
        <v>0.36629540926530535</v>
      </c>
      <c r="O5">
        <v>0.37796687807238966</v>
      </c>
      <c r="P5">
        <v>0.37769090536161032</v>
      </c>
      <c r="Q5">
        <v>0.37706611181805411</v>
      </c>
      <c r="R5">
        <v>0.37687569900937279</v>
      </c>
      <c r="S5">
        <v>0.3779043994059314</v>
      </c>
      <c r="T5">
        <v>0.40261310493982638</v>
      </c>
      <c r="U5">
        <v>0.40226397545437403</v>
      </c>
      <c r="V5">
        <v>0.40817892306204245</v>
      </c>
      <c r="W5">
        <v>0.40857266254979441</v>
      </c>
      <c r="X5">
        <v>0.40857488891534016</v>
      </c>
      <c r="Y5">
        <v>0.40904611845037336</v>
      </c>
      <c r="Z5">
        <v>0.41024016624588211</v>
      </c>
      <c r="AA5">
        <v>0.41216171542315017</v>
      </c>
      <c r="AB5">
        <v>0.4007583860817206</v>
      </c>
      <c r="AC5">
        <v>0.41483602666212011</v>
      </c>
      <c r="AD5">
        <v>0.41554240859749336</v>
      </c>
      <c r="AE5">
        <v>0.42351505232984016</v>
      </c>
      <c r="AF5">
        <v>0.42541202066113892</v>
      </c>
      <c r="AG5">
        <v>0.4274002982432264</v>
      </c>
      <c r="AH5">
        <v>0.42797471805180676</v>
      </c>
      <c r="AI5">
        <v>0.42991564609237387</v>
      </c>
    </row>
    <row r="6" spans="1:35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f t="shared" ref="P7:AH7" si="0">Q7-0.02</f>
        <v>1.9999999999999938E-2</v>
      </c>
      <c r="Q7">
        <f t="shared" si="0"/>
        <v>3.9999999999999938E-2</v>
      </c>
      <c r="R7">
        <f t="shared" si="0"/>
        <v>5.9999999999999942E-2</v>
      </c>
      <c r="S7">
        <f t="shared" si="0"/>
        <v>7.9999999999999946E-2</v>
      </c>
      <c r="T7">
        <f t="shared" si="0"/>
        <v>9.999999999999995E-2</v>
      </c>
      <c r="U7">
        <f t="shared" si="0"/>
        <v>0.11999999999999995</v>
      </c>
      <c r="V7">
        <f t="shared" si="0"/>
        <v>0.13999999999999996</v>
      </c>
      <c r="W7">
        <f t="shared" si="0"/>
        <v>0.15999999999999995</v>
      </c>
      <c r="X7">
        <f t="shared" si="0"/>
        <v>0.17999999999999994</v>
      </c>
      <c r="Y7">
        <f t="shared" si="0"/>
        <v>0.19999999999999993</v>
      </c>
      <c r="Z7">
        <f t="shared" si="0"/>
        <v>0.21999999999999992</v>
      </c>
      <c r="AA7">
        <f t="shared" si="0"/>
        <v>0.23999999999999991</v>
      </c>
      <c r="AB7">
        <f t="shared" si="0"/>
        <v>0.2599999999999999</v>
      </c>
      <c r="AC7">
        <f t="shared" si="0"/>
        <v>0.27999999999999992</v>
      </c>
      <c r="AD7">
        <f t="shared" si="0"/>
        <v>0.29999999999999993</v>
      </c>
      <c r="AE7">
        <f t="shared" si="0"/>
        <v>0.31999999999999995</v>
      </c>
      <c r="AF7">
        <f t="shared" si="0"/>
        <v>0.33999999999999997</v>
      </c>
      <c r="AG7">
        <f t="shared" si="0"/>
        <v>0.36</v>
      </c>
      <c r="AH7">
        <f>AI7-0.02</f>
        <v>0.38</v>
      </c>
      <c r="AI7">
        <v>0.4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53</v>
      </c>
      <c r="B9">
        <v>0.64251101185250481</v>
      </c>
      <c r="C9">
        <v>0.62594366590090234</v>
      </c>
      <c r="D9">
        <v>0.58635826848640693</v>
      </c>
      <c r="E9">
        <v>0.37788510243842321</v>
      </c>
      <c r="F9">
        <v>0.47192106762070402</v>
      </c>
      <c r="G9">
        <v>0.58855916206924008</v>
      </c>
      <c r="H9">
        <v>0.61285979018758685</v>
      </c>
      <c r="I9">
        <v>0.62681316186694824</v>
      </c>
      <c r="J9">
        <v>0.63772358308568922</v>
      </c>
      <c r="K9">
        <v>0.63261710398591597</v>
      </c>
      <c r="L9">
        <v>0.63116058808290987</v>
      </c>
      <c r="M9">
        <v>0.62988274825759449</v>
      </c>
      <c r="N9">
        <v>0.63370459073469476</v>
      </c>
      <c r="O9">
        <v>0.62203312192761029</v>
      </c>
      <c r="P9">
        <v>0.62230909463838957</v>
      </c>
      <c r="Q9">
        <v>0.62293388818194595</v>
      </c>
      <c r="R9">
        <v>0.62312430099062721</v>
      </c>
      <c r="S9">
        <v>0.62209560059406865</v>
      </c>
      <c r="T9">
        <v>0.59738689506017362</v>
      </c>
      <c r="U9">
        <v>0.59773602454562591</v>
      </c>
      <c r="V9">
        <v>0.59182107693795749</v>
      </c>
      <c r="W9">
        <v>0.59142733745020548</v>
      </c>
      <c r="X9">
        <v>0.59142511108465967</v>
      </c>
      <c r="Y9">
        <v>0.59095388154962658</v>
      </c>
      <c r="Z9">
        <v>0.58975983375411789</v>
      </c>
      <c r="AA9">
        <v>0.58783828457684983</v>
      </c>
      <c r="AB9">
        <v>0.59924161391827946</v>
      </c>
      <c r="AC9">
        <v>0.58516397333787995</v>
      </c>
      <c r="AD9">
        <v>0.58445759140250664</v>
      </c>
      <c r="AE9">
        <v>0.5764849476701599</v>
      </c>
      <c r="AF9">
        <v>0.57458797933886097</v>
      </c>
      <c r="AG9">
        <v>0.57259970175677366</v>
      </c>
      <c r="AH9">
        <v>0.57202528194819324</v>
      </c>
      <c r="AI9">
        <v>0.57008435390762602</v>
      </c>
    </row>
    <row r="10" spans="1:35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theme="3"/>
  </sheetPr>
  <dimension ref="A1:AI11"/>
  <sheetViews>
    <sheetView workbookViewId="0"/>
  </sheetViews>
  <sheetFormatPr defaultRowHeight="15" x14ac:dyDescent="0.25"/>
  <cols>
    <col min="1" max="1" width="22.5703125" customWidth="1"/>
  </cols>
  <sheetData>
    <row r="1" spans="1:35" ht="30" x14ac:dyDescent="0.2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55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rgb="FFFF0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tabColor theme="3"/>
  </sheetPr>
  <dimension ref="A1:AJ11"/>
  <sheetViews>
    <sheetView workbookViewId="0"/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tabColor theme="3"/>
  </sheetPr>
  <dimension ref="A1:AJ11"/>
  <sheetViews>
    <sheetView workbookViewId="0"/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tabColor theme="3"/>
  </sheetPr>
  <dimension ref="A1:AJ11"/>
  <sheetViews>
    <sheetView workbookViewId="0">
      <selection activeCell="A6" sqref="A6"/>
    </sheetView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v>0.15</v>
      </c>
      <c r="C6">
        <v>0.15</v>
      </c>
      <c r="D6">
        <v>0.15</v>
      </c>
      <c r="E6">
        <v>0.15</v>
      </c>
      <c r="F6">
        <v>0.15</v>
      </c>
      <c r="G6">
        <v>0.15</v>
      </c>
      <c r="H6">
        <v>0.15</v>
      </c>
      <c r="I6">
        <v>0.15</v>
      </c>
      <c r="J6">
        <v>0.15</v>
      </c>
      <c r="K6">
        <v>0.15</v>
      </c>
      <c r="L6">
        <v>0.15</v>
      </c>
      <c r="M6">
        <v>0.15</v>
      </c>
      <c r="N6">
        <v>0.15</v>
      </c>
      <c r="O6">
        <v>0.15</v>
      </c>
      <c r="P6">
        <v>0.15</v>
      </c>
      <c r="Q6">
        <v>0.15</v>
      </c>
      <c r="R6">
        <v>0.15</v>
      </c>
      <c r="S6">
        <v>0.15</v>
      </c>
      <c r="T6">
        <v>0.15</v>
      </c>
      <c r="U6">
        <v>0.15</v>
      </c>
      <c r="V6">
        <v>0.15</v>
      </c>
      <c r="W6">
        <v>0.15</v>
      </c>
      <c r="X6">
        <v>0.15</v>
      </c>
      <c r="Y6">
        <v>0.15</v>
      </c>
      <c r="Z6">
        <v>0.15</v>
      </c>
      <c r="AA6">
        <v>0.15</v>
      </c>
      <c r="AB6">
        <v>0.15</v>
      </c>
      <c r="AC6">
        <v>0.15</v>
      </c>
      <c r="AD6">
        <v>0.15</v>
      </c>
      <c r="AE6">
        <v>0.15</v>
      </c>
      <c r="AF6">
        <v>0.15</v>
      </c>
      <c r="AG6">
        <v>0.15</v>
      </c>
      <c r="AH6">
        <v>0.15</v>
      </c>
      <c r="AI6">
        <v>0.15</v>
      </c>
      <c r="AJ6">
        <v>0.15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tabColor theme="3"/>
  </sheetPr>
  <dimension ref="A1:AJ11"/>
  <sheetViews>
    <sheetView workbookViewId="0">
      <selection activeCell="A7" sqref="A7"/>
    </sheetView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tabColor theme="3"/>
  </sheetPr>
  <dimension ref="A1:AJ11"/>
  <sheetViews>
    <sheetView workbookViewId="0">
      <selection activeCell="A6" sqref="A6"/>
    </sheetView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0.55000000000000004</v>
      </c>
      <c r="C2">
        <v>0.55000000000000004</v>
      </c>
      <c r="D2">
        <v>0.55000000000000004</v>
      </c>
      <c r="E2">
        <v>0.55000000000000004</v>
      </c>
      <c r="F2">
        <v>0.55000000000000004</v>
      </c>
      <c r="G2">
        <v>0.55000000000000004</v>
      </c>
      <c r="H2">
        <v>0.55000000000000004</v>
      </c>
      <c r="I2">
        <v>0.55000000000000004</v>
      </c>
      <c r="J2">
        <v>0.55000000000000004</v>
      </c>
      <c r="K2">
        <v>0.55000000000000004</v>
      </c>
      <c r="L2">
        <v>0.55000000000000004</v>
      </c>
      <c r="M2">
        <v>0.55000000000000004</v>
      </c>
      <c r="N2">
        <v>0.55000000000000004</v>
      </c>
      <c r="O2">
        <v>0.55000000000000004</v>
      </c>
      <c r="P2">
        <v>0.55000000000000004</v>
      </c>
      <c r="Q2">
        <v>0.55000000000000004</v>
      </c>
      <c r="R2">
        <v>0.55000000000000004</v>
      </c>
      <c r="S2">
        <v>0.55000000000000004</v>
      </c>
      <c r="T2">
        <v>0.55000000000000004</v>
      </c>
      <c r="U2">
        <v>0.55000000000000004</v>
      </c>
      <c r="V2">
        <v>0.55000000000000004</v>
      </c>
      <c r="W2">
        <v>0.55000000000000004</v>
      </c>
      <c r="X2">
        <v>0.55000000000000004</v>
      </c>
      <c r="Y2">
        <v>0.55000000000000004</v>
      </c>
      <c r="Z2">
        <v>0.55000000000000004</v>
      </c>
      <c r="AA2">
        <v>0.55000000000000004</v>
      </c>
      <c r="AB2">
        <v>0.55000000000000004</v>
      </c>
      <c r="AC2">
        <v>0.55000000000000004</v>
      </c>
      <c r="AD2">
        <v>0.55000000000000004</v>
      </c>
      <c r="AE2">
        <v>0.55000000000000004</v>
      </c>
      <c r="AF2">
        <v>0.55000000000000004</v>
      </c>
      <c r="AG2">
        <v>0.55000000000000004</v>
      </c>
      <c r="AH2">
        <v>0.55000000000000004</v>
      </c>
      <c r="AI2">
        <v>0.55000000000000004</v>
      </c>
      <c r="AJ2">
        <v>0.55000000000000004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v>0.15</v>
      </c>
      <c r="C6">
        <v>0.15</v>
      </c>
      <c r="D6">
        <v>0.15</v>
      </c>
      <c r="E6">
        <v>0.15</v>
      </c>
      <c r="F6">
        <v>0.15</v>
      </c>
      <c r="G6">
        <v>0.15</v>
      </c>
      <c r="H6">
        <v>0.15</v>
      </c>
      <c r="I6">
        <v>0.15</v>
      </c>
      <c r="J6">
        <v>0.15</v>
      </c>
      <c r="K6">
        <v>0.15</v>
      </c>
      <c r="L6">
        <v>0.15</v>
      </c>
      <c r="M6">
        <v>0.15</v>
      </c>
      <c r="N6">
        <v>0.15</v>
      </c>
      <c r="O6">
        <v>0.15</v>
      </c>
      <c r="P6">
        <v>0.15</v>
      </c>
      <c r="Q6">
        <v>0.15</v>
      </c>
      <c r="R6">
        <v>0.15</v>
      </c>
      <c r="S6">
        <v>0.15</v>
      </c>
      <c r="T6">
        <v>0.15</v>
      </c>
      <c r="U6">
        <v>0.15</v>
      </c>
      <c r="V6">
        <v>0.15</v>
      </c>
      <c r="W6">
        <v>0.15</v>
      </c>
      <c r="X6">
        <v>0.15</v>
      </c>
      <c r="Y6">
        <v>0.15</v>
      </c>
      <c r="Z6">
        <v>0.15</v>
      </c>
      <c r="AA6">
        <v>0.15</v>
      </c>
      <c r="AB6">
        <v>0.15</v>
      </c>
      <c r="AC6">
        <v>0.15</v>
      </c>
      <c r="AD6">
        <v>0.15</v>
      </c>
      <c r="AE6">
        <v>0.15</v>
      </c>
      <c r="AF6">
        <v>0.15</v>
      </c>
      <c r="AG6">
        <v>0.15</v>
      </c>
      <c r="AH6">
        <v>0.15</v>
      </c>
      <c r="AI6">
        <v>0.15</v>
      </c>
      <c r="AJ6">
        <v>0.15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tabColor theme="3"/>
  </sheetPr>
  <dimension ref="A1:AJ11"/>
  <sheetViews>
    <sheetView workbookViewId="0"/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</row>
    <row r="11" spans="1:36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tabColor theme="3"/>
  </sheetPr>
  <dimension ref="A1:AJ11"/>
  <sheetViews>
    <sheetView workbookViewId="0"/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55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tabColor rgb="FFFF0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tabColor theme="3"/>
  </sheetPr>
  <dimension ref="A1:AJ11"/>
  <sheetViews>
    <sheetView workbookViewId="0"/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tabColor theme="3"/>
  </sheetPr>
  <dimension ref="A1:AJ11"/>
  <sheetViews>
    <sheetView workbookViewId="0"/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tabColor theme="3"/>
  </sheetPr>
  <dimension ref="A1:AJ11"/>
  <sheetViews>
    <sheetView topLeftCell="S1" workbookViewId="0">
      <selection activeCell="B6" sqref="B6:AJ6"/>
    </sheetView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f t="shared" ref="B6:AJ6" si="0">max_biogas</f>
        <v>0.15</v>
      </c>
      <c r="C6">
        <f t="shared" si="0"/>
        <v>0.15</v>
      </c>
      <c r="D6">
        <f t="shared" si="0"/>
        <v>0.15</v>
      </c>
      <c r="E6">
        <f t="shared" si="0"/>
        <v>0.15</v>
      </c>
      <c r="F6">
        <f t="shared" si="0"/>
        <v>0.15</v>
      </c>
      <c r="G6">
        <f t="shared" si="0"/>
        <v>0.15</v>
      </c>
      <c r="H6">
        <f t="shared" si="0"/>
        <v>0.15</v>
      </c>
      <c r="I6">
        <f t="shared" si="0"/>
        <v>0.15</v>
      </c>
      <c r="J6">
        <f t="shared" si="0"/>
        <v>0.15</v>
      </c>
      <c r="K6">
        <f t="shared" si="0"/>
        <v>0.15</v>
      </c>
      <c r="L6">
        <f t="shared" si="0"/>
        <v>0.15</v>
      </c>
      <c r="M6">
        <f t="shared" si="0"/>
        <v>0.15</v>
      </c>
      <c r="N6">
        <f t="shared" si="0"/>
        <v>0.15</v>
      </c>
      <c r="O6">
        <f t="shared" si="0"/>
        <v>0.15</v>
      </c>
      <c r="P6">
        <f t="shared" si="0"/>
        <v>0.15</v>
      </c>
      <c r="Q6">
        <f t="shared" si="0"/>
        <v>0.15</v>
      </c>
      <c r="R6">
        <f t="shared" si="0"/>
        <v>0.15</v>
      </c>
      <c r="S6">
        <f t="shared" si="0"/>
        <v>0.15</v>
      </c>
      <c r="T6">
        <f t="shared" si="0"/>
        <v>0.15</v>
      </c>
      <c r="U6">
        <f t="shared" si="0"/>
        <v>0.15</v>
      </c>
      <c r="V6">
        <f t="shared" si="0"/>
        <v>0.15</v>
      </c>
      <c r="W6">
        <f t="shared" si="0"/>
        <v>0.15</v>
      </c>
      <c r="X6">
        <f t="shared" si="0"/>
        <v>0.15</v>
      </c>
      <c r="Y6">
        <f t="shared" si="0"/>
        <v>0.15</v>
      </c>
      <c r="Z6">
        <f t="shared" si="0"/>
        <v>0.15</v>
      </c>
      <c r="AA6">
        <f t="shared" si="0"/>
        <v>0.15</v>
      </c>
      <c r="AB6">
        <f t="shared" si="0"/>
        <v>0.15</v>
      </c>
      <c r="AC6">
        <f t="shared" si="0"/>
        <v>0.15</v>
      </c>
      <c r="AD6">
        <f t="shared" si="0"/>
        <v>0.15</v>
      </c>
      <c r="AE6">
        <f t="shared" si="0"/>
        <v>0.15</v>
      </c>
      <c r="AF6">
        <f t="shared" si="0"/>
        <v>0.15</v>
      </c>
      <c r="AG6">
        <f t="shared" si="0"/>
        <v>0.15</v>
      </c>
      <c r="AH6">
        <f t="shared" si="0"/>
        <v>0.15</v>
      </c>
      <c r="AI6">
        <f t="shared" si="0"/>
        <v>0.15</v>
      </c>
      <c r="AJ6">
        <f t="shared" si="0"/>
        <v>0.15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tabColor theme="3"/>
  </sheetPr>
  <dimension ref="A1:AJ11"/>
  <sheetViews>
    <sheetView workbookViewId="0">
      <selection activeCell="A7" sqref="A7"/>
    </sheetView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f t="shared" ref="B7:AJ7" si="0">max_biodsl</f>
        <v>1</v>
      </c>
      <c r="C7">
        <f t="shared" si="0"/>
        <v>1</v>
      </c>
      <c r="D7">
        <f t="shared" si="0"/>
        <v>1</v>
      </c>
      <c r="E7">
        <f t="shared" si="0"/>
        <v>1</v>
      </c>
      <c r="F7">
        <f t="shared" si="0"/>
        <v>1</v>
      </c>
      <c r="G7">
        <f t="shared" si="0"/>
        <v>1</v>
      </c>
      <c r="H7">
        <f t="shared" si="0"/>
        <v>1</v>
      </c>
      <c r="I7">
        <f t="shared" si="0"/>
        <v>1</v>
      </c>
      <c r="J7">
        <f t="shared" si="0"/>
        <v>1</v>
      </c>
      <c r="K7">
        <f t="shared" si="0"/>
        <v>1</v>
      </c>
      <c r="L7">
        <f t="shared" si="0"/>
        <v>1</v>
      </c>
      <c r="M7">
        <f t="shared" si="0"/>
        <v>1</v>
      </c>
      <c r="N7">
        <f t="shared" si="0"/>
        <v>1</v>
      </c>
      <c r="O7">
        <f t="shared" si="0"/>
        <v>1</v>
      </c>
      <c r="P7">
        <f t="shared" si="0"/>
        <v>1</v>
      </c>
      <c r="Q7">
        <f t="shared" si="0"/>
        <v>1</v>
      </c>
      <c r="R7">
        <f t="shared" si="0"/>
        <v>1</v>
      </c>
      <c r="S7">
        <f t="shared" si="0"/>
        <v>1</v>
      </c>
      <c r="T7">
        <f t="shared" si="0"/>
        <v>1</v>
      </c>
      <c r="U7">
        <f t="shared" si="0"/>
        <v>1</v>
      </c>
      <c r="V7">
        <f t="shared" si="0"/>
        <v>1</v>
      </c>
      <c r="W7">
        <f t="shared" si="0"/>
        <v>1</v>
      </c>
      <c r="X7">
        <f t="shared" si="0"/>
        <v>1</v>
      </c>
      <c r="Y7">
        <f t="shared" si="0"/>
        <v>1</v>
      </c>
      <c r="Z7">
        <f t="shared" si="0"/>
        <v>1</v>
      </c>
      <c r="AA7">
        <f t="shared" si="0"/>
        <v>1</v>
      </c>
      <c r="AB7">
        <f t="shared" si="0"/>
        <v>1</v>
      </c>
      <c r="AC7">
        <f t="shared" si="0"/>
        <v>1</v>
      </c>
      <c r="AD7">
        <f t="shared" si="0"/>
        <v>1</v>
      </c>
      <c r="AE7">
        <f t="shared" si="0"/>
        <v>1</v>
      </c>
      <c r="AF7">
        <f t="shared" si="0"/>
        <v>1</v>
      </c>
      <c r="AG7">
        <f t="shared" si="0"/>
        <v>1</v>
      </c>
      <c r="AH7">
        <f t="shared" si="0"/>
        <v>1</v>
      </c>
      <c r="AI7">
        <f t="shared" si="0"/>
        <v>1</v>
      </c>
      <c r="AJ7">
        <f t="shared" si="0"/>
        <v>1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tabColor theme="3"/>
  </sheetPr>
  <dimension ref="A1:AJ11"/>
  <sheetViews>
    <sheetView workbookViewId="0">
      <selection activeCell="A6" sqref="A6"/>
    </sheetView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0.55000000000000004</v>
      </c>
      <c r="C2">
        <v>0.55000000000000004</v>
      </c>
      <c r="D2">
        <v>0.55000000000000004</v>
      </c>
      <c r="E2">
        <v>0.55000000000000004</v>
      </c>
      <c r="F2">
        <v>0.55000000000000004</v>
      </c>
      <c r="G2">
        <v>0.55000000000000004</v>
      </c>
      <c r="H2">
        <v>0.55000000000000004</v>
      </c>
      <c r="I2">
        <v>0.55000000000000004</v>
      </c>
      <c r="J2">
        <v>0.55000000000000004</v>
      </c>
      <c r="K2">
        <v>0.55000000000000004</v>
      </c>
      <c r="L2">
        <v>0.55000000000000004</v>
      </c>
      <c r="M2">
        <v>0.55000000000000004</v>
      </c>
      <c r="N2">
        <v>0.55000000000000004</v>
      </c>
      <c r="O2">
        <v>0.55000000000000004</v>
      </c>
      <c r="P2">
        <v>0.55000000000000004</v>
      </c>
      <c r="Q2">
        <v>0.55000000000000004</v>
      </c>
      <c r="R2">
        <v>0.55000000000000004</v>
      </c>
      <c r="S2">
        <v>0.55000000000000004</v>
      </c>
      <c r="T2">
        <v>0.55000000000000004</v>
      </c>
      <c r="U2">
        <v>0.55000000000000004</v>
      </c>
      <c r="V2">
        <v>0.55000000000000004</v>
      </c>
      <c r="W2">
        <v>0.55000000000000004</v>
      </c>
      <c r="X2">
        <v>0.55000000000000004</v>
      </c>
      <c r="Y2">
        <v>0.55000000000000004</v>
      </c>
      <c r="Z2">
        <v>0.55000000000000004</v>
      </c>
      <c r="AA2">
        <v>0.55000000000000004</v>
      </c>
      <c r="AB2">
        <v>0.55000000000000004</v>
      </c>
      <c r="AC2">
        <v>0.55000000000000004</v>
      </c>
      <c r="AD2">
        <v>0.55000000000000004</v>
      </c>
      <c r="AE2">
        <v>0.55000000000000004</v>
      </c>
      <c r="AF2">
        <v>0.55000000000000004</v>
      </c>
      <c r="AG2">
        <v>0.55000000000000004</v>
      </c>
      <c r="AH2">
        <v>0.55000000000000004</v>
      </c>
      <c r="AI2">
        <v>0.55000000000000004</v>
      </c>
      <c r="AJ2">
        <v>0.55000000000000004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f t="shared" ref="B6:AJ6" si="0">max_biogas</f>
        <v>0.15</v>
      </c>
      <c r="C6">
        <f t="shared" si="0"/>
        <v>0.15</v>
      </c>
      <c r="D6">
        <f t="shared" si="0"/>
        <v>0.15</v>
      </c>
      <c r="E6">
        <f t="shared" si="0"/>
        <v>0.15</v>
      </c>
      <c r="F6">
        <f t="shared" si="0"/>
        <v>0.15</v>
      </c>
      <c r="G6">
        <f t="shared" si="0"/>
        <v>0.15</v>
      </c>
      <c r="H6">
        <f t="shared" si="0"/>
        <v>0.15</v>
      </c>
      <c r="I6">
        <f t="shared" si="0"/>
        <v>0.15</v>
      </c>
      <c r="J6">
        <f t="shared" si="0"/>
        <v>0.15</v>
      </c>
      <c r="K6">
        <f t="shared" si="0"/>
        <v>0.15</v>
      </c>
      <c r="L6">
        <f t="shared" si="0"/>
        <v>0.15</v>
      </c>
      <c r="M6">
        <f t="shared" si="0"/>
        <v>0.15</v>
      </c>
      <c r="N6">
        <f t="shared" si="0"/>
        <v>0.15</v>
      </c>
      <c r="O6">
        <f t="shared" si="0"/>
        <v>0.15</v>
      </c>
      <c r="P6">
        <f t="shared" si="0"/>
        <v>0.15</v>
      </c>
      <c r="Q6">
        <f t="shared" si="0"/>
        <v>0.15</v>
      </c>
      <c r="R6">
        <f t="shared" si="0"/>
        <v>0.15</v>
      </c>
      <c r="S6">
        <f t="shared" si="0"/>
        <v>0.15</v>
      </c>
      <c r="T6">
        <f t="shared" si="0"/>
        <v>0.15</v>
      </c>
      <c r="U6">
        <f t="shared" si="0"/>
        <v>0.15</v>
      </c>
      <c r="V6">
        <f t="shared" si="0"/>
        <v>0.15</v>
      </c>
      <c r="W6">
        <f t="shared" si="0"/>
        <v>0.15</v>
      </c>
      <c r="X6">
        <f t="shared" si="0"/>
        <v>0.15</v>
      </c>
      <c r="Y6">
        <f t="shared" si="0"/>
        <v>0.15</v>
      </c>
      <c r="Z6">
        <f t="shared" si="0"/>
        <v>0.15</v>
      </c>
      <c r="AA6">
        <f t="shared" si="0"/>
        <v>0.15</v>
      </c>
      <c r="AB6">
        <f t="shared" si="0"/>
        <v>0.15</v>
      </c>
      <c r="AC6">
        <f t="shared" si="0"/>
        <v>0.15</v>
      </c>
      <c r="AD6">
        <f t="shared" si="0"/>
        <v>0.15</v>
      </c>
      <c r="AE6">
        <f t="shared" si="0"/>
        <v>0.15</v>
      </c>
      <c r="AF6">
        <f t="shared" si="0"/>
        <v>0.15</v>
      </c>
      <c r="AG6">
        <f t="shared" si="0"/>
        <v>0.15</v>
      </c>
      <c r="AH6">
        <f t="shared" si="0"/>
        <v>0.15</v>
      </c>
      <c r="AI6">
        <f t="shared" si="0"/>
        <v>0.15</v>
      </c>
      <c r="AJ6">
        <f t="shared" si="0"/>
        <v>0.15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tabColor theme="3"/>
  </sheetPr>
  <dimension ref="A1:AJ11"/>
  <sheetViews>
    <sheetView workbookViewId="0"/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</row>
    <row r="11" spans="1:36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tabColor theme="3"/>
  </sheetPr>
  <dimension ref="A1:AJ11"/>
  <sheetViews>
    <sheetView workbookViewId="0"/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55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86</vt:i4>
      </vt:variant>
      <vt:variant>
        <vt:lpstr>Named Ranges</vt:lpstr>
      </vt:variant>
      <vt:variant>
        <vt:i4>2</vt:i4>
      </vt:variant>
    </vt:vector>
  </HeadingPairs>
  <TitlesOfParts>
    <vt:vector size="88" baseType="lpstr">
      <vt:lpstr>About</vt:lpstr>
      <vt:lpstr>Max Biofuel Blends</vt:lpstr>
      <vt:lpstr>LDVs-psgr</vt:lpstr>
      <vt:lpstr>MPoEFUbVT-LDVs-psgr-batelc</vt:lpstr>
      <vt:lpstr>MPoEFUbVT-LDVs-psgr-natgas</vt:lpstr>
      <vt:lpstr>MPoEFUbVT-LDVs-psgr-gasveh</vt:lpstr>
      <vt:lpstr>MPoEFUbVT-LDVs-psgr-dslveh</vt:lpstr>
      <vt:lpstr>MPoEFUbVT-LDVs-psgr-plghyb</vt:lpstr>
      <vt:lpstr>MPoEFUbVT-LDVs-psgr-LPG</vt:lpstr>
      <vt:lpstr>MPoEFUbVT-LDVs-psgr-hydgn</vt:lpstr>
      <vt:lpstr>LDVs-frgt</vt:lpstr>
      <vt:lpstr>MPoEFUbVT-LDVs-frgt-batelc</vt:lpstr>
      <vt:lpstr>MPoEFUbVT-LDVs-frgt-natgas</vt:lpstr>
      <vt:lpstr>MPoEFUbVT-LDVs-frgt-gasveh</vt:lpstr>
      <vt:lpstr>MPoEFUbVT-LDVs-frgt-dslveh</vt:lpstr>
      <vt:lpstr>MPoEFUbVT-LDVs-frgt-plghyb</vt:lpstr>
      <vt:lpstr>MPoEFUbVT-LDVs-frgt-LPG</vt:lpstr>
      <vt:lpstr>MPoEFUbVT-LDVs-frgt-hydgn</vt:lpstr>
      <vt:lpstr>HDVs-psgr</vt:lpstr>
      <vt:lpstr>MPoEFUbVT-HDVs-psgr-batelc</vt:lpstr>
      <vt:lpstr>MPoEFUbVT-HDVs-psgr-natgas</vt:lpstr>
      <vt:lpstr>MPoEFUbVT-HDVs-psgr-gasveh</vt:lpstr>
      <vt:lpstr>MPoEFUbVT-HDVs-psgr-dslveh</vt:lpstr>
      <vt:lpstr>MPoEFUbVT-HDVs-psgr-plghyb</vt:lpstr>
      <vt:lpstr>MPoEFUbVT-HDVs-psgr-LPG</vt:lpstr>
      <vt:lpstr>MPoEFUbVT-HDVs-psgr-hydgn</vt:lpstr>
      <vt:lpstr>HDVs-frgt</vt:lpstr>
      <vt:lpstr>MPoEFUbVT-HDVs-frgt-batelc</vt:lpstr>
      <vt:lpstr>MPoEFUbVT-HDVs-frgt-natgas</vt:lpstr>
      <vt:lpstr>MPoEFUbVT-HDVs-frgt-gasveh</vt:lpstr>
      <vt:lpstr>MPoEFUbVT-HDVs-frgt-dslveh</vt:lpstr>
      <vt:lpstr>MPoEFUbVT-HDVs-frgt-plghyb</vt:lpstr>
      <vt:lpstr>MPoEFUbVT-HDVs-frgt-LPG</vt:lpstr>
      <vt:lpstr>MPoEFUbVT-HDVs-frgt-hydgn</vt:lpstr>
      <vt:lpstr>aircraft-psgr</vt:lpstr>
      <vt:lpstr>MPoEFUbVT-aircraft-psgr-batelc</vt:lpstr>
      <vt:lpstr>MPoEFUbVT-aircraft-psgr-natgas</vt:lpstr>
      <vt:lpstr>MPoEFUbVT-aircraft-psgr-gasveh</vt:lpstr>
      <vt:lpstr>MPoEFUbVT-aircraft-psgr-dslveh</vt:lpstr>
      <vt:lpstr>MPoEFUbVT-aircraft-psgr-hydgn</vt:lpstr>
      <vt:lpstr>aircraft-frgt</vt:lpstr>
      <vt:lpstr>MPoEFUbVT-aircraft-frgt-batelc</vt:lpstr>
      <vt:lpstr>MPoEFUbVT-aircraft-frgt-natgas</vt:lpstr>
      <vt:lpstr>MPoEFUbVT-aircraft-frgt-gasveh</vt:lpstr>
      <vt:lpstr>MPoEFUbVT-aircraft-frgt-dslveh</vt:lpstr>
      <vt:lpstr>MPoEFUbVT-aircraft-frgt-hydgn</vt:lpstr>
      <vt:lpstr>rail-psgr</vt:lpstr>
      <vt:lpstr>MPoEFUbVT-rail-psgr-batelc</vt:lpstr>
      <vt:lpstr>MPoEFUbVT-rail-psgr-natgas</vt:lpstr>
      <vt:lpstr>MPoEFUbVT-rail-psgr-gasveh</vt:lpstr>
      <vt:lpstr>MPoEFUbVT-rail-psgr-dslveh</vt:lpstr>
      <vt:lpstr>MPoEFUbVT-rail-psgr-hydgn</vt:lpstr>
      <vt:lpstr>rail-frgt</vt:lpstr>
      <vt:lpstr>MPoEFUbVT-rail-frgt-batelc</vt:lpstr>
      <vt:lpstr>MPoEFUbVT-rail-frgt-natgas</vt:lpstr>
      <vt:lpstr>MPoEFUbVT-rail-frgt-gasveh</vt:lpstr>
      <vt:lpstr>MPoEFUbVT-rail-frgt-dslveh</vt:lpstr>
      <vt:lpstr>MPoEFUbVT-rail-frgt-hydgn</vt:lpstr>
      <vt:lpstr>ships-psgr</vt:lpstr>
      <vt:lpstr>MPoEFUbVT-ships-psgr-batelc</vt:lpstr>
      <vt:lpstr>MPoEFUbVT-ships-psgr-natgas</vt:lpstr>
      <vt:lpstr>MPoEFUbVT-ships-psgr-gasveh</vt:lpstr>
      <vt:lpstr>MPoEFUbVT-ships-psgr-dslveh</vt:lpstr>
      <vt:lpstr>MPoEFUbVT-ships-psgr-hydgn</vt:lpstr>
      <vt:lpstr>ships-frgt</vt:lpstr>
      <vt:lpstr>MPoEFUbVT-ships-frgt-batelc</vt:lpstr>
      <vt:lpstr>MPoEFUbVT-ships-frgt-natgas</vt:lpstr>
      <vt:lpstr>MPoEFUbVT-ships-frgt-gasveh</vt:lpstr>
      <vt:lpstr>MPoEFUbVT-ships-frgt-dslveh</vt:lpstr>
      <vt:lpstr>MPoEFUbVT-ships-frgt-hydgn</vt:lpstr>
      <vt:lpstr>mtrbks-psgr</vt:lpstr>
      <vt:lpstr>MPoEFUbVT-mtrbks-psgr-batelc</vt:lpstr>
      <vt:lpstr>MPoEFUbVT-mtrbks-psgr-natgas</vt:lpstr>
      <vt:lpstr>MPoEFUbVT-mtrbks-psgr-gasveh</vt:lpstr>
      <vt:lpstr>MPoEFUbVT-mtrbks-psgr-dslveh</vt:lpstr>
      <vt:lpstr>MPoEFUbVT-mtrbks-psgr-plghyb</vt:lpstr>
      <vt:lpstr>MPoEFUbVT-mtrbks-psgr-LPG</vt:lpstr>
      <vt:lpstr>MPoEFUbVT-mtrbks-psgr-hydgn</vt:lpstr>
      <vt:lpstr>mtrbks-frgt</vt:lpstr>
      <vt:lpstr>MPoEFUbVT-mtrbks-frgt-batelc</vt:lpstr>
      <vt:lpstr>MPoEFUbVT-mtrbks-frgt-natgas</vt:lpstr>
      <vt:lpstr>MPoEFUbVT-mtrbks-frgt-gasveh</vt:lpstr>
      <vt:lpstr>MPoEFUbVT-mtrbks-frgt-dslveh</vt:lpstr>
      <vt:lpstr>MPoEFUbVT-mtrbks-frgt-plghyb</vt:lpstr>
      <vt:lpstr>MPoEFUbVT-mtrbks-frgt-LPG</vt:lpstr>
      <vt:lpstr>MPoEFUbVT-mtrbks-frgt-hydgn</vt:lpstr>
      <vt:lpstr>max_biodsl</vt:lpstr>
      <vt:lpstr>max_biogas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Dan O'Brien</cp:lastModifiedBy>
  <dcterms:created xsi:type="dcterms:W3CDTF">2017-06-23T20:50:52Z</dcterms:created>
  <dcterms:modified xsi:type="dcterms:W3CDTF">2026-04-20T20:21:39Z</dcterms:modified>
</cp:coreProperties>
</file>