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bieOrvis\Models\EPS Structure Research\eps-us-calibration\InputData\trans\ANVCV\"/>
    </mc:Choice>
  </mc:AlternateContent>
  <xr:revisionPtr revIDLastSave="0" documentId="13_ncr:1_{6F48FE5F-02D6-475A-815D-6637C474FFA0}" xr6:coauthVersionLast="47" xr6:coauthVersionMax="47" xr10:uidLastSave="{00000000-0000-0000-0000-000000000000}"/>
  <bookViews>
    <workbookView xWindow="768" yWindow="768" windowWidth="17280" windowHeight="10008" activeTab="1" xr2:uid="{DC12087C-9A27-4A43-B4A9-6B3F1E517F08}"/>
  </bookViews>
  <sheets>
    <sheet name="About" sheetId="1" r:id="rId1"/>
    <sheet name="Calibration" sheetId="7" r:id="rId2"/>
    <sheet name="ANVCV-psgr" sheetId="2" r:id="rId3"/>
    <sheet name="ANVCV-frgt" sheetId="6" r:id="rId4"/>
  </sheets>
  <externalReferences>
    <externalReference r:id="rId5"/>
  </externalReferences>
  <definedNames>
    <definedName name="asdf">#REF!</definedName>
    <definedName name="cpi_2010to2012">[1]About!#REF!</definedName>
    <definedName name="cpi_2014to2012">[1]About!#REF!</definedName>
    <definedName name="cpi_2019to2012">[1]About!$A$111</definedName>
    <definedName name="cpi_2020to2012">[1]About!$A$112</definedName>
    <definedName name="H2_kg_to_MMBtu">#REF!</definedName>
    <definedName name="kWh_to_Btu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6" l="1"/>
  <c r="AB2" i="6"/>
  <c r="E61" i="7"/>
  <c r="AA2" i="6"/>
  <c r="E60" i="7"/>
  <c r="Z2" i="6"/>
  <c r="E59" i="7"/>
  <c r="Y2" i="6"/>
  <c r="E58" i="7"/>
  <c r="X2" i="6"/>
  <c r="E57" i="7"/>
  <c r="W2" i="6"/>
  <c r="E56" i="7"/>
  <c r="V2" i="6"/>
  <c r="E55" i="7"/>
  <c r="U2" i="6"/>
  <c r="E54" i="7"/>
  <c r="T2" i="6"/>
  <c r="E53" i="7"/>
  <c r="S2" i="6"/>
  <c r="E52" i="7"/>
  <c r="R2" i="6"/>
  <c r="E51" i="7"/>
  <c r="Q2" i="6"/>
  <c r="E50" i="7"/>
  <c r="P2" i="6"/>
  <c r="E49" i="7"/>
  <c r="O2" i="6"/>
  <c r="E48" i="7"/>
  <c r="N2" i="6"/>
  <c r="E47" i="7"/>
  <c r="M2" i="6"/>
  <c r="E46" i="7"/>
  <c r="L2" i="6"/>
  <c r="E45" i="7"/>
  <c r="K2" i="6"/>
  <c r="E44" i="7"/>
  <c r="J2" i="6"/>
  <c r="E43" i="7"/>
  <c r="I2" i="6"/>
  <c r="E42" i="7"/>
  <c r="H2" i="6"/>
  <c r="E41" i="7"/>
  <c r="G2" i="6"/>
  <c r="E40" i="7"/>
  <c r="F2" i="6"/>
  <c r="E39" i="7"/>
  <c r="E2" i="6"/>
  <c r="E38" i="7"/>
  <c r="D2" i="6"/>
  <c r="E37" i="7"/>
  <c r="C2" i="6"/>
  <c r="E36" i="7"/>
  <c r="B2" i="2"/>
  <c r="AB2" i="2"/>
  <c r="E31" i="7"/>
  <c r="AA2" i="2"/>
  <c r="E30" i="7"/>
  <c r="Z2" i="2"/>
  <c r="E29" i="7"/>
  <c r="Y2" i="2"/>
  <c r="E28" i="7"/>
  <c r="X2" i="2"/>
  <c r="E27" i="7"/>
  <c r="W2" i="2"/>
  <c r="E26" i="7"/>
  <c r="V2" i="2"/>
  <c r="E25" i="7"/>
  <c r="U2" i="2"/>
  <c r="E24" i="7"/>
  <c r="T2" i="2"/>
  <c r="E23" i="7"/>
  <c r="S2" i="2"/>
  <c r="E22" i="7"/>
  <c r="R2" i="2"/>
  <c r="E21" i="7"/>
  <c r="Q2" i="2"/>
  <c r="E20" i="7"/>
  <c r="P2" i="2"/>
  <c r="E19" i="7"/>
  <c r="O2" i="2"/>
  <c r="E18" i="7"/>
  <c r="N2" i="2"/>
  <c r="E17" i="7"/>
  <c r="M2" i="2"/>
  <c r="E16" i="7"/>
  <c r="L2" i="2"/>
  <c r="E15" i="7"/>
  <c r="K2" i="2"/>
  <c r="E14" i="7"/>
  <c r="J2" i="2"/>
  <c r="E13" i="7"/>
  <c r="I2" i="2"/>
  <c r="E12" i="7"/>
  <c r="H2" i="2"/>
  <c r="E11" i="7"/>
  <c r="G2" i="2"/>
  <c r="E10" i="7"/>
  <c r="F2" i="2"/>
  <c r="E9" i="7"/>
  <c r="E2" i="2"/>
  <c r="E8" i="7"/>
  <c r="D2" i="2"/>
  <c r="E7" i="7"/>
  <c r="C2" i="2"/>
  <c r="E6" i="7"/>
</calcChain>
</file>

<file path=xl/sharedStrings.xml><?xml version="1.0" encoding="utf-8"?>
<sst xmlns="http://schemas.openxmlformats.org/spreadsheetml/2006/main" count="40" uniqueCount="27">
  <si>
    <t>Sources:</t>
  </si>
  <si>
    <t>Notes:</t>
  </si>
  <si>
    <t>LDVs</t>
  </si>
  <si>
    <t>HDVs</t>
  </si>
  <si>
    <t>aircraft</t>
  </si>
  <si>
    <t>rail</t>
  </si>
  <si>
    <t>ships</t>
  </si>
  <si>
    <t>motorbikes</t>
  </si>
  <si>
    <t>ANVCV Additional New Vehicles Calibration Variable</t>
  </si>
  <si>
    <t xml:space="preserve">This variable can adjust sales of new vehicles in historical years to aid in calibration. </t>
  </si>
  <si>
    <t>vehicles</t>
  </si>
  <si>
    <t>ANVCV: additional new vehicles that put total LDV sales on the benchmark path (pinned mode)</t>
  </si>
  <si>
    <t>In the model, New Vehicles Demanded = SoCDTtiNTY x cargo distance / BAADTbVT + ANVCV. Column C is the distance-driven term D(t) (vehicles the share formula sells per unit share), taken from the final confirming run as (New Vehicles Demanded - ANVCV) / SoCDTtiNTY. Column B is the sales target: MarkLines light-vehicle sales through the start year, then the AEO 2026 Alternative Electricity and Transportation case's shape at the start-year level (calibration/benchmarks/vehicle-sales.csv, vehicle-sales-projection.csv). ANVCV = target - share x D. Rows no longer sum to zero: ANVCV is stock-neutral only while the flat retirement window lasts and is a sales-only lever after the handoff. Non-LDV rows stay zero (no public sales history in scope).</t>
  </si>
  <si>
    <t>LDVs / passenger</t>
  </si>
  <si>
    <t>Year</t>
  </si>
  <si>
    <t>Sales target (vehicles)</t>
  </si>
  <si>
    <t>Distance-driven demand per unit share D(t) (vehicles), from run r2_final</t>
  </si>
  <si>
    <t>SoCDTtiNTY share</t>
  </si>
  <si>
    <t>ANVCV = target - share x D  (USED IN THE OUTPUT TAB)</t>
  </si>
  <si>
    <t>Modelled sales, run r2_final</t>
  </si>
  <si>
    <t>LDVs / freight</t>
  </si>
  <si>
    <t>Rows need not sum to zero. ANVCV is stock-neutral only during the flat retirement window (it adds equally to sales and retirements); after the handoff it moves sales only.</t>
  </si>
  <si>
    <t>Calibration record (2026-09-22)</t>
  </si>
  <si>
    <t>LDV rows now come from the Calibration tab (calibration/steps/01-trans-turnover/solve.py, pinned mode, confirmed by run):</t>
  </si>
  <si>
    <t>ANVCV = benchmark sales target - SoCDTtiNTY x distance-driven demand, every year 2025-2050.</t>
  </si>
  <si>
    <t>Consequence recorded in calibration/calibration-log.md: sales sit on the benchmark; the LDV stock runs ~16% below</t>
  </si>
  <si>
    <t>AEO by 2050 and implied miles per vehicle ~27% above BAADTbVT, with no effect on fuel or emissions (cargo distance is exogenous).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</si>
</sst>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MeganMahajan/Documents/eps-us/InputData/trans/NBPoNVP/Non-Battery%20Portion%20of%20New%20Vehicle%20Price%20-%20Batteries.xlsx" TargetMode="External"/><Relationship Id="rId2" Type="http://schemas.openxmlformats.org/officeDocument/2006/relationships/externalLinkPath" Target="file:///C:\Users\MeganMahajan\Documents\eps-us\InputData\trans\NBPoNVP\Non-Battery%20Portion%20of%20New%20Vehicle%20Price%20-%20Batteries.xlsx" TargetMode="External"/><Relationship Id="rId1" Type="http://schemas.openxmlformats.org/officeDocument/2006/relationships/externalLinkPath" Target="/Users/MeganMahajan/Documents/eps-us/InputData/trans/NBPoNVP/Non-Battery%20Portion%20of%20New%20Vehicle%20Price%20-%20Batter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bout"/>
      <sheetName val="Transportation ATB"/>
      <sheetName val="ATB and AEO Crosswalk"/>
      <sheetName val="AEO by Vehicle Class"/>
      <sheetName val="AEO Table 38"/>
      <sheetName val="Frgt LDV Calculations"/>
      <sheetName val="Psgr LDV Calculations"/>
      <sheetName val="Frgt HDV Calculations"/>
      <sheetName val="ICE Freight HDVs"/>
      <sheetName val="ICCT Diesel and FCV Prices"/>
      <sheetName val="CARB ACT ISOR"/>
      <sheetName val="ICCT MDV HDV Data"/>
      <sheetName val="ICCT MDV HDV Calcs"/>
      <sheetName val="Passenger Aircraft"/>
      <sheetName val="Ships"/>
      <sheetName val="Motorbikes"/>
      <sheetName val="NBPoNVP-LDVs-psgr"/>
      <sheetName val="NBPoNVP-LDVs-frgt"/>
      <sheetName val="NBPoNVP-HDVs-psgr"/>
      <sheetName val="NBPoNVP-HDVs-frgt"/>
      <sheetName val="NBPoNVP-aircraft-psgr"/>
      <sheetName val="NBPoNVP-aircraft-frgt"/>
      <sheetName val="NBPoNVP-rail-psgr"/>
      <sheetName val="NBPoNVP-rail-frgt"/>
      <sheetName val="NBPoNVP-ships-psgr"/>
      <sheetName val="NBPoNVP-ships-frgt"/>
      <sheetName val="NBPoNVP-motorbikes-psgr"/>
      <sheetName val="NBPoNVP-motorbikes-frgt"/>
    </sheetNames>
    <sheetDataSet>
      <sheetData sheetId="0">
        <row r="108">
          <cell r="B108">
            <v>1.5</v>
          </cell>
        </row>
        <row r="111">
          <cell r="A111">
            <v>0.89805481563188172</v>
          </cell>
        </row>
        <row r="112">
          <cell r="A112">
            <v>0.88711067149387013</v>
          </cell>
        </row>
      </sheetData>
      <sheetData sheetId="1"/>
      <sheetData sheetId="2">
        <row r="1">
          <cell r="A1" t="str">
            <v>Vehicle Class Mapping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82137-6F01-4109-8226-D4C6F3731BA9}">
  <dimension ref="A1:B18"/>
  <sheetViews>
    <sheetView workbookViewId="0">
      <selection activeCell="B24" sqref="B24"/>
    </sheetView>
  </sheetViews>
  <sheetFormatPr defaultRowHeight="14.4" x14ac:dyDescent="0.3"/>
  <cols>
    <col min="1" max="1" width="19.44140625" customWidth="1"/>
    <col min="2" max="2" width="101.33203125" customWidth="1"/>
  </cols>
  <sheetData>
    <row r="1" spans="1:2" x14ac:dyDescent="0.3">
      <c r="A1" s="1" t="s">
        <v>8</v>
      </c>
    </row>
    <row r="3" spans="1:2" x14ac:dyDescent="0.3">
      <c r="A3" s="1" t="s">
        <v>0</v>
      </c>
    </row>
    <row r="4" spans="1:2" x14ac:dyDescent="0.3">
      <c r="B4" s="2"/>
    </row>
    <row r="9" spans="1:2" x14ac:dyDescent="0.3">
      <c r="A9" s="1" t="s">
        <v>1</v>
      </c>
    </row>
    <row r="10" spans="1:2" x14ac:dyDescent="0.3">
      <c r="A10" t="s">
        <v>9</v>
      </c>
    </row>
    <row r="12" spans="1:2" x14ac:dyDescent="0.3">
      <c r="A12" t="s">
        <v>21</v>
      </c>
    </row>
    <row r="14" spans="1:2" x14ac:dyDescent="0.3">
      <c r="A14" s="1" t="s">
        <v>22</v>
      </c>
    </row>
    <row r="15" spans="1:2" x14ac:dyDescent="0.3">
      <c r="A15" t="s">
        <v>23</v>
      </c>
    </row>
    <row r="16" spans="1:2" x14ac:dyDescent="0.3">
      <c r="A16" t="s">
        <v>24</v>
      </c>
    </row>
    <row r="17" spans="1:1" x14ac:dyDescent="0.3">
      <c r="A17" t="s">
        <v>25</v>
      </c>
    </row>
    <row r="18" spans="1:1" x14ac:dyDescent="0.3">
      <c r="A18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6FBD8-3E4E-4C67-89F8-CE780820B2E8}">
  <dimension ref="A1:F61"/>
  <sheetViews>
    <sheetView tabSelected="1" workbookViewId="0"/>
  </sheetViews>
  <sheetFormatPr defaultRowHeight="14.4" x14ac:dyDescent="0.3"/>
  <cols>
    <col min="1" max="6" width="22.77734375" customWidth="1"/>
  </cols>
  <sheetData>
    <row r="1" spans="1:6" x14ac:dyDescent="0.3">
      <c r="A1" s="1" t="s">
        <v>11</v>
      </c>
    </row>
    <row r="2" spans="1:6" ht="109.95" customHeight="1" x14ac:dyDescent="0.3">
      <c r="A2" s="4" t="s">
        <v>12</v>
      </c>
      <c r="B2" s="4"/>
      <c r="C2" s="4"/>
      <c r="D2" s="4"/>
      <c r="E2" s="4"/>
      <c r="F2" s="4"/>
    </row>
    <row r="4" spans="1:6" x14ac:dyDescent="0.3">
      <c r="A4" s="1" t="s">
        <v>13</v>
      </c>
    </row>
    <row r="5" spans="1:6" ht="60" customHeight="1" x14ac:dyDescent="0.3">
      <c r="A5" s="5" t="s">
        <v>14</v>
      </c>
      <c r="B5" s="5" t="s">
        <v>15</v>
      </c>
      <c r="C5" s="5" t="s">
        <v>16</v>
      </c>
      <c r="D5" s="5" t="s">
        <v>17</v>
      </c>
      <c r="E5" s="5" t="s">
        <v>18</v>
      </c>
      <c r="F5" s="5" t="s">
        <v>19</v>
      </c>
    </row>
    <row r="6" spans="1:6" x14ac:dyDescent="0.3">
      <c r="A6">
        <v>2025</v>
      </c>
      <c r="B6">
        <v>14793201</v>
      </c>
      <c r="C6">
        <v>266628054.91802782</v>
      </c>
      <c r="D6">
        <v>5.2610446429999999E-2</v>
      </c>
      <c r="E6">
        <f>B6-D6*C6</f>
        <v>765780</v>
      </c>
      <c r="F6">
        <v>14793201</v>
      </c>
    </row>
    <row r="7" spans="1:6" x14ac:dyDescent="0.3">
      <c r="A7">
        <v>2026</v>
      </c>
      <c r="B7">
        <v>14386353</v>
      </c>
      <c r="C7">
        <v>269320847.12211025</v>
      </c>
      <c r="D7">
        <v>5.2610446429999999E-2</v>
      </c>
      <c r="E7">
        <f>B7-D7*C7</f>
        <v>217263</v>
      </c>
      <c r="F7">
        <v>14386353</v>
      </c>
    </row>
    <row r="8" spans="1:6" x14ac:dyDescent="0.3">
      <c r="A8">
        <v>2027</v>
      </c>
      <c r="B8">
        <v>14832541</v>
      </c>
      <c r="C8">
        <v>272339202.04542923</v>
      </c>
      <c r="D8">
        <v>5.2610446429999999E-2</v>
      </c>
      <c r="E8">
        <f>B8-D8*C8</f>
        <v>504654</v>
      </c>
      <c r="F8">
        <v>14832541</v>
      </c>
    </row>
    <row r="9" spans="1:6" x14ac:dyDescent="0.3">
      <c r="A9">
        <v>2028</v>
      </c>
      <c r="B9">
        <v>15006158</v>
      </c>
      <c r="C9">
        <v>275469625.96644896</v>
      </c>
      <c r="D9">
        <v>5.2610446429999999E-2</v>
      </c>
      <c r="E9">
        <f>B9-D9*C9</f>
        <v>513578</v>
      </c>
      <c r="F9">
        <v>15006158</v>
      </c>
    </row>
    <row r="10" spans="1:6" x14ac:dyDescent="0.3">
      <c r="A10">
        <v>2029</v>
      </c>
      <c r="B10">
        <v>15310873</v>
      </c>
      <c r="C10">
        <v>278796531.7784512</v>
      </c>
      <c r="D10">
        <v>5.2610446429999999E-2</v>
      </c>
      <c r="E10">
        <f>B10-D10*C10</f>
        <v>643263</v>
      </c>
      <c r="F10">
        <v>15310873</v>
      </c>
    </row>
    <row r="11" spans="1:6" x14ac:dyDescent="0.3">
      <c r="A11">
        <v>2030</v>
      </c>
      <c r="B11">
        <v>15769710</v>
      </c>
      <c r="C11">
        <v>282464472.52205914</v>
      </c>
      <c r="D11">
        <v>5.2610446429999999E-2</v>
      </c>
      <c r="E11">
        <f>B11-D11*C11</f>
        <v>909128</v>
      </c>
      <c r="F11">
        <v>15769710</v>
      </c>
    </row>
    <row r="12" spans="1:6" x14ac:dyDescent="0.3">
      <c r="A12">
        <v>2031</v>
      </c>
      <c r="B12">
        <v>16000009</v>
      </c>
      <c r="C12">
        <v>286223744.93696159</v>
      </c>
      <c r="D12">
        <v>5.2610446429999999E-2</v>
      </c>
      <c r="E12">
        <f>B12-D12*C12</f>
        <v>941649.99999999814</v>
      </c>
      <c r="F12">
        <v>16000009</v>
      </c>
    </row>
    <row r="13" spans="1:6" x14ac:dyDescent="0.3">
      <c r="A13">
        <v>2032</v>
      </c>
      <c r="B13">
        <v>16117749</v>
      </c>
      <c r="C13">
        <v>289930841.40228993</v>
      </c>
      <c r="D13">
        <v>5.2610446429999999E-2</v>
      </c>
      <c r="E13">
        <f>B13-D13*C13</f>
        <v>864358</v>
      </c>
      <c r="F13">
        <v>16117749</v>
      </c>
    </row>
    <row r="14" spans="1:6" x14ac:dyDescent="0.3">
      <c r="A14">
        <v>2033</v>
      </c>
      <c r="B14">
        <v>16282723</v>
      </c>
      <c r="C14">
        <v>293690893.13010037</v>
      </c>
      <c r="D14">
        <v>5.2610446429999999E-2</v>
      </c>
      <c r="E14">
        <f>B14-D14*C14</f>
        <v>831514</v>
      </c>
      <c r="F14">
        <v>16282723</v>
      </c>
    </row>
    <row r="15" spans="1:6" x14ac:dyDescent="0.3">
      <c r="A15">
        <v>2034</v>
      </c>
      <c r="B15">
        <v>16320812</v>
      </c>
      <c r="C15">
        <v>297280693.49895459</v>
      </c>
      <c r="D15">
        <v>5.2610446429999999E-2</v>
      </c>
      <c r="E15">
        <f>B15-D15*C15</f>
        <v>680742</v>
      </c>
      <c r="F15">
        <v>16320812</v>
      </c>
    </row>
    <row r="16" spans="1:6" x14ac:dyDescent="0.3">
      <c r="A16">
        <v>2035</v>
      </c>
      <c r="B16">
        <v>16367287</v>
      </c>
      <c r="C16">
        <v>300780625.78417093</v>
      </c>
      <c r="D16">
        <v>5.2610446429999999E-2</v>
      </c>
      <c r="E16">
        <f>B16-D16*C16</f>
        <v>543083.99999999814</v>
      </c>
      <c r="F16">
        <v>16367287</v>
      </c>
    </row>
    <row r="17" spans="1:6" x14ac:dyDescent="0.3">
      <c r="A17">
        <v>2036</v>
      </c>
      <c r="B17">
        <v>16136078</v>
      </c>
      <c r="C17">
        <v>303957352.29650664</v>
      </c>
      <c r="D17">
        <v>5.2610446429999999E-2</v>
      </c>
      <c r="E17">
        <f>B17-D17*C17</f>
        <v>144746</v>
      </c>
      <c r="F17">
        <v>16136078</v>
      </c>
    </row>
    <row r="18" spans="1:6" x14ac:dyDescent="0.3">
      <c r="A18">
        <v>2037</v>
      </c>
      <c r="B18">
        <v>16147860</v>
      </c>
      <c r="C18">
        <v>307085685.37801707</v>
      </c>
      <c r="D18">
        <v>5.2610446429999999E-2</v>
      </c>
      <c r="E18">
        <f>B18-D18*C18</f>
        <v>-8055.0000000018626</v>
      </c>
      <c r="F18">
        <v>16147860</v>
      </c>
    </row>
    <row r="19" spans="1:6" x14ac:dyDescent="0.3">
      <c r="A19">
        <v>2038</v>
      </c>
      <c r="B19">
        <v>16141978</v>
      </c>
      <c r="C19">
        <v>310175566.02018744</v>
      </c>
      <c r="D19">
        <v>5.2610446429999999E-2</v>
      </c>
      <c r="E19">
        <f>B19-D19*C19</f>
        <v>-176497</v>
      </c>
      <c r="F19">
        <v>16141978</v>
      </c>
    </row>
    <row r="20" spans="1:6" x14ac:dyDescent="0.3">
      <c r="A20">
        <v>2039</v>
      </c>
      <c r="B20">
        <v>16103017</v>
      </c>
      <c r="C20">
        <v>313193920.94350642</v>
      </c>
      <c r="D20">
        <v>5.2610446429999999E-2</v>
      </c>
      <c r="E20">
        <f>B20-D20*C20</f>
        <v>-374255</v>
      </c>
      <c r="F20">
        <v>16103017</v>
      </c>
    </row>
    <row r="21" spans="1:6" x14ac:dyDescent="0.3">
      <c r="A21">
        <v>2040</v>
      </c>
      <c r="B21">
        <v>16066682</v>
      </c>
      <c r="C21">
        <v>316148258.16257572</v>
      </c>
      <c r="D21">
        <v>5.2610446429999999E-2</v>
      </c>
      <c r="E21">
        <f>B21-D21*C21</f>
        <v>-566019</v>
      </c>
      <c r="F21">
        <v>16066682</v>
      </c>
    </row>
    <row r="22" spans="1:6" x14ac:dyDescent="0.3">
      <c r="A22">
        <v>2041</v>
      </c>
      <c r="B22">
        <v>15955861</v>
      </c>
      <c r="C22">
        <v>318882715.09578979</v>
      </c>
      <c r="D22">
        <v>5.2610446429999999E-2</v>
      </c>
      <c r="E22">
        <f>B22-D22*C22</f>
        <v>-820701</v>
      </c>
      <c r="F22">
        <v>15955861</v>
      </c>
    </row>
    <row r="23" spans="1:6" x14ac:dyDescent="0.3">
      <c r="A23">
        <v>2042</v>
      </c>
      <c r="B23">
        <v>15842787</v>
      </c>
      <c r="C23">
        <v>321442815.02155656</v>
      </c>
      <c r="D23">
        <v>5.2610446429999999E-2</v>
      </c>
      <c r="E23">
        <f>B23-D23*C23</f>
        <v>-1068463</v>
      </c>
      <c r="F23">
        <v>15842787</v>
      </c>
    </row>
    <row r="24" spans="1:6" x14ac:dyDescent="0.3">
      <c r="A24">
        <v>2043</v>
      </c>
      <c r="B24">
        <v>15750002</v>
      </c>
      <c r="C24">
        <v>323788870.00446236</v>
      </c>
      <c r="D24">
        <v>5.2610446429999999E-2</v>
      </c>
      <c r="E24">
        <f>B24-D24*C24</f>
        <v>-1284675</v>
      </c>
      <c r="F24">
        <v>15750002</v>
      </c>
    </row>
    <row r="25" spans="1:6" x14ac:dyDescent="0.3">
      <c r="A25">
        <v>2044</v>
      </c>
      <c r="B25">
        <v>15669295</v>
      </c>
      <c r="C25">
        <v>325912896.83910787</v>
      </c>
      <c r="D25">
        <v>5.2610446429999999E-2</v>
      </c>
      <c r="E25">
        <f>B25-D25*C25</f>
        <v>-1477128</v>
      </c>
      <c r="F25">
        <v>15669295</v>
      </c>
    </row>
    <row r="26" spans="1:6" x14ac:dyDescent="0.3">
      <c r="A26">
        <v>2045</v>
      </c>
      <c r="B26">
        <v>15623885</v>
      </c>
      <c r="C26">
        <v>327808699.03749269</v>
      </c>
      <c r="D26">
        <v>5.2610446429999999E-2</v>
      </c>
      <c r="E26">
        <f>B26-D26*C26</f>
        <v>-1622277</v>
      </c>
      <c r="F26">
        <v>15623885</v>
      </c>
    </row>
    <row r="27" spans="1:6" x14ac:dyDescent="0.3">
      <c r="A27">
        <v>2046</v>
      </c>
      <c r="B27">
        <v>15528804</v>
      </c>
      <c r="C27">
        <v>329419367.74969882</v>
      </c>
      <c r="D27">
        <v>5.2610446429999999E-2</v>
      </c>
      <c r="E27">
        <f>B27-D27*C27</f>
        <v>-1802096</v>
      </c>
      <c r="F27">
        <v>15528804</v>
      </c>
    </row>
    <row r="28" spans="1:6" x14ac:dyDescent="0.3">
      <c r="A28">
        <v>2047</v>
      </c>
      <c r="B28">
        <v>15466449</v>
      </c>
      <c r="C28">
        <v>330791509.68915284</v>
      </c>
      <c r="D28">
        <v>5.2610446429999999E-2</v>
      </c>
      <c r="E28">
        <f>B28-D28*C28</f>
        <v>-1936640</v>
      </c>
      <c r="F28">
        <v>15466449</v>
      </c>
    </row>
    <row r="29" spans="1:6" x14ac:dyDescent="0.3">
      <c r="A29">
        <v>2048</v>
      </c>
      <c r="B29">
        <v>15344954</v>
      </c>
      <c r="C29">
        <v>331847516.69479418</v>
      </c>
      <c r="D29">
        <v>5.2610446429999999E-2</v>
      </c>
      <c r="E29">
        <f>B29-D29*C29</f>
        <v>-2113692</v>
      </c>
      <c r="F29">
        <v>15344954</v>
      </c>
    </row>
    <row r="30" spans="1:6" x14ac:dyDescent="0.3">
      <c r="A30">
        <v>2049</v>
      </c>
      <c r="B30">
        <v>15211128</v>
      </c>
      <c r="C30">
        <v>332686722.65094864</v>
      </c>
      <c r="D30">
        <v>5.2610446429999999E-2</v>
      </c>
      <c r="E30">
        <f>B30-D30*C30</f>
        <v>-2291669</v>
      </c>
      <c r="F30">
        <v>15211128</v>
      </c>
    </row>
    <row r="31" spans="1:6" x14ac:dyDescent="0.3">
      <c r="A31">
        <v>2050</v>
      </c>
      <c r="B31">
        <v>14988471</v>
      </c>
      <c r="C31">
        <v>333140529.86263549</v>
      </c>
      <c r="D31">
        <v>5.2610446429999999E-2</v>
      </c>
      <c r="E31">
        <f>B31-D31*C31</f>
        <v>-2538201</v>
      </c>
      <c r="F31">
        <v>14988471</v>
      </c>
    </row>
    <row r="34" spans="1:6" x14ac:dyDescent="0.3">
      <c r="A34" s="1" t="s">
        <v>20</v>
      </c>
    </row>
    <row r="35" spans="1:6" ht="60" customHeight="1" x14ac:dyDescent="0.3">
      <c r="A35" s="5" t="s">
        <v>14</v>
      </c>
      <c r="B35" s="5" t="s">
        <v>15</v>
      </c>
      <c r="C35" s="5" t="s">
        <v>16</v>
      </c>
      <c r="D35" s="5" t="s">
        <v>17</v>
      </c>
      <c r="E35" s="5" t="s">
        <v>18</v>
      </c>
      <c r="F35" s="5" t="s">
        <v>19</v>
      </c>
    </row>
    <row r="36" spans="1:6" x14ac:dyDescent="0.3">
      <c r="A36">
        <v>2025</v>
      </c>
      <c r="B36">
        <v>1724865</v>
      </c>
      <c r="C36">
        <v>23955430.196154539</v>
      </c>
      <c r="D36">
        <v>6.6346126409999998E-2</v>
      </c>
      <c r="E36">
        <f>B36-D36*C36</f>
        <v>135515</v>
      </c>
      <c r="F36">
        <v>1724865</v>
      </c>
    </row>
    <row r="37" spans="1:6" x14ac:dyDescent="0.3">
      <c r="A37">
        <v>2026</v>
      </c>
      <c r="B37">
        <v>1677426</v>
      </c>
      <c r="C37">
        <v>23924395.980422392</v>
      </c>
      <c r="D37">
        <v>6.6346126409999998E-2</v>
      </c>
      <c r="E37">
        <f>B37-D37*C37</f>
        <v>90135.000000000233</v>
      </c>
      <c r="F37">
        <v>1677426</v>
      </c>
    </row>
    <row r="38" spans="1:6" x14ac:dyDescent="0.3">
      <c r="A38">
        <v>2027</v>
      </c>
      <c r="B38">
        <v>1729464</v>
      </c>
      <c r="C38">
        <v>23997482.387457442</v>
      </c>
      <c r="D38">
        <v>6.6346126409999998E-2</v>
      </c>
      <c r="E38">
        <f>B38-D38*C38</f>
        <v>137324</v>
      </c>
      <c r="F38">
        <v>1729464</v>
      </c>
    </row>
    <row r="39" spans="1:6" x14ac:dyDescent="0.3">
      <c r="A39">
        <v>2028</v>
      </c>
      <c r="B39">
        <v>1749700</v>
      </c>
      <c r="C39">
        <v>24120729.974655956</v>
      </c>
      <c r="D39">
        <v>6.6346126409999998E-2</v>
      </c>
      <c r="E39">
        <f>B39-D39*C39</f>
        <v>149383</v>
      </c>
      <c r="F39">
        <v>1749700</v>
      </c>
    </row>
    <row r="40" spans="1:6" x14ac:dyDescent="0.3">
      <c r="A40">
        <v>2029</v>
      </c>
      <c r="B40">
        <v>1785235</v>
      </c>
      <c r="C40">
        <v>24283165.983857173</v>
      </c>
      <c r="D40">
        <v>6.6346126409999998E-2</v>
      </c>
      <c r="E40">
        <f>B40-D40*C40</f>
        <v>174141</v>
      </c>
      <c r="F40">
        <v>1785235</v>
      </c>
    </row>
    <row r="41" spans="1:6" x14ac:dyDescent="0.3">
      <c r="A41">
        <v>2030</v>
      </c>
      <c r="B41">
        <v>1838731</v>
      </c>
      <c r="C41">
        <v>24492371.867471624</v>
      </c>
      <c r="D41">
        <v>6.6346126409999998E-2</v>
      </c>
      <c r="E41">
        <f>B41-D41*C41</f>
        <v>213757</v>
      </c>
      <c r="F41">
        <v>1838731</v>
      </c>
    </row>
    <row r="42" spans="1:6" x14ac:dyDescent="0.3">
      <c r="A42">
        <v>2031</v>
      </c>
      <c r="B42">
        <v>1865591</v>
      </c>
      <c r="C42">
        <v>24717720.366457187</v>
      </c>
      <c r="D42">
        <v>6.6346126409999998E-2</v>
      </c>
      <c r="E42">
        <f>B42-D42*C42</f>
        <v>225666</v>
      </c>
      <c r="F42">
        <v>1865591</v>
      </c>
    </row>
    <row r="43" spans="1:6" x14ac:dyDescent="0.3">
      <c r="A43">
        <v>2032</v>
      </c>
      <c r="B43">
        <v>1879310</v>
      </c>
      <c r="C43">
        <v>24986266.564465735</v>
      </c>
      <c r="D43">
        <v>6.6346126409999998E-2</v>
      </c>
      <c r="E43">
        <f>B43-D43*C43</f>
        <v>221568</v>
      </c>
      <c r="F43">
        <v>1879310</v>
      </c>
    </row>
    <row r="44" spans="1:6" x14ac:dyDescent="0.3">
      <c r="A44">
        <v>2033</v>
      </c>
      <c r="B44">
        <v>1898535</v>
      </c>
      <c r="C44">
        <v>25232731.593922757</v>
      </c>
      <c r="D44">
        <v>6.6346126409999998E-2</v>
      </c>
      <c r="E44">
        <f>B44-D44*C44</f>
        <v>224441</v>
      </c>
      <c r="F44">
        <v>1898535</v>
      </c>
    </row>
    <row r="45" spans="1:6" x14ac:dyDescent="0.3">
      <c r="A45">
        <v>2034</v>
      </c>
      <c r="B45">
        <v>1902978</v>
      </c>
      <c r="C45">
        <v>25460506.760578491</v>
      </c>
      <c r="D45">
        <v>6.6346126409999998E-2</v>
      </c>
      <c r="E45">
        <f>B45-D45*C45</f>
        <v>213772</v>
      </c>
      <c r="F45">
        <v>1902978</v>
      </c>
    </row>
    <row r="46" spans="1:6" x14ac:dyDescent="0.3">
      <c r="A46">
        <v>2035</v>
      </c>
      <c r="B46">
        <v>1908404</v>
      </c>
      <c r="C46">
        <v>25674776.994113289</v>
      </c>
      <c r="D46">
        <v>6.6346126409999998E-2</v>
      </c>
      <c r="E46">
        <f>B46-D46*C46</f>
        <v>204982</v>
      </c>
      <c r="F46">
        <v>1908404</v>
      </c>
    </row>
    <row r="47" spans="1:6" x14ac:dyDescent="0.3">
      <c r="A47">
        <v>2036</v>
      </c>
      <c r="B47">
        <v>1881430</v>
      </c>
      <c r="C47">
        <v>25871352.147866864</v>
      </c>
      <c r="D47">
        <v>6.6346126409999998E-2</v>
      </c>
      <c r="E47">
        <f>B47-D47*C47</f>
        <v>164966</v>
      </c>
      <c r="F47">
        <v>1881430</v>
      </c>
    </row>
    <row r="48" spans="1:6" x14ac:dyDescent="0.3">
      <c r="A48">
        <v>2037</v>
      </c>
      <c r="B48">
        <v>1882809</v>
      </c>
      <c r="C48">
        <v>26054000.33933948</v>
      </c>
      <c r="D48">
        <v>6.6346126409999998E-2</v>
      </c>
      <c r="E48">
        <f>B48-D48*C48</f>
        <v>154227</v>
      </c>
      <c r="F48">
        <v>1882809</v>
      </c>
    </row>
    <row r="49" spans="1:6" x14ac:dyDescent="0.3">
      <c r="A49">
        <v>2038</v>
      </c>
      <c r="B49">
        <v>1882128</v>
      </c>
      <c r="C49">
        <v>26223942.438601218</v>
      </c>
      <c r="D49">
        <v>6.6346126409999998E-2</v>
      </c>
      <c r="E49">
        <f>B49-D49*C49</f>
        <v>142271</v>
      </c>
      <c r="F49">
        <v>1882128</v>
      </c>
    </row>
    <row r="50" spans="1:6" x14ac:dyDescent="0.3">
      <c r="A50">
        <v>2039</v>
      </c>
      <c r="B50">
        <v>1877592</v>
      </c>
      <c r="C50">
        <v>26386393.520272437</v>
      </c>
      <c r="D50">
        <v>6.6346126409999998E-2</v>
      </c>
      <c r="E50">
        <f>B50-D50*C50</f>
        <v>126957</v>
      </c>
      <c r="F50">
        <v>1877592</v>
      </c>
    </row>
    <row r="51" spans="1:6" x14ac:dyDescent="0.3">
      <c r="A51">
        <v>2040</v>
      </c>
      <c r="B51">
        <v>1873344</v>
      </c>
      <c r="C51">
        <v>26534088.653812639</v>
      </c>
      <c r="D51">
        <v>6.6346126409999998E-2</v>
      </c>
      <c r="E51">
        <f>B51-D51*C51</f>
        <v>112910</v>
      </c>
      <c r="F51">
        <v>1873344</v>
      </c>
    </row>
    <row r="52" spans="1:6" x14ac:dyDescent="0.3">
      <c r="A52">
        <v>2041</v>
      </c>
      <c r="B52">
        <v>1860429</v>
      </c>
      <c r="C52">
        <v>26694881.763783745</v>
      </c>
      <c r="D52">
        <v>6.6346126409999998E-2</v>
      </c>
      <c r="E52">
        <f>B52-D52*C52</f>
        <v>89327</v>
      </c>
      <c r="F52">
        <v>1860429</v>
      </c>
    </row>
    <row r="53" spans="1:6" x14ac:dyDescent="0.3">
      <c r="A53">
        <v>2042</v>
      </c>
      <c r="B53">
        <v>1847247</v>
      </c>
      <c r="C53">
        <v>26859036.034565084</v>
      </c>
      <c r="D53">
        <v>6.6346126409999998E-2</v>
      </c>
      <c r="E53">
        <f>B53-D53*C53</f>
        <v>65254</v>
      </c>
      <c r="F53">
        <v>1847247</v>
      </c>
    </row>
    <row r="54" spans="1:6" x14ac:dyDescent="0.3">
      <c r="A54">
        <v>2043</v>
      </c>
      <c r="B54">
        <v>1836429</v>
      </c>
      <c r="C54">
        <v>27070698.730789702</v>
      </c>
      <c r="D54">
        <v>6.6346126409999998E-2</v>
      </c>
      <c r="E54">
        <f>B54-D54*C54</f>
        <v>40393</v>
      </c>
      <c r="F54">
        <v>1836429</v>
      </c>
    </row>
    <row r="55" spans="1:6" x14ac:dyDescent="0.3">
      <c r="A55">
        <v>2044</v>
      </c>
      <c r="B55">
        <v>1827021</v>
      </c>
      <c r="C55">
        <v>27311813.033396356</v>
      </c>
      <c r="D55">
        <v>6.6346126409999998E-2</v>
      </c>
      <c r="E55">
        <f>B55-D55*C55</f>
        <v>14988</v>
      </c>
      <c r="F55">
        <v>1827021</v>
      </c>
    </row>
    <row r="56" spans="1:6" x14ac:dyDescent="0.3">
      <c r="A56">
        <v>2045</v>
      </c>
      <c r="B56">
        <v>1821720</v>
      </c>
      <c r="C56">
        <v>27543597.477072362</v>
      </c>
      <c r="D56">
        <v>6.6346126409999998E-2</v>
      </c>
      <c r="E56">
        <f>B56-D56*C56</f>
        <v>-5691</v>
      </c>
      <c r="F56">
        <v>1821720</v>
      </c>
    </row>
    <row r="57" spans="1:6" x14ac:dyDescent="0.3">
      <c r="A57">
        <v>2046</v>
      </c>
      <c r="B57">
        <v>1810641</v>
      </c>
      <c r="C57">
        <v>27751672.925436735</v>
      </c>
      <c r="D57">
        <v>6.6346126409999998E-2</v>
      </c>
      <c r="E57">
        <f>B57-D57*C57</f>
        <v>-30575</v>
      </c>
      <c r="F57">
        <v>1810641</v>
      </c>
    </row>
    <row r="58" spans="1:6" x14ac:dyDescent="0.3">
      <c r="A58">
        <v>2047</v>
      </c>
      <c r="B58">
        <v>1803378</v>
      </c>
      <c r="C58">
        <v>27951850.399520561</v>
      </c>
      <c r="D58">
        <v>6.6346126409999998E-2</v>
      </c>
      <c r="E58">
        <f>B58-D58*C58</f>
        <v>-51119</v>
      </c>
      <c r="F58">
        <v>1803378</v>
      </c>
    </row>
    <row r="59" spans="1:6" x14ac:dyDescent="0.3">
      <c r="A59">
        <v>2048</v>
      </c>
      <c r="B59">
        <v>1789200</v>
      </c>
      <c r="C59">
        <v>28131755.401452985</v>
      </c>
      <c r="D59">
        <v>6.6346126409999998E-2</v>
      </c>
      <c r="E59">
        <f>B59-D59*C59</f>
        <v>-77233</v>
      </c>
      <c r="F59">
        <v>1789200</v>
      </c>
    </row>
    <row r="60" spans="1:6" x14ac:dyDescent="0.3">
      <c r="A60">
        <v>2049</v>
      </c>
      <c r="B60">
        <v>1773600</v>
      </c>
      <c r="C60">
        <v>28269774.009252518</v>
      </c>
      <c r="D60">
        <v>6.6346126409999998E-2</v>
      </c>
      <c r="E60">
        <f>B60-D60*C60</f>
        <v>-101990</v>
      </c>
      <c r="F60">
        <v>1773600</v>
      </c>
    </row>
    <row r="61" spans="1:6" x14ac:dyDescent="0.3">
      <c r="A61">
        <v>2050</v>
      </c>
      <c r="B61">
        <v>1747638</v>
      </c>
      <c r="C61">
        <v>28366976.368289232</v>
      </c>
      <c r="D61">
        <v>6.6346126409999998E-2</v>
      </c>
      <c r="E61">
        <f>B61-D61*C61</f>
        <v>-134401</v>
      </c>
      <c r="F61">
        <v>1747638</v>
      </c>
    </row>
  </sheetData>
  <mergeCells count="1">
    <mergeCell ref="A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8F1CD-3AD5-4A1E-8AA0-C74AF29D4BF2}">
  <sheetPr>
    <tabColor theme="4" tint="-0.249977111117893"/>
  </sheetPr>
  <dimension ref="A1:AB7"/>
  <sheetViews>
    <sheetView workbookViewId="0">
      <selection activeCell="E29" sqref="E29"/>
    </sheetView>
  </sheetViews>
  <sheetFormatPr defaultRowHeight="14.4" x14ac:dyDescent="0.3"/>
  <cols>
    <col min="1" max="1" width="11.88671875" customWidth="1"/>
  </cols>
  <sheetData>
    <row r="1" spans="1:28" x14ac:dyDescent="0.3">
      <c r="A1" s="3" t="s">
        <v>10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3">
      <c r="A2" t="s">
        <v>2</v>
      </c>
      <c r="B2">
        <f>Calibration!$E$6</f>
        <v>765780</v>
      </c>
      <c r="C2">
        <f>Calibration!$E$6</f>
        <v>765780</v>
      </c>
      <c r="D2">
        <f>Calibration!$E$7</f>
        <v>217263</v>
      </c>
      <c r="E2">
        <f>Calibration!$E$8</f>
        <v>504654</v>
      </c>
      <c r="F2">
        <f>Calibration!$E$9</f>
        <v>513578</v>
      </c>
      <c r="G2">
        <f>Calibration!$E$10</f>
        <v>643263</v>
      </c>
      <c r="H2">
        <f>Calibration!$E$11</f>
        <v>909128</v>
      </c>
      <c r="I2">
        <f>Calibration!$E$12</f>
        <v>941649.99999999814</v>
      </c>
      <c r="J2">
        <f>Calibration!$E$13</f>
        <v>864358</v>
      </c>
      <c r="K2">
        <f>Calibration!$E$14</f>
        <v>831514</v>
      </c>
      <c r="L2">
        <f>Calibration!$E$15</f>
        <v>680742</v>
      </c>
      <c r="M2">
        <f>Calibration!$E$16</f>
        <v>543083.99999999814</v>
      </c>
      <c r="N2">
        <f>Calibration!$E$17</f>
        <v>144746</v>
      </c>
      <c r="O2">
        <f>Calibration!$E$18</f>
        <v>-8055.0000000018626</v>
      </c>
      <c r="P2">
        <f>Calibration!$E$19</f>
        <v>-176497</v>
      </c>
      <c r="Q2">
        <f>Calibration!$E$20</f>
        <v>-374255</v>
      </c>
      <c r="R2">
        <f>Calibration!$E$21</f>
        <v>-566019</v>
      </c>
      <c r="S2">
        <f>Calibration!$E$22</f>
        <v>-820701</v>
      </c>
      <c r="T2">
        <f>Calibration!$E$23</f>
        <v>-1068463</v>
      </c>
      <c r="U2">
        <f>Calibration!$E$24</f>
        <v>-1284675</v>
      </c>
      <c r="V2">
        <f>Calibration!$E$25</f>
        <v>-1477128</v>
      </c>
      <c r="W2">
        <f>Calibration!$E$26</f>
        <v>-1622277</v>
      </c>
      <c r="X2">
        <f>Calibration!$E$27</f>
        <v>-1802096</v>
      </c>
      <c r="Y2">
        <f>Calibration!$E$28</f>
        <v>-1936640</v>
      </c>
      <c r="Z2">
        <f>Calibration!$E$29</f>
        <v>-2113692</v>
      </c>
      <c r="AA2">
        <f>Calibration!$E$30</f>
        <v>-2291669</v>
      </c>
      <c r="AB2">
        <f>Calibration!$E$31</f>
        <v>-2538201</v>
      </c>
    </row>
    <row r="3" spans="1:28" x14ac:dyDescent="0.3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 t="s">
        <v>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E5331-5AE2-4A88-8429-CB240947B731}">
  <sheetPr>
    <tabColor theme="4" tint="-0.249977111117893"/>
  </sheetPr>
  <dimension ref="A1:AB7"/>
  <sheetViews>
    <sheetView workbookViewId="0">
      <selection activeCell="A2" sqref="A2"/>
    </sheetView>
  </sheetViews>
  <sheetFormatPr defaultRowHeight="14.4" x14ac:dyDescent="0.3"/>
  <cols>
    <col min="1" max="1" width="11.88671875" customWidth="1"/>
  </cols>
  <sheetData>
    <row r="1" spans="1:28" x14ac:dyDescent="0.3">
      <c r="A1" s="3" t="s">
        <v>10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3">
      <c r="A2" t="s">
        <v>2</v>
      </c>
      <c r="B2">
        <f>Calibration!$E$36</f>
        <v>135515</v>
      </c>
      <c r="C2">
        <f>Calibration!$E$36</f>
        <v>135515</v>
      </c>
      <c r="D2">
        <f>Calibration!$E$37</f>
        <v>90135.000000000233</v>
      </c>
      <c r="E2">
        <f>Calibration!$E$38</f>
        <v>137324</v>
      </c>
      <c r="F2">
        <f>Calibration!$E$39</f>
        <v>149383</v>
      </c>
      <c r="G2">
        <f>Calibration!$E$40</f>
        <v>174141</v>
      </c>
      <c r="H2">
        <f>Calibration!$E$41</f>
        <v>213757</v>
      </c>
      <c r="I2">
        <f>Calibration!$E$42</f>
        <v>225666</v>
      </c>
      <c r="J2">
        <f>Calibration!$E$43</f>
        <v>221568</v>
      </c>
      <c r="K2">
        <f>Calibration!$E$44</f>
        <v>224441</v>
      </c>
      <c r="L2">
        <f>Calibration!$E$45</f>
        <v>213772</v>
      </c>
      <c r="M2">
        <f>Calibration!$E$46</f>
        <v>204982</v>
      </c>
      <c r="N2">
        <f>Calibration!$E$47</f>
        <v>164966</v>
      </c>
      <c r="O2">
        <f>Calibration!$E$48</f>
        <v>154227</v>
      </c>
      <c r="P2">
        <f>Calibration!$E$49</f>
        <v>142271</v>
      </c>
      <c r="Q2">
        <f>Calibration!$E$50</f>
        <v>126957</v>
      </c>
      <c r="R2">
        <f>Calibration!$E$51</f>
        <v>112910</v>
      </c>
      <c r="S2">
        <f>Calibration!$E$52</f>
        <v>89327</v>
      </c>
      <c r="T2">
        <f>Calibration!$E$53</f>
        <v>65254</v>
      </c>
      <c r="U2">
        <f>Calibration!$E$54</f>
        <v>40393</v>
      </c>
      <c r="V2">
        <f>Calibration!$E$55</f>
        <v>14988</v>
      </c>
      <c r="W2">
        <f>Calibration!$E$56</f>
        <v>-5691</v>
      </c>
      <c r="X2">
        <f>Calibration!$E$57</f>
        <v>-30575</v>
      </c>
      <c r="Y2">
        <f>Calibration!$E$58</f>
        <v>-51119</v>
      </c>
      <c r="Z2">
        <f>Calibration!$E$59</f>
        <v>-77233</v>
      </c>
      <c r="AA2">
        <f>Calibration!$E$60</f>
        <v>-101990</v>
      </c>
      <c r="AB2">
        <f>Calibration!$E$61</f>
        <v>-134401</v>
      </c>
    </row>
    <row r="3" spans="1:28" x14ac:dyDescent="0.3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 t="s">
        <v>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Calibration</vt:lpstr>
      <vt:lpstr>ANVCV-psgr</vt:lpstr>
      <vt:lpstr>ANVCV-frgt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Robbie Orvis</cp:lastModifiedBy>
  <dcterms:created xsi:type="dcterms:W3CDTF">2023-05-03T18:24:38Z</dcterms:created>
  <dcterms:modified xsi:type="dcterms:W3CDTF">2026-09-22T15:36:33Z</dcterms:modified>
</cp:coreProperties>
</file>