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05" yWindow="105" windowWidth="25665" windowHeight="1683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DOE Data and Calcs" sheetId="3" state="visible" r:id="rId3"/>
    <sheet xmlns:r="http://schemas.openxmlformats.org/officeDocument/2006/relationships" name="Checks" sheetId="4" state="visible" r:id="rId4"/>
    <sheet xmlns:r="http://schemas.openxmlformats.org/officeDocument/2006/relationships" name="EVCRSbR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dc.energy.gov/files/u/publication/evse_cost_report_2015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tabSelected="1" topLeftCell="A1" workbookViewId="0">
      <selection activeCell="A1" sqref="A1"/>
    </sheetView>
  </sheetViews>
  <sheetFormatPr baseColWidth="8" defaultRowHeight="15"/>
  <cols>
    <col width="68.5703125" customWidth="1" min="2" max="2"/>
  </cols>
  <sheetData>
    <row r="1">
      <c r="A1" s="1" t="inlineStr">
        <is>
          <t>EVCRSbRIC EV Charger Revenue Share by Recipient ISIC Code</t>
        </is>
      </c>
    </row>
    <row r="2"/>
    <row r="3">
      <c r="A3" s="1" t="inlineStr">
        <is>
          <t>Source:</t>
        </is>
      </c>
      <c r="B3" t="inlineStr">
        <is>
          <t>U.S. Department of Energy</t>
        </is>
      </c>
    </row>
    <row r="4">
      <c r="B4" s="3" t="n">
        <v>2015</v>
      </c>
    </row>
    <row r="5">
      <c r="B5" t="inlineStr">
        <is>
          <t>Costs Associated With Non-Residential Electric Vehicle Supply Equipment</t>
        </is>
      </c>
    </row>
    <row r="6">
      <c r="B6" s="2" t="inlineStr">
        <is>
          <t>https://afdc.energy.gov/files/u/publication/evse_cost_report_2015.pdf</t>
        </is>
      </c>
    </row>
    <row r="7">
      <c r="B7" t="inlineStr">
        <is>
          <t>Page 13</t>
        </is>
      </c>
    </row>
    <row r="8"/>
    <row r="9">
      <c r="A9" s="1" t="n"/>
    </row>
    <row r="11">
      <c r="A11" s="8" t="inlineStr">
        <is>
          <t>52-code expansion (2026-07-17):</t>
        </is>
      </c>
    </row>
    <row r="12">
      <c r="A12" t="inlineStr">
        <is>
          <t>The output tabs produce the 52-code ISIC list. The derivation above is unchanged and live; output-tab formulas reference the derivation tabs</t>
        </is>
      </c>
    </row>
    <row r="13">
      <c r="A13" t="inlineStr">
        <is>
          <t>directly, with the original header-label criteria written as literals (the derivation tabs still use the pre-split 42-code labels).</t>
        </is>
      </c>
    </row>
    <row r="15">
      <c r="A15" t="inlineStr">
        <is>
          <t>Children of split parents multiply the parent's allocation by the factors on the 'Factors applied' tab (editable; defaults = BEA 2024 gross-</t>
        </is>
      </c>
    </row>
    <row r="16">
      <c r="A16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8" t="inlineStr">
        <is>
          <t>Child factors applied inline in the output-tab formulas (editable). Defaults = BEA 2024 output shares; semantic overrides and fuel reroutes noted per row.</t>
        </is>
      </c>
    </row>
    <row r="2">
      <c r="A2" s="8" t="inlineStr">
        <is>
          <t>File</t>
        </is>
      </c>
      <c r="B2" s="8" t="inlineStr">
        <is>
          <t>Row context</t>
        </is>
      </c>
      <c r="C2" s="8" t="inlineStr">
        <is>
          <t>Child</t>
        </is>
      </c>
      <c r="D2" s="8" t="inlineStr">
        <is>
          <t>Parent</t>
        </is>
      </c>
      <c r="E2" s="8" t="inlineStr">
        <is>
          <t>Factor</t>
        </is>
      </c>
      <c r="F2" s="8" t="inlineStr">
        <is>
          <t>Rationale</t>
        </is>
      </c>
      <c r="G2" s="8" t="inlineStr">
        <is>
          <t>BEA 2024 output share</t>
        </is>
      </c>
    </row>
    <row r="3">
      <c r="A3" t="inlineStr">
        <is>
          <t>EVCRSbRIC.csv</t>
        </is>
      </c>
      <c r="B3" t="inlineStr">
        <is>
          <t>Share of Costs by ISIC Code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EVCRSbRIC.csv</t>
        </is>
      </c>
      <c r="B4" t="inlineStr">
        <is>
          <t>Share of Costs by ISIC Code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EVCRSbRIC.csv</t>
        </is>
      </c>
      <c r="B5" t="inlineStr">
        <is>
          <t>Share of Costs by ISIC Code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EVCRSbRIC.csv</t>
        </is>
      </c>
      <c r="B6" t="inlineStr">
        <is>
          <t>Share of Costs by ISIC Code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EVCRSbRIC.csv</t>
        </is>
      </c>
      <c r="B7" t="inlineStr">
        <is>
          <t>Share of Costs by ISIC Code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EVCRSbRIC.csv</t>
        </is>
      </c>
      <c r="B8" t="inlineStr">
        <is>
          <t>Share of Costs by ISIC Code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EVCRSbRIC.csv</t>
        </is>
      </c>
      <c r="B9" t="inlineStr">
        <is>
          <t>Share of Costs by ISIC Code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EVCRSbRIC.csv</t>
        </is>
      </c>
      <c r="B10" t="inlineStr">
        <is>
          <t>Share of Costs by ISIC Code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EVCRSbRIC.csv</t>
        </is>
      </c>
      <c r="B11" t="inlineStr">
        <is>
          <t>Share of Costs by ISIC Code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EVCRSbRIC.csv</t>
        </is>
      </c>
      <c r="B12" t="inlineStr">
        <is>
          <t>Share of Costs by ISIC Code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EVCRSbRIC.csv</t>
        </is>
      </c>
      <c r="B13" t="inlineStr">
        <is>
          <t>Share of Costs by ISIC Code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EVCRSbRIC.csv</t>
        </is>
      </c>
      <c r="B14" t="inlineStr">
        <is>
          <t>Share of Costs by ISIC Code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EVCRSbRIC.csv</t>
        </is>
      </c>
      <c r="B15" t="inlineStr">
        <is>
          <t>Share of Costs by ISIC Code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EVCRSbRIC.csv</t>
        </is>
      </c>
      <c r="B16" t="inlineStr">
        <is>
          <t>Share of Costs by ISIC Code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EVCRSbRIC.csv</t>
        </is>
      </c>
      <c r="B17" t="inlineStr">
        <is>
          <t>Share of Costs by ISIC Code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EVCRSbRIC.csv</t>
        </is>
      </c>
      <c r="B18" t="inlineStr">
        <is>
          <t>Share of Costs by ISIC Code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1.42578125" customWidth="1" min="1" max="1"/>
    <col width="20.42578125" bestFit="1" customWidth="1" min="2" max="2"/>
    <col width="22.28515625" customWidth="1" min="3" max="3"/>
    <col width="20.85546875" customWidth="1" min="4" max="4"/>
  </cols>
  <sheetData>
    <row r="1">
      <c r="A1" s="1" t="inlineStr">
        <is>
          <t>DOE Cost Breakdown</t>
        </is>
      </c>
    </row>
    <row r="2">
      <c r="A2" s="7" t="inlineStr">
        <is>
          <t>Recipient</t>
        </is>
      </c>
      <c r="B2" s="7" t="inlineStr">
        <is>
          <t>Low</t>
        </is>
      </c>
      <c r="C2" s="7" t="inlineStr">
        <is>
          <t>High</t>
        </is>
      </c>
      <c r="D2" s="7" t="inlineStr">
        <is>
          <t>Average</t>
        </is>
      </c>
    </row>
    <row r="3">
      <c r="A3" t="inlineStr">
        <is>
          <t>Labor</t>
        </is>
      </c>
      <c r="B3" s="5" t="n">
        <v>0.55</v>
      </c>
      <c r="C3" s="5" t="n">
        <v>0.6</v>
      </c>
      <c r="D3" s="6">
        <f>AVERAGE(B3:C3)</f>
        <v/>
      </c>
    </row>
    <row r="4">
      <c r="A4" t="inlineStr">
        <is>
          <t>Materials</t>
        </is>
      </c>
      <c r="B4" s="5" t="n">
        <v>0.3</v>
      </c>
      <c r="C4" s="5" t="n">
        <v>0.35</v>
      </c>
      <c r="D4" s="6">
        <f>AVERAGE(B4:C4)</f>
        <v/>
      </c>
    </row>
    <row r="5">
      <c r="A5" t="inlineStr">
        <is>
          <t>Permits</t>
        </is>
      </c>
      <c r="B5" s="5" t="n">
        <v>0.05</v>
      </c>
      <c r="C5" s="5" t="n">
        <v>0.05</v>
      </c>
      <c r="D5" s="5">
        <f>AVERAGE(B5:C5)</f>
        <v/>
      </c>
    </row>
    <row r="6">
      <c r="A6" t="inlineStr">
        <is>
          <t>Taxes</t>
        </is>
      </c>
      <c r="B6" s="5" t="n">
        <v>0.05</v>
      </c>
      <c r="C6" s="5" t="n">
        <v>0.05</v>
      </c>
      <c r="D6" s="5">
        <f>AVERAGE(B6:C6)</f>
        <v/>
      </c>
    </row>
    <row r="8">
      <c r="A8" t="inlineStr">
        <is>
          <t>Taxes on labor and on non-fuel goods are handled at the Cross-Sector Totals sheet</t>
        </is>
      </c>
    </row>
    <row r="9">
      <c r="A9" t="inlineStr">
        <is>
          <t>and should not be taken out here.  Therefore, we reallocate the taxes share</t>
        </is>
      </c>
    </row>
    <row r="10">
      <c r="A10" t="inlineStr">
        <is>
          <t>proportionately to the other recipients.</t>
        </is>
      </c>
    </row>
    <row r="12">
      <c r="A12" s="7" t="inlineStr">
        <is>
          <t>Recipient</t>
        </is>
      </c>
      <c r="B12" s="7" t="inlineStr">
        <is>
          <t>Share</t>
        </is>
      </c>
      <c r="C12" s="7" t="inlineStr">
        <is>
          <t>Assigned ISIC Code</t>
        </is>
      </c>
      <c r="D12" s="7" t="inlineStr">
        <is>
          <t>ISIC Code Meaning</t>
        </is>
      </c>
    </row>
    <row r="13">
      <c r="A13" t="inlineStr">
        <is>
          <t>Labor</t>
        </is>
      </c>
      <c r="B13" s="6">
        <f>D3+D$6*D3/SUM(D$3:D$5)</f>
        <v/>
      </c>
      <c r="C13" t="inlineStr">
        <is>
          <t>ISIC 41T43</t>
        </is>
      </c>
      <c r="D13" t="inlineStr">
        <is>
          <t>Construction</t>
        </is>
      </c>
    </row>
    <row r="14">
      <c r="A14" t="inlineStr">
        <is>
          <t>Materials</t>
        </is>
      </c>
      <c r="B14" s="6">
        <f>D4+D$6*D4/SUM(D$3:D$5)</f>
        <v/>
      </c>
      <c r="C14" t="inlineStr">
        <is>
          <t>ISIC 27</t>
        </is>
      </c>
      <c r="D14" t="inlineStr">
        <is>
          <t>Electrical Equipment</t>
        </is>
      </c>
    </row>
    <row r="15">
      <c r="A15" t="inlineStr">
        <is>
          <t>Permits</t>
        </is>
      </c>
      <c r="B15" s="6">
        <f>D5+D$6*D5/SUM(D$3:D$5)</f>
        <v/>
      </c>
      <c r="C15" t="inlineStr">
        <is>
          <t>ISIC 69T82</t>
        </is>
      </c>
      <c r="D15" t="inlineStr">
        <is>
          <t>Other business sector services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8" t="inlineStr">
        <is>
          <t>Validation checks</t>
        </is>
      </c>
    </row>
    <row r="3">
      <c r="A3" s="8" t="inlineStr">
        <is>
          <t>Child-factor groups sum to 1 (per file/context/parent; rate-file reroutes excluded)</t>
        </is>
      </c>
    </row>
    <row r="4">
      <c r="A4" t="inlineStr">
        <is>
          <t>EVCRSbRIC.csv | Share of Costs by ISIC Code | ISIC 01T03</t>
        </is>
      </c>
      <c r="B4">
        <f>('Factors applied'!$E$3+'Factors applied'!$E$4+'Factors applied'!$E$5)</f>
        <v/>
      </c>
      <c r="C4" s="8">
        <f>IF(ABS(B4-1)&lt;0.000000001,"PASS","FAIL")</f>
        <v/>
      </c>
    </row>
    <row r="5">
      <c r="A5" t="inlineStr">
        <is>
          <t>EVCRSbRIC.csv | Share of Costs by ISIC Code | ISIC 07T08</t>
        </is>
      </c>
      <c r="B5">
        <f>('Factors applied'!$E$6+'Factors applied'!$E$7)</f>
        <v/>
      </c>
      <c r="C5" s="8">
        <f>IF(ABS(B5-1)&lt;0.000000001,"PASS","FAIL")</f>
        <v/>
      </c>
    </row>
    <row r="6">
      <c r="A6" t="inlineStr">
        <is>
          <t>EVCRSbRIC.csv | Share of Costs by ISIC Code | ISIC 30</t>
        </is>
      </c>
      <c r="B6">
        <f>('Factors applied'!$E$8+'Factors applied'!$E$9)</f>
        <v/>
      </c>
      <c r="C6" s="8">
        <f>IF(ABS(B6-1)&lt;0.000000001,"PASS","FAIL")</f>
        <v/>
      </c>
    </row>
    <row r="7">
      <c r="A7" t="inlineStr">
        <is>
          <t>EVCRSbRIC.csv | Share of Costs by ISIC Code | ISIC 49T53</t>
        </is>
      </c>
      <c r="B7">
        <f>('Factors applied'!$E$10+'Factors applied'!$E$11+'Factors applied'!$E$12+'Factors applied'!$E$13+'Factors applied'!$E$14)</f>
        <v/>
      </c>
      <c r="C7" s="8">
        <f>IF(ABS(B7-1)&lt;0.000000001,"PASS","FAIL")</f>
        <v/>
      </c>
    </row>
    <row r="8">
      <c r="A8" t="inlineStr">
        <is>
          <t>EVCRSbRIC.csv | Share of Costs by ISIC Code | ISIC 69T82</t>
        </is>
      </c>
      <c r="B8">
        <f>('Factors applied'!$E$15+'Factors applied'!$E$16)</f>
        <v/>
      </c>
      <c r="C8" s="8">
        <f>IF(ABS(B8-1)&lt;0.000000001,"PASS","FAIL")</f>
        <v/>
      </c>
    </row>
    <row r="9">
      <c r="A9" t="inlineStr">
        <is>
          <t>EVCRSbRIC.csv | Share of Costs by ISIC Code | ISIC 90T96</t>
        </is>
      </c>
      <c r="B9">
        <f>('Factors applied'!$E$17+'Factors applied'!$E$18)</f>
        <v/>
      </c>
      <c r="C9" s="8">
        <f>IF(ABS(B9-1)&lt;0.000000001,"PASS","FAIL")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9.85546875" customWidth="1" min="2" max="43"/>
  </cols>
  <sheetData>
    <row r="1">
      <c r="A1" s="9" t="inlineStr">
        <is>
          <t>Unit: %</t>
        </is>
      </c>
      <c r="B1" s="8" t="inlineStr">
        <is>
          <t>ISIC 01</t>
        </is>
      </c>
      <c r="C1" s="8" t="inlineStr">
        <is>
          <t>ISIC 02</t>
        </is>
      </c>
      <c r="D1" s="8" t="inlineStr">
        <is>
          <t>ISIC 03</t>
        </is>
      </c>
      <c r="E1" s="8" t="inlineStr">
        <is>
          <t>ISIC 05</t>
        </is>
      </c>
      <c r="F1" s="8" t="inlineStr">
        <is>
          <t>ISIC 06</t>
        </is>
      </c>
      <c r="G1" s="8" t="inlineStr">
        <is>
          <t>ISIC 07</t>
        </is>
      </c>
      <c r="H1" s="8" t="inlineStr">
        <is>
          <t>ISIC 08</t>
        </is>
      </c>
      <c r="I1" s="8" t="inlineStr">
        <is>
          <t>ISIC 09</t>
        </is>
      </c>
      <c r="J1" s="8" t="inlineStr">
        <is>
          <t>ISIC 10T12</t>
        </is>
      </c>
      <c r="K1" s="8" t="inlineStr">
        <is>
          <t>ISIC 13T15</t>
        </is>
      </c>
      <c r="L1" s="8" t="inlineStr">
        <is>
          <t>ISIC 16</t>
        </is>
      </c>
      <c r="M1" s="8" t="inlineStr">
        <is>
          <t>ISIC 17T18</t>
        </is>
      </c>
      <c r="N1" s="8" t="inlineStr">
        <is>
          <t>ISIC 19</t>
        </is>
      </c>
      <c r="O1" s="8" t="inlineStr">
        <is>
          <t>ISIC 20</t>
        </is>
      </c>
      <c r="P1" s="8" t="inlineStr">
        <is>
          <t>ISIC 21</t>
        </is>
      </c>
      <c r="Q1" s="8" t="inlineStr">
        <is>
          <t>ISIC 22</t>
        </is>
      </c>
      <c r="R1" s="8" t="inlineStr">
        <is>
          <t>ISIC 231</t>
        </is>
      </c>
      <c r="S1" s="8" t="inlineStr">
        <is>
          <t>ISIC 239</t>
        </is>
      </c>
      <c r="T1" s="8" t="inlineStr">
        <is>
          <t>ISIC 241</t>
        </is>
      </c>
      <c r="U1" s="8" t="inlineStr">
        <is>
          <t>ISIC 242</t>
        </is>
      </c>
      <c r="V1" s="8" t="inlineStr">
        <is>
          <t>ISIC 25</t>
        </is>
      </c>
      <c r="W1" s="8" t="inlineStr">
        <is>
          <t>ISIC 26</t>
        </is>
      </c>
      <c r="X1" s="8" t="inlineStr">
        <is>
          <t>ISIC 27</t>
        </is>
      </c>
      <c r="Y1" s="8" t="inlineStr">
        <is>
          <t>ISIC 28</t>
        </is>
      </c>
      <c r="Z1" s="8" t="inlineStr">
        <is>
          <t>ISIC 29</t>
        </is>
      </c>
      <c r="AA1" s="8" t="inlineStr">
        <is>
          <t>ISIC 301</t>
        </is>
      </c>
      <c r="AB1" s="8" t="inlineStr">
        <is>
          <t>ISIC 302T309</t>
        </is>
      </c>
      <c r="AC1" s="8" t="inlineStr">
        <is>
          <t>ISIC 31T33</t>
        </is>
      </c>
      <c r="AD1" s="8" t="inlineStr">
        <is>
          <t>ISIC 351</t>
        </is>
      </c>
      <c r="AE1" s="8" t="inlineStr">
        <is>
          <t>ISIC 352T353</t>
        </is>
      </c>
      <c r="AF1" s="8" t="inlineStr">
        <is>
          <t>ISIC 36T39</t>
        </is>
      </c>
      <c r="AG1" s="8" t="inlineStr">
        <is>
          <t>ISIC 41T43</t>
        </is>
      </c>
      <c r="AH1" s="8" t="inlineStr">
        <is>
          <t>ISIC 45T47</t>
        </is>
      </c>
      <c r="AI1" s="8" t="inlineStr">
        <is>
          <t>ISIC 49</t>
        </is>
      </c>
      <c r="AJ1" s="8" t="inlineStr">
        <is>
          <t>ISIC 50</t>
        </is>
      </c>
      <c r="AK1" s="8" t="inlineStr">
        <is>
          <t>ISIC 51</t>
        </is>
      </c>
      <c r="AL1" s="8" t="inlineStr">
        <is>
          <t>ISIC 52</t>
        </is>
      </c>
      <c r="AM1" s="8" t="inlineStr">
        <is>
          <t>ISIC 53</t>
        </is>
      </c>
      <c r="AN1" s="8" t="inlineStr">
        <is>
          <t>ISIC 55T56</t>
        </is>
      </c>
      <c r="AO1" s="8" t="inlineStr">
        <is>
          <t>ISIC 58T60</t>
        </is>
      </c>
      <c r="AP1" s="8" t="inlineStr">
        <is>
          <t>ISIC 61</t>
        </is>
      </c>
      <c r="AQ1" s="8" t="inlineStr">
        <is>
          <t>ISIC 62T63</t>
        </is>
      </c>
      <c r="AR1" s="8" t="inlineStr">
        <is>
          <t>ISIC 64T66</t>
        </is>
      </c>
      <c r="AS1" s="8" t="inlineStr">
        <is>
          <t>ISIC 68</t>
        </is>
      </c>
      <c r="AT1" s="8" t="inlineStr">
        <is>
          <t>ISIC 69T75</t>
        </is>
      </c>
      <c r="AU1" s="8" t="inlineStr">
        <is>
          <t>ISIC 77T82</t>
        </is>
      </c>
      <c r="AV1" s="8" t="inlineStr">
        <is>
          <t>ISIC 84</t>
        </is>
      </c>
      <c r="AW1" s="8" t="inlineStr">
        <is>
          <t>ISIC 85</t>
        </is>
      </c>
      <c r="AX1" s="8" t="inlineStr">
        <is>
          <t>ISIC 86T88</t>
        </is>
      </c>
      <c r="AY1" s="8" t="inlineStr">
        <is>
          <t>ISIC 90T93</t>
        </is>
      </c>
      <c r="AZ1" s="8" t="inlineStr">
        <is>
          <t>ISIC 94T96</t>
        </is>
      </c>
      <c r="BA1" s="8" t="inlineStr">
        <is>
          <t>ISIC 97T98</t>
        </is>
      </c>
    </row>
    <row r="2">
      <c r="A2" t="inlineStr">
        <is>
          <t>Share of Costs by ISIC Code</t>
        </is>
      </c>
      <c r="B2">
        <f>0*'Factors applied'!$E$3</f>
        <v/>
      </c>
      <c r="C2">
        <f>0*'Factors applied'!$E$4</f>
        <v/>
      </c>
      <c r="D2">
        <f>0*'Factors applied'!$E$5</f>
        <v/>
      </c>
      <c r="E2" t="n">
        <v>0</v>
      </c>
      <c r="F2" t="n">
        <v>0</v>
      </c>
      <c r="G2">
        <f>0*'Factors applied'!$E$6</f>
        <v/>
      </c>
      <c r="H2">
        <f>0*'Factors applied'!$E$7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>
        <f>('DOE Data and Calcs'!B14)</f>
        <v/>
      </c>
      <c r="Y2" t="n">
        <v>0</v>
      </c>
      <c r="Z2" t="n">
        <v>0</v>
      </c>
      <c r="AA2">
        <f>0*'Factors applied'!$E$8</f>
        <v/>
      </c>
      <c r="AB2">
        <f>0*'Factors applied'!$E$9</f>
        <v/>
      </c>
      <c r="AC2" t="n">
        <v>0</v>
      </c>
      <c r="AD2" t="n">
        <v>0</v>
      </c>
      <c r="AE2" t="n">
        <v>0</v>
      </c>
      <c r="AF2" t="n">
        <v>0</v>
      </c>
      <c r="AG2">
        <f>('DOE Data and Calcs'!B13)</f>
        <v/>
      </c>
      <c r="AH2" t="n">
        <v>0</v>
      </c>
      <c r="AI2">
        <f>0*'Factors applied'!$E$10</f>
        <v/>
      </c>
      <c r="AJ2">
        <f>0*'Factors applied'!$E$11</f>
        <v/>
      </c>
      <c r="AK2">
        <f>0*'Factors applied'!$E$12</f>
        <v/>
      </c>
      <c r="AL2">
        <f>0*'Factors applied'!$E$13</f>
        <v/>
      </c>
      <c r="AM2">
        <f>0*'Factors applied'!$E$14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('DOE Data and Calcs'!B15)*'Factors applied'!$E$15</f>
        <v/>
      </c>
      <c r="AU2">
        <f>('DOE Data and Calcs'!B15)*'Factors applied'!$E$16</f>
        <v/>
      </c>
      <c r="AV2" t="n">
        <v>0</v>
      </c>
      <c r="AW2" t="n">
        <v>0</v>
      </c>
      <c r="AX2" t="n">
        <v>0</v>
      </c>
      <c r="AY2">
        <f>0*'Factors applied'!$E$17</f>
        <v/>
      </c>
      <c r="AZ2">
        <f>0*'Factors applied'!$E$18</f>
        <v/>
      </c>
      <c r="BA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2020-08-24T23:35:41Z</dcterms:created>
  <dcterms:modified xmlns:dcterms="http://purl.org/dc/terms/" xmlns:xsi="http://www.w3.org/2001/XMLSchema-instance" xsi:type="dcterms:W3CDTF">2026-07-21T14:41:46Z</dcterms:modified>
  <cp:lastModifiedBy>Jeffrey Rissman</cp:lastModifiedBy>
</cp:coreProperties>
</file>