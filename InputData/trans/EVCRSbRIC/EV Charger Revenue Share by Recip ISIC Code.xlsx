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trans\EVCRSbRIC\"/>
    </mc:Choice>
  </mc:AlternateContent>
  <xr:revisionPtr revIDLastSave="0" documentId="11_0DCE35897183B32C88B2F7DBDC84B1138DA8992B" xr6:coauthVersionLast="47" xr6:coauthVersionMax="47" xr10:uidLastSave="{00000000-0000-0000-0000-000000000000}"/>
  <bookViews>
    <workbookView xWindow="0" yWindow="1830" windowWidth="43200" windowHeight="17025" xr2:uid="{00000000-000D-0000-FFFF-FFFF00000000}"/>
  </bookViews>
  <sheets>
    <sheet name="About" sheetId="1" r:id="rId1"/>
    <sheet name="Factors applied" sheetId="2" r:id="rId2"/>
    <sheet name="DOE Data and Calcs" sheetId="3" r:id="rId3"/>
    <sheet name="Checks" sheetId="4" r:id="rId4"/>
    <sheet name="EVCRSbRIC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" i="5" l="1"/>
  <c r="AY2" i="5"/>
  <c r="AM2" i="5"/>
  <c r="AL2" i="5"/>
  <c r="AK2" i="5"/>
  <c r="AJ2" i="5"/>
  <c r="AI2" i="5"/>
  <c r="AB2" i="5"/>
  <c r="AA2" i="5"/>
  <c r="H2" i="5"/>
  <c r="G2" i="5"/>
  <c r="D2" i="5"/>
  <c r="C2" i="5"/>
  <c r="B2" i="5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D6" i="3"/>
  <c r="D5" i="3"/>
  <c r="B15" i="3" s="1"/>
  <c r="D4" i="3"/>
  <c r="B14" i="3" s="1"/>
  <c r="X2" i="5" s="1"/>
  <c r="D3" i="3"/>
  <c r="B13" i="3" s="1"/>
  <c r="AG2" i="5" s="1"/>
  <c r="AU2" i="5" l="1"/>
  <c r="AT2" i="5"/>
</calcChain>
</file>

<file path=xl/sharedStrings.xml><?xml version="1.0" encoding="utf-8"?>
<sst xmlns="http://schemas.openxmlformats.org/spreadsheetml/2006/main" count="186" uniqueCount="108">
  <si>
    <t>EVCRSbRIC EV Charger Revenue Share by Recipient ISIC Code</t>
  </si>
  <si>
    <t>Source:</t>
  </si>
  <si>
    <t>U.S. Department of Energy</t>
  </si>
  <si>
    <t>Costs Associated With Non-Residential Electric Vehicle Supply Equipment</t>
  </si>
  <si>
    <t>https://afdc.energy.gov/files/u/publication/evse_cost_report_2015.pdf</t>
  </si>
  <si>
    <t>Page 13</t>
  </si>
  <si>
    <t>52-code expansion (2026-07-17):</t>
  </si>
  <si>
    <t>The output tabs produce the 52-code ISIC list. The derivation above is unchanged and live; output-tab formulas reference the derivation tabs</t>
  </si>
  <si>
    <t>directly, with the original header-label criteria written as literals (the derivation tabs still use the pre-split 42-code labels).</t>
  </si>
  <si>
    <t>Children of split parents multiply the parent's allocation by the factors on the 'Factors applied' tab (editable; defaults = BEA 2024 gross-</t>
  </si>
  <si>
    <t>output shares from io-model/BObIC; semantic overrides documented per row with rationale).</t>
  </si>
  <si>
    <t>Child factors applied inline in the output-tab formulas (editable). Defaults = BEA 2024 output shares; semantic overrides and fuel reroutes noted per row.</t>
  </si>
  <si>
    <t>File</t>
  </si>
  <si>
    <t>Row context</t>
  </si>
  <si>
    <t>Child</t>
  </si>
  <si>
    <t>Parent</t>
  </si>
  <si>
    <t>Factor</t>
  </si>
  <si>
    <t>Rationale</t>
  </si>
  <si>
    <t>BEA 2024 output share</t>
  </si>
  <si>
    <t>EVCRSbRIC.csv</t>
  </si>
  <si>
    <t>Share of Costs by ISIC Code</t>
  </si>
  <si>
    <t>ISIC 01</t>
  </si>
  <si>
    <t>ISIC 01T03</t>
  </si>
  <si>
    <t>BEA 2024 output share (default)</t>
  </si>
  <si>
    <t>ISIC 02</t>
  </si>
  <si>
    <t>ISIC 03</t>
  </si>
  <si>
    <t>ISIC 07</t>
  </si>
  <si>
    <t>ISIC 07T08</t>
  </si>
  <si>
    <t>ISIC 08</t>
  </si>
  <si>
    <t>ISIC 301</t>
  </si>
  <si>
    <t>ISIC 30</t>
  </si>
  <si>
    <t>ISIC 302T309</t>
  </si>
  <si>
    <t>ISIC 49</t>
  </si>
  <si>
    <t>ISIC 49T53</t>
  </si>
  <si>
    <t>ISIC 50</t>
  </si>
  <si>
    <t>ISIC 51</t>
  </si>
  <si>
    <t>ISIC 52</t>
  </si>
  <si>
    <t>ISIC 53</t>
  </si>
  <si>
    <t>ISIC 69T75</t>
  </si>
  <si>
    <t>ISIC 69T82</t>
  </si>
  <si>
    <t>semantic override</t>
  </si>
  <si>
    <t>ISIC 77T82</t>
  </si>
  <si>
    <t>ISIC 90T93</t>
  </si>
  <si>
    <t>ISIC 90T96</t>
  </si>
  <si>
    <t>ISIC 94T96</t>
  </si>
  <si>
    <t>DOE Cost Breakdown</t>
  </si>
  <si>
    <t>Recipient</t>
  </si>
  <si>
    <t>Low</t>
  </si>
  <si>
    <t>High</t>
  </si>
  <si>
    <t>Average</t>
  </si>
  <si>
    <t>Labor</t>
  </si>
  <si>
    <t>Materials</t>
  </si>
  <si>
    <t>Permits</t>
  </si>
  <si>
    <t>Taxes</t>
  </si>
  <si>
    <t>Taxes on labor and on non-fuel goods are handled at the Cross-Sector Totals sheet</t>
  </si>
  <si>
    <t>and should not be taken out here.  Therefore, we reallocate the taxes share</t>
  </si>
  <si>
    <t>proportionately to the other recipients.</t>
  </si>
  <si>
    <t>Share</t>
  </si>
  <si>
    <t>Assigned ISIC Code</t>
  </si>
  <si>
    <t>ISIC Code Meaning</t>
  </si>
  <si>
    <t>ISIC 41T43</t>
  </si>
  <si>
    <t>Construction</t>
  </si>
  <si>
    <t>ISIC 27</t>
  </si>
  <si>
    <t>Electrical Equipment</t>
  </si>
  <si>
    <t>Other business sector services</t>
  </si>
  <si>
    <t>Validation checks</t>
  </si>
  <si>
    <t>Child-factor groups sum to 1 (per file/context/parent; rate-file reroutes excluded)</t>
  </si>
  <si>
    <t>EVCRSbRIC.csv | Share of Costs by ISIC Code | ISIC 01T03</t>
  </si>
  <si>
    <t>EVCRSbRIC.csv | Share of Costs by ISIC Code | ISIC 07T08</t>
  </si>
  <si>
    <t>EVCRSbRIC.csv | Share of Costs by ISIC Code | ISIC 30</t>
  </si>
  <si>
    <t>EVCRSbRIC.csv | Share of Costs by ISIC Code | ISIC 49T53</t>
  </si>
  <si>
    <t>EVCRSbRIC.csv | Share of Costs by ISIC Code | ISIC 69T82</t>
  </si>
  <si>
    <t>EVCRSbRIC.csv | Share of Costs by ISIC Code | ISIC 90T96</t>
  </si>
  <si>
    <t>Unit: %</t>
  </si>
  <si>
    <t>ISIC 05</t>
  </si>
  <si>
    <t>ISIC 06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</si>
  <si>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</si>
  <si>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</si>
  <si>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</si>
  <si>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</si>
  <si>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</si>
  <si>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</si>
  <si>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</si>
  <si>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</si>
  <si>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</si>
  <si>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</si>
  <si>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</si>
  <si>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</si>
  <si>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</si>
  <si>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</si>
  <si>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</si>
  <si>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28</t>
  </si>
  <si>
    <t>ISIC 29</t>
  </si>
  <si>
    <t>ISIC 31T33</t>
  </si>
  <si>
    <t>ISIC 351</t>
  </si>
  <si>
    <t>ISIC 352T353</t>
  </si>
  <si>
    <t>ISIC 36T39</t>
  </si>
  <si>
    <t>ISIC 45T47</t>
  </si>
  <si>
    <t>ISIC 55T56</t>
  </si>
  <si>
    <t>ISIC 58T60</t>
  </si>
  <si>
    <t>ISIC 61</t>
  </si>
  <si>
    <t>ISIC 62T63</t>
  </si>
  <si>
    <t>ISIC 64T66</t>
  </si>
  <si>
    <t>ISIC 68</t>
  </si>
  <si>
    <t>ISIC 84</t>
  </si>
  <si>
    <t>ISIC 85</t>
  </si>
  <si>
    <t>ISIC 86T88</t>
  </si>
  <si>
    <t>ISIC 97T98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</si>
</sst>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  <xf numFmtId="9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fdc.energy.gov/files/u/publication/evse_cost_report_201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/>
  </sheetViews>
  <sheetFormatPr defaultRowHeight="15" x14ac:dyDescent="0.25"/>
  <cols>
    <col min="2" max="2" width="68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s="3">
        <v>2015</v>
      </c>
    </row>
    <row r="5" spans="1:2" x14ac:dyDescent="0.25">
      <c r="B5" t="s">
        <v>3</v>
      </c>
    </row>
    <row r="6" spans="1:2" x14ac:dyDescent="0.25">
      <c r="B6" s="2" t="s">
        <v>4</v>
      </c>
    </row>
    <row r="7" spans="1:2" x14ac:dyDescent="0.25">
      <c r="B7" t="s">
        <v>5</v>
      </c>
    </row>
    <row r="9" spans="1:2" x14ac:dyDescent="0.25">
      <c r="A9" s="1"/>
    </row>
    <row r="11" spans="1:2" x14ac:dyDescent="0.25">
      <c r="A11" s="7" t="s">
        <v>6</v>
      </c>
    </row>
    <row r="12" spans="1:2" x14ac:dyDescent="0.25">
      <c r="A12" t="s">
        <v>7</v>
      </c>
    </row>
    <row r="13" spans="1:2" x14ac:dyDescent="0.25">
      <c r="A13" t="s">
        <v>8</v>
      </c>
    </row>
    <row r="15" spans="1:2" x14ac:dyDescent="0.25">
      <c r="A15" t="s">
        <v>9</v>
      </c>
    </row>
    <row r="16" spans="1:2" x14ac:dyDescent="0.25">
      <c r="A16" t="s">
        <v>10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workbookViewId="0"/>
  </sheetViews>
  <sheetFormatPr defaultRowHeight="15" x14ac:dyDescent="0.25"/>
  <cols>
    <col min="1" max="1" width="28" customWidth="1"/>
    <col min="2" max="2" width="30" customWidth="1"/>
    <col min="6" max="6" width="44" customWidth="1"/>
  </cols>
  <sheetData>
    <row r="1" spans="1:7" x14ac:dyDescent="0.25">
      <c r="A1" s="7" t="s">
        <v>11</v>
      </c>
    </row>
    <row r="2" spans="1:7" x14ac:dyDescent="0.25">
      <c r="A2" s="7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22</v>
      </c>
      <c r="E3">
        <v>0.94299868264323294</v>
      </c>
      <c r="F3" t="s">
        <v>23</v>
      </c>
      <c r="G3">
        <v>0.94299868264323294</v>
      </c>
    </row>
    <row r="4" spans="1:7" x14ac:dyDescent="0.25">
      <c r="A4" t="s">
        <v>19</v>
      </c>
      <c r="B4" t="s">
        <v>20</v>
      </c>
      <c r="C4" t="s">
        <v>24</v>
      </c>
      <c r="D4" t="s">
        <v>22</v>
      </c>
      <c r="E4">
        <v>4.1765731369656618E-2</v>
      </c>
      <c r="F4" t="s">
        <v>23</v>
      </c>
      <c r="G4">
        <v>4.1765731369656618E-2</v>
      </c>
    </row>
    <row r="5" spans="1:7" x14ac:dyDescent="0.25">
      <c r="A5" t="s">
        <v>19</v>
      </c>
      <c r="B5" t="s">
        <v>20</v>
      </c>
      <c r="C5" t="s">
        <v>25</v>
      </c>
      <c r="D5" t="s">
        <v>22</v>
      </c>
      <c r="E5">
        <v>1.523558598711041E-2</v>
      </c>
      <c r="F5" t="s">
        <v>23</v>
      </c>
      <c r="G5">
        <v>1.523558598711041E-2</v>
      </c>
    </row>
    <row r="6" spans="1:7" x14ac:dyDescent="0.25">
      <c r="A6" t="s">
        <v>19</v>
      </c>
      <c r="B6" t="s">
        <v>20</v>
      </c>
      <c r="C6" t="s">
        <v>26</v>
      </c>
      <c r="D6" t="s">
        <v>27</v>
      </c>
      <c r="E6">
        <v>0.43273688361237522</v>
      </c>
      <c r="F6" t="s">
        <v>23</v>
      </c>
      <c r="G6">
        <v>0.43273688361237522</v>
      </c>
    </row>
    <row r="7" spans="1:7" x14ac:dyDescent="0.25">
      <c r="A7" t="s">
        <v>19</v>
      </c>
      <c r="B7" t="s">
        <v>20</v>
      </c>
      <c r="C7" t="s">
        <v>28</v>
      </c>
      <c r="D7" t="s">
        <v>27</v>
      </c>
      <c r="E7">
        <v>0.56726311638762483</v>
      </c>
      <c r="F7" t="s">
        <v>23</v>
      </c>
      <c r="G7">
        <v>0.56726311638762483</v>
      </c>
    </row>
    <row r="8" spans="1:7" x14ac:dyDescent="0.25">
      <c r="A8" t="s">
        <v>19</v>
      </c>
      <c r="B8" t="s">
        <v>20</v>
      </c>
      <c r="C8" t="s">
        <v>29</v>
      </c>
      <c r="D8" t="s">
        <v>30</v>
      </c>
      <c r="E8">
        <v>0.1171368722490322</v>
      </c>
      <c r="F8" t="s">
        <v>23</v>
      </c>
      <c r="G8">
        <v>0.1171368722490322</v>
      </c>
    </row>
    <row r="9" spans="1:7" x14ac:dyDescent="0.25">
      <c r="A9" t="s">
        <v>19</v>
      </c>
      <c r="B9" t="s">
        <v>20</v>
      </c>
      <c r="C9" t="s">
        <v>31</v>
      </c>
      <c r="D9" t="s">
        <v>30</v>
      </c>
      <c r="E9">
        <v>0.88286312775096776</v>
      </c>
      <c r="F9" t="s">
        <v>23</v>
      </c>
      <c r="G9">
        <v>0.88286312775096776</v>
      </c>
    </row>
    <row r="10" spans="1:7" x14ac:dyDescent="0.25">
      <c r="A10" t="s">
        <v>19</v>
      </c>
      <c r="B10" t="s">
        <v>20</v>
      </c>
      <c r="C10" t="s">
        <v>32</v>
      </c>
      <c r="D10" t="s">
        <v>33</v>
      </c>
      <c r="E10">
        <v>0.47816430118296149</v>
      </c>
      <c r="F10" t="s">
        <v>23</v>
      </c>
      <c r="G10">
        <v>0.47816430118296149</v>
      </c>
    </row>
    <row r="11" spans="1:7" x14ac:dyDescent="0.25">
      <c r="A11" t="s">
        <v>19</v>
      </c>
      <c r="B11" t="s">
        <v>20</v>
      </c>
      <c r="C11" t="s">
        <v>34</v>
      </c>
      <c r="D11" t="s">
        <v>33</v>
      </c>
      <c r="E11">
        <v>4.2586393966149647E-2</v>
      </c>
      <c r="F11" t="s">
        <v>23</v>
      </c>
      <c r="G11">
        <v>4.2586393966149647E-2</v>
      </c>
    </row>
    <row r="12" spans="1:7" x14ac:dyDescent="0.25">
      <c r="A12" t="s">
        <v>19</v>
      </c>
      <c r="B12" t="s">
        <v>20</v>
      </c>
      <c r="C12" t="s">
        <v>35</v>
      </c>
      <c r="D12" t="s">
        <v>33</v>
      </c>
      <c r="E12">
        <v>0.1808024634415262</v>
      </c>
      <c r="F12" t="s">
        <v>23</v>
      </c>
      <c r="G12">
        <v>0.1808024634415262</v>
      </c>
    </row>
    <row r="13" spans="1:7" x14ac:dyDescent="0.25">
      <c r="A13" t="s">
        <v>19</v>
      </c>
      <c r="B13" t="s">
        <v>20</v>
      </c>
      <c r="C13" t="s">
        <v>36</v>
      </c>
      <c r="D13" t="s">
        <v>33</v>
      </c>
      <c r="E13">
        <v>0.2139060571318126</v>
      </c>
      <c r="F13" t="s">
        <v>23</v>
      </c>
      <c r="G13">
        <v>0.2139060571318126</v>
      </c>
    </row>
    <row r="14" spans="1:7" x14ac:dyDescent="0.25">
      <c r="A14" t="s">
        <v>19</v>
      </c>
      <c r="B14" t="s">
        <v>20</v>
      </c>
      <c r="C14" t="s">
        <v>37</v>
      </c>
      <c r="D14" t="s">
        <v>33</v>
      </c>
      <c r="E14">
        <v>8.4540784277550088E-2</v>
      </c>
      <c r="F14" t="s">
        <v>23</v>
      </c>
      <c r="G14">
        <v>8.4540784277550088E-2</v>
      </c>
    </row>
    <row r="15" spans="1:7" x14ac:dyDescent="0.25">
      <c r="A15" t="s">
        <v>19</v>
      </c>
      <c r="B15" t="s">
        <v>20</v>
      </c>
      <c r="C15" t="s">
        <v>38</v>
      </c>
      <c r="D15" t="s">
        <v>39</v>
      </c>
      <c r="E15">
        <v>1</v>
      </c>
      <c r="F15" t="s">
        <v>40</v>
      </c>
      <c r="G15">
        <v>0.72982194479141249</v>
      </c>
    </row>
    <row r="16" spans="1:7" x14ac:dyDescent="0.25">
      <c r="A16" t="s">
        <v>19</v>
      </c>
      <c r="B16" t="s">
        <v>20</v>
      </c>
      <c r="C16" t="s">
        <v>41</v>
      </c>
      <c r="D16" t="s">
        <v>39</v>
      </c>
      <c r="E16">
        <v>0</v>
      </c>
      <c r="F16" t="s">
        <v>40</v>
      </c>
      <c r="G16">
        <v>0.27017805520858751</v>
      </c>
    </row>
    <row r="17" spans="1:7" x14ac:dyDescent="0.25">
      <c r="A17" t="s">
        <v>19</v>
      </c>
      <c r="B17" t="s">
        <v>20</v>
      </c>
      <c r="C17" t="s">
        <v>42</v>
      </c>
      <c r="D17" t="s">
        <v>43</v>
      </c>
      <c r="E17">
        <v>0.42162495143522749</v>
      </c>
      <c r="F17" t="s">
        <v>23</v>
      </c>
      <c r="G17">
        <v>0.42162495143522749</v>
      </c>
    </row>
    <row r="18" spans="1:7" x14ac:dyDescent="0.25">
      <c r="A18" t="s">
        <v>19</v>
      </c>
      <c r="B18" t="s">
        <v>20</v>
      </c>
      <c r="C18" t="s">
        <v>44</v>
      </c>
      <c r="D18" t="s">
        <v>43</v>
      </c>
      <c r="E18">
        <v>0.57837504856477251</v>
      </c>
      <c r="F18" t="s">
        <v>23</v>
      </c>
      <c r="G18">
        <v>0.57837504856477251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defaultRowHeight="15" x14ac:dyDescent="0.25"/>
  <cols>
    <col min="1" max="1" width="21.42578125" customWidth="1"/>
    <col min="2" max="2" width="20.42578125" bestFit="1" customWidth="1"/>
    <col min="3" max="3" width="22.28515625" customWidth="1"/>
    <col min="4" max="4" width="20.85546875" customWidth="1"/>
  </cols>
  <sheetData>
    <row r="1" spans="1:4" x14ac:dyDescent="0.25">
      <c r="A1" s="1" t="s">
        <v>45</v>
      </c>
    </row>
    <row r="2" spans="1:4" x14ac:dyDescent="0.25">
      <c r="A2" s="6" t="s">
        <v>46</v>
      </c>
      <c r="B2" s="6" t="s">
        <v>47</v>
      </c>
      <c r="C2" s="6" t="s">
        <v>48</v>
      </c>
      <c r="D2" s="6" t="s">
        <v>49</v>
      </c>
    </row>
    <row r="3" spans="1:4" x14ac:dyDescent="0.25">
      <c r="A3" t="s">
        <v>50</v>
      </c>
      <c r="B3" s="4">
        <v>0.55000000000000004</v>
      </c>
      <c r="C3" s="4">
        <v>0.6</v>
      </c>
      <c r="D3" s="5">
        <f>AVERAGE(B3:C3)</f>
        <v>0.57499999999999996</v>
      </c>
    </row>
    <row r="4" spans="1:4" x14ac:dyDescent="0.25">
      <c r="A4" t="s">
        <v>51</v>
      </c>
      <c r="B4" s="4">
        <v>0.3</v>
      </c>
      <c r="C4" s="4">
        <v>0.35</v>
      </c>
      <c r="D4" s="5">
        <f>AVERAGE(B4:C4)</f>
        <v>0.32499999999999996</v>
      </c>
    </row>
    <row r="5" spans="1:4" x14ac:dyDescent="0.25">
      <c r="A5" t="s">
        <v>52</v>
      </c>
      <c r="B5" s="4">
        <v>0.05</v>
      </c>
      <c r="C5" s="4">
        <v>0.05</v>
      </c>
      <c r="D5" s="4">
        <f>AVERAGE(B5:C5)</f>
        <v>0.05</v>
      </c>
    </row>
    <row r="6" spans="1:4" x14ac:dyDescent="0.25">
      <c r="A6" t="s">
        <v>53</v>
      </c>
      <c r="B6" s="4">
        <v>0.05</v>
      </c>
      <c r="C6" s="4">
        <v>0.05</v>
      </c>
      <c r="D6" s="4">
        <f>AVERAGE(B6:C6)</f>
        <v>0.05</v>
      </c>
    </row>
    <row r="8" spans="1:4" x14ac:dyDescent="0.25">
      <c r="A8" t="s">
        <v>54</v>
      </c>
    </row>
    <row r="9" spans="1:4" x14ac:dyDescent="0.25">
      <c r="A9" t="s">
        <v>55</v>
      </c>
    </row>
    <row r="10" spans="1:4" x14ac:dyDescent="0.25">
      <c r="A10" t="s">
        <v>56</v>
      </c>
    </row>
    <row r="12" spans="1:4" x14ac:dyDescent="0.25">
      <c r="A12" s="6" t="s">
        <v>46</v>
      </c>
      <c r="B12" s="6" t="s">
        <v>57</v>
      </c>
      <c r="C12" s="6" t="s">
        <v>58</v>
      </c>
      <c r="D12" s="6" t="s">
        <v>59</v>
      </c>
    </row>
    <row r="13" spans="1:4" x14ac:dyDescent="0.25">
      <c r="A13" t="s">
        <v>50</v>
      </c>
      <c r="B13" s="5">
        <f>D3+D$6*D3/SUM(D$3:D$5)</f>
        <v>0.60526315789473684</v>
      </c>
      <c r="C13" t="s">
        <v>60</v>
      </c>
      <c r="D13" t="s">
        <v>61</v>
      </c>
    </row>
    <row r="14" spans="1:4" x14ac:dyDescent="0.25">
      <c r="A14" t="s">
        <v>51</v>
      </c>
      <c r="B14" s="5">
        <f>D4+D$6*D4/SUM(D$3:D$5)</f>
        <v>0.34210526315789469</v>
      </c>
      <c r="C14" t="s">
        <v>62</v>
      </c>
      <c r="D14" t="s">
        <v>63</v>
      </c>
    </row>
    <row r="15" spans="1:4" x14ac:dyDescent="0.25">
      <c r="A15" t="s">
        <v>52</v>
      </c>
      <c r="B15" s="5">
        <f>D5+D$6*D5/SUM(D$3:D$5)</f>
        <v>5.2631578947368425E-2</v>
      </c>
      <c r="C15" t="s">
        <v>39</v>
      </c>
      <c r="D15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/>
  </sheetViews>
  <sheetFormatPr defaultRowHeight="15" x14ac:dyDescent="0.25"/>
  <cols>
    <col min="1" max="1" width="60" customWidth="1"/>
  </cols>
  <sheetData>
    <row r="1" spans="1:3" x14ac:dyDescent="0.25">
      <c r="A1" s="7" t="s">
        <v>65</v>
      </c>
    </row>
    <row r="3" spans="1:3" x14ac:dyDescent="0.25">
      <c r="A3" s="7" t="s">
        <v>66</v>
      </c>
    </row>
    <row r="4" spans="1:3" x14ac:dyDescent="0.25">
      <c r="A4" t="s">
        <v>67</v>
      </c>
      <c r="B4">
        <f>('Factors applied'!$E$3+'Factors applied'!$E$4+'Factors applied'!$E$5)</f>
        <v>1</v>
      </c>
      <c r="C4" s="7" t="str">
        <f t="shared" ref="C4:C9" si="0">IF(ABS(B4-1)&lt;0.000000001,"PASS","FAIL")</f>
        <v>PASS</v>
      </c>
    </row>
    <row r="5" spans="1:3" x14ac:dyDescent="0.25">
      <c r="A5" t="s">
        <v>68</v>
      </c>
      <c r="B5">
        <f>('Factors applied'!$E$6+'Factors applied'!$E$7)</f>
        <v>1</v>
      </c>
      <c r="C5" s="7" t="str">
        <f t="shared" si="0"/>
        <v>PASS</v>
      </c>
    </row>
    <row r="6" spans="1:3" x14ac:dyDescent="0.25">
      <c r="A6" t="s">
        <v>69</v>
      </c>
      <c r="B6">
        <f>('Factors applied'!$E$8+'Factors applied'!$E$9)</f>
        <v>1</v>
      </c>
      <c r="C6" s="7" t="str">
        <f t="shared" si="0"/>
        <v>PASS</v>
      </c>
    </row>
    <row r="7" spans="1:3" x14ac:dyDescent="0.25">
      <c r="A7" t="s">
        <v>70</v>
      </c>
      <c r="B7">
        <f>('Factors applied'!$E$10+'Factors applied'!$E$11+'Factors applied'!$E$12+'Factors applied'!$E$13+'Factors applied'!$E$14)</f>
        <v>1</v>
      </c>
      <c r="C7" s="7" t="str">
        <f t="shared" si="0"/>
        <v>PASS</v>
      </c>
    </row>
    <row r="8" spans="1:3" x14ac:dyDescent="0.25">
      <c r="A8" t="s">
        <v>71</v>
      </c>
      <c r="B8">
        <f>('Factors applied'!$E$15+'Factors applied'!$E$16)</f>
        <v>1</v>
      </c>
      <c r="C8" s="7" t="str">
        <f t="shared" si="0"/>
        <v>PASS</v>
      </c>
    </row>
    <row r="9" spans="1:3" x14ac:dyDescent="0.25">
      <c r="A9" t="s">
        <v>72</v>
      </c>
      <c r="B9">
        <f>('Factors applied'!$E$17+'Factors applied'!$E$18)</f>
        <v>1</v>
      </c>
      <c r="C9" s="7" t="str">
        <f t="shared" si="0"/>
        <v>PASS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BA2"/>
  <sheetViews>
    <sheetView topLeftCell="M1" workbookViewId="0">
      <selection activeCell="B2" sqref="B2:BA2"/>
    </sheetView>
  </sheetViews>
  <sheetFormatPr defaultRowHeight="15" x14ac:dyDescent="0.25"/>
  <cols>
    <col min="1" max="1" width="25.42578125" customWidth="1"/>
    <col min="2" max="43" width="9.85546875" customWidth="1"/>
  </cols>
  <sheetData>
    <row r="1" spans="1:53" x14ac:dyDescent="0.25">
      <c r="A1" s="8" t="s">
        <v>73</v>
      </c>
      <c r="B1" s="7" t="s">
        <v>21</v>
      </c>
      <c r="C1" s="7" t="s">
        <v>24</v>
      </c>
      <c r="D1" s="7" t="s">
        <v>25</v>
      </c>
      <c r="E1" s="7" t="s">
        <v>74</v>
      </c>
      <c r="F1" s="7" t="s">
        <v>75</v>
      </c>
      <c r="G1" s="7" t="s">
        <v>26</v>
      </c>
      <c r="H1" s="7" t="s">
        <v>28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82</v>
      </c>
      <c r="P1" s="7" t="s">
        <v>83</v>
      </c>
      <c r="Q1" s="7" t="s">
        <v>84</v>
      </c>
      <c r="R1" s="7" t="s">
        <v>85</v>
      </c>
      <c r="S1" s="7" t="s">
        <v>86</v>
      </c>
      <c r="T1" s="7" t="s">
        <v>87</v>
      </c>
      <c r="U1" s="7" t="s">
        <v>88</v>
      </c>
      <c r="V1" s="7" t="s">
        <v>89</v>
      </c>
      <c r="W1" s="7" t="s">
        <v>90</v>
      </c>
      <c r="X1" s="7" t="s">
        <v>62</v>
      </c>
      <c r="Y1" s="7" t="s">
        <v>91</v>
      </c>
      <c r="Z1" s="7" t="s">
        <v>92</v>
      </c>
      <c r="AA1" s="7" t="s">
        <v>29</v>
      </c>
      <c r="AB1" s="7" t="s">
        <v>31</v>
      </c>
      <c r="AC1" s="7" t="s">
        <v>93</v>
      </c>
      <c r="AD1" s="7" t="s">
        <v>94</v>
      </c>
      <c r="AE1" s="7" t="s">
        <v>95</v>
      </c>
      <c r="AF1" s="7" t="s">
        <v>96</v>
      </c>
      <c r="AG1" s="7" t="s">
        <v>60</v>
      </c>
      <c r="AH1" s="7" t="s">
        <v>97</v>
      </c>
      <c r="AI1" s="7" t="s">
        <v>32</v>
      </c>
      <c r="AJ1" s="7" t="s">
        <v>34</v>
      </c>
      <c r="AK1" s="7" t="s">
        <v>35</v>
      </c>
      <c r="AL1" s="7" t="s">
        <v>36</v>
      </c>
      <c r="AM1" s="7" t="s">
        <v>37</v>
      </c>
      <c r="AN1" s="7" t="s">
        <v>98</v>
      </c>
      <c r="AO1" s="7" t="s">
        <v>99</v>
      </c>
      <c r="AP1" s="7" t="s">
        <v>100</v>
      </c>
      <c r="AQ1" s="7" t="s">
        <v>101</v>
      </c>
      <c r="AR1" s="7" t="s">
        <v>102</v>
      </c>
      <c r="AS1" s="7" t="s">
        <v>103</v>
      </c>
      <c r="AT1" s="7" t="s">
        <v>38</v>
      </c>
      <c r="AU1" s="7" t="s">
        <v>41</v>
      </c>
      <c r="AV1" s="7" t="s">
        <v>104</v>
      </c>
      <c r="AW1" s="7" t="s">
        <v>105</v>
      </c>
      <c r="AX1" s="7" t="s">
        <v>106</v>
      </c>
      <c r="AY1" s="7" t="s">
        <v>42</v>
      </c>
      <c r="AZ1" s="7" t="s">
        <v>44</v>
      </c>
      <c r="BA1" s="7" t="s">
        <v>107</v>
      </c>
    </row>
    <row r="2" spans="1:53" x14ac:dyDescent="0.25">
      <c r="A2" t="s">
        <v>20</v>
      </c>
      <c r="B2">
        <f>0*'Factors applied'!$E$3</f>
        <v>0</v>
      </c>
      <c r="C2">
        <f>0*'Factors applied'!$E$4</f>
        <v>0</v>
      </c>
      <c r="D2">
        <f>0*'Factors applied'!$E$5</f>
        <v>0</v>
      </c>
      <c r="E2">
        <v>0</v>
      </c>
      <c r="F2">
        <v>0</v>
      </c>
      <c r="G2">
        <f>0*'Factors applied'!$E$6</f>
        <v>0</v>
      </c>
      <c r="H2">
        <f>0*'Factors applied'!$E$7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f>('DOE Data and Calcs'!B14)</f>
        <v>0.34210526315789469</v>
      </c>
      <c r="Y2">
        <v>0</v>
      </c>
      <c r="Z2">
        <v>0</v>
      </c>
      <c r="AA2">
        <f>0*'Factors applied'!$E$8</f>
        <v>0</v>
      </c>
      <c r="AB2">
        <f>0*'Factors applied'!$E$9</f>
        <v>0</v>
      </c>
      <c r="AC2">
        <v>0</v>
      </c>
      <c r="AD2">
        <v>0</v>
      </c>
      <c r="AE2">
        <v>0</v>
      </c>
      <c r="AF2">
        <v>0</v>
      </c>
      <c r="AG2">
        <f>('DOE Data and Calcs'!B13)</f>
        <v>0.60526315789473684</v>
      </c>
      <c r="AH2">
        <v>0</v>
      </c>
      <c r="AI2">
        <f>0*'Factors applied'!$E$10</f>
        <v>0</v>
      </c>
      <c r="AJ2">
        <f>0*'Factors applied'!$E$11</f>
        <v>0</v>
      </c>
      <c r="AK2">
        <f>0*'Factors applied'!$E$12</f>
        <v>0</v>
      </c>
      <c r="AL2">
        <f>0*'Factors applied'!$E$13</f>
        <v>0</v>
      </c>
      <c r="AM2">
        <f>0*'Factors applied'!$E$14</f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('DOE Data and Calcs'!B15)*'Factors applied'!$E$15</f>
        <v>5.2631578947368425E-2</v>
      </c>
      <c r="AU2">
        <f>('DOE Data and Calcs'!B15)*'Factors applied'!$E$16</f>
        <v>0</v>
      </c>
      <c r="AV2">
        <v>0</v>
      </c>
      <c r="AW2">
        <v>0</v>
      </c>
      <c r="AX2">
        <v>0</v>
      </c>
      <c r="AY2">
        <f>0*'Factors applied'!$E$17</f>
        <v>0</v>
      </c>
      <c r="AZ2">
        <f>0*'Factors applied'!$E$18</f>
        <v>0</v>
      </c>
      <c r="BA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Factors applied</vt:lpstr>
      <vt:lpstr>DOE Data and Calcs</vt:lpstr>
      <vt:lpstr>Checks</vt:lpstr>
      <vt:lpstr>EVCRSbRIC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2020-08-24T23:35:41Z</dcterms:created>
  <dcterms:modified xsi:type="dcterms:W3CDTF">2026-07-20T17:29:34Z</dcterms:modified>
</cp:coreProperties>
</file>