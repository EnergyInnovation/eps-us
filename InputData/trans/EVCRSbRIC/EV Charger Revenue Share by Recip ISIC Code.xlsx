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EVCRSbRIC\"/>
    </mc:Choice>
  </mc:AlternateContent>
  <xr:revisionPtr revIDLastSave="0" documentId="13_ncr:1_{60DADBAF-7BDE-4C22-8625-2744525E4BE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Checks" sheetId="2" r:id="rId2"/>
    <sheet name="DOE Data and Calcs" sheetId="3" r:id="rId3"/>
    <sheet name="EVCRSbRI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5" i="3"/>
  <c r="D4" i="3"/>
  <c r="D3" i="3"/>
  <c r="B13" i="3" s="1"/>
  <c r="AC2" i="4" s="1"/>
  <c r="B14" i="3" l="1"/>
  <c r="U2" i="4" s="1"/>
  <c r="B15" i="3"/>
  <c r="AL2" i="4" s="1"/>
  <c r="B5" i="2"/>
  <c r="C5" i="2" s="1"/>
</calcChain>
</file>

<file path=xl/sharedStrings.xml><?xml version="1.0" encoding="utf-8"?>
<sst xmlns="http://schemas.openxmlformats.org/spreadsheetml/2006/main" count="85" uniqueCount="78">
  <si>
    <t>EVCRSbRIC EV Charger Revenue Share by Recipient ISIC Code</t>
  </si>
  <si>
    <t>Source:</t>
  </si>
  <si>
    <t>U.S. Department of Energy</t>
  </si>
  <si>
    <t>Costs Associated With Non-Residential Electric Vehicle Supply Equipment</t>
  </si>
  <si>
    <t>https://afdc.energy.gov/files/u/publication/evse_cost_report_2015.pdf</t>
  </si>
  <si>
    <t>Page 13</t>
  </si>
  <si>
    <t>42-code sibling (build_sector_shares_42):</t>
  </si>
  <si>
    <t>This workbook is the 42-code (un-split) sibling of the 52-code expansion. The 42 scheme is the 52 scheme with the six OECD-native parents</t>
  </si>
  <si>
    <t>left merged (ISIC 01T03, 07T08, 30, 49T53, 69T82, 90T96); the BEA carves ISIC 231/239 and 351/352T353 are retained (present in both</t>
  </si>
  <si>
    <t>schemes).</t>
  </si>
  <si>
    <t>The output tabs are the stock derivation, unchanged and live: the stock workbook is natively 42-code (its output columns already are the</t>
  </si>
  <si>
    <t>42-code ISIC list, in canonical order), so no child split is applied here.</t>
  </si>
  <si>
    <t>Validation checks (42-code sibling)</t>
  </si>
  <si>
    <t>Allocation output rows sum to 1 across the 42 ISIC codes (rate files excluded — see note).</t>
  </si>
  <si>
    <t>EVCRSbRIC.csv</t>
  </si>
  <si>
    <t xml:space="preserve">  Share of Costs by ISIC Code</t>
  </si>
  <si>
    <t>DOE Cost Breakdown</t>
  </si>
  <si>
    <t>Recipient</t>
  </si>
  <si>
    <t>Low</t>
  </si>
  <si>
    <t>High</t>
  </si>
  <si>
    <t>Average</t>
  </si>
  <si>
    <t>Labor</t>
  </si>
  <si>
    <t>Materials</t>
  </si>
  <si>
    <t>Permits</t>
  </si>
  <si>
    <t>Taxes</t>
  </si>
  <si>
    <t>Taxes on labor and on non-fuel goods are handled at the Cross-Sector Totals sheet</t>
  </si>
  <si>
    <t>and should not be taken out here.  Therefore, we reallocate the taxes share</t>
  </si>
  <si>
    <t>proportionately to the other recipients.</t>
  </si>
  <si>
    <t>Share</t>
  </si>
  <si>
    <t>Assigned ISIC Code</t>
  </si>
  <si>
    <t>ISIC Code Meaning</t>
  </si>
  <si>
    <t>ISIC 41T43</t>
  </si>
  <si>
    <t>Construction</t>
  </si>
  <si>
    <t>ISIC 27</t>
  </si>
  <si>
    <t>Electrical Equipment</t>
  </si>
  <si>
    <t>ISIC 69T82</t>
  </si>
  <si>
    <t>Other business sector services</t>
  </si>
  <si>
    <t>Unit: %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</si>
  <si>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</si>
  <si>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</si>
  <si>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</si>
  <si>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</si>
  <si>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</si>
  <si>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</si>
  <si>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</si>
  <si>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</si>
  <si>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</si>
  <si>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</si>
  <si>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</si>
  <si>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</si>
  <si>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</si>
  <si>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</si>
  <si>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</si>
  <si>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</si>
  <si>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</si>
  <si>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</si>
  <si>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</si>
  <si>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</si>
  <si>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</si>
  <si>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</si>
  <si>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</si>
  <si>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</si>
  <si>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</si>
  <si>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</si>
  <si>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</si>
  <si>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</si>
  <si>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</si>
  <si>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</si>
  <si>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</si>
  <si>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</si>
  <si>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</si>
  <si>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</si>
  <si>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84</t>
  </si>
  <si>
    <t>ISIC 85</t>
  </si>
  <si>
    <t>ISIC 86T88</t>
  </si>
  <si>
    <t>ISIC 90T96</t>
  </si>
  <si>
    <t>ISIC 97T98</t>
  </si>
  <si>
    <t>Share of Costs by ISIC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</si>
</sst>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9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3" fillId="0" borderId="0" xfId="0" applyFont="1"/>
    <xf numFmtId="0" fontId="0" fillId="0" borderId="0" xfId="0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fdc.energy.gov/files/u/publication/evse_cost_report_20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defaultRowHeight="15" x14ac:dyDescent="0.25"/>
  <cols>
    <col min="2" max="2" width="68.57031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3">
        <v>2015</v>
      </c>
    </row>
    <row r="5" spans="1:2" x14ac:dyDescent="0.25">
      <c r="B5" t="s">
        <v>3</v>
      </c>
    </row>
    <row r="6" spans="1:2" x14ac:dyDescent="0.25">
      <c r="B6" s="2" t="s">
        <v>4</v>
      </c>
    </row>
    <row r="7" spans="1:2" x14ac:dyDescent="0.25">
      <c r="B7" t="s">
        <v>5</v>
      </c>
    </row>
    <row r="9" spans="1:2" x14ac:dyDescent="0.25">
      <c r="A9" s="1"/>
    </row>
    <row r="11" spans="1:2" x14ac:dyDescent="0.25">
      <c r="A11" s="8" t="s">
        <v>6</v>
      </c>
    </row>
    <row r="12" spans="1:2" ht="270" x14ac:dyDescent="0.25">
      <c r="A12" s="9" t="s">
        <v>7</v>
      </c>
    </row>
    <row r="13" spans="1:2" ht="285" x14ac:dyDescent="0.25">
      <c r="A13" s="9" t="s">
        <v>8</v>
      </c>
    </row>
    <row r="14" spans="1:2" ht="30" x14ac:dyDescent="0.25">
      <c r="A14" s="9" t="s">
        <v>9</v>
      </c>
    </row>
    <row r="16" spans="1:2" ht="285" x14ac:dyDescent="0.25">
      <c r="A16" s="9" t="s">
        <v>10</v>
      </c>
    </row>
    <row r="17" spans="1:1" ht="150" x14ac:dyDescent="0.25">
      <c r="A17" s="9" t="s">
        <v>11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cols>
    <col min="1" max="1" width="40" customWidth="1"/>
    <col min="2" max="2" width="14" customWidth="1"/>
  </cols>
  <sheetData>
    <row r="1" spans="1:3" x14ac:dyDescent="0.25">
      <c r="A1" s="8" t="s">
        <v>12</v>
      </c>
    </row>
    <row r="2" spans="1:3" ht="45" x14ac:dyDescent="0.25">
      <c r="A2" s="9" t="s">
        <v>13</v>
      </c>
    </row>
    <row r="4" spans="1:3" x14ac:dyDescent="0.25">
      <c r="A4" s="8" t="s">
        <v>14</v>
      </c>
    </row>
    <row r="5" spans="1:3" x14ac:dyDescent="0.25">
      <c r="A5" t="s">
        <v>15</v>
      </c>
      <c r="B5">
        <f>SUM(EVCRSbRIC!B2:AQ2)</f>
        <v>1</v>
      </c>
      <c r="C5" s="8" t="str">
        <f>IF(ABS(B5-1)&lt;0.000001,"=1",IF(ABS(B5)&lt;0.000001,"=0","CHECK"))</f>
        <v>=1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/>
  </sheetViews>
  <sheetFormatPr defaultRowHeight="15" x14ac:dyDescent="0.25"/>
  <cols>
    <col min="1" max="1" width="21.42578125" customWidth="1"/>
    <col min="2" max="2" width="20.42578125" bestFit="1" customWidth="1"/>
    <col min="3" max="3" width="22.28515625" customWidth="1"/>
    <col min="4" max="4" width="20.85546875" customWidth="1"/>
  </cols>
  <sheetData>
    <row r="1" spans="1:4" x14ac:dyDescent="0.25">
      <c r="A1" s="1" t="s">
        <v>16</v>
      </c>
    </row>
    <row r="2" spans="1:4" x14ac:dyDescent="0.25">
      <c r="A2" s="7" t="s">
        <v>17</v>
      </c>
      <c r="B2" s="7" t="s">
        <v>18</v>
      </c>
      <c r="C2" s="7" t="s">
        <v>19</v>
      </c>
      <c r="D2" s="7" t="s">
        <v>20</v>
      </c>
    </row>
    <row r="3" spans="1:4" x14ac:dyDescent="0.25">
      <c r="A3" t="s">
        <v>21</v>
      </c>
      <c r="B3" s="5">
        <v>0.55000000000000004</v>
      </c>
      <c r="C3" s="5">
        <v>0.6</v>
      </c>
      <c r="D3" s="6">
        <f>AVERAGE(B3:C3)</f>
        <v>0.57499999999999996</v>
      </c>
    </row>
    <row r="4" spans="1:4" x14ac:dyDescent="0.25">
      <c r="A4" t="s">
        <v>22</v>
      </c>
      <c r="B4" s="5">
        <v>0.3</v>
      </c>
      <c r="C4" s="5">
        <v>0.35</v>
      </c>
      <c r="D4" s="6">
        <f>AVERAGE(B4:C4)</f>
        <v>0.32499999999999996</v>
      </c>
    </row>
    <row r="5" spans="1:4" x14ac:dyDescent="0.25">
      <c r="A5" t="s">
        <v>23</v>
      </c>
      <c r="B5" s="5">
        <v>0.05</v>
      </c>
      <c r="C5" s="5">
        <v>0.05</v>
      </c>
      <c r="D5" s="5">
        <f>AVERAGE(B5:C5)</f>
        <v>0.05</v>
      </c>
    </row>
    <row r="6" spans="1:4" x14ac:dyDescent="0.25">
      <c r="A6" t="s">
        <v>24</v>
      </c>
      <c r="B6" s="5">
        <v>0.05</v>
      </c>
      <c r="C6" s="5">
        <v>0.05</v>
      </c>
      <c r="D6" s="5">
        <f>AVERAGE(B6:C6)</f>
        <v>0.05</v>
      </c>
    </row>
    <row r="8" spans="1:4" x14ac:dyDescent="0.25">
      <c r="A8" t="s">
        <v>25</v>
      </c>
    </row>
    <row r="9" spans="1:4" x14ac:dyDescent="0.25">
      <c r="A9" t="s">
        <v>26</v>
      </c>
    </row>
    <row r="10" spans="1:4" x14ac:dyDescent="0.25">
      <c r="A10" t="s">
        <v>27</v>
      </c>
    </row>
    <row r="12" spans="1:4" x14ac:dyDescent="0.25">
      <c r="A12" s="7" t="s">
        <v>17</v>
      </c>
      <c r="B12" s="7" t="s">
        <v>28</v>
      </c>
      <c r="C12" s="7" t="s">
        <v>29</v>
      </c>
      <c r="D12" s="7" t="s">
        <v>30</v>
      </c>
    </row>
    <row r="13" spans="1:4" x14ac:dyDescent="0.25">
      <c r="A13" t="s">
        <v>21</v>
      </c>
      <c r="B13" s="6">
        <f>D3+D$6*D3/SUM(D$3:D$5)</f>
        <v>0.60526315789473684</v>
      </c>
      <c r="C13" t="s">
        <v>31</v>
      </c>
      <c r="D13" t="s">
        <v>32</v>
      </c>
    </row>
    <row r="14" spans="1:4" x14ac:dyDescent="0.25">
      <c r="A14" t="s">
        <v>22</v>
      </c>
      <c r="B14" s="6">
        <f>D4+D$6*D4/SUM(D$3:D$5)</f>
        <v>0.34210526315789469</v>
      </c>
      <c r="C14" t="s">
        <v>33</v>
      </c>
      <c r="D14" t="s">
        <v>34</v>
      </c>
    </row>
    <row r="15" spans="1:4" x14ac:dyDescent="0.25">
      <c r="A15" t="s">
        <v>23</v>
      </c>
      <c r="B15" s="6">
        <f>D5+D$6*D5/SUM(D$3:D$5)</f>
        <v>5.2631578947368425E-2</v>
      </c>
      <c r="C15" t="s">
        <v>35</v>
      </c>
      <c r="D15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AQ2"/>
  <sheetViews>
    <sheetView workbookViewId="0"/>
  </sheetViews>
  <sheetFormatPr defaultRowHeight="15" x14ac:dyDescent="0.25"/>
  <cols>
    <col min="1" max="1" width="25.42578125" customWidth="1"/>
    <col min="2" max="43" width="9.85546875" customWidth="1"/>
  </cols>
  <sheetData>
    <row r="1" spans="1:43" x14ac:dyDescent="0.25">
      <c r="A1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4" t="s">
        <v>45</v>
      </c>
      <c r="J1" s="4" t="s">
        <v>46</v>
      </c>
      <c r="K1" s="4" t="s">
        <v>47</v>
      </c>
      <c r="L1" s="4" t="s">
        <v>48</v>
      </c>
      <c r="M1" s="4" t="s">
        <v>49</v>
      </c>
      <c r="N1" s="4" t="s">
        <v>50</v>
      </c>
      <c r="O1" s="4" t="s">
        <v>51</v>
      </c>
      <c r="P1" s="4" t="s">
        <v>52</v>
      </c>
      <c r="Q1" s="4" t="s">
        <v>53</v>
      </c>
      <c r="R1" s="4" t="s">
        <v>54</v>
      </c>
      <c r="S1" s="4" t="s">
        <v>55</v>
      </c>
      <c r="T1" s="4" t="s">
        <v>56</v>
      </c>
      <c r="U1" s="4" t="s">
        <v>33</v>
      </c>
      <c r="V1" s="4" t="s">
        <v>57</v>
      </c>
      <c r="W1" s="4" t="s">
        <v>58</v>
      </c>
      <c r="X1" s="4" t="s">
        <v>59</v>
      </c>
      <c r="Y1" s="4" t="s">
        <v>60</v>
      </c>
      <c r="Z1" s="4" t="s">
        <v>61</v>
      </c>
      <c r="AA1" s="4" t="s">
        <v>62</v>
      </c>
      <c r="AB1" s="4" t="s">
        <v>63</v>
      </c>
      <c r="AC1" s="4" t="s">
        <v>31</v>
      </c>
      <c r="AD1" s="4" t="s">
        <v>64</v>
      </c>
      <c r="AE1" s="4" t="s">
        <v>65</v>
      </c>
      <c r="AF1" s="4" t="s">
        <v>66</v>
      </c>
      <c r="AG1" s="4" t="s">
        <v>67</v>
      </c>
      <c r="AH1" s="4" t="s">
        <v>68</v>
      </c>
      <c r="AI1" s="4" t="s">
        <v>69</v>
      </c>
      <c r="AJ1" s="4" t="s">
        <v>70</v>
      </c>
      <c r="AK1" s="4" t="s">
        <v>71</v>
      </c>
      <c r="AL1" s="4" t="s">
        <v>35</v>
      </c>
      <c r="AM1" s="4" t="s">
        <v>72</v>
      </c>
      <c r="AN1" s="4" t="s">
        <v>73</v>
      </c>
      <c r="AO1" s="4" t="s">
        <v>74</v>
      </c>
      <c r="AP1" s="4" t="s">
        <v>75</v>
      </c>
      <c r="AQ1" s="4" t="s">
        <v>76</v>
      </c>
    </row>
    <row r="2" spans="1:43" x14ac:dyDescent="0.25">
      <c r="A2" t="s">
        <v>77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f>'DOE Data and Calcs'!B14</f>
        <v>0.34210526315789469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'DOE Data and Calcs'!B13</f>
        <v>0.60526315789473684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f>'DOE Data and Calcs'!B15</f>
        <v>5.2631578947368425E-2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Checks</vt:lpstr>
      <vt:lpstr>DOE Data and Calcs</vt:lpstr>
      <vt:lpstr>EVCRSbRIC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2020-08-24T23:35:41Z</dcterms:created>
  <dcterms:modified xsi:type="dcterms:W3CDTF">2026-08-25T16:35:43Z</dcterms:modified>
</cp:coreProperties>
</file>