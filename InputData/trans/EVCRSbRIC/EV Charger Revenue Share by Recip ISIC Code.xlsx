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05" yWindow="105" windowWidth="25665" windowHeight="1683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hecks" sheetId="2" state="visible" r:id="rId2"/>
    <sheet xmlns:r="http://schemas.openxmlformats.org/officeDocument/2006/relationships" name="DOE Data and Calcs" sheetId="3" state="visible" r:id="rId3"/>
    <sheet xmlns:r="http://schemas.openxmlformats.org/officeDocument/2006/relationships" name="EVCRSbR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fdc.energy.gov/files/u/publication/evse_cost_report_2015.pd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tabSelected="1" topLeftCell="A1" workbookViewId="0">
      <selection activeCell="A1" sqref="A1"/>
    </sheetView>
  </sheetViews>
  <sheetFormatPr baseColWidth="8" defaultRowHeight="15"/>
  <cols>
    <col width="68.5703125" customWidth="1" min="2" max="2"/>
  </cols>
  <sheetData>
    <row r="1">
      <c r="A1" s="1" t="inlineStr">
        <is>
          <t>EVCRSbRIC EV Charger Revenue Share by Recipient ISIC Code</t>
        </is>
      </c>
    </row>
    <row r="2"/>
    <row r="3">
      <c r="A3" s="1" t="inlineStr">
        <is>
          <t>Source:</t>
        </is>
      </c>
      <c r="B3" t="inlineStr">
        <is>
          <t>U.S. Department of Energy</t>
        </is>
      </c>
    </row>
    <row r="4">
      <c r="B4" s="3" t="n">
        <v>2015</v>
      </c>
    </row>
    <row r="5">
      <c r="B5" t="inlineStr">
        <is>
          <t>Costs Associated With Non-Residential Electric Vehicle Supply Equipment</t>
        </is>
      </c>
    </row>
    <row r="6">
      <c r="B6" s="2" t="inlineStr">
        <is>
          <t>https://afdc.energy.gov/files/u/publication/evse_cost_report_2015.pdf</t>
        </is>
      </c>
    </row>
    <row r="7">
      <c r="B7" t="inlineStr">
        <is>
          <t>Page 13</t>
        </is>
      </c>
    </row>
    <row r="8"/>
    <row r="9">
      <c r="A9" s="1" t="n"/>
    </row>
    <row r="11">
      <c r="A11" s="8" t="inlineStr">
        <is>
          <t>42-code sibling (build_sector_shares_42):</t>
        </is>
      </c>
    </row>
    <row r="12">
      <c r="A12" s="9" t="inlineStr">
        <is>
          <t>This workbook is the 42-code (un-split) sibling of the 52-code expansion. The 42 scheme is the 52 scheme with the six OECD-native parents</t>
        </is>
      </c>
    </row>
    <row r="13">
      <c r="A13" s="9" t="inlineStr">
        <is>
          <t>left merged (ISIC 01T03, 07T08, 30, 49T53, 69T82, 90T96); the BEA carves ISIC 231/239 and 351/352T353 are retained (present in both</t>
        </is>
      </c>
    </row>
    <row r="14">
      <c r="A14" s="9" t="inlineStr">
        <is>
          <t>schemes).</t>
        </is>
      </c>
    </row>
    <row r="16">
      <c r="A16" s="9" t="inlineStr">
        <is>
          <t>The output tabs are the stock derivation, unchanged and live: the stock workbook is natively 42-code (its output columns already are the</t>
        </is>
      </c>
    </row>
    <row r="17">
      <c r="A17" s="9" t="inlineStr">
        <is>
          <t>42-code ISIC list, in canonical order), so no child split is applied here.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8" t="inlineStr">
        <is>
          <t>Validation checks (42-code sibling)</t>
        </is>
      </c>
    </row>
    <row r="2">
      <c r="A2" s="9" t="inlineStr">
        <is>
          <t>Allocation output rows sum to 1 across the 42 ISIC codes (rate files excluded — see note).</t>
        </is>
      </c>
    </row>
    <row r="4">
      <c r="A4" s="8" t="inlineStr">
        <is>
          <t>EVCRSbRIC.csv</t>
        </is>
      </c>
    </row>
    <row r="5">
      <c r="A5" t="inlineStr">
        <is>
          <t xml:space="preserve">  Share of Costs by ISIC Code</t>
        </is>
      </c>
      <c r="B5">
        <f>SUM('EVCRSbRIC'!B2:AQ2)</f>
        <v/>
      </c>
      <c r="C5" s="8">
        <f>IF(ABS(B5-1)&lt;0.000001,"=1",IF(ABS(B5)&lt;0.000001,"=0","CHECK"))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1.42578125" customWidth="1" min="1" max="1"/>
    <col width="20.42578125" bestFit="1" customWidth="1" min="2" max="2"/>
    <col width="22.28515625" customWidth="1" min="3" max="3"/>
    <col width="20.85546875" customWidth="1" min="4" max="4"/>
  </cols>
  <sheetData>
    <row r="1">
      <c r="A1" s="1" t="inlineStr">
        <is>
          <t>DOE Cost Breakdown</t>
        </is>
      </c>
    </row>
    <row r="2">
      <c r="A2" s="7" t="inlineStr">
        <is>
          <t>Recipient</t>
        </is>
      </c>
      <c r="B2" s="7" t="inlineStr">
        <is>
          <t>Low</t>
        </is>
      </c>
      <c r="C2" s="7" t="inlineStr">
        <is>
          <t>High</t>
        </is>
      </c>
      <c r="D2" s="7" t="inlineStr">
        <is>
          <t>Average</t>
        </is>
      </c>
    </row>
    <row r="3">
      <c r="A3" t="inlineStr">
        <is>
          <t>Labor</t>
        </is>
      </c>
      <c r="B3" s="5" t="n">
        <v>0.55</v>
      </c>
      <c r="C3" s="5" t="n">
        <v>0.6</v>
      </c>
      <c r="D3" s="6">
        <f>AVERAGE(B3:C3)</f>
        <v/>
      </c>
    </row>
    <row r="4">
      <c r="A4" t="inlineStr">
        <is>
          <t>Materials</t>
        </is>
      </c>
      <c r="B4" s="5" t="n">
        <v>0.3</v>
      </c>
      <c r="C4" s="5" t="n">
        <v>0.35</v>
      </c>
      <c r="D4" s="6">
        <f>AVERAGE(B4:C4)</f>
        <v/>
      </c>
    </row>
    <row r="5">
      <c r="A5" t="inlineStr">
        <is>
          <t>Permits</t>
        </is>
      </c>
      <c r="B5" s="5" t="n">
        <v>0.05</v>
      </c>
      <c r="C5" s="5" t="n">
        <v>0.05</v>
      </c>
      <c r="D5" s="5">
        <f>AVERAGE(B5:C5)</f>
        <v/>
      </c>
    </row>
    <row r="6">
      <c r="A6" t="inlineStr">
        <is>
          <t>Taxes</t>
        </is>
      </c>
      <c r="B6" s="5" t="n">
        <v>0.05</v>
      </c>
      <c r="C6" s="5" t="n">
        <v>0.05</v>
      </c>
      <c r="D6" s="5">
        <f>AVERAGE(B6:C6)</f>
        <v/>
      </c>
    </row>
    <row r="8">
      <c r="A8" t="inlineStr">
        <is>
          <t>Taxes on labor and on non-fuel goods are handled at the Cross-Sector Totals sheet</t>
        </is>
      </c>
    </row>
    <row r="9">
      <c r="A9" t="inlineStr">
        <is>
          <t>and should not be taken out here.  Therefore, we reallocate the taxes share</t>
        </is>
      </c>
    </row>
    <row r="10">
      <c r="A10" t="inlineStr">
        <is>
          <t>proportionately to the other recipients.</t>
        </is>
      </c>
    </row>
    <row r="12">
      <c r="A12" s="7" t="inlineStr">
        <is>
          <t>Recipient</t>
        </is>
      </c>
      <c r="B12" s="7" t="inlineStr">
        <is>
          <t>Share</t>
        </is>
      </c>
      <c r="C12" s="7" t="inlineStr">
        <is>
          <t>Assigned ISIC Code</t>
        </is>
      </c>
      <c r="D12" s="7" t="inlineStr">
        <is>
          <t>ISIC Code Meaning</t>
        </is>
      </c>
    </row>
    <row r="13">
      <c r="A13" t="inlineStr">
        <is>
          <t>Labor</t>
        </is>
      </c>
      <c r="B13" s="6">
        <f>D3+D$6*D3/SUM(D$3:D$5)</f>
        <v/>
      </c>
      <c r="C13" t="inlineStr">
        <is>
          <t>ISIC 41T43</t>
        </is>
      </c>
      <c r="D13" t="inlineStr">
        <is>
          <t>Construction</t>
        </is>
      </c>
    </row>
    <row r="14">
      <c r="A14" t="inlineStr">
        <is>
          <t>Materials</t>
        </is>
      </c>
      <c r="B14" s="6">
        <f>D4+D$6*D4/SUM(D$3:D$5)</f>
        <v/>
      </c>
      <c r="C14" t="inlineStr">
        <is>
          <t>ISIC 27</t>
        </is>
      </c>
      <c r="D14" t="inlineStr">
        <is>
          <t>Electrical Equipment</t>
        </is>
      </c>
    </row>
    <row r="15">
      <c r="A15" t="inlineStr">
        <is>
          <t>Permits</t>
        </is>
      </c>
      <c r="B15" s="6">
        <f>D5+D$6*D5/SUM(D$3:D$5)</f>
        <v/>
      </c>
      <c r="C15" t="inlineStr">
        <is>
          <t>ISIC 69T82</t>
        </is>
      </c>
      <c r="D15" t="inlineStr">
        <is>
          <t>Other business sector services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AQ2"/>
  <sheetViews>
    <sheetView workbookViewId="0">
      <selection activeCell="A1" sqref="A1"/>
    </sheetView>
  </sheetViews>
  <sheetFormatPr baseColWidth="8" defaultRowHeight="15"/>
  <cols>
    <col width="25.42578125" customWidth="1" min="1" max="1"/>
    <col width="9.85546875" customWidth="1" min="2" max="43"/>
  </cols>
  <sheetData>
    <row r="1">
      <c r="A1" t="inlineStr">
        <is>
          <t>Unit: %</t>
        </is>
      </c>
      <c r="B1" s="4" t="inlineStr">
        <is>
          <t>ISIC 01T03</t>
        </is>
      </c>
      <c r="C1" s="4" t="inlineStr">
        <is>
          <t>ISIC 05</t>
        </is>
      </c>
      <c r="D1" s="4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4" t="inlineStr">
        <is>
          <t>ISIC 20</t>
        </is>
      </c>
      <c r="M1" s="4" t="inlineStr">
        <is>
          <t>ISIC 21</t>
        </is>
      </c>
      <c r="N1" s="4" t="inlineStr">
        <is>
          <t>ISIC 22</t>
        </is>
      </c>
      <c r="O1" s="4" t="inlineStr">
        <is>
          <t>ISIC 231</t>
        </is>
      </c>
      <c r="P1" s="4" t="inlineStr">
        <is>
          <t>ISIC 239</t>
        </is>
      </c>
      <c r="Q1" s="4" t="inlineStr">
        <is>
          <t>ISIC 241</t>
        </is>
      </c>
      <c r="R1" s="4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4" t="inlineStr">
        <is>
          <t>ISIC 351</t>
        </is>
      </c>
      <c r="AA1" s="4" t="inlineStr">
        <is>
          <t>ISIC 352T353</t>
        </is>
      </c>
      <c r="AB1" s="4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>
      <c r="A2" t="inlineStr">
        <is>
          <t>Share of Costs by ISIC Code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>
        <f>'DOE Data and Calcs'!B14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>
        <f>'DOE Data and Calcs'!B13</f>
        <v/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>
        <f>'DOE Data and Calcs'!B15</f>
        <v/>
      </c>
      <c r="AM2" t="n">
        <v>0</v>
      </c>
      <c r="AN2" t="n">
        <v>0</v>
      </c>
      <c r="AO2" t="n">
        <v>0</v>
      </c>
      <c r="AP2" t="n">
        <v>0</v>
      </c>
      <c r="AQ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2020-08-24T23:35:41Z</dcterms:created>
  <dcterms:modified xmlns:dcterms="http://purl.org/dc/terms/" xmlns:xsi="http://www.w3.org/2001/XMLSchema-instance" xsi:type="dcterms:W3CDTF">2026-07-21T20:48:47Z</dcterms:modified>
  <cp:lastModifiedBy>Jeffrey Rissman</cp:lastModifiedBy>
</cp:coreProperties>
</file>