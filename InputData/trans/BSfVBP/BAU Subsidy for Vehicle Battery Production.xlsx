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BSfVBP\"/>
    </mc:Choice>
  </mc:AlternateContent>
  <xr:revisionPtr revIDLastSave="0" documentId="13_ncr:1_{C8F63064-E60C-4E0D-89A3-031CD1AE0005}" xr6:coauthVersionLast="47" xr6:coauthVersionMax="47" xr10:uidLastSave="{00000000-0000-0000-0000-000000000000}"/>
  <bookViews>
    <workbookView xWindow="38280" yWindow="-120" windowWidth="29040" windowHeight="17520" xr2:uid="{DC12087C-9A27-4A43-B4A9-6B3F1E517F08}"/>
  </bookViews>
  <sheets>
    <sheet name="About" sheetId="1" r:id="rId1"/>
    <sheet name="Phase Out" sheetId="3" r:id="rId2"/>
    <sheet name="BSfVB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G2" i="2"/>
  <c r="H2" i="2"/>
  <c r="I2" i="2"/>
  <c r="J2" i="2"/>
  <c r="K2" i="2"/>
  <c r="L2" i="2"/>
  <c r="M2" i="2"/>
  <c r="N2" i="2"/>
  <c r="F2" i="2"/>
  <c r="E2" i="2"/>
  <c r="D2" i="2"/>
</calcChain>
</file>

<file path=xl/sharedStrings.xml><?xml version="1.0" encoding="utf-8"?>
<sst xmlns="http://schemas.openxmlformats.org/spreadsheetml/2006/main" count="13" uniqueCount="13">
  <si>
    <t>Sources:</t>
  </si>
  <si>
    <t>Price</t>
  </si>
  <si>
    <t>$/kWh</t>
  </si>
  <si>
    <t>Notes:</t>
  </si>
  <si>
    <t>BSfVBP BAU Subsidy for Vehicle Battery Production</t>
  </si>
  <si>
    <t>In the US, the Inflation Reduction Act includes a credit of $35/kWh for battery cells and $10/kWh for assembly for onroad vehicle</t>
  </si>
  <si>
    <t>United States Congress</t>
  </si>
  <si>
    <t>H.R. 5376 - Inflation Reduction Act of 2022</t>
  </si>
  <si>
    <t>https://www.congress.gov/bill/117th-congress/house-bill/5376/text</t>
  </si>
  <si>
    <t>2023 to 2012 USD</t>
  </si>
  <si>
    <t>2024 to 2012 USD</t>
  </si>
  <si>
    <t>annual inflation assumption after 2024</t>
  </si>
  <si>
    <t>batteries. This value is not inflation adjusted.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</si>
</sst>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14"/>
  <sheetViews>
    <sheetView tabSelected="1" workbookViewId="0">
      <selection activeCell="B37" sqref="B37"/>
    </sheetView>
  </sheetViews>
  <sheetFormatPr defaultRowHeight="14.5" x14ac:dyDescent="0.35"/>
  <cols>
    <col min="2" max="2" width="101.26953125" customWidth="1"/>
  </cols>
  <sheetData>
    <row r="1" spans="1:2" x14ac:dyDescent="0.35">
      <c r="A1" s="1" t="s">
        <v>4</v>
      </c>
    </row>
    <row r="3" spans="1:2" x14ac:dyDescent="0.35">
      <c r="A3" s="1" t="s">
        <v>0</v>
      </c>
      <c r="B3" t="s">
        <v>6</v>
      </c>
    </row>
    <row r="4" spans="1:2" x14ac:dyDescent="0.35">
      <c r="B4" s="2">
        <v>2022</v>
      </c>
    </row>
    <row r="5" spans="1:2" x14ac:dyDescent="0.35">
      <c r="B5" s="2" t="s">
        <v>7</v>
      </c>
    </row>
    <row r="6" spans="1:2" x14ac:dyDescent="0.35">
      <c r="B6" t="s">
        <v>8</v>
      </c>
    </row>
    <row r="8" spans="1:2" x14ac:dyDescent="0.35">
      <c r="A8" s="1" t="s">
        <v>3</v>
      </c>
    </row>
    <row r="9" spans="1:2" x14ac:dyDescent="0.35">
      <c r="A9" t="s">
        <v>5</v>
      </c>
    </row>
    <row r="10" spans="1:2" x14ac:dyDescent="0.35">
      <c r="A10" t="s">
        <v>12</v>
      </c>
    </row>
    <row r="12" spans="1:2" x14ac:dyDescent="0.35">
      <c r="A12">
        <v>0.75350342301658668</v>
      </c>
      <c r="B12" t="s">
        <v>9</v>
      </c>
    </row>
    <row r="13" spans="1:2" x14ac:dyDescent="0.35">
      <c r="A13">
        <v>0.73</v>
      </c>
      <c r="B13" t="s">
        <v>10</v>
      </c>
    </row>
    <row r="14" spans="1:2" x14ac:dyDescent="0.35">
      <c r="A14" s="3">
        <v>0.03</v>
      </c>
      <c r="B14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9E03B-0117-4904-B384-FB6A8159AD7F}">
  <dimension ref="B2:K3"/>
  <sheetViews>
    <sheetView workbookViewId="0">
      <selection activeCell="L3" sqref="L3"/>
    </sheetView>
  </sheetViews>
  <sheetFormatPr defaultRowHeight="14.5" x14ac:dyDescent="0.35"/>
  <sheetData>
    <row r="2" spans="2:11" x14ac:dyDescent="0.35">
      <c r="B2">
        <v>2023</v>
      </c>
      <c r="C2">
        <v>2024</v>
      </c>
      <c r="D2">
        <v>2025</v>
      </c>
      <c r="E2">
        <v>2026</v>
      </c>
      <c r="F2">
        <v>2027</v>
      </c>
      <c r="G2">
        <v>2028</v>
      </c>
      <c r="H2">
        <v>2029</v>
      </c>
      <c r="I2">
        <v>2030</v>
      </c>
      <c r="J2">
        <v>2031</v>
      </c>
      <c r="K2">
        <v>2032</v>
      </c>
    </row>
    <row r="3" spans="2:11" x14ac:dyDescent="0.35"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0.75</v>
      </c>
      <c r="J3">
        <v>0.5</v>
      </c>
      <c r="K3"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E2"/>
  <sheetViews>
    <sheetView workbookViewId="0">
      <selection activeCell="N2" sqref="N2:AE2"/>
    </sheetView>
  </sheetViews>
  <sheetFormatPr defaultRowHeight="14.5" x14ac:dyDescent="0.35"/>
  <sheetData>
    <row r="1" spans="1:31" x14ac:dyDescent="0.35">
      <c r="A1" t="s">
        <v>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1</v>
      </c>
      <c r="B2">
        <v>0</v>
      </c>
      <c r="C2">
        <v>0</v>
      </c>
      <c r="D2">
        <f>45*About!$A$12</f>
        <v>33.907654035746404</v>
      </c>
      <c r="E2">
        <f>45*About!$A$13</f>
        <v>32.85</v>
      </c>
      <c r="F2">
        <f>$E2*(1-About!$A$14)^(F1-$E1)*'Phase Out'!D3</f>
        <v>31.8645</v>
      </c>
      <c r="G2">
        <f>$E2*(1-About!$A$14)^(G1-$E1)*'Phase Out'!E3</f>
        <v>30.908564999999999</v>
      </c>
      <c r="H2">
        <f>$E2*(1-About!$A$14)^(H1-$E1)*'Phase Out'!F3</f>
        <v>29.981308049999999</v>
      </c>
      <c r="I2">
        <f>$E2*(1-About!$A$14)^(I1-$E1)*'Phase Out'!G3</f>
        <v>29.081868808499998</v>
      </c>
      <c r="J2">
        <f>$E2*(1-About!$A$14)^(J1-$E1)*'Phase Out'!H3</f>
        <v>28.209412744244997</v>
      </c>
      <c r="K2">
        <f>$E2*(1-About!$A$14)^(K1-$E1)*'Phase Out'!I3</f>
        <v>20.522347771438234</v>
      </c>
      <c r="L2">
        <f>$E2*(1-About!$A$14)^(L1-$E1)*'Phase Out'!J3</f>
        <v>13.27111822553006</v>
      </c>
      <c r="M2">
        <f>$E2*(1-About!$A$14)^(M1-$E1)*'Phase Out'!K3</f>
        <v>6.4364923393820792</v>
      </c>
      <c r="N2">
        <f>$E2*(1-About!$A$14)^(N1-$E1)*'Phase Out'!L3</f>
        <v>0</v>
      </c>
      <c r="O2">
        <f>$E2*(1-About!$A$14)^(O1-$E1)*'Phase Out'!M3</f>
        <v>0</v>
      </c>
      <c r="P2">
        <f>$E2*(1-About!$A$14)^(P1-$E1)*'Phase Out'!N3</f>
        <v>0</v>
      </c>
      <c r="Q2">
        <f>$E2*(1-About!$A$14)^(Q1-$E1)*'Phase Out'!O3</f>
        <v>0</v>
      </c>
      <c r="R2">
        <f>$E2*(1-About!$A$14)^(R1-$E1)*'Phase Out'!P3</f>
        <v>0</v>
      </c>
      <c r="S2">
        <f>$E2*(1-About!$A$14)^(S1-$E1)*'Phase Out'!Q3</f>
        <v>0</v>
      </c>
      <c r="T2">
        <f>$E2*(1-About!$A$14)^(T1-$E1)*'Phase Out'!R3</f>
        <v>0</v>
      </c>
      <c r="U2">
        <f>$E2*(1-About!$A$14)^(U1-$E1)*'Phase Out'!S3</f>
        <v>0</v>
      </c>
      <c r="V2">
        <f>$E2*(1-About!$A$14)^(V1-$E1)*'Phase Out'!T3</f>
        <v>0</v>
      </c>
      <c r="W2">
        <f>$E2*(1-About!$A$14)^(W1-$E1)*'Phase Out'!U3</f>
        <v>0</v>
      </c>
      <c r="X2">
        <f>$E2*(1-About!$A$14)^(X1-$E1)*'Phase Out'!V3</f>
        <v>0</v>
      </c>
      <c r="Y2">
        <f>$E2*(1-About!$A$14)^(Y1-$E1)*'Phase Out'!W3</f>
        <v>0</v>
      </c>
      <c r="Z2">
        <f>$E2*(1-About!$A$14)^(Z1-$E1)*'Phase Out'!X3</f>
        <v>0</v>
      </c>
      <c r="AA2">
        <f>$E2*(1-About!$A$14)^(AA1-$E1)*'Phase Out'!Y3</f>
        <v>0</v>
      </c>
      <c r="AB2">
        <f>$E2*(1-About!$A$14)^(AB1-$E1)*'Phase Out'!Z3</f>
        <v>0</v>
      </c>
      <c r="AC2">
        <f>$E2*(1-About!$A$14)^(AC1-$E1)*'Phase Out'!AA3</f>
        <v>0</v>
      </c>
      <c r="AD2">
        <f>$E2*(1-About!$A$14)^(AD1-$E1)*'Phase Out'!AB3</f>
        <v>0</v>
      </c>
      <c r="AE2">
        <f>$E2*(1-About!$A$14)^(AE1-$E1)*'Phase Out'!AC3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Phase Out</vt:lpstr>
      <vt:lpstr>BSfVBP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2023-05-03T18:24:38Z</dcterms:created>
  <dcterms:modified xsi:type="dcterms:W3CDTF">2026-03-04T17:25:52Z</dcterms:modified>
</cp:coreProperties>
</file>