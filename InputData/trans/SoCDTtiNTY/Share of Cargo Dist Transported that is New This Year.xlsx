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eps-us-calibration\InputData\trans\SoCDTtiNTY\"/>
    </mc:Choice>
  </mc:AlternateContent>
  <xr:revisionPtr revIDLastSave="0" documentId="13_ncr:1_{E42CAD3C-1921-4FBF-9916-C63629BB0C13}" xr6:coauthVersionLast="47" xr6:coauthVersionMax="47" xr10:uidLastSave="{00000000-0000-0000-0000-000000000000}"/>
  <bookViews>
    <workbookView xWindow="768" yWindow="768" windowWidth="17280" windowHeight="10008" activeTab="1" xr2:uid="{00000000-000D-0000-FFFF-FFFF00000000}"/>
  </bookViews>
  <sheets>
    <sheet name="About" sheetId="1" r:id="rId1"/>
    <sheet name="Calibration" sheetId="5" r:id="rId2"/>
    <sheet name="SoCDTtiNTY-psgr" sheetId="2" r:id="rId3"/>
    <sheet name="SoCDTtiNTY-frg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G7" i="4"/>
  <c r="F7" i="4"/>
  <c r="E7" i="4"/>
  <c r="D7" i="4"/>
  <c r="C7" i="4"/>
  <c r="B7" i="4"/>
  <c r="H6" i="4"/>
  <c r="G6" i="4"/>
  <c r="F6" i="4"/>
  <c r="E6" i="4"/>
  <c r="D6" i="4"/>
  <c r="C6" i="4"/>
  <c r="B6" i="4"/>
  <c r="H5" i="4"/>
  <c r="G5" i="4"/>
  <c r="F5" i="4"/>
  <c r="E5" i="4"/>
  <c r="D5" i="4"/>
  <c r="C5" i="4"/>
  <c r="B5" i="4"/>
  <c r="H4" i="4"/>
  <c r="G4" i="4"/>
  <c r="F4" i="4"/>
  <c r="E4" i="4"/>
  <c r="D4" i="4"/>
  <c r="C4" i="4"/>
  <c r="B4" i="4"/>
  <c r="H3" i="4"/>
  <c r="G3" i="4"/>
  <c r="F3" i="4"/>
  <c r="E3" i="4"/>
  <c r="D3" i="4"/>
  <c r="C3" i="4"/>
  <c r="B3" i="4"/>
  <c r="H2" i="4"/>
  <c r="G2" i="4"/>
  <c r="F2" i="4"/>
  <c r="E2" i="4"/>
  <c r="D2" i="4"/>
  <c r="C2" i="4"/>
  <c r="B2" i="4"/>
  <c r="H7" i="2"/>
  <c r="G7" i="2"/>
  <c r="F7" i="2"/>
  <c r="E7" i="2"/>
  <c r="D7" i="2"/>
  <c r="C7" i="2"/>
  <c r="B7" i="2"/>
  <c r="H6" i="2"/>
  <c r="G6" i="2"/>
  <c r="F6" i="2"/>
  <c r="E6" i="2"/>
  <c r="D6" i="2"/>
  <c r="C6" i="2"/>
  <c r="B6" i="2"/>
  <c r="H5" i="2"/>
  <c r="G5" i="2"/>
  <c r="F5" i="2"/>
  <c r="E5" i="2"/>
  <c r="D5" i="2"/>
  <c r="C5" i="2"/>
  <c r="B5" i="2"/>
  <c r="H4" i="2"/>
  <c r="G4" i="2"/>
  <c r="F4" i="2"/>
  <c r="E4" i="2"/>
  <c r="D4" i="2"/>
  <c r="C4" i="2"/>
  <c r="B4" i="2"/>
  <c r="H3" i="2"/>
  <c r="G3" i="2"/>
  <c r="F3" i="2"/>
  <c r="E3" i="2"/>
  <c r="D3" i="2"/>
  <c r="C3" i="2"/>
  <c r="B3" i="2"/>
  <c r="H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<sst xmlns="http://schemas.openxmlformats.org/spreadsheetml/2006/main" count="89" uniqueCount="45">
  <si>
    <t>SoCDTtiNTY Share of Cargo Dist Transported that is New This Year</t>
  </si>
  <si>
    <t>Source:</t>
  </si>
  <si>
    <t>None, this variable is determined via calibration.</t>
  </si>
  <si>
    <t>It effectively relies upon the sources used in the</t>
  </si>
  <si>
    <t>variables trans/BCDT and trans/AVL.</t>
  </si>
  <si>
    <t>Notes</t>
  </si>
  <si>
    <t>The value for each vehicle type/cargo type combination should</t>
  </si>
  <si>
    <t>typically be found via calibration.  After all other Transportation</t>
  </si>
  <si>
    <t>Sector data are in place, adjust the values of SoCDTtiNTY so as</t>
  </si>
  <si>
    <t>to eliminate abrupt changes in the variable "Retiring Vehicles</t>
  </si>
  <si>
    <t>Summed Across Techologies" at the years corresponding to</t>
  </si>
  <si>
    <t>vehicle lifetimes.</t>
  </si>
  <si>
    <t>LDVs</t>
  </si>
  <si>
    <t>HDVs</t>
  </si>
  <si>
    <t>aircraft</t>
  </si>
  <si>
    <t>rail</t>
  </si>
  <si>
    <t>ships</t>
  </si>
  <si>
    <t>motorbikes</t>
  </si>
  <si>
    <t>Share that is New (dimensionless)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</si>
  <si>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</si>
  <si>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</si>
  <si>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</si>
  <si>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</si>
  <si>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</si>
  <si>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</si>
  <si>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</si>
  <si>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Calibrated share of cargo distance that is new this year (SoCDTtiNTY), by vehicle type and cargo type</t>
  </si>
  <si>
    <t>Solved offline by calibration/steps/01-trans-turnover/solve.py (pinned mode) from the BAU export, confirmed by a headless run. The share is the one value at which retirements at the handoff year (IT + lifetime) equal New Vehicles in the start year, so 'Retiring Vehicles Summed Across Technologies' has no step; ANVCV (trans/ANVCV) then carries total sales onto the benchmark path every year. The same share applies to every vehicle technology in a row.</t>
  </si>
  <si>
    <t>Vehicle type</t>
  </si>
  <si>
    <t>Cargo type</t>
  </si>
  <si>
    <t>Pre-calibration share</t>
  </si>
  <si>
    <t>CALIBRATED SHARE USED IN THE OUTPUT TABS</t>
  </si>
  <si>
    <t>Vehicle lifetime (yr)</t>
  </si>
  <si>
    <t>Handoff year (IT + lifetime)</t>
  </si>
  <si>
    <t>Note</t>
  </si>
  <si>
    <t>passenger</t>
  </si>
  <si>
    <t>pinned mode: sales = benchmark path every year; ANVCV carries the difference; early retirements 16.38M vs smoothed real cohort 12.63M</t>
  </si>
  <si>
    <t>NO SALES HISTORY -&gt; step-free criterion only; prompt the user to research a source</t>
  </si>
  <si>
    <t>freight</t>
  </si>
  <si>
    <t>pinned mode: sales = benchmark path every year; ANVCV carries the difference; early retirements 1.73M vs smoothed real cohort 1.43M</t>
  </si>
  <si>
    <t>no modelled additions at IT - group skipped</t>
  </si>
  <si>
    <t>Calibration record (2026-09-22)</t>
  </si>
  <si>
    <t>Values now come from the Calibration tab, written by calibration/steps/01-trans-turnover/solve.py (pinned mode)</t>
  </si>
  <si>
    <t>on the BAU export and confirmed by a headless run: retirement step at every handoff 0.0%.</t>
  </si>
  <si>
    <t>SoCDTtiNTY and trans/ANVCV are solved together; see the ANVCV workbook and calibration/calibration-log.md.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</si>
</sst>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L12" sqref="L12"/>
    </sheetView>
  </sheetViews>
  <sheetFormatPr defaultRowHeight="14.4" x14ac:dyDescent="0.3"/>
  <sheetData>
    <row r="1" spans="1:2" x14ac:dyDescent="0.3">
      <c r="A1" s="1" t="s">
        <v>0</v>
      </c>
    </row>
    <row r="3" spans="1:2" x14ac:dyDescent="0.3">
      <c r="A3" s="1" t="s">
        <v>1</v>
      </c>
      <c r="B3" t="s">
        <v>2</v>
      </c>
    </row>
    <row r="4" spans="1:2" x14ac:dyDescent="0.3">
      <c r="B4" t="s">
        <v>3</v>
      </c>
    </row>
    <row r="5" spans="1:2" x14ac:dyDescent="0.3">
      <c r="B5" t="s">
        <v>4</v>
      </c>
    </row>
    <row r="8" spans="1:2" x14ac:dyDescent="0.3">
      <c r="A8" s="1" t="s">
        <v>5</v>
      </c>
    </row>
    <row r="9" spans="1:2" x14ac:dyDescent="0.3">
      <c r="A9" t="s">
        <v>6</v>
      </c>
    </row>
    <row r="10" spans="1:2" x14ac:dyDescent="0.3">
      <c r="A10" t="s">
        <v>7</v>
      </c>
    </row>
    <row r="11" spans="1:2" x14ac:dyDescent="0.3">
      <c r="A11" t="s">
        <v>8</v>
      </c>
    </row>
    <row r="12" spans="1:2" x14ac:dyDescent="0.3">
      <c r="A12" t="s">
        <v>9</v>
      </c>
    </row>
    <row r="13" spans="1:2" x14ac:dyDescent="0.3">
      <c r="A13" t="s">
        <v>10</v>
      </c>
    </row>
    <row r="14" spans="1:2" x14ac:dyDescent="0.3">
      <c r="A14" t="s">
        <v>11</v>
      </c>
    </row>
    <row r="16" spans="1:2" x14ac:dyDescent="0.3">
      <c r="A16" s="1" t="s">
        <v>41</v>
      </c>
    </row>
    <row r="17" spans="1:1" x14ac:dyDescent="0.3">
      <c r="A17" t="s">
        <v>42</v>
      </c>
    </row>
    <row r="18" spans="1:1" x14ac:dyDescent="0.3">
      <c r="A18" t="s">
        <v>43</v>
      </c>
    </row>
    <row r="19" spans="1:1" x14ac:dyDescent="0.3">
      <c r="A19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EAA0-6CDA-46A4-9551-1AF30E0810B8}">
  <dimension ref="A1:G16"/>
  <sheetViews>
    <sheetView tabSelected="1" workbookViewId="0"/>
  </sheetViews>
  <sheetFormatPr defaultRowHeight="14.4" x14ac:dyDescent="0.3"/>
  <cols>
    <col min="1" max="6" width="18.77734375" customWidth="1"/>
    <col min="7" max="7" width="90.77734375" customWidth="1"/>
  </cols>
  <sheetData>
    <row r="1" spans="1:7" x14ac:dyDescent="0.3">
      <c r="A1" s="1" t="s">
        <v>26</v>
      </c>
    </row>
    <row r="2" spans="1:7" ht="60" customHeight="1" x14ac:dyDescent="0.3">
      <c r="A2" s="4" t="s">
        <v>27</v>
      </c>
    </row>
    <row r="4" spans="1:7" ht="45" customHeight="1" x14ac:dyDescent="0.3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</row>
    <row r="5" spans="1:7" x14ac:dyDescent="0.3">
      <c r="A5" t="s">
        <v>12</v>
      </c>
      <c r="B5" t="s">
        <v>35</v>
      </c>
      <c r="C5">
        <v>5.8823528999999999E-2</v>
      </c>
      <c r="D5">
        <v>5.2610446429999999E-2</v>
      </c>
      <c r="E5">
        <v>17</v>
      </c>
      <c r="F5">
        <v>2042</v>
      </c>
      <c r="G5" t="s">
        <v>36</v>
      </c>
    </row>
    <row r="6" spans="1:7" x14ac:dyDescent="0.3">
      <c r="A6" t="s">
        <v>13</v>
      </c>
      <c r="B6" t="s">
        <v>35</v>
      </c>
      <c r="C6">
        <v>0.09</v>
      </c>
      <c r="D6">
        <v>8.0861165190000001E-2</v>
      </c>
      <c r="E6">
        <v>12</v>
      </c>
      <c r="F6">
        <v>2037</v>
      </c>
      <c r="G6" t="s">
        <v>37</v>
      </c>
    </row>
    <row r="7" spans="1:7" x14ac:dyDescent="0.3">
      <c r="A7" t="s">
        <v>14</v>
      </c>
      <c r="B7" t="s">
        <v>35</v>
      </c>
      <c r="C7">
        <v>4.1599999999999998E-2</v>
      </c>
      <c r="D7">
        <v>4.1162105259999998E-2</v>
      </c>
      <c r="E7">
        <v>24</v>
      </c>
      <c r="F7">
        <v>2049</v>
      </c>
      <c r="G7" t="s">
        <v>37</v>
      </c>
    </row>
    <row r="8" spans="1:7" x14ac:dyDescent="0.3">
      <c r="A8" t="s">
        <v>15</v>
      </c>
      <c r="B8" t="s">
        <v>35</v>
      </c>
      <c r="C8">
        <v>2.9000000000000001E-2</v>
      </c>
      <c r="D8">
        <v>2.9358024690000002E-2</v>
      </c>
      <c r="E8">
        <v>34</v>
      </c>
      <c r="F8">
        <v>2059</v>
      </c>
      <c r="G8" t="s">
        <v>37</v>
      </c>
    </row>
    <row r="9" spans="1:7" x14ac:dyDescent="0.3">
      <c r="A9" t="s">
        <v>16</v>
      </c>
      <c r="B9" t="s">
        <v>35</v>
      </c>
      <c r="C9">
        <v>2.9819999999999999E-2</v>
      </c>
      <c r="D9">
        <v>3.0532475449999999E-2</v>
      </c>
      <c r="E9">
        <v>33</v>
      </c>
      <c r="F9">
        <v>2058</v>
      </c>
      <c r="G9" t="s">
        <v>37</v>
      </c>
    </row>
    <row r="10" spans="1:7" x14ac:dyDescent="0.3">
      <c r="A10" t="s">
        <v>17</v>
      </c>
      <c r="B10" t="s">
        <v>35</v>
      </c>
      <c r="C10">
        <v>5.8500000000000003E-2</v>
      </c>
      <c r="D10">
        <v>5.8824040799999998E-2</v>
      </c>
      <c r="E10">
        <v>17</v>
      </c>
      <c r="F10">
        <v>2042</v>
      </c>
      <c r="G10" t="s">
        <v>37</v>
      </c>
    </row>
    <row r="11" spans="1:7" x14ac:dyDescent="0.3">
      <c r="A11" t="s">
        <v>12</v>
      </c>
      <c r="B11" t="s">
        <v>38</v>
      </c>
      <c r="C11">
        <v>5.8823528999999999E-2</v>
      </c>
      <c r="D11">
        <v>6.6346126409999998E-2</v>
      </c>
      <c r="E11">
        <v>15</v>
      </c>
      <c r="F11">
        <v>2040</v>
      </c>
      <c r="G11" t="s">
        <v>39</v>
      </c>
    </row>
    <row r="12" spans="1:7" x14ac:dyDescent="0.3">
      <c r="A12" t="s">
        <v>13</v>
      </c>
      <c r="B12" t="s">
        <v>38</v>
      </c>
      <c r="C12">
        <v>5.2631578999999998E-2</v>
      </c>
      <c r="D12">
        <v>4.8805332860000002E-2</v>
      </c>
      <c r="E12">
        <v>20</v>
      </c>
      <c r="F12">
        <v>2045</v>
      </c>
      <c r="G12" t="s">
        <v>37</v>
      </c>
    </row>
    <row r="13" spans="1:7" x14ac:dyDescent="0.3">
      <c r="A13" t="s">
        <v>14</v>
      </c>
      <c r="B13" t="s">
        <v>38</v>
      </c>
      <c r="C13">
        <v>2.8000000000000001E-2</v>
      </c>
      <c r="D13">
        <v>4.0444444439999998E-2</v>
      </c>
      <c r="E13">
        <v>24</v>
      </c>
      <c r="F13">
        <v>2049</v>
      </c>
      <c r="G13" t="s">
        <v>37</v>
      </c>
    </row>
    <row r="14" spans="1:7" x14ac:dyDescent="0.3">
      <c r="A14" t="s">
        <v>15</v>
      </c>
      <c r="B14" t="s">
        <v>38</v>
      </c>
      <c r="C14">
        <v>2.9000000000000001E-2</v>
      </c>
      <c r="D14">
        <v>2.8760989010000002E-2</v>
      </c>
      <c r="E14">
        <v>34</v>
      </c>
      <c r="F14">
        <v>2059</v>
      </c>
      <c r="G14" t="s">
        <v>37</v>
      </c>
    </row>
    <row r="15" spans="1:7" x14ac:dyDescent="0.3">
      <c r="A15" t="s">
        <v>16</v>
      </c>
      <c r="B15" t="s">
        <v>38</v>
      </c>
      <c r="C15">
        <v>3.0300000000000001E-2</v>
      </c>
      <c r="D15">
        <v>3.0300000000000001E-2</v>
      </c>
      <c r="E15">
        <v>33</v>
      </c>
      <c r="F15">
        <v>2058</v>
      </c>
      <c r="G15" t="s">
        <v>37</v>
      </c>
    </row>
    <row r="16" spans="1:7" x14ac:dyDescent="0.3">
      <c r="A16" t="s">
        <v>17</v>
      </c>
      <c r="B16" t="s">
        <v>38</v>
      </c>
      <c r="C16">
        <v>0</v>
      </c>
      <c r="D16">
        <v>0</v>
      </c>
      <c r="E16">
        <v>17</v>
      </c>
      <c r="F16">
        <v>2042</v>
      </c>
      <c r="G1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H7"/>
  <sheetViews>
    <sheetView workbookViewId="0">
      <selection activeCell="B7" sqref="B7:H7"/>
    </sheetView>
  </sheetViews>
  <sheetFormatPr defaultRowHeight="14.4" x14ac:dyDescent="0.3"/>
  <cols>
    <col min="1" max="1" width="19.109375" customWidth="1"/>
    <col min="2" max="8" width="14.44140625" customWidth="1"/>
  </cols>
  <sheetData>
    <row r="1" spans="1:8" s="4" customFormat="1" ht="28.8" x14ac:dyDescent="0.3">
      <c r="A1" s="2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 spans="1:8" x14ac:dyDescent="0.3">
      <c r="A2" t="s">
        <v>12</v>
      </c>
      <c r="B2">
        <f>Calibration!$D$5</f>
        <v>5.2610446429999999E-2</v>
      </c>
      <c r="C2">
        <f>Calibration!$D$5</f>
        <v>5.2610446429999999E-2</v>
      </c>
      <c r="D2">
        <f>Calibration!$D$5</f>
        <v>5.2610446429999999E-2</v>
      </c>
      <c r="E2">
        <f>Calibration!$D$5</f>
        <v>5.2610446429999999E-2</v>
      </c>
      <c r="F2">
        <f>Calibration!$D$5</f>
        <v>5.2610446429999999E-2</v>
      </c>
      <c r="G2">
        <f>Calibration!$D$5</f>
        <v>5.2610446429999999E-2</v>
      </c>
      <c r="H2">
        <f>Calibration!$D$5</f>
        <v>5.2610446429999999E-2</v>
      </c>
    </row>
    <row r="3" spans="1:8" x14ac:dyDescent="0.3">
      <c r="A3" t="s">
        <v>13</v>
      </c>
      <c r="B3">
        <f>Calibration!$D$6</f>
        <v>8.0861165190000001E-2</v>
      </c>
      <c r="C3">
        <f>Calibration!$D$6</f>
        <v>8.0861165190000001E-2</v>
      </c>
      <c r="D3">
        <f>Calibration!$D$6</f>
        <v>8.0861165190000001E-2</v>
      </c>
      <c r="E3">
        <f>Calibration!$D$6</f>
        <v>8.0861165190000001E-2</v>
      </c>
      <c r="F3">
        <f>Calibration!$D$6</f>
        <v>8.0861165190000001E-2</v>
      </c>
      <c r="G3">
        <f>Calibration!$D$6</f>
        <v>8.0861165190000001E-2</v>
      </c>
      <c r="H3">
        <f>Calibration!$D$6</f>
        <v>8.0861165190000001E-2</v>
      </c>
    </row>
    <row r="4" spans="1:8" x14ac:dyDescent="0.3">
      <c r="A4" t="s">
        <v>14</v>
      </c>
      <c r="B4">
        <f>Calibration!$D$7</f>
        <v>4.1162105259999998E-2</v>
      </c>
      <c r="C4">
        <f>Calibration!$D$7</f>
        <v>4.1162105259999998E-2</v>
      </c>
      <c r="D4">
        <f>Calibration!$D$7</f>
        <v>4.1162105259999998E-2</v>
      </c>
      <c r="E4">
        <f>Calibration!$D$7</f>
        <v>4.1162105259999998E-2</v>
      </c>
      <c r="F4">
        <f>Calibration!$D$7</f>
        <v>4.1162105259999998E-2</v>
      </c>
      <c r="G4">
        <f>Calibration!$D$7</f>
        <v>4.1162105259999998E-2</v>
      </c>
      <c r="H4">
        <f>Calibration!$D$7</f>
        <v>4.1162105259999998E-2</v>
      </c>
    </row>
    <row r="5" spans="1:8" x14ac:dyDescent="0.3">
      <c r="A5" t="s">
        <v>15</v>
      </c>
      <c r="B5">
        <f>Calibration!$D$8</f>
        <v>2.9358024690000002E-2</v>
      </c>
      <c r="C5">
        <f>Calibration!$D$8</f>
        <v>2.9358024690000002E-2</v>
      </c>
      <c r="D5">
        <f>Calibration!$D$8</f>
        <v>2.9358024690000002E-2</v>
      </c>
      <c r="E5">
        <f>Calibration!$D$8</f>
        <v>2.9358024690000002E-2</v>
      </c>
      <c r="F5">
        <f>Calibration!$D$8</f>
        <v>2.9358024690000002E-2</v>
      </c>
      <c r="G5">
        <f>Calibration!$D$8</f>
        <v>2.9358024690000002E-2</v>
      </c>
      <c r="H5">
        <f>Calibration!$D$8</f>
        <v>2.9358024690000002E-2</v>
      </c>
    </row>
    <row r="6" spans="1:8" x14ac:dyDescent="0.3">
      <c r="A6" t="s">
        <v>16</v>
      </c>
      <c r="B6">
        <f>Calibration!$D$9</f>
        <v>3.0532475449999999E-2</v>
      </c>
      <c r="C6">
        <f>Calibration!$D$9</f>
        <v>3.0532475449999999E-2</v>
      </c>
      <c r="D6">
        <f>Calibration!$D$9</f>
        <v>3.0532475449999999E-2</v>
      </c>
      <c r="E6">
        <f>Calibration!$D$9</f>
        <v>3.0532475449999999E-2</v>
      </c>
      <c r="F6">
        <f>Calibration!$D$9</f>
        <v>3.0532475449999999E-2</v>
      </c>
      <c r="G6">
        <f>Calibration!$D$9</f>
        <v>3.0532475449999999E-2</v>
      </c>
      <c r="H6">
        <f>Calibration!$D$9</f>
        <v>3.0532475449999999E-2</v>
      </c>
    </row>
    <row r="7" spans="1:8" x14ac:dyDescent="0.3">
      <c r="A7" t="s">
        <v>17</v>
      </c>
      <c r="B7">
        <f>Calibration!$D$10</f>
        <v>5.8824040799999998E-2</v>
      </c>
      <c r="C7">
        <f>Calibration!$D$10</f>
        <v>5.8824040799999998E-2</v>
      </c>
      <c r="D7">
        <f>Calibration!$D$10</f>
        <v>5.8824040799999998E-2</v>
      </c>
      <c r="E7">
        <f>Calibration!$D$10</f>
        <v>5.8824040799999998E-2</v>
      </c>
      <c r="F7">
        <f>Calibration!$D$10</f>
        <v>5.8824040799999998E-2</v>
      </c>
      <c r="G7">
        <f>Calibration!$D$10</f>
        <v>5.8824040799999998E-2</v>
      </c>
      <c r="H7">
        <f>Calibration!$D$10</f>
        <v>5.8824040799999998E-2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H7"/>
  <sheetViews>
    <sheetView workbookViewId="0">
      <selection activeCell="B2" sqref="B2:H3"/>
    </sheetView>
  </sheetViews>
  <sheetFormatPr defaultRowHeight="14.4" x14ac:dyDescent="0.3"/>
  <cols>
    <col min="1" max="1" width="19.109375" customWidth="1"/>
    <col min="2" max="8" width="14.44140625" customWidth="1"/>
  </cols>
  <sheetData>
    <row r="1" spans="1:8" s="4" customFormat="1" ht="28.8" x14ac:dyDescent="0.3">
      <c r="A1" s="2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 spans="1:8" x14ac:dyDescent="0.3">
      <c r="A2" t="s">
        <v>12</v>
      </c>
      <c r="B2">
        <f>Calibration!$D$11</f>
        <v>6.6346126409999998E-2</v>
      </c>
      <c r="C2">
        <f>Calibration!$D$11</f>
        <v>6.6346126409999998E-2</v>
      </c>
      <c r="D2">
        <f>Calibration!$D$11</f>
        <v>6.6346126409999998E-2</v>
      </c>
      <c r="E2">
        <f>Calibration!$D$11</f>
        <v>6.6346126409999998E-2</v>
      </c>
      <c r="F2">
        <f>Calibration!$D$11</f>
        <v>6.6346126409999998E-2</v>
      </c>
      <c r="G2">
        <f>Calibration!$D$11</f>
        <v>6.6346126409999998E-2</v>
      </c>
      <c r="H2">
        <f>Calibration!$D$11</f>
        <v>6.6346126409999998E-2</v>
      </c>
    </row>
    <row r="3" spans="1:8" x14ac:dyDescent="0.3">
      <c r="A3" t="s">
        <v>13</v>
      </c>
      <c r="B3">
        <f>Calibration!$D$12</f>
        <v>4.8805332860000002E-2</v>
      </c>
      <c r="C3">
        <f>Calibration!$D$12</f>
        <v>4.8805332860000002E-2</v>
      </c>
      <c r="D3">
        <f>Calibration!$D$12</f>
        <v>4.8805332860000002E-2</v>
      </c>
      <c r="E3">
        <f>Calibration!$D$12</f>
        <v>4.8805332860000002E-2</v>
      </c>
      <c r="F3">
        <f>Calibration!$D$12</f>
        <v>4.8805332860000002E-2</v>
      </c>
      <c r="G3">
        <f>Calibration!$D$12</f>
        <v>4.8805332860000002E-2</v>
      </c>
      <c r="H3">
        <f>Calibration!$D$12</f>
        <v>4.8805332860000002E-2</v>
      </c>
    </row>
    <row r="4" spans="1:8" x14ac:dyDescent="0.3">
      <c r="A4" t="s">
        <v>14</v>
      </c>
      <c r="B4">
        <f>Calibration!$D$13</f>
        <v>4.0444444439999998E-2</v>
      </c>
      <c r="C4">
        <f>Calibration!$D$13</f>
        <v>4.0444444439999998E-2</v>
      </c>
      <c r="D4">
        <f>Calibration!$D$13</f>
        <v>4.0444444439999998E-2</v>
      </c>
      <c r="E4">
        <f>Calibration!$D$13</f>
        <v>4.0444444439999998E-2</v>
      </c>
      <c r="F4">
        <f>Calibration!$D$13</f>
        <v>4.0444444439999998E-2</v>
      </c>
      <c r="G4">
        <f>Calibration!$D$13</f>
        <v>4.0444444439999998E-2</v>
      </c>
      <c r="H4">
        <f>Calibration!$D$13</f>
        <v>4.0444444439999998E-2</v>
      </c>
    </row>
    <row r="5" spans="1:8" x14ac:dyDescent="0.3">
      <c r="A5" t="s">
        <v>15</v>
      </c>
      <c r="B5">
        <f>Calibration!$D$14</f>
        <v>2.8760989010000002E-2</v>
      </c>
      <c r="C5">
        <f>Calibration!$D$14</f>
        <v>2.8760989010000002E-2</v>
      </c>
      <c r="D5">
        <f>Calibration!$D$14</f>
        <v>2.8760989010000002E-2</v>
      </c>
      <c r="E5">
        <f>Calibration!$D$14</f>
        <v>2.8760989010000002E-2</v>
      </c>
      <c r="F5">
        <f>Calibration!$D$14</f>
        <v>2.8760989010000002E-2</v>
      </c>
      <c r="G5">
        <f>Calibration!$D$14</f>
        <v>2.8760989010000002E-2</v>
      </c>
      <c r="H5">
        <f>Calibration!$D$14</f>
        <v>2.8760989010000002E-2</v>
      </c>
    </row>
    <row r="6" spans="1:8" x14ac:dyDescent="0.3">
      <c r="A6" t="s">
        <v>16</v>
      </c>
      <c r="B6">
        <f>Calibration!$D$15</f>
        <v>3.0300000000000001E-2</v>
      </c>
      <c r="C6">
        <f>Calibration!$D$15</f>
        <v>3.0300000000000001E-2</v>
      </c>
      <c r="D6">
        <f>Calibration!$D$15</f>
        <v>3.0300000000000001E-2</v>
      </c>
      <c r="E6">
        <f>Calibration!$D$15</f>
        <v>3.0300000000000001E-2</v>
      </c>
      <c r="F6">
        <f>Calibration!$D$15</f>
        <v>3.0300000000000001E-2</v>
      </c>
      <c r="G6">
        <f>Calibration!$D$15</f>
        <v>3.0300000000000001E-2</v>
      </c>
      <c r="H6">
        <f>Calibration!$D$15</f>
        <v>3.0300000000000001E-2</v>
      </c>
    </row>
    <row r="7" spans="1:8" x14ac:dyDescent="0.3">
      <c r="A7" t="s">
        <v>17</v>
      </c>
      <c r="B7">
        <f>Calibration!$D$16</f>
        <v>0</v>
      </c>
      <c r="C7">
        <f>Calibration!$D$16</f>
        <v>0</v>
      </c>
      <c r="D7">
        <f>Calibration!$D$16</f>
        <v>0</v>
      </c>
      <c r="E7">
        <f>Calibration!$D$16</f>
        <v>0</v>
      </c>
      <c r="F7">
        <f>Calibration!$D$16</f>
        <v>0</v>
      </c>
      <c r="G7">
        <f>Calibration!$D$16</f>
        <v>0</v>
      </c>
      <c r="H7">
        <f>Calibration!$D$16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Calibration</vt:lpstr>
      <vt:lpstr>SoCDTtiNTY-psgr</vt:lpstr>
      <vt:lpstr>SoCDTtiNTY-frgt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2017-07-19T22:43:44Z</dcterms:created>
  <dcterms:modified xsi:type="dcterms:W3CDTF">2026-09-22T15:36:28Z</dcterms:modified>
</cp:coreProperties>
</file>