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bieOrvis\Models\US\Models\eps-us\InputData\trans\BCPSC\"/>
    </mc:Choice>
  </mc:AlternateContent>
  <xr:revisionPtr revIDLastSave="0" documentId="8_{54CF1BD3-A235-40E2-B3B8-6D918C2CEE55}" xr6:coauthVersionLast="47" xr6:coauthVersionMax="47" xr10:uidLastSave="{00000000-0000-0000-0000-000000000000}"/>
  <bookViews>
    <workbookView xWindow="-120" yWindow="-120" windowWidth="57840" windowHeight="23520" xr2:uid="{A48BE12E-4558-4DDB-94E3-3D328E710BA4}"/>
  </bookViews>
  <sheets>
    <sheet name="About" sheetId="1" r:id="rId1"/>
    <sheet name="AEO Table 38" sheetId="2" r:id="rId2"/>
    <sheet name="Calculations" sheetId="3" r:id="rId3"/>
    <sheet name="BCPSC" sheetId="4" r:id="rId4"/>
  </sheets>
  <externalReferences>
    <externalReference r:id="rId5"/>
    <externalReference r:id="rId6"/>
    <externalReference r:id="rId7"/>
  </externalReferences>
  <definedNames>
    <definedName name="asdf" localSheetId="1">[1]About!$A$113</definedName>
    <definedName name="asdf">#REF!</definedName>
    <definedName name="cpi_2010to2012" localSheetId="1">[2]About!#REF!</definedName>
    <definedName name="cpi_2010to2012">[2]About!#REF!</definedName>
    <definedName name="cpi_2014to2012" localSheetId="1">[2]About!#REF!</definedName>
    <definedName name="cpi_2014to2012">[2]About!#REF!</definedName>
    <definedName name="cpi_2017to2012" localSheetId="1">[2]About!$A$109</definedName>
    <definedName name="cpi_2018to2012" localSheetId="1">[2]About!$A$110</definedName>
    <definedName name="cpi_2019to2012" localSheetId="1">[2]About!$A$111</definedName>
    <definedName name="cpi_2019to2012">[2]About!$A$111</definedName>
    <definedName name="cpi_2020to2012" localSheetId="1">[2]About!$A$112</definedName>
    <definedName name="cpi_2020to2012">[2]About!$A$112</definedName>
    <definedName name="cpi_2021to2012" localSheetId="1">[2]About!$A$113</definedName>
    <definedName name="cpi_2022to2012" localSheetId="1">[2]About!$A$114</definedName>
    <definedName name="H2_kg_to_MMBtu" localSheetId="1">[3]Constants!$D$7</definedName>
    <definedName name="H2_kg_to_MMBtu">#REF!</definedName>
    <definedName name="kWh_to_Btu" localSheetId="1">[3]Constants!$D$4</definedName>
    <definedName name="kWh_to_Btu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B11" i="3"/>
  <c r="B10" i="3"/>
  <c r="B7" i="3"/>
  <c r="B6" i="3"/>
</calcChain>
</file>

<file path=xl/sharedStrings.xml><?xml version="1.0" encoding="utf-8"?>
<sst xmlns="http://schemas.openxmlformats.org/spreadsheetml/2006/main" count="345" uniqueCount="202">
  <si>
    <t>BCPSC BAU Consumer Prefeence Shadow Cost</t>
  </si>
  <si>
    <t>Sources:</t>
  </si>
  <si>
    <t>Shadow Price</t>
  </si>
  <si>
    <t>Vehicle Sales Shares</t>
  </si>
  <si>
    <t>Forsythe et al.</t>
  </si>
  <si>
    <t>Technology advancement is driving electric vehicle adoption</t>
  </si>
  <si>
    <t>https://www.pnas.org/doi/10.1073/pnas.2219396120</t>
  </si>
  <si>
    <t>Table 38.  Light-Duty Vehicle Sales by Technology Type</t>
  </si>
  <si>
    <t>https://www.eia.gov/outlooks/aeo/data/browser/#/?id=48-AEO2025&amp;cases=alttrnp&amp;sourcekey=0</t>
  </si>
  <si>
    <t>Tue Jan 13 2026 16:57:15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</si>
  <si>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</si>
  <si>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</si>
  <si>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</si>
  <si>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</si>
  <si>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</si>
  <si>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New Car Sales</t>
  </si>
  <si>
    <t>Conventional Cars</t>
  </si>
  <si>
    <t>AEO car</t>
  </si>
  <si>
    <t>gasoline vehicle</t>
  </si>
  <si>
    <t>Gasoline ICE Vehicles</t>
  </si>
  <si>
    <t>Light-Duty Vehicle Sales: Conventional Cars: Gasoline: Alternative Transportation</t>
  </si>
  <si>
    <t>AEO.2025.ALTTRNP.ECI_SAL_TRN_CAR_GSL_NA_NA_TH.A</t>
  </si>
  <si>
    <t>thousands</t>
  </si>
  <si>
    <t>diesel vehicle</t>
  </si>
  <si>
    <t>TDI Diesel ICE</t>
  </si>
  <si>
    <t>Light-Duty Vehicle Sales: Conventional Cars: TDI Diesel: Alternative Transportation</t>
  </si>
  <si>
    <t>AEO.2025.ALTTRNP.ECI_SAL_TRN_CAR_TDS_NA_NA_TH.A</t>
  </si>
  <si>
    <t>- -</t>
  </si>
  <si>
    <t>Total Conventional Cars</t>
  </si>
  <si>
    <t>Light-Duty Vehicle Sales: Conventional Cars: Total: Alternative Transportation</t>
  </si>
  <si>
    <t>AEO.2025.ALTTRNP.ECI_SAL_TRN_CAR_CNV_NA_NA_TH.A</t>
  </si>
  <si>
    <t>Alternative-Fuel Cars</t>
  </si>
  <si>
    <t>gasoline hybrid vehicle</t>
  </si>
  <si>
    <t>Ethanol-Flex Fuel ICE</t>
  </si>
  <si>
    <t>Light-Duty Vehicle Sales: Alternative-Fuel Cars: Ethanol-Flex Fuel ICE: Alternative Transportation</t>
  </si>
  <si>
    <t>AEO.2025.ALTTRNP.ECI_SAL_TRN_CAR_EFFI_NA_NA_TH.A</t>
  </si>
  <si>
    <t>100-mile electric vehicle</t>
  </si>
  <si>
    <t>100-Mile Electric Vehicle</t>
  </si>
  <si>
    <t>Light-Duty Vehicle Sales: Alternative-Fuel Cars: 100-Mile Electric Vehicle: Alternative Transportation</t>
  </si>
  <si>
    <t>AEO.2025.ALTTRNP.ECI_SAL_TRN_CAR_100MIEV_NA_NA_TH.A</t>
  </si>
  <si>
    <t>200-mile electric vehicle</t>
  </si>
  <si>
    <t>200-Mile Electric Vehicle</t>
  </si>
  <si>
    <t>Light-Duty Vehicle Sales: Alternative-Fuel Cars: 200-Mile Electric Vehicle: Alternative Transportation</t>
  </si>
  <si>
    <t>AEO.2025.ALTTRNP.ECI_SAL_TRN_CAR_200MIEV_NA_NA_TH.A</t>
  </si>
  <si>
    <t>300-mile electric vehicle</t>
  </si>
  <si>
    <t>300-Mile Electric Vehicle</t>
  </si>
  <si>
    <t>Light-Duty Vehicle Sales: Alternative-Fuel Cars: 300-Mile Electric Vehicle: Alternative Transportation</t>
  </si>
  <si>
    <t>AEO.2025.ALTTRNP.ECI_SAL_TRN_CAR_300MIEV_NA_NA_TH.A</t>
  </si>
  <si>
    <t>20-mile plugin hybrid vehicle</t>
  </si>
  <si>
    <t>Plug-in 20 Gasoline Hybrid</t>
  </si>
  <si>
    <t>Light-Duty Vehicle Sales: Alternative-Fuel Cars: Plug-in 20 Gasoline Hybrid: Alternative Transportation</t>
  </si>
  <si>
    <t>AEO.2025.ALTTRNP.ECI_SAL_TRN_CAR_PI20GH_NA_NA_TH.A</t>
  </si>
  <si>
    <t>50-mile plugin hybrid vehicle</t>
  </si>
  <si>
    <t>Plug-in 50 Gasoline Hybrid</t>
  </si>
  <si>
    <t>Light-Duty Vehicle Sales: Alternative-Fuel Cars: Plug-in 50 Gasoline Hybrid: Alternative Transportation</t>
  </si>
  <si>
    <t>AEO.2025.ALTTRNP.ECI_SAL_TRN_CAR_PI50GH_NA_NA_TH.A</t>
  </si>
  <si>
    <t>diesel hybrid vehicle</t>
  </si>
  <si>
    <t>Electric-Diesel Hybrid</t>
  </si>
  <si>
    <t>Light-Duty Vehicle Sales: Alternative-Fuel Cars: Electric-Diesel Hybrid: Alternative Transportation</t>
  </si>
  <si>
    <t>AEO.2025.ALTTRNP.ECI_SAL_TRN_CAR_EDH_NA_NA_TH.A</t>
  </si>
  <si>
    <t>Electric-Gasoline Hybrid</t>
  </si>
  <si>
    <t>Light-Duty Vehicle Sales: Alternative-Fuel Cars: Electric-Gasoline Hybrid: Alternative Transportation</t>
  </si>
  <si>
    <t>AEO.2025.ALTTRNP.ECI_SAL_TRN_CAR_EGH_NA_NA_TH.A</t>
  </si>
  <si>
    <t>natural gas vehicle</t>
  </si>
  <si>
    <t>Natural Gas ICE</t>
  </si>
  <si>
    <t>Light-Duty Vehicle Sales: Alternative-Fuel Cars: Natural Gas ICE: Alternative Transportation</t>
  </si>
  <si>
    <t>AEO.2025.ALTTRNP.ECI_SAL_TRN_CAR_NGI_NA_NA_TH.A</t>
  </si>
  <si>
    <t>Natural Gas Bi-fuel</t>
  </si>
  <si>
    <t>Light-Duty Vehicle Sales: Alternative-Fuel Cars: Natural Gas Bi-fuel: Alternative Transportation</t>
  </si>
  <si>
    <t>AEO.2025.ALTTRNP.ECI_SAL_TRN_CAR_NBF_NA_NA_TH.A</t>
  </si>
  <si>
    <t>LNG vehicle</t>
  </si>
  <si>
    <t>Propane ICE</t>
  </si>
  <si>
    <t>Light-Duty Vehicle Sales: Alternative-Fuel Cars: Propane: Alternative Transportation</t>
  </si>
  <si>
    <t>AEO.2025.ALTTRNP.ECI_SAL_TRN_CAR_PROP_NA_NA_TH.A</t>
  </si>
  <si>
    <t>Propane Bi-fuel</t>
  </si>
  <si>
    <t>AEO.2025.ALTTRNP.ECI_SAL_TRN_CAR_PBF_NA_NA_TH.A</t>
  </si>
  <si>
    <t>hydrogen vehicle</t>
  </si>
  <si>
    <t>Fuel Cell Methanol</t>
  </si>
  <si>
    <t>Light-Duty Vehicle Sales: Alternative-Fuel Cars: Fuel Cell Methanol: Alternative Transportation</t>
  </si>
  <si>
    <t>AEO.2025.ALTTRNP.ECI_SAL_TRN_CAR_FCLMTH_NA_NA_TH.A</t>
  </si>
  <si>
    <t>Fuel Cell Hydrogen</t>
  </si>
  <si>
    <t>Light-Duty Vehicle Sales: Alternative-Fuel cars: Fuel Cell Hydrogen: Alternative Transportation</t>
  </si>
  <si>
    <t>AEO.2025.ALTTRNP.ECI_SAL_TRN_CAR_FCH_NA_NA_TH.A</t>
  </si>
  <si>
    <t>Total Alternative Cars</t>
  </si>
  <si>
    <t>Light-Duty Vehicle Sales: Alternative-Fuel Cars: Total: Alternative Transportation</t>
  </si>
  <si>
    <t>AEO.2025.ALTTRNP.ECI_SAL_TRN_CAR_ALT_NA_NA_TH.A</t>
  </si>
  <si>
    <t>Percentage Alternative Car Sales</t>
  </si>
  <si>
    <t>Light-Duty Vehicle Sales: Percentage Alternative Car: Alternative Transportation</t>
  </si>
  <si>
    <t>AEO.2025.ALTTRNP.ECI_SAL_TRN_CAR_ALT_NA_NA_PCT.A</t>
  </si>
  <si>
    <t>percent</t>
  </si>
  <si>
    <t>Total New Car Sales</t>
  </si>
  <si>
    <t>Light-Duty Vehicle Sales: Total New Car: Alternative Transportation</t>
  </si>
  <si>
    <t>AEO.2025.ALTTRNP.ECI_SAL_TRN_CAR_TOT_NA_NA_TH.A</t>
  </si>
  <si>
    <t>New Light Truck Sales</t>
  </si>
  <si>
    <t>Conventional Light Trucks</t>
  </si>
  <si>
    <t>AEO truck</t>
  </si>
  <si>
    <t>Light-Duty Vehicle Sales: Conventional Light Trucks: Gasoline: Alternative Transportation</t>
  </si>
  <si>
    <t>AEO.2025.ALTTRNP.ECI_SAL_TRN_LTK_GSL_NA_NA_TH.A</t>
  </si>
  <si>
    <t>Light-Duty Vehicle Sales: Conventional Light Trucks: TDI Diesel: Alternative Transportation</t>
  </si>
  <si>
    <t>AEO.2025.ALTTRNP.ECI_SAL_TRN_LTK_DSL_NA_NA_TH.A</t>
  </si>
  <si>
    <t>Total Conventional Light Trucks</t>
  </si>
  <si>
    <t>Light-Duty Vehicle Sales: Conventional Light Trucks: Total: Alternative Transportation</t>
  </si>
  <si>
    <t>AEO.2025.ALTTRNP.ECI_SAL_TRN_LTK_CNV_NA_NA_TH.A</t>
  </si>
  <si>
    <t>Alternative-Fuel Light Trucks</t>
  </si>
  <si>
    <t>Light-Duty Vehicle Sales: Alternative-Fuel Light Trucks: Ethanol-Flex Fuel ICE: Alternative Transportation</t>
  </si>
  <si>
    <t>AEO.2025.ALTTRNP.ECI_SAL_TRN_LTK_EFFI_NA_NA_TH.A</t>
  </si>
  <si>
    <t>Light-Duty Vehicle Sales: Alternative-Fuel Light Trucks: 100-Mile Electric Vehicle: Alternative Transportation</t>
  </si>
  <si>
    <t>AEO.2025.ALTTRNP.ECI_SAL_TRN_LTK_100MIEV_NA_NA_TH.A</t>
  </si>
  <si>
    <t>Light-Duty Vehicle Sales: Alternative-Fuel Light Trucks: 200-Mile Electric Vehicle: Alternative Transportation</t>
  </si>
  <si>
    <t>AEO.2025.ALTTRNP.ECI_SAL_TRN_LTK_200MIEV_NA_NA_TH.A</t>
  </si>
  <si>
    <t>Light-Duty Vehicle Sales: Alternative-Fuel Light Trucks: 300-Mile Electric Vehicle: Alternative Transportation</t>
  </si>
  <si>
    <t>AEO.2025.ALTTRNP.ECI_SAL_TRN_LTK_300MIEV_NA_NA_TH.A</t>
  </si>
  <si>
    <t>Light-Duty Vehicle Sales: Alternative-Fuel Light Trucks: Plug-in 20 Gasoline Hybrid: Alternative Transportation</t>
  </si>
  <si>
    <t>AEO.2025.ALTTRNP.ECI_SAL_TRN_LTK_PI20GH_NA_NA_TH.A</t>
  </si>
  <si>
    <t>Light-Duty Vehicle Sales: Alternative-Fuel Light Trucks: Plug-in 50 Gasoline Hybrid: Alternative Transportation</t>
  </si>
  <si>
    <t>AEO.2025.ALTTRNP.ECI_SAL_TRN_LTK_PI50GH_NA_NA_TH.A</t>
  </si>
  <si>
    <t>Light-Duty Vehicle Sales: Alternative-Fuel Light Trucks: Electric-Diesel Hybrid: Alternative Transportation</t>
  </si>
  <si>
    <t>AEO.2025.ALTTRNP.ECI_SAL_TRN_LTK_EDH_NA_NA_TH.A</t>
  </si>
  <si>
    <t>Light-Duty Vehicle Sales: Alternative-Fuel Light Trucks: Electric-Gasoline Hybrid: Alternative Transportation</t>
  </si>
  <si>
    <t>AEO.2025.ALTTRNP.ECI_SAL_TRN_LTK_EGH_NA_NA_TH.A</t>
  </si>
  <si>
    <t>Light-Duty Vehicle Sales: Alternative-Fuel Light Trucks: Natural Gas ICE: Alternative Transportation</t>
  </si>
  <si>
    <t>AEO.2025.ALTTRNP.ECI_SAL_TRN_LTK_NGI_NA_NA_TH.A</t>
  </si>
  <si>
    <t>Light-Duty Vehicle Sales: Alternative-Fuel Light Trucks: Natural Gas Bi-fuel: Alternative Transportation</t>
  </si>
  <si>
    <t>AEO.2025.ALTTRNP.ECI_SAL_TRN_LTK_NBF_NA_NA_TH.A</t>
  </si>
  <si>
    <t>Light-Duty Vehicle Sales: Alternative-Fuel Light Trucks: Propane ICE: Alternative Transportation</t>
  </si>
  <si>
    <t>AEO.2025.ALTTRNP.ECI_SAL_TRN_LTK_PROP_NA_NA_TH.A</t>
  </si>
  <si>
    <t>Light-Duty Vehicle Sales: Alternative-Fuel Light Trucks: Propane Bi-fuel: Alternative Transportation</t>
  </si>
  <si>
    <t>AEO.2025.ALTTRNP.ECI_SAL_TRN_LTK_PBF_NA_NA_TH.A</t>
  </si>
  <si>
    <t>Light-Duty Vehicle Sales: Alternative-Fuel Light Trucks: Fuel Cell Methanol: Alternative Transportation</t>
  </si>
  <si>
    <t>AEO.2025.ALTTRNP.ECI_SAL_TRN_LTK_FCLMTH_NA_NA_TH.A</t>
  </si>
  <si>
    <t>Light-Duty Vehicle Sales: Alternative-Fuel Light Trucks: Fuel Cell Hydrogen: Alternative Transportation</t>
  </si>
  <si>
    <t>AEO.2025.ALTTRNP.ECI_SAL_TRN_LTK_FCH_NA_NA_TH.A</t>
  </si>
  <si>
    <t>Total Alternative Light Trucks</t>
  </si>
  <si>
    <t>Light-Duty Vehicle Sales: Alternative-Fuel Light Trucks: Total: Alternative Transportation</t>
  </si>
  <si>
    <t>AEO.2025.ALTTRNP.ECI_SAL_TRN_LTK_ALT_NA_NA_TH.A</t>
  </si>
  <si>
    <t>Percentage Alternative Light Truck Sales</t>
  </si>
  <si>
    <t>Light-Duty Vehicle Sales: Percentage Alternative Light Truck Sales: Alternative Transportation</t>
  </si>
  <si>
    <t>AEO.2025.ALTTRNP.ECI_SAL_TRN_LTK_ALT_NA_NA_PCT.A</t>
  </si>
  <si>
    <t>Total New Light Truck Sales</t>
  </si>
  <si>
    <t>Light-Duty Vehicle Sales: Total New Truck: Alternative Transportation</t>
  </si>
  <si>
    <t>AEO.2025.ALTTRNP.ECI_SAL_TRN_LTK_NA_NA_NA_TH.A</t>
  </si>
  <si>
    <t>Percentage Total Alternative Sales</t>
  </si>
  <si>
    <t>Light-Duty Vehicle Sales: Percentage Total Alternative Sales: Alternative Transportation</t>
  </si>
  <si>
    <t>AEO.2025.ALTTRNP.ECI_SAL_TRN_LDTY_ALT_NA_NA_PCT.A</t>
  </si>
  <si>
    <t>EPACT Legislative  Alternative Sales</t>
  </si>
  <si>
    <t>Light-Duty Vehicle Sales: EPACT Legislative Alternative Sales: Alternative Transportation</t>
  </si>
  <si>
    <t>AEO.2025.ALTTRNP.ECI_SAL_TRN_LDTY_EPACLEGI_NA_NA_TH.A</t>
  </si>
  <si>
    <t>ZEVP Legislative Alternative Sales</t>
  </si>
  <si>
    <t>Light-Duty Vehicle Sales: ZEVP Legislative Alternative Sales: Alternative Transportation</t>
  </si>
  <si>
    <t>AEO.2025.ALTTRNP.ECI_SAL_TRN_LDTY_ZVPLG_NA_NA_TH.A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</si>
  <si>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</si>
  <si>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</si>
  <si>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</si>
  <si>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Alternative Transportation</t>
  </si>
  <si>
    <t>AEO.2025.ALTTRNP.ECI_SAL_TRN_LDTY_CVG_NA_NA_TH.A</t>
  </si>
  <si>
    <t>TDI Diesel</t>
  </si>
  <si>
    <t>Light-Duty Vehicle Sales: Total Sales, Cars and Light Trucks: TDI Diesel: Alternative Transportation</t>
  </si>
  <si>
    <t>AEO.2025.ALTTRNP.ECI_SAL_TRN_LDTY_TDS_NA_NA_TH.A</t>
  </si>
  <si>
    <t>Flex-Fuel</t>
  </si>
  <si>
    <t>Light-Duty Vehicle Sales: Total Sales, Cars and Light Trucks: Flex-Fuel: Alternative Transportation</t>
  </si>
  <si>
    <t>AEO.2025.ALTTRNP.ECI_SAL_TRN_LDTY_FXF_NA_NA_TH.A</t>
  </si>
  <si>
    <t>Electric</t>
  </si>
  <si>
    <t>Light-Duty Vehicle Sales: Total Sales, Cars and Light Trucks: Electric: Alternative Transportation</t>
  </si>
  <si>
    <t>AEO.2025.ALTTRNP.ECI_SAL_TRN_LDTY_ELE_NA_NA_TH.A</t>
  </si>
  <si>
    <t>Plug-in Electric Hybrid</t>
  </si>
  <si>
    <t>Light-Duty Vehicle Sales: Total Sales, Cars and Light Trucks: Plug-in Electric Hybrid: Alternative Transportation</t>
  </si>
  <si>
    <t>AEO.2025.ALTTRNP.ECI_SAL_TRN_LDTY_PIE_NA_NA_TH.A</t>
  </si>
  <si>
    <t>Electric Hybrid</t>
  </si>
  <si>
    <t>Light-Duty Vehicle Sales: Total Sales, Cars and Light Trucks: Electric Hybrid: Alternative Transportation</t>
  </si>
  <si>
    <t>AEO.2025.ALTTRNP.ECI_SAL_TRN_LDTY_EHY_NA_NA_TH.A</t>
  </si>
  <si>
    <t>Gaseous (Propane and Natural Gas)</t>
  </si>
  <si>
    <t>Light-Duty Vehicle Sales: Total Sales, Cars and Light Trucks: Gaseous: Alternative Transportation</t>
  </si>
  <si>
    <t>AEO.2025.ALTTRNP.ECI_SAL_TRN_LDTY_GSU_NA_NA_TH.A</t>
  </si>
  <si>
    <t>Fuel Cell</t>
  </si>
  <si>
    <t>Light-Duty Vehicle Sales: Total Sales, Cars and Light Trucks: Fuel Cell: Alternative Transportation</t>
  </si>
  <si>
    <t>AEO.2025.ALTTRNP.ECI_SAL_TRN_LDTY_FUC_NA_NA_TH.A</t>
  </si>
  <si>
    <t>Total Vehicles Sales</t>
  </si>
  <si>
    <t>Light-Duty Vehicle Sales: Total Vehicles Sales: Alternative Transportation</t>
  </si>
  <si>
    <t>AEO.2025.ALTTRNP.ECI_SAL_TRN_LDTY_NA_NA_NA_TH.A</t>
  </si>
  <si>
    <t>Conventional Gasoline Microhybrids</t>
  </si>
  <si>
    <t>Light-Duty Vehicle Sales: Microhybrids: Conventional Gasoline: Alternative Transportation</t>
  </si>
  <si>
    <t>AEO.2025.ALTTRNP.ECI_SAL_TRN_MCHY_CVG_NA_NA_TH.A</t>
  </si>
  <si>
    <t>TDI Diesel Microhybrids</t>
  </si>
  <si>
    <t>Light-Duty Vehicle Sales: Microhybrids: TDI Diesel: Alternative Transportation</t>
  </si>
  <si>
    <t>AEO.2025.ALTTRNP.ECI_SAL_TRN_MCHY_TDS_NA_NA_TH.A</t>
  </si>
  <si>
    <t>Total Alternative-Fueled Vehicle Sales</t>
  </si>
  <si>
    <t>Light-Duty Vehicle Sales: Alternative-Fueled Vehicles: Alternative Transportation</t>
  </si>
  <si>
    <t>EIA</t>
  </si>
  <si>
    <t>Annual Energy Outlook</t>
  </si>
  <si>
    <t>https://www.eia.gov/outlooks/aeo/</t>
  </si>
  <si>
    <t>Table 38,</t>
  </si>
  <si>
    <t>WTP amounts</t>
  </si>
  <si>
    <t>cars</t>
  </si>
  <si>
    <t>SUVs</t>
  </si>
  <si>
    <t>(2021 USD)</t>
  </si>
  <si>
    <t>Sales Shares</t>
  </si>
  <si>
    <t>%</t>
  </si>
  <si>
    <t>Weighted Average Shadow Cost</t>
  </si>
  <si>
    <t>2021 USD</t>
  </si>
  <si>
    <t>2012 USD</t>
  </si>
  <si>
    <t>2021 to 2012 USD</t>
  </si>
  <si>
    <t>Weighted Average Shadow Cost (2012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</si>
</sst>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deng/Dropbox%20(Energy%20Innovation)/Documents/Energy%20Policy%20Simulator/California/3.0%20Update/Data%20Sources/trans/BNVP/BAU%20New%20Vehicle%20Price_US%20for%20reference.xlsx" TargetMode="External"/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BPoNVP/Non-Battery%20Portion%20of%20New%20Vehicle%20Price.xlsx" TargetMode="External"/><Relationship Id="rId2" Type="http://schemas.openxmlformats.org/officeDocument/2006/relationships/externalLinkPath" Target="file:///C:\Users\RobbieOrvis\Models\US\Models\eps-us\InputData\trans\NBPoNVP\Non-Battery%20Portion%20of%20New%20Vehicle%20Price.xlsx" TargetMode="External"/><Relationship Id="rId1" Type="http://schemas.openxmlformats.org/officeDocument/2006/relationships/externalLinkPath" Target="/Users/RobbieOrvis/Models/US/Model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mdeng/Dropbox%20(Energy%20Innovation)/Documents/Energy%20Policy%20Simulator/California/3.0%20Update/Data%20Sources/trans/BNVP/e3_cn_final_cost_data_supplement_oct2020.xlsx" TargetMode="External"/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bout"/>
      <sheetName val="Transportation ATB"/>
      <sheetName val="ATB and AEO Crosswalk"/>
      <sheetName val="AEO by Vehicle Class"/>
      <sheetName val="AEO Table 38"/>
      <sheetName val="SY Batt Prices Pass LDV"/>
      <sheetName val="Psgr LDV Calculations"/>
      <sheetName val="Frgt LDV Calculations"/>
      <sheetName val="Frgt HDV Calculations"/>
      <sheetName val="ICE Freight HDVs"/>
      <sheetName val="ICCT Diesel and FCV Prices"/>
      <sheetName val="CARB ACT ISOR"/>
      <sheetName val="ICCT MDV HDV Data"/>
      <sheetName val="ICCT MDV HDV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09">
          <cell r="A109">
            <v>0.93665959530026111</v>
          </cell>
        </row>
        <row r="110">
          <cell r="A110">
            <v>0.91400000000000003</v>
          </cell>
        </row>
        <row r="111">
          <cell r="A111">
            <v>0.89805481563188172</v>
          </cell>
        </row>
        <row r="112">
          <cell r="A112">
            <v>0.88711067149387013</v>
          </cell>
        </row>
        <row r="113">
          <cell r="A113">
            <v>0.84730412960844359</v>
          </cell>
        </row>
        <row r="114">
          <cell r="A114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2FDCE-668C-452C-9FD2-175A834ADF21}">
  <dimension ref="A1:B26"/>
  <sheetViews>
    <sheetView tabSelected="1" workbookViewId="0"/>
  </sheetViews>
  <sheetFormatPr defaultRowHeight="15" x14ac:dyDescent="0.25"/>
  <cols>
    <col min="2" max="2" width="54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4</v>
      </c>
    </row>
    <row r="5" spans="1:2" x14ac:dyDescent="0.25">
      <c r="B5" s="3">
        <v>2023</v>
      </c>
    </row>
    <row r="6" spans="1:2" x14ac:dyDescent="0.25">
      <c r="B6" t="s">
        <v>5</v>
      </c>
    </row>
    <row r="7" spans="1:2" x14ac:dyDescent="0.25">
      <c r="B7" t="s">
        <v>6</v>
      </c>
    </row>
    <row r="9" spans="1:2" x14ac:dyDescent="0.25">
      <c r="B9" s="2" t="s">
        <v>3</v>
      </c>
    </row>
    <row r="10" spans="1:2" x14ac:dyDescent="0.25">
      <c r="B10" t="s">
        <v>187</v>
      </c>
    </row>
    <row r="11" spans="1:2" x14ac:dyDescent="0.25">
      <c r="B11" s="3">
        <v>2025</v>
      </c>
    </row>
    <row r="12" spans="1:2" x14ac:dyDescent="0.25">
      <c r="B12" t="s">
        <v>188</v>
      </c>
    </row>
    <row r="13" spans="1:2" x14ac:dyDescent="0.25">
      <c r="B13" t="s">
        <v>189</v>
      </c>
    </row>
    <row r="14" spans="1:2" x14ac:dyDescent="0.25">
      <c r="B14" t="s">
        <v>190</v>
      </c>
    </row>
    <row r="26" spans="1:2" x14ac:dyDescent="0.25">
      <c r="A26">
        <v>0.84730412960844359</v>
      </c>
      <c r="B26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EE6E-1F8A-4798-B977-38B32DE19CAF}">
  <dimension ref="A1:AI67"/>
  <sheetViews>
    <sheetView topLeftCell="A16" workbookViewId="0">
      <selection sqref="A1:XFD1048576"/>
    </sheetView>
  </sheetViews>
  <sheetFormatPr defaultRowHeight="15" x14ac:dyDescent="0.25"/>
  <cols>
    <col min="2" max="2" width="23.140625" customWidth="1"/>
    <col min="3" max="3" width="29.85546875" customWidth="1"/>
  </cols>
  <sheetData>
    <row r="1" spans="1:35" x14ac:dyDescent="0.25">
      <c r="C1" t="s">
        <v>7</v>
      </c>
    </row>
    <row r="2" spans="1:35" x14ac:dyDescent="0.25">
      <c r="C2" t="s">
        <v>8</v>
      </c>
    </row>
    <row r="3" spans="1:35" x14ac:dyDescent="0.25">
      <c r="C3" t="s">
        <v>9</v>
      </c>
    </row>
    <row r="4" spans="1:35" x14ac:dyDescent="0.25">
      <c r="C4" t="s">
        <v>10</v>
      </c>
    </row>
    <row r="5" spans="1:35" x14ac:dyDescent="0.25">
      <c r="D5" t="s">
        <v>11</v>
      </c>
      <c r="E5" t="s">
        <v>12</v>
      </c>
      <c r="F5" t="s">
        <v>13</v>
      </c>
      <c r="G5">
        <v>2023</v>
      </c>
      <c r="H5">
        <v>2024</v>
      </c>
      <c r="I5">
        <v>2025</v>
      </c>
      <c r="J5">
        <v>2026</v>
      </c>
      <c r="K5">
        <v>2027</v>
      </c>
      <c r="L5">
        <v>2028</v>
      </c>
      <c r="M5">
        <v>2029</v>
      </c>
      <c r="N5">
        <v>2030</v>
      </c>
      <c r="O5">
        <v>2031</v>
      </c>
      <c r="P5">
        <v>2032</v>
      </c>
      <c r="Q5">
        <v>2033</v>
      </c>
      <c r="R5">
        <v>2034</v>
      </c>
      <c r="S5">
        <v>2035</v>
      </c>
      <c r="T5">
        <v>2036</v>
      </c>
      <c r="U5">
        <v>2037</v>
      </c>
      <c r="V5">
        <v>2038</v>
      </c>
      <c r="W5">
        <v>2039</v>
      </c>
      <c r="X5">
        <v>2040</v>
      </c>
      <c r="Y5">
        <v>2041</v>
      </c>
      <c r="Z5">
        <v>2042</v>
      </c>
      <c r="AA5">
        <v>2043</v>
      </c>
      <c r="AB5">
        <v>2044</v>
      </c>
      <c r="AC5">
        <v>2045</v>
      </c>
      <c r="AD5">
        <v>2046</v>
      </c>
      <c r="AE5">
        <v>2047</v>
      </c>
      <c r="AF5">
        <v>2048</v>
      </c>
      <c r="AG5">
        <v>2049</v>
      </c>
      <c r="AH5">
        <v>2050</v>
      </c>
      <c r="AI5" t="s">
        <v>14</v>
      </c>
    </row>
    <row r="6" spans="1:35" x14ac:dyDescent="0.25">
      <c r="C6" t="s">
        <v>15</v>
      </c>
    </row>
    <row r="7" spans="1:35" x14ac:dyDescent="0.25">
      <c r="C7" t="s">
        <v>16</v>
      </c>
    </row>
    <row r="8" spans="1:35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H8">
        <v>4219.4135740000002</v>
      </c>
      <c r="I8">
        <v>4239.2641599999997</v>
      </c>
      <c r="J8">
        <v>3900.0295409999999</v>
      </c>
      <c r="K8">
        <v>3546.732422</v>
      </c>
      <c r="L8">
        <v>3299.155518</v>
      </c>
      <c r="M8">
        <v>3292.7807619999999</v>
      </c>
      <c r="N8">
        <v>3190.8339839999999</v>
      </c>
      <c r="O8">
        <v>3050.2172850000002</v>
      </c>
      <c r="P8">
        <v>2818.7163089999999</v>
      </c>
      <c r="Q8">
        <v>2870.5795899999998</v>
      </c>
      <c r="R8">
        <v>2904.226807</v>
      </c>
      <c r="S8">
        <v>2734.607422</v>
      </c>
      <c r="T8">
        <v>2645.5598140000002</v>
      </c>
      <c r="U8">
        <v>2590.8366700000001</v>
      </c>
      <c r="V8">
        <v>2549.9536130000001</v>
      </c>
      <c r="W8">
        <v>2473.2543949999999</v>
      </c>
      <c r="X8">
        <v>2389.3911130000001</v>
      </c>
      <c r="Y8">
        <v>2339.1511230000001</v>
      </c>
      <c r="Z8">
        <v>2295.435547</v>
      </c>
      <c r="AA8">
        <v>2258.7299800000001</v>
      </c>
      <c r="AB8">
        <v>2219.0119629999999</v>
      </c>
      <c r="AC8">
        <v>2193.4323730000001</v>
      </c>
      <c r="AD8">
        <v>2152.5974120000001</v>
      </c>
      <c r="AE8">
        <v>2113.78125</v>
      </c>
      <c r="AF8">
        <v>2073.8959960000002</v>
      </c>
      <c r="AG8">
        <v>2037.3707280000001</v>
      </c>
      <c r="AH8">
        <v>2022.312134</v>
      </c>
      <c r="AI8" s="4">
        <v>-2.8000000000000001E-2</v>
      </c>
    </row>
    <row r="9" spans="1:35" x14ac:dyDescent="0.25">
      <c r="A9" t="s">
        <v>17</v>
      </c>
      <c r="B9" t="s">
        <v>23</v>
      </c>
      <c r="C9" t="s">
        <v>24</v>
      </c>
      <c r="D9" t="s">
        <v>25</v>
      </c>
      <c r="E9" t="s">
        <v>26</v>
      </c>
      <c r="F9" t="s">
        <v>22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27</v>
      </c>
    </row>
    <row r="10" spans="1:35" x14ac:dyDescent="0.25">
      <c r="A10" t="s">
        <v>17</v>
      </c>
      <c r="C10" t="s">
        <v>28</v>
      </c>
      <c r="D10" t="s">
        <v>29</v>
      </c>
      <c r="E10" t="s">
        <v>30</v>
      </c>
      <c r="F10" t="s">
        <v>22</v>
      </c>
      <c r="H10">
        <v>4219.4135740000002</v>
      </c>
      <c r="I10">
        <v>4239.2641599999997</v>
      </c>
      <c r="J10">
        <v>3900.0295409999999</v>
      </c>
      <c r="K10">
        <v>3546.732422</v>
      </c>
      <c r="L10">
        <v>3299.155518</v>
      </c>
      <c r="M10">
        <v>3292.7807619999999</v>
      </c>
      <c r="N10">
        <v>3190.8339839999999</v>
      </c>
      <c r="O10">
        <v>3050.2172850000002</v>
      </c>
      <c r="P10">
        <v>2818.7163089999999</v>
      </c>
      <c r="Q10">
        <v>2870.5795899999998</v>
      </c>
      <c r="R10">
        <v>2904.226807</v>
      </c>
      <c r="S10">
        <v>2734.607422</v>
      </c>
      <c r="T10">
        <v>2645.5598140000002</v>
      </c>
      <c r="U10">
        <v>2590.8366700000001</v>
      </c>
      <c r="V10">
        <v>2549.9536130000001</v>
      </c>
      <c r="W10">
        <v>2473.2543949999999</v>
      </c>
      <c r="X10">
        <v>2389.3911130000001</v>
      </c>
      <c r="Y10">
        <v>2339.1511230000001</v>
      </c>
      <c r="Z10">
        <v>2295.435547</v>
      </c>
      <c r="AA10">
        <v>2258.7299800000001</v>
      </c>
      <c r="AB10">
        <v>2219.0119629999999</v>
      </c>
      <c r="AC10">
        <v>2193.4323730000001</v>
      </c>
      <c r="AD10">
        <v>2152.5974120000001</v>
      </c>
      <c r="AE10">
        <v>2113.78125</v>
      </c>
      <c r="AF10">
        <v>2073.8959960000002</v>
      </c>
      <c r="AG10">
        <v>2037.3707280000001</v>
      </c>
      <c r="AH10">
        <v>2022.312134</v>
      </c>
      <c r="AI10" s="4">
        <v>-2.8000000000000001E-2</v>
      </c>
    </row>
    <row r="11" spans="1:35" x14ac:dyDescent="0.25">
      <c r="A11" t="s">
        <v>17</v>
      </c>
      <c r="C11" t="s">
        <v>31</v>
      </c>
    </row>
    <row r="12" spans="1:35" x14ac:dyDescent="0.25">
      <c r="A12" t="s">
        <v>17</v>
      </c>
      <c r="B12" t="s">
        <v>32</v>
      </c>
      <c r="C12" t="s">
        <v>33</v>
      </c>
      <c r="D12" t="s">
        <v>34</v>
      </c>
      <c r="E12" t="s">
        <v>35</v>
      </c>
      <c r="F12" t="s">
        <v>22</v>
      </c>
      <c r="H12">
        <v>3.044959</v>
      </c>
      <c r="I12">
        <v>2.6866690000000002</v>
      </c>
      <c r="J12">
        <v>2.414917</v>
      </c>
      <c r="K12">
        <v>2.1482329999999998</v>
      </c>
      <c r="L12">
        <v>1.962361</v>
      </c>
      <c r="M12">
        <v>1.9160569999999999</v>
      </c>
      <c r="N12">
        <v>1.7780039999999999</v>
      </c>
      <c r="O12">
        <v>1.655565</v>
      </c>
      <c r="P12">
        <v>1.539998</v>
      </c>
      <c r="Q12">
        <v>1.7675449999999999</v>
      </c>
      <c r="R12">
        <v>1.7008559999999999</v>
      </c>
      <c r="S12">
        <v>1.580578</v>
      </c>
      <c r="T12">
        <v>1.4836210000000001</v>
      </c>
      <c r="U12">
        <v>1.4124000000000001</v>
      </c>
      <c r="V12">
        <v>1.3446340000000001</v>
      </c>
      <c r="W12">
        <v>1.281695</v>
      </c>
      <c r="X12">
        <v>1.2319180000000001</v>
      </c>
      <c r="Y12">
        <v>1.186331</v>
      </c>
      <c r="Z12">
        <v>1.150641</v>
      </c>
      <c r="AA12">
        <v>1.1063449999999999</v>
      </c>
      <c r="AB12">
        <v>1.077704</v>
      </c>
      <c r="AC12">
        <v>1.043366</v>
      </c>
      <c r="AD12">
        <v>1.016637</v>
      </c>
      <c r="AE12">
        <v>0.99204400000000004</v>
      </c>
      <c r="AF12">
        <v>0.95911400000000002</v>
      </c>
      <c r="AG12">
        <v>0.93010700000000002</v>
      </c>
      <c r="AH12">
        <v>0.88871900000000004</v>
      </c>
      <c r="AI12" s="4">
        <v>-4.5999999999999999E-2</v>
      </c>
    </row>
    <row r="13" spans="1:35" x14ac:dyDescent="0.25">
      <c r="A13" t="s">
        <v>17</v>
      </c>
      <c r="B13" t="s">
        <v>36</v>
      </c>
      <c r="C13" t="s">
        <v>37</v>
      </c>
      <c r="D13" t="s">
        <v>38</v>
      </c>
      <c r="E13" t="s">
        <v>39</v>
      </c>
      <c r="F13" t="s">
        <v>22</v>
      </c>
      <c r="H13">
        <v>9.9261549999999996</v>
      </c>
      <c r="I13">
        <v>12.473697</v>
      </c>
      <c r="J13">
        <v>11.325912000000001</v>
      </c>
      <c r="K13">
        <v>10.881788</v>
      </c>
      <c r="L13">
        <v>9.6228529999999992</v>
      </c>
      <c r="M13">
        <v>8.8568829999999998</v>
      </c>
      <c r="N13">
        <v>9.7511310000000009</v>
      </c>
      <c r="O13">
        <v>10.232186</v>
      </c>
      <c r="P13">
        <v>10.945095999999999</v>
      </c>
      <c r="Q13">
        <v>8.7247579999999996</v>
      </c>
      <c r="R13">
        <v>9.6848869999999998</v>
      </c>
      <c r="S13">
        <v>10.320847000000001</v>
      </c>
      <c r="T13">
        <v>10.769902999999999</v>
      </c>
      <c r="U13">
        <v>11.224793</v>
      </c>
      <c r="V13">
        <v>11.741668000000001</v>
      </c>
      <c r="W13">
        <v>12.276672</v>
      </c>
      <c r="X13">
        <v>12.043905000000001</v>
      </c>
      <c r="Y13">
        <v>12.230005999999999</v>
      </c>
      <c r="Z13">
        <v>12.372256</v>
      </c>
      <c r="AA13">
        <v>12.605880000000001</v>
      </c>
      <c r="AB13">
        <v>12.671841000000001</v>
      </c>
      <c r="AC13">
        <v>12.873905000000001</v>
      </c>
      <c r="AD13">
        <v>12.88063</v>
      </c>
      <c r="AE13">
        <v>12.842523999999999</v>
      </c>
      <c r="AF13">
        <v>12.858809000000001</v>
      </c>
      <c r="AG13">
        <v>12.873041000000001</v>
      </c>
      <c r="AH13">
        <v>13.201669000000001</v>
      </c>
      <c r="AI13" s="4">
        <v>1.0999999999999999E-2</v>
      </c>
    </row>
    <row r="14" spans="1:35" x14ac:dyDescent="0.25">
      <c r="A14" t="s">
        <v>17</v>
      </c>
      <c r="B14" t="s">
        <v>40</v>
      </c>
      <c r="C14" t="s">
        <v>41</v>
      </c>
      <c r="D14" t="s">
        <v>42</v>
      </c>
      <c r="E14" t="s">
        <v>43</v>
      </c>
      <c r="F14" t="s">
        <v>22</v>
      </c>
      <c r="H14">
        <v>170.783905</v>
      </c>
      <c r="I14">
        <v>230.16982999999999</v>
      </c>
      <c r="J14">
        <v>263.744415</v>
      </c>
      <c r="K14">
        <v>296.82574499999998</v>
      </c>
      <c r="L14">
        <v>292.96676600000001</v>
      </c>
      <c r="M14">
        <v>286.62478599999997</v>
      </c>
      <c r="N14">
        <v>318.58978300000001</v>
      </c>
      <c r="O14">
        <v>334.05456500000003</v>
      </c>
      <c r="P14">
        <v>537.45434599999999</v>
      </c>
      <c r="Q14">
        <v>587.92627000000005</v>
      </c>
      <c r="R14">
        <v>647.52923599999997</v>
      </c>
      <c r="S14">
        <v>772.396118</v>
      </c>
      <c r="T14">
        <v>788.050659</v>
      </c>
      <c r="U14">
        <v>810.12341300000003</v>
      </c>
      <c r="V14">
        <v>837.75414999999998</v>
      </c>
      <c r="W14">
        <v>932.892517</v>
      </c>
      <c r="X14">
        <v>940.098206</v>
      </c>
      <c r="Y14">
        <v>949.14575200000002</v>
      </c>
      <c r="Z14">
        <v>955.95025599999997</v>
      </c>
      <c r="AA14">
        <v>971.33776899999998</v>
      </c>
      <c r="AB14">
        <v>974.23852499999998</v>
      </c>
      <c r="AC14">
        <v>989.83850099999995</v>
      </c>
      <c r="AD14">
        <v>988.51904300000001</v>
      </c>
      <c r="AE14">
        <v>987.181152</v>
      </c>
      <c r="AF14">
        <v>989.73858600000005</v>
      </c>
      <c r="AG14">
        <v>991.18438700000002</v>
      </c>
      <c r="AH14">
        <v>1015.777466</v>
      </c>
      <c r="AI14" s="4">
        <v>7.0999999999999994E-2</v>
      </c>
    </row>
    <row r="15" spans="1:35" x14ac:dyDescent="0.25">
      <c r="A15" t="s">
        <v>17</v>
      </c>
      <c r="B15" t="s">
        <v>44</v>
      </c>
      <c r="C15" t="s">
        <v>45</v>
      </c>
      <c r="D15" t="s">
        <v>46</v>
      </c>
      <c r="E15" t="s">
        <v>47</v>
      </c>
      <c r="F15" t="s">
        <v>22</v>
      </c>
      <c r="H15">
        <v>1060.3172609999999</v>
      </c>
      <c r="I15">
        <v>1321.230591</v>
      </c>
      <c r="J15">
        <v>1696.7860109999999</v>
      </c>
      <c r="K15">
        <v>1920.804443</v>
      </c>
      <c r="L15">
        <v>1947.9555660000001</v>
      </c>
      <c r="M15">
        <v>1920.5146480000001</v>
      </c>
      <c r="N15">
        <v>2007.6198730000001</v>
      </c>
      <c r="O15">
        <v>2004.9545900000001</v>
      </c>
      <c r="P15">
        <v>1985.7116699999999</v>
      </c>
      <c r="Q15">
        <v>1828.561768</v>
      </c>
      <c r="R15">
        <v>1924.127808</v>
      </c>
      <c r="S15">
        <v>1939.305298</v>
      </c>
      <c r="T15">
        <v>1950.4345699999999</v>
      </c>
      <c r="U15">
        <v>1971.522461</v>
      </c>
      <c r="V15">
        <v>1997.830078</v>
      </c>
      <c r="W15">
        <v>2011.809814</v>
      </c>
      <c r="X15">
        <v>2058.9663089999999</v>
      </c>
      <c r="Y15">
        <v>2056.6003420000002</v>
      </c>
      <c r="Z15">
        <v>2055.2739259999998</v>
      </c>
      <c r="AA15">
        <v>2051.960693</v>
      </c>
      <c r="AB15">
        <v>2049.405029</v>
      </c>
      <c r="AC15">
        <v>2049.3154300000001</v>
      </c>
      <c r="AD15">
        <v>2042.6015620000001</v>
      </c>
      <c r="AE15">
        <v>2030.2498780000001</v>
      </c>
      <c r="AF15">
        <v>2012.0839840000001</v>
      </c>
      <c r="AG15">
        <v>1999.4580080000001</v>
      </c>
      <c r="AH15">
        <v>2001.5986330000001</v>
      </c>
      <c r="AI15" s="4">
        <v>2.5000000000000001E-2</v>
      </c>
    </row>
    <row r="16" spans="1:35" x14ac:dyDescent="0.25">
      <c r="A16" t="s">
        <v>17</v>
      </c>
      <c r="B16" t="s">
        <v>48</v>
      </c>
      <c r="C16" t="s">
        <v>49</v>
      </c>
      <c r="D16" t="s">
        <v>50</v>
      </c>
      <c r="E16" t="s">
        <v>51</v>
      </c>
      <c r="F16" t="s">
        <v>22</v>
      </c>
      <c r="H16">
        <v>20.772348000000001</v>
      </c>
      <c r="I16">
        <v>42.976906</v>
      </c>
      <c r="J16">
        <v>47.927512999999998</v>
      </c>
      <c r="K16">
        <v>52.961891000000001</v>
      </c>
      <c r="L16">
        <v>54.860152999999997</v>
      </c>
      <c r="M16">
        <v>48.713112000000002</v>
      </c>
      <c r="N16">
        <v>48.003737999999998</v>
      </c>
      <c r="O16">
        <v>47.401169000000003</v>
      </c>
      <c r="P16">
        <v>42.055168000000002</v>
      </c>
      <c r="Q16">
        <v>36.471446999999998</v>
      </c>
      <c r="R16">
        <v>39.082279</v>
      </c>
      <c r="S16">
        <v>38.230015000000002</v>
      </c>
      <c r="T16">
        <v>38.286338999999998</v>
      </c>
      <c r="U16">
        <v>38.620857000000001</v>
      </c>
      <c r="V16">
        <v>39.235988999999996</v>
      </c>
      <c r="W16">
        <v>38.783011999999999</v>
      </c>
      <c r="X16">
        <v>38.675700999999997</v>
      </c>
      <c r="Y16">
        <v>38.619647999999998</v>
      </c>
      <c r="Z16">
        <v>38.522551999999997</v>
      </c>
      <c r="AA16">
        <v>38.733531999999997</v>
      </c>
      <c r="AB16">
        <v>38.343933</v>
      </c>
      <c r="AC16">
        <v>38.458820000000003</v>
      </c>
      <c r="AD16">
        <v>37.970008999999997</v>
      </c>
      <c r="AE16">
        <v>37.544899000000001</v>
      </c>
      <c r="AF16">
        <v>37.322825999999999</v>
      </c>
      <c r="AG16">
        <v>37.055458000000002</v>
      </c>
      <c r="AH16">
        <v>37.635361000000003</v>
      </c>
      <c r="AI16" s="4">
        <v>2.3E-2</v>
      </c>
    </row>
    <row r="17" spans="1:35" x14ac:dyDescent="0.25">
      <c r="A17" t="s">
        <v>17</v>
      </c>
      <c r="B17" t="s">
        <v>52</v>
      </c>
      <c r="C17" t="s">
        <v>53</v>
      </c>
      <c r="D17" t="s">
        <v>54</v>
      </c>
      <c r="E17" t="s">
        <v>55</v>
      </c>
      <c r="F17" t="s">
        <v>22</v>
      </c>
      <c r="H17">
        <v>17.630631999999999</v>
      </c>
      <c r="I17">
        <v>31.048454</v>
      </c>
      <c r="J17">
        <v>61.176093999999999</v>
      </c>
      <c r="K17">
        <v>69.963524000000007</v>
      </c>
      <c r="L17">
        <v>74.845794999999995</v>
      </c>
      <c r="M17">
        <v>71.225952000000007</v>
      </c>
      <c r="N17">
        <v>71.262435999999994</v>
      </c>
      <c r="O17">
        <v>71.575371000000004</v>
      </c>
      <c r="P17">
        <v>58.534382000000001</v>
      </c>
      <c r="Q17">
        <v>46.058520999999999</v>
      </c>
      <c r="R17">
        <v>49.730193999999997</v>
      </c>
      <c r="S17">
        <v>44.879157999999997</v>
      </c>
      <c r="T17">
        <v>45.188313000000001</v>
      </c>
      <c r="U17">
        <v>45.763241000000001</v>
      </c>
      <c r="V17">
        <v>46.560295000000004</v>
      </c>
      <c r="W17">
        <v>42.543415000000003</v>
      </c>
      <c r="X17">
        <v>42.268036000000002</v>
      </c>
      <c r="Y17">
        <v>41.934505000000001</v>
      </c>
      <c r="Z17">
        <v>41.590297999999997</v>
      </c>
      <c r="AA17">
        <v>41.477024</v>
      </c>
      <c r="AB17">
        <v>40.854996</v>
      </c>
      <c r="AC17">
        <v>40.632174999999997</v>
      </c>
      <c r="AD17">
        <v>39.933872000000001</v>
      </c>
      <c r="AE17">
        <v>39.255195999999998</v>
      </c>
      <c r="AF17">
        <v>38.688400000000001</v>
      </c>
      <c r="AG17">
        <v>38.143428999999998</v>
      </c>
      <c r="AH17">
        <v>38.289561999999997</v>
      </c>
      <c r="AI17" s="4">
        <v>0.03</v>
      </c>
    </row>
    <row r="18" spans="1:35" x14ac:dyDescent="0.25">
      <c r="A18" t="s">
        <v>17</v>
      </c>
      <c r="B18" t="s">
        <v>56</v>
      </c>
      <c r="C18" t="s">
        <v>57</v>
      </c>
      <c r="D18" t="s">
        <v>58</v>
      </c>
      <c r="E18" t="s">
        <v>59</v>
      </c>
      <c r="F18" t="s">
        <v>22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27</v>
      </c>
    </row>
    <row r="19" spans="1:35" x14ac:dyDescent="0.25">
      <c r="A19" t="s">
        <v>17</v>
      </c>
      <c r="B19" t="s">
        <v>32</v>
      </c>
      <c r="C19" t="s">
        <v>60</v>
      </c>
      <c r="D19" t="s">
        <v>61</v>
      </c>
      <c r="E19" t="s">
        <v>62</v>
      </c>
      <c r="F19" t="s">
        <v>22</v>
      </c>
      <c r="H19">
        <v>420.53945900000002</v>
      </c>
      <c r="I19">
        <v>519.18310499999995</v>
      </c>
      <c r="J19">
        <v>521.55664100000001</v>
      </c>
      <c r="K19">
        <v>564.85144000000003</v>
      </c>
      <c r="L19">
        <v>544.29211399999997</v>
      </c>
      <c r="M19">
        <v>560.00250200000005</v>
      </c>
      <c r="N19">
        <v>569.85742200000004</v>
      </c>
      <c r="O19">
        <v>573.307861</v>
      </c>
      <c r="P19">
        <v>546.34057600000006</v>
      </c>
      <c r="Q19">
        <v>563.68756099999996</v>
      </c>
      <c r="R19">
        <v>589.94537400000002</v>
      </c>
      <c r="S19">
        <v>594.34356700000001</v>
      </c>
      <c r="T19">
        <v>596.52441399999998</v>
      </c>
      <c r="U19">
        <v>604.76904300000001</v>
      </c>
      <c r="V19">
        <v>614.94360400000005</v>
      </c>
      <c r="W19">
        <v>618.02545199999997</v>
      </c>
      <c r="X19">
        <v>614.880493</v>
      </c>
      <c r="Y19">
        <v>620.07318099999998</v>
      </c>
      <c r="Z19">
        <v>625.89446999999996</v>
      </c>
      <c r="AA19">
        <v>631.16992200000004</v>
      </c>
      <c r="AB19">
        <v>637.30157499999996</v>
      </c>
      <c r="AC19">
        <v>644.45446800000002</v>
      </c>
      <c r="AD19">
        <v>649.33142099999998</v>
      </c>
      <c r="AE19">
        <v>652.74292000000003</v>
      </c>
      <c r="AF19">
        <v>654.08294699999999</v>
      </c>
      <c r="AG19">
        <v>657.13928199999998</v>
      </c>
      <c r="AH19">
        <v>664.652466</v>
      </c>
      <c r="AI19" s="4">
        <v>1.7999999999999999E-2</v>
      </c>
    </row>
    <row r="20" spans="1:35" x14ac:dyDescent="0.25">
      <c r="A20" t="s">
        <v>17</v>
      </c>
      <c r="B20" t="s">
        <v>63</v>
      </c>
      <c r="C20" t="s">
        <v>64</v>
      </c>
      <c r="D20" t="s">
        <v>65</v>
      </c>
      <c r="E20" t="s">
        <v>66</v>
      </c>
      <c r="F20" t="s">
        <v>22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 t="s">
        <v>27</v>
      </c>
    </row>
    <row r="21" spans="1:35" x14ac:dyDescent="0.25">
      <c r="A21" t="s">
        <v>17</v>
      </c>
      <c r="B21" t="s">
        <v>63</v>
      </c>
      <c r="C21" t="s">
        <v>67</v>
      </c>
      <c r="D21" t="s">
        <v>68</v>
      </c>
      <c r="E21" t="s">
        <v>69</v>
      </c>
      <c r="F21" t="s">
        <v>22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27</v>
      </c>
    </row>
    <row r="22" spans="1:35" x14ac:dyDescent="0.25">
      <c r="A22" t="s">
        <v>17</v>
      </c>
      <c r="B22" t="s">
        <v>70</v>
      </c>
      <c r="C22" t="s">
        <v>71</v>
      </c>
      <c r="D22" t="s">
        <v>72</v>
      </c>
      <c r="E22" t="s">
        <v>73</v>
      </c>
      <c r="F22" t="s">
        <v>22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 t="s">
        <v>27</v>
      </c>
    </row>
    <row r="23" spans="1:35" x14ac:dyDescent="0.25">
      <c r="A23" t="s">
        <v>17</v>
      </c>
      <c r="B23" t="s">
        <v>70</v>
      </c>
      <c r="C23" t="s">
        <v>74</v>
      </c>
      <c r="D23" t="s">
        <v>72</v>
      </c>
      <c r="E23" t="s">
        <v>75</v>
      </c>
      <c r="F23" t="s">
        <v>22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27</v>
      </c>
    </row>
    <row r="24" spans="1:35" x14ac:dyDescent="0.25">
      <c r="A24" t="s">
        <v>17</v>
      </c>
      <c r="B24" t="s">
        <v>76</v>
      </c>
      <c r="C24" t="s">
        <v>77</v>
      </c>
      <c r="D24" t="s">
        <v>78</v>
      </c>
      <c r="E24" t="s">
        <v>79</v>
      </c>
      <c r="F24" t="s">
        <v>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27</v>
      </c>
    </row>
    <row r="25" spans="1:35" x14ac:dyDescent="0.25">
      <c r="A25" t="s">
        <v>17</v>
      </c>
      <c r="B25" t="s">
        <v>76</v>
      </c>
      <c r="C25" t="s">
        <v>80</v>
      </c>
      <c r="D25" t="s">
        <v>81</v>
      </c>
      <c r="E25" t="s">
        <v>82</v>
      </c>
      <c r="F25" t="s">
        <v>22</v>
      </c>
      <c r="H25">
        <v>0.67393400000000003</v>
      </c>
      <c r="I25">
        <v>0.61585699999999999</v>
      </c>
      <c r="J25">
        <v>0.65634300000000001</v>
      </c>
      <c r="K25">
        <v>0.72519599999999995</v>
      </c>
      <c r="L25">
        <v>0.75017100000000003</v>
      </c>
      <c r="M25">
        <v>0.29338900000000001</v>
      </c>
      <c r="N25">
        <v>0.36364099999999999</v>
      </c>
      <c r="O25">
        <v>0.33464100000000002</v>
      </c>
      <c r="P25">
        <v>0.30332300000000001</v>
      </c>
      <c r="Q25">
        <v>0.23375799999999999</v>
      </c>
      <c r="R25">
        <v>0.239898</v>
      </c>
      <c r="S25">
        <v>0.27227299999999999</v>
      </c>
      <c r="T25">
        <v>0.250305</v>
      </c>
      <c r="U25">
        <v>0.23636699999999999</v>
      </c>
      <c r="V25">
        <v>0.22881699999999999</v>
      </c>
      <c r="W25">
        <v>0.223773</v>
      </c>
      <c r="X25">
        <v>0.22148200000000001</v>
      </c>
      <c r="Y25">
        <v>0.220751</v>
      </c>
      <c r="Z25">
        <v>0.220222</v>
      </c>
      <c r="AA25">
        <v>0.22391</v>
      </c>
      <c r="AB25">
        <v>0.22280900000000001</v>
      </c>
      <c r="AC25">
        <v>0.22700100000000001</v>
      </c>
      <c r="AD25">
        <v>0.22872100000000001</v>
      </c>
      <c r="AE25">
        <v>0.22681899999999999</v>
      </c>
      <c r="AF25">
        <v>0.22878499999999999</v>
      </c>
      <c r="AG25">
        <v>0.231185</v>
      </c>
      <c r="AH25">
        <v>0.24720200000000001</v>
      </c>
      <c r="AI25" s="4">
        <v>-3.7999999999999999E-2</v>
      </c>
    </row>
    <row r="26" spans="1:35" x14ac:dyDescent="0.25">
      <c r="C26" t="s">
        <v>83</v>
      </c>
      <c r="D26" t="s">
        <v>84</v>
      </c>
      <c r="E26" t="s">
        <v>85</v>
      </c>
      <c r="F26" t="s">
        <v>22</v>
      </c>
      <c r="H26">
        <v>1703.6885990000001</v>
      </c>
      <c r="I26">
        <v>2160.3852539999998</v>
      </c>
      <c r="J26">
        <v>2605.5878910000001</v>
      </c>
      <c r="K26">
        <v>2919.1621089999999</v>
      </c>
      <c r="L26">
        <v>2927.2558589999999</v>
      </c>
      <c r="M26">
        <v>2898.147461</v>
      </c>
      <c r="N26">
        <v>3027.2258299999999</v>
      </c>
      <c r="O26">
        <v>3043.5161130000001</v>
      </c>
      <c r="P26">
        <v>3182.8845209999999</v>
      </c>
      <c r="Q26">
        <v>3073.4313959999999</v>
      </c>
      <c r="R26">
        <v>3262.0407709999999</v>
      </c>
      <c r="S26">
        <v>3401.3278810000002</v>
      </c>
      <c r="T26">
        <v>3430.9880370000001</v>
      </c>
      <c r="U26">
        <v>3483.672607</v>
      </c>
      <c r="V26">
        <v>3549.6391600000002</v>
      </c>
      <c r="W26">
        <v>3657.8364259999998</v>
      </c>
      <c r="X26">
        <v>3708.3859859999998</v>
      </c>
      <c r="Y26">
        <v>3720.0104980000001</v>
      </c>
      <c r="Z26">
        <v>3730.9746089999999</v>
      </c>
      <c r="AA26">
        <v>3748.61499</v>
      </c>
      <c r="AB26">
        <v>3754.1164549999999</v>
      </c>
      <c r="AC26">
        <v>3776.84375</v>
      </c>
      <c r="AD26">
        <v>3772.4819339999999</v>
      </c>
      <c r="AE26">
        <v>3761.0354000000002</v>
      </c>
      <c r="AF26">
        <v>3745.9633789999998</v>
      </c>
      <c r="AG26">
        <v>3737.014893</v>
      </c>
      <c r="AH26">
        <v>3772.29126</v>
      </c>
      <c r="AI26" s="4">
        <v>3.1E-2</v>
      </c>
    </row>
    <row r="27" spans="1:35" x14ac:dyDescent="0.25">
      <c r="C27" t="s">
        <v>86</v>
      </c>
      <c r="D27" t="s">
        <v>87</v>
      </c>
      <c r="E27" t="s">
        <v>88</v>
      </c>
      <c r="F27" t="s">
        <v>89</v>
      </c>
      <c r="H27">
        <v>28.763452999999998</v>
      </c>
      <c r="I27">
        <v>33.757869999999997</v>
      </c>
      <c r="J27">
        <v>40.051357000000003</v>
      </c>
      <c r="K27">
        <v>45.147072000000001</v>
      </c>
      <c r="L27">
        <v>47.013534999999997</v>
      </c>
      <c r="M27">
        <v>46.812809000000001</v>
      </c>
      <c r="N27">
        <v>48.684413999999997</v>
      </c>
      <c r="O27">
        <v>49.945014999999998</v>
      </c>
      <c r="P27">
        <v>53.033932</v>
      </c>
      <c r="Q27">
        <v>51.706356</v>
      </c>
      <c r="R27">
        <v>52.901381999999998</v>
      </c>
      <c r="S27">
        <v>55.432915000000001</v>
      </c>
      <c r="T27">
        <v>56.462783999999999</v>
      </c>
      <c r="U27">
        <v>57.349037000000003</v>
      </c>
      <c r="V27">
        <v>58.194690999999999</v>
      </c>
      <c r="W27">
        <v>59.660454000000001</v>
      </c>
      <c r="X27">
        <v>60.815368999999997</v>
      </c>
      <c r="Y27">
        <v>61.394806000000003</v>
      </c>
      <c r="Z27">
        <v>61.910397000000003</v>
      </c>
      <c r="AA27">
        <v>62.400531999999998</v>
      </c>
      <c r="AB27">
        <v>62.850085999999997</v>
      </c>
      <c r="AC27">
        <v>63.260787999999998</v>
      </c>
      <c r="AD27">
        <v>63.669730999999999</v>
      </c>
      <c r="AE27">
        <v>64.019622999999996</v>
      </c>
      <c r="AF27">
        <v>64.365181000000007</v>
      </c>
      <c r="AG27">
        <v>64.717094000000003</v>
      </c>
      <c r="AH27">
        <v>65.100075000000004</v>
      </c>
      <c r="AI27" s="4">
        <v>3.2000000000000001E-2</v>
      </c>
    </row>
    <row r="28" spans="1:35" x14ac:dyDescent="0.25">
      <c r="C28" t="s">
        <v>90</v>
      </c>
      <c r="D28" t="s">
        <v>91</v>
      </c>
      <c r="E28" t="s">
        <v>92</v>
      </c>
      <c r="F28" t="s">
        <v>22</v>
      </c>
      <c r="H28">
        <v>5923.1020509999998</v>
      </c>
      <c r="I28">
        <v>6399.6494140000004</v>
      </c>
      <c r="J28">
        <v>6505.6171880000002</v>
      </c>
      <c r="K28">
        <v>6465.8945309999999</v>
      </c>
      <c r="L28">
        <v>6226.4111329999996</v>
      </c>
      <c r="M28">
        <v>6190.9282229999999</v>
      </c>
      <c r="N28">
        <v>6218.0595700000003</v>
      </c>
      <c r="O28">
        <v>6093.7333980000003</v>
      </c>
      <c r="P28">
        <v>6001.6005859999996</v>
      </c>
      <c r="Q28">
        <v>5944.0107420000004</v>
      </c>
      <c r="R28">
        <v>6166.267578</v>
      </c>
      <c r="S28">
        <v>6135.935547</v>
      </c>
      <c r="T28">
        <v>6076.5478519999997</v>
      </c>
      <c r="U28">
        <v>6074.5092770000001</v>
      </c>
      <c r="V28">
        <v>6099.5927730000003</v>
      </c>
      <c r="W28">
        <v>6131.0908200000003</v>
      </c>
      <c r="X28">
        <v>6097.7773440000001</v>
      </c>
      <c r="Y28">
        <v>6059.1616210000002</v>
      </c>
      <c r="Z28">
        <v>6026.4101559999999</v>
      </c>
      <c r="AA28">
        <v>6007.3447269999997</v>
      </c>
      <c r="AB28">
        <v>5973.1284180000002</v>
      </c>
      <c r="AC28">
        <v>5970.2763670000004</v>
      </c>
      <c r="AD28">
        <v>5925.0791019999997</v>
      </c>
      <c r="AE28">
        <v>5874.8164059999999</v>
      </c>
      <c r="AF28">
        <v>5819.859375</v>
      </c>
      <c r="AG28">
        <v>5774.3857420000004</v>
      </c>
      <c r="AH28">
        <v>5794.6035160000001</v>
      </c>
      <c r="AI28" s="4">
        <v>-1E-3</v>
      </c>
    </row>
    <row r="29" spans="1:35" x14ac:dyDescent="0.25">
      <c r="C29" t="s">
        <v>93</v>
      </c>
    </row>
    <row r="30" spans="1:35" x14ac:dyDescent="0.25">
      <c r="C30" t="s">
        <v>94</v>
      </c>
    </row>
    <row r="31" spans="1:35" x14ac:dyDescent="0.25">
      <c r="A31" t="s">
        <v>95</v>
      </c>
      <c r="B31" t="s">
        <v>18</v>
      </c>
      <c r="C31" t="s">
        <v>19</v>
      </c>
      <c r="D31" t="s">
        <v>96</v>
      </c>
      <c r="E31" t="s">
        <v>97</v>
      </c>
      <c r="F31" t="s">
        <v>22</v>
      </c>
      <c r="H31">
        <v>7531.2412109999996</v>
      </c>
      <c r="I31">
        <v>6740.8100590000004</v>
      </c>
      <c r="J31">
        <v>6213.8686520000001</v>
      </c>
      <c r="K31">
        <v>6792.8198240000002</v>
      </c>
      <c r="L31">
        <v>6592.7124020000001</v>
      </c>
      <c r="M31">
        <v>6465.9609380000002</v>
      </c>
      <c r="N31">
        <v>6193.7807620000003</v>
      </c>
      <c r="O31">
        <v>5940.2978519999997</v>
      </c>
      <c r="P31">
        <v>5809.9633789999998</v>
      </c>
      <c r="Q31">
        <v>6004.2822269999997</v>
      </c>
      <c r="R31">
        <v>5799.205078</v>
      </c>
      <c r="S31">
        <v>5707.3056640000004</v>
      </c>
      <c r="T31">
        <v>5612.4926759999998</v>
      </c>
      <c r="U31">
        <v>5534.8666990000002</v>
      </c>
      <c r="V31">
        <v>5468.0986329999996</v>
      </c>
      <c r="W31">
        <v>5410.1879879999997</v>
      </c>
      <c r="X31">
        <v>5378.3530270000001</v>
      </c>
      <c r="Y31">
        <v>5311.1557620000003</v>
      </c>
      <c r="Z31">
        <v>5245.9375</v>
      </c>
      <c r="AA31">
        <v>5156.3095700000003</v>
      </c>
      <c r="AB31">
        <v>5104.126953</v>
      </c>
      <c r="AC31">
        <v>5034.8808589999999</v>
      </c>
      <c r="AD31">
        <v>4974.8989259999998</v>
      </c>
      <c r="AE31">
        <v>4922.560547</v>
      </c>
      <c r="AF31">
        <v>4832.7524409999996</v>
      </c>
      <c r="AG31">
        <v>4754.4252930000002</v>
      </c>
      <c r="AH31">
        <v>4644.8364259999998</v>
      </c>
      <c r="AI31" s="4">
        <v>-1.7999999999999999E-2</v>
      </c>
    </row>
    <row r="32" spans="1:35" x14ac:dyDescent="0.25">
      <c r="A32" t="s">
        <v>95</v>
      </c>
      <c r="B32" t="s">
        <v>23</v>
      </c>
      <c r="C32" t="s">
        <v>24</v>
      </c>
      <c r="D32" t="s">
        <v>98</v>
      </c>
      <c r="E32" t="s">
        <v>99</v>
      </c>
      <c r="F32" t="s">
        <v>22</v>
      </c>
      <c r="H32">
        <v>186.34399400000001</v>
      </c>
      <c r="I32">
        <v>172.747253</v>
      </c>
      <c r="J32">
        <v>172.71080000000001</v>
      </c>
      <c r="K32">
        <v>167.40741</v>
      </c>
      <c r="L32">
        <v>161.69903600000001</v>
      </c>
      <c r="M32">
        <v>164.365555</v>
      </c>
      <c r="N32">
        <v>127.056389</v>
      </c>
      <c r="O32">
        <v>123.674454</v>
      </c>
      <c r="P32">
        <v>122.54634900000001</v>
      </c>
      <c r="Q32">
        <v>129.92974899999999</v>
      </c>
      <c r="R32">
        <v>127.494247</v>
      </c>
      <c r="S32">
        <v>127.05291699999999</v>
      </c>
      <c r="T32">
        <v>127.56778</v>
      </c>
      <c r="U32">
        <v>125.826836</v>
      </c>
      <c r="V32">
        <v>125.065353</v>
      </c>
      <c r="W32">
        <v>124.754486</v>
      </c>
      <c r="X32">
        <v>124.63694</v>
      </c>
      <c r="Y32">
        <v>123.75251</v>
      </c>
      <c r="Z32">
        <v>122.421143</v>
      </c>
      <c r="AA32">
        <v>120.643036</v>
      </c>
      <c r="AB32">
        <v>119.462479</v>
      </c>
      <c r="AC32">
        <v>118.04085499999999</v>
      </c>
      <c r="AD32">
        <v>116.636887</v>
      </c>
      <c r="AE32">
        <v>115.654076</v>
      </c>
      <c r="AF32">
        <v>113.999298</v>
      </c>
      <c r="AG32">
        <v>112.55542800000001</v>
      </c>
      <c r="AH32">
        <v>111.153175</v>
      </c>
      <c r="AI32" s="4">
        <v>-0.02</v>
      </c>
    </row>
    <row r="33" spans="1:35" x14ac:dyDescent="0.25">
      <c r="A33" t="s">
        <v>95</v>
      </c>
      <c r="C33" t="s">
        <v>100</v>
      </c>
      <c r="D33" t="s">
        <v>101</v>
      </c>
      <c r="E33" t="s">
        <v>102</v>
      </c>
      <c r="F33" t="s">
        <v>22</v>
      </c>
      <c r="H33">
        <v>7717.5849609999996</v>
      </c>
      <c r="I33">
        <v>6913.5571289999998</v>
      </c>
      <c r="J33">
        <v>6386.5795900000003</v>
      </c>
      <c r="K33">
        <v>6960.2270509999998</v>
      </c>
      <c r="L33">
        <v>6754.4116210000002</v>
      </c>
      <c r="M33">
        <v>6630.3266599999997</v>
      </c>
      <c r="N33">
        <v>6320.8369140000004</v>
      </c>
      <c r="O33">
        <v>6063.9721680000002</v>
      </c>
      <c r="P33">
        <v>5932.5097660000001</v>
      </c>
      <c r="Q33">
        <v>6134.2119140000004</v>
      </c>
      <c r="R33">
        <v>5926.6992190000001</v>
      </c>
      <c r="S33">
        <v>5834.3583980000003</v>
      </c>
      <c r="T33">
        <v>5740.060547</v>
      </c>
      <c r="U33">
        <v>5660.6933589999999</v>
      </c>
      <c r="V33">
        <v>5593.1640619999998</v>
      </c>
      <c r="W33">
        <v>5534.9423829999996</v>
      </c>
      <c r="X33">
        <v>5502.9897460000002</v>
      </c>
      <c r="Y33">
        <v>5434.908203</v>
      </c>
      <c r="Z33">
        <v>5368.3583980000003</v>
      </c>
      <c r="AA33">
        <v>5276.9526370000003</v>
      </c>
      <c r="AB33">
        <v>5223.5893550000001</v>
      </c>
      <c r="AC33">
        <v>5152.921875</v>
      </c>
      <c r="AD33">
        <v>5091.5356449999999</v>
      </c>
      <c r="AE33">
        <v>5038.2148440000001</v>
      </c>
      <c r="AF33">
        <v>4946.751953</v>
      </c>
      <c r="AG33">
        <v>4866.9809569999998</v>
      </c>
      <c r="AH33">
        <v>4755.9897460000002</v>
      </c>
      <c r="AI33" s="4">
        <v>-1.7999999999999999E-2</v>
      </c>
    </row>
    <row r="34" spans="1:35" x14ac:dyDescent="0.25">
      <c r="A34" t="s">
        <v>95</v>
      </c>
      <c r="C34" t="s">
        <v>103</v>
      </c>
    </row>
    <row r="35" spans="1:35" x14ac:dyDescent="0.25">
      <c r="A35" t="s">
        <v>95</v>
      </c>
      <c r="B35" t="s">
        <v>32</v>
      </c>
      <c r="C35" t="s">
        <v>33</v>
      </c>
      <c r="D35" t="s">
        <v>104</v>
      </c>
      <c r="E35" t="s">
        <v>105</v>
      </c>
      <c r="F35" t="s">
        <v>22</v>
      </c>
      <c r="H35">
        <v>160.72483800000001</v>
      </c>
      <c r="I35">
        <v>146.41014100000001</v>
      </c>
      <c r="J35">
        <v>144.53349299999999</v>
      </c>
      <c r="K35">
        <v>128.161789</v>
      </c>
      <c r="L35">
        <v>120.301163</v>
      </c>
      <c r="M35">
        <v>115.743729</v>
      </c>
      <c r="N35">
        <v>79.287109000000001</v>
      </c>
      <c r="O35">
        <v>75.085982999999999</v>
      </c>
      <c r="P35">
        <v>72.168930000000003</v>
      </c>
      <c r="Q35">
        <v>77.954620000000006</v>
      </c>
      <c r="R35">
        <v>74.470543000000006</v>
      </c>
      <c r="S35">
        <v>72.448158000000006</v>
      </c>
      <c r="T35">
        <v>70.835387999999995</v>
      </c>
      <c r="U35">
        <v>69.033355999999998</v>
      </c>
      <c r="V35">
        <v>67.392868000000007</v>
      </c>
      <c r="W35">
        <v>65.749268000000001</v>
      </c>
      <c r="X35">
        <v>64.715430999999995</v>
      </c>
      <c r="Y35">
        <v>63.347168000000003</v>
      </c>
      <c r="Z35">
        <v>62.099274000000001</v>
      </c>
      <c r="AA35">
        <v>60.479537999999998</v>
      </c>
      <c r="AB35">
        <v>59.448718999999997</v>
      </c>
      <c r="AC35">
        <v>58.145057999999999</v>
      </c>
      <c r="AD35">
        <v>57.110840000000003</v>
      </c>
      <c r="AE35">
        <v>56.254257000000003</v>
      </c>
      <c r="AF35">
        <v>54.890681999999998</v>
      </c>
      <c r="AG35">
        <v>53.656643000000003</v>
      </c>
      <c r="AH35">
        <v>51.702643999999999</v>
      </c>
      <c r="AI35" s="4">
        <v>-4.2999999999999997E-2</v>
      </c>
    </row>
    <row r="36" spans="1:35" x14ac:dyDescent="0.25">
      <c r="A36" t="s">
        <v>95</v>
      </c>
      <c r="B36" t="s">
        <v>36</v>
      </c>
      <c r="C36" t="s">
        <v>37</v>
      </c>
      <c r="D36" t="s">
        <v>106</v>
      </c>
      <c r="E36" t="s">
        <v>107</v>
      </c>
      <c r="F36" t="s">
        <v>22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 t="s">
        <v>27</v>
      </c>
    </row>
    <row r="37" spans="1:35" x14ac:dyDescent="0.25">
      <c r="A37" t="s">
        <v>95</v>
      </c>
      <c r="B37" t="s">
        <v>40</v>
      </c>
      <c r="C37" t="s">
        <v>41</v>
      </c>
      <c r="D37" t="s">
        <v>108</v>
      </c>
      <c r="E37" t="s">
        <v>109</v>
      </c>
      <c r="F37" t="s">
        <v>22</v>
      </c>
      <c r="H37">
        <v>57.382061</v>
      </c>
      <c r="I37">
        <v>90.596480999999997</v>
      </c>
      <c r="J37">
        <v>336.56137100000001</v>
      </c>
      <c r="K37">
        <v>204.78602599999999</v>
      </c>
      <c r="L37">
        <v>181.64769000000001</v>
      </c>
      <c r="M37">
        <v>158.639343</v>
      </c>
      <c r="N37">
        <v>124.157402</v>
      </c>
      <c r="O37">
        <v>136.18739299999999</v>
      </c>
      <c r="P37">
        <v>155.024765</v>
      </c>
      <c r="Q37">
        <v>121.59560399999999</v>
      </c>
      <c r="R37">
        <v>132.021637</v>
      </c>
      <c r="S37">
        <v>147.72224399999999</v>
      </c>
      <c r="T37">
        <v>161.39404300000001</v>
      </c>
      <c r="U37">
        <v>172.89788799999999</v>
      </c>
      <c r="V37">
        <v>185.38575700000001</v>
      </c>
      <c r="W37">
        <v>198.729904</v>
      </c>
      <c r="X37">
        <v>209.58749399999999</v>
      </c>
      <c r="Y37">
        <v>218.18542500000001</v>
      </c>
      <c r="Z37">
        <v>225.27926600000001</v>
      </c>
      <c r="AA37">
        <v>232.77020300000001</v>
      </c>
      <c r="AB37">
        <v>238.64465300000001</v>
      </c>
      <c r="AC37">
        <v>245.28887900000001</v>
      </c>
      <c r="AD37">
        <v>249.84973099999999</v>
      </c>
      <c r="AE37">
        <v>253.20910599999999</v>
      </c>
      <c r="AF37">
        <v>256.14501999999999</v>
      </c>
      <c r="AG37">
        <v>258.93661500000002</v>
      </c>
      <c r="AH37">
        <v>265.46343999999999</v>
      </c>
      <c r="AI37" s="4">
        <v>6.0999999999999999E-2</v>
      </c>
    </row>
    <row r="38" spans="1:35" x14ac:dyDescent="0.25">
      <c r="A38" t="s">
        <v>95</v>
      </c>
      <c r="B38" t="s">
        <v>44</v>
      </c>
      <c r="C38" t="s">
        <v>45</v>
      </c>
      <c r="D38" t="s">
        <v>110</v>
      </c>
      <c r="E38" t="s">
        <v>111</v>
      </c>
      <c r="F38" t="s">
        <v>22</v>
      </c>
      <c r="H38">
        <v>185.394836</v>
      </c>
      <c r="I38">
        <v>477.13922100000002</v>
      </c>
      <c r="J38">
        <v>573.55822799999999</v>
      </c>
      <c r="K38">
        <v>653.501892</v>
      </c>
      <c r="L38">
        <v>675.74078399999996</v>
      </c>
      <c r="M38">
        <v>676.93530299999998</v>
      </c>
      <c r="N38">
        <v>549.97979699999996</v>
      </c>
      <c r="O38">
        <v>573.95916699999998</v>
      </c>
      <c r="P38">
        <v>613.50665300000003</v>
      </c>
      <c r="Q38">
        <v>530.45715299999995</v>
      </c>
      <c r="R38">
        <v>555.77923599999997</v>
      </c>
      <c r="S38">
        <v>593.29425000000003</v>
      </c>
      <c r="T38">
        <v>625.67163100000005</v>
      </c>
      <c r="U38">
        <v>651.10601799999995</v>
      </c>
      <c r="V38">
        <v>677.995544</v>
      </c>
      <c r="W38">
        <v>705.81494099999998</v>
      </c>
      <c r="X38">
        <v>727.45477300000005</v>
      </c>
      <c r="Y38">
        <v>743.66894500000001</v>
      </c>
      <c r="Z38">
        <v>756.62951699999996</v>
      </c>
      <c r="AA38">
        <v>769.06152299999997</v>
      </c>
      <c r="AB38">
        <v>780.03228799999999</v>
      </c>
      <c r="AC38">
        <v>791.74804700000004</v>
      </c>
      <c r="AD38">
        <v>799.16680899999994</v>
      </c>
      <c r="AE38">
        <v>805.10107400000004</v>
      </c>
      <c r="AF38">
        <v>808.23333700000001</v>
      </c>
      <c r="AG38">
        <v>811.96954300000004</v>
      </c>
      <c r="AH38">
        <v>821.26580799999999</v>
      </c>
      <c r="AI38" s="4">
        <v>5.8999999999999997E-2</v>
      </c>
    </row>
    <row r="39" spans="1:35" x14ac:dyDescent="0.25">
      <c r="A39" t="s">
        <v>95</v>
      </c>
      <c r="B39" t="s">
        <v>48</v>
      </c>
      <c r="C39" t="s">
        <v>49</v>
      </c>
      <c r="D39" t="s">
        <v>112</v>
      </c>
      <c r="E39" t="s">
        <v>113</v>
      </c>
      <c r="F39" t="s">
        <v>22</v>
      </c>
      <c r="H39">
        <v>220.50981100000001</v>
      </c>
      <c r="I39">
        <v>285.20196499999997</v>
      </c>
      <c r="J39">
        <v>605.651611</v>
      </c>
      <c r="K39">
        <v>412.40234400000003</v>
      </c>
      <c r="L39">
        <v>433.91848800000002</v>
      </c>
      <c r="M39">
        <v>380.288116</v>
      </c>
      <c r="N39">
        <v>414.70761099999999</v>
      </c>
      <c r="O39">
        <v>413.62020899999999</v>
      </c>
      <c r="P39">
        <v>418.19549599999999</v>
      </c>
      <c r="Q39">
        <v>374.85391199999998</v>
      </c>
      <c r="R39">
        <v>385.58145100000002</v>
      </c>
      <c r="S39">
        <v>406.61971999999997</v>
      </c>
      <c r="T39">
        <v>402.55523699999998</v>
      </c>
      <c r="U39">
        <v>412.535797</v>
      </c>
      <c r="V39">
        <v>424.09155299999998</v>
      </c>
      <c r="W39">
        <v>436.50534099999999</v>
      </c>
      <c r="X39">
        <v>443.48144500000001</v>
      </c>
      <c r="Y39">
        <v>448.00173999999998</v>
      </c>
      <c r="Z39">
        <v>450.211456</v>
      </c>
      <c r="AA39">
        <v>451.64419600000002</v>
      </c>
      <c r="AB39">
        <v>451.67865</v>
      </c>
      <c r="AC39">
        <v>451.77569599999998</v>
      </c>
      <c r="AD39">
        <v>450.59027099999997</v>
      </c>
      <c r="AE39">
        <v>449.41265900000002</v>
      </c>
      <c r="AF39">
        <v>446.32824699999998</v>
      </c>
      <c r="AG39">
        <v>443.92364500000002</v>
      </c>
      <c r="AH39">
        <v>442.437927</v>
      </c>
      <c r="AI39" s="4">
        <v>2.7E-2</v>
      </c>
    </row>
    <row r="40" spans="1:35" x14ac:dyDescent="0.25">
      <c r="A40" t="s">
        <v>95</v>
      </c>
      <c r="B40" t="s">
        <v>52</v>
      </c>
      <c r="C40" t="s">
        <v>53</v>
      </c>
      <c r="D40" t="s">
        <v>114</v>
      </c>
      <c r="E40" t="s">
        <v>115</v>
      </c>
      <c r="F40" t="s">
        <v>22</v>
      </c>
      <c r="H40">
        <v>58.561515999999997</v>
      </c>
      <c r="I40">
        <v>216.313568</v>
      </c>
      <c r="J40">
        <v>299.74789399999997</v>
      </c>
      <c r="K40">
        <v>342.96472199999999</v>
      </c>
      <c r="L40">
        <v>269.75082400000002</v>
      </c>
      <c r="M40">
        <v>228.10716199999999</v>
      </c>
      <c r="N40">
        <v>418.11642499999999</v>
      </c>
      <c r="O40">
        <v>419.49343900000002</v>
      </c>
      <c r="P40">
        <v>427.37100199999998</v>
      </c>
      <c r="Q40">
        <v>393.74783300000001</v>
      </c>
      <c r="R40">
        <v>405.44253500000002</v>
      </c>
      <c r="S40">
        <v>426.28476000000001</v>
      </c>
      <c r="T40">
        <v>502.26068099999998</v>
      </c>
      <c r="U40">
        <v>511.59967</v>
      </c>
      <c r="V40">
        <v>523.48223900000005</v>
      </c>
      <c r="W40">
        <v>536.48370399999999</v>
      </c>
      <c r="X40">
        <v>545.90582300000005</v>
      </c>
      <c r="Y40">
        <v>551.39410399999997</v>
      </c>
      <c r="Z40">
        <v>555.16674799999998</v>
      </c>
      <c r="AA40">
        <v>558.101135</v>
      </c>
      <c r="AB40">
        <v>560.45532200000002</v>
      </c>
      <c r="AC40">
        <v>562.91980000000001</v>
      </c>
      <c r="AD40">
        <v>563.70733600000005</v>
      </c>
      <c r="AE40">
        <v>564.471497</v>
      </c>
      <c r="AF40">
        <v>562.93658400000004</v>
      </c>
      <c r="AG40">
        <v>562.10711700000002</v>
      </c>
      <c r="AH40">
        <v>562.49542199999996</v>
      </c>
      <c r="AI40" s="4">
        <v>9.0999999999999998E-2</v>
      </c>
    </row>
    <row r="41" spans="1:35" x14ac:dyDescent="0.25">
      <c r="A41" t="s">
        <v>95</v>
      </c>
      <c r="B41" t="s">
        <v>56</v>
      </c>
      <c r="C41" t="s">
        <v>57</v>
      </c>
      <c r="D41" t="s">
        <v>116</v>
      </c>
      <c r="E41" t="s">
        <v>117</v>
      </c>
      <c r="F41" t="s">
        <v>22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 t="s">
        <v>27</v>
      </c>
    </row>
    <row r="42" spans="1:35" x14ac:dyDescent="0.25">
      <c r="A42" t="s">
        <v>95</v>
      </c>
      <c r="B42" t="s">
        <v>32</v>
      </c>
      <c r="C42" t="s">
        <v>60</v>
      </c>
      <c r="D42" t="s">
        <v>118</v>
      </c>
      <c r="E42" t="s">
        <v>119</v>
      </c>
      <c r="F42" t="s">
        <v>22</v>
      </c>
      <c r="H42">
        <v>830.17053199999998</v>
      </c>
      <c r="I42">
        <v>927.00390600000003</v>
      </c>
      <c r="J42">
        <v>1235.3304439999999</v>
      </c>
      <c r="K42">
        <v>999.36584500000004</v>
      </c>
      <c r="L42">
        <v>999.69268799999998</v>
      </c>
      <c r="M42">
        <v>1029.815552</v>
      </c>
      <c r="N42">
        <v>1074.4716800000001</v>
      </c>
      <c r="O42">
        <v>1067.3900149999999</v>
      </c>
      <c r="P42">
        <v>1070.9986570000001</v>
      </c>
      <c r="Q42">
        <v>1143.435547</v>
      </c>
      <c r="R42">
        <v>1139.940552</v>
      </c>
      <c r="S42">
        <v>1157.8745120000001</v>
      </c>
      <c r="T42">
        <v>1179.6290280000001</v>
      </c>
      <c r="U42">
        <v>1196.7910159999999</v>
      </c>
      <c r="V42">
        <v>1216.7717290000001</v>
      </c>
      <c r="W42">
        <v>1238.161255</v>
      </c>
      <c r="X42">
        <v>1264.7257079999999</v>
      </c>
      <c r="Y42">
        <v>1283.454346</v>
      </c>
      <c r="Z42">
        <v>1302.126831</v>
      </c>
      <c r="AA42">
        <v>1315.4194339999999</v>
      </c>
      <c r="AB42">
        <v>1337.147827</v>
      </c>
      <c r="AC42">
        <v>1355.61499</v>
      </c>
      <c r="AD42">
        <v>1375.432251</v>
      </c>
      <c r="AE42">
        <v>1397.0639650000001</v>
      </c>
      <c r="AF42">
        <v>1408.687866</v>
      </c>
      <c r="AG42">
        <v>1423.2967530000001</v>
      </c>
      <c r="AH42">
        <v>1430.702759</v>
      </c>
      <c r="AI42" s="4">
        <v>2.1000000000000001E-2</v>
      </c>
    </row>
    <row r="43" spans="1:35" x14ac:dyDescent="0.25">
      <c r="A43" t="s">
        <v>95</v>
      </c>
      <c r="B43" t="s">
        <v>63</v>
      </c>
      <c r="C43" t="s">
        <v>64</v>
      </c>
      <c r="D43" t="s">
        <v>120</v>
      </c>
      <c r="E43" t="s">
        <v>121</v>
      </c>
      <c r="F43" t="s">
        <v>22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27</v>
      </c>
    </row>
    <row r="44" spans="1:35" x14ac:dyDescent="0.25">
      <c r="A44" t="s">
        <v>95</v>
      </c>
      <c r="B44" t="s">
        <v>63</v>
      </c>
      <c r="C44" t="s">
        <v>67</v>
      </c>
      <c r="D44" t="s">
        <v>122</v>
      </c>
      <c r="E44" t="s">
        <v>123</v>
      </c>
      <c r="F44" t="s">
        <v>22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 t="s">
        <v>27</v>
      </c>
    </row>
    <row r="45" spans="1:35" x14ac:dyDescent="0.25">
      <c r="A45" t="s">
        <v>95</v>
      </c>
      <c r="B45" t="s">
        <v>70</v>
      </c>
      <c r="C45" t="s">
        <v>71</v>
      </c>
      <c r="D45" t="s">
        <v>124</v>
      </c>
      <c r="E45" t="s">
        <v>125</v>
      </c>
      <c r="F45" t="s">
        <v>22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 t="s">
        <v>27</v>
      </c>
    </row>
    <row r="46" spans="1:35" x14ac:dyDescent="0.25">
      <c r="A46" t="s">
        <v>95</v>
      </c>
      <c r="B46" t="s">
        <v>70</v>
      </c>
      <c r="C46" t="s">
        <v>74</v>
      </c>
      <c r="D46" t="s">
        <v>126</v>
      </c>
      <c r="E46" t="s">
        <v>127</v>
      </c>
      <c r="F46" t="s">
        <v>22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27</v>
      </c>
    </row>
    <row r="47" spans="1:35" x14ac:dyDescent="0.25">
      <c r="A47" t="s">
        <v>95</v>
      </c>
      <c r="B47" t="s">
        <v>76</v>
      </c>
      <c r="C47" t="s">
        <v>77</v>
      </c>
      <c r="D47" t="s">
        <v>128</v>
      </c>
      <c r="E47" t="s">
        <v>129</v>
      </c>
      <c r="F47" t="s">
        <v>22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 t="s">
        <v>27</v>
      </c>
    </row>
    <row r="48" spans="1:35" x14ac:dyDescent="0.25">
      <c r="A48" t="s">
        <v>95</v>
      </c>
      <c r="B48" t="s">
        <v>76</v>
      </c>
      <c r="C48" t="s">
        <v>80</v>
      </c>
      <c r="D48" t="s">
        <v>130</v>
      </c>
      <c r="E48" t="s">
        <v>131</v>
      </c>
      <c r="F48" t="s">
        <v>22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 t="s">
        <v>27</v>
      </c>
    </row>
    <row r="49" spans="3:35" x14ac:dyDescent="0.25">
      <c r="C49" t="s">
        <v>132</v>
      </c>
      <c r="D49" t="s">
        <v>133</v>
      </c>
      <c r="E49" t="s">
        <v>134</v>
      </c>
      <c r="F49" t="s">
        <v>22</v>
      </c>
      <c r="H49">
        <v>1512.7436520000001</v>
      </c>
      <c r="I49">
        <v>2142.6652829999998</v>
      </c>
      <c r="J49">
        <v>3195.3828119999998</v>
      </c>
      <c r="K49">
        <v>2741.1826169999999</v>
      </c>
      <c r="L49">
        <v>2681.0515140000002</v>
      </c>
      <c r="M49">
        <v>2589.529297</v>
      </c>
      <c r="N49">
        <v>2660.719971</v>
      </c>
      <c r="O49">
        <v>2685.7360840000001</v>
      </c>
      <c r="P49">
        <v>2757.2653810000002</v>
      </c>
      <c r="Q49">
        <v>2642.0444339999999</v>
      </c>
      <c r="R49">
        <v>2693.2358399999998</v>
      </c>
      <c r="S49">
        <v>2804.2434079999998</v>
      </c>
      <c r="T49">
        <v>2942.3459469999998</v>
      </c>
      <c r="U49">
        <v>3013.9638669999999</v>
      </c>
      <c r="V49">
        <v>3095.1196289999998</v>
      </c>
      <c r="W49">
        <v>3181.444336</v>
      </c>
      <c r="X49">
        <v>3255.8708499999998</v>
      </c>
      <c r="Y49">
        <v>3308.0517580000001</v>
      </c>
      <c r="Z49">
        <v>3351.5131839999999</v>
      </c>
      <c r="AA49">
        <v>3387.4760740000002</v>
      </c>
      <c r="AB49">
        <v>3427.4072270000001</v>
      </c>
      <c r="AC49">
        <v>3465.492432</v>
      </c>
      <c r="AD49">
        <v>3495.8571780000002</v>
      </c>
      <c r="AE49">
        <v>3525.5126949999999</v>
      </c>
      <c r="AF49">
        <v>3537.2216800000001</v>
      </c>
      <c r="AG49">
        <v>3553.8903810000002</v>
      </c>
      <c r="AH49">
        <v>3574.068115</v>
      </c>
      <c r="AI49" s="4">
        <v>3.4000000000000002E-2</v>
      </c>
    </row>
    <row r="50" spans="3:35" x14ac:dyDescent="0.25">
      <c r="C50" t="s">
        <v>135</v>
      </c>
      <c r="D50" t="s">
        <v>136</v>
      </c>
      <c r="E50" t="s">
        <v>137</v>
      </c>
      <c r="F50" t="s">
        <v>89</v>
      </c>
      <c r="H50">
        <v>16.388839999999998</v>
      </c>
      <c r="I50">
        <v>23.659592</v>
      </c>
      <c r="J50">
        <v>33.347892999999999</v>
      </c>
      <c r="K50">
        <v>28.255507000000001</v>
      </c>
      <c r="L50">
        <v>28.414625000000001</v>
      </c>
      <c r="M50">
        <v>28.086441000000001</v>
      </c>
      <c r="N50">
        <v>29.624262000000002</v>
      </c>
      <c r="O50">
        <v>30.695152</v>
      </c>
      <c r="P50">
        <v>31.729996</v>
      </c>
      <c r="Q50">
        <v>30.104462000000002</v>
      </c>
      <c r="R50">
        <v>31.244268000000002</v>
      </c>
      <c r="S50">
        <v>32.461773000000001</v>
      </c>
      <c r="T50">
        <v>33.888598999999999</v>
      </c>
      <c r="U50">
        <v>34.744472999999999</v>
      </c>
      <c r="V50">
        <v>35.624065000000002</v>
      </c>
      <c r="W50">
        <v>36.499577000000002</v>
      </c>
      <c r="X50">
        <v>37.172310000000003</v>
      </c>
      <c r="Y50">
        <v>37.836750000000002</v>
      </c>
      <c r="Z50">
        <v>38.435352000000002</v>
      </c>
      <c r="AA50">
        <v>39.096359</v>
      </c>
      <c r="AB50">
        <v>39.618645000000001</v>
      </c>
      <c r="AC50">
        <v>40.210326999999999</v>
      </c>
      <c r="AD50">
        <v>40.709178999999999</v>
      </c>
      <c r="AE50">
        <v>41.167968999999999</v>
      </c>
      <c r="AF50">
        <v>41.692985999999998</v>
      </c>
      <c r="AG50">
        <v>42.203358000000001</v>
      </c>
      <c r="AH50">
        <v>42.905681999999999</v>
      </c>
      <c r="AI50" s="4">
        <v>3.7999999999999999E-2</v>
      </c>
    </row>
    <row r="51" spans="3:35" x14ac:dyDescent="0.25">
      <c r="C51" t="s">
        <v>138</v>
      </c>
      <c r="D51" t="s">
        <v>139</v>
      </c>
      <c r="E51" t="s">
        <v>140</v>
      </c>
      <c r="F51" t="s">
        <v>22</v>
      </c>
      <c r="H51">
        <v>9230.328125</v>
      </c>
      <c r="I51">
        <v>9056.2226559999999</v>
      </c>
      <c r="J51">
        <v>9581.9628909999992</v>
      </c>
      <c r="K51">
        <v>9701.4101559999999</v>
      </c>
      <c r="L51">
        <v>9435.4628909999992</v>
      </c>
      <c r="M51">
        <v>9219.8554690000001</v>
      </c>
      <c r="N51">
        <v>8981.5566409999992</v>
      </c>
      <c r="O51">
        <v>8749.7080079999996</v>
      </c>
      <c r="P51">
        <v>8689.7753909999992</v>
      </c>
      <c r="Q51">
        <v>8776.2558590000008</v>
      </c>
      <c r="R51">
        <v>8619.9355469999991</v>
      </c>
      <c r="S51">
        <v>8638.6015619999998</v>
      </c>
      <c r="T51">
        <v>8682.40625</v>
      </c>
      <c r="U51">
        <v>8674.6572269999997</v>
      </c>
      <c r="V51">
        <v>8688.2832030000009</v>
      </c>
      <c r="W51">
        <v>8716.3867190000001</v>
      </c>
      <c r="X51">
        <v>8758.8603519999997</v>
      </c>
      <c r="Y51">
        <v>8742.9599610000005</v>
      </c>
      <c r="Z51">
        <v>8719.8710940000001</v>
      </c>
      <c r="AA51">
        <v>8664.4287110000005</v>
      </c>
      <c r="AB51">
        <v>8650.9960940000001</v>
      </c>
      <c r="AC51">
        <v>8618.4140619999998</v>
      </c>
      <c r="AD51">
        <v>8587.3925780000009</v>
      </c>
      <c r="AE51">
        <v>8563.7275389999995</v>
      </c>
      <c r="AF51">
        <v>8483.9736329999996</v>
      </c>
      <c r="AG51">
        <v>8420.8710940000001</v>
      </c>
      <c r="AH51">
        <v>8330.0576170000004</v>
      </c>
      <c r="AI51" s="4">
        <v>-4.0000000000000001E-3</v>
      </c>
    </row>
    <row r="52" spans="3:35" x14ac:dyDescent="0.25">
      <c r="C52" t="s">
        <v>141</v>
      </c>
      <c r="D52" t="s">
        <v>142</v>
      </c>
      <c r="E52" t="s">
        <v>143</v>
      </c>
      <c r="F52" t="s">
        <v>89</v>
      </c>
      <c r="H52">
        <v>21.225769</v>
      </c>
      <c r="I52">
        <v>27.840879000000001</v>
      </c>
      <c r="J52">
        <v>36.058692999999998</v>
      </c>
      <c r="K52">
        <v>35.011066</v>
      </c>
      <c r="L52">
        <v>35.808658999999999</v>
      </c>
      <c r="M52">
        <v>35.609324999999998</v>
      </c>
      <c r="N52">
        <v>37.421641999999999</v>
      </c>
      <c r="O52">
        <v>38.59787</v>
      </c>
      <c r="P52">
        <v>40.432907</v>
      </c>
      <c r="Q52">
        <v>38.827258999999998</v>
      </c>
      <c r="R52">
        <v>40.275905999999999</v>
      </c>
      <c r="S52">
        <v>42.001801</v>
      </c>
      <c r="T52">
        <v>43.182827000000003</v>
      </c>
      <c r="U52">
        <v>44.054259999999999</v>
      </c>
      <c r="V52">
        <v>44.93383</v>
      </c>
      <c r="W52">
        <v>46.063586999999998</v>
      </c>
      <c r="X52">
        <v>46.876396</v>
      </c>
      <c r="Y52">
        <v>47.480099000000003</v>
      </c>
      <c r="Z52">
        <v>48.028976</v>
      </c>
      <c r="AA52">
        <v>48.638229000000003</v>
      </c>
      <c r="AB52">
        <v>49.107371999999998</v>
      </c>
      <c r="AC52">
        <v>49.643501000000001</v>
      </c>
      <c r="AD52">
        <v>50.083396999999998</v>
      </c>
      <c r="AE52">
        <v>50.465954000000004</v>
      </c>
      <c r="AF52">
        <v>50.917712999999999</v>
      </c>
      <c r="AG52">
        <v>51.361561000000002</v>
      </c>
      <c r="AH52">
        <v>52.010876000000003</v>
      </c>
      <c r="AI52" s="4">
        <v>3.5000000000000003E-2</v>
      </c>
    </row>
    <row r="53" spans="3:35" x14ac:dyDescent="0.25">
      <c r="C53" t="s">
        <v>144</v>
      </c>
      <c r="D53" t="s">
        <v>145</v>
      </c>
      <c r="E53" t="s">
        <v>146</v>
      </c>
      <c r="F53" t="s">
        <v>22</v>
      </c>
      <c r="H53">
        <v>164.151962</v>
      </c>
      <c r="I53">
        <v>215.12443500000001</v>
      </c>
      <c r="J53">
        <v>254.06828300000001</v>
      </c>
      <c r="K53">
        <v>289.34497099999999</v>
      </c>
      <c r="L53">
        <v>297.07473800000002</v>
      </c>
      <c r="M53">
        <v>292.517426</v>
      </c>
      <c r="N53">
        <v>295.69000199999999</v>
      </c>
      <c r="O53">
        <v>298.21441700000003</v>
      </c>
      <c r="P53">
        <v>304.82037400000002</v>
      </c>
      <c r="Q53">
        <v>289.03918499999997</v>
      </c>
      <c r="R53">
        <v>298.55996699999997</v>
      </c>
      <c r="S53">
        <v>308.66952500000002</v>
      </c>
      <c r="T53">
        <v>321.39172400000001</v>
      </c>
      <c r="U53">
        <v>327.97586100000001</v>
      </c>
      <c r="V53">
        <v>335.54406699999998</v>
      </c>
      <c r="W53">
        <v>343.692902</v>
      </c>
      <c r="X53">
        <v>351.57421900000003</v>
      </c>
      <c r="Y53">
        <v>355.129974</v>
      </c>
      <c r="Z53">
        <v>358.177795</v>
      </c>
      <c r="AA53">
        <v>360.543182</v>
      </c>
      <c r="AB53">
        <v>363.16162100000003</v>
      </c>
      <c r="AC53">
        <v>365.80395499999997</v>
      </c>
      <c r="AD53">
        <v>367.39132699999999</v>
      </c>
      <c r="AE53">
        <v>368.46343999999999</v>
      </c>
      <c r="AF53">
        <v>368.04965199999998</v>
      </c>
      <c r="AG53">
        <v>368.32318099999998</v>
      </c>
      <c r="AH53">
        <v>369.84582499999999</v>
      </c>
      <c r="AI53" s="4">
        <v>3.2000000000000001E-2</v>
      </c>
    </row>
    <row r="54" spans="3:35" x14ac:dyDescent="0.25">
      <c r="C54" t="s">
        <v>147</v>
      </c>
      <c r="D54" t="s">
        <v>148</v>
      </c>
      <c r="E54" t="s">
        <v>149</v>
      </c>
      <c r="F54" t="s">
        <v>22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 t="s">
        <v>27</v>
      </c>
    </row>
    <row r="55" spans="3:35" x14ac:dyDescent="0.25">
      <c r="C55" t="s">
        <v>150</v>
      </c>
      <c r="D55" t="s">
        <v>151</v>
      </c>
    </row>
    <row r="56" spans="3:35" x14ac:dyDescent="0.25">
      <c r="C56" t="s">
        <v>152</v>
      </c>
      <c r="D56" t="s">
        <v>153</v>
      </c>
      <c r="E56" t="s">
        <v>154</v>
      </c>
      <c r="F56" t="s">
        <v>22</v>
      </c>
      <c r="H56">
        <v>11750.655273</v>
      </c>
      <c r="I56">
        <v>10980.074219</v>
      </c>
      <c r="J56">
        <v>10113.898438</v>
      </c>
      <c r="K56">
        <v>10339.551758</v>
      </c>
      <c r="L56">
        <v>9891.8671880000002</v>
      </c>
      <c r="M56">
        <v>9758.7412110000005</v>
      </c>
      <c r="N56">
        <v>9384.6152340000008</v>
      </c>
      <c r="O56">
        <v>8990.515625</v>
      </c>
      <c r="P56">
        <v>8628.6796880000002</v>
      </c>
      <c r="Q56">
        <v>8874.8613280000009</v>
      </c>
      <c r="R56">
        <v>8703.4316409999992</v>
      </c>
      <c r="S56">
        <v>8441.9130860000005</v>
      </c>
      <c r="T56">
        <v>8258.0527340000008</v>
      </c>
      <c r="U56">
        <v>8125.7036129999997</v>
      </c>
      <c r="V56">
        <v>8018.0522460000002</v>
      </c>
      <c r="W56">
        <v>7883.4428710000002</v>
      </c>
      <c r="X56">
        <v>7767.7441410000001</v>
      </c>
      <c r="Y56">
        <v>7650.3066410000001</v>
      </c>
      <c r="Z56">
        <v>7541.373047</v>
      </c>
      <c r="AA56">
        <v>7415.0395509999998</v>
      </c>
      <c r="AB56">
        <v>7323.1391599999997</v>
      </c>
      <c r="AC56">
        <v>7228.3129879999997</v>
      </c>
      <c r="AD56">
        <v>7127.4960940000001</v>
      </c>
      <c r="AE56">
        <v>7036.341797</v>
      </c>
      <c r="AF56">
        <v>6906.6479490000002</v>
      </c>
      <c r="AG56">
        <v>6791.7963870000003</v>
      </c>
      <c r="AH56">
        <v>6667.1484380000002</v>
      </c>
      <c r="AI56" s="4">
        <v>-2.1999999999999999E-2</v>
      </c>
    </row>
    <row r="57" spans="3:35" x14ac:dyDescent="0.25">
      <c r="C57" t="s">
        <v>155</v>
      </c>
      <c r="D57" t="s">
        <v>156</v>
      </c>
      <c r="E57" t="s">
        <v>157</v>
      </c>
      <c r="F57" t="s">
        <v>22</v>
      </c>
      <c r="H57">
        <v>186.34399400000001</v>
      </c>
      <c r="I57">
        <v>172.747253</v>
      </c>
      <c r="J57">
        <v>172.71080000000001</v>
      </c>
      <c r="K57">
        <v>167.40741</v>
      </c>
      <c r="L57">
        <v>161.69903600000001</v>
      </c>
      <c r="M57">
        <v>164.365555</v>
      </c>
      <c r="N57">
        <v>127.056389</v>
      </c>
      <c r="O57">
        <v>123.674454</v>
      </c>
      <c r="P57">
        <v>122.54634900000001</v>
      </c>
      <c r="Q57">
        <v>129.92974899999999</v>
      </c>
      <c r="R57">
        <v>127.494247</v>
      </c>
      <c r="S57">
        <v>127.05291699999999</v>
      </c>
      <c r="T57">
        <v>127.56778</v>
      </c>
      <c r="U57">
        <v>125.826836</v>
      </c>
      <c r="V57">
        <v>125.065353</v>
      </c>
      <c r="W57">
        <v>124.754486</v>
      </c>
      <c r="X57">
        <v>124.63694</v>
      </c>
      <c r="Y57">
        <v>123.75251</v>
      </c>
      <c r="Z57">
        <v>122.421143</v>
      </c>
      <c r="AA57">
        <v>120.643036</v>
      </c>
      <c r="AB57">
        <v>119.462479</v>
      </c>
      <c r="AC57">
        <v>118.04085499999999</v>
      </c>
      <c r="AD57">
        <v>116.636887</v>
      </c>
      <c r="AE57">
        <v>115.654076</v>
      </c>
      <c r="AF57">
        <v>113.999298</v>
      </c>
      <c r="AG57">
        <v>112.55542800000001</v>
      </c>
      <c r="AH57">
        <v>111.153175</v>
      </c>
      <c r="AI57" s="4">
        <v>-0.02</v>
      </c>
    </row>
    <row r="58" spans="3:35" x14ac:dyDescent="0.25">
      <c r="C58" t="s">
        <v>158</v>
      </c>
      <c r="D58" t="s">
        <v>159</v>
      </c>
      <c r="E58" t="s">
        <v>160</v>
      </c>
      <c r="F58" t="s">
        <v>22</v>
      </c>
      <c r="H58">
        <v>163.769791</v>
      </c>
      <c r="I58">
        <v>149.096802</v>
      </c>
      <c r="J58">
        <v>146.94841</v>
      </c>
      <c r="K58">
        <v>130.310013</v>
      </c>
      <c r="L58">
        <v>122.263527</v>
      </c>
      <c r="M58">
        <v>117.65978200000001</v>
      </c>
      <c r="N58">
        <v>81.065117000000001</v>
      </c>
      <c r="O58">
        <v>76.741546999999997</v>
      </c>
      <c r="P58">
        <v>73.708931000000007</v>
      </c>
      <c r="Q58">
        <v>79.722167999999996</v>
      </c>
      <c r="R58">
        <v>76.171402</v>
      </c>
      <c r="S58">
        <v>74.028739999999999</v>
      </c>
      <c r="T58">
        <v>72.319007999999997</v>
      </c>
      <c r="U58">
        <v>70.445755000000005</v>
      </c>
      <c r="V58">
        <v>68.737503000000004</v>
      </c>
      <c r="W58">
        <v>67.030959999999993</v>
      </c>
      <c r="X58">
        <v>65.94735</v>
      </c>
      <c r="Y58">
        <v>64.533501000000001</v>
      </c>
      <c r="Z58">
        <v>63.249915999999999</v>
      </c>
      <c r="AA58">
        <v>61.585880000000003</v>
      </c>
      <c r="AB58">
        <v>60.526423999999999</v>
      </c>
      <c r="AC58">
        <v>59.188426999999997</v>
      </c>
      <c r="AD58">
        <v>58.127476000000001</v>
      </c>
      <c r="AE58">
        <v>57.246299999999998</v>
      </c>
      <c r="AF58">
        <v>55.849792000000001</v>
      </c>
      <c r="AG58">
        <v>54.586750000000002</v>
      </c>
      <c r="AH58">
        <v>52.591366000000001</v>
      </c>
      <c r="AI58" s="4">
        <v>-4.2999999999999997E-2</v>
      </c>
    </row>
    <row r="59" spans="3:35" x14ac:dyDescent="0.25">
      <c r="C59" t="s">
        <v>161</v>
      </c>
      <c r="D59" t="s">
        <v>162</v>
      </c>
      <c r="E59" t="s">
        <v>163</v>
      </c>
      <c r="F59" t="s">
        <v>22</v>
      </c>
      <c r="H59">
        <v>1483.8043210000001</v>
      </c>
      <c r="I59">
        <v>2131.6098630000001</v>
      </c>
      <c r="J59">
        <v>2881.9760740000002</v>
      </c>
      <c r="K59">
        <v>3086.8000489999999</v>
      </c>
      <c r="L59">
        <v>3107.9335940000001</v>
      </c>
      <c r="M59">
        <v>3051.5708009999998</v>
      </c>
      <c r="N59">
        <v>3010.0979000000002</v>
      </c>
      <c r="O59">
        <v>3059.3879390000002</v>
      </c>
      <c r="P59">
        <v>3302.6428219999998</v>
      </c>
      <c r="Q59">
        <v>3077.265625</v>
      </c>
      <c r="R59">
        <v>3269.1428219999998</v>
      </c>
      <c r="S59">
        <v>3463.038818</v>
      </c>
      <c r="T59">
        <v>3536.3210450000001</v>
      </c>
      <c r="U59">
        <v>3616.8747560000002</v>
      </c>
      <c r="V59">
        <v>3710.7072750000002</v>
      </c>
      <c r="W59">
        <v>3861.523682</v>
      </c>
      <c r="X59">
        <v>3948.150635</v>
      </c>
      <c r="Y59">
        <v>3979.8308109999998</v>
      </c>
      <c r="Z59">
        <v>4005.505615</v>
      </c>
      <c r="AA59">
        <v>4037.7358399999998</v>
      </c>
      <c r="AB59">
        <v>4054.9921880000002</v>
      </c>
      <c r="AC59">
        <v>4089.0646969999998</v>
      </c>
      <c r="AD59">
        <v>4093.017578</v>
      </c>
      <c r="AE59">
        <v>4088.5834960000002</v>
      </c>
      <c r="AF59">
        <v>4079.0595699999999</v>
      </c>
      <c r="AG59">
        <v>4074.421875</v>
      </c>
      <c r="AH59">
        <v>4117.3071289999998</v>
      </c>
      <c r="AI59" s="4">
        <v>0.04</v>
      </c>
    </row>
    <row r="60" spans="3:35" x14ac:dyDescent="0.25">
      <c r="C60" t="s">
        <v>164</v>
      </c>
      <c r="D60" t="s">
        <v>165</v>
      </c>
      <c r="E60" t="s">
        <v>166</v>
      </c>
      <c r="F60" t="s">
        <v>22</v>
      </c>
      <c r="H60">
        <v>317.47430400000002</v>
      </c>
      <c r="I60">
        <v>575.54089399999998</v>
      </c>
      <c r="J60">
        <v>1014.503113</v>
      </c>
      <c r="K60">
        <v>878.292419</v>
      </c>
      <c r="L60">
        <v>833.37524399999995</v>
      </c>
      <c r="M60">
        <v>728.33435099999997</v>
      </c>
      <c r="N60">
        <v>952.090149</v>
      </c>
      <c r="O60">
        <v>952.090149</v>
      </c>
      <c r="P60">
        <v>946.15600600000005</v>
      </c>
      <c r="Q60">
        <v>851.13165300000003</v>
      </c>
      <c r="R60">
        <v>879.83642599999996</v>
      </c>
      <c r="S60">
        <v>916.01367200000004</v>
      </c>
      <c r="T60">
        <v>988.290527</v>
      </c>
      <c r="U60">
        <v>1008.519531</v>
      </c>
      <c r="V60">
        <v>1033.369995</v>
      </c>
      <c r="W60">
        <v>1054.315552</v>
      </c>
      <c r="X60">
        <v>1070.330933</v>
      </c>
      <c r="Y60">
        <v>1079.9499510000001</v>
      </c>
      <c r="Z60">
        <v>1085.490967</v>
      </c>
      <c r="AA60">
        <v>1089.955811</v>
      </c>
      <c r="AB60">
        <v>1091.3328859999999</v>
      </c>
      <c r="AC60">
        <v>1093.786499</v>
      </c>
      <c r="AD60">
        <v>1092.2014160000001</v>
      </c>
      <c r="AE60">
        <v>1090.6842039999999</v>
      </c>
      <c r="AF60">
        <v>1085.2761230000001</v>
      </c>
      <c r="AG60">
        <v>1081.229736</v>
      </c>
      <c r="AH60">
        <v>1080.8582759999999</v>
      </c>
      <c r="AI60" s="4">
        <v>4.8000000000000001E-2</v>
      </c>
    </row>
    <row r="61" spans="3:35" x14ac:dyDescent="0.25">
      <c r="C61" t="s">
        <v>167</v>
      </c>
      <c r="D61" t="s">
        <v>168</v>
      </c>
      <c r="E61" t="s">
        <v>169</v>
      </c>
      <c r="F61" t="s">
        <v>22</v>
      </c>
      <c r="H61">
        <v>1250.709961</v>
      </c>
      <c r="I61">
        <v>1446.1870120000001</v>
      </c>
      <c r="J61">
        <v>1756.8870850000001</v>
      </c>
      <c r="K61">
        <v>1564.2172849999999</v>
      </c>
      <c r="L61">
        <v>1543.984741</v>
      </c>
      <c r="M61">
        <v>1589.8179929999999</v>
      </c>
      <c r="N61">
        <v>1644.3291019999999</v>
      </c>
      <c r="O61">
        <v>1640.697876</v>
      </c>
      <c r="P61">
        <v>1617.3392329999999</v>
      </c>
      <c r="Q61">
        <v>1707.123169</v>
      </c>
      <c r="R61">
        <v>1729.8858640000001</v>
      </c>
      <c r="S61">
        <v>1752.218018</v>
      </c>
      <c r="T61">
        <v>1776.1533199999999</v>
      </c>
      <c r="U61">
        <v>1801.5601810000001</v>
      </c>
      <c r="V61">
        <v>1831.715332</v>
      </c>
      <c r="W61">
        <v>1856.1866460000001</v>
      </c>
      <c r="X61">
        <v>1879.6062010000001</v>
      </c>
      <c r="Y61">
        <v>1903.527466</v>
      </c>
      <c r="Z61">
        <v>1928.0214840000001</v>
      </c>
      <c r="AA61">
        <v>1946.5893550000001</v>
      </c>
      <c r="AB61">
        <v>1974.449341</v>
      </c>
      <c r="AC61">
        <v>2000.0695800000001</v>
      </c>
      <c r="AD61">
        <v>2024.7635499999999</v>
      </c>
      <c r="AE61">
        <v>2049.806885</v>
      </c>
      <c r="AF61">
        <v>2062.7707519999999</v>
      </c>
      <c r="AG61">
        <v>2080.436279</v>
      </c>
      <c r="AH61">
        <v>2095.3552249999998</v>
      </c>
      <c r="AI61" s="4">
        <v>0.02</v>
      </c>
    </row>
    <row r="62" spans="3:35" x14ac:dyDescent="0.25">
      <c r="C62" t="s">
        <v>170</v>
      </c>
      <c r="D62" t="s">
        <v>171</v>
      </c>
      <c r="E62" t="s">
        <v>172</v>
      </c>
      <c r="F62" t="s">
        <v>22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 t="s">
        <v>27</v>
      </c>
    </row>
    <row r="63" spans="3:35" x14ac:dyDescent="0.25">
      <c r="C63" t="s">
        <v>173</v>
      </c>
      <c r="D63" t="s">
        <v>174</v>
      </c>
      <c r="E63" t="s">
        <v>175</v>
      </c>
      <c r="F63" t="s">
        <v>22</v>
      </c>
      <c r="H63">
        <v>0.67393400000000003</v>
      </c>
      <c r="I63">
        <v>0.61585699999999999</v>
      </c>
      <c r="J63">
        <v>0.65634300000000001</v>
      </c>
      <c r="K63">
        <v>0.72519599999999995</v>
      </c>
      <c r="L63">
        <v>0.75017100000000003</v>
      </c>
      <c r="M63">
        <v>0.29338900000000001</v>
      </c>
      <c r="N63">
        <v>0.36364099999999999</v>
      </c>
      <c r="O63">
        <v>0.33464100000000002</v>
      </c>
      <c r="P63">
        <v>0.30332300000000001</v>
      </c>
      <c r="Q63">
        <v>0.23375799999999999</v>
      </c>
      <c r="R63">
        <v>0.239898</v>
      </c>
      <c r="S63">
        <v>0.27227299999999999</v>
      </c>
      <c r="T63">
        <v>0.250305</v>
      </c>
      <c r="U63">
        <v>0.23636699999999999</v>
      </c>
      <c r="V63">
        <v>0.22881699999999999</v>
      </c>
      <c r="W63">
        <v>0.223773</v>
      </c>
      <c r="X63">
        <v>0.22148200000000001</v>
      </c>
      <c r="Y63">
        <v>0.220751</v>
      </c>
      <c r="Z63">
        <v>0.220222</v>
      </c>
      <c r="AA63">
        <v>0.22391</v>
      </c>
      <c r="AB63">
        <v>0.22280900000000001</v>
      </c>
      <c r="AC63">
        <v>0.22700100000000001</v>
      </c>
      <c r="AD63">
        <v>0.22872100000000001</v>
      </c>
      <c r="AE63">
        <v>0.22681899999999999</v>
      </c>
      <c r="AF63">
        <v>0.22878499999999999</v>
      </c>
      <c r="AG63">
        <v>0.231185</v>
      </c>
      <c r="AH63">
        <v>0.24720200000000001</v>
      </c>
      <c r="AI63" s="4">
        <v>-3.7999999999999999E-2</v>
      </c>
    </row>
    <row r="64" spans="3:35" x14ac:dyDescent="0.25">
      <c r="C64" t="s">
        <v>176</v>
      </c>
      <c r="D64" t="s">
        <v>177</v>
      </c>
      <c r="E64" t="s">
        <v>178</v>
      </c>
      <c r="F64" t="s">
        <v>22</v>
      </c>
      <c r="H64">
        <v>15153.429688</v>
      </c>
      <c r="I64">
        <v>15455.872069999999</v>
      </c>
      <c r="J64">
        <v>16087.580078000001</v>
      </c>
      <c r="K64">
        <v>16167.304688</v>
      </c>
      <c r="L64">
        <v>15661.874023</v>
      </c>
      <c r="M64">
        <v>15410.783203000001</v>
      </c>
      <c r="N64">
        <v>15199.616211</v>
      </c>
      <c r="O64">
        <v>14843.441406</v>
      </c>
      <c r="P64">
        <v>14691.375977</v>
      </c>
      <c r="Q64">
        <v>14720.266602</v>
      </c>
      <c r="R64">
        <v>14786.203125</v>
      </c>
      <c r="S64">
        <v>14774.537109000001</v>
      </c>
      <c r="T64">
        <v>14758.954102</v>
      </c>
      <c r="U64">
        <v>14749.166015999999</v>
      </c>
      <c r="V64">
        <v>14787.875977</v>
      </c>
      <c r="W64">
        <v>14847.477539</v>
      </c>
      <c r="X64">
        <v>14856.637694999999</v>
      </c>
      <c r="Y64">
        <v>14802.121094</v>
      </c>
      <c r="Z64">
        <v>14746.28125</v>
      </c>
      <c r="AA64">
        <v>14671.773438</v>
      </c>
      <c r="AB64">
        <v>14624.125</v>
      </c>
      <c r="AC64">
        <v>14588.690430000001</v>
      </c>
      <c r="AD64">
        <v>14512.471680000001</v>
      </c>
      <c r="AE64">
        <v>14438.543944999999</v>
      </c>
      <c r="AF64">
        <v>14303.833008</v>
      </c>
      <c r="AG64">
        <v>14195.256836</v>
      </c>
      <c r="AH64">
        <v>14124.661133</v>
      </c>
      <c r="AI64" s="4">
        <v>-3.0000000000000001E-3</v>
      </c>
    </row>
    <row r="65" spans="3:35" x14ac:dyDescent="0.25">
      <c r="C65" t="s">
        <v>179</v>
      </c>
      <c r="D65" t="s">
        <v>180</v>
      </c>
      <c r="E65" t="s">
        <v>181</v>
      </c>
      <c r="F65" t="s">
        <v>22</v>
      </c>
      <c r="H65">
        <v>7511.6499020000001</v>
      </c>
      <c r="I65">
        <v>7368.9697269999997</v>
      </c>
      <c r="J65">
        <v>7126.3305659999996</v>
      </c>
      <c r="K65">
        <v>7794.6821289999998</v>
      </c>
      <c r="L65">
        <v>7942.4575199999999</v>
      </c>
      <c r="M65">
        <v>7996.7368159999996</v>
      </c>
      <c r="N65">
        <v>7737.8515619999998</v>
      </c>
      <c r="O65">
        <v>7460.5834960000002</v>
      </c>
      <c r="P65">
        <v>7229.2382809999999</v>
      </c>
      <c r="Q65">
        <v>7467.2680659999996</v>
      </c>
      <c r="R65">
        <v>7310.5581050000001</v>
      </c>
      <c r="S65">
        <v>7133.8491210000002</v>
      </c>
      <c r="T65">
        <v>7001.4213870000003</v>
      </c>
      <c r="U65">
        <v>6904.1035160000001</v>
      </c>
      <c r="V65">
        <v>6826.4165039999998</v>
      </c>
      <c r="W65">
        <v>6733.6845700000003</v>
      </c>
      <c r="X65">
        <v>6660.5922849999997</v>
      </c>
      <c r="Y65">
        <v>6572.8037109999996</v>
      </c>
      <c r="Z65">
        <v>6487.3085940000001</v>
      </c>
      <c r="AA65">
        <v>6382.5581050000001</v>
      </c>
      <c r="AB65">
        <v>6309.2763670000004</v>
      </c>
      <c r="AC65">
        <v>6229.8715819999998</v>
      </c>
      <c r="AD65">
        <v>6147.7353519999997</v>
      </c>
      <c r="AE65">
        <v>6074.1098629999997</v>
      </c>
      <c r="AF65">
        <v>5965.6284180000002</v>
      </c>
      <c r="AG65">
        <v>5868.8002930000002</v>
      </c>
      <c r="AH65">
        <v>5758.0869140000004</v>
      </c>
      <c r="AI65" s="4">
        <v>-0.01</v>
      </c>
    </row>
    <row r="66" spans="3:35" x14ac:dyDescent="0.25">
      <c r="C66" t="s">
        <v>182</v>
      </c>
      <c r="D66" t="s">
        <v>183</v>
      </c>
      <c r="E66" t="s">
        <v>184</v>
      </c>
      <c r="F66" t="s">
        <v>22</v>
      </c>
      <c r="H66">
        <v>97.115607999999995</v>
      </c>
      <c r="I66">
        <v>90.276236999999995</v>
      </c>
      <c r="J66">
        <v>90.425315999999995</v>
      </c>
      <c r="K66">
        <v>87.711219999999997</v>
      </c>
      <c r="L66">
        <v>84.720084999999997</v>
      </c>
      <c r="M66">
        <v>86.140418999999994</v>
      </c>
      <c r="N66">
        <v>66.617867000000004</v>
      </c>
      <c r="O66">
        <v>64.873786999999993</v>
      </c>
      <c r="P66">
        <v>64.316390999999996</v>
      </c>
      <c r="Q66">
        <v>68.200928000000005</v>
      </c>
      <c r="R66">
        <v>66.961922000000001</v>
      </c>
      <c r="S66">
        <v>66.742125999999999</v>
      </c>
      <c r="T66">
        <v>67.033912999999998</v>
      </c>
      <c r="U66">
        <v>66.12867</v>
      </c>
      <c r="V66">
        <v>65.749381999999997</v>
      </c>
      <c r="W66">
        <v>65.600005999999993</v>
      </c>
      <c r="X66">
        <v>65.555663999999993</v>
      </c>
      <c r="Y66">
        <v>65.096710000000002</v>
      </c>
      <c r="Z66">
        <v>64.408942999999994</v>
      </c>
      <c r="AA66">
        <v>63.485332</v>
      </c>
      <c r="AB66">
        <v>62.869892</v>
      </c>
      <c r="AC66">
        <v>62.131447000000001</v>
      </c>
      <c r="AD66">
        <v>61.400573999999999</v>
      </c>
      <c r="AE66">
        <v>60.895308999999997</v>
      </c>
      <c r="AF66">
        <v>60.03051</v>
      </c>
      <c r="AG66">
        <v>59.272938000000003</v>
      </c>
      <c r="AH66">
        <v>58.546866999999999</v>
      </c>
      <c r="AI66" s="4">
        <v>-1.9E-2</v>
      </c>
    </row>
    <row r="67" spans="3:35" x14ac:dyDescent="0.25">
      <c r="C67" t="s">
        <v>185</v>
      </c>
      <c r="D67" t="s">
        <v>186</v>
      </c>
      <c r="E67" t="s">
        <v>178</v>
      </c>
      <c r="F67" t="s">
        <v>22</v>
      </c>
      <c r="H67">
        <v>3402.7761230000001</v>
      </c>
      <c r="I67">
        <v>4475.7978519999997</v>
      </c>
      <c r="J67">
        <v>5973.6816410000001</v>
      </c>
      <c r="K67">
        <v>5827.7524409999996</v>
      </c>
      <c r="L67">
        <v>5770.0058589999999</v>
      </c>
      <c r="M67">
        <v>5652.0419920000004</v>
      </c>
      <c r="N67">
        <v>5815.0024409999996</v>
      </c>
      <c r="O67">
        <v>5852.9267579999996</v>
      </c>
      <c r="P67">
        <v>6062.6962890000004</v>
      </c>
      <c r="Q67">
        <v>5845.4067379999997</v>
      </c>
      <c r="R67">
        <v>6082.7705079999996</v>
      </c>
      <c r="S67">
        <v>6332.6245120000003</v>
      </c>
      <c r="T67">
        <v>6500.9023440000001</v>
      </c>
      <c r="U67">
        <v>6623.4633789999998</v>
      </c>
      <c r="V67">
        <v>6769.8247069999998</v>
      </c>
      <c r="W67">
        <v>6964.0351559999999</v>
      </c>
      <c r="X67">
        <v>7088.8935549999997</v>
      </c>
      <c r="Y67">
        <v>7151.8154299999997</v>
      </c>
      <c r="Z67">
        <v>7204.9091799999997</v>
      </c>
      <c r="AA67">
        <v>7256.734375</v>
      </c>
      <c r="AB67">
        <v>7300.986328</v>
      </c>
      <c r="AC67">
        <v>7360.376953</v>
      </c>
      <c r="AD67">
        <v>7384.9755859999996</v>
      </c>
      <c r="AE67">
        <v>7402.2021480000003</v>
      </c>
      <c r="AF67">
        <v>7397.1845700000003</v>
      </c>
      <c r="AG67">
        <v>7403.4609380000002</v>
      </c>
      <c r="AH67">
        <v>7457.5122069999998</v>
      </c>
      <c r="AI67" s="4">
        <v>3.1E-2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BCDA-7E76-4971-AD95-4C7223AEAD38}">
  <dimension ref="A1:B11"/>
  <sheetViews>
    <sheetView workbookViewId="0">
      <selection activeCell="C11" sqref="C11"/>
    </sheetView>
  </sheetViews>
  <sheetFormatPr defaultRowHeight="15" x14ac:dyDescent="0.25"/>
  <cols>
    <col min="1" max="1" width="28.7109375" bestFit="1" customWidth="1"/>
    <col min="2" max="2" width="10.42578125" bestFit="1" customWidth="1"/>
  </cols>
  <sheetData>
    <row r="1" spans="1:2" x14ac:dyDescent="0.25">
      <c r="A1" s="1" t="s">
        <v>191</v>
      </c>
      <c r="B1" s="1" t="s">
        <v>194</v>
      </c>
    </row>
    <row r="2" spans="1:2" x14ac:dyDescent="0.25">
      <c r="A2" t="s">
        <v>192</v>
      </c>
      <c r="B2">
        <v>4160</v>
      </c>
    </row>
    <row r="3" spans="1:2" x14ac:dyDescent="0.25">
      <c r="A3" t="s">
        <v>193</v>
      </c>
      <c r="B3">
        <v>8700</v>
      </c>
    </row>
    <row r="5" spans="1:2" x14ac:dyDescent="0.25">
      <c r="A5" s="1" t="s">
        <v>195</v>
      </c>
      <c r="B5" t="s">
        <v>196</v>
      </c>
    </row>
    <row r="6" spans="1:2" x14ac:dyDescent="0.25">
      <c r="A6" t="s">
        <v>192</v>
      </c>
      <c r="B6">
        <f>'AEO Table 38'!H28/'AEO Table 38'!H64</f>
        <v>0.39087534458885592</v>
      </c>
    </row>
    <row r="7" spans="1:2" x14ac:dyDescent="0.25">
      <c r="A7" t="s">
        <v>193</v>
      </c>
      <c r="B7">
        <f>'AEO Table 38'!H51/'AEO Table 38'!H64</f>
        <v>0.60912468761507477</v>
      </c>
    </row>
    <row r="9" spans="1:2" x14ac:dyDescent="0.25">
      <c r="A9" s="1" t="s">
        <v>197</v>
      </c>
    </row>
    <row r="10" spans="1:2" x14ac:dyDescent="0.25">
      <c r="A10" t="s">
        <v>198</v>
      </c>
      <c r="B10">
        <f>SUMPRODUCT(B2:B3,B6:B7)</f>
        <v>6925.4262157407911</v>
      </c>
    </row>
    <row r="11" spans="1:2" x14ac:dyDescent="0.25">
      <c r="A11" t="s">
        <v>199</v>
      </c>
      <c r="B11">
        <f>B10*About!A26</f>
        <v>5867.9422318957486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5568-CE44-4BDC-AD40-17AB7AF37B8E}">
  <sheetPr>
    <tabColor rgb="FF002060"/>
  </sheetPr>
  <dimension ref="A1:B1"/>
  <sheetViews>
    <sheetView workbookViewId="0">
      <selection activeCell="C1" sqref="C1"/>
    </sheetView>
  </sheetViews>
  <sheetFormatPr defaultRowHeight="15" x14ac:dyDescent="0.25"/>
  <cols>
    <col min="1" max="1" width="39" bestFit="1" customWidth="1"/>
  </cols>
  <sheetData>
    <row r="1" spans="1:2" x14ac:dyDescent="0.25">
      <c r="A1" t="s">
        <v>201</v>
      </c>
      <c r="B1">
        <f>Calculations!B11</f>
        <v>5867.9422318957486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AEO Table 38</vt:lpstr>
      <vt:lpstr>Calculations</vt:lpstr>
      <vt:lpstr>BCPSC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Robbie Orvis</cp:lastModifiedBy>
  <dcterms:created xsi:type="dcterms:W3CDTF">2026-04-16T15:05:06Z</dcterms:created>
  <dcterms:modified xsi:type="dcterms:W3CDTF">2026-04-16T15:16:55Z</dcterms:modified>
</cp:coreProperties>
</file>