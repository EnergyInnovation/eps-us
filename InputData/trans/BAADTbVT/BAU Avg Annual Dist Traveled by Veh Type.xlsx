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Olivia Ashmoore\Documents\EPS_Models by Region\United States\us-eps\InputData\trans\BAADTbVT\"/>
    </mc:Choice>
  </mc:AlternateContent>
  <xr:revisionPtr revIDLastSave="0" documentId="13_ncr:1_{689277A3-A3E2-476F-A3E1-694BED5C5115}" xr6:coauthVersionLast="47" xr6:coauthVersionMax="47" xr10:uidLastSave="{00000000-0000-0000-0000-000000000000}"/>
  <bookViews>
    <workbookView xWindow="8010" yWindow="0" windowWidth="10805" windowHeight="10155" firstSheet="29" activeTab="30" xr2:uid="{B073F54A-F3FE-416A-A191-22D334FE6570}"/>
    <workbookView xWindow="-35" yWindow="0" windowWidth="9445" windowHeight="10155" firstSheet="10" activeTab="10" xr2:uid="{E61A8B87-728A-469C-A39F-7ED4245DE0A9}"/>
  </bookViews>
  <sheets>
    <sheet name="About" sheetId="1" r:id="rId1"/>
    <sheet name="source data&gt;" sheetId="66" r:id="rId2"/>
    <sheet name="SYVbT-passenger" sheetId="19" r:id="rId3"/>
    <sheet name="SYVbT-freight" sheetId="20" r:id="rId4"/>
    <sheet name="AVLo-passengers" sheetId="21" r:id="rId5"/>
    <sheet name="AVLo-freight" sheetId="22" r:id="rId6"/>
    <sheet name="AEO 2023 Table 7" sheetId="37" r:id="rId7"/>
    <sheet name="AEO 2023 Table 39" sheetId="41" r:id="rId8"/>
    <sheet name="AEO 2023 Table 45" sheetId="53" r:id="rId9"/>
    <sheet name="AEO 2023 Table 46" sheetId="38" r:id="rId10"/>
    <sheet name="AEO 2023 Table 47" sheetId="39" r:id="rId11"/>
    <sheet name="AEO 2023 Table 48" sheetId="51" r:id="rId12"/>
    <sheet name="AEO 2023 Table 49" sheetId="40" r:id="rId13"/>
    <sheet name="NHTSA Motorbikes" sheetId="7" r:id="rId14"/>
    <sheet name="NTS 1-40" sheetId="23" r:id="rId15"/>
    <sheet name="NTS Table 1-11" sheetId="48" r:id="rId16"/>
    <sheet name="AEO 2025 Table 7" sheetId="65" r:id="rId17"/>
    <sheet name="AEO 2025 Table 39" sheetId="63" r:id="rId18"/>
    <sheet name="AEO 2025 Table 45" sheetId="64" r:id="rId19"/>
    <sheet name="AEO 2025 Table 46" sheetId="61" r:id="rId20"/>
    <sheet name="AEO 2025 Table 47" sheetId="60" r:id="rId21"/>
    <sheet name="AEO 2025 Table 48" sheetId="62" r:id="rId22"/>
    <sheet name="AEO 2025 Table 49" sheetId="59" r:id="rId23"/>
    <sheet name="NRBS 40" sheetId="13" r:id="rId24"/>
    <sheet name="Annual Service Data_rail only" sheetId="54" r:id="rId25"/>
    <sheet name="Fuel and Energy_rail only" sheetId="55" r:id="rId26"/>
    <sheet name="calcs&gt;" sheetId="67" r:id="rId27"/>
    <sheet name="psgr rail calcs" sheetId="56" r:id="rId28"/>
    <sheet name="Misc" sheetId="69" r:id="rId29"/>
    <sheet name="Calibration multiplier" sheetId="57" r:id="rId30"/>
    <sheet name="calcs" sheetId="68" r:id="rId31"/>
    <sheet name="SYAADTbVT-passengers" sheetId="6" r:id="rId32"/>
    <sheet name="SYAADTbVT-freight" sheetId="12" r:id="rId33"/>
    <sheet name="BAADTbVT-passengers" sheetId="32" r:id="rId34"/>
    <sheet name="BAADTbVT-freight" sheetId="33" r:id="rId35"/>
  </sheets>
  <externalReferences>
    <externalReference r:id="rId36"/>
    <externalReference r:id="rId37"/>
  </externalReferences>
  <definedNames>
    <definedName name="_xlnm._FilterDatabase" localSheetId="24" hidden="1">'Annual Service Data_rail only'!$A$1:$AX$1</definedName>
    <definedName name="Eno_TM" localSheetId="28">#REF!</definedName>
    <definedName name="Eno_TM" localSheetId="14">'[1]1997  Table 1a Modified'!#REF!</definedName>
    <definedName name="Eno_TM">'[2]1997  Table 1a Modified'!#REF!</definedName>
    <definedName name="Eno_Tons" localSheetId="28">#REF!</definedName>
    <definedName name="Eno_Tons" localSheetId="14">'[1]1997  Table 1a Modified'!#REF!</definedName>
    <definedName name="Eno_Tons">'[2]1997  Table 1a Modified'!#REF!</definedName>
    <definedName name="LOCAL_MYSQL_DATE_FORMAT" localSheetId="2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8"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Sum_T2" localSheetId="28">#REF!</definedName>
    <definedName name="Sum_T2" localSheetId="14">'[1]1997  Table 1a Modified'!#REF!</definedName>
    <definedName name="Sum_T2">'[2]1997  Table 1a Modified'!#REF!</definedName>
    <definedName name="Sum_TTM" localSheetId="28">#REF!</definedName>
    <definedName name="Sum_TTM" localSheetId="14">'[1]1997  Table 1a Modified'!#REF!</definedName>
    <definedName name="Sum_TTM">'[2]1997  Table 1a Modified'!#REF!</definedName>
    <definedName name="ti_tbl_50" localSheetId="14">#REF!</definedName>
    <definedName name="ti_tbl_50">#REF!</definedName>
    <definedName name="ti_tbl_69" localSheetId="14">#REF!</definedName>
    <definedName name="ti_tbl_69">#REF!</definedName>
    <definedName name="TitleRegion1.f2.y3.5">#REF!</definedName>
    <definedName name="TitleRegion1.f3.n4.5">#REF!</definedName>
    <definedName name="TitleRegion2.e6.y15.5">#REF!</definedName>
    <definedName name="TitleRegion2.e8.n17.5">#REF!</definedName>
    <definedName name="TitleRegion3.c19.y51.5">#REF!</definedName>
    <definedName name="TitleRegion3.c24.n53.5">#REF!</definedName>
    <definedName name="TitleRegion4.e54.y63.5">#REF!</definedName>
    <definedName name="TitleRegion4.e57.n66.5">#REF!</definedName>
    <definedName name="TitleRegion5.d68.y124.5">#REF!</definedName>
    <definedName name="TitleRegion5.d73.n129.5">#REF!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32" i="68" l="1"/>
  <c r="D23" i="68"/>
  <c r="C5" i="68"/>
  <c r="C14" i="68"/>
  <c r="C23" i="68" l="1"/>
  <c r="C32" i="68"/>
  <c r="E23" i="68" l="1"/>
  <c r="F23" i="68" s="1"/>
  <c r="G23" i="68" s="1"/>
  <c r="H23" i="68" s="1"/>
  <c r="I23" i="68" s="1"/>
  <c r="J23" i="68" s="1"/>
  <c r="K23" i="68" s="1"/>
  <c r="L23" i="68" s="1"/>
  <c r="M23" i="68" s="1"/>
  <c r="N23" i="68" s="1"/>
  <c r="O23" i="68" s="1"/>
  <c r="P23" i="68" s="1"/>
  <c r="Q23" i="68" s="1"/>
  <c r="R23" i="68" s="1"/>
  <c r="S23" i="68" s="1"/>
  <c r="T23" i="68" s="1"/>
  <c r="U23" i="68" s="1"/>
  <c r="V23" i="68" s="1"/>
  <c r="W23" i="68" s="1"/>
  <c r="X23" i="68" s="1"/>
  <c r="Y23" i="68" s="1"/>
  <c r="Z23" i="68" s="1"/>
  <c r="AA23" i="68" s="1"/>
  <c r="AB23" i="68" s="1"/>
  <c r="AC23" i="68" s="1"/>
  <c r="AD23" i="68" s="1"/>
  <c r="AC4" i="32" s="1"/>
  <c r="B4" i="12"/>
  <c r="B4" i="32"/>
  <c r="C2" i="33"/>
  <c r="D2" i="33"/>
  <c r="E2" i="33"/>
  <c r="F2" i="33"/>
  <c r="G2" i="33"/>
  <c r="H2" i="33"/>
  <c r="I2" i="33"/>
  <c r="J2" i="33"/>
  <c r="K2" i="33"/>
  <c r="L2" i="33"/>
  <c r="M2" i="33"/>
  <c r="N2" i="33"/>
  <c r="O2" i="33"/>
  <c r="P2" i="33"/>
  <c r="Q2" i="33"/>
  <c r="R2" i="33"/>
  <c r="S2" i="33"/>
  <c r="T2" i="33"/>
  <c r="U2" i="33"/>
  <c r="V2" i="33"/>
  <c r="W2" i="33"/>
  <c r="X2" i="33"/>
  <c r="Y2" i="33"/>
  <c r="Z2" i="33"/>
  <c r="AA2" i="33"/>
  <c r="AB2" i="33"/>
  <c r="AC2" i="33"/>
  <c r="C3" i="33"/>
  <c r="D3" i="33"/>
  <c r="E3" i="33"/>
  <c r="F3" i="33"/>
  <c r="G3" i="33"/>
  <c r="H3" i="33"/>
  <c r="I3" i="33"/>
  <c r="J3" i="33"/>
  <c r="K3" i="33"/>
  <c r="L3" i="33"/>
  <c r="M3" i="33"/>
  <c r="N3" i="33"/>
  <c r="O3" i="33"/>
  <c r="P3" i="33"/>
  <c r="Q3" i="33"/>
  <c r="R3" i="33"/>
  <c r="S3" i="33"/>
  <c r="T3" i="33"/>
  <c r="U3" i="33"/>
  <c r="V3" i="33"/>
  <c r="W3" i="33"/>
  <c r="X3" i="33"/>
  <c r="Y3" i="33"/>
  <c r="Z3" i="33"/>
  <c r="AA3" i="33"/>
  <c r="AB3" i="33"/>
  <c r="AC3" i="33"/>
  <c r="C7" i="33"/>
  <c r="D7" i="33"/>
  <c r="E7" i="33"/>
  <c r="F7" i="33"/>
  <c r="G7" i="33"/>
  <c r="H7" i="33"/>
  <c r="I7" i="33"/>
  <c r="J7" i="33"/>
  <c r="K7" i="33"/>
  <c r="L7" i="33"/>
  <c r="M7" i="33"/>
  <c r="N7" i="33"/>
  <c r="O7" i="33"/>
  <c r="P7" i="33"/>
  <c r="Q7" i="33"/>
  <c r="R7" i="33"/>
  <c r="S7" i="33"/>
  <c r="T7" i="33"/>
  <c r="U7" i="33"/>
  <c r="V7" i="33"/>
  <c r="W7" i="33"/>
  <c r="X7" i="33"/>
  <c r="Y7" i="33"/>
  <c r="Z7" i="33"/>
  <c r="AA7" i="33"/>
  <c r="AB7" i="33"/>
  <c r="AC7" i="33"/>
  <c r="B7" i="33"/>
  <c r="C2" i="32"/>
  <c r="D2" i="32"/>
  <c r="E2" i="32"/>
  <c r="F2" i="32"/>
  <c r="G2" i="32"/>
  <c r="H2" i="32"/>
  <c r="I2" i="32"/>
  <c r="J2" i="32"/>
  <c r="K2" i="32"/>
  <c r="L2" i="32"/>
  <c r="M2" i="32"/>
  <c r="N2" i="32"/>
  <c r="O2" i="32"/>
  <c r="P2" i="32"/>
  <c r="Q2" i="32"/>
  <c r="R2" i="32"/>
  <c r="S2" i="32"/>
  <c r="T2" i="32"/>
  <c r="U2" i="32"/>
  <c r="V2" i="32"/>
  <c r="W2" i="32"/>
  <c r="X2" i="32"/>
  <c r="Y2" i="32"/>
  <c r="Z2" i="32"/>
  <c r="AA2" i="32"/>
  <c r="AB2" i="32"/>
  <c r="AC2" i="32"/>
  <c r="C4" i="32"/>
  <c r="F4" i="32"/>
  <c r="H4" i="32"/>
  <c r="I4" i="32"/>
  <c r="K4" i="32"/>
  <c r="N4" i="32"/>
  <c r="P4" i="32"/>
  <c r="Q4" i="32"/>
  <c r="S4" i="32"/>
  <c r="V4" i="32"/>
  <c r="X4" i="32"/>
  <c r="Y4" i="32"/>
  <c r="AA4" i="32"/>
  <c r="B5" i="32"/>
  <c r="B6" i="32"/>
  <c r="B7" i="12"/>
  <c r="B5" i="6"/>
  <c r="B6" i="6"/>
  <c r="E31" i="68"/>
  <c r="F31" i="68"/>
  <c r="G31" i="68"/>
  <c r="H31" i="68"/>
  <c r="I31" i="68"/>
  <c r="J31" i="68"/>
  <c r="K31" i="68"/>
  <c r="L31" i="68"/>
  <c r="M31" i="68"/>
  <c r="N31" i="68"/>
  <c r="O31" i="68"/>
  <c r="P31" i="68"/>
  <c r="Q31" i="68"/>
  <c r="R31" i="68"/>
  <c r="S31" i="68"/>
  <c r="T31" i="68"/>
  <c r="U31" i="68"/>
  <c r="V31" i="68"/>
  <c r="W31" i="68"/>
  <c r="X31" i="68"/>
  <c r="Y31" i="68"/>
  <c r="Z31" i="68"/>
  <c r="AA31" i="68"/>
  <c r="AB31" i="68"/>
  <c r="AC31" i="68"/>
  <c r="AD31" i="68"/>
  <c r="D31" i="68"/>
  <c r="C35" i="68"/>
  <c r="C24" i="68"/>
  <c r="C25" i="68"/>
  <c r="E30" i="68"/>
  <c r="F30" i="68"/>
  <c r="G30" i="68"/>
  <c r="H30" i="68"/>
  <c r="I30" i="68"/>
  <c r="J30" i="68"/>
  <c r="K30" i="68"/>
  <c r="L30" i="68"/>
  <c r="M30" i="68"/>
  <c r="N30" i="68"/>
  <c r="O30" i="68"/>
  <c r="P30" i="68"/>
  <c r="Q30" i="68"/>
  <c r="R30" i="68"/>
  <c r="S30" i="68"/>
  <c r="T30" i="68"/>
  <c r="U30" i="68"/>
  <c r="V30" i="68"/>
  <c r="W30" i="68"/>
  <c r="X30" i="68"/>
  <c r="Y30" i="68"/>
  <c r="Z30" i="68"/>
  <c r="AA30" i="68"/>
  <c r="AB30" i="68"/>
  <c r="AC30" i="68"/>
  <c r="AD30" i="68"/>
  <c r="D30" i="68"/>
  <c r="E21" i="68"/>
  <c r="F21" i="68"/>
  <c r="G21" i="68"/>
  <c r="H21" i="68"/>
  <c r="I21" i="68"/>
  <c r="J21" i="68"/>
  <c r="K21" i="68"/>
  <c r="L21" i="68"/>
  <c r="M21" i="68"/>
  <c r="N21" i="68"/>
  <c r="O21" i="68"/>
  <c r="P21" i="68"/>
  <c r="Q21" i="68"/>
  <c r="R21" i="68"/>
  <c r="S21" i="68"/>
  <c r="T21" i="68"/>
  <c r="U21" i="68"/>
  <c r="V21" i="68"/>
  <c r="W21" i="68"/>
  <c r="X21" i="68"/>
  <c r="Y21" i="68"/>
  <c r="Z21" i="68"/>
  <c r="AA21" i="68"/>
  <c r="AB21" i="68"/>
  <c r="AC21" i="68"/>
  <c r="AD21" i="68"/>
  <c r="D21" i="68"/>
  <c r="B1" i="12"/>
  <c r="Z4" i="32" l="1"/>
  <c r="R4" i="32"/>
  <c r="J4" i="32"/>
  <c r="W4" i="32"/>
  <c r="O4" i="32"/>
  <c r="G4" i="32"/>
  <c r="U4" i="32"/>
  <c r="M4" i="32"/>
  <c r="E4" i="32"/>
  <c r="AB4" i="32"/>
  <c r="T4" i="32"/>
  <c r="L4" i="32"/>
  <c r="D4" i="32"/>
  <c r="B4" i="33"/>
  <c r="B4" i="6"/>
  <c r="C4" i="68"/>
  <c r="D25" i="68"/>
  <c r="C6" i="32" s="1"/>
  <c r="D24" i="68"/>
  <c r="C5" i="32" s="1"/>
  <c r="C16" i="68"/>
  <c r="C15" i="68"/>
  <c r="C13" i="68"/>
  <c r="C12" i="68"/>
  <c r="C8" i="68"/>
  <c r="C3" i="68"/>
  <c r="C6" i="68"/>
  <c r="C7" i="68"/>
  <c r="D35" i="68"/>
  <c r="R59" i="56"/>
  <c r="Q59" i="56"/>
  <c r="P59" i="56"/>
  <c r="I59" i="56"/>
  <c r="H59" i="56"/>
  <c r="G59" i="56"/>
  <c r="F59" i="56"/>
  <c r="E59" i="56"/>
  <c r="M59" i="56" s="1"/>
  <c r="R58" i="56"/>
  <c r="Q58" i="56"/>
  <c r="P58" i="56"/>
  <c r="I58" i="56"/>
  <c r="H58" i="56"/>
  <c r="G58" i="56"/>
  <c r="F58" i="56"/>
  <c r="E58" i="56"/>
  <c r="M58" i="56" s="1"/>
  <c r="R57" i="56"/>
  <c r="Q57" i="56"/>
  <c r="P57" i="56"/>
  <c r="I57" i="56"/>
  <c r="H57" i="56"/>
  <c r="G57" i="56"/>
  <c r="F57" i="56"/>
  <c r="E57" i="56"/>
  <c r="R56" i="56"/>
  <c r="Q56" i="56"/>
  <c r="P56" i="56"/>
  <c r="I56" i="56"/>
  <c r="H56" i="56"/>
  <c r="G56" i="56"/>
  <c r="F56" i="56"/>
  <c r="E56" i="56"/>
  <c r="M56" i="56" s="1"/>
  <c r="R55" i="56"/>
  <c r="Q55" i="56"/>
  <c r="P55" i="56"/>
  <c r="I55" i="56"/>
  <c r="H55" i="56"/>
  <c r="G55" i="56"/>
  <c r="F55" i="56"/>
  <c r="E55" i="56"/>
  <c r="M55" i="56" s="1"/>
  <c r="R54" i="56"/>
  <c r="Q54" i="56"/>
  <c r="P54" i="56"/>
  <c r="I54" i="56"/>
  <c r="H54" i="56"/>
  <c r="G54" i="56"/>
  <c r="F54" i="56"/>
  <c r="E54" i="56"/>
  <c r="M54" i="56" s="1"/>
  <c r="R53" i="56"/>
  <c r="Q53" i="56"/>
  <c r="P53" i="56"/>
  <c r="I53" i="56"/>
  <c r="H53" i="56"/>
  <c r="G53" i="56"/>
  <c r="F53" i="56"/>
  <c r="E53" i="56"/>
  <c r="R52" i="56"/>
  <c r="Q52" i="56"/>
  <c r="P52" i="56"/>
  <c r="I52" i="56"/>
  <c r="H52" i="56"/>
  <c r="G52" i="56"/>
  <c r="F52" i="56"/>
  <c r="E52" i="56"/>
  <c r="M52" i="56" s="1"/>
  <c r="R51" i="56"/>
  <c r="Q51" i="56"/>
  <c r="P51" i="56"/>
  <c r="I51" i="56"/>
  <c r="H51" i="56"/>
  <c r="G51" i="56"/>
  <c r="F51" i="56"/>
  <c r="E51" i="56"/>
  <c r="M51" i="56" s="1"/>
  <c r="R50" i="56"/>
  <c r="Q50" i="56"/>
  <c r="P50" i="56"/>
  <c r="I50" i="56"/>
  <c r="H50" i="56"/>
  <c r="G50" i="56"/>
  <c r="F50" i="56"/>
  <c r="E50" i="56"/>
  <c r="M50" i="56" s="1"/>
  <c r="R49" i="56"/>
  <c r="Q49" i="56"/>
  <c r="P49" i="56"/>
  <c r="I49" i="56"/>
  <c r="H49" i="56"/>
  <c r="G49" i="56"/>
  <c r="F49" i="56"/>
  <c r="E49" i="56"/>
  <c r="N49" i="56" s="1"/>
  <c r="R48" i="56"/>
  <c r="Q48" i="56"/>
  <c r="P48" i="56"/>
  <c r="I48" i="56"/>
  <c r="H48" i="56"/>
  <c r="G48" i="56"/>
  <c r="F48" i="56"/>
  <c r="E48" i="56"/>
  <c r="M48" i="56" s="1"/>
  <c r="R47" i="56"/>
  <c r="Q47" i="56"/>
  <c r="P47" i="56"/>
  <c r="I47" i="56"/>
  <c r="H47" i="56"/>
  <c r="G47" i="56"/>
  <c r="F47" i="56"/>
  <c r="E47" i="56"/>
  <c r="M47" i="56" s="1"/>
  <c r="R46" i="56"/>
  <c r="Q46" i="56"/>
  <c r="P46" i="56"/>
  <c r="I46" i="56"/>
  <c r="H46" i="56"/>
  <c r="G46" i="56"/>
  <c r="F46" i="56"/>
  <c r="E46" i="56"/>
  <c r="N46" i="56" s="1"/>
  <c r="R45" i="56"/>
  <c r="Q45" i="56"/>
  <c r="P45" i="56"/>
  <c r="I45" i="56"/>
  <c r="H45" i="56"/>
  <c r="G45" i="56"/>
  <c r="F45" i="56"/>
  <c r="E45" i="56"/>
  <c r="N45" i="56" s="1"/>
  <c r="R44" i="56"/>
  <c r="Q44" i="56"/>
  <c r="P44" i="56"/>
  <c r="I44" i="56"/>
  <c r="H44" i="56"/>
  <c r="G44" i="56"/>
  <c r="F44" i="56"/>
  <c r="E44" i="56"/>
  <c r="M44" i="56" s="1"/>
  <c r="R43" i="56"/>
  <c r="Q43" i="56"/>
  <c r="P43" i="56"/>
  <c r="I43" i="56"/>
  <c r="H43" i="56"/>
  <c r="G43" i="56"/>
  <c r="F43" i="56"/>
  <c r="E43" i="56"/>
  <c r="M43" i="56" s="1"/>
  <c r="R42" i="56"/>
  <c r="Q42" i="56"/>
  <c r="P42" i="56"/>
  <c r="I42" i="56"/>
  <c r="H42" i="56"/>
  <c r="G42" i="56"/>
  <c r="F42" i="56"/>
  <c r="E42" i="56"/>
  <c r="R41" i="56"/>
  <c r="Q41" i="56"/>
  <c r="P41" i="56"/>
  <c r="I41" i="56"/>
  <c r="H41" i="56"/>
  <c r="G41" i="56"/>
  <c r="F41" i="56"/>
  <c r="E41" i="56"/>
  <c r="M41" i="56" s="1"/>
  <c r="R40" i="56"/>
  <c r="Q40" i="56"/>
  <c r="P40" i="56"/>
  <c r="I40" i="56"/>
  <c r="H40" i="56"/>
  <c r="G40" i="56"/>
  <c r="F40" i="56"/>
  <c r="E40" i="56"/>
  <c r="M40" i="56" s="1"/>
  <c r="R39" i="56"/>
  <c r="Q39" i="56"/>
  <c r="P39" i="56"/>
  <c r="I39" i="56"/>
  <c r="H39" i="56"/>
  <c r="G39" i="56"/>
  <c r="F39" i="56"/>
  <c r="E39" i="56"/>
  <c r="M39" i="56" s="1"/>
  <c r="R38" i="56"/>
  <c r="Q38" i="56"/>
  <c r="P38" i="56"/>
  <c r="I38" i="56"/>
  <c r="H38" i="56"/>
  <c r="G38" i="56"/>
  <c r="F38" i="56"/>
  <c r="E38" i="56"/>
  <c r="R37" i="56"/>
  <c r="Q37" i="56"/>
  <c r="P37" i="56"/>
  <c r="I37" i="56"/>
  <c r="H37" i="56"/>
  <c r="G37" i="56"/>
  <c r="F37" i="56"/>
  <c r="E37" i="56"/>
  <c r="M37" i="56" s="1"/>
  <c r="R36" i="56"/>
  <c r="Q36" i="56"/>
  <c r="P36" i="56"/>
  <c r="I36" i="56"/>
  <c r="H36" i="56"/>
  <c r="G36" i="56"/>
  <c r="F36" i="56"/>
  <c r="E36" i="56"/>
  <c r="M36" i="56" s="1"/>
  <c r="R35" i="56"/>
  <c r="Q35" i="56"/>
  <c r="P35" i="56"/>
  <c r="I35" i="56"/>
  <c r="H35" i="56"/>
  <c r="G35" i="56"/>
  <c r="F35" i="56"/>
  <c r="E35" i="56"/>
  <c r="M35" i="56" s="1"/>
  <c r="R34" i="56"/>
  <c r="Q34" i="56"/>
  <c r="P34" i="56"/>
  <c r="I34" i="56"/>
  <c r="H34" i="56"/>
  <c r="G34" i="56"/>
  <c r="F34" i="56"/>
  <c r="E34" i="56"/>
  <c r="R33" i="56"/>
  <c r="Q33" i="56"/>
  <c r="P33" i="56"/>
  <c r="I33" i="56"/>
  <c r="H33" i="56"/>
  <c r="G33" i="56"/>
  <c r="F33" i="56"/>
  <c r="E33" i="56"/>
  <c r="M33" i="56" s="1"/>
  <c r="R32" i="56"/>
  <c r="Q32" i="56"/>
  <c r="P32" i="56"/>
  <c r="I32" i="56"/>
  <c r="H32" i="56"/>
  <c r="G32" i="56"/>
  <c r="F32" i="56"/>
  <c r="E32" i="56"/>
  <c r="M32" i="56" s="1"/>
  <c r="R31" i="56"/>
  <c r="Q31" i="56"/>
  <c r="P31" i="56"/>
  <c r="I31" i="56"/>
  <c r="H31" i="56"/>
  <c r="G31" i="56"/>
  <c r="F31" i="56"/>
  <c r="E31" i="56"/>
  <c r="M31" i="56" s="1"/>
  <c r="R30" i="56"/>
  <c r="Q30" i="56"/>
  <c r="P30" i="56"/>
  <c r="I30" i="56"/>
  <c r="H30" i="56"/>
  <c r="G30" i="56"/>
  <c r="F30" i="56"/>
  <c r="E30" i="56"/>
  <c r="M30" i="56" s="1"/>
  <c r="R29" i="56"/>
  <c r="Q29" i="56"/>
  <c r="P29" i="56"/>
  <c r="I29" i="56"/>
  <c r="H29" i="56"/>
  <c r="G29" i="56"/>
  <c r="F29" i="56"/>
  <c r="E29" i="56"/>
  <c r="M29" i="56" s="1"/>
  <c r="R28" i="56"/>
  <c r="Q28" i="56"/>
  <c r="P28" i="56"/>
  <c r="I28" i="56"/>
  <c r="H28" i="56"/>
  <c r="G28" i="56"/>
  <c r="F28" i="56"/>
  <c r="E28" i="56"/>
  <c r="M28" i="56" s="1"/>
  <c r="R27" i="56"/>
  <c r="Q27" i="56"/>
  <c r="P27" i="56"/>
  <c r="I27" i="56"/>
  <c r="H27" i="56"/>
  <c r="G27" i="56"/>
  <c r="F27" i="56"/>
  <c r="E27" i="56"/>
  <c r="M27" i="56" s="1"/>
  <c r="R26" i="56"/>
  <c r="Q26" i="56"/>
  <c r="P26" i="56"/>
  <c r="I26" i="56"/>
  <c r="H26" i="56"/>
  <c r="G26" i="56"/>
  <c r="F26" i="56"/>
  <c r="E26" i="56"/>
  <c r="M26" i="56" s="1"/>
  <c r="R25" i="56"/>
  <c r="Q25" i="56"/>
  <c r="P25" i="56"/>
  <c r="I25" i="56"/>
  <c r="H25" i="56"/>
  <c r="G25" i="56"/>
  <c r="F25" i="56"/>
  <c r="E25" i="56"/>
  <c r="R24" i="56"/>
  <c r="Q24" i="56"/>
  <c r="P24" i="56"/>
  <c r="I24" i="56"/>
  <c r="H24" i="56"/>
  <c r="G24" i="56"/>
  <c r="F24" i="56"/>
  <c r="E24" i="56"/>
  <c r="M24" i="56" s="1"/>
  <c r="R23" i="56"/>
  <c r="Q23" i="56"/>
  <c r="P23" i="56"/>
  <c r="I23" i="56"/>
  <c r="H23" i="56"/>
  <c r="G23" i="56"/>
  <c r="F23" i="56"/>
  <c r="E23" i="56"/>
  <c r="R22" i="56"/>
  <c r="Q22" i="56"/>
  <c r="P22" i="56"/>
  <c r="I22" i="56"/>
  <c r="H22" i="56"/>
  <c r="G22" i="56"/>
  <c r="F22" i="56"/>
  <c r="E22" i="56"/>
  <c r="M22" i="56" s="1"/>
  <c r="R21" i="56"/>
  <c r="Q21" i="56"/>
  <c r="P21" i="56"/>
  <c r="I21" i="56"/>
  <c r="H21" i="56"/>
  <c r="G21" i="56"/>
  <c r="F21" i="56"/>
  <c r="E21" i="56"/>
  <c r="M21" i="56" s="1"/>
  <c r="R20" i="56"/>
  <c r="Q20" i="56"/>
  <c r="P20" i="56"/>
  <c r="I20" i="56"/>
  <c r="H20" i="56"/>
  <c r="G20" i="56"/>
  <c r="F20" i="56"/>
  <c r="E20" i="56"/>
  <c r="M20" i="56" s="1"/>
  <c r="R19" i="56"/>
  <c r="Q19" i="56"/>
  <c r="P19" i="56"/>
  <c r="I19" i="56"/>
  <c r="H19" i="56"/>
  <c r="G19" i="56"/>
  <c r="F19" i="56"/>
  <c r="E19" i="56"/>
  <c r="M19" i="56" s="1"/>
  <c r="R18" i="56"/>
  <c r="Q18" i="56"/>
  <c r="P18" i="56"/>
  <c r="I18" i="56"/>
  <c r="H18" i="56"/>
  <c r="G18" i="56"/>
  <c r="F18" i="56"/>
  <c r="E18" i="56"/>
  <c r="M18" i="56" s="1"/>
  <c r="R17" i="56"/>
  <c r="Q17" i="56"/>
  <c r="P17" i="56"/>
  <c r="I17" i="56"/>
  <c r="H17" i="56"/>
  <c r="G17" i="56"/>
  <c r="F17" i="56"/>
  <c r="E17" i="56"/>
  <c r="M17" i="56" s="1"/>
  <c r="R16" i="56"/>
  <c r="Q16" i="56"/>
  <c r="P16" i="56"/>
  <c r="I16" i="56"/>
  <c r="H16" i="56"/>
  <c r="G16" i="56"/>
  <c r="F16" i="56"/>
  <c r="E16" i="56"/>
  <c r="R15" i="56"/>
  <c r="Q15" i="56"/>
  <c r="P15" i="56"/>
  <c r="I15" i="56"/>
  <c r="H15" i="56"/>
  <c r="G15" i="56"/>
  <c r="F15" i="56"/>
  <c r="E15" i="56"/>
  <c r="M15" i="56" s="1"/>
  <c r="R14" i="56"/>
  <c r="Q14" i="56"/>
  <c r="P14" i="56"/>
  <c r="I14" i="56"/>
  <c r="H14" i="56"/>
  <c r="G14" i="56"/>
  <c r="F14" i="56"/>
  <c r="E14" i="56"/>
  <c r="M14" i="56" s="1"/>
  <c r="R13" i="56"/>
  <c r="Q13" i="56"/>
  <c r="P13" i="56"/>
  <c r="I13" i="56"/>
  <c r="H13" i="56"/>
  <c r="G13" i="56"/>
  <c r="F13" i="56"/>
  <c r="E13" i="56"/>
  <c r="M13" i="56" s="1"/>
  <c r="R12" i="56"/>
  <c r="Q12" i="56"/>
  <c r="P12" i="56"/>
  <c r="I12" i="56"/>
  <c r="H12" i="56"/>
  <c r="G12" i="56"/>
  <c r="F12" i="56"/>
  <c r="E12" i="56"/>
  <c r="M12" i="56" s="1"/>
  <c r="R11" i="56"/>
  <c r="Q11" i="56"/>
  <c r="P11" i="56"/>
  <c r="I11" i="56"/>
  <c r="H11" i="56"/>
  <c r="G11" i="56"/>
  <c r="F11" i="56"/>
  <c r="E11" i="56"/>
  <c r="M11" i="56" s="1"/>
  <c r="R10" i="56"/>
  <c r="Q10" i="56"/>
  <c r="P10" i="56"/>
  <c r="I10" i="56"/>
  <c r="H10" i="56"/>
  <c r="G10" i="56"/>
  <c r="F10" i="56"/>
  <c r="E10" i="56"/>
  <c r="M10" i="56" s="1"/>
  <c r="R9" i="56"/>
  <c r="Q9" i="56"/>
  <c r="P9" i="56"/>
  <c r="I9" i="56"/>
  <c r="H9" i="56"/>
  <c r="G9" i="56"/>
  <c r="F9" i="56"/>
  <c r="E9" i="56"/>
  <c r="M9" i="56" s="1"/>
  <c r="L55" i="56"/>
  <c r="F62" i="56"/>
  <c r="V61" i="56"/>
  <c r="U61" i="56"/>
  <c r="T61" i="56"/>
  <c r="S61" i="56"/>
  <c r="O61" i="56"/>
  <c r="N61" i="56"/>
  <c r="M61" i="56"/>
  <c r="L61" i="56"/>
  <c r="G61" i="56"/>
  <c r="F61" i="56"/>
  <c r="E61" i="56"/>
  <c r="T59" i="56"/>
  <c r="S59" i="56"/>
  <c r="K59" i="56"/>
  <c r="J59" i="56"/>
  <c r="L59" i="56"/>
  <c r="S58" i="56"/>
  <c r="T58" i="56"/>
  <c r="K58" i="56"/>
  <c r="J58" i="56"/>
  <c r="L58" i="56"/>
  <c r="S57" i="56"/>
  <c r="T57" i="56"/>
  <c r="K57" i="56"/>
  <c r="L57" i="56"/>
  <c r="T56" i="56"/>
  <c r="S56" i="56"/>
  <c r="K56" i="56"/>
  <c r="J56" i="56"/>
  <c r="L56" i="56"/>
  <c r="T55" i="56"/>
  <c r="S55" i="56"/>
  <c r="K55" i="56"/>
  <c r="J55" i="56"/>
  <c r="S54" i="56"/>
  <c r="T54" i="56"/>
  <c r="K54" i="56"/>
  <c r="J54" i="56"/>
  <c r="L54" i="56"/>
  <c r="S53" i="56"/>
  <c r="T53" i="56"/>
  <c r="K53" i="56"/>
  <c r="L53" i="56"/>
  <c r="T52" i="56"/>
  <c r="S52" i="56"/>
  <c r="K52" i="56"/>
  <c r="O52" i="56" s="1"/>
  <c r="J52" i="56"/>
  <c r="L52" i="56"/>
  <c r="T51" i="56"/>
  <c r="S51" i="56"/>
  <c r="K51" i="56"/>
  <c r="J51" i="56"/>
  <c r="L51" i="56"/>
  <c r="S50" i="56"/>
  <c r="T50" i="56"/>
  <c r="K50" i="56"/>
  <c r="J50" i="56"/>
  <c r="L50" i="56"/>
  <c r="S49" i="56"/>
  <c r="T49" i="56"/>
  <c r="J49" i="56"/>
  <c r="K49" i="56"/>
  <c r="L49" i="56"/>
  <c r="T48" i="56"/>
  <c r="S48" i="56"/>
  <c r="K48" i="56"/>
  <c r="J48" i="56"/>
  <c r="L48" i="56"/>
  <c r="T47" i="56"/>
  <c r="S47" i="56"/>
  <c r="K47" i="56"/>
  <c r="L47" i="56"/>
  <c r="S46" i="56"/>
  <c r="T46" i="56"/>
  <c r="K46" i="56"/>
  <c r="J46" i="56"/>
  <c r="L46" i="56"/>
  <c r="S45" i="56"/>
  <c r="T45" i="56"/>
  <c r="J45" i="56"/>
  <c r="K45" i="56"/>
  <c r="L45" i="56"/>
  <c r="T44" i="56"/>
  <c r="S44" i="56"/>
  <c r="K44" i="56"/>
  <c r="O44" i="56" s="1"/>
  <c r="L44" i="56"/>
  <c r="T43" i="56"/>
  <c r="S43" i="56"/>
  <c r="K43" i="56"/>
  <c r="O43" i="56" s="1"/>
  <c r="L43" i="56"/>
  <c r="S42" i="56"/>
  <c r="T42" i="56"/>
  <c r="K42" i="56"/>
  <c r="J42" i="56"/>
  <c r="L42" i="56"/>
  <c r="M42" i="56"/>
  <c r="S41" i="56"/>
  <c r="T41" i="56"/>
  <c r="J41" i="56"/>
  <c r="K41" i="56"/>
  <c r="L41" i="56"/>
  <c r="T40" i="56"/>
  <c r="S40" i="56"/>
  <c r="K40" i="56"/>
  <c r="O40" i="56" s="1"/>
  <c r="L40" i="56"/>
  <c r="T39" i="56"/>
  <c r="S39" i="56"/>
  <c r="K39" i="56"/>
  <c r="O39" i="56" s="1"/>
  <c r="L39" i="56"/>
  <c r="S38" i="56"/>
  <c r="T38" i="56"/>
  <c r="K38" i="56"/>
  <c r="J38" i="56"/>
  <c r="L38" i="56"/>
  <c r="M38" i="56"/>
  <c r="S37" i="56"/>
  <c r="T37" i="56"/>
  <c r="J37" i="56"/>
  <c r="K37" i="56"/>
  <c r="L37" i="56"/>
  <c r="T36" i="56"/>
  <c r="S36" i="56"/>
  <c r="K36" i="56"/>
  <c r="O36" i="56" s="1"/>
  <c r="L36" i="56"/>
  <c r="T35" i="56"/>
  <c r="S35" i="56"/>
  <c r="K35" i="56"/>
  <c r="O35" i="56" s="1"/>
  <c r="L35" i="56"/>
  <c r="S34" i="56"/>
  <c r="T34" i="56"/>
  <c r="K34" i="56"/>
  <c r="J34" i="56"/>
  <c r="L34" i="56"/>
  <c r="M34" i="56"/>
  <c r="S33" i="56"/>
  <c r="T33" i="56"/>
  <c r="K33" i="56"/>
  <c r="J33" i="56"/>
  <c r="L33" i="56"/>
  <c r="T32" i="56"/>
  <c r="S32" i="56"/>
  <c r="K32" i="56"/>
  <c r="O32" i="56" s="1"/>
  <c r="L32" i="56"/>
  <c r="T31" i="56"/>
  <c r="S31" i="56"/>
  <c r="K31" i="56"/>
  <c r="J31" i="56"/>
  <c r="L31" i="56"/>
  <c r="S30" i="56"/>
  <c r="T30" i="56"/>
  <c r="K30" i="56"/>
  <c r="J30" i="56"/>
  <c r="L30" i="56"/>
  <c r="S29" i="56"/>
  <c r="T29" i="56"/>
  <c r="K29" i="56"/>
  <c r="J29" i="56"/>
  <c r="L29" i="56"/>
  <c r="T28" i="56"/>
  <c r="S28" i="56"/>
  <c r="K28" i="56"/>
  <c r="L28" i="56"/>
  <c r="T27" i="56"/>
  <c r="S27" i="56"/>
  <c r="K27" i="56"/>
  <c r="L27" i="56"/>
  <c r="S26" i="56"/>
  <c r="T26" i="56"/>
  <c r="K26" i="56"/>
  <c r="J26" i="56"/>
  <c r="L26" i="56"/>
  <c r="T25" i="56"/>
  <c r="S25" i="56"/>
  <c r="K25" i="56"/>
  <c r="J25" i="56"/>
  <c r="L25" i="56"/>
  <c r="T24" i="56"/>
  <c r="S24" i="56"/>
  <c r="K24" i="56"/>
  <c r="O24" i="56" s="1"/>
  <c r="L24" i="56"/>
  <c r="T23" i="56"/>
  <c r="S23" i="56"/>
  <c r="K23" i="56"/>
  <c r="J23" i="56"/>
  <c r="L23" i="56"/>
  <c r="M23" i="56"/>
  <c r="S22" i="56"/>
  <c r="T22" i="56"/>
  <c r="K22" i="56"/>
  <c r="J22" i="56"/>
  <c r="L22" i="56"/>
  <c r="T21" i="56"/>
  <c r="S21" i="56"/>
  <c r="K21" i="56"/>
  <c r="J21" i="56"/>
  <c r="L21" i="56"/>
  <c r="T20" i="56"/>
  <c r="S20" i="56"/>
  <c r="K20" i="56"/>
  <c r="L20" i="56"/>
  <c r="T19" i="56"/>
  <c r="S19" i="56"/>
  <c r="K19" i="56"/>
  <c r="J19" i="56"/>
  <c r="L19" i="56"/>
  <c r="S18" i="56"/>
  <c r="T18" i="56"/>
  <c r="K18" i="56"/>
  <c r="J18" i="56"/>
  <c r="L18" i="56"/>
  <c r="T17" i="56"/>
  <c r="S17" i="56"/>
  <c r="K17" i="56"/>
  <c r="J17" i="56"/>
  <c r="L17" i="56"/>
  <c r="T16" i="56"/>
  <c r="S16" i="56"/>
  <c r="K16" i="56"/>
  <c r="L16" i="56"/>
  <c r="M16" i="56"/>
  <c r="T15" i="56"/>
  <c r="S15" i="56"/>
  <c r="K15" i="56"/>
  <c r="J15" i="56"/>
  <c r="L15" i="56"/>
  <c r="S14" i="56"/>
  <c r="T14" i="56"/>
  <c r="K14" i="56"/>
  <c r="J14" i="56"/>
  <c r="L14" i="56"/>
  <c r="S13" i="56"/>
  <c r="T13" i="56"/>
  <c r="K13" i="56"/>
  <c r="J13" i="56"/>
  <c r="L13" i="56"/>
  <c r="T12" i="56"/>
  <c r="S12" i="56"/>
  <c r="K12" i="56"/>
  <c r="L12" i="56"/>
  <c r="T11" i="56"/>
  <c r="S11" i="56"/>
  <c r="K11" i="56"/>
  <c r="J11" i="56"/>
  <c r="L11" i="56"/>
  <c r="S10" i="56"/>
  <c r="T10" i="56"/>
  <c r="K10" i="56"/>
  <c r="O10" i="56" s="1"/>
  <c r="J10" i="56"/>
  <c r="L10" i="56"/>
  <c r="T9" i="56"/>
  <c r="S9" i="56"/>
  <c r="K9" i="56"/>
  <c r="J9" i="56"/>
  <c r="AB70" i="55"/>
  <c r="AA70" i="55"/>
  <c r="Z70" i="55"/>
  <c r="Y70" i="55"/>
  <c r="X70" i="55"/>
  <c r="W70" i="55"/>
  <c r="V70" i="55"/>
  <c r="U70" i="55"/>
  <c r="T70" i="55"/>
  <c r="S70" i="55"/>
  <c r="R70" i="55"/>
  <c r="Q70" i="55"/>
  <c r="P70" i="55"/>
  <c r="O70" i="55"/>
  <c r="N70" i="55"/>
  <c r="M70" i="55"/>
  <c r="N71" i="54"/>
  <c r="B2" i="6" l="1"/>
  <c r="C21" i="68"/>
  <c r="B2" i="32" s="1"/>
  <c r="B7" i="6"/>
  <c r="C26" i="68"/>
  <c r="B3" i="6"/>
  <c r="C22" i="68"/>
  <c r="C33" i="68"/>
  <c r="B5" i="33" s="1"/>
  <c r="B5" i="12"/>
  <c r="B3" i="12"/>
  <c r="C31" i="68"/>
  <c r="B3" i="33" s="1"/>
  <c r="C34" i="68"/>
  <c r="B6" i="33" s="1"/>
  <c r="B6" i="12"/>
  <c r="C30" i="68"/>
  <c r="B2" i="33" s="1"/>
  <c r="B2" i="12"/>
  <c r="E24" i="68"/>
  <c r="D5" i="32" s="1"/>
  <c r="E25" i="68"/>
  <c r="D6" i="32" s="1"/>
  <c r="E35" i="68"/>
  <c r="D34" i="68"/>
  <c r="C6" i="33" s="1"/>
  <c r="C4" i="33"/>
  <c r="O9" i="56"/>
  <c r="O20" i="56"/>
  <c r="O27" i="56"/>
  <c r="O31" i="56"/>
  <c r="N37" i="56"/>
  <c r="U37" i="56" s="1"/>
  <c r="N41" i="56"/>
  <c r="U41" i="56" s="1"/>
  <c r="O51" i="56"/>
  <c r="O57" i="56"/>
  <c r="O16" i="56"/>
  <c r="O30" i="56"/>
  <c r="O46" i="56"/>
  <c r="N48" i="56"/>
  <c r="O50" i="56"/>
  <c r="O54" i="56"/>
  <c r="N59" i="56"/>
  <c r="O12" i="56"/>
  <c r="O23" i="56"/>
  <c r="V23" i="56" s="1"/>
  <c r="O34" i="56"/>
  <c r="O37" i="56"/>
  <c r="O38" i="56"/>
  <c r="O41" i="56"/>
  <c r="O42" i="56"/>
  <c r="V42" i="56" s="1"/>
  <c r="O49" i="56"/>
  <c r="T62" i="56"/>
  <c r="O19" i="56"/>
  <c r="O26" i="56"/>
  <c r="N52" i="56"/>
  <c r="O53" i="56"/>
  <c r="O15" i="56"/>
  <c r="V15" i="56" s="1"/>
  <c r="O22" i="56"/>
  <c r="V22" i="56" s="1"/>
  <c r="N31" i="56"/>
  <c r="N51" i="56"/>
  <c r="O56" i="56"/>
  <c r="V56" i="56" s="1"/>
  <c r="O11" i="56"/>
  <c r="O18" i="56"/>
  <c r="O28" i="56"/>
  <c r="O48" i="56"/>
  <c r="O59" i="56"/>
  <c r="V59" i="56" s="1"/>
  <c r="O14" i="56"/>
  <c r="O47" i="56"/>
  <c r="O55" i="56"/>
  <c r="O58" i="56"/>
  <c r="V58" i="56" s="1"/>
  <c r="O25" i="56"/>
  <c r="N25" i="56"/>
  <c r="V17" i="56"/>
  <c r="V24" i="56"/>
  <c r="N27" i="56"/>
  <c r="U27" i="56" s="1"/>
  <c r="V30" i="56"/>
  <c r="O45" i="56"/>
  <c r="V50" i="56"/>
  <c r="V55" i="56"/>
  <c r="O29" i="56"/>
  <c r="N29" i="56"/>
  <c r="O17" i="56"/>
  <c r="V27" i="56"/>
  <c r="V28" i="56"/>
  <c r="O33" i="56"/>
  <c r="V33" i="56" s="1"/>
  <c r="N33" i="56"/>
  <c r="M45" i="56"/>
  <c r="U45" i="56" s="1"/>
  <c r="V20" i="56"/>
  <c r="O13" i="56"/>
  <c r="V13" i="56" s="1"/>
  <c r="V10" i="56"/>
  <c r="S62" i="56"/>
  <c r="V14" i="56"/>
  <c r="J27" i="56"/>
  <c r="V29" i="56"/>
  <c r="V31" i="56"/>
  <c r="U31" i="56"/>
  <c r="V32" i="56"/>
  <c r="V51" i="56"/>
  <c r="U51" i="56"/>
  <c r="V52" i="56"/>
  <c r="U52" i="56"/>
  <c r="V16" i="56"/>
  <c r="V26" i="56"/>
  <c r="V34" i="56"/>
  <c r="N11" i="56"/>
  <c r="N15" i="56"/>
  <c r="V18" i="56"/>
  <c r="V36" i="56"/>
  <c r="V39" i="56"/>
  <c r="V40" i="56"/>
  <c r="V43" i="56"/>
  <c r="V44" i="56"/>
  <c r="V38" i="56"/>
  <c r="E62" i="56"/>
  <c r="M62" i="56" s="1"/>
  <c r="N9" i="56"/>
  <c r="N19" i="56"/>
  <c r="V35" i="56"/>
  <c r="U29" i="56"/>
  <c r="J35" i="56"/>
  <c r="N35" i="56" s="1"/>
  <c r="U35" i="56" s="1"/>
  <c r="V37" i="56"/>
  <c r="J39" i="56"/>
  <c r="N39" i="56" s="1"/>
  <c r="U39" i="56" s="1"/>
  <c r="V41" i="56"/>
  <c r="J43" i="56"/>
  <c r="N43" i="56" s="1"/>
  <c r="U43" i="56" s="1"/>
  <c r="V47" i="56"/>
  <c r="V48" i="56"/>
  <c r="U48" i="56"/>
  <c r="V54" i="56"/>
  <c r="U59" i="56"/>
  <c r="V12" i="56"/>
  <c r="L9" i="56"/>
  <c r="G62" i="56"/>
  <c r="L62" i="56" s="1"/>
  <c r="V11" i="56"/>
  <c r="U11" i="56"/>
  <c r="N13" i="56"/>
  <c r="U13" i="56" s="1"/>
  <c r="U15" i="56"/>
  <c r="N17" i="56"/>
  <c r="U17" i="56" s="1"/>
  <c r="V19" i="56"/>
  <c r="U19" i="56"/>
  <c r="O21" i="56"/>
  <c r="V21" i="56" s="1"/>
  <c r="N21" i="56"/>
  <c r="U21" i="56" s="1"/>
  <c r="U22" i="56"/>
  <c r="N23" i="56"/>
  <c r="U23" i="56" s="1"/>
  <c r="M25" i="56"/>
  <c r="U25" i="56" s="1"/>
  <c r="U33" i="56"/>
  <c r="V45" i="56"/>
  <c r="J47" i="56"/>
  <c r="N47" i="56" s="1"/>
  <c r="U47" i="56" s="1"/>
  <c r="V49" i="56"/>
  <c r="U49" i="56"/>
  <c r="N55" i="56"/>
  <c r="U55" i="56" s="1"/>
  <c r="N56" i="56"/>
  <c r="U56" i="56" s="1"/>
  <c r="M49" i="56"/>
  <c r="M53" i="56"/>
  <c r="V53" i="56" s="1"/>
  <c r="M57" i="56"/>
  <c r="V57" i="56" s="1"/>
  <c r="M46" i="56"/>
  <c r="U46" i="56" s="1"/>
  <c r="N10" i="56"/>
  <c r="U10" i="56" s="1"/>
  <c r="J12" i="56"/>
  <c r="N12" i="56" s="1"/>
  <c r="U12" i="56" s="1"/>
  <c r="N14" i="56"/>
  <c r="U14" i="56" s="1"/>
  <c r="J16" i="56"/>
  <c r="N16" i="56" s="1"/>
  <c r="U16" i="56" s="1"/>
  <c r="N18" i="56"/>
  <c r="U18" i="56" s="1"/>
  <c r="J20" i="56"/>
  <c r="N20" i="56" s="1"/>
  <c r="U20" i="56" s="1"/>
  <c r="N22" i="56"/>
  <c r="J24" i="56"/>
  <c r="N24" i="56" s="1"/>
  <c r="U24" i="56" s="1"/>
  <c r="N26" i="56"/>
  <c r="U26" i="56" s="1"/>
  <c r="J28" i="56"/>
  <c r="N28" i="56" s="1"/>
  <c r="U28" i="56" s="1"/>
  <c r="N30" i="56"/>
  <c r="U30" i="56" s="1"/>
  <c r="J32" i="56"/>
  <c r="N32" i="56" s="1"/>
  <c r="U32" i="56" s="1"/>
  <c r="N34" i="56"/>
  <c r="U34" i="56" s="1"/>
  <c r="J36" i="56"/>
  <c r="N36" i="56" s="1"/>
  <c r="U36" i="56" s="1"/>
  <c r="N38" i="56"/>
  <c r="U38" i="56" s="1"/>
  <c r="J40" i="56"/>
  <c r="N40" i="56" s="1"/>
  <c r="U40" i="56" s="1"/>
  <c r="N42" i="56"/>
  <c r="U42" i="56" s="1"/>
  <c r="J44" i="56"/>
  <c r="N44" i="56" s="1"/>
  <c r="U44" i="56" s="1"/>
  <c r="N50" i="56"/>
  <c r="U50" i="56" s="1"/>
  <c r="N54" i="56"/>
  <c r="U54" i="56" s="1"/>
  <c r="N58" i="56"/>
  <c r="U58" i="56" s="1"/>
  <c r="J53" i="56"/>
  <c r="N53" i="56" s="1"/>
  <c r="J57" i="56"/>
  <c r="N57" i="56" s="1"/>
  <c r="D33" i="68" l="1"/>
  <c r="C5" i="33" s="1"/>
  <c r="B3" i="32"/>
  <c r="D22" i="68"/>
  <c r="B7" i="32"/>
  <c r="D26" i="68"/>
  <c r="F25" i="68"/>
  <c r="E6" i="32" s="1"/>
  <c r="F24" i="68"/>
  <c r="E5" i="32" s="1"/>
  <c r="E32" i="68"/>
  <c r="D4" i="33" s="1"/>
  <c r="F35" i="68"/>
  <c r="E34" i="68"/>
  <c r="D6" i="33" s="1"/>
  <c r="O62" i="56"/>
  <c r="V62" i="56" s="1"/>
  <c r="T64" i="56" s="1"/>
  <c r="V25" i="56"/>
  <c r="V46" i="56"/>
  <c r="V9" i="56"/>
  <c r="U9" i="56"/>
  <c r="N62" i="56"/>
  <c r="U62" i="56" s="1"/>
  <c r="U53" i="56"/>
  <c r="U57" i="56"/>
  <c r="E33" i="68" l="1"/>
  <c r="D5" i="33" s="1"/>
  <c r="C7" i="32"/>
  <c r="E26" i="68"/>
  <c r="C3" i="32"/>
  <c r="E22" i="68"/>
  <c r="G24" i="68"/>
  <c r="F5" i="32" s="1"/>
  <c r="G25" i="68"/>
  <c r="F6" i="32" s="1"/>
  <c r="F32" i="68"/>
  <c r="E4" i="33" s="1"/>
  <c r="F34" i="68"/>
  <c r="E6" i="33" s="1"/>
  <c r="F33" i="68"/>
  <c r="E5" i="33" s="1"/>
  <c r="G35" i="68"/>
  <c r="E64" i="56"/>
  <c r="S64" i="56"/>
  <c r="G64" i="56"/>
  <c r="D3" i="32" l="1"/>
  <c r="F22" i="68"/>
  <c r="D7" i="32"/>
  <c r="F26" i="68"/>
  <c r="H25" i="68"/>
  <c r="G6" i="32" s="1"/>
  <c r="H24" i="68"/>
  <c r="G5" i="32" s="1"/>
  <c r="H35" i="68"/>
  <c r="G33" i="68"/>
  <c r="F5" i="33" s="1"/>
  <c r="G34" i="68"/>
  <c r="F6" i="33" s="1"/>
  <c r="G32" i="68"/>
  <c r="F4" i="33" s="1"/>
  <c r="E7" i="32" l="1"/>
  <c r="G26" i="68"/>
  <c r="E3" i="32"/>
  <c r="G22" i="68"/>
  <c r="I24" i="68"/>
  <c r="H5" i="32" s="1"/>
  <c r="I25" i="68"/>
  <c r="H6" i="32" s="1"/>
  <c r="H33" i="68"/>
  <c r="G5" i="33" s="1"/>
  <c r="I35" i="68"/>
  <c r="H32" i="68"/>
  <c r="G4" i="33" s="1"/>
  <c r="H34" i="68"/>
  <c r="G6" i="33" s="1"/>
  <c r="F3" i="32" l="1"/>
  <c r="H22" i="68"/>
  <c r="F7" i="32"/>
  <c r="H26" i="68"/>
  <c r="J25" i="68"/>
  <c r="I6" i="32" s="1"/>
  <c r="J24" i="68"/>
  <c r="I5" i="32" s="1"/>
  <c r="I33" i="68"/>
  <c r="H5" i="33" s="1"/>
  <c r="J35" i="68"/>
  <c r="I34" i="68"/>
  <c r="H6" i="33" s="1"/>
  <c r="I32" i="68"/>
  <c r="H4" i="33" s="1"/>
  <c r="G7" i="32" l="1"/>
  <c r="I26" i="68"/>
  <c r="G3" i="32"/>
  <c r="I22" i="68"/>
  <c r="K24" i="68"/>
  <c r="J5" i="32" s="1"/>
  <c r="K25" i="68"/>
  <c r="J6" i="32" s="1"/>
  <c r="K35" i="68"/>
  <c r="J32" i="68"/>
  <c r="I4" i="33" s="1"/>
  <c r="J34" i="68"/>
  <c r="I6" i="33" s="1"/>
  <c r="J33" i="68"/>
  <c r="I5" i="33" s="1"/>
  <c r="H7" i="32" l="1"/>
  <c r="J26" i="68"/>
  <c r="H3" i="32"/>
  <c r="J22" i="68"/>
  <c r="L25" i="68"/>
  <c r="K6" i="32" s="1"/>
  <c r="L24" i="68"/>
  <c r="K5" i="32" s="1"/>
  <c r="K32" i="68"/>
  <c r="J4" i="33" s="1"/>
  <c r="K33" i="68"/>
  <c r="J5" i="33" s="1"/>
  <c r="K34" i="68"/>
  <c r="J6" i="33" s="1"/>
  <c r="L35" i="68"/>
  <c r="I3" i="32" l="1"/>
  <c r="K22" i="68"/>
  <c r="I7" i="32"/>
  <c r="K26" i="68"/>
  <c r="M24" i="68"/>
  <c r="L5" i="32" s="1"/>
  <c r="M25" i="68"/>
  <c r="L6" i="32" s="1"/>
  <c r="L33" i="68"/>
  <c r="K5" i="33" s="1"/>
  <c r="M35" i="68"/>
  <c r="L34" i="68"/>
  <c r="K6" i="33" s="1"/>
  <c r="L32" i="68"/>
  <c r="K4" i="33" s="1"/>
  <c r="J7" i="32" l="1"/>
  <c r="L26" i="68"/>
  <c r="J3" i="32"/>
  <c r="L22" i="68"/>
  <c r="N25" i="68"/>
  <c r="M6" i="32" s="1"/>
  <c r="N24" i="68"/>
  <c r="M5" i="32" s="1"/>
  <c r="M32" i="68"/>
  <c r="L4" i="33" s="1"/>
  <c r="M33" i="68"/>
  <c r="L5" i="33" s="1"/>
  <c r="M34" i="68"/>
  <c r="L6" i="33" s="1"/>
  <c r="N35" i="68"/>
  <c r="K7" i="32" l="1"/>
  <c r="M26" i="68"/>
  <c r="K3" i="32"/>
  <c r="M22" i="68"/>
  <c r="O25" i="68"/>
  <c r="N6" i="32" s="1"/>
  <c r="O24" i="68"/>
  <c r="N5" i="32" s="1"/>
  <c r="O35" i="68"/>
  <c r="N34" i="68"/>
  <c r="M6" i="33" s="1"/>
  <c r="N33" i="68"/>
  <c r="M5" i="33" s="1"/>
  <c r="N32" i="68"/>
  <c r="M4" i="33" s="1"/>
  <c r="L3" i="32" l="1"/>
  <c r="N22" i="68"/>
  <c r="L7" i="32"/>
  <c r="N26" i="68"/>
  <c r="P24" i="68"/>
  <c r="O5" i="32" s="1"/>
  <c r="P25" i="68"/>
  <c r="O6" i="32" s="1"/>
  <c r="P35" i="68"/>
  <c r="O32" i="68"/>
  <c r="N4" i="33" s="1"/>
  <c r="O33" i="68"/>
  <c r="N5" i="33" s="1"/>
  <c r="O34" i="68"/>
  <c r="N6" i="33" s="1"/>
  <c r="M3" i="32" l="1"/>
  <c r="O22" i="68"/>
  <c r="M7" i="32"/>
  <c r="O26" i="68"/>
  <c r="Q25" i="68"/>
  <c r="P6" i="32" s="1"/>
  <c r="Q24" i="68"/>
  <c r="P5" i="32" s="1"/>
  <c r="P34" i="68"/>
  <c r="O6" i="33" s="1"/>
  <c r="P33" i="68"/>
  <c r="O5" i="33" s="1"/>
  <c r="P32" i="68"/>
  <c r="O4" i="33" s="1"/>
  <c r="Q35" i="68"/>
  <c r="N7" i="32" l="1"/>
  <c r="P26" i="68"/>
  <c r="N3" i="32"/>
  <c r="P22" i="68"/>
  <c r="R24" i="68"/>
  <c r="Q5" i="32" s="1"/>
  <c r="R25" i="68"/>
  <c r="Q6" i="32" s="1"/>
  <c r="R35" i="68"/>
  <c r="Q32" i="68"/>
  <c r="P4" i="33" s="1"/>
  <c r="Q33" i="68"/>
  <c r="P5" i="33" s="1"/>
  <c r="Q34" i="68"/>
  <c r="P6" i="33" s="1"/>
  <c r="O3" i="32" l="1"/>
  <c r="Q22" i="68"/>
  <c r="O7" i="32"/>
  <c r="Q26" i="68"/>
  <c r="S25" i="68"/>
  <c r="R6" i="32" s="1"/>
  <c r="S24" i="68"/>
  <c r="R5" i="32" s="1"/>
  <c r="R32" i="68"/>
  <c r="Q4" i="33" s="1"/>
  <c r="R34" i="68"/>
  <c r="Q6" i="33" s="1"/>
  <c r="R33" i="68"/>
  <c r="Q5" i="33" s="1"/>
  <c r="S35" i="68"/>
  <c r="P3" i="32" l="1"/>
  <c r="R22" i="68"/>
  <c r="P7" i="32"/>
  <c r="R26" i="68"/>
  <c r="T24" i="68"/>
  <c r="S5" i="32" s="1"/>
  <c r="T25" i="68"/>
  <c r="S6" i="32" s="1"/>
  <c r="S34" i="68"/>
  <c r="R6" i="33" s="1"/>
  <c r="T35" i="68"/>
  <c r="S33" i="68"/>
  <c r="R5" i="33" s="1"/>
  <c r="S32" i="68"/>
  <c r="R4" i="33" s="1"/>
  <c r="Q3" i="32" l="1"/>
  <c r="S22" i="68"/>
  <c r="Q7" i="32"/>
  <c r="S26" i="68"/>
  <c r="U25" i="68"/>
  <c r="T6" i="32" s="1"/>
  <c r="U24" i="68"/>
  <c r="T5" i="32" s="1"/>
  <c r="T33" i="68"/>
  <c r="S5" i="33" s="1"/>
  <c r="U35" i="68"/>
  <c r="T32" i="68"/>
  <c r="S4" i="33" s="1"/>
  <c r="T34" i="68"/>
  <c r="S6" i="33" s="1"/>
  <c r="R7" i="32" l="1"/>
  <c r="T26" i="68"/>
  <c r="R3" i="32"/>
  <c r="T22" i="68"/>
  <c r="V24" i="68"/>
  <c r="U5" i="32" s="1"/>
  <c r="V25" i="68"/>
  <c r="U6" i="32" s="1"/>
  <c r="U34" i="68"/>
  <c r="T6" i="33" s="1"/>
  <c r="U32" i="68"/>
  <c r="T4" i="33" s="1"/>
  <c r="V35" i="68"/>
  <c r="U33" i="68"/>
  <c r="T5" i="33" s="1"/>
  <c r="S3" i="32" l="1"/>
  <c r="U22" i="68"/>
  <c r="S7" i="32"/>
  <c r="U26" i="68"/>
  <c r="W25" i="68"/>
  <c r="V6" i="32" s="1"/>
  <c r="W24" i="68"/>
  <c r="V5" i="32" s="1"/>
  <c r="V33" i="68"/>
  <c r="U5" i="33" s="1"/>
  <c r="V32" i="68"/>
  <c r="U4" i="33" s="1"/>
  <c r="W35" i="68"/>
  <c r="V34" i="68"/>
  <c r="U6" i="33" s="1"/>
  <c r="T3" i="32" l="1"/>
  <c r="V22" i="68"/>
  <c r="T7" i="32"/>
  <c r="V26" i="68"/>
  <c r="X24" i="68"/>
  <c r="W5" i="32" s="1"/>
  <c r="X25" i="68"/>
  <c r="W6" i="32" s="1"/>
  <c r="W34" i="68"/>
  <c r="V6" i="33" s="1"/>
  <c r="X35" i="68"/>
  <c r="W33" i="68"/>
  <c r="V5" i="33" s="1"/>
  <c r="W32" i="68"/>
  <c r="V4" i="33" s="1"/>
  <c r="U3" i="32" l="1"/>
  <c r="W22" i="68"/>
  <c r="U7" i="32"/>
  <c r="W26" i="68"/>
  <c r="Y24" i="68"/>
  <c r="X5" i="32" s="1"/>
  <c r="Y25" i="68"/>
  <c r="X6" i="32" s="1"/>
  <c r="X34" i="68"/>
  <c r="W6" i="33" s="1"/>
  <c r="X32" i="68"/>
  <c r="W4" i="33" s="1"/>
  <c r="X33" i="68"/>
  <c r="W5" i="33" s="1"/>
  <c r="Y35" i="68"/>
  <c r="V3" i="32" l="1"/>
  <c r="X22" i="68"/>
  <c r="V7" i="32"/>
  <c r="X26" i="68"/>
  <c r="Z25" i="68"/>
  <c r="Y6" i="32" s="1"/>
  <c r="Z24" i="68"/>
  <c r="Y5" i="32" s="1"/>
  <c r="Y33" i="68"/>
  <c r="X5" i="33" s="1"/>
  <c r="Y34" i="68"/>
  <c r="X6" i="33" s="1"/>
  <c r="Z35" i="68"/>
  <c r="Y32" i="68"/>
  <c r="X4" i="33" s="1"/>
  <c r="W3" i="32" l="1"/>
  <c r="Y22" i="68"/>
  <c r="W7" i="32"/>
  <c r="Y26" i="68"/>
  <c r="AA25" i="68"/>
  <c r="Z6" i="32" s="1"/>
  <c r="AA24" i="68"/>
  <c r="Z5" i="32" s="1"/>
  <c r="Z33" i="68"/>
  <c r="Y5" i="33" s="1"/>
  <c r="Z32" i="68"/>
  <c r="Y4" i="33" s="1"/>
  <c r="AA35" i="68"/>
  <c r="Z34" i="68"/>
  <c r="Y6" i="33" s="1"/>
  <c r="X7" i="32" l="1"/>
  <c r="Z26" i="68"/>
  <c r="X3" i="32"/>
  <c r="Z22" i="68"/>
  <c r="AB24" i="68"/>
  <c r="AA5" i="32" s="1"/>
  <c r="AB25" i="68"/>
  <c r="AA6" i="32" s="1"/>
  <c r="AA33" i="68"/>
  <c r="Z5" i="33" s="1"/>
  <c r="AA34" i="68"/>
  <c r="Z6" i="33" s="1"/>
  <c r="AB35" i="68"/>
  <c r="AA32" i="68"/>
  <c r="Z4" i="33" s="1"/>
  <c r="Y3" i="32" l="1"/>
  <c r="AA22" i="68"/>
  <c r="Y7" i="32"/>
  <c r="AA26" i="68"/>
  <c r="AC25" i="68"/>
  <c r="AB6" i="32" s="1"/>
  <c r="AC24" i="68"/>
  <c r="AB5" i="32" s="1"/>
  <c r="AB33" i="68"/>
  <c r="AA5" i="33" s="1"/>
  <c r="AB32" i="68"/>
  <c r="AA4" i="33" s="1"/>
  <c r="AC35" i="68"/>
  <c r="AB34" i="68"/>
  <c r="AA6" i="33" s="1"/>
  <c r="Z7" i="32" l="1"/>
  <c r="AB26" i="68"/>
  <c r="Z3" i="32"/>
  <c r="AB22" i="68"/>
  <c r="AD24" i="68"/>
  <c r="AC5" i="32" s="1"/>
  <c r="AD25" i="68"/>
  <c r="AC6" i="32" s="1"/>
  <c r="AC33" i="68"/>
  <c r="AB5" i="33" s="1"/>
  <c r="AC34" i="68"/>
  <c r="AB6" i="33" s="1"/>
  <c r="AD35" i="68"/>
  <c r="AC32" i="68"/>
  <c r="AB4" i="33" s="1"/>
  <c r="AA3" i="32" l="1"/>
  <c r="AC22" i="68"/>
  <c r="AA7" i="32"/>
  <c r="AC26" i="68"/>
  <c r="AD32" i="68"/>
  <c r="AC4" i="33" s="1"/>
  <c r="AD33" i="68"/>
  <c r="AC5" i="33" s="1"/>
  <c r="AD34" i="68"/>
  <c r="AC6" i="33" s="1"/>
  <c r="AB7" i="32" l="1"/>
  <c r="AD26" i="68"/>
  <c r="AC7" i="32" s="1"/>
  <c r="AB3" i="32"/>
  <c r="AD22" i="68"/>
  <c r="AC3" i="32" s="1"/>
</calcChain>
</file>

<file path=xl/sharedStrings.xml><?xml version="1.0" encoding="utf-8"?>
<sst xmlns="http://schemas.openxmlformats.org/spreadsheetml/2006/main" count="8269" uniqueCount="3931">
  <si>
    <t>Source:</t>
  </si>
  <si>
    <t>National Highway Traffic Safety Administration</t>
  </si>
  <si>
    <t>Registered Vehicles</t>
  </si>
  <si>
    <t>Motorcycles</t>
  </si>
  <si>
    <t>LDVs</t>
  </si>
  <si>
    <t>HDVs</t>
  </si>
  <si>
    <t>aircraft</t>
  </si>
  <si>
    <t>rail</t>
  </si>
  <si>
    <t>ships</t>
  </si>
  <si>
    <t>motorbikes</t>
  </si>
  <si>
    <t>Notes:</t>
  </si>
  <si>
    <t>Vehicle Miles of Travel (Millions)</t>
  </si>
  <si>
    <t>This is a time-series variable to support countries or regions where average distance</t>
  </si>
  <si>
    <t>Table 40: 2012 Boating Days and Hours by Boat Type in the U.S.</t>
  </si>
  <si>
    <t>Boat Type</t>
  </si>
  <si>
    <t>Number of Boats Owned in the U.S. (thousands)</t>
  </si>
  <si>
    <t>Number of Boating Days (thousands)</t>
  </si>
  <si>
    <t>Number of Person-Hours (millions)</t>
  </si>
  <si>
    <t>Number of Days / Boat</t>
  </si>
  <si>
    <t>Number of Hours / Boating Day</t>
  </si>
  <si>
    <t>Passengers on Boat / Boating Day</t>
  </si>
  <si>
    <t>All Types</t>
  </si>
  <si>
    <t>Powerboat</t>
  </si>
  <si>
    <t>Sailboat</t>
  </si>
  <si>
    <t>Pontoon Boat</t>
  </si>
  <si>
    <t>PWC</t>
  </si>
  <si>
    <t>Canoe</t>
  </si>
  <si>
    <t>Kayak</t>
  </si>
  <si>
    <t>Row/Inflatable</t>
  </si>
  <si>
    <t>In the U.S. model, passenger ships are recreational boats, and they are represented</t>
  </si>
  <si>
    <t>in hours per year rather than distance per year.</t>
  </si>
  <si>
    <t>passenger ships</t>
  </si>
  <si>
    <t>U.S. Coast Guard</t>
  </si>
  <si>
    <t>National Recreational Boating Survey 2012</t>
  </si>
  <si>
    <t>http://www.uscgboating.org/library/recreational-boating-servey/2012survey%20report.pdf</t>
  </si>
  <si>
    <t>Page 63, Table 40</t>
  </si>
  <si>
    <t>BAADTbVT BAU Average Annual Dist Traveled by Vehicle Type</t>
  </si>
  <si>
    <t>TKI000</t>
  </si>
  <si>
    <t>7. Transportation Sector Key Indicators and Delivered Energy Consumption</t>
  </si>
  <si>
    <t/>
  </si>
  <si>
    <t xml:space="preserve"> Key Indicators and Consumption</t>
  </si>
  <si>
    <t>Key Indicators</t>
  </si>
  <si>
    <t>Travel Indicators</t>
  </si>
  <si>
    <t xml:space="preserve"> (billion vehicle miles traveled)</t>
  </si>
  <si>
    <t>TKI000:ba_Light-DutyVeh</t>
  </si>
  <si>
    <t xml:space="preserve">   Light-Duty Vehicles less than 8,501 pounds</t>
  </si>
  <si>
    <t>TKI000:ba_CommercialLig</t>
  </si>
  <si>
    <t xml:space="preserve">   Commercial Light Trucks 1/</t>
  </si>
  <si>
    <t>TKI000:ba_FreightTrucks</t>
  </si>
  <si>
    <t xml:space="preserve">   Freight Trucks greater than 10,000 pounds</t>
  </si>
  <si>
    <t>TKI000:buspassmiles</t>
  </si>
  <si>
    <t xml:space="preserve"> (billion passenger miles traveled)</t>
  </si>
  <si>
    <t>TKI000:railpassmiles</t>
  </si>
  <si>
    <t xml:space="preserve">   Bus Transportation</t>
  </si>
  <si>
    <t xml:space="preserve">   Passenger Rail</t>
  </si>
  <si>
    <t>TKI000:ba_Air</t>
  </si>
  <si>
    <t xml:space="preserve"> (billion seat miles available)</t>
  </si>
  <si>
    <t xml:space="preserve">   Air</t>
  </si>
  <si>
    <t>TKI000:ba_Rail</t>
  </si>
  <si>
    <t xml:space="preserve"> (billion ton miles traveled)</t>
  </si>
  <si>
    <t>TKI000:ba_DomesticShipp</t>
  </si>
  <si>
    <t xml:space="preserve">   Rail</t>
  </si>
  <si>
    <t xml:space="preserve">   Domestic Shipping</t>
  </si>
  <si>
    <t>Energy Efficiency Indicators</t>
  </si>
  <si>
    <t>TKI000:ca_AvgCAFEStand</t>
  </si>
  <si>
    <t xml:space="preserve"> (miles per gallon)</t>
  </si>
  <si>
    <t>TKI000:ca_CarCAFEStand</t>
  </si>
  <si>
    <t xml:space="preserve">   New Light-Duty Vehicle CAFE Standard 2/</t>
  </si>
  <si>
    <t>TKI000:ca_TwukCAFEStand</t>
  </si>
  <si>
    <t xml:space="preserve">     New Car 2/</t>
  </si>
  <si>
    <t>TKI000:ca_NewVehCred</t>
  </si>
  <si>
    <t xml:space="preserve">     New Light Truck 2/</t>
  </si>
  <si>
    <t>TKI000:ca_NewCarCred</t>
  </si>
  <si>
    <t xml:space="preserve">   Compliance New Light-Duty Vehicle 3/</t>
  </si>
  <si>
    <t>TKI000:ca_NewTwukCred</t>
  </si>
  <si>
    <t xml:space="preserve">     New Car 3/</t>
  </si>
  <si>
    <t>TKI000:ca_TestedNewVeh</t>
  </si>
  <si>
    <t xml:space="preserve">     New Light Truck 3/</t>
  </si>
  <si>
    <t>TKI000:ca_TestedNewCar</t>
  </si>
  <si>
    <t xml:space="preserve">   Tested New Light-Duty Vehicle 4/</t>
  </si>
  <si>
    <t>TKI000:ca_TestedNewTwuk</t>
  </si>
  <si>
    <t xml:space="preserve">     New Car 4/</t>
  </si>
  <si>
    <t>TKI000:ca_OnRoadNewVeh</t>
  </si>
  <si>
    <t xml:space="preserve">     New Light Truck 4/</t>
  </si>
  <si>
    <t>TKI000:ca_OnRoadNewCar</t>
  </si>
  <si>
    <t xml:space="preserve">   On-Road New Light-Duty Vehicle 5/</t>
  </si>
  <si>
    <t>TKI000:ca_OnRoadNewTwuk</t>
  </si>
  <si>
    <t xml:space="preserve">     New Car 5/</t>
  </si>
  <si>
    <t>TKI000:ca_Light-DutySto</t>
  </si>
  <si>
    <t xml:space="preserve">     New Light Truck 5/</t>
  </si>
  <si>
    <t>TKI000:ca_NewCommercial</t>
  </si>
  <si>
    <t xml:space="preserve">   Light-Duty Stock 6/</t>
  </si>
  <si>
    <t>TKI000:ca_StockCommerci</t>
  </si>
  <si>
    <t xml:space="preserve">   New Commercial Light Truck 1/</t>
  </si>
  <si>
    <t>TKI000:ca_FreightTruck</t>
  </si>
  <si>
    <t xml:space="preserve">   Stock Commercial Light Truck 1/</t>
  </si>
  <si>
    <t xml:space="preserve">   Freight Truck</t>
  </si>
  <si>
    <t>TKI000:ca_Aircraft</t>
  </si>
  <si>
    <t xml:space="preserve"> (seat miles per gallon)</t>
  </si>
  <si>
    <t xml:space="preserve">   Aircraft</t>
  </si>
  <si>
    <t>TKI000:ca_Rail</t>
  </si>
  <si>
    <t xml:space="preserve"> (ton miles/thousand Btu)</t>
  </si>
  <si>
    <t>TKI000:ca_DomesticShipp</t>
  </si>
  <si>
    <t>Energy Use by Mode</t>
  </si>
  <si>
    <t>TKI000:da_Light-DutyVeh</t>
  </si>
  <si>
    <t xml:space="preserve">  (quadrillion Btu)</t>
  </si>
  <si>
    <t>TKI000:da_CommercialLig</t>
  </si>
  <si>
    <t xml:space="preserve">    Light-Duty Vehicles</t>
  </si>
  <si>
    <t>TKI000:da_BusTransporta</t>
  </si>
  <si>
    <t xml:space="preserve">    Commercial Light Trucks 1/</t>
  </si>
  <si>
    <t>TKI000:da_FreightTrucks</t>
  </si>
  <si>
    <t xml:space="preserve">    Bus Transportation</t>
  </si>
  <si>
    <t>TKI000:da_Rail,Passenge</t>
  </si>
  <si>
    <t xml:space="preserve">    Freight Trucks</t>
  </si>
  <si>
    <t>TKI000:da_Rail,Freight</t>
  </si>
  <si>
    <t xml:space="preserve">    Rail, Passenger</t>
  </si>
  <si>
    <t>TKI000:da_Shipping,Dome</t>
  </si>
  <si>
    <t xml:space="preserve">    Rail, Freight</t>
  </si>
  <si>
    <t>TKI000:da_Shipping,Inte</t>
  </si>
  <si>
    <t xml:space="preserve">    Shipping, Domestic</t>
  </si>
  <si>
    <t>TKI000:da_RecreationalB</t>
  </si>
  <si>
    <t xml:space="preserve">    Shipping, International</t>
  </si>
  <si>
    <t>TKI000:da_Air</t>
  </si>
  <si>
    <t xml:space="preserve">    Recreational Boats</t>
  </si>
  <si>
    <t>TKI000:da_MilitaryUse</t>
  </si>
  <si>
    <t xml:space="preserve">    Air</t>
  </si>
  <si>
    <t>TKI000:da_Lubricants</t>
  </si>
  <si>
    <t xml:space="preserve">    Military Use</t>
  </si>
  <si>
    <t>TKI000:da_PipelineFuel</t>
  </si>
  <si>
    <t xml:space="preserve">    Lubricants</t>
  </si>
  <si>
    <t>TKI000:da_Total</t>
  </si>
  <si>
    <t xml:space="preserve">    Pipeline Fuel</t>
  </si>
  <si>
    <t xml:space="preserve">      Total</t>
  </si>
  <si>
    <t>TKI000:ea_Light-DutyVeh</t>
  </si>
  <si>
    <t xml:space="preserve">  (million barrels per day oil equivalent)</t>
  </si>
  <si>
    <t>TKI000:ea_CommercialLig</t>
  </si>
  <si>
    <t>TKI000:ea_BusTransporta</t>
  </si>
  <si>
    <t>TKI000:ea_FreightTrucks</t>
  </si>
  <si>
    <t>TKI000:ea_Rail,Passenge</t>
  </si>
  <si>
    <t>TKI000:ea_Rail,Freight</t>
  </si>
  <si>
    <t>TKI000:ea_Shipping,Dome</t>
  </si>
  <si>
    <t>TKI000:ea_Shipping,Inte</t>
  </si>
  <si>
    <t>TKI000:ea_RecreationalB</t>
  </si>
  <si>
    <t>TKI000:ea_Air</t>
  </si>
  <si>
    <t>TKI000:ea_MilitaryUse</t>
  </si>
  <si>
    <t>TKI000:ea_Lubricants</t>
  </si>
  <si>
    <t>TKI000:ea_PipelineFuel</t>
  </si>
  <si>
    <t>TKI000:ea_Total</t>
  </si>
  <si>
    <t>Fuel Cost (1987 dollars per million Btu)</t>
  </si>
  <si>
    <t>Load Factor (fraction of seats filled)</t>
  </si>
  <si>
    <t>Driver Variables</t>
  </si>
  <si>
    <t>Travel Demand</t>
  </si>
  <si>
    <t>Seat Miles Demanded (billion miles)</t>
  </si>
  <si>
    <t>Total World</t>
  </si>
  <si>
    <t>Fuel Consumption (trillion Btu)</t>
  </si>
  <si>
    <t>Start Year</t>
  </si>
  <si>
    <t>battery electric vehicle</t>
  </si>
  <si>
    <t>natural gas vehicle</t>
  </si>
  <si>
    <t>gasoline vehicle</t>
  </si>
  <si>
    <t>diesel vehicle</t>
  </si>
  <si>
    <t>plugin hybrid vehicle</t>
  </si>
  <si>
    <t>Air</t>
  </si>
  <si>
    <t>Highway, total</t>
  </si>
  <si>
    <t>N</t>
  </si>
  <si>
    <t>U</t>
  </si>
  <si>
    <t>Truck, combination</t>
  </si>
  <si>
    <t>Heavy rail</t>
  </si>
  <si>
    <t>Commuter rail</t>
  </si>
  <si>
    <t>Rail</t>
  </si>
  <si>
    <t>NOTES</t>
  </si>
  <si>
    <r>
      <rPr>
        <i/>
        <sz val="9"/>
        <rFont val="Arial"/>
        <family val="2"/>
      </rPr>
      <t>Air carrier</t>
    </r>
    <r>
      <rPr>
        <sz val="9"/>
        <rFont val="Arial"/>
        <family val="2"/>
      </rPr>
      <t xml:space="preserve"> passenger-miles are computed by summing the products of the aircraft-miles flown on each inter airport segment multiplied by the number of passengers carried on that segment. </t>
    </r>
    <r>
      <rPr>
        <i/>
        <sz val="9"/>
        <rFont val="Arial"/>
        <family val="2"/>
      </rPr>
      <t>Highway</t>
    </r>
    <r>
      <rPr>
        <sz val="9"/>
        <rFont val="Arial"/>
        <family val="2"/>
      </rPr>
      <t xml:space="preserve"> passenger-miles from 1960 to 1994 are calculated by multiplying vehicle-miles of travel as cited by FHWA by the average number of occupants for each vehicle type. Average vehicle occupancy rates are based on various sources, such as the National Household Travel Survey, conducted by the Federal Highway Administration, and the Vehicle Inventory and Use Survey, conducted by the Bureau of the Census. </t>
    </r>
    <r>
      <rPr>
        <i/>
        <sz val="9"/>
        <rFont val="Arial"/>
        <family val="2"/>
      </rPr>
      <t>Transit</t>
    </r>
    <r>
      <rPr>
        <sz val="9"/>
        <rFont val="Arial"/>
        <family val="2"/>
      </rPr>
      <t xml:space="preserve"> passenger-miles are the cumulative sum of the distances ridden by each passenger. </t>
    </r>
    <r>
      <rPr>
        <i/>
        <sz val="9"/>
        <rFont val="Arial"/>
        <family val="2"/>
      </rPr>
      <t>Rail</t>
    </r>
    <r>
      <rPr>
        <sz val="9"/>
        <rFont val="Arial"/>
        <family val="2"/>
      </rPr>
      <t xml:space="preserve"> passenger-miles represent the movement of 1 passenger for 1 mile. </t>
    </r>
  </si>
  <si>
    <t>The FHWA estimates national trends by using State reported Highway Performance and Monitoring System (HPMS) data, fuel consumption data, vehicle registration data, other data such as the R. L. Polk vehicle data, and a host of modeling techniques.</t>
  </si>
  <si>
    <r>
      <t xml:space="preserve">Transit </t>
    </r>
    <r>
      <rPr>
        <sz val="9"/>
        <rFont val="Arial"/>
        <family val="2"/>
      </rPr>
      <t>data from 1996 and after are not comparable to the data for earlier years or to the data published in previous editions of the report due to different data sources used.</t>
    </r>
  </si>
  <si>
    <t>Numbers may not add to totals due to rounding.</t>
  </si>
  <si>
    <t>SOURCES</t>
  </si>
  <si>
    <t>Air:</t>
  </si>
  <si>
    <r>
      <t xml:space="preserve">1960: Civil Aeronautics Board, </t>
    </r>
    <r>
      <rPr>
        <i/>
        <sz val="9"/>
        <rFont val="Arial"/>
        <family val="2"/>
      </rPr>
      <t xml:space="preserve">Handbook of Airline Statistics, 1969 </t>
    </r>
    <r>
      <rPr>
        <sz val="9"/>
        <rFont val="Arial"/>
        <family val="2"/>
      </rPr>
      <t>(Washington, DC: 1970), part III, table 2.</t>
    </r>
  </si>
  <si>
    <t>Highway:</t>
  </si>
  <si>
    <t>Transit:</t>
  </si>
  <si>
    <t>Ferryboat:</t>
  </si>
  <si>
    <t>1992: American Public Transit Association, personal communication, July 19, 2000.</t>
  </si>
  <si>
    <t>1993-95: American Public Transit Association, personal communication, Aug. 13, 2001.</t>
  </si>
  <si>
    <t>All other data:</t>
  </si>
  <si>
    <r>
      <t xml:space="preserve">1960-1995: American Public Transportation Association, </t>
    </r>
    <r>
      <rPr>
        <i/>
        <sz val="9"/>
        <rFont val="Arial"/>
        <family val="2"/>
      </rPr>
      <t>Public Transportation Fact Book</t>
    </r>
    <r>
      <rPr>
        <sz val="9"/>
        <rFont val="Arial"/>
        <family val="2"/>
      </rPr>
      <t xml:space="preserve"> (Washington, DC: Annual Issues), table 2 and similar tables in earlier editions.</t>
    </r>
  </si>
  <si>
    <r>
      <t xml:space="preserve">1960-80: Association of American Railroads, </t>
    </r>
    <r>
      <rPr>
        <i/>
        <sz val="9"/>
        <rFont val="Arial"/>
        <family val="2"/>
      </rPr>
      <t>Railroad Facts</t>
    </r>
    <r>
      <rPr>
        <sz val="9"/>
        <rFont val="Arial"/>
        <family val="2"/>
      </rPr>
      <t xml:space="preserve"> (Washington, DC: Annual Issues).</t>
    </r>
  </si>
  <si>
    <r>
      <t>1985: Amtrak,</t>
    </r>
    <r>
      <rPr>
        <i/>
        <sz val="9"/>
        <rFont val="Arial"/>
        <family val="2"/>
      </rPr>
      <t xml:space="preserve"> Amtrak FY95 Annual Report </t>
    </r>
    <r>
      <rPr>
        <sz val="9"/>
        <rFont val="Arial"/>
        <family val="2"/>
      </rPr>
      <t xml:space="preserve">(Washington, DC: 1996), Statistical Appendix, page 4. </t>
    </r>
  </si>
  <si>
    <t>All vehicle types except motorbikes and passenger ships</t>
  </si>
  <si>
    <t>LPG vehicle</t>
  </si>
  <si>
    <t>hydrogen vehicle</t>
  </si>
  <si>
    <t>Annual Distance (miles/vehicle)</t>
  </si>
  <si>
    <t>The start year is the year prior the first simulated year in the model.</t>
  </si>
  <si>
    <t>New Trucks by Size Class</t>
  </si>
  <si>
    <t>Railroads</t>
  </si>
  <si>
    <t>Domestic Shipping</t>
  </si>
  <si>
    <t>International Shipping</t>
  </si>
  <si>
    <t>United States</t>
  </si>
  <si>
    <t>Canada</t>
  </si>
  <si>
    <t>Africa</t>
  </si>
  <si>
    <t>China</t>
  </si>
  <si>
    <t>Average Aircraft</t>
  </si>
  <si>
    <t>Aircraft Stock</t>
  </si>
  <si>
    <t>Diesel</t>
  </si>
  <si>
    <t>Motor Gasoline</t>
  </si>
  <si>
    <t>Propane</t>
  </si>
  <si>
    <t>Compressed/Liquefied Natural Gas</t>
  </si>
  <si>
    <t>Ethanol-Flex Fuel</t>
  </si>
  <si>
    <t>Electric</t>
  </si>
  <si>
    <t>Plug-in Diesel Hybrid</t>
  </si>
  <si>
    <t>Plug-in Gasoline Hybrid</t>
  </si>
  <si>
    <t>Fuel Cell</t>
  </si>
  <si>
    <t xml:space="preserve"> Medium</t>
  </si>
  <si>
    <t>Total Stock</t>
  </si>
  <si>
    <t>Distillate Fuel Oil (diesel)</t>
  </si>
  <si>
    <t>Residual Fuel Oil</t>
  </si>
  <si>
    <t>Compressed Natural Gas</t>
  </si>
  <si>
    <t>Liquefied Natural Gas</t>
  </si>
  <si>
    <t>Number of Vehicles</t>
  </si>
  <si>
    <t>We classify AEO's light commercial trucks category as well as light-medium and medium duty vehicles</t>
  </si>
  <si>
    <t>in "freight LDVs" and heavy duty vehicles in "freight HDVs."</t>
  </si>
  <si>
    <t>We use AEO 2021 to calculate start year vehicles, as AEO 2023 does not include 2020 data.</t>
  </si>
  <si>
    <t>U.S. air carrier, certificated, domestic, all services</t>
  </si>
  <si>
    <t>General aviation</t>
  </si>
  <si>
    <r>
      <t>Light duty vehicle, short wheel base</t>
    </r>
    <r>
      <rPr>
        <vertAlign val="superscript"/>
        <sz val="11"/>
        <rFont val="Arial Narrow"/>
        <family val="2"/>
      </rPr>
      <t>a,b</t>
    </r>
  </si>
  <si>
    <r>
      <t>Motorcycle</t>
    </r>
    <r>
      <rPr>
        <vertAlign val="superscript"/>
        <sz val="11"/>
        <rFont val="Arial Narrow"/>
        <family val="2"/>
      </rPr>
      <t>b</t>
    </r>
  </si>
  <si>
    <r>
      <t>Light duty vehicle, long wheel base</t>
    </r>
    <r>
      <rPr>
        <vertAlign val="superscript"/>
        <sz val="11"/>
        <rFont val="Arial Narrow"/>
        <family val="2"/>
      </rPr>
      <t>a,b</t>
    </r>
  </si>
  <si>
    <r>
      <t>Truck, single-unit 2-axle 6-tire or more</t>
    </r>
    <r>
      <rPr>
        <vertAlign val="superscript"/>
        <sz val="11"/>
        <rFont val="Arial Narrow"/>
        <family val="2"/>
      </rPr>
      <t>b</t>
    </r>
  </si>
  <si>
    <r>
      <t>Bus</t>
    </r>
    <r>
      <rPr>
        <vertAlign val="superscript"/>
        <sz val="11"/>
        <rFont val="Arial Narrow"/>
        <family val="2"/>
      </rPr>
      <t>c,e</t>
    </r>
  </si>
  <si>
    <r>
      <t>Transit</t>
    </r>
    <r>
      <rPr>
        <b/>
        <vertAlign val="superscript"/>
        <sz val="11"/>
        <rFont val="Arial Narrow"/>
        <family val="2"/>
      </rPr>
      <t>d</t>
    </r>
    <r>
      <rPr>
        <b/>
        <sz val="11"/>
        <rFont val="Arial Narrow"/>
        <family val="2"/>
      </rPr>
      <t>, total</t>
    </r>
  </si>
  <si>
    <r>
      <t>Motor bus</t>
    </r>
    <r>
      <rPr>
        <vertAlign val="superscript"/>
        <sz val="11"/>
        <rFont val="Arial Narrow"/>
        <family val="2"/>
      </rPr>
      <t>c,e</t>
    </r>
  </si>
  <si>
    <r>
      <t>Commuter bus</t>
    </r>
    <r>
      <rPr>
        <vertAlign val="superscript"/>
        <sz val="11"/>
        <rFont val="Arial Narrow"/>
        <family val="2"/>
      </rPr>
      <t>e</t>
    </r>
  </si>
  <si>
    <r>
      <t>Light rail</t>
    </r>
    <r>
      <rPr>
        <vertAlign val="superscript"/>
        <sz val="11"/>
        <rFont val="Arial Narrow"/>
        <family val="2"/>
      </rPr>
      <t>f</t>
    </r>
  </si>
  <si>
    <r>
      <t>Trolley bus</t>
    </r>
    <r>
      <rPr>
        <vertAlign val="superscript"/>
        <sz val="11"/>
        <rFont val="Arial Narrow"/>
        <family val="2"/>
      </rPr>
      <t>c</t>
    </r>
  </si>
  <si>
    <r>
      <t>Demand response</t>
    </r>
    <r>
      <rPr>
        <vertAlign val="superscript"/>
        <sz val="11"/>
        <rFont val="Arial Narrow"/>
        <family val="2"/>
      </rPr>
      <t>c,d</t>
    </r>
  </si>
  <si>
    <r>
      <t>Ferry boat</t>
    </r>
    <r>
      <rPr>
        <vertAlign val="superscript"/>
        <sz val="11"/>
        <rFont val="Arial Narrow"/>
        <family val="2"/>
      </rPr>
      <t>g</t>
    </r>
  </si>
  <si>
    <r>
      <t>Other</t>
    </r>
    <r>
      <rPr>
        <vertAlign val="superscript"/>
        <sz val="11"/>
        <rFont val="Arial Narrow"/>
        <family val="2"/>
      </rPr>
      <t>g,h</t>
    </r>
  </si>
  <si>
    <r>
      <t>Intercity/Amtrak</t>
    </r>
    <r>
      <rPr>
        <b/>
        <vertAlign val="superscript"/>
        <sz val="11"/>
        <rFont val="Arial Narrow"/>
        <family val="2"/>
      </rPr>
      <t>i</t>
    </r>
  </si>
  <si>
    <r>
      <t>Walking</t>
    </r>
    <r>
      <rPr>
        <b/>
        <vertAlign val="superscript"/>
        <sz val="11"/>
        <rFont val="Arial Narrow"/>
        <family val="2"/>
      </rPr>
      <t>j</t>
    </r>
  </si>
  <si>
    <r>
      <t>Cycling</t>
    </r>
    <r>
      <rPr>
        <b/>
        <vertAlign val="superscript"/>
        <sz val="11"/>
        <rFont val="Arial Narrow"/>
        <family val="2"/>
      </rPr>
      <t>j</t>
    </r>
  </si>
  <si>
    <r>
      <t>a</t>
    </r>
    <r>
      <rPr>
        <sz val="9"/>
        <rFont val="Arial"/>
        <family val="2"/>
      </rPr>
      <t xml:space="preserve"> Data from 2007 were calculated using a new methodology developed by FHWA. Data for these years are based on new categories and are not comparable to previous years. The new category</t>
    </r>
    <r>
      <rPr>
        <i/>
        <sz val="9"/>
        <rFont val="Arial"/>
        <family val="2"/>
      </rPr>
      <t xml:space="preserve"> Light duty vehicle, short wheel base </t>
    </r>
    <r>
      <rPr>
        <sz val="9"/>
        <rFont val="Arial"/>
        <family val="2"/>
      </rPr>
      <t xml:space="preserve">replaces the old category Passenger car and includes passenger cars, light trucks, vans and sport utility vehicles with a wheelbase (WB) equal to or less than 121 inches. The new category </t>
    </r>
    <r>
      <rPr>
        <i/>
        <sz val="9"/>
        <rFont val="Arial"/>
        <family val="2"/>
      </rPr>
      <t>Light duty vehicle, long wheel base</t>
    </r>
    <r>
      <rPr>
        <sz val="9"/>
        <rFont val="Arial"/>
        <family val="2"/>
      </rPr>
      <t xml:space="preserve"> replaces Other 2-axle, 4-tire vehicle and includes large passenger cars, vans, pickup trucks, and sport/utility vehicles with wheelbases (WB) larger than 121 inches. This edition of 1-40 is not comparable to those before the 2019 edition.</t>
    </r>
  </si>
  <si>
    <r>
      <t>b</t>
    </r>
    <r>
      <rPr>
        <sz val="9"/>
        <rFont val="Arial"/>
        <family val="2"/>
      </rPr>
      <t xml:space="preserve"> 1960-65, </t>
    </r>
    <r>
      <rPr>
        <i/>
        <sz val="9"/>
        <rFont val="Arial"/>
        <family val="2"/>
      </rPr>
      <t>Motorcycle</t>
    </r>
    <r>
      <rPr>
        <sz val="9"/>
        <rFont val="Arial"/>
        <family val="2"/>
      </rPr>
      <t xml:space="preserve"> data are included in </t>
    </r>
    <r>
      <rPr>
        <i/>
        <sz val="9"/>
        <rFont val="Arial"/>
        <family val="2"/>
      </rPr>
      <t>Light duty vehicle, short wheel base</t>
    </r>
    <r>
      <rPr>
        <sz val="9"/>
        <rFont val="Arial"/>
        <family val="2"/>
      </rPr>
      <t xml:space="preserve">, and </t>
    </r>
    <r>
      <rPr>
        <i/>
        <sz val="9"/>
        <rFont val="Arial"/>
        <family val="2"/>
      </rPr>
      <t>Long duty vehicle, long wheel base</t>
    </r>
    <r>
      <rPr>
        <sz val="9"/>
        <rFont val="Arial"/>
        <family val="2"/>
      </rPr>
      <t xml:space="preserve"> data are included in </t>
    </r>
    <r>
      <rPr>
        <i/>
        <sz val="9"/>
        <rFont val="Arial"/>
        <family val="2"/>
      </rPr>
      <t>Truck, single-unit 2-axle 6-tire or more</t>
    </r>
    <r>
      <rPr>
        <sz val="9"/>
        <rFont val="Arial"/>
        <family val="2"/>
      </rPr>
      <t>.</t>
    </r>
  </si>
  <si>
    <r>
      <t>c</t>
    </r>
    <r>
      <rPr>
        <sz val="9"/>
        <rFont val="Arial"/>
        <family val="2"/>
      </rPr>
      <t xml:space="preserve"> To reduce double counting </t>
    </r>
    <r>
      <rPr>
        <i/>
        <sz val="9"/>
        <rFont val="Arial"/>
        <family val="2"/>
      </rPr>
      <t xml:space="preserve">Motor bus, Trolley bus, </t>
    </r>
    <r>
      <rPr>
        <sz val="9"/>
        <rFont val="Arial"/>
        <family val="2"/>
      </rPr>
      <t xml:space="preserve">and </t>
    </r>
    <r>
      <rPr>
        <i/>
        <sz val="9"/>
        <rFont val="Arial"/>
        <family val="2"/>
      </rPr>
      <t>Demand response</t>
    </r>
    <r>
      <rPr>
        <sz val="9"/>
        <rFont val="Arial"/>
        <family val="2"/>
      </rPr>
      <t xml:space="preserve"> (commonly called "paratransit" service) counts have been subtracted from </t>
    </r>
    <r>
      <rPr>
        <i/>
        <sz val="9"/>
        <rFont val="Arial"/>
        <family val="2"/>
      </rPr>
      <t xml:space="preserve">Highway, total </t>
    </r>
    <r>
      <rPr>
        <sz val="9"/>
        <rFont val="Arial"/>
        <family val="2"/>
      </rPr>
      <t>and</t>
    </r>
    <r>
      <rPr>
        <i/>
        <sz val="9"/>
        <rFont val="Arial"/>
        <family val="2"/>
      </rPr>
      <t xml:space="preserve"> Bus</t>
    </r>
    <r>
      <rPr>
        <sz val="9"/>
        <rFont val="Arial"/>
        <family val="2"/>
      </rPr>
      <t xml:space="preserve"> because such miles are included under Transit</t>
    </r>
    <r>
      <rPr>
        <i/>
        <sz val="9"/>
        <rFont val="Arial"/>
        <family val="2"/>
      </rPr>
      <t>.</t>
    </r>
  </si>
  <si>
    <r>
      <t>d</t>
    </r>
    <r>
      <rPr>
        <sz val="9"/>
        <rFont val="Arial"/>
        <family val="2"/>
      </rPr>
      <t xml:space="preserve"> Prior to 1985, excludes Demand response and most rural and smaller systems funded via Sections 18 and 16(b)2, Federal Transit Act. The series is not continuous between 1980 and 1985. Transit rail modes are measured in car-miles. Car-miles measure individual vehicle-miles in a train. A 10-car train traveling 1 mile would equal 1 train-mile and 10 car-miles. </t>
    </r>
  </si>
  <si>
    <r>
      <t>e</t>
    </r>
    <r>
      <rPr>
        <sz val="9"/>
        <rFont val="Arial"/>
        <family val="2"/>
      </rPr>
      <t xml:space="preserve"> </t>
    </r>
    <r>
      <rPr>
        <i/>
        <sz val="9"/>
        <rFont val="Arial"/>
        <family val="2"/>
      </rPr>
      <t xml:space="preserve">Motor bus </t>
    </r>
    <r>
      <rPr>
        <sz val="9"/>
        <rFont val="Arial"/>
        <family val="2"/>
      </rPr>
      <t xml:space="preserve">category includes motor bus and bus rapid transit. </t>
    </r>
    <r>
      <rPr>
        <i/>
        <sz val="9"/>
        <rFont val="Arial"/>
        <family val="2"/>
      </rPr>
      <t>Commuter bus</t>
    </r>
    <r>
      <rPr>
        <sz val="9"/>
        <rFont val="Arial"/>
        <family val="2"/>
      </rPr>
      <t xml:space="preserve"> included with </t>
    </r>
    <r>
      <rPr>
        <i/>
        <sz val="9"/>
        <rFont val="Arial"/>
        <family val="2"/>
      </rPr>
      <t>Motor bus</t>
    </r>
    <r>
      <rPr>
        <sz val="9"/>
        <rFont val="Arial"/>
        <family val="2"/>
      </rPr>
      <t xml:space="preserve"> for 1980 to 2010.</t>
    </r>
  </si>
  <si>
    <r>
      <t xml:space="preserve">f </t>
    </r>
    <r>
      <rPr>
        <i/>
        <sz val="9"/>
        <rFont val="Arial"/>
        <family val="2"/>
      </rPr>
      <t>Light rail</t>
    </r>
    <r>
      <rPr>
        <sz val="9"/>
        <rFont val="Arial"/>
        <family val="2"/>
      </rPr>
      <t xml:space="preserve"> includes Light Rail, Street Car Rail, and Hybrid Rail.</t>
    </r>
  </si>
  <si>
    <r>
      <t xml:space="preserve">g </t>
    </r>
    <r>
      <rPr>
        <i/>
        <sz val="9"/>
        <rFont val="Arial"/>
        <family val="2"/>
      </rPr>
      <t>Ferry boat</t>
    </r>
    <r>
      <rPr>
        <sz val="9"/>
        <rFont val="Arial"/>
        <family val="2"/>
      </rPr>
      <t xml:space="preserve"> included with </t>
    </r>
    <r>
      <rPr>
        <i/>
        <sz val="9"/>
        <rFont val="Arial"/>
        <family val="2"/>
      </rPr>
      <t>Other</t>
    </r>
    <r>
      <rPr>
        <sz val="9"/>
        <rFont val="Arial"/>
        <family val="2"/>
      </rPr>
      <t xml:space="preserve"> under Transit for 1980 and 1985.</t>
    </r>
  </si>
  <si>
    <r>
      <t xml:space="preserve">h </t>
    </r>
    <r>
      <rPr>
        <i/>
        <sz val="9"/>
        <rFont val="Arial"/>
        <family val="2"/>
      </rPr>
      <t>Other</t>
    </r>
    <r>
      <rPr>
        <sz val="9"/>
        <rFont val="Arial"/>
        <family val="2"/>
      </rPr>
      <t xml:space="preserve"> includes Aerial Tramway, Alaska Railroad, Cable Car, Demand Response - Taxi, Inclined Plane, Monorail/Automated Guideway, Publico and Vanpool.</t>
    </r>
  </si>
  <si>
    <r>
      <t>i</t>
    </r>
    <r>
      <rPr>
        <sz val="9"/>
        <rFont val="Arial"/>
        <family val="2"/>
      </rPr>
      <t xml:space="preserve"> National Passenger Railroad Corporation (Amtrak) began operations in 1971. Does not include contract commuter passengers. Data may include some Canadian Amtrak stations.</t>
    </r>
  </si>
  <si>
    <r>
      <t>j</t>
    </r>
    <r>
      <rPr>
        <sz val="9"/>
        <rFont val="Arial"/>
        <family val="2"/>
      </rPr>
      <t xml:space="preserve"> National Household Travel Survey (NHTS) includes an inventory of all trips taken within a 24-hour period by all household members aged 5 or older. For each trip, respondents report trip purpose, mode of transportation (cycling, walking, etc.) and other trip characteristics. Reported trips that did not meet the definition of a trip were removed (e.g. a loop walk trip for exercise or for walking the dog, walk trips to access or egress from public transit). Additional information can be found at https://nhts.ornl.gov/.</t>
    </r>
  </si>
  <si>
    <t xml:space="preserve">Caution must be exercised in comparing passenger miles across modes because significantly different definitions are used. Modes that do not have a total are not meant to be totaled. Total of all modes together is not an accurate representation of total U.S. passenger miles due to double counting across modes. </t>
  </si>
  <si>
    <r>
      <t xml:space="preserve">In July 1997, the U.S. Department of Transportation, Federal Highway Administration published revised passenger-miles data for the highway modes for a number of years. The major change reflected the reassignment of some vehicles from the </t>
    </r>
    <r>
      <rPr>
        <i/>
        <sz val="9"/>
        <rFont val="Arial"/>
        <family val="2"/>
      </rPr>
      <t xml:space="preserve">Passenger car </t>
    </r>
    <r>
      <rPr>
        <sz val="9"/>
        <rFont val="Arial"/>
        <family val="2"/>
      </rPr>
      <t xml:space="preserve">category to the </t>
    </r>
    <r>
      <rPr>
        <i/>
        <sz val="9"/>
        <rFont val="Arial"/>
        <family val="2"/>
      </rPr>
      <t>Other 2-axle 4-tire vehicle</t>
    </r>
    <r>
      <rPr>
        <sz val="9"/>
        <rFont val="Arial"/>
        <family val="2"/>
      </rPr>
      <t xml:space="preserve"> category. Passenger-miles for </t>
    </r>
    <r>
      <rPr>
        <i/>
        <sz val="9"/>
        <rFont val="Arial"/>
        <family val="2"/>
      </rPr>
      <t>passenger car, motorcycle, and other 2-axle 4-tire vehicles</t>
    </r>
    <r>
      <rPr>
        <sz val="9"/>
        <rFont val="Arial"/>
        <family val="2"/>
      </rPr>
      <t xml:space="preserve"> were derived by multiplying vehicle-miles for these vehicles by average vehicle occupancy rates, provided by the Nationwide Personal Transportation Survey (1977, 1983, and 1995) and the National Household Travel Survey. </t>
    </r>
  </si>
  <si>
    <t>In 2011, FHWA developed a new methodology. This methodology takes advantage of additional and improved information available beginning in 2007 when states were first required to report motorcycle data – before that time, the reporting was not mandatory and the data were missing for a few states. Also, the new methodology does not rely on data from the Vehicle Inventory and Use Survey which provided critical data for the original methodology (The last VIUS was carried out in 2002).  The data are revised with the new methodology back to the year 2007, so the data from 1980-2006 are not comparable.</t>
  </si>
  <si>
    <t>Vehicle occupancy is estimated by the FHWA from the National Household Travel Survey (NHTS) and the annual R.L. Polk Vehicle registration data. For 2017 and 2018 data estimated from 2017 NHTS, 2009-2016 from 2009 NHTS, 2001-2008 from 2001 NHTS, 1995-2000 from 1995 Nationwide Personal Transportation Survey (NPTS), and before 1995 from NPTS, Vehicle Inventory and Use Survey (VIUS) and Transportation Statistics Annual Report (TSAR). For single unit trucks and combination trucks, 1 motor vehicle miles traveled = 1 person-miles traveled.</t>
  </si>
  <si>
    <t>2007 data for Bus, Demand responsive (Paratransit), and Other are not comparable to earlier years due to change in the method of data collection and estimation by the American Public Transportation Association (APTA).</t>
  </si>
  <si>
    <t>This edition of table 1-40 is not comparable to those before the 2019 edition.</t>
  </si>
  <si>
    <t>All data except General aviation:</t>
  </si>
  <si>
    <r>
      <t xml:space="preserve">1965-70: Civil Aeronautics Board, </t>
    </r>
    <r>
      <rPr>
        <i/>
        <sz val="9"/>
        <rFont val="Arial"/>
        <family val="2"/>
      </rPr>
      <t xml:space="preserve">Handbook of Airline Statistics, 1973 </t>
    </r>
    <r>
      <rPr>
        <sz val="9"/>
        <rFont val="Arial"/>
        <family val="2"/>
      </rPr>
      <t>(Washington, DC: 1974), part III, table 2.</t>
    </r>
  </si>
  <si>
    <r>
      <t xml:space="preserve">1975-85: U.S. Department of Transportation, Bureau of Transportation Statistics, Office of Airline Information, </t>
    </r>
    <r>
      <rPr>
        <i/>
        <sz val="9"/>
        <rFont val="Arial"/>
        <family val="2"/>
      </rPr>
      <t>Air Carrier Summary, T1: U.S. Air Carrier Traffic And Capacity Summary by Service Class</t>
    </r>
    <r>
      <rPr>
        <sz val="9"/>
        <rFont val="Arial"/>
        <family val="2"/>
      </rPr>
      <t>, available at https://transtats.bts.gov/ as of Mar. 25, 2020.</t>
    </r>
  </si>
  <si>
    <t>General aviation:</t>
  </si>
  <si>
    <r>
      <t xml:space="preserve">Eno Transportation Foundation, Inc., </t>
    </r>
    <r>
      <rPr>
        <i/>
        <sz val="9"/>
        <rFont val="Arial"/>
        <family val="2"/>
      </rPr>
      <t>Transportation in America,</t>
    </r>
    <r>
      <rPr>
        <sz val="9"/>
        <rFont val="Arial"/>
        <family val="2"/>
      </rPr>
      <t xml:space="preserve"> Annual Issues (Washington, DC), pp. 40 and 45, and similar tables in earlier editions.</t>
    </r>
  </si>
  <si>
    <r>
      <t xml:space="preserve">1985-93: U.S. Department of Transportation, Federal Highway Administration, </t>
    </r>
    <r>
      <rPr>
        <i/>
        <sz val="9"/>
        <rFont val="Arial"/>
        <family val="2"/>
      </rPr>
      <t>Highway Statistics Summary to 1995</t>
    </r>
    <r>
      <rPr>
        <sz val="9"/>
        <rFont val="Arial"/>
        <family val="2"/>
      </rPr>
      <t>, table VM-201A, minus transit bus categories (Motor bus, Trolley bus, and Demand response).</t>
    </r>
  </si>
  <si>
    <r>
      <t>1996-2008: U.S. Department of Transportation, Federal Transit Administration,</t>
    </r>
    <r>
      <rPr>
        <i/>
        <sz val="9"/>
        <rFont val="Arial"/>
        <family val="2"/>
      </rPr>
      <t xml:space="preserve"> National Transit Database, </t>
    </r>
    <r>
      <rPr>
        <sz val="9"/>
        <rFont val="Arial"/>
        <family val="2"/>
      </rPr>
      <t>Table 19, available at http://www.ntdprogram.gov/ntdprogram/data.htm as of Apr. 26, 2016.</t>
    </r>
  </si>
  <si>
    <r>
      <t xml:space="preserve">1996-2008: U.S. Department of Transportation, Federal Transit Administration, </t>
    </r>
    <r>
      <rPr>
        <i/>
        <sz val="9"/>
        <rFont val="Arial"/>
        <family val="2"/>
      </rPr>
      <t xml:space="preserve">National Transit Database, </t>
    </r>
    <r>
      <rPr>
        <sz val="9"/>
        <rFont val="Arial"/>
        <family val="2"/>
      </rPr>
      <t>Table 19, available at http://www.ntdprogram.gov/ntdprogram/data.htm as of Apr. 26, 2016.</t>
    </r>
  </si>
  <si>
    <t>Intercity / Amtrak:</t>
  </si>
  <si>
    <r>
      <t xml:space="preserve">1990-2000: Amtrak, </t>
    </r>
    <r>
      <rPr>
        <i/>
        <sz val="9"/>
        <rFont val="Arial"/>
        <family val="2"/>
      </rPr>
      <t xml:space="preserve">Amtrak Annual Report </t>
    </r>
    <r>
      <rPr>
        <sz val="9"/>
        <rFont val="Arial"/>
        <family val="2"/>
      </rPr>
      <t>(Washington, DC: Annual Issues), Statistical Appendix.</t>
    </r>
  </si>
  <si>
    <t>Walking, Cycling:</t>
  </si>
  <si>
    <t>Report</t>
  </si>
  <si>
    <t>Scenario</t>
  </si>
  <si>
    <t>Datekey</t>
  </si>
  <si>
    <t>Release Date</t>
  </si>
  <si>
    <t>ATE000</t>
  </si>
  <si>
    <t>47. Air Travel Energy Use</t>
  </si>
  <si>
    <t xml:space="preserve"> Indicators</t>
  </si>
  <si>
    <t>ATE000:ba_FuelCost(1987</t>
  </si>
  <si>
    <t xml:space="preserve">  U.S. Domestic</t>
  </si>
  <si>
    <t xml:space="preserve">  U.S. International</t>
  </si>
  <si>
    <t xml:space="preserve">  Population (millions)</t>
  </si>
  <si>
    <t xml:space="preserve">    United States</t>
  </si>
  <si>
    <t xml:space="preserve">    Canada</t>
  </si>
  <si>
    <t xml:space="preserve">    Africa</t>
  </si>
  <si>
    <t xml:space="preserve">    China</t>
  </si>
  <si>
    <t xml:space="preserve">  Revenue Passenger Miles (billion miles)</t>
  </si>
  <si>
    <t xml:space="preserve">      United States</t>
  </si>
  <si>
    <t xml:space="preserve">      Canada</t>
  </si>
  <si>
    <t xml:space="preserve">      Africa</t>
  </si>
  <si>
    <t xml:space="preserve">      China</t>
  </si>
  <si>
    <t xml:space="preserve">      Total World</t>
  </si>
  <si>
    <t xml:space="preserve">  United States</t>
  </si>
  <si>
    <t xml:space="preserve">    Narrow Body Aircraft</t>
  </si>
  <si>
    <t xml:space="preserve">    Wide Body Aircraft</t>
  </si>
  <si>
    <t xml:space="preserve">    Regional Jets</t>
  </si>
  <si>
    <t xml:space="preserve">  Canada</t>
  </si>
  <si>
    <t xml:space="preserve">  Central America</t>
  </si>
  <si>
    <t xml:space="preserve">  South America</t>
  </si>
  <si>
    <t xml:space="preserve">  Europe</t>
  </si>
  <si>
    <t xml:space="preserve">  Africa</t>
  </si>
  <si>
    <t xml:space="preserve">  Mideast</t>
  </si>
  <si>
    <t xml:space="preserve">  Commonwealth of Independent States</t>
  </si>
  <si>
    <t xml:space="preserve">  China</t>
  </si>
  <si>
    <t xml:space="preserve">  Northeast Asia</t>
  </si>
  <si>
    <t xml:space="preserve">  Southeast Asia</t>
  </si>
  <si>
    <t xml:space="preserve">  Southwest Asia</t>
  </si>
  <si>
    <t xml:space="preserve">  Oceania</t>
  </si>
  <si>
    <t>ATE000:fa_WorldTotal</t>
  </si>
  <si>
    <t xml:space="preserve">    Total World</t>
  </si>
  <si>
    <t>ATE000:sal_WorldTotal</t>
  </si>
  <si>
    <t xml:space="preserve">  New Aircraft</t>
  </si>
  <si>
    <t>ATE000:ma_NarrowBodyAir</t>
  </si>
  <si>
    <t>ATE000:ma_WideBodyAircr</t>
  </si>
  <si>
    <t>ATE000:ma_RegionalJets</t>
  </si>
  <si>
    <t>ATE000:ma_AverageAircra</t>
  </si>
  <si>
    <t xml:space="preserve">      Average Aircraft</t>
  </si>
  <si>
    <t xml:space="preserve">  Aircraft Stock</t>
  </si>
  <si>
    <t>ATE000:na_NarrowBodyAir</t>
  </si>
  <si>
    <t>ATE000:na_WideBodyAircr</t>
  </si>
  <si>
    <t>ATE000:na_RegionalJets</t>
  </si>
  <si>
    <t>ATE000:na_AverageAircra</t>
  </si>
  <si>
    <t xml:space="preserve">  Commercial Jet Fuel</t>
  </si>
  <si>
    <t>ATE000:oa_JF_World</t>
  </si>
  <si>
    <t>ATE000:oa_AviationGasol</t>
  </si>
  <si>
    <t xml:space="preserve">  Commercial Aviation Gasoline, U.S.</t>
  </si>
  <si>
    <t>ATE000:pa_JetFuelUS</t>
  </si>
  <si>
    <t xml:space="preserve">  Military Jet Fuel, U.S.</t>
  </si>
  <si>
    <t>For the U.S., the start year is 2020, as the first simulated year is 2021.</t>
  </si>
  <si>
    <t>2/ CAFE standard based on projected new vehicle sales.</t>
  </si>
  <si>
    <t>3/ Includes CAFE credits for alternative fueled vehicle sales and credit banking.</t>
  </si>
  <si>
    <t>5/ Tested new vehicle efficiency revised for on-road performance.</t>
  </si>
  <si>
    <t>6/ Combined "on-the-road" estimate for all cars and light trucks.</t>
  </si>
  <si>
    <t>CAFE = Corporate average fuel economy.</t>
  </si>
  <si>
    <t>Btu = British thermal unit.</t>
  </si>
  <si>
    <t>Note:  Totals may not equal sum of components due to independent rounding.</t>
  </si>
  <si>
    <t>TFV000</t>
  </si>
  <si>
    <t>46. Transportation Fleet Car and Truck Vehicle Miles Traveled by Type and Technology</t>
  </si>
  <si>
    <t>(billion miles)</t>
  </si>
  <si>
    <t xml:space="preserve"> Technology Type</t>
  </si>
  <si>
    <t>Cars 1/</t>
  </si>
  <si>
    <t xml:space="preserve"> Conventional Cars</t>
  </si>
  <si>
    <t>TFV000:ba_GasolineICEVe</t>
  </si>
  <si>
    <t>Gasoline ICE Vehicles</t>
  </si>
  <si>
    <t>TFV000:ba_TDIDieselICE</t>
  </si>
  <si>
    <t>TDI Diesel ICE</t>
  </si>
  <si>
    <t>--</t>
  </si>
  <si>
    <t>TFV000:ba_TotalConventi</t>
  </si>
  <si>
    <t xml:space="preserve"> Alternative-Fuel Cars</t>
  </si>
  <si>
    <t>TFV000:ca_Ethanol-FlexF</t>
  </si>
  <si>
    <t>Ethanol-Flex Fuel ICE</t>
  </si>
  <si>
    <t>TFV000:ca_100mileEV</t>
  </si>
  <si>
    <t>TFV000:ca_ElectricVehic</t>
  </si>
  <si>
    <t>TFV000:ea_FuelCellGasol</t>
  </si>
  <si>
    <t>TFV000:ca_Plug-inGasoli</t>
  </si>
  <si>
    <t>TFV000:ca_Plug-in40Hybd</t>
  </si>
  <si>
    <t>TFV000:ca_Electric-Dies</t>
  </si>
  <si>
    <t>Electric-Diesel Hybrid</t>
  </si>
  <si>
    <t>TFV000:ca_Electric-Gaso</t>
  </si>
  <si>
    <t>Electric-Gasoline Hybrid</t>
  </si>
  <si>
    <t>TFV000:ca_CompressedNat</t>
  </si>
  <si>
    <t>Natural Gas ICE</t>
  </si>
  <si>
    <t>TFV000:da_CompressedNat</t>
  </si>
  <si>
    <t>Natural Gas Bi-fuel</t>
  </si>
  <si>
    <t>TFV000:da_LiquefiedPetr</t>
  </si>
  <si>
    <t>Propane ICE</t>
  </si>
  <si>
    <t>TFV000:ea_LiquefiedPetr</t>
  </si>
  <si>
    <t>Propane Bi-fuel</t>
  </si>
  <si>
    <t>TFV000:ea_FuelCellMetha</t>
  </si>
  <si>
    <t>Fuel Cell Methanol</t>
  </si>
  <si>
    <t>TFV000:ea_FuelCellHydro</t>
  </si>
  <si>
    <t>Fuel Cell Hydrogen</t>
  </si>
  <si>
    <t>TFV000:ea_TotalAlternat</t>
  </si>
  <si>
    <t>TFV000:fa_TotalNewCarSa</t>
  </si>
  <si>
    <t xml:space="preserve"> Total Cars</t>
  </si>
  <si>
    <t>Light Trucks 1/</t>
  </si>
  <si>
    <t xml:space="preserve"> Conventional Light Trucks</t>
  </si>
  <si>
    <t>TFV000:ga_GasolineICEVe</t>
  </si>
  <si>
    <t>TFV000:ga_TDIDieselICE</t>
  </si>
  <si>
    <t>TFV000:ga_TotalConventi</t>
  </si>
  <si>
    <t xml:space="preserve"> Alternative-Fuel Light Trucks</t>
  </si>
  <si>
    <t>TFV000:ha_Ethanol-FlexF</t>
  </si>
  <si>
    <t>TFV000:ha_100mileEV</t>
  </si>
  <si>
    <t>TFV000:ha_ElectricVehic</t>
  </si>
  <si>
    <t>TFV000:ja_FuelCellGasol</t>
  </si>
  <si>
    <t>TFV000:ha_Plug-inGasoli</t>
  </si>
  <si>
    <t>TFV000:ha_Plug-in40Hybd</t>
  </si>
  <si>
    <t>TFV000:ha_Electric-Dies</t>
  </si>
  <si>
    <t>TFV000:ha_Electric-Gaso</t>
  </si>
  <si>
    <t>TFV000:ha_CompressedNat</t>
  </si>
  <si>
    <t>TFV000:ia_CompressedNat</t>
  </si>
  <si>
    <t>TFV000:ia_LiquefiedPetr</t>
  </si>
  <si>
    <t>TFV000:ja_LiquefiedPetr</t>
  </si>
  <si>
    <t>TFV000:ja_FuelCellMetha</t>
  </si>
  <si>
    <t>TFV000:ja_FuelCellHydro</t>
  </si>
  <si>
    <t>TFV000:ja_TotalAlternat</t>
  </si>
  <si>
    <t>TFV000:ka_TotalNewTruck</t>
  </si>
  <si>
    <t xml:space="preserve"> Total Light Trucks</t>
  </si>
  <si>
    <t>TFV000:la_TotalFleetVeh</t>
  </si>
  <si>
    <t>Total Fleet Vehicles</t>
  </si>
  <si>
    <t>Commercial Light Trucks 2/</t>
  </si>
  <si>
    <t>TFV000:clt_MotorGasICE</t>
  </si>
  <si>
    <t>TFV000:clt_DieselTDI</t>
  </si>
  <si>
    <t>TFV000:clt_Propane</t>
  </si>
  <si>
    <t>TFV000:clt_natgasgasgas</t>
  </si>
  <si>
    <t>TFV000:clt_ethanolflex</t>
  </si>
  <si>
    <t>TFV000:clt_electriclt</t>
  </si>
  <si>
    <t>TFV000:clt_plugingas</t>
  </si>
  <si>
    <t>TFV000:clt_plugindiesel</t>
  </si>
  <si>
    <t>TFV000:clt_fuelcellar</t>
  </si>
  <si>
    <t>TFV000:ma_CommercialLig</t>
  </si>
  <si>
    <t>Total Commercial Light Trucks</t>
  </si>
  <si>
    <t>1/ Includes all fleets of 10 or more.</t>
  </si>
  <si>
    <t>2/ Commercial trucks from 8,501 to 10,000 pounds.</t>
  </si>
  <si>
    <t>ICE = Internal combustion engine.</t>
  </si>
  <si>
    <t>- - = Not applicable.</t>
  </si>
  <si>
    <t xml:space="preserve"> United States</t>
  </si>
  <si>
    <t xml:space="preserve">  (converted to seats using an average weight of 200 pounds for each passenger, including luggage).</t>
  </si>
  <si>
    <t>FTE000</t>
  </si>
  <si>
    <t>49. Freight Transportation Energy Use</t>
  </si>
  <si>
    <t xml:space="preserve"> Technology and Fuel Type</t>
  </si>
  <si>
    <t>Freight Truck Stock by Size Class 1/</t>
  </si>
  <si>
    <t xml:space="preserve">  Vehicle Miles Traveled (billion miles)</t>
  </si>
  <si>
    <t>FTE000:lm_vmt_stk_Dies</t>
  </si>
  <si>
    <t>FTE000:lm_vmt_stk_Gas</t>
  </si>
  <si>
    <t>FTE000:lm_vmt_stk_Liq</t>
  </si>
  <si>
    <t>FTE000:lm_vmt_stk_NGas</t>
  </si>
  <si>
    <t>FTE000:lm_vmt_stk_eff</t>
  </si>
  <si>
    <t>FTE000:lm_vmt_stk_elec</t>
  </si>
  <si>
    <t>FTE000:lm_vmt_stk_pidh</t>
  </si>
  <si>
    <t>FTE000:lm_vmt_stk_pigh</t>
  </si>
  <si>
    <t>FTE000:lm_vmt_stk_cell</t>
  </si>
  <si>
    <t>FTE000:lm_vmt_stk_total</t>
  </si>
  <si>
    <t>FTE000:ca_Diesel</t>
  </si>
  <si>
    <t>FTE000:ca_Gasoline</t>
  </si>
  <si>
    <t>FTE000:ca_LiquefiedPetr</t>
  </si>
  <si>
    <t>FTE000:ca_CompressedNat</t>
  </si>
  <si>
    <t>FTE000:ca_ethanolflex</t>
  </si>
  <si>
    <t>FTE000:ca_electric</t>
  </si>
  <si>
    <t>FTE000:ca_plugindiesel</t>
  </si>
  <si>
    <t>FTE000:ca_plugingasolin</t>
  </si>
  <si>
    <t>FTE000:ca_fuelcell</t>
  </si>
  <si>
    <t>FTE000:ca_MediumSubtota</t>
  </si>
  <si>
    <t>FTE000:da_Diesel</t>
  </si>
  <si>
    <t>FTE000:da_Gasoline</t>
  </si>
  <si>
    <t>FTE000:da_LiquefiedPetr</t>
  </si>
  <si>
    <t>FTE000:da_CompressedNat</t>
  </si>
  <si>
    <t>FTE000:da_ethanolflex</t>
  </si>
  <si>
    <t>FTE000:da_electric</t>
  </si>
  <si>
    <t>FTE000:da_plugindiesel</t>
  </si>
  <si>
    <t>FTE000:da_plugingasolin</t>
  </si>
  <si>
    <t>FTE000:da_fuelcell</t>
  </si>
  <si>
    <t>FTE000:da_HeavySubtotal</t>
  </si>
  <si>
    <t>FTE000:da_TotalVehicleM</t>
  </si>
  <si>
    <t xml:space="preserve">  Total Vehicle Miles Traveled</t>
  </si>
  <si>
    <t xml:space="preserve">  Consumption (trillion Btu)</t>
  </si>
  <si>
    <t>FTE000:lm_use_stk_Dies</t>
  </si>
  <si>
    <t>FTE000:lm_use_stk_Gas</t>
  </si>
  <si>
    <t>FTE000:lm_use_stk_Liq</t>
  </si>
  <si>
    <t>FTE000:lm_use_stk_NGas</t>
  </si>
  <si>
    <t>FTE000:lm_use_stk_flex</t>
  </si>
  <si>
    <t>FTE000:lm_use_stk_elect</t>
  </si>
  <si>
    <t>FTE000:lm_use_stk_plugd</t>
  </si>
  <si>
    <t>FTE000:lm_use_stk_plugg</t>
  </si>
  <si>
    <t>FTE000:lm_use_stk_sell</t>
  </si>
  <si>
    <t>FTE000:lm_use_stk_total</t>
  </si>
  <si>
    <t>FTE000:ea_Diesel</t>
  </si>
  <si>
    <t>FTE000:ea_Gasoline</t>
  </si>
  <si>
    <t>FTE000:ea_LiquefiedPetr</t>
  </si>
  <si>
    <t>FTE000:ea_CompressedNat</t>
  </si>
  <si>
    <t>FTE000:ea_ethanolflex</t>
  </si>
  <si>
    <t>FTE000:ea_electric</t>
  </si>
  <si>
    <t>FTE000:ea_plugindiesel</t>
  </si>
  <si>
    <t>FTE000:ea_plugingasolin</t>
  </si>
  <si>
    <t>FTE000:ea_fuelcell</t>
  </si>
  <si>
    <t>FTE000:ea_MediumSubtota</t>
  </si>
  <si>
    <t>FTE000:fa_Diesel</t>
  </si>
  <si>
    <t>FTE000:fa_Gasoline</t>
  </si>
  <si>
    <t>FTE000:fa_LiquefiedPetr</t>
  </si>
  <si>
    <t>FTE000:fa_CompressedNat</t>
  </si>
  <si>
    <t>FTE000:fa_ethanolflex</t>
  </si>
  <si>
    <t>FTE000:fa_electric</t>
  </si>
  <si>
    <t>FTE000:fa_plugindiesel</t>
  </si>
  <si>
    <t>FTE000:fa_plugingasolin</t>
  </si>
  <si>
    <t>FTE000:fa_fuelcell</t>
  </si>
  <si>
    <t>FTE000:fa_HeavySubtotal</t>
  </si>
  <si>
    <t>FTE000:ga_Diesel</t>
  </si>
  <si>
    <t>FTE000:ga_Gasoline</t>
  </si>
  <si>
    <t>FTE000:ga_LiquefiedPetr</t>
  </si>
  <si>
    <t>FTE000:ga_CompressedNat</t>
  </si>
  <si>
    <t>FTE000:ga_ethanolflex</t>
  </si>
  <si>
    <t>FTE000:ga_electric</t>
  </si>
  <si>
    <t>FTE000:ga_plugindiesel</t>
  </si>
  <si>
    <t>FTE000:ga_plugingasolin</t>
  </si>
  <si>
    <t>FTE000:ga_fuelcell</t>
  </si>
  <si>
    <t>FTE000:ga_Total</t>
  </si>
  <si>
    <t xml:space="preserve">  Fuel Efficiency (miles per gallon)</t>
  </si>
  <si>
    <t>FTE000:lm_mpg_stk_Dies</t>
  </si>
  <si>
    <t>FTE000:lm_mpg_stk_Gas</t>
  </si>
  <si>
    <t>FTE000:lm_mpg_stk_Liq</t>
  </si>
  <si>
    <t>FTE000:lm_mpg_stk_NGas</t>
  </si>
  <si>
    <t>FTE000:lm_mpg_stk_fleck</t>
  </si>
  <si>
    <t>FTE000:lm_mpg_stk_eleck</t>
  </si>
  <si>
    <t>FTE000:lm_mpg_stk_diehy</t>
  </si>
  <si>
    <t>FTE000:lm_mpg_stk_gashy</t>
  </si>
  <si>
    <t>FTE000:lm_mpg_stk_cel</t>
  </si>
  <si>
    <t>FTE000:lm_mpg_stk_total</t>
  </si>
  <si>
    <t>FTE000:ha_Diesel</t>
  </si>
  <si>
    <t>FTE000:ha_Gasoline</t>
  </si>
  <si>
    <t>FTE000:ha_LiquefiedPetr</t>
  </si>
  <si>
    <t>FTE000:ha_CompressedNat</t>
  </si>
  <si>
    <t>FTE000:ha_ethanolflex</t>
  </si>
  <si>
    <t>FTE000:ha_electric</t>
  </si>
  <si>
    <t>FTE000:ha_plugindiesel</t>
  </si>
  <si>
    <t>FTE000:ha_plugingasolin</t>
  </si>
  <si>
    <t>FTE000:ha_fuelcell</t>
  </si>
  <si>
    <t>FTE000:ha_MediumAverage</t>
  </si>
  <si>
    <t>FTE000:ia_Diesel</t>
  </si>
  <si>
    <t>FTE000:ia_Gasoline</t>
  </si>
  <si>
    <t>FTE000:ia_LiquefiedPetr</t>
  </si>
  <si>
    <t>FTE000:ia_CompressedNat</t>
  </si>
  <si>
    <t>FTE000:ia_ethanolflex</t>
  </si>
  <si>
    <t>FTE000:ia_electric</t>
  </si>
  <si>
    <t>FTE000:ia_plugindiesel</t>
  </si>
  <si>
    <t>FTE000:ia_plugingasolin</t>
  </si>
  <si>
    <t>FTE000:ia_fuelcell</t>
  </si>
  <si>
    <t>FTE000:ia_HeavyAverage</t>
  </si>
  <si>
    <t>FTE000:ia_Average</t>
  </si>
  <si>
    <t xml:space="preserve">  Average Fuel Efficiency</t>
  </si>
  <si>
    <t xml:space="preserve">  Stock (millions)</t>
  </si>
  <si>
    <t>FTE000:lm_stk_stk_Dies</t>
  </si>
  <si>
    <t>FTE000:lm_stk_stk_Gas</t>
  </si>
  <si>
    <t>FTE000:lm_stk_stk_Liq</t>
  </si>
  <si>
    <t>FTE000:lm_stk_stk_NGas</t>
  </si>
  <si>
    <t>FTE000:lm_stk_stk_flux</t>
  </si>
  <si>
    <t>FTE000:lm_stk_stk_el</t>
  </si>
  <si>
    <t>FTE000:lm_stk_stk_inDie</t>
  </si>
  <si>
    <t>FTE000:lm_stk_stk_inGas</t>
  </si>
  <si>
    <t>FTE000:lm_stk_stk_FuelC</t>
  </si>
  <si>
    <t>FTE000:lm_stk_stk_total</t>
  </si>
  <si>
    <t>FTE000:ja_Diesel</t>
  </si>
  <si>
    <t>FTE000:ja_Gasoline</t>
  </si>
  <si>
    <t>FTE000:ja_LiquefiedPetr</t>
  </si>
  <si>
    <t>FTE000:ja_CompressedNat</t>
  </si>
  <si>
    <t>FTE000:ja_ethanolflex</t>
  </si>
  <si>
    <t>FTE000:ja_electric</t>
  </si>
  <si>
    <t>FTE000:ja_plugindiesel</t>
  </si>
  <si>
    <t>FTE000:ja_plugingasolin</t>
  </si>
  <si>
    <t>FTE000:ja_fuelcell</t>
  </si>
  <si>
    <t>FTE000:ja_MediumSubtota</t>
  </si>
  <si>
    <t>FTE000:ka_Diesel</t>
  </si>
  <si>
    <t>FTE000:ka_Gasoline</t>
  </si>
  <si>
    <t>FTE000:ka_LiquefiedPetr</t>
  </si>
  <si>
    <t>FTE000:ka_CompressedNat</t>
  </si>
  <si>
    <t>FTE000:ka_ethanolflex</t>
  </si>
  <si>
    <t>FTE000:ka_electric</t>
  </si>
  <si>
    <t>FTE000:ka_plugindiesel</t>
  </si>
  <si>
    <t>FTE000:ka_plugingasolin</t>
  </si>
  <si>
    <t>FTE000:ka_fuelcell</t>
  </si>
  <si>
    <t>FTE000:ka_HeavySubtotal</t>
  </si>
  <si>
    <t>FTE000:ka_TotalStock</t>
  </si>
  <si>
    <t xml:space="preserve">  Total Stock</t>
  </si>
  <si>
    <t>FTE000:lm_mpg_new_Dies</t>
  </si>
  <si>
    <t>FTE000:lm_mpg_new_Gas</t>
  </si>
  <si>
    <t>FTE000:lm_mpg_new_Liq</t>
  </si>
  <si>
    <t>FTE000:lm_mpg_new_NGas</t>
  </si>
  <si>
    <t>FTE000:lm_mpg_new_Ethfl</t>
  </si>
  <si>
    <t>FTE000:lm_mpg_new_lectr</t>
  </si>
  <si>
    <t>FTE000:lm_mpg_new_PlgDs</t>
  </si>
  <si>
    <t>FTE000:lm_mpg_new_PlgGs</t>
  </si>
  <si>
    <t>FTE000:lm_mpg_new_FuCel</t>
  </si>
  <si>
    <t>FTE000:lm_mpg_new_total</t>
  </si>
  <si>
    <t>FTE000:ma_Diesel</t>
  </si>
  <si>
    <t>FTE000:ma_Gasoline</t>
  </si>
  <si>
    <t>FTE000:ma_LiquefiedPetr</t>
  </si>
  <si>
    <t>FTE000:ma_CompressedNat</t>
  </si>
  <si>
    <t>FTE000:ma_ethanolflex</t>
  </si>
  <si>
    <t>FTE000:ma_electric</t>
  </si>
  <si>
    <t>FTE000:ma_plugindiesel</t>
  </si>
  <si>
    <t>FTE000:ma_plugingasolin</t>
  </si>
  <si>
    <t>FTE000:ma_fuelcell</t>
  </si>
  <si>
    <t>FTE000:ma_MediumAverage</t>
  </si>
  <si>
    <t>FTE000:na_Diesel</t>
  </si>
  <si>
    <t>FTE000:na_Gasoline</t>
  </si>
  <si>
    <t>FTE000:na_LiquefiedPetr</t>
  </si>
  <si>
    <t>FTE000:na_CompressedNat</t>
  </si>
  <si>
    <t>FTE000:na_ethanolflex</t>
  </si>
  <si>
    <t>FTE000:na_electric</t>
  </si>
  <si>
    <t>FTE000:na_plugindiesel</t>
  </si>
  <si>
    <t>FTE000:na_plugingasolin</t>
  </si>
  <si>
    <t>FTE000:na_fuelcell</t>
  </si>
  <si>
    <t>FTE000:na_HeavyAverage</t>
  </si>
  <si>
    <t>FTE000:na_Average</t>
  </si>
  <si>
    <t xml:space="preserve">  Sales (thousands)</t>
  </si>
  <si>
    <t>FTE000:lm_sal_new_Dies</t>
  </si>
  <si>
    <t>FTE000:lm_sal_new_Gas</t>
  </si>
  <si>
    <t>FTE000:lm_sal_new_Liq</t>
  </si>
  <si>
    <t>FTE000:lm_sal_new_NGas</t>
  </si>
  <si>
    <t>FTE000:lm_sal_new_flxfl</t>
  </si>
  <si>
    <t>FTE000:lm_sal_new_lctrc</t>
  </si>
  <si>
    <t>FTE000:lm_sal_new_PiDH</t>
  </si>
  <si>
    <t>FTE000:lm_sal_new_PiGH</t>
  </si>
  <si>
    <t>FTE000:lm_sal_new_FlCll</t>
  </si>
  <si>
    <t>FTE000:lm_sal_new_total</t>
  </si>
  <si>
    <t>FTE000:oa_Diesel</t>
  </si>
  <si>
    <t>FTE000:oa_Gasoline</t>
  </si>
  <si>
    <t>FTE000:oa_LiquefiedPetr</t>
  </si>
  <si>
    <t>FTE000:oa_CompressedNat</t>
  </si>
  <si>
    <t>FTE000:oa_ethanolflex</t>
  </si>
  <si>
    <t>FTE000:oa_electric</t>
  </si>
  <si>
    <t>FTE000:oa_plugindiesel</t>
  </si>
  <si>
    <t>FTE000:oa_plugingasolin</t>
  </si>
  <si>
    <t>FTE000:oa_fuelcell</t>
  </si>
  <si>
    <t>FTE000:oa_MediumSubtota</t>
  </si>
  <si>
    <t>FTE000:pa_Diesel</t>
  </si>
  <si>
    <t>FTE000:pa_Gasoline</t>
  </si>
  <si>
    <t>FTE000:pa_LiquefiedPetr</t>
  </si>
  <si>
    <t>FTE000:pa_CompressedNat</t>
  </si>
  <si>
    <t>FTE000:pa_ethanolflex</t>
  </si>
  <si>
    <t>FTE000:pa_electric</t>
  </si>
  <si>
    <t>FTE000:pa_plugindiesel</t>
  </si>
  <si>
    <t>FTE000:pa_plugingasolin</t>
  </si>
  <si>
    <t>FTE000:pa_fuelcell</t>
  </si>
  <si>
    <t>FTE000:pa_HeavySubtotal</t>
  </si>
  <si>
    <t>FTE000:pa_TotalSales</t>
  </si>
  <si>
    <t xml:space="preserve">  Total Sales</t>
  </si>
  <si>
    <t>FTE000:qa_TonMilesbyRai</t>
  </si>
  <si>
    <t xml:space="preserve"> Ton Miles by Rail (billion)</t>
  </si>
  <si>
    <t>FTE000:qa_FuelEfficienc</t>
  </si>
  <si>
    <t xml:space="preserve"> Fuel Efficiency (ton miles per thousand Btu)</t>
  </si>
  <si>
    <t xml:space="preserve"> Fuel Consumption (trillion Btu)</t>
  </si>
  <si>
    <t>FTE000:qa_Distillate(di</t>
  </si>
  <si>
    <t>FTE000:qa_ResidualOil</t>
  </si>
  <si>
    <t>FTE000:qa_Electricity</t>
  </si>
  <si>
    <t>FTE000:qa_ElEnGee</t>
  </si>
  <si>
    <t>FTE000:ra_TonMilesShipp</t>
  </si>
  <si>
    <t xml:space="preserve"> Ton Miles Shipping (billion)</t>
  </si>
  <si>
    <t>FTE000:ra_FuelEfficienc</t>
  </si>
  <si>
    <t>FTE000:ra_Distillate(di</t>
  </si>
  <si>
    <t>FTE000:ra_ResidualOil</t>
  </si>
  <si>
    <t>FTE000:ra_MotorGasoline</t>
  </si>
  <si>
    <t>FTE000:ra_ElEnGee</t>
  </si>
  <si>
    <t>FTE000:sa_GrossTrade(bi</t>
  </si>
  <si>
    <t xml:space="preserve"> Gross Trade (billion 2012 dollars)</t>
  </si>
  <si>
    <t>FTE000:sa_Exports(billi</t>
  </si>
  <si>
    <t xml:space="preserve"> Exports (billion 2012 dollars)</t>
  </si>
  <si>
    <t>FTE000:sa_Imports(billi</t>
  </si>
  <si>
    <t xml:space="preserve"> Imports (billion 2012 dollars)</t>
  </si>
  <si>
    <t>FTE000:sa_Distillate(di</t>
  </si>
  <si>
    <t>FTE000:sa_ResidualOil</t>
  </si>
  <si>
    <t>FTE000:sa_SeeEnGee</t>
  </si>
  <si>
    <t>FTE000:sa_ElEnGee</t>
  </si>
  <si>
    <t>1/ Light Medium, Medium, and Heavy contain Class 3, Classes 4-6, and Classes 7-8, respectively.</t>
  </si>
  <si>
    <t>MPG = Miles per gallon.</t>
  </si>
  <si>
    <t>Note:  Includes estimated consumption for petroleum and other liquids.  Totals may not equal sum of components due to independent rounding.</t>
  </si>
  <si>
    <t>ref2023.d020623a</t>
  </si>
  <si>
    <t>Annual Energy Outlook 2023</t>
  </si>
  <si>
    <t>ref2023</t>
  </si>
  <si>
    <t>Reference</t>
  </si>
  <si>
    <t>d020623a</t>
  </si>
  <si>
    <t xml:space="preserve"> March 2023</t>
  </si>
  <si>
    <t>Average</t>
  </si>
  <si>
    <t>Annual</t>
  </si>
  <si>
    <t>Change</t>
  </si>
  <si>
    <t>2022–2050</t>
  </si>
  <si>
    <t>TKI000:ia_liquefactexp</t>
  </si>
  <si>
    <t xml:space="preserve">   Natural Gas Liquefaction for Export 7/</t>
  </si>
  <si>
    <t>TKI000:da_liquefactexp</t>
  </si>
  <si>
    <t>1/ Commercial trucks have a 8,501 to 10,000 pound gross vehicle weight rating.</t>
  </si>
  <si>
    <t>4/ U.S. Environmental Protection Agency rated miles per gallon.</t>
  </si>
  <si>
    <t>7/ Fuel used in facilities that liquefy natural gas for export.</t>
  </si>
  <si>
    <t>Data source: 2022:  U.S. Energy Information Administration (EIA), Short-Term Energy Outlook, November 2022 and EIA, AEO2023</t>
  </si>
  <si>
    <t>AEO2023 National Energy Modeling System run ref2023.d020623a. Projections:  EIA, AEO2023 National Energy Modeling System run ref2023.d020623a.</t>
  </si>
  <si>
    <t>TSK000</t>
  </si>
  <si>
    <t>39. Light-Duty Vehicle Stock by Technology Type</t>
  </si>
  <si>
    <t>(millions)</t>
  </si>
  <si>
    <t>Car Stock 1/</t>
  </si>
  <si>
    <t>TSK000:ba_GasolineICEVe</t>
  </si>
  <si>
    <t xml:space="preserve">   Gasoline ICE Vehicles</t>
  </si>
  <si>
    <t>TSK000:ba_TDIDieselICE</t>
  </si>
  <si>
    <t xml:space="preserve">   TDI Diesel ICE</t>
  </si>
  <si>
    <t>TSK000:ba_TotalConventi</t>
  </si>
  <si>
    <t xml:space="preserve">     Total Conventional Cars</t>
  </si>
  <si>
    <t>TSK000:ca_Ethanol-FlexF</t>
  </si>
  <si>
    <t xml:space="preserve">   Ethanol-Flex Fuel ICE</t>
  </si>
  <si>
    <t>TSK000:ca_100mileEV</t>
  </si>
  <si>
    <t xml:space="preserve">   100-Mile Electric Vehicle</t>
  </si>
  <si>
    <t>TSK000:ca_ElectricVehic</t>
  </si>
  <si>
    <t xml:space="preserve">   200-Mile Electric Vehicle</t>
  </si>
  <si>
    <t>TSK000:ea_FuelCellGasol</t>
  </si>
  <si>
    <t xml:space="preserve">   300-Mile Electric Vehicle</t>
  </si>
  <si>
    <t>TSK000:ca_Plug-inGasoli</t>
  </si>
  <si>
    <t xml:space="preserve">   Plug-in 20 Gasoline Hybrid</t>
  </si>
  <si>
    <t>TSK000:ca_Plug-in40Hybd</t>
  </si>
  <si>
    <t xml:space="preserve">   Plug-in 50 Gasoline Hybrid</t>
  </si>
  <si>
    <t>TSK000:ca_Electric-Dies</t>
  </si>
  <si>
    <t xml:space="preserve">   Electric-Diesel Hybrid</t>
  </si>
  <si>
    <t>TSK000:ca_Electric-Gaso</t>
  </si>
  <si>
    <t xml:space="preserve">   Electric-Gasoline Hybrid</t>
  </si>
  <si>
    <t>TSK000:ca_CompressedNat</t>
  </si>
  <si>
    <t xml:space="preserve">   Natural Gas ICE</t>
  </si>
  <si>
    <t>TSK000:da_CompressedNat</t>
  </si>
  <si>
    <t xml:space="preserve">   Natural Gas Bi-fuel</t>
  </si>
  <si>
    <t>TSK000:da_LiquefiedPetr</t>
  </si>
  <si>
    <t xml:space="preserve">   Propane ICE</t>
  </si>
  <si>
    <t>TSK000:ea_LiquefiedPetr</t>
  </si>
  <si>
    <t xml:space="preserve">   Propane Bi-fuel</t>
  </si>
  <si>
    <t>TSK000:ea_FuelCellMetha</t>
  </si>
  <si>
    <t xml:space="preserve">   Fuel Cell Methanol</t>
  </si>
  <si>
    <t>TSK000:ea_FuelCellHydro</t>
  </si>
  <si>
    <t xml:space="preserve">   Fuel Cell Hydrogen</t>
  </si>
  <si>
    <t>TSK000:ea_TotalAlternat</t>
  </si>
  <si>
    <t xml:space="preserve">     Total Alternative Cars</t>
  </si>
  <si>
    <t>TSK000:fa_TotalNewCarSa</t>
  </si>
  <si>
    <t>Total Car Stock</t>
  </si>
  <si>
    <t>Light Truck Stock 1/</t>
  </si>
  <si>
    <t>TSK000:ga_GasolineICEVe</t>
  </si>
  <si>
    <t>TSK000:ga_TDIDieselICE</t>
  </si>
  <si>
    <t>TSK000:ga_TotalConventi</t>
  </si>
  <si>
    <t xml:space="preserve">     Total Conventional Light Trucks</t>
  </si>
  <si>
    <t>TSK000:ha_Ethanol-FlexF</t>
  </si>
  <si>
    <t>TSK000:ha_100mileEV</t>
  </si>
  <si>
    <t>TSK000:ha_ElectricVehic</t>
  </si>
  <si>
    <t>TSK000:ja_FuelCellGasol</t>
  </si>
  <si>
    <t>TSK000:ha_Plug-inGasoli</t>
  </si>
  <si>
    <t>TSK000:ha_Plug-in40Hybd</t>
  </si>
  <si>
    <t>TSK000:ha_Electric-Dies</t>
  </si>
  <si>
    <t>TSK000:ha_Electric-Gaso</t>
  </si>
  <si>
    <t>TSK000:ha_CompressedNat</t>
  </si>
  <si>
    <t>TSK000:ia_CompressedNat</t>
  </si>
  <si>
    <t>TSK000:ia_LiquefiedPetr</t>
  </si>
  <si>
    <t>TSK000:ja_LiquefiedPetr</t>
  </si>
  <si>
    <t>TSK000:ja_FuelCellMetha</t>
  </si>
  <si>
    <t>TSK000:ja_FuelCellHydro</t>
  </si>
  <si>
    <t>TSK000:ja_TotalAlternat</t>
  </si>
  <si>
    <t xml:space="preserve">     Total Alternative Light Trucks</t>
  </si>
  <si>
    <t>TSK000:ka_TotalNewTruck</t>
  </si>
  <si>
    <t>Total Light Truck Stock</t>
  </si>
  <si>
    <t>TSK000:la_TotalVehicleS</t>
  </si>
  <si>
    <t>Total Stock, Cars and Light Trucks</t>
  </si>
  <si>
    <t>TSK000:ta_ConventionGas</t>
  </si>
  <si>
    <t xml:space="preserve">   Conventional Gasoline</t>
  </si>
  <si>
    <t>TSK000:ta_TDIDiesel</t>
  </si>
  <si>
    <t xml:space="preserve">   TDI Diesel</t>
  </si>
  <si>
    <t>TSK000:ta_Flex-Fuel</t>
  </si>
  <si>
    <t xml:space="preserve">   Flex-Fuel</t>
  </si>
  <si>
    <t>TSK000:ta_PlugElectric</t>
  </si>
  <si>
    <t xml:space="preserve">   Electric</t>
  </si>
  <si>
    <t>TSK000:ta_PluginHybrid</t>
  </si>
  <si>
    <t xml:space="preserve">   Plug-in Electric Hybrid</t>
  </si>
  <si>
    <t>TSK000:ta_ElectricHybrd</t>
  </si>
  <si>
    <t xml:space="preserve">   Electric Hybrid</t>
  </si>
  <si>
    <t>TSK000:ta_GassyGaseous</t>
  </si>
  <si>
    <t xml:space="preserve">   Gaseous (Propane and Natural Gas)</t>
  </si>
  <si>
    <t>TSK000:ta_FuelCell</t>
  </si>
  <si>
    <t xml:space="preserve">   Fuel Cell</t>
  </si>
  <si>
    <t>1/ Includes personal and fleet vehicles.</t>
  </si>
  <si>
    <t>TDI = Turbocharged direct injection</t>
  </si>
  <si>
    <t>Data source: U.S. Energy Information Administration, AEO2023 National Energy Modeling System run ref2023.d020623a.</t>
  </si>
  <si>
    <t xml:space="preserve">   Motor Gasoline</t>
  </si>
  <si>
    <t xml:space="preserve">   Diesel</t>
  </si>
  <si>
    <t xml:space="preserve">   Propane</t>
  </si>
  <si>
    <t xml:space="preserve">   Compressed/Liquefied Natural Gas</t>
  </si>
  <si>
    <t xml:space="preserve">   Ethanol-Flex Fuel</t>
  </si>
  <si>
    <t xml:space="preserve">   Plug-in Gasoline Hybrid</t>
  </si>
  <si>
    <t xml:space="preserve">   Plug-in Diesel Hybrid</t>
  </si>
  <si>
    <t xml:space="preserve">      Total Commercial Light Trucks</t>
  </si>
  <si>
    <t>ATE000:loadfact-domesti</t>
  </si>
  <si>
    <t>ATE000:loadfact-interna</t>
  </si>
  <si>
    <t>ATE000:pop_JF_USA</t>
  </si>
  <si>
    <t>ATE000:pop_JF_CAN</t>
  </si>
  <si>
    <t>ATE000:pop_JF_MXC</t>
  </si>
  <si>
    <t xml:space="preserve">    Mexico and other OECD Americas</t>
  </si>
  <si>
    <t>ATE000:pop_JF_EUR</t>
  </si>
  <si>
    <t xml:space="preserve">    OECD Europe</t>
  </si>
  <si>
    <t>ATE000:pop_JF_JPN</t>
  </si>
  <si>
    <t xml:space="preserve">    Japan</t>
  </si>
  <si>
    <t>ATE000:pop_JF_ANZ</t>
  </si>
  <si>
    <t xml:space="preserve">    Australia and New Zealand</t>
  </si>
  <si>
    <t>ATE000:pop_JF_SKO</t>
  </si>
  <si>
    <t xml:space="preserve">    South Korea</t>
  </si>
  <si>
    <t>ATE000:pop_JF_RUS</t>
  </si>
  <si>
    <t xml:space="preserve">    Russia</t>
  </si>
  <si>
    <t>ATE000:pop_JF_URA</t>
  </si>
  <si>
    <t xml:space="preserve">    Other Europe and Eurasia</t>
  </si>
  <si>
    <t>ATE000:pop_JF_CHI</t>
  </si>
  <si>
    <t>ATE000:pop_JF_IND</t>
  </si>
  <si>
    <t xml:space="preserve">    India</t>
  </si>
  <si>
    <t>ATE000:pop_JF_OAS</t>
  </si>
  <si>
    <t xml:space="preserve">    Other Non-OECD Asia</t>
  </si>
  <si>
    <t>ATE000:pop_JF_MID</t>
  </si>
  <si>
    <t xml:space="preserve">    Middle East</t>
  </si>
  <si>
    <t>ATE000:pop_JF_AFR</t>
  </si>
  <si>
    <t>ATE000:pop_JF_BRZ</t>
  </si>
  <si>
    <t xml:space="preserve">    Brazil</t>
  </si>
  <si>
    <t>ATE000:pop_JF_CSA</t>
  </si>
  <si>
    <t xml:space="preserve">    Other Non-OECD Americas</t>
  </si>
  <si>
    <t xml:space="preserve">    Domestic 1/</t>
  </si>
  <si>
    <t>ATE000:rpm_dom_USA</t>
  </si>
  <si>
    <t>ATE000:rpm_dom_CAN</t>
  </si>
  <si>
    <t>ATE000:rpm_dom_MXC</t>
  </si>
  <si>
    <t xml:space="preserve">      Mexico and other OECD Americas</t>
  </si>
  <si>
    <t>ATE000:rpm_dom_EUR</t>
  </si>
  <si>
    <t xml:space="preserve">      OECD Europe</t>
  </si>
  <si>
    <t>ATE000:rpm_dom_JPN</t>
  </si>
  <si>
    <t xml:space="preserve">      Japan</t>
  </si>
  <si>
    <t>ATE000:rpm_dom_ANZ</t>
  </si>
  <si>
    <t xml:space="preserve">      Australia and New Zealand</t>
  </si>
  <si>
    <t>ATE000:rpm_dom_SKO</t>
  </si>
  <si>
    <t xml:space="preserve">      South Korea</t>
  </si>
  <si>
    <t>ATE000:rpm_dom_RUS</t>
  </si>
  <si>
    <t xml:space="preserve">      Russia</t>
  </si>
  <si>
    <t>ATE000:rpm_dom_URA</t>
  </si>
  <si>
    <t xml:space="preserve">      Other Europe and Eurasia</t>
  </si>
  <si>
    <t>ATE000:rpm_dom_CHI</t>
  </si>
  <si>
    <t>ATE000:rpm_dom_IND</t>
  </si>
  <si>
    <t xml:space="preserve">      India</t>
  </si>
  <si>
    <t>ATE000:rpm_dom_OAS</t>
  </si>
  <si>
    <t xml:space="preserve">      Other Non-OECD Asia</t>
  </si>
  <si>
    <t>ATE000:rpm_dom_MID</t>
  </si>
  <si>
    <t xml:space="preserve">      Middle East</t>
  </si>
  <si>
    <t>ATE000:rpm_dom_AFR</t>
  </si>
  <si>
    <t>ATE000:rpm_dom_BRZ</t>
  </si>
  <si>
    <t xml:space="preserve">      Brazil</t>
  </si>
  <si>
    <t>ATE000:rpm_dom_CSA</t>
  </si>
  <si>
    <t xml:space="preserve">      Other Non-OECD Americas</t>
  </si>
  <si>
    <t>ATE000:rpm_dom_world</t>
  </si>
  <si>
    <t xml:space="preserve">        Total World Domestic</t>
  </si>
  <si>
    <t xml:space="preserve">    International 1/</t>
  </si>
  <si>
    <t>ATE000:rpm_int_USA</t>
  </si>
  <si>
    <t>ATE000:rpm_int_CAN</t>
  </si>
  <si>
    <t>ATE000:rpm_int_MXC</t>
  </si>
  <si>
    <t>ATE000:rpm_int_EUR</t>
  </si>
  <si>
    <t>ATE000:rpm_int_JPN</t>
  </si>
  <si>
    <t>ATE000:rpm_int_ANZ</t>
  </si>
  <si>
    <t>ATE000:rpm_int_SKO</t>
  </si>
  <si>
    <t>ATE000:rpm_int_RUS</t>
  </si>
  <si>
    <t>ATE000:rpm_int_URA</t>
  </si>
  <si>
    <t>ATE000:rpm_int_CHI</t>
  </si>
  <si>
    <t>ATE000:rpm_int_IND</t>
  </si>
  <si>
    <t>ATE000:rpm_int_OAS</t>
  </si>
  <si>
    <t>ATE000:rpm_int_MID</t>
  </si>
  <si>
    <t>ATE000:rpm_int_AFR</t>
  </si>
  <si>
    <t>ATE000:rpm_int_BRZ</t>
  </si>
  <si>
    <t>ATE000:rpm_int_CSA</t>
  </si>
  <si>
    <t>ATE000:rpm_int_world</t>
  </si>
  <si>
    <t xml:space="preserve">        Total World International</t>
  </si>
  <si>
    <t>ATE000:rpm_world</t>
  </si>
  <si>
    <t xml:space="preserve">  Freight Revenue Ton Miles (billion miles) 2/</t>
  </si>
  <si>
    <t>ATE000:ftm_total_USA</t>
  </si>
  <si>
    <t>ATE000:ftm_total_CAN</t>
  </si>
  <si>
    <t>ATE000:ftm_total_MXC</t>
  </si>
  <si>
    <t>ATE000:ftm_total_EUR</t>
  </si>
  <si>
    <t>ATE000:ftm_total_JPN</t>
  </si>
  <si>
    <t>ATE000:ftm_total_ANZ</t>
  </si>
  <si>
    <t>ATE000:ftm_total_SKO</t>
  </si>
  <si>
    <t>ATE000:ftm_total_RUS</t>
  </si>
  <si>
    <t>ATE000:ftm_total_URA</t>
  </si>
  <si>
    <t>ATE000:ftm_total_CHI</t>
  </si>
  <si>
    <t>ATE000:ftm_total_IND</t>
  </si>
  <si>
    <t>ATE000:ftm_total_OAS</t>
  </si>
  <si>
    <t>ATE000:ftm_total_MID</t>
  </si>
  <si>
    <t>ATE000:ftm_total_AFR</t>
  </si>
  <si>
    <t>ATE000:ftm_total_BRZ</t>
  </si>
  <si>
    <t>ATE000:ftm_total_CSA</t>
  </si>
  <si>
    <t>ATE000:ftm_dom_world</t>
  </si>
  <si>
    <t xml:space="preserve">      Total World Domestic</t>
  </si>
  <si>
    <t>ATE000:ftm_int_world</t>
  </si>
  <si>
    <t xml:space="preserve">      Total World International</t>
  </si>
  <si>
    <t>ATE000:ftm_total_world</t>
  </si>
  <si>
    <t>ATE000:fa_USATotal</t>
  </si>
  <si>
    <t>ATE000:fa_USANarrowBody</t>
  </si>
  <si>
    <t>ATE000:fa_USAWideBody</t>
  </si>
  <si>
    <t>ATE000:fa_USARegional</t>
  </si>
  <si>
    <t>ATE000:fa_CANTotal</t>
  </si>
  <si>
    <t>ATE000:fa_CANNarrowBody</t>
  </si>
  <si>
    <t>ATE000:fa_CANWideBody</t>
  </si>
  <si>
    <t>ATE000:fa_CANRegional</t>
  </si>
  <si>
    <t>ATE000:fa_MXC</t>
  </si>
  <si>
    <t xml:space="preserve">  Mexico and other OECD Americas</t>
  </si>
  <si>
    <t>ATE000:fa_MXCNarrowBody</t>
  </si>
  <si>
    <t>ATE000:fa_MXCWideBody</t>
  </si>
  <si>
    <t>ATE000:fa_MXCRegional</t>
  </si>
  <si>
    <t>ATE000:fa_EUR</t>
  </si>
  <si>
    <t xml:space="preserve">  OECD Europe</t>
  </si>
  <si>
    <t>ATE000:fa_EURNarrowBody</t>
  </si>
  <si>
    <t>ATE000:fa_EURWideBody</t>
  </si>
  <si>
    <t>ATE000:fa_EURRegional</t>
  </si>
  <si>
    <t>ATE000:fa_JPN</t>
  </si>
  <si>
    <t xml:space="preserve">  Japan</t>
  </si>
  <si>
    <t>ATE000:fa_JPNNarrowBody</t>
  </si>
  <si>
    <t>ATE000:fa_JPNWideBody</t>
  </si>
  <si>
    <t>ATE000:fa_JPNRegional</t>
  </si>
  <si>
    <t>ATE000:fa_ANZ</t>
  </si>
  <si>
    <t xml:space="preserve">  Australia and New Zealand</t>
  </si>
  <si>
    <t>ATE000:fa_ANZNarrowBody</t>
  </si>
  <si>
    <t>ATE000:fa_ANZWideBody</t>
  </si>
  <si>
    <t>ATE000:fa_ANZRegional</t>
  </si>
  <si>
    <t>ATE000:fa_SKO</t>
  </si>
  <si>
    <t xml:space="preserve">  South Korea</t>
  </si>
  <si>
    <t>ATE000:fa_SKONarrowBody</t>
  </si>
  <si>
    <t>ATE000:fa_SKOWideBody</t>
  </si>
  <si>
    <t>ATE000:fa_SKORegional</t>
  </si>
  <si>
    <t>ATE000:fa_RUS</t>
  </si>
  <si>
    <t xml:space="preserve">  Russia</t>
  </si>
  <si>
    <t>ATE000:fa_RUSNarrowBody</t>
  </si>
  <si>
    <t>ATE000:fa_RUSWideBody</t>
  </si>
  <si>
    <t>ATE000:fa_RUSRegional</t>
  </si>
  <si>
    <t>ATE000:fa_URA</t>
  </si>
  <si>
    <t xml:space="preserve">  Other Europe and Eurasia</t>
  </si>
  <si>
    <t>ATE000:fa_URANarrowBody</t>
  </si>
  <si>
    <t>ATE000:fa_URAWideBody</t>
  </si>
  <si>
    <t>ATE000:fa_URARegional</t>
  </si>
  <si>
    <t>ATE000:fa_CHI</t>
  </si>
  <si>
    <t>ATE000:fa_CHINarrowBody</t>
  </si>
  <si>
    <t>ATE000:fa_CHIWideBody</t>
  </si>
  <si>
    <t>ATE000:fa_CHIRegional</t>
  </si>
  <si>
    <t>ATE000:fa_IND</t>
  </si>
  <si>
    <t xml:space="preserve">  India</t>
  </si>
  <si>
    <t>ATE000:fa_INDNarrowBody</t>
  </si>
  <si>
    <t>ATE000:fa_INDWideBody</t>
  </si>
  <si>
    <t>ATE000:fa_INDRegional</t>
  </si>
  <si>
    <t>ATE000:fa_OAS</t>
  </si>
  <si>
    <t xml:space="preserve">  Other Non-OECD Asia</t>
  </si>
  <si>
    <t>ATE000:fa_OASNarrowBody</t>
  </si>
  <si>
    <t>ATE000:fa_OASWideBody</t>
  </si>
  <si>
    <t>ATE000:fa_OASRegional</t>
  </si>
  <si>
    <t>ATE000:fa_MID</t>
  </si>
  <si>
    <t xml:space="preserve">  Middle East</t>
  </si>
  <si>
    <t>ATE000:fa_MIDNarrowBody</t>
  </si>
  <si>
    <t>ATE000:fa_MIDWideBody</t>
  </si>
  <si>
    <t>ATE000:fa_MIDRegional</t>
  </si>
  <si>
    <t>ATE000:fa_AFR</t>
  </si>
  <si>
    <t>ATE000:fa_AFRNarrowBody</t>
  </si>
  <si>
    <t>ATE000:fa_AFRWideBody</t>
  </si>
  <si>
    <t>ATE000:fa_AFRRegional</t>
  </si>
  <si>
    <t>ATE000:fa_BRZ</t>
  </si>
  <si>
    <t xml:space="preserve">  Brazil</t>
  </si>
  <si>
    <t>ATE000:fa_BRZNarrowBody</t>
  </si>
  <si>
    <t>ATE000:fa_BRZWideBody</t>
  </si>
  <si>
    <t>ATE000:fa_BRZRegional</t>
  </si>
  <si>
    <t>ATE000:fa_CSA</t>
  </si>
  <si>
    <t xml:space="preserve">  Other Non-OECD Americas</t>
  </si>
  <si>
    <t>ATE000:fa_CSANarrowBody</t>
  </si>
  <si>
    <t>ATE000:fa_CSAWideBody</t>
  </si>
  <si>
    <t>ATE000:fa_CSARegional</t>
  </si>
  <si>
    <t>ATE000:fa_NBTotal</t>
  </si>
  <si>
    <t xml:space="preserve">  Total Narrow Body</t>
  </si>
  <si>
    <t>ATE000:fa_WBTotal</t>
  </si>
  <si>
    <t xml:space="preserve">  Total Wide Body</t>
  </si>
  <si>
    <t>ATE000:fa_RJTotal</t>
  </si>
  <si>
    <t xml:space="preserve">  Total Regional Jet</t>
  </si>
  <si>
    <t xml:space="preserve">  Total World</t>
  </si>
  <si>
    <t>Aircraft Deliveries</t>
  </si>
  <si>
    <t>ATE000:sal_USATotal</t>
  </si>
  <si>
    <t>ATE000:sal_USANarrowBod</t>
  </si>
  <si>
    <t>ATE000:sal_USAWideBody</t>
  </si>
  <si>
    <t>ATE000:sal_USARegional</t>
  </si>
  <si>
    <t>ATE000:sal_CANTotal</t>
  </si>
  <si>
    <t>ATE000:sal_CANNarrowBod</t>
  </si>
  <si>
    <t>ATE000:sal_CANWideBody</t>
  </si>
  <si>
    <t>ATE000:sal_CANRegional</t>
  </si>
  <si>
    <t>ATE000:sal_MXC</t>
  </si>
  <si>
    <t>ATE000:sal_MXCNarrowBod</t>
  </si>
  <si>
    <t>ATE000:sal_MXCWideBody</t>
  </si>
  <si>
    <t>ATE000:sal_MXCRegional</t>
  </si>
  <si>
    <t>ATE000:sal_EUR</t>
  </si>
  <si>
    <t>ATE000:sal_EURNarrowBod</t>
  </si>
  <si>
    <t>ATE000:sal_EURWideBody</t>
  </si>
  <si>
    <t>ATE000:sal_EURRegional</t>
  </si>
  <si>
    <t>ATE000:sal_JPN</t>
  </si>
  <si>
    <t>ATE000:sal_JPNNarrowBod</t>
  </si>
  <si>
    <t>ATE000:sal_JPNWideBody</t>
  </si>
  <si>
    <t>ATE000:sal_JPNRegional</t>
  </si>
  <si>
    <t>ATE000:sal_ANZ</t>
  </si>
  <si>
    <t>ATE000:sal_ANZNarrowBod</t>
  </si>
  <si>
    <t>ATE000:sal_ANZWideBody</t>
  </si>
  <si>
    <t>ATE000:sal_ANZRegional</t>
  </si>
  <si>
    <t>ATE000:sal_SKO</t>
  </si>
  <si>
    <t>ATE000:sal_SKONarrowBod</t>
  </si>
  <si>
    <t>ATE000:sal_SKOWideBody</t>
  </si>
  <si>
    <t>ATE000:sal_SKORegional</t>
  </si>
  <si>
    <t>ATE000:sal_RUS</t>
  </si>
  <si>
    <t>ATE000:sal_RUSNarrowBod</t>
  </si>
  <si>
    <t>ATE000:sal_RUSWideBody</t>
  </si>
  <si>
    <t>ATE000:sal_RUSRegional</t>
  </si>
  <si>
    <t>ATE000:sal_URA</t>
  </si>
  <si>
    <t>ATE000:sal_URANarrowBod</t>
  </si>
  <si>
    <t>ATE000:sal_URAWideBody</t>
  </si>
  <si>
    <t>ATE000:sal_URARegional</t>
  </si>
  <si>
    <t>ATE000:sal_CHI</t>
  </si>
  <si>
    <t>ATE000:sal_CHINarrowBod</t>
  </si>
  <si>
    <t>ATE000:sal_CHIWideBody</t>
  </si>
  <si>
    <t>ATE000:sal_CHIRegional</t>
  </si>
  <si>
    <t>ATE000:sal_IND</t>
  </si>
  <si>
    <t>ATE000:sal_INDNarrowBod</t>
  </si>
  <si>
    <t>ATE000:sal_INDWideBody</t>
  </si>
  <si>
    <t>ATE000:sal_INDRegional</t>
  </si>
  <si>
    <t>ATE000:sal_OAS</t>
  </si>
  <si>
    <t>ATE000:sal_OASNarrowBod</t>
  </si>
  <si>
    <t>ATE000:sal_OASWideBody</t>
  </si>
  <si>
    <t>ATE000:sal_OASRegional</t>
  </si>
  <si>
    <t>ATE000:sal_MID</t>
  </si>
  <si>
    <t>ATE000:sal_MIDNarrowBod</t>
  </si>
  <si>
    <t>ATE000:sal_MIDWideBody</t>
  </si>
  <si>
    <t>ATE000:sal_MIDRegional</t>
  </si>
  <si>
    <t>ATE000:sal_AFR</t>
  </si>
  <si>
    <t>ATE000:sal_AFRNarrowBod</t>
  </si>
  <si>
    <t>ATE000:sal_AFRWideBody</t>
  </si>
  <si>
    <t>ATE000:sal_AFRRegional</t>
  </si>
  <si>
    <t>ATE000:sal_BRZ</t>
  </si>
  <si>
    <t>ATE000:sal_BRZNarrowBod</t>
  </si>
  <si>
    <t>ATE000:sal_BRZWideBody</t>
  </si>
  <si>
    <t>ATE000:sal_BRZRegional</t>
  </si>
  <si>
    <t>ATE000:sal_CSA</t>
  </si>
  <si>
    <t>ATE000:sal_CSANarrowBod</t>
  </si>
  <si>
    <t>ATE000:sal_CSAWideBody</t>
  </si>
  <si>
    <t>ATE000:sal_CSARegional</t>
  </si>
  <si>
    <t>ATE000:sal_NBTotal</t>
  </si>
  <si>
    <t>ATE000:sal_WBTotal</t>
  </si>
  <si>
    <t>ATE000:sal_RJTotal</t>
  </si>
  <si>
    <t>Aircraft Efficiency (seat miles per gallon) 3/</t>
  </si>
  <si>
    <t>ATE000:oa_JF_USA</t>
  </si>
  <si>
    <t>ATE000:oa_JF_CAN</t>
  </si>
  <si>
    <t>ATE000:oa_JF_MXC</t>
  </si>
  <si>
    <t>ATE000:oa_JF_EUR</t>
  </si>
  <si>
    <t>ATE000:oa_JF_JPN</t>
  </si>
  <si>
    <t>ATE000:oa_JF_ANZ</t>
  </si>
  <si>
    <t>ATE000:oa_JF_SKO</t>
  </si>
  <si>
    <t>ATE000:oa_JF_RUS</t>
  </si>
  <si>
    <t>ATE000:oa_JF_URA</t>
  </si>
  <si>
    <t>ATE000:oa_JF_CHI</t>
  </si>
  <si>
    <t>ATE000:oa_JF_IND</t>
  </si>
  <si>
    <t>ATE000:oa_JF_OAS</t>
  </si>
  <si>
    <t>ATE000:oa_JF_MID</t>
  </si>
  <si>
    <t>ATE000:oa_JF_AFR</t>
  </si>
  <si>
    <t>ATE000:oa_JF_BRZ</t>
  </si>
  <si>
    <t>ATE000:oa_JF_CSA</t>
  </si>
  <si>
    <t>1/ Domestic and International represent intra-and inter-region, respectively.</t>
  </si>
  <si>
    <t>2/ Includes freight carried by passenger aircraft (belly freight) and dedicated freighter aircraft.</t>
  </si>
  <si>
    <t>3/ Efficiency values are representative of global passenger aircraft deliveries and stock and include belly freight</t>
  </si>
  <si>
    <t>National Energy Modeling System run ref2023.d020623a.  Projections:  EIA AEO2023 National Energy Modeling System run ref2023.d020623a.</t>
  </si>
  <si>
    <t xml:space="preserve">    Light Medium</t>
  </si>
  <si>
    <t xml:space="preserve">      Diesel</t>
  </si>
  <si>
    <t xml:space="preserve">      Motor Gasoline</t>
  </si>
  <si>
    <t xml:space="preserve">      Propane</t>
  </si>
  <si>
    <t xml:space="preserve">      Compressed/Liquefied Natural Gas</t>
  </si>
  <si>
    <t xml:space="preserve">      Ethanol-Flex Fuel</t>
  </si>
  <si>
    <t xml:space="preserve">      Electric</t>
  </si>
  <si>
    <t xml:space="preserve">      Plug-in Diesel Hybrid</t>
  </si>
  <si>
    <t xml:space="preserve">      Plug-in Gasoline Hybrid</t>
  </si>
  <si>
    <t xml:space="preserve">      Fuel Cell</t>
  </si>
  <si>
    <t xml:space="preserve">        Light Medium Subtotal</t>
  </si>
  <si>
    <t xml:space="preserve">    Medium</t>
  </si>
  <si>
    <t xml:space="preserve">        Medium Subtotal</t>
  </si>
  <si>
    <t xml:space="preserve">    Heavy</t>
  </si>
  <si>
    <t xml:space="preserve">        Heavy Subtotal</t>
  </si>
  <si>
    <t xml:space="preserve">    Light Medium, Medium, and Heavy Total</t>
  </si>
  <si>
    <t xml:space="preserve">        Total Consumption</t>
  </si>
  <si>
    <t xml:space="preserve">        Light Medium Average</t>
  </si>
  <si>
    <t xml:space="preserve">        Medium Average</t>
  </si>
  <si>
    <t xml:space="preserve">        Heavy Average</t>
  </si>
  <si>
    <t xml:space="preserve">   Distillate Fuel Oil (diesel)</t>
  </si>
  <si>
    <t xml:space="preserve">   Residual Fuel Oil</t>
  </si>
  <si>
    <t xml:space="preserve">   Compressed Natural Gas</t>
  </si>
  <si>
    <t xml:space="preserve">   Liquefied Natural Gas</t>
  </si>
  <si>
    <t>Data source: 2022:  U.S. Energy Information Administration (EIA),</t>
  </si>
  <si>
    <t>Short-Term Energy Outlook, November 2022, and EIA, AEO2023 National Energy Modeling System run ref2023.d020623a.</t>
  </si>
  <si>
    <t>Projections:  EIA, AEO2023 National Energy Modeling System run ref2023.d020623a.</t>
  </si>
  <si>
    <r>
      <t>Table 1-11:</t>
    </r>
    <r>
      <rPr>
        <b/>
        <sz val="14"/>
        <rFont val="Arial"/>
        <family val="2"/>
      </rPr>
      <t xml:space="preserve"> </t>
    </r>
    <r>
      <rPr>
        <b/>
        <sz val="12"/>
        <rFont val="Arial"/>
        <family val="2"/>
      </rPr>
      <t>Number of U.S. Aircraft, Vehicles, Vessels, and Other Conveyances</t>
    </r>
  </si>
  <si>
    <r>
      <t>Air carrier</t>
    </r>
    <r>
      <rPr>
        <vertAlign val="superscript"/>
        <sz val="11"/>
        <rFont val="Arial Narrow"/>
        <family val="2"/>
      </rPr>
      <t>a</t>
    </r>
  </si>
  <si>
    <r>
      <t>General aviation</t>
    </r>
    <r>
      <rPr>
        <vertAlign val="superscript"/>
        <sz val="11"/>
        <rFont val="Arial Narrow"/>
        <family val="2"/>
      </rPr>
      <t xml:space="preserve">b </t>
    </r>
    <r>
      <rPr>
        <sz val="11"/>
        <rFont val="Arial Narrow"/>
        <family val="2"/>
      </rPr>
      <t>(active fleet)</t>
    </r>
  </si>
  <si>
    <t>Highway, total (registered vehicles)</t>
  </si>
  <si>
    <r>
      <t>Light duty vehicle, short wheel base</t>
    </r>
    <r>
      <rPr>
        <vertAlign val="superscript"/>
        <sz val="11"/>
        <rFont val="Arial Narrow"/>
        <family val="2"/>
      </rPr>
      <t>c,d</t>
    </r>
  </si>
  <si>
    <r>
      <t>Motorcycle</t>
    </r>
    <r>
      <rPr>
        <vertAlign val="superscript"/>
        <sz val="11"/>
        <rFont val="Arial Narrow"/>
        <family val="2"/>
      </rPr>
      <t>d</t>
    </r>
  </si>
  <si>
    <r>
      <t>Light duty vehicle, long wheel base</t>
    </r>
    <r>
      <rPr>
        <vertAlign val="superscript"/>
        <sz val="11"/>
        <rFont val="Arial Narrow"/>
        <family val="2"/>
      </rPr>
      <t>c</t>
    </r>
  </si>
  <si>
    <r>
      <t>Truck, single-unit 2-axle 6-tire or more</t>
    </r>
    <r>
      <rPr>
        <vertAlign val="superscript"/>
        <sz val="11"/>
        <rFont val="Arial Narrow"/>
        <family val="2"/>
      </rPr>
      <t>f</t>
    </r>
  </si>
  <si>
    <r>
      <t>Truck, combination</t>
    </r>
    <r>
      <rPr>
        <vertAlign val="superscript"/>
        <sz val="11"/>
        <rFont val="Arial Narrow"/>
        <family val="2"/>
      </rPr>
      <t>e,f</t>
    </r>
  </si>
  <si>
    <t>Bus</t>
  </si>
  <si>
    <r>
      <t>Transit</t>
    </r>
    <r>
      <rPr>
        <b/>
        <vertAlign val="superscript"/>
        <sz val="11"/>
        <rFont val="Arial Narrow"/>
        <family val="2"/>
      </rPr>
      <t>g</t>
    </r>
  </si>
  <si>
    <r>
      <t>Motor bus</t>
    </r>
    <r>
      <rPr>
        <vertAlign val="superscript"/>
        <sz val="11"/>
        <rFont val="Arial Narrow"/>
        <family val="2"/>
      </rPr>
      <t>h</t>
    </r>
  </si>
  <si>
    <r>
      <t>Light rail cars</t>
    </r>
    <r>
      <rPr>
        <vertAlign val="superscript"/>
        <sz val="11"/>
        <rFont val="Arial Narrow"/>
        <family val="2"/>
      </rPr>
      <t>i</t>
    </r>
  </si>
  <si>
    <t>Heavy rail cars</t>
  </si>
  <si>
    <t>Trolley bus</t>
  </si>
  <si>
    <t>Commuter rail cars and locomotives</t>
  </si>
  <si>
    <t>Demand responsive</t>
  </si>
  <si>
    <r>
      <t>Other</t>
    </r>
    <r>
      <rPr>
        <vertAlign val="superscript"/>
        <sz val="11"/>
        <rFont val="Arial Narrow"/>
        <family val="2"/>
      </rPr>
      <t>j</t>
    </r>
  </si>
  <si>
    <t>Class I, freight cars</t>
  </si>
  <si>
    <t>Class I, locomotive</t>
  </si>
  <si>
    <t>Nonclass I freight cars</t>
  </si>
  <si>
    <t>Car companies and shippers freight cars</t>
  </si>
  <si>
    <t>Amtrak, passenger train car</t>
  </si>
  <si>
    <t>Amtrak, locomotive</t>
  </si>
  <si>
    <t xml:space="preserve">Water </t>
  </si>
  <si>
    <r>
      <t>Nonself-propelled vessels</t>
    </r>
    <r>
      <rPr>
        <vertAlign val="superscript"/>
        <sz val="11"/>
        <rFont val="Arial Narrow"/>
        <family val="2"/>
      </rPr>
      <t>k,l</t>
    </r>
  </si>
  <si>
    <r>
      <t>Self-propelled vessels</t>
    </r>
    <r>
      <rPr>
        <vertAlign val="superscript"/>
        <sz val="11"/>
        <rFont val="Arial Narrow"/>
        <family val="2"/>
      </rPr>
      <t>m,o</t>
    </r>
  </si>
  <si>
    <r>
      <t>Oceangoing self-propelled vessels (1,000 gross tons and over)</t>
    </r>
    <r>
      <rPr>
        <vertAlign val="superscript"/>
        <sz val="11"/>
        <rFont val="Arial Narrow"/>
        <family val="2"/>
      </rPr>
      <t>n,p</t>
    </r>
  </si>
  <si>
    <r>
      <t>Recreational boats</t>
    </r>
    <r>
      <rPr>
        <vertAlign val="superscript"/>
        <sz val="11"/>
        <rFont val="Arial Narrow"/>
        <family val="2"/>
      </rPr>
      <t>o</t>
    </r>
  </si>
  <si>
    <r>
      <t>a</t>
    </r>
    <r>
      <rPr>
        <sz val="9"/>
        <rFont val="Arial"/>
        <family val="2"/>
      </rPr>
      <t xml:space="preserve"> </t>
    </r>
    <r>
      <rPr>
        <i/>
        <sz val="9"/>
        <rFont val="Arial"/>
        <family val="2"/>
      </rPr>
      <t xml:space="preserve">Air carrier </t>
    </r>
    <r>
      <rPr>
        <sz val="9"/>
        <rFont val="Arial"/>
        <family val="2"/>
      </rPr>
      <t>aircraft are those carrying passengers or cargo for hire under 14 CFR 121 and 14 CFR 135. Beginning in 1990, the number of aircraft is the monthly average of the number of aircraft reported in use for the last three months of the year. Prior to 1990, it was the number of aircraft reported in use during December of a given year.</t>
    </r>
  </si>
  <si>
    <r>
      <t>b</t>
    </r>
    <r>
      <rPr>
        <sz val="9"/>
        <rFont val="Arial"/>
        <family val="2"/>
      </rPr>
      <t xml:space="preserve"> 1991-94 data revised to reflect changes in adjustment for nonresponse bias with 1996 telephone survey factors; 1995-97 data may not be comparable to 1994 and earlier years due to changes in methodology. Includes air taxi aircraft. Beginning in 2004, commuter activity is excluded from all estimates. Commuter activity was included in the air taxi use category in 2003 and prior.</t>
    </r>
  </si>
  <si>
    <r>
      <rPr>
        <vertAlign val="superscript"/>
        <sz val="9"/>
        <rFont val="Arial"/>
        <family val="2"/>
      </rPr>
      <t xml:space="preserve">c </t>
    </r>
    <r>
      <rPr>
        <sz val="9"/>
        <rFont val="Arial"/>
        <family val="2"/>
      </rPr>
      <t>Data from 2007 were calculated using a new methodology developed by FHWA. Data for these years are based on new categories and are not comparable to previous years. The new category</t>
    </r>
    <r>
      <rPr>
        <i/>
        <sz val="9"/>
        <rFont val="Arial"/>
        <family val="2"/>
      </rPr>
      <t xml:space="preserve"> Light duty vehicle, short wheel base</t>
    </r>
    <r>
      <rPr>
        <sz val="9"/>
        <rFont val="Arial"/>
        <family val="2"/>
      </rPr>
      <t xml:space="preserve"> replaces the old category </t>
    </r>
    <r>
      <rPr>
        <i/>
        <sz val="9"/>
        <rFont val="Arial"/>
        <family val="2"/>
      </rPr>
      <t>Passenger car</t>
    </r>
    <r>
      <rPr>
        <sz val="9"/>
        <rFont val="Arial"/>
        <family val="2"/>
      </rPr>
      <t xml:space="preserve"> and includes passenger cars, light trucks, vans and sport utility vehicles with a wheelbase (WB) equal to or less than 121 inches. The new category </t>
    </r>
    <r>
      <rPr>
        <i/>
        <sz val="9"/>
        <rFont val="Arial"/>
        <family val="2"/>
      </rPr>
      <t>Light duty vehicle, long wheel base</t>
    </r>
    <r>
      <rPr>
        <sz val="9"/>
        <rFont val="Arial"/>
        <family val="2"/>
      </rPr>
      <t xml:space="preserve"> replaces </t>
    </r>
    <r>
      <rPr>
        <i/>
        <sz val="9"/>
        <rFont val="Arial"/>
        <family val="2"/>
      </rPr>
      <t>Other 2-axle, 4-tire vehicle</t>
    </r>
    <r>
      <rPr>
        <sz val="9"/>
        <rFont val="Arial"/>
        <family val="2"/>
      </rPr>
      <t xml:space="preserve"> and includes large passenger cars, vans, pickup trucks, and sport/utility vehicles with wheelbases (WB) larger than 121 inches. Data for 1960-2006 are not comparable to data for 2007 and later. This edition of table 1-11 is not comparable to those before the 2019 edition.</t>
    </r>
  </si>
  <si>
    <r>
      <t xml:space="preserve">d </t>
    </r>
    <r>
      <rPr>
        <sz val="9"/>
        <rFont val="Arial"/>
        <family val="2"/>
      </rPr>
      <t>1960-1993 Motorcycle data is included in Light duty vehicle, short wheel base.</t>
    </r>
  </si>
  <si>
    <r>
      <t xml:space="preserve">e </t>
    </r>
    <r>
      <rPr>
        <sz val="9"/>
        <rFont val="Arial"/>
        <family val="2"/>
      </rPr>
      <t xml:space="preserve">In 1960, this category includes all </t>
    </r>
    <r>
      <rPr>
        <i/>
        <sz val="9"/>
        <rFont val="Arial"/>
        <family val="2"/>
      </rPr>
      <t>Trucks</t>
    </r>
    <r>
      <rPr>
        <sz val="9"/>
        <rFont val="Arial"/>
        <family val="2"/>
      </rPr>
      <t xml:space="preserve"> and </t>
    </r>
    <r>
      <rPr>
        <i/>
        <sz val="9"/>
        <rFont val="Arial"/>
        <family val="2"/>
      </rPr>
      <t>Light duty vehicle, long wheel base</t>
    </r>
    <r>
      <rPr>
        <sz val="9"/>
        <rFont val="Arial"/>
        <family val="2"/>
      </rPr>
      <t>.</t>
    </r>
  </si>
  <si>
    <r>
      <t>f</t>
    </r>
    <r>
      <rPr>
        <sz val="9"/>
        <rFont val="Arial"/>
        <family val="2"/>
      </rPr>
      <t xml:space="preserve"> 1965: Light duty vehicle, long wheel base data included in all</t>
    </r>
    <r>
      <rPr>
        <i/>
        <sz val="9"/>
        <rFont val="Arial"/>
        <family val="2"/>
      </rPr>
      <t xml:space="preserve"> Trucks</t>
    </r>
    <r>
      <rPr>
        <sz val="9"/>
        <rFont val="Arial"/>
        <family val="2"/>
      </rPr>
      <t>.</t>
    </r>
  </si>
  <si>
    <r>
      <t xml:space="preserve">g </t>
    </r>
    <r>
      <rPr>
        <sz val="9"/>
        <rFont val="Arial"/>
        <family val="2"/>
      </rPr>
      <t>Prior to 1984, excludes most rural and smaller systems funded via Sections 18 and 16(b)(2), Urban Mass Transportation Act of 1964, as amended. Also prior to 1984, includes total vehicles owned and leased. Incudes vehicles available at maximum service.</t>
    </r>
  </si>
  <si>
    <r>
      <t xml:space="preserve">h </t>
    </r>
    <r>
      <rPr>
        <sz val="9"/>
        <rFont val="Arial"/>
        <family val="2"/>
      </rPr>
      <t xml:space="preserve">Beginning in 2011, </t>
    </r>
    <r>
      <rPr>
        <i/>
        <sz val="9"/>
        <rFont val="Arial"/>
        <family val="2"/>
      </rPr>
      <t>Motor bus</t>
    </r>
    <r>
      <rPr>
        <sz val="9"/>
        <rFont val="Arial"/>
        <family val="2"/>
      </rPr>
      <t xml:space="preserve"> includes Bus, Bus Rapid Transit, and Commuter Bus</t>
    </r>
    <r>
      <rPr>
        <i/>
        <sz val="9"/>
        <rFont val="Arial"/>
        <family val="2"/>
      </rPr>
      <t>.</t>
    </r>
  </si>
  <si>
    <r>
      <t xml:space="preserve">i </t>
    </r>
    <r>
      <rPr>
        <sz val="9"/>
        <rFont val="Arial"/>
        <family val="2"/>
      </rPr>
      <t xml:space="preserve">Beginning in 2011, </t>
    </r>
    <r>
      <rPr>
        <i/>
        <sz val="9"/>
        <rFont val="Arial"/>
        <family val="2"/>
      </rPr>
      <t>Light rail cars</t>
    </r>
    <r>
      <rPr>
        <sz val="9"/>
        <rFont val="Arial"/>
        <family val="2"/>
      </rPr>
      <t xml:space="preserve"> includes Light Rail, Street Car Rail, and Hybrid Rail.</t>
    </r>
  </si>
  <si>
    <r>
      <rPr>
        <vertAlign val="superscript"/>
        <sz val="9"/>
        <rFont val="Arial"/>
        <family val="2"/>
      </rPr>
      <t>j</t>
    </r>
    <r>
      <rPr>
        <sz val="9"/>
        <rFont val="Arial"/>
        <family val="2"/>
      </rPr>
      <t xml:space="preserve"> </t>
    </r>
    <r>
      <rPr>
        <i/>
        <sz val="9"/>
        <rFont val="Arial"/>
        <family val="2"/>
      </rPr>
      <t>Other</t>
    </r>
    <r>
      <rPr>
        <sz val="9"/>
        <rFont val="Arial"/>
        <family val="2"/>
      </rPr>
      <t xml:space="preserve"> includes Alaska railroad, automated guideway transit, cable car, ferry boat, inclined plane, monorail, publico, and vanpool.</t>
    </r>
  </si>
  <si>
    <r>
      <t>k</t>
    </r>
    <r>
      <rPr>
        <i/>
        <vertAlign val="superscript"/>
        <sz val="9"/>
        <rFont val="Arial"/>
        <family val="2"/>
      </rPr>
      <t xml:space="preserve"> </t>
    </r>
    <r>
      <rPr>
        <i/>
        <sz val="9"/>
        <rFont val="Arial"/>
        <family val="2"/>
      </rPr>
      <t>Nonself-propelled vessels</t>
    </r>
    <r>
      <rPr>
        <sz val="9"/>
        <rFont val="Arial"/>
        <family val="2"/>
      </rPr>
      <t xml:space="preserve"> include dry-cargo barges, tank barges, and railroad-car floats.</t>
    </r>
  </si>
  <si>
    <r>
      <t xml:space="preserve">l </t>
    </r>
    <r>
      <rPr>
        <sz val="9"/>
        <rFont val="Arial"/>
        <family val="2"/>
      </rPr>
      <t>Data for Jan. 1, 1991-June 30, 1991 included in 1990 figure.</t>
    </r>
  </si>
  <si>
    <r>
      <t xml:space="preserve">m </t>
    </r>
    <r>
      <rPr>
        <i/>
        <sz val="9"/>
        <rFont val="Arial"/>
        <family val="2"/>
      </rPr>
      <t>Self-propelled vessels</t>
    </r>
    <r>
      <rPr>
        <sz val="9"/>
        <rFont val="Arial"/>
        <family val="2"/>
      </rPr>
      <t xml:space="preserve"> include dry-cargo and/or passenger, offshore supply vessels, railroad-car ferries, tankers, and towboats.</t>
    </r>
  </si>
  <si>
    <r>
      <t xml:space="preserve">n </t>
    </r>
    <r>
      <rPr>
        <sz val="9"/>
        <rFont val="Arial"/>
        <family val="2"/>
      </rPr>
      <t xml:space="preserve">1960-2006 data includes private and government owned vessels of 1,000 gross tons and over. Beginning in 2007, data are reported only for privately-owned vessels of 1,000 gross tons and over. Calendar Year 2009 includes privately owned vessels of 10,000 deadweight tons and above not including the Great Lakes vessels. All the data are year-end data.
</t>
    </r>
  </si>
  <si>
    <r>
      <t xml:space="preserve">o </t>
    </r>
    <r>
      <rPr>
        <i/>
        <sz val="9"/>
        <rFont val="Arial"/>
        <family val="2"/>
      </rPr>
      <t>Recreational vessels</t>
    </r>
    <r>
      <rPr>
        <sz val="9"/>
        <rFont val="Arial"/>
        <family val="2"/>
      </rPr>
      <t xml:space="preserve"> that are required to be numbered in accordance with Chapter 123 of Title 46 U.S.C.</t>
    </r>
  </si>
  <si>
    <r>
      <t xml:space="preserve">p </t>
    </r>
    <r>
      <rPr>
        <i/>
        <sz val="9"/>
        <rFont val="Arial"/>
        <family val="2"/>
      </rPr>
      <t xml:space="preserve">Fleet </t>
    </r>
    <r>
      <rPr>
        <sz val="9"/>
        <rFont val="Arial"/>
        <family val="2"/>
      </rPr>
      <t>is as of January of each year except for 2020, the data is as of December 2019.</t>
    </r>
  </si>
  <si>
    <r>
      <t xml:space="preserve">NOTES </t>
    </r>
    <r>
      <rPr>
        <sz val="9"/>
        <rFont val="Arial"/>
        <family val="2"/>
      </rPr>
      <t xml:space="preserve"> </t>
    </r>
  </si>
  <si>
    <r>
      <t xml:space="preserve">Transit </t>
    </r>
    <r>
      <rPr>
        <i/>
        <sz val="9"/>
        <rFont val="Arial"/>
        <family val="2"/>
      </rPr>
      <t>Motor bus</t>
    </r>
    <r>
      <rPr>
        <sz val="9"/>
        <rFont val="Arial"/>
        <family val="2"/>
      </rPr>
      <t xml:space="preserve"> figure is also included as part of bus in the </t>
    </r>
    <r>
      <rPr>
        <i/>
        <sz val="9"/>
        <rFont val="Arial"/>
        <family val="2"/>
      </rPr>
      <t xml:space="preserve">Highway </t>
    </r>
    <r>
      <rPr>
        <sz val="9"/>
        <rFont val="Arial"/>
        <family val="2"/>
      </rPr>
      <t>category.</t>
    </r>
  </si>
  <si>
    <r>
      <rPr>
        <i/>
        <sz val="9"/>
        <rFont val="Arial"/>
        <family val="2"/>
      </rPr>
      <t xml:space="preserve">Bus </t>
    </r>
    <r>
      <rPr>
        <sz val="9"/>
        <rFont val="Arial"/>
        <family val="2"/>
      </rPr>
      <t xml:space="preserve">and </t>
    </r>
    <r>
      <rPr>
        <i/>
        <sz val="9"/>
        <rFont val="Arial"/>
        <family val="2"/>
      </rPr>
      <t xml:space="preserve">Demand response/Paratransit </t>
    </r>
    <r>
      <rPr>
        <sz val="9"/>
        <rFont val="Arial"/>
        <family val="2"/>
      </rPr>
      <t xml:space="preserve">in these tables refer to a mode of service, not to a specific vehicle type. </t>
    </r>
    <r>
      <rPr>
        <i/>
        <sz val="9"/>
        <rFont val="Arial"/>
        <family val="2"/>
      </rPr>
      <t>Demand responsive</t>
    </r>
    <r>
      <rPr>
        <sz val="9"/>
        <rFont val="Arial"/>
        <family val="2"/>
      </rPr>
      <t xml:space="preserve"> service, defined as roadway service directly from an origin to a destination determined by the rider and not following a fixed-route, is usually provided by vans, small buses and in a limited number of cases by large buses. </t>
    </r>
    <r>
      <rPr>
        <i/>
        <sz val="9"/>
        <rFont val="Arial"/>
        <family val="2"/>
      </rPr>
      <t>Bus</t>
    </r>
    <r>
      <rPr>
        <sz val="9"/>
        <rFont val="Arial"/>
        <family val="2"/>
      </rPr>
      <t xml:space="preserve"> service is a variety of roadway services that share the characteristic of being entirely or partially fixed routes. </t>
    </r>
    <r>
      <rPr>
        <i/>
        <sz val="9"/>
        <rFont val="Arial"/>
        <family val="2"/>
      </rPr>
      <t>Bus</t>
    </r>
    <r>
      <rPr>
        <sz val="9"/>
        <rFont val="Arial"/>
        <family val="2"/>
      </rPr>
      <t xml:space="preserve"> service includes local service, express service, subscription service, diversionary route service, loop service, and other types. Although </t>
    </r>
    <r>
      <rPr>
        <i/>
        <sz val="9"/>
        <rFont val="Arial"/>
        <family val="2"/>
      </rPr>
      <t xml:space="preserve">Bus </t>
    </r>
    <r>
      <rPr>
        <sz val="9"/>
        <rFont val="Arial"/>
        <family val="2"/>
      </rPr>
      <t>service is normally provided by buses, it can be provided by smaller vehicles that may be considered large vans.</t>
    </r>
  </si>
  <si>
    <t xml:space="preserve">For more detail on oceangoing vessels, see table 1-23. </t>
  </si>
  <si>
    <r>
      <rPr>
        <i/>
        <sz val="9"/>
        <rFont val="Arial"/>
        <family val="2"/>
      </rPr>
      <t xml:space="preserve">Transit </t>
    </r>
    <r>
      <rPr>
        <sz val="9"/>
        <rFont val="Arial"/>
        <family val="2"/>
      </rPr>
      <t>data for 1996 and later years are obtained from the National Transit Database and cannot be compared with data for earlier years.</t>
    </r>
  </si>
  <si>
    <r>
      <t xml:space="preserve">Association of American Railroad changed the equipment reporting style from Railroad Facts 2015 edition, </t>
    </r>
    <r>
      <rPr>
        <i/>
        <sz val="9"/>
        <rFont val="Arial"/>
        <family val="2"/>
      </rPr>
      <t>Nonclass I freight cars</t>
    </r>
    <r>
      <rPr>
        <sz val="9"/>
        <rFont val="Arial"/>
        <family val="2"/>
      </rPr>
      <t xml:space="preserve"> and </t>
    </r>
    <r>
      <rPr>
        <i/>
        <sz val="9"/>
        <rFont val="Arial"/>
        <family val="2"/>
      </rPr>
      <t xml:space="preserve">Car companies and shippers freight cars </t>
    </r>
    <r>
      <rPr>
        <sz val="9"/>
        <rFont val="Arial"/>
        <family val="2"/>
      </rPr>
      <t>data will no longer be provided by AAR.</t>
    </r>
  </si>
  <si>
    <t>Air carrier:</t>
  </si>
  <si>
    <r>
      <t>1960-65: U.S. Department of Transportation, Federal Aviation Administration,</t>
    </r>
    <r>
      <rPr>
        <i/>
        <sz val="9"/>
        <rFont val="Arial"/>
        <family val="2"/>
      </rPr>
      <t xml:space="preserve"> FAA Statistical Handbook of Aviation, </t>
    </r>
    <r>
      <rPr>
        <sz val="9"/>
        <rFont val="Arial"/>
        <family val="2"/>
      </rPr>
      <t>(Washington, DC: 1970), table 5.3.</t>
    </r>
  </si>
  <si>
    <r>
      <t xml:space="preserve">1970-75: U.S. Department of Transportation, Federal Aviation Administration, </t>
    </r>
    <r>
      <rPr>
        <i/>
        <sz val="9"/>
        <rFont val="Arial"/>
        <family val="2"/>
      </rPr>
      <t xml:space="preserve">FAA Statistical Handbook of Aviation, 1979 edition </t>
    </r>
    <r>
      <rPr>
        <sz val="9"/>
        <rFont val="Arial"/>
        <family val="2"/>
      </rPr>
      <t>(Washington, DC: 1979), table 5.1.</t>
    </r>
  </si>
  <si>
    <r>
      <t xml:space="preserve">1980-85: U.S. Department of Transportation, Federal Aviation Administration, </t>
    </r>
    <r>
      <rPr>
        <i/>
        <sz val="9"/>
        <rFont val="Arial"/>
        <family val="2"/>
      </rPr>
      <t xml:space="preserve">FAA Statistical Handbook of Aviation, Calendar Year 1986 </t>
    </r>
    <r>
      <rPr>
        <sz val="9"/>
        <rFont val="Arial"/>
        <family val="2"/>
      </rPr>
      <t>(Washington, DC: 1986), table 5.1.</t>
    </r>
  </si>
  <si>
    <r>
      <t xml:space="preserve">1990-94: U.S. Department of Transportation, Federal Aviation Administration, </t>
    </r>
    <r>
      <rPr>
        <i/>
        <sz val="9"/>
        <rFont val="Arial"/>
        <family val="2"/>
      </rPr>
      <t>FAA Statistical Handbook of Aviation, Calendar Year 1997</t>
    </r>
    <r>
      <rPr>
        <sz val="9"/>
        <rFont val="Arial"/>
        <family val="2"/>
      </rPr>
      <t xml:space="preserve"> (Washington, DC: unpublished), table 5.1, personal communication, Mar. 19, 1999.</t>
    </r>
  </si>
  <si>
    <r>
      <t xml:space="preserve">1960-65: U.S. Department of Transportation, Federal Aviation Administration, </t>
    </r>
    <r>
      <rPr>
        <i/>
        <sz val="9"/>
        <rFont val="Arial"/>
        <family val="2"/>
      </rPr>
      <t>FAA Statistical Handbook of Aviation, 1969</t>
    </r>
    <r>
      <rPr>
        <sz val="9"/>
        <rFont val="Arial"/>
        <family val="2"/>
      </rPr>
      <t xml:space="preserve"> (Washington, DC: 1969), table 9.10.</t>
    </r>
  </si>
  <si>
    <r>
      <t>1970-75: U.S. Department of Transportation, Federal Aviation Administration,</t>
    </r>
    <r>
      <rPr>
        <i/>
        <sz val="9"/>
        <rFont val="Arial"/>
        <family val="2"/>
      </rPr>
      <t xml:space="preserve"> FAA Statistical Handbook of Aviation, Calendar Year 1976</t>
    </r>
    <r>
      <rPr>
        <sz val="9"/>
        <rFont val="Arial"/>
        <family val="2"/>
      </rPr>
      <t xml:space="preserve"> (Washington, DC: 1976), table 8-6.</t>
    </r>
  </si>
  <si>
    <r>
      <t xml:space="preserve">1980: U.S. Department of Transportation, Federal Aviation Administration, </t>
    </r>
    <r>
      <rPr>
        <i/>
        <sz val="9"/>
        <rFont val="Arial"/>
        <family val="2"/>
      </rPr>
      <t>General Aviation Activity Survey, Calendar Year 1980</t>
    </r>
    <r>
      <rPr>
        <sz val="9"/>
        <rFont val="Arial"/>
        <family val="2"/>
      </rPr>
      <t xml:space="preserve"> (Washington, DC: 1981), table 1-3.</t>
    </r>
  </si>
  <si>
    <r>
      <t xml:space="preserve">1985: U.S. Department of Transportation, Federal Aviation Administration, </t>
    </r>
    <r>
      <rPr>
        <i/>
        <sz val="9"/>
        <rFont val="Arial"/>
        <family val="2"/>
      </rPr>
      <t xml:space="preserve">General Aviation Activity Survey, Calendar Year 1985 </t>
    </r>
    <r>
      <rPr>
        <sz val="9"/>
        <rFont val="Arial"/>
        <family val="2"/>
      </rPr>
      <t>(Washington, DC: 1987), table 2-9.</t>
    </r>
  </si>
  <si>
    <r>
      <t xml:space="preserve">1990-2009: U.S. Department of Transportation, Federal Aviation Administration, </t>
    </r>
    <r>
      <rPr>
        <i/>
        <sz val="9"/>
        <rFont val="Arial"/>
        <family val="2"/>
      </rPr>
      <t xml:space="preserve">General Aviation and Air Taxi Activity Survey </t>
    </r>
    <r>
      <rPr>
        <sz val="9"/>
        <rFont val="Arial"/>
        <family val="2"/>
      </rPr>
      <t>(Annual Issues), table 1.1, available at http://www.faa.gov/data_research/aviation_data_statistics/general_aviation/ as of Jan. 6, 2021.</t>
    </r>
  </si>
  <si>
    <r>
      <t xml:space="preserve">1960-93: U.S. Department of Transportation, Federal Highway Administration, </t>
    </r>
    <r>
      <rPr>
        <i/>
        <sz val="9"/>
        <rFont val="Arial"/>
        <family val="2"/>
      </rPr>
      <t>Highway Statistics Summary to 1995,</t>
    </r>
    <r>
      <rPr>
        <sz val="9"/>
        <rFont val="Arial"/>
        <family val="2"/>
      </rPr>
      <t xml:space="preserve"> FHWA-PL-97-009 (Washington, DC: July 1997), table VM-201A, available at http://www.fhwa.dot.gov/policyinformation/statistics.cfm as of Mar. 18, 2020.</t>
    </r>
  </si>
  <si>
    <r>
      <t>1960-1995: American Public Transit Association,</t>
    </r>
    <r>
      <rPr>
        <i/>
        <sz val="9"/>
        <rFont val="Arial"/>
        <family val="2"/>
      </rPr>
      <t xml:space="preserve"> Public Transportation Fact Book, Appendix A: Historical Tables </t>
    </r>
    <r>
      <rPr>
        <sz val="9"/>
        <rFont val="Arial"/>
        <family val="2"/>
      </rPr>
      <t>(Washington, DC), table 17.</t>
    </r>
  </si>
  <si>
    <r>
      <t xml:space="preserve">1996-2001: U.S. Department of Transportation, Federal Transit Administration, </t>
    </r>
    <r>
      <rPr>
        <i/>
        <sz val="9"/>
        <rFont val="Arial"/>
        <family val="2"/>
      </rPr>
      <t xml:space="preserve">National Transit Database, </t>
    </r>
    <r>
      <rPr>
        <sz val="9"/>
        <rFont val="Arial"/>
        <family val="2"/>
      </rPr>
      <t>table 19 (Washington, DC: Annual Issues).</t>
    </r>
  </si>
  <si>
    <t>Rail (all categories, except Amtrak):</t>
  </si>
  <si>
    <r>
      <t xml:space="preserve">Association of American Railroads, </t>
    </r>
    <r>
      <rPr>
        <i/>
        <sz val="9"/>
        <rFont val="Arial"/>
        <family val="2"/>
      </rPr>
      <t xml:space="preserve">Railroad Facts </t>
    </r>
    <r>
      <rPr>
        <sz val="9"/>
        <rFont val="Arial"/>
        <family val="2"/>
      </rPr>
      <t>(Washington, DC: Annual Issues), p. 65, and similar pages in earlier editions.</t>
    </r>
  </si>
  <si>
    <t>Amtrak:</t>
  </si>
  <si>
    <t>1975-80: Amtrak, State and Local Affairs Department, personal communication.</t>
  </si>
  <si>
    <r>
      <t xml:space="preserve">1985-2000: Amtrak, </t>
    </r>
    <r>
      <rPr>
        <i/>
        <sz val="9"/>
        <rFont val="Arial"/>
        <family val="2"/>
      </rPr>
      <t xml:space="preserve">Amtrak Annual Report, </t>
    </r>
    <r>
      <rPr>
        <sz val="9"/>
        <rFont val="Arial"/>
        <family val="2"/>
      </rPr>
      <t>Statistical Appendix (Washington, DC: Annual Issues),</t>
    </r>
    <r>
      <rPr>
        <b/>
        <sz val="9"/>
        <rFont val="Arial"/>
        <family val="2"/>
      </rPr>
      <t xml:space="preserve"> </t>
    </r>
    <r>
      <rPr>
        <sz val="9"/>
        <rFont val="Arial"/>
        <family val="2"/>
      </rPr>
      <t>p. 47.</t>
    </r>
  </si>
  <si>
    <t>Water transportation:</t>
  </si>
  <si>
    <t>Nonself-propelled vessels and self-propelled vessels:</t>
  </si>
  <si>
    <r>
      <t>1960-96: U.S. Army, Corps of Engineers,</t>
    </r>
    <r>
      <rPr>
        <i/>
        <sz val="9"/>
        <rFont val="Arial"/>
        <family val="2"/>
      </rPr>
      <t xml:space="preserve"> Waterborne Transportation Lines of The United States, Volume 1, National Summaries</t>
    </r>
    <r>
      <rPr>
        <sz val="9"/>
        <rFont val="Arial"/>
        <family val="2"/>
      </rPr>
      <t xml:space="preserve"> (New Orleans, LA : Annual Issues), table 1, available at https://www.iwr.usace.army.mil/about/technical-centers/wcsc-waterborne-commerce-statistics-center/ as of Nov. 14, 2016.</t>
    </r>
  </si>
  <si>
    <t>Oceangoing self-propelled vessels:</t>
  </si>
  <si>
    <r>
      <t xml:space="preserve">1960-99: U.S. Department of Transportation, Maritime Administration, </t>
    </r>
    <r>
      <rPr>
        <i/>
        <sz val="9"/>
        <rFont val="Arial"/>
        <family val="2"/>
      </rPr>
      <t xml:space="preserve">Merchant Fleets of the World </t>
    </r>
    <r>
      <rPr>
        <sz val="9"/>
        <rFont val="Arial"/>
        <family val="2"/>
      </rPr>
      <t>(Washington, DC: Annual issues), and unpublished revisions.</t>
    </r>
  </si>
  <si>
    <r>
      <t xml:space="preserve">2017-19: U.S. Department of Transportation, Maritime Administration, Vessel Fleet lists, </t>
    </r>
    <r>
      <rPr>
        <i/>
        <sz val="9"/>
        <rFont val="Arial"/>
        <family val="2"/>
      </rPr>
      <t>2000-2019 U.S.-Flag Privately-Owned Fleet Summary</t>
    </r>
    <r>
      <rPr>
        <sz val="9"/>
        <rFont val="Arial"/>
        <family val="2"/>
      </rPr>
      <t>, available at https://www.maritime.dot.gov/data-reports/data-statistics/data-statistics as of Jan. 6, 2021.</t>
    </r>
  </si>
  <si>
    <t>Recreational boats:</t>
  </si>
  <si>
    <t>ATS000</t>
  </si>
  <si>
    <t>48. Aircraft Stock</t>
  </si>
  <si>
    <t>Stock</t>
  </si>
  <si>
    <t>ATS000:stk_U.S.Total</t>
  </si>
  <si>
    <t>ATS000:stk_USNarrowBody</t>
  </si>
  <si>
    <t>ATS000:stk_USWideBody</t>
  </si>
  <si>
    <t>ATS000:stk_USRegional</t>
  </si>
  <si>
    <t>ATS000:stk_Canada</t>
  </si>
  <si>
    <t>ATS000:stk_Canada-nb</t>
  </si>
  <si>
    <t>ATS000:stk_Canada-wb</t>
  </si>
  <si>
    <t>ATS000:stk_Canada-rj</t>
  </si>
  <si>
    <t>ATS000:stk_Central_Am</t>
  </si>
  <si>
    <t>ATS000:stk_Central_Am-n</t>
  </si>
  <si>
    <t>ATS000:stk_Central_Am-w</t>
  </si>
  <si>
    <t>ATS000:stk_Central_Am-r</t>
  </si>
  <si>
    <t>ATS000:stk_South_Am</t>
  </si>
  <si>
    <t>ATS000:stk_South_Am-nb</t>
  </si>
  <si>
    <t>ATS000:stk_South_Am-wb</t>
  </si>
  <si>
    <t>ATS000:stk_South_Am-rj</t>
  </si>
  <si>
    <t>ATS000:stk_Europe</t>
  </si>
  <si>
    <t>ATS000:stk_Europe-nb</t>
  </si>
  <si>
    <t>ATS000:stk_Europe-wb</t>
  </si>
  <si>
    <t>ATS000:stk_Europe-rj</t>
  </si>
  <si>
    <t>ATS000:stk_Africa</t>
  </si>
  <si>
    <t>ATS000:stk_Africa-nb</t>
  </si>
  <si>
    <t>ATS000:stk_Africa-wb</t>
  </si>
  <si>
    <t>ATS000:stk_Africa-rj</t>
  </si>
  <si>
    <t>ATS000:stk_Mideast</t>
  </si>
  <si>
    <t>ATS000:stk_Mideast-nb</t>
  </si>
  <si>
    <t>ATS000:stk_Mideast-wb</t>
  </si>
  <si>
    <t>ATS000:stk_Mideast-rj</t>
  </si>
  <si>
    <t>ATS000:stk_Russia</t>
  </si>
  <si>
    <t>ATS000:stk_Russia-nb</t>
  </si>
  <si>
    <t>ATS000:stk_Russia-wb</t>
  </si>
  <si>
    <t>ATS000:stk_Russia-rj</t>
  </si>
  <si>
    <t>ATS000:stk_China</t>
  </si>
  <si>
    <t>ATS000:stk_China-nb</t>
  </si>
  <si>
    <t>ATS000:stk_China-wb</t>
  </si>
  <si>
    <t>ATS000:stk_China-rj</t>
  </si>
  <si>
    <t>ATS000:stk_NE_Asia</t>
  </si>
  <si>
    <t>ATS000:stk_NE_Asia-nb</t>
  </si>
  <si>
    <t>ATS000:stk_NE_Asia-wb</t>
  </si>
  <si>
    <t>ATS000:stk_NE_Asia-rj</t>
  </si>
  <si>
    <t>ATS000:stk_SE_Asia</t>
  </si>
  <si>
    <t>ATS000:stk_SE_Asia-nb</t>
  </si>
  <si>
    <t>ATS000:stk_SE_Asia-wb</t>
  </si>
  <si>
    <t>ATS000:stk_SE_Asia-rj</t>
  </si>
  <si>
    <t>ATS000:stk_SW_Asia</t>
  </si>
  <si>
    <t>ATS000:stk_SW_Asia-nb</t>
  </si>
  <si>
    <t>ATS000:stk_SW_Asia-wb</t>
  </si>
  <si>
    <t>ATS000:stk_SW_Asia-rj</t>
  </si>
  <si>
    <t>ATS000:stk_Oceania</t>
  </si>
  <si>
    <t>ATS000:stk_Oceania-nb</t>
  </si>
  <si>
    <t>ATS000:stk_Oceania-wb</t>
  </si>
  <si>
    <t>ATS000:stk_Oceania-rj</t>
  </si>
  <si>
    <t>ATS000:stk_WorldTotal</t>
  </si>
  <si>
    <t>Aircraft Active Stock</t>
  </si>
  <si>
    <t>ATS000:act_U.S.Total</t>
  </si>
  <si>
    <t>ATS000:act_USNarrowBody</t>
  </si>
  <si>
    <t>ATS000:act_USWideBody</t>
  </si>
  <si>
    <t>ATS000:act_USRegional</t>
  </si>
  <si>
    <t>ATS000:act_Canada</t>
  </si>
  <si>
    <t>ATS000:act_Canada-nb</t>
  </si>
  <si>
    <t>ATS000:act_Canada-wb</t>
  </si>
  <si>
    <t>ATS000:act_Canada-rj</t>
  </si>
  <si>
    <t>ATS000:act_Central_Am</t>
  </si>
  <si>
    <t>ATS000:act_Central_Am-n</t>
  </si>
  <si>
    <t>ATS000:act_Central_Am-w</t>
  </si>
  <si>
    <t>ATS000:act_Central_Am-r</t>
  </si>
  <si>
    <t>ATS000:act_South_Am</t>
  </si>
  <si>
    <t>ATS000:act_South_Am-nb</t>
  </si>
  <si>
    <t>ATS000:act_South_Am-wb</t>
  </si>
  <si>
    <t>ATS000:act_South_Am-rj</t>
  </si>
  <si>
    <t>ATS000:act_Europe</t>
  </si>
  <si>
    <t>ATS000:act_Europe-nb</t>
  </si>
  <si>
    <t>ATS000:act_Europe-wb</t>
  </si>
  <si>
    <t>ATS000:act_Europe-rj</t>
  </si>
  <si>
    <t>ATS000:act_Africa</t>
  </si>
  <si>
    <t>ATS000:act_Africa-nb</t>
  </si>
  <si>
    <t>ATS000:act_Africa-wb</t>
  </si>
  <si>
    <t>ATS000:act_Africa-rj</t>
  </si>
  <si>
    <t>ATS000:act_Mideast</t>
  </si>
  <si>
    <t>ATS000:act_Mideast-nb</t>
  </si>
  <si>
    <t>ATS000:act_Mideast-wb</t>
  </si>
  <si>
    <t>ATS000:act_Mideast-rj</t>
  </si>
  <si>
    <t>ATS000:act_Russia</t>
  </si>
  <si>
    <t>ATS000:act_Russia-nb</t>
  </si>
  <si>
    <t>ATS000:act_Russia-wb</t>
  </si>
  <si>
    <t>ATS000:act_Russia-rj</t>
  </si>
  <si>
    <t>ATS000:act_China</t>
  </si>
  <si>
    <t>ATS000:act_China-nb</t>
  </si>
  <si>
    <t>ATS000:act_China-wb</t>
  </si>
  <si>
    <t>ATS000:act_China-rj</t>
  </si>
  <si>
    <t>ATS000:act_NE_Asia</t>
  </si>
  <si>
    <t>ATS000:act_NE_Asia-nb</t>
  </si>
  <si>
    <t>ATS000:act_NE_Asia-wb</t>
  </si>
  <si>
    <t>ATS000:act_NE_Asia-rj</t>
  </si>
  <si>
    <t>ATS000:act_SE_Asia</t>
  </si>
  <si>
    <t>ATS000:act_SE_Asia-nb</t>
  </si>
  <si>
    <t>ATS000:act_SE_Asia-wb</t>
  </si>
  <si>
    <t>ATS000:act_SE_Asia-rj</t>
  </si>
  <si>
    <t>ATS000:act_SW_Asia</t>
  </si>
  <si>
    <t>ATS000:act_SW_Asia-nb</t>
  </si>
  <si>
    <t>ATS000:act_SW_Asia-wb</t>
  </si>
  <si>
    <t>ATS000:act_SW_Asia-rj</t>
  </si>
  <si>
    <t>ATS000:act_Oceania</t>
  </si>
  <si>
    <t>ATS000:act_Oceania-nb</t>
  </si>
  <si>
    <t>ATS000:act_Oceania-wb</t>
  </si>
  <si>
    <t>ATS000:act_Oceania-rj</t>
  </si>
  <si>
    <t>ATS000:act_WorldTotal</t>
  </si>
  <si>
    <t>Aircraft Parked Stock</t>
  </si>
  <si>
    <t>ATS000:prk_U.S.Total</t>
  </si>
  <si>
    <t>ATS000:prk_USNarrowBody</t>
  </si>
  <si>
    <t>ATS000:prk_USWideBody</t>
  </si>
  <si>
    <t>ATS000:prk_USRegional</t>
  </si>
  <si>
    <t>ATS000:prk_Canada</t>
  </si>
  <si>
    <t>ATS000:prk_Canada-nb</t>
  </si>
  <si>
    <t>ATS000:prk_Canada-wb</t>
  </si>
  <si>
    <t>ATS000:prk_Canada-rj</t>
  </si>
  <si>
    <t>ATS000:prk_Central_Am</t>
  </si>
  <si>
    <t>ATS000:prk_Central_Am-n</t>
  </si>
  <si>
    <t>ATS000:prk_Central_Am-w</t>
  </si>
  <si>
    <t>ATS000:prk_Central_Am-r</t>
  </si>
  <si>
    <t>ATS000:prk_South_Am</t>
  </si>
  <si>
    <t>ATS000:prk_South_Am-nb</t>
  </si>
  <si>
    <t>ATS000:prk_South_Am-wb</t>
  </si>
  <si>
    <t>ATS000:prk_South_Am-rj</t>
  </si>
  <si>
    <t>ATS000:prk_Europe</t>
  </si>
  <si>
    <t>ATS000:prk_Europe-nb</t>
  </si>
  <si>
    <t>ATS000:prk_Europe-wb</t>
  </si>
  <si>
    <t>ATS000:prk_Europe-rj</t>
  </si>
  <si>
    <t>ATS000:prk_Africa</t>
  </si>
  <si>
    <t>ATS000:prk_Africa-nb</t>
  </si>
  <si>
    <t>ATS000:prk_Africa-wb</t>
  </si>
  <si>
    <t>ATS000:prk_Africa-rj</t>
  </si>
  <si>
    <t>ATS000:prk_Mideast</t>
  </si>
  <si>
    <t>ATS000:prk_Mideast-nb</t>
  </si>
  <si>
    <t>ATS000:prk_Mideast-wb</t>
  </si>
  <si>
    <t>ATS000:prk_Mideast-rj</t>
  </si>
  <si>
    <t>ATS000:prk_Russia</t>
  </si>
  <si>
    <t>ATS000:prk_Russia-nb</t>
  </si>
  <si>
    <t>ATS000:prk_Russia-wb</t>
  </si>
  <si>
    <t>ATS000:prk_Russia-rj</t>
  </si>
  <si>
    <t>ATS000:prk_China</t>
  </si>
  <si>
    <t>ATS000:prk_China-nb</t>
  </si>
  <si>
    <t>ATS000:prk_China-wb</t>
  </si>
  <si>
    <t>ATS000:prk_China-rj</t>
  </si>
  <si>
    <t>ATS000:prk_NE_Asia</t>
  </si>
  <si>
    <t>ATS000:prk_NE_Asia-nb</t>
  </si>
  <si>
    <t>ATS000:prk_NE_Asia-wb</t>
  </si>
  <si>
    <t>ATS000:prk_NE_Asia-rj</t>
  </si>
  <si>
    <t>ATS000:prk_SE_Asia</t>
  </si>
  <si>
    <t>ATS000:prk_SE_Asia-nb</t>
  </si>
  <si>
    <t>ATS000:prk_SE_Asia-wb</t>
  </si>
  <si>
    <t>ATS000:prk_SE_Asia-rj</t>
  </si>
  <si>
    <t>ATS000:prk_SW_Asia</t>
  </si>
  <si>
    <t>ATS000:prk_SW_Asia-nb</t>
  </si>
  <si>
    <t>ATS000:prk_SW_Asia-wb</t>
  </si>
  <si>
    <t>ATS000:prk_SW_Asia-rj</t>
  </si>
  <si>
    <t>ATS000:prk_Oceania</t>
  </si>
  <si>
    <t>ATS000:prk_Oceania-nb</t>
  </si>
  <si>
    <t>ATS000:prk_Oceania-wb</t>
  </si>
  <si>
    <t>ATS000:prk_Oceania-rj</t>
  </si>
  <si>
    <t>ATS000:prk_WorldTotal</t>
  </si>
  <si>
    <t>Aircraft Cargo Stock</t>
  </si>
  <si>
    <t>ATS000:crg_U.S.Total</t>
  </si>
  <si>
    <t>ATS000:crg_Canada</t>
  </si>
  <si>
    <t>ATS000:crg_Central_Am</t>
  </si>
  <si>
    <t>ATS000:crg_South_Am</t>
  </si>
  <si>
    <t>ATS000:crg_Europe</t>
  </si>
  <si>
    <t>ATS000:crg_Africa</t>
  </si>
  <si>
    <t>ATS000:crg_Mideast</t>
  </si>
  <si>
    <t>ATS000:crg_Russia</t>
  </si>
  <si>
    <t>ATS000:crg_China</t>
  </si>
  <si>
    <t>ATS000:crg_NE_Asia</t>
  </si>
  <si>
    <t>ATS000:crg_SE_Asia</t>
  </si>
  <si>
    <t>ATS000:crg_SW_Asia</t>
  </si>
  <si>
    <t>ATS000:crg_Oceania</t>
  </si>
  <si>
    <t>ATS000:crg_WorldTotal</t>
  </si>
  <si>
    <t>Data source: 2022: U.S. Energy Information Administration, AEO2023 National Energy Modeling System run ref2023.d020623a.</t>
  </si>
  <si>
    <t>TFL000</t>
  </si>
  <si>
    <t>45. Transportation Fleet Car and Truck Stock by Type and Technology</t>
  </si>
  <si>
    <t>(thousands)</t>
  </si>
  <si>
    <t>TFL000:ba_GasolineICEVe</t>
  </si>
  <si>
    <t>TFL000:ba_TDIDieselICE</t>
  </si>
  <si>
    <t>TFL000:ba_TotalConventi</t>
  </si>
  <si>
    <t>TFL000:ca_Ethanol-FlexF</t>
  </si>
  <si>
    <t>TFL000:ca_100mileEV</t>
  </si>
  <si>
    <t>TFL000:ca_ElectricVehic</t>
  </si>
  <si>
    <t>TFL000:ea_FuelCellGasol</t>
  </si>
  <si>
    <t>TFL000:ca_Plug-inGasoli</t>
  </si>
  <si>
    <t>TFL000:ca_Plug-in40Hybd</t>
  </si>
  <si>
    <t>TFL000:ca_Electric-Dies</t>
  </si>
  <si>
    <t>TFL000:ca_Electric-Gaso</t>
  </si>
  <si>
    <t>TFL000:ca_CompressedNat</t>
  </si>
  <si>
    <t>TFL000:da_CompressedNat</t>
  </si>
  <si>
    <t>TFL000:da_LiquefiedPetr</t>
  </si>
  <si>
    <t>TFL000:ea_LiquefiedPetr</t>
  </si>
  <si>
    <t>TFL000:ea_FuelCellMetha</t>
  </si>
  <si>
    <t>TFL000:ea_FuelCellHydro</t>
  </si>
  <si>
    <t>TFL000:ea_TotalAlternat</t>
  </si>
  <si>
    <t>TFL000:fa_TotalNewCarSa</t>
  </si>
  <si>
    <t xml:space="preserve"> Total Car Stock</t>
  </si>
  <si>
    <t>TFL000:ga_GasolineICEVe</t>
  </si>
  <si>
    <t>TFL000:ga_TDIDieselICE</t>
  </si>
  <si>
    <t>TFL000:ga_TotalConventi</t>
  </si>
  <si>
    <t>TFL000:ha_Ethanol-FlexF</t>
  </si>
  <si>
    <t>TFL000:ha_100mileEV</t>
  </si>
  <si>
    <t>TFL000:ha_ElectricVehic</t>
  </si>
  <si>
    <t>TFL000:ja_FuelCellGasol</t>
  </si>
  <si>
    <t>TFL000:ha_Plug-inGasoli</t>
  </si>
  <si>
    <t>TFL000:ha_Plug-in40Hybd</t>
  </si>
  <si>
    <t>TFL000:ha_Electric-Dies</t>
  </si>
  <si>
    <t>TFL000:ha_Electric-Gaso</t>
  </si>
  <si>
    <t>TFL000:ha_CompressedNat</t>
  </si>
  <si>
    <t>TFL000:ia_CompressedNat</t>
  </si>
  <si>
    <t>TFL000:ia_LiquefiedPetr</t>
  </si>
  <si>
    <t>TFL000:ja_LiquefiedPetr</t>
  </si>
  <si>
    <t>TFL000:ja_FuelCellMetha</t>
  </si>
  <si>
    <t>TFL000:ja_FuelCellHydro</t>
  </si>
  <si>
    <t>TFL000:ja_TotalAlternat</t>
  </si>
  <si>
    <t>TFL000:ka_TotalNewTruck</t>
  </si>
  <si>
    <t xml:space="preserve"> Total Light Truck Stock</t>
  </si>
  <si>
    <t>TFL000:la_TotalFleetVeh</t>
  </si>
  <si>
    <t>Commercial Light Truck Stock 2/</t>
  </si>
  <si>
    <t>TFL000:clt_MotorGasICE</t>
  </si>
  <si>
    <t>TFL000:clt_DieselTDI</t>
  </si>
  <si>
    <t>TFL000:clt_propane</t>
  </si>
  <si>
    <t>TFL000:clt_cng_lng</t>
  </si>
  <si>
    <t>TFL000:clt_e85_or_not</t>
  </si>
  <si>
    <t>TFL000:clt_electric</t>
  </si>
  <si>
    <t>TFL000:clt_plgin_gas</t>
  </si>
  <si>
    <t>TFL000:clt_plugin_dies</t>
  </si>
  <si>
    <t>TFL000:clr_fuel_sells</t>
  </si>
  <si>
    <t>TFL000:ma_CommercialLig</t>
  </si>
  <si>
    <t xml:space="preserve">      Total Commercial Light Truck Stock</t>
  </si>
  <si>
    <t>traveled per year changes over the model run.</t>
  </si>
  <si>
    <t>For aviation, we use 2021 to calculate start year values because the AEO reports active</t>
  </si>
  <si>
    <t>stock, which was much lower than usual in 2020 due to the COVID-19 pandemic.</t>
  </si>
  <si>
    <t>SYAADTbVT Start Year Average Annual Dist Traveled by Vehicle Type</t>
  </si>
  <si>
    <t>Rail-passenger data</t>
  </si>
  <si>
    <t>National Transit Database Tables</t>
  </si>
  <si>
    <t>American Public Transportation Association</t>
  </si>
  <si>
    <t>https://www.apta.com/research-technical-resources/transit-statistics/ntd-data-tables/</t>
  </si>
  <si>
    <t>Agency</t>
  </si>
  <si>
    <t>City</t>
  </si>
  <si>
    <t>State</t>
  </si>
  <si>
    <t>Legacy NTD ID</t>
  </si>
  <si>
    <t>NTD ID</t>
  </si>
  <si>
    <t>Organization Type</t>
  </si>
  <si>
    <t>NTD Reporter Type</t>
  </si>
  <si>
    <t>Primary UZA Population</t>
  </si>
  <si>
    <t>Agency VOMS</t>
  </si>
  <si>
    <t>Mode</t>
  </si>
  <si>
    <t>Type of Service</t>
  </si>
  <si>
    <t>Mode VOMS</t>
  </si>
  <si>
    <t>Mode VOMS Questionable</t>
  </si>
  <si>
    <t>Max Trains in Operation</t>
  </si>
  <si>
    <t>Max Trains in Operation Questionable</t>
  </si>
  <si>
    <t>Average Speed (mi/hr)</t>
  </si>
  <si>
    <t>Average Speed (mi/hr) Questionable</t>
  </si>
  <si>
    <t>Average Passenger Trip Length (mi)</t>
  </si>
  <si>
    <t>Average Passenger Trip Length (mi) Questionable</t>
  </si>
  <si>
    <t>Passengers per Hour</t>
  </si>
  <si>
    <t>Passengers per Hour Questionable</t>
  </si>
  <si>
    <t>Scheduled Vehicle Revenue Miles</t>
  </si>
  <si>
    <t>Scheduled Vehicle Revenue Miles Questionable</t>
  </si>
  <si>
    <t>Vehicle Miles</t>
  </si>
  <si>
    <t>Vehicle Miles Questionable</t>
  </si>
  <si>
    <t>Vehicle Revenue Miles</t>
  </si>
  <si>
    <t>Vehicle Revenue Miles Questionable</t>
  </si>
  <si>
    <t>Deadhead Miles</t>
  </si>
  <si>
    <t>Deadhead Miles Questionable</t>
  </si>
  <si>
    <t>Vehicle Hours</t>
  </si>
  <si>
    <t>Vehicle Hours Questionable</t>
  </si>
  <si>
    <t>Vehicle 
Revenue 
Hours</t>
  </si>
  <si>
    <t>Vehicle Revenue Hours Questionable</t>
  </si>
  <si>
    <t>Deadhead Hours</t>
  </si>
  <si>
    <t>Deadhead Hours Questionable</t>
  </si>
  <si>
    <t>Train Miles</t>
  </si>
  <si>
    <t>Train Miles Questionable</t>
  </si>
  <si>
    <t>Train 
Revenue
Miles</t>
  </si>
  <si>
    <t>Train Revenue Miles Questionable</t>
  </si>
  <si>
    <t>Train Hours</t>
  </si>
  <si>
    <t>Train Hours Questionable</t>
  </si>
  <si>
    <t>Train 
Revenue 
Hours</t>
  </si>
  <si>
    <t>Train Revenue Hours Questionable</t>
  </si>
  <si>
    <t>Unlinked Passenger Trips</t>
  </si>
  <si>
    <t>Unlinked Passenger Trips Questionable</t>
  </si>
  <si>
    <t>Passenger Miles</t>
  </si>
  <si>
    <t>Passenger Miles Questionable</t>
  </si>
  <si>
    <t>Directional Route Miles</t>
  </si>
  <si>
    <t>Directional Route Miles Questionable</t>
  </si>
  <si>
    <t>Any data questionable</t>
  </si>
  <si>
    <t>MTA New York City Transit</t>
  </si>
  <si>
    <t>Brooklyn</t>
  </si>
  <si>
    <t>NY</t>
  </si>
  <si>
    <t>Subsidiary Unit of a Transit Agency, Reporting Separately</t>
  </si>
  <si>
    <t>Full Reporter</t>
  </si>
  <si>
    <t>HR</t>
  </si>
  <si>
    <t>DO</t>
  </si>
  <si>
    <t>No</t>
  </si>
  <si>
    <t>New Jersey Transit Corporation</t>
  </si>
  <si>
    <t>Newark</t>
  </si>
  <si>
    <t>NJ</t>
  </si>
  <si>
    <t>Other Publicly-Owned or Privately Chartered Corporation</t>
  </si>
  <si>
    <t>LR</t>
  </si>
  <si>
    <t>PT</t>
  </si>
  <si>
    <t>CR</t>
  </si>
  <si>
    <t>Los Angeles County Metropolitan Transportation Authority, dba: Metro</t>
  </si>
  <si>
    <t>Los Angeles</t>
  </si>
  <si>
    <t>CA</t>
  </si>
  <si>
    <t>Independent Public Agency or Authority of Transit Service</t>
  </si>
  <si>
    <t>Washington Metropolitan Area Transit Authority</t>
  </si>
  <si>
    <t>Washington</t>
  </si>
  <si>
    <t>DC</t>
  </si>
  <si>
    <t>Chicago Transit Authority</t>
  </si>
  <si>
    <t>Chicago</t>
  </si>
  <si>
    <t>IL</t>
  </si>
  <si>
    <t>W</t>
  </si>
  <si>
    <t>Yes</t>
  </si>
  <si>
    <t>Massachusetts Bay Transportation Authority</t>
  </si>
  <si>
    <t>Boston</t>
  </si>
  <si>
    <t>MA</t>
  </si>
  <si>
    <t>Q</t>
  </si>
  <si>
    <t>Southeastern Pennsylvania Transportation Authority</t>
  </si>
  <si>
    <t>Philadelphia</t>
  </si>
  <si>
    <t>PA</t>
  </si>
  <si>
    <t>Metropolitan Transit Authority of Harris County, Texas, dba: Metro</t>
  </si>
  <si>
    <t>Houston</t>
  </si>
  <si>
    <t>TX</t>
  </si>
  <si>
    <t>Maryland Transit Administration</t>
  </si>
  <si>
    <t>Baltimore</t>
  </si>
  <si>
    <t>MD</t>
  </si>
  <si>
    <t>State Government Unit or Department of Transportation</t>
  </si>
  <si>
    <t>County of Miami-Dade, dba: Transportation &amp; Public Work</t>
  </si>
  <si>
    <t>Miami</t>
  </si>
  <si>
    <t>FL</t>
  </si>
  <si>
    <t>City, County or Local Government Unit or Department of Transportation</t>
  </si>
  <si>
    <t>Denver Regional Transportation District</t>
  </si>
  <si>
    <t>Denver</t>
  </si>
  <si>
    <t>CO</t>
  </si>
  <si>
    <t>Metro-North Commuter Railroad Company, dba: MTA Metro-North Railroad</t>
  </si>
  <si>
    <t>New York</t>
  </si>
  <si>
    <t>Dallas Area Rapid Transit</t>
  </si>
  <si>
    <t>Dallas</t>
  </si>
  <si>
    <t>Utah Transit Authority</t>
  </si>
  <si>
    <t>Salt Lake City</t>
  </si>
  <si>
    <t>UT</t>
  </si>
  <si>
    <t>Northeast Illinois Regional Commuter Railroad Corporation, dba: Metra</t>
  </si>
  <si>
    <t>MTA Long Island Rail Road</t>
  </si>
  <si>
    <t>Jamaica</t>
  </si>
  <si>
    <t>City and County of San Francisco, dba: San Francisco Municipal Transportation Agency (MUNI)</t>
  </si>
  <si>
    <t>San Francisco</t>
  </si>
  <si>
    <t>Tri-County Metropolitan Transportation District of Oregon, dba: TriMet</t>
  </si>
  <si>
    <t>Portland</t>
  </si>
  <si>
    <t>OR</t>
  </si>
  <si>
    <t>Metropolitan Atlanta Rapid Transit Authority</t>
  </si>
  <si>
    <t>Atlanta</t>
  </si>
  <si>
    <t>GA</t>
  </si>
  <si>
    <t>Port Authority of Allegheny County</t>
  </si>
  <si>
    <t>Pittsburgh</t>
  </si>
  <si>
    <t>San Diego Metropolitan Transit System</t>
  </si>
  <si>
    <t>San Diego</t>
  </si>
  <si>
    <t>Metro Transit, dba: Metro Transit</t>
  </si>
  <si>
    <t>Minneapolis</t>
  </si>
  <si>
    <t>MN</t>
  </si>
  <si>
    <t>Santa Clara Valley Transportation Authority</t>
  </si>
  <si>
    <t>San Jose</t>
  </si>
  <si>
    <t>San Francisco Bay Area Rapid Transit District</t>
  </si>
  <si>
    <t>Oakland</t>
  </si>
  <si>
    <t>Bi-State Development Agency of the Missouri-Illinois Metropolitan District, dba: St. Louis Metro</t>
  </si>
  <si>
    <t>Saint Louis</t>
  </si>
  <si>
    <t>MO</t>
  </si>
  <si>
    <t>The Greater Cleveland Regional Transit Authority</t>
  </si>
  <si>
    <t>Cleveland</t>
  </si>
  <si>
    <t>OH</t>
  </si>
  <si>
    <t>Transportation District Commission of Hampton Roads, dba: Hampton Roads Transit</t>
  </si>
  <si>
    <t>Hampton</t>
  </si>
  <si>
    <t>VA</t>
  </si>
  <si>
    <t>City of Charlotte North Carolina, dba: Charlotte Area Transit System</t>
  </si>
  <si>
    <t>Charlotte</t>
  </si>
  <si>
    <t>NC</t>
  </si>
  <si>
    <t>Central Puget Sound Regional Transit Authority, dba: Sound Transit</t>
  </si>
  <si>
    <t>Seattle</t>
  </si>
  <si>
    <t>WA</t>
  </si>
  <si>
    <t>Niagara Frontier Transportation Authority</t>
  </si>
  <si>
    <t>Buffalo</t>
  </si>
  <si>
    <t>Sacramento Regional Transit District, dba: Sacramento RT</t>
  </si>
  <si>
    <t>Sacramento</t>
  </si>
  <si>
    <t>Fort Worth Transportation Authority, dba: Trinity Metro</t>
  </si>
  <si>
    <t>Fort Worth</t>
  </si>
  <si>
    <t>Port Authority Trans-Hudson Corporation</t>
  </si>
  <si>
    <t>North County Transit District</t>
  </si>
  <si>
    <t>Oceanside</t>
  </si>
  <si>
    <t>Southern California Regional Rail Authority, dba: Metrolink</t>
  </si>
  <si>
    <t>Peninsula Corridor Joint Powers Board, dba: Caltrain</t>
  </si>
  <si>
    <t>San Carlos</t>
  </si>
  <si>
    <t>Virginia Railway Express</t>
  </si>
  <si>
    <t>Alexandria</t>
  </si>
  <si>
    <t>Port Authority Transit Corporation</t>
  </si>
  <si>
    <t>Lindenwold</t>
  </si>
  <si>
    <t>Northern Indiana Commuter Transportation District</t>
  </si>
  <si>
    <t>Chesterton</t>
  </si>
  <si>
    <t>IN</t>
  </si>
  <si>
    <t>South Florida Regional Transportation Authority, dba: TRI-Rail</t>
  </si>
  <si>
    <t>Pompano Beach</t>
  </si>
  <si>
    <t>Rio Metro Regional Transit District</t>
  </si>
  <si>
    <t>Albuquerque</t>
  </si>
  <si>
    <t>NM</t>
  </si>
  <si>
    <t>Alternativa de Transporte Integrado -ATI</t>
  </si>
  <si>
    <t>San Juan</t>
  </si>
  <si>
    <t>PR</t>
  </si>
  <si>
    <t>Regional Transportation Authority</t>
  </si>
  <si>
    <t>Madison</t>
  </si>
  <si>
    <t>TN</t>
  </si>
  <si>
    <t>Staten Island Rapid Transit Operating Authority, dba: MTA Staten Island Railway</t>
  </si>
  <si>
    <t>Staten Island</t>
  </si>
  <si>
    <t>Connecticut Department of Transportation</t>
  </si>
  <si>
    <t>Newington</t>
  </si>
  <si>
    <t>CT</t>
  </si>
  <si>
    <t>Valley Metro Rail, Inc.</t>
  </si>
  <si>
    <t>Phoenix</t>
  </si>
  <si>
    <t>AZ</t>
  </si>
  <si>
    <t>Altamont Corridor Express</t>
  </si>
  <si>
    <t>Stockton</t>
  </si>
  <si>
    <t>Central Florida Commuter Rail, dba: SunRail</t>
  </si>
  <si>
    <t>Tallahassee</t>
  </si>
  <si>
    <t>Northern New England Passenger Rail Authority</t>
  </si>
  <si>
    <t>ME</t>
  </si>
  <si>
    <t>Pennsylvania Department of Transportation</t>
  </si>
  <si>
    <t>Harrisburg</t>
  </si>
  <si>
    <t>Sonoma-Marin Area Rail Transit District</t>
  </si>
  <si>
    <t>Petaluma</t>
  </si>
  <si>
    <t>TOS</t>
  </si>
  <si>
    <t>Fuel/Energy Used:</t>
  </si>
  <si>
    <t>Diesel (gal)</t>
  </si>
  <si>
    <t>Diesel (gal) Questionable</t>
  </si>
  <si>
    <t>Gasoline (gal)</t>
  </si>
  <si>
    <t>Gasoline (gal) Questionable</t>
  </si>
  <si>
    <t>Liquefied Petroleum Gas (gal equivalent)</t>
  </si>
  <si>
    <t>Liquefied Petroleum Gas (gal equivalent) Questionable</t>
  </si>
  <si>
    <t>Compressed Natural Gas (gal equivalent)</t>
  </si>
  <si>
    <t>Compressed Natural Gas (gal equivalent) Questionable</t>
  </si>
  <si>
    <t>Bio-Diesel (gal)</t>
  </si>
  <si>
    <t>Bio-Diesel (gal) Questionable</t>
  </si>
  <si>
    <t>Other Fuel (gal/gal equivalent)</t>
  </si>
  <si>
    <t>Other Fuel (gal/gal equivalent) Questionable</t>
  </si>
  <si>
    <t>Electric Propulsion (kwh)</t>
  </si>
  <si>
    <t>Electric Propulsion (kwh) Questionable</t>
  </si>
  <si>
    <t>Electric Battery (kwh)</t>
  </si>
  <si>
    <t>Electric Battery (kwh) Questionable</t>
  </si>
  <si>
    <t>Miles Traveled by Vehicles Fueled by:</t>
  </si>
  <si>
    <t>Diesel Questionable</t>
  </si>
  <si>
    <t>Gasoline</t>
  </si>
  <si>
    <t>Gasoline Questionable</t>
  </si>
  <si>
    <t>Liquefied Petroleum Gas</t>
  </si>
  <si>
    <t>Liquefied Petroleum Gas Questionable</t>
  </si>
  <si>
    <t>Compressed Natural Gas Questionable</t>
  </si>
  <si>
    <t>Other Fuel</t>
  </si>
  <si>
    <t>Other Fuel Questionable</t>
  </si>
  <si>
    <t>Electric Propulsion</t>
  </si>
  <si>
    <t>Electric Propulsion Questionable</t>
  </si>
  <si>
    <t>Electric Battery</t>
  </si>
  <si>
    <t>Electric Battery Questionable</t>
  </si>
  <si>
    <t>Miles per Gallon/KwH:</t>
  </si>
  <si>
    <t>Diesel (mpg)</t>
  </si>
  <si>
    <t>Diesel (mpg) Questionable</t>
  </si>
  <si>
    <t>Gasoline (mpg)</t>
  </si>
  <si>
    <t>Gasoline (mpg) Questionable</t>
  </si>
  <si>
    <t>Liquefied Petroleum Gas (mpg)</t>
  </si>
  <si>
    <t>Liquefied Petroleum Gas (mpg) Questionable</t>
  </si>
  <si>
    <t>Compressed Natural Gas (mpg)</t>
  </si>
  <si>
    <t>Compressed Natural Gas (mpg) Questionable</t>
  </si>
  <si>
    <t>Other Fuel (mpg)</t>
  </si>
  <si>
    <t>Other Fuel (mpg) Questionable</t>
  </si>
  <si>
    <t>Electric Propulsion (mi/kwh)</t>
  </si>
  <si>
    <t>Electric Propulsion (mi/kwh) Questionable</t>
  </si>
  <si>
    <t>Electric Battery (mi/kwh)</t>
  </si>
  <si>
    <t>Electric Battery (mi/kwh) Questionable</t>
  </si>
  <si>
    <t>Any data questionable?</t>
  </si>
  <si>
    <t>btu/gallon diesel</t>
  </si>
  <si>
    <t>btu/kwh</t>
  </si>
  <si>
    <t>Rail types</t>
  </si>
  <si>
    <t>Number of Vehicles and Miles</t>
  </si>
  <si>
    <t>Vehicle Fuel Use</t>
  </si>
  <si>
    <t>subregion</t>
  </si>
  <si>
    <t>% of miles diesel</t>
  </si>
  <si>
    <t>% of miles electric</t>
  </si>
  <si>
    <t>calc AVLO</t>
  </si>
  <si>
    <t>calc BAADTVBT</t>
  </si>
  <si>
    <t>SYVBT-diesel</t>
  </si>
  <si>
    <t>SYVBT-electric</t>
  </si>
  <si>
    <t>diesel (btus)</t>
  </si>
  <si>
    <t>electric (btu)</t>
  </si>
  <si>
    <t>calc SYFAFE-diesel</t>
  </si>
  <si>
    <t>calc SYFAFE-electric</t>
  </si>
  <si>
    <t>Alabama</t>
  </si>
  <si>
    <t>AL</t>
  </si>
  <si>
    <t>subregion1</t>
  </si>
  <si>
    <t>Alaska</t>
  </si>
  <si>
    <t>AK</t>
  </si>
  <si>
    <t>subregion2</t>
  </si>
  <si>
    <t>Arizona</t>
  </si>
  <si>
    <t>subregion3</t>
  </si>
  <si>
    <t>Arkansas</t>
  </si>
  <si>
    <t>AR</t>
  </si>
  <si>
    <t>subregion4</t>
  </si>
  <si>
    <t>California</t>
  </si>
  <si>
    <t>subregion5</t>
  </si>
  <si>
    <t>Colorado</t>
  </si>
  <si>
    <t>subregion6</t>
  </si>
  <si>
    <t>Connecticut</t>
  </si>
  <si>
    <t>subregion7</t>
  </si>
  <si>
    <t>Delaware</t>
  </si>
  <si>
    <t>DE</t>
  </si>
  <si>
    <t>subregion8</t>
  </si>
  <si>
    <t>NA</t>
  </si>
  <si>
    <t>Florida</t>
  </si>
  <si>
    <t>subregion9</t>
  </si>
  <si>
    <t>Georgia</t>
  </si>
  <si>
    <t>subregion10</t>
  </si>
  <si>
    <t>Hawaii</t>
  </si>
  <si>
    <t>HI</t>
  </si>
  <si>
    <t>subregion11</t>
  </si>
  <si>
    <t>Idaho</t>
  </si>
  <si>
    <t>ID</t>
  </si>
  <si>
    <t>subregion12</t>
  </si>
  <si>
    <t>Illinois</t>
  </si>
  <si>
    <t>subregion13</t>
  </si>
  <si>
    <t>Indiana</t>
  </si>
  <si>
    <t>subregion14</t>
  </si>
  <si>
    <t>Iowa</t>
  </si>
  <si>
    <t>IA</t>
  </si>
  <si>
    <t>subregion15</t>
  </si>
  <si>
    <t>Kansas</t>
  </si>
  <si>
    <t>KS</t>
  </si>
  <si>
    <t>subregion16</t>
  </si>
  <si>
    <t>Kentucky</t>
  </si>
  <si>
    <t>KY</t>
  </si>
  <si>
    <t>subregion17</t>
  </si>
  <si>
    <t>Louisiana</t>
  </si>
  <si>
    <t>LA</t>
  </si>
  <si>
    <t>subregion18</t>
  </si>
  <si>
    <t>Maine</t>
  </si>
  <si>
    <t>subregion19</t>
  </si>
  <si>
    <t>Maryland</t>
  </si>
  <si>
    <t>subregion20</t>
  </si>
  <si>
    <t>Massachusetts</t>
  </si>
  <si>
    <t>subregion21</t>
  </si>
  <si>
    <t>Michigan</t>
  </si>
  <si>
    <t>MI</t>
  </si>
  <si>
    <t>subregion22</t>
  </si>
  <si>
    <t>Minnesota</t>
  </si>
  <si>
    <t>subregion23</t>
  </si>
  <si>
    <t>Mississippi</t>
  </si>
  <si>
    <t>MS</t>
  </si>
  <si>
    <t>subregion24</t>
  </si>
  <si>
    <t>Missouri</t>
  </si>
  <si>
    <t>subregion25</t>
  </si>
  <si>
    <t>Montana</t>
  </si>
  <si>
    <t>MT</t>
  </si>
  <si>
    <t>subregion26</t>
  </si>
  <si>
    <t>Nebraska</t>
  </si>
  <si>
    <t>NE</t>
  </si>
  <si>
    <t>subregion27</t>
  </si>
  <si>
    <t>Nevada</t>
  </si>
  <si>
    <t>NV</t>
  </si>
  <si>
    <t>subregion28</t>
  </si>
  <si>
    <t>New Hampshire</t>
  </si>
  <si>
    <t>NH</t>
  </si>
  <si>
    <t>subregion29</t>
  </si>
  <si>
    <t>New Jersey</t>
  </si>
  <si>
    <t>subregion30</t>
  </si>
  <si>
    <t>New Mexico</t>
  </si>
  <si>
    <t>subregion31</t>
  </si>
  <si>
    <t>subregion32</t>
  </si>
  <si>
    <t>North Carolina</t>
  </si>
  <si>
    <t>subregion33</t>
  </si>
  <si>
    <t>North Dakota</t>
  </si>
  <si>
    <t>ND</t>
  </si>
  <si>
    <t>subregion34</t>
  </si>
  <si>
    <t>Ohio</t>
  </si>
  <si>
    <t>subregion35</t>
  </si>
  <si>
    <t>Oklahoma</t>
  </si>
  <si>
    <t>OK</t>
  </si>
  <si>
    <t>subregion36</t>
  </si>
  <si>
    <t>Oregon</t>
  </si>
  <si>
    <t>subregion37</t>
  </si>
  <si>
    <t>Pennsylvania</t>
  </si>
  <si>
    <t>subregion38</t>
  </si>
  <si>
    <t>Rhode Island</t>
  </si>
  <si>
    <t>RI</t>
  </si>
  <si>
    <t>subregion39</t>
  </si>
  <si>
    <t>South Carolina</t>
  </si>
  <si>
    <t>SC</t>
  </si>
  <si>
    <t>subregion40</t>
  </si>
  <si>
    <t>South Dakota</t>
  </si>
  <si>
    <t>SD</t>
  </si>
  <si>
    <t>subregion41</t>
  </si>
  <si>
    <t>Tennessee</t>
  </si>
  <si>
    <t>subregion42</t>
  </si>
  <si>
    <t>Texas</t>
  </si>
  <si>
    <t>subregion43</t>
  </si>
  <si>
    <t>Utah</t>
  </si>
  <si>
    <t>subregion44</t>
  </si>
  <si>
    <t>Vermont</t>
  </si>
  <si>
    <t>VT</t>
  </si>
  <si>
    <t>subregion45</t>
  </si>
  <si>
    <t>Virginia</t>
  </si>
  <si>
    <t>subregion46</t>
  </si>
  <si>
    <t>subregion47</t>
  </si>
  <si>
    <t>West Virginia</t>
  </si>
  <si>
    <t>WV</t>
  </si>
  <si>
    <t>subregion48</t>
  </si>
  <si>
    <t>Wisconsin</t>
  </si>
  <si>
    <t>WI</t>
  </si>
  <si>
    <t>subregion49</t>
  </si>
  <si>
    <t>Wyoming</t>
  </si>
  <si>
    <t>WY</t>
  </si>
  <si>
    <t>subregion50</t>
  </si>
  <si>
    <t>totals</t>
  </si>
  <si>
    <t>CHECK</t>
  </si>
  <si>
    <t xml:space="preserve">the EPA GHG Inventory. Therefore, we use a multiplier to help align total cargo </t>
  </si>
  <si>
    <t>distance to match emissions.</t>
  </si>
  <si>
    <t>When using NTS input data, emissions from passenger motorbikes and buses do not match</t>
  </si>
  <si>
    <t>buses</t>
  </si>
  <si>
    <t>trillion Btu</t>
  </si>
  <si>
    <t>AEO.2025.ALTTRNP.CNSM_NA_TRN_INTS_LNG_NA_NA_TRLBTU.A</t>
  </si>
  <si>
    <t>Freight: International Shipping: Fuel Use: LNG: Alternative Transportation</t>
  </si>
  <si>
    <t>- -</t>
  </si>
  <si>
    <t>AEO.2025.ALTTRNP.CNSM_NA_TRN_INTS_CNG_NA_NA_TRLBTU.A</t>
  </si>
  <si>
    <t>Freight: International Shipping: Fuel Use: CNG: Alternative Transportation</t>
  </si>
  <si>
    <t>AEO.2025.ALTTRNP.CNSM_NA_TRN_INTS_RFO_NA_NA_TRLBTU.A</t>
  </si>
  <si>
    <t>Freight: International Shipping: Fuel Use: Residual Fuel Oil: Alternative Transportation</t>
  </si>
  <si>
    <t>AEO.2025.ALTTRNP.CNSM_NA_TRN_INTS_DFO_NA_NA_TRLBTU.A</t>
  </si>
  <si>
    <t>Freight: International Shipping: Fuel Use: Distillate Fuel Oil: Alternative Transportation</t>
  </si>
  <si>
    <t>billion 2012 $</t>
  </si>
  <si>
    <t>AEO.2025.ALTTRNP.ECI_IMP_TRN_INTS_NA_NA_NA_BLNY09DLR.A</t>
  </si>
  <si>
    <t>Freight: International Shipping: Imports: Alternative Transportation</t>
  </si>
  <si>
    <t>Imports (billion 2012 dollars)</t>
  </si>
  <si>
    <t>AEO.2025.ALTTRNP.ECI_EXPT_TRN_INTS_NA_NA_NA_BLNY09DLR.A</t>
  </si>
  <si>
    <t>Freight: International Shipping: Exports: Alternative Transportation</t>
  </si>
  <si>
    <t>Exports (billion 2012 dollars)</t>
  </si>
  <si>
    <t>AEO.2025.ALTTRNP.ECI_UGHT_TRN_INTS_NA_NA_NA_BLNY09DLR.A</t>
  </si>
  <si>
    <t>Freight: International Shipping: Gross Trade: Alternative Transportation</t>
  </si>
  <si>
    <t>Gross Trade (billion 2012 dollars)</t>
  </si>
  <si>
    <t>AEO.2025.ALTTRNP.CNSM_NA_TRN_DMT_LNG_NA_NA_TRLBTU.A</t>
  </si>
  <si>
    <t>Freight: Domestic Shipping: Fuel Use: LNG: Alternative Transportation</t>
  </si>
  <si>
    <t>AEO.2025.ALTTRNP.CNSM_NA_TRN_DMT_CNG_NA_NA_TRLBTU.A</t>
  </si>
  <si>
    <t>Freight: Domestic Shipping: Fuel Use: CNG: Alternative Transportation</t>
  </si>
  <si>
    <t>AEO.2025.ALTTRNP.CNSM_NA_TRN_DMT_RFO_NA_NA_TRLBTU.A</t>
  </si>
  <si>
    <t>Freight: Domestic Shipping: Fuel Use: Residual Fuel Oil: Alternative Transportation</t>
  </si>
  <si>
    <t>AEO.2025.ALTTRNP.CNSM_NA_TRN_DMT_DFO_NA_NA_TRLBTU.A</t>
  </si>
  <si>
    <t>Freight: Domestic Shipping: Fuel Use: Distillate Fuel Oil: Alternative Transportation</t>
  </si>
  <si>
    <t>ton miles/thousand Btu</t>
  </si>
  <si>
    <t>AEO.2025.ALTTRNP.EFI_NA_TRN_DMT_NA_NA_NA_TONMLPTHBTU.A</t>
  </si>
  <si>
    <t>Freight: Domestic Shipping: Fuel Efficiency: Alternative Transportation</t>
  </si>
  <si>
    <t>Fuel Efficiency (ton miles per thousand Btu)</t>
  </si>
  <si>
    <t>billions</t>
  </si>
  <si>
    <t>AEO.2025.ALTTRNP.ECI_FTM_TRN_DMT_NA_NA_NA_BLN.A</t>
  </si>
  <si>
    <t>Freight: Domestic Shipping: Ton Miles Shipping: Alternative Transportation</t>
  </si>
  <si>
    <t>Ton Miles Shipping (billion)</t>
  </si>
  <si>
    <t>AEO.2025.ALTTRNP.CNSM_NA_TRN_RAIL_LNG_NA_NA_TRLBTU.A</t>
  </si>
  <si>
    <t>Freight: Railroads: Fuel Use: LNG: Alternative Transportation</t>
  </si>
  <si>
    <t>AEO.2025.ALTTRNP.CNSM_NA_TRN_RAIL_CNG_NA_NA_TRLBTU.A</t>
  </si>
  <si>
    <t>Freight: Railroads: Fuel Use: CNG: Alternative Transportation</t>
  </si>
  <si>
    <t>AEO.2025.ALTTRNP.CNSM_NA_TRN_RAIL_RFO_NA_NA_TRLBTU.A</t>
  </si>
  <si>
    <t>Freight: Railroads: Fuel Use: Residual Fuel Oil: Alternative Transportation</t>
  </si>
  <si>
    <t>AEO.2025.ALTTRNP.CNSM_NA_TRN_RAIL_DFO_NA_NA_TRLBTU.A</t>
  </si>
  <si>
    <t>Freight: Railroads: Fuel Use: Distillate Fuel Oil: Alternative Transportation</t>
  </si>
  <si>
    <t>AEO.2025.ALTTRNP.EFI_NA_TRN_RAIL_NA_NA_NA_TONMLPTHBTU.A</t>
  </si>
  <si>
    <t>Freight: Railroads: Fuel Efficiency: Alternative Transportation</t>
  </si>
  <si>
    <t>AEO.2025.ALTTRNP.ECI_FTM_TRN_RAIL_NA_NA_NA_BLN.A</t>
  </si>
  <si>
    <t>Freight: Railroads: Ton Miles by Rail: Alternative Transportation</t>
  </si>
  <si>
    <t>Ton Miles by Rail (billion)</t>
  </si>
  <si>
    <t>thousands</t>
  </si>
  <si>
    <t>AEO.2025.ALTTRNP.ECI_SAL_FGHT_NA_NA_NA_NA_TH.A</t>
  </si>
  <si>
    <t>Freight: New Trucks: Sales: Alternative Transportation</t>
  </si>
  <si>
    <t>Total Sales</t>
  </si>
  <si>
    <t>AEO.2025.ALTTRNP.ECI_SAL_FGHT_RAD_NA_NA_NA_TH.A</t>
  </si>
  <si>
    <t>Freight: New Trucks: Sales: Heavy: Alternative Transportation</t>
  </si>
  <si>
    <t>Heavy Subtotal</t>
  </si>
  <si>
    <t>AEO.2025.ALTTRNP.ECI_SAL_FGHT_RAD_HYDICE_NA_NA_MPGDSEQ.A</t>
  </si>
  <si>
    <t>Freight: New Trucks: Sales: Heavy: Hydrogen ICE: Alternative Transportation</t>
  </si>
  <si>
    <t>Hydrogen ICE</t>
  </si>
  <si>
    <t>AEO.2025.ALTTRNP.ECI_SAL_FGHT_RAD_GASHEV_NA_NA_MPGGASEQ.A</t>
  </si>
  <si>
    <t>Freight: New Trucks: Sales: Heavy: Gasoline Hybrid: Alternative Transportation</t>
  </si>
  <si>
    <t>Gasoline Hybrid</t>
  </si>
  <si>
    <t>AEO.2025.ALTTRNP.ECI_SAL_FGHT_RAD_FEUCELBATDOM_NA_NA_MPGDSEQ.A</t>
  </si>
  <si>
    <t>Freight: New Trucks: Sales: Heavy: Fuel Cell Battery Dominant: Alternative Transportation</t>
  </si>
  <si>
    <t>Fuel Cell Battery Dominant</t>
  </si>
  <si>
    <t>AEO.2025.ALTTRNP.ECI_SAL_FGHT_RAD_FUC_NA_NA_TH.A</t>
  </si>
  <si>
    <t>Freight: New Trucks: Sales: Heavy: Fuel Cell: Alternative Transportation</t>
  </si>
  <si>
    <t>AEO.2025.ALTTRNP.ECI_SAL_FGHT_RAD_EGH_NA_NA_TH.A</t>
  </si>
  <si>
    <t>Freight: New Trucks: Sales: Heavy: Plug-in Gasoline Hybrid: Alternative Transportation</t>
  </si>
  <si>
    <t>AEO.2025.ALTTRNP.ECI_SAL_FGHT_RAD_EDH_NA_NA_TH.A</t>
  </si>
  <si>
    <t>Freight: New Trucks: Sales: Heavy: Plug-in Diesel Hybrid: Alternative Transportation</t>
  </si>
  <si>
    <t>AEO.2025.ALTTRNP.ECI_SAL_FGHT_RAD_ELE_NA_NA_TH.A</t>
  </si>
  <si>
    <t>Freight: New Trucks: Sales: Heavy: Electric: Alternative Transportation</t>
  </si>
  <si>
    <t>AEO.2025.ALTTRNP.ECI_SAL_FGHT_RAD_EFFI_NA_NA_TH.A</t>
  </si>
  <si>
    <t>Freight: New Trucks: Sales: Heavy: Ethanol-Flex Fuel: Alternative Transportation</t>
  </si>
  <si>
    <t>AEO.2025.ALTTRNP.ECI_SAL_FGHT_RAD_NG_NA_NA_TH.A</t>
  </si>
  <si>
    <t>Freight: New Trucks: Sales: Heavy: Natural Gas: Alternative Transportation</t>
  </si>
  <si>
    <t>AEO.2025.ALTTRNP.ECI_SAL_FGHT_RAD_PROP_NA_NA_TH.A</t>
  </si>
  <si>
    <t>Freight: New Trucks: Sales: Heavy: Propane: Alternative Transportation</t>
  </si>
  <si>
    <t>AEO.2025.ALTTRNP.ECI_SAL_FGHT_RAD_MGS_NA_NA_TH.A</t>
  </si>
  <si>
    <t>Freight: New Trucks: Sales: Heavy: Motor Gasoline: Alternative Transportation</t>
  </si>
  <si>
    <t>AEO.2025.ALTTRNP.ECI_SAL_FGHT_RAD_DSL_NA_NA_TH.A</t>
  </si>
  <si>
    <t>Freight: New Trucks: Sales: Heavy: Diesel: Alternative Transportation</t>
  </si>
  <si>
    <t>Heavy</t>
  </si>
  <si>
    <t>AEO.2025.ALTTRNP.ECI_SAL_FGHT_SOSO_NA_NA_NA_TH.A</t>
  </si>
  <si>
    <t>Freight: New Trucks: Sales: Medium: Alternative Transportation</t>
  </si>
  <si>
    <t>Medium Subtotal</t>
  </si>
  <si>
    <t>AEO.2025.ALTTRNP.ECI_SAL_FGHT_SOSO_HYDICE_NA_NA_MPGDSEQ.A</t>
  </si>
  <si>
    <t>Freight: New Trucks: Sales: Medium: Hydrogen ICE: Alternative Transportation</t>
  </si>
  <si>
    <t>AEO.2025.ALTTRNP.ECI_SAL_FGHT_SOSO_GASHEV_NA_NA_MPGGASEQ.A</t>
  </si>
  <si>
    <t>Freight: New Trucks: Sales: Medium: Gasoline Hybrid: Alternative Transportation</t>
  </si>
  <si>
    <t>AEO.2025.ALTTRNP.ECI_SAL_FGHT_SOSO_FEUCELBATDOM_NA_NA_MPGDSEQ.A</t>
  </si>
  <si>
    <t>Freight: New Trucks: Sales: Medium: Fuel Cell Battery Dominant: Alternative Transportation</t>
  </si>
  <si>
    <t>AEO.2025.ALTTRNP.ECI_SAL_FGHT_SOSO_FUC_NA_NA_TH.A</t>
  </si>
  <si>
    <t>Freight: New Trucks: Sales: Medium: Fuel Cell: Alternative Transportation</t>
  </si>
  <si>
    <t>AEO.2025.ALTTRNP.ECI_SAL_FGHT_SOSO_EGH_NA_NA_TH.A</t>
  </si>
  <si>
    <t>Freight: New Trucks: Sales: Medium: Plug-in Gasoline Hybrid: Alternative Transportation</t>
  </si>
  <si>
    <t>AEO.2025.ALTTRNP.ECI_SAL_FGHT_SOSO_EDH_NA_NA_TH.A</t>
  </si>
  <si>
    <t>Freight: New Trucks: Sales: Medium: Plug-in Diesel Hybrid: Alternative Transportation</t>
  </si>
  <si>
    <t>AEO.2025.ALTTRNP.ECI_SAL_FGHT_SOSO_ELE_NA_NA_TH.A</t>
  </si>
  <si>
    <t>Freight: New Trucks: Sales: Medium: Electric: Alternative Transportation</t>
  </si>
  <si>
    <t>AEO.2025.ALTTRNP.ECI_SAL_FGHT_SOSO_EFFI_NA_NA_TH.A</t>
  </si>
  <si>
    <t>Freight: New Trucks: Sales: Medium: Ethanol-Flex Fuel: Alternative Transportation</t>
  </si>
  <si>
    <t>AEO.2025.ALTTRNP.ECI_SAL_FGHT_SOSO_NG_NA_NA_TH.A</t>
  </si>
  <si>
    <t>Freight: New Trucks: Sales: Medium: Natural Gas: Alternative Transportation</t>
  </si>
  <si>
    <t>AEO.2025.ALTTRNP.ECI_SAL_FGHT_SOSO_PROP_NA_NA_TH.A</t>
  </si>
  <si>
    <t>Freight: New Trucks: Sales: Medium: Propane: Alternative Transportation</t>
  </si>
  <si>
    <t>AEO.2025.ALTTRNP.ECI_SAL_FGHT_SOSO_MGS_NA_NA_TH.A</t>
  </si>
  <si>
    <t>Freight: New Trucks: Sales: Medium: Motor Gasoline: Alternative Transportation</t>
  </si>
  <si>
    <t>AEO.2025.ALTTRNP.ECI_SAL_FGHT_SOSO_DSL_NA_NA_TH.A</t>
  </si>
  <si>
    <t>Freight: New Trucks: Sales: Medium: Diesel: Alternative Transportation</t>
  </si>
  <si>
    <t>Medium</t>
  </si>
  <si>
    <t>AEO.2025.ALTTRNP.ECI_SAL_FGHT_LITEMED_NA_NA_NA_TH.A</t>
  </si>
  <si>
    <t>Freight: New Trucks: Sales: Light Medium: Alternative Transportation</t>
  </si>
  <si>
    <t>Light Medium Subtotal</t>
  </si>
  <si>
    <t>AEO.2025.ALTTRNP.ECI_SAL_FGHT_LITEMED_HYDICE_NA_NA_MPGDSEQ.A</t>
  </si>
  <si>
    <t>Freight: New Trucks: Sales: Light Medium: Hydrogen ICE: Alternative Transportation</t>
  </si>
  <si>
    <t>AEO.2025.ALTTRNP.ECI_SAL_FGHT_LITEMED_GASHEV_NA_NA_MPGGASEQ.A</t>
  </si>
  <si>
    <t>Freight: New Trucks: Sales: Light Medium: Gasoline Hybrid: Alternative Transportation</t>
  </si>
  <si>
    <t>AEO.2025.ALTTRNP.ECI_SAL_FGHT_LITEMED_FEUCELBATDOM_NA_NA_MPGDSEQ.A</t>
  </si>
  <si>
    <t>Freight: New Trucks: Sales: Light Medium: Fuel Cell Battery Dominant: Alternative Transportation</t>
  </si>
  <si>
    <t>AEO.2025.ALTTRNP.ECI_SAL_FGHT_LITEMED_FUC_NA_NA_TH.A</t>
  </si>
  <si>
    <t>Freight: New Trucks: Sales: Light Medium: Fuel Cell: Alternative Transportation</t>
  </si>
  <si>
    <t>AEO.2025.ALTTRNP.ECI_SAL_FGHT_LITEMED_EGH_NA_NA_TH.A</t>
  </si>
  <si>
    <t>Freight: New Trucks: Sales: Light Medium: Plug-in Gasoline Hybrid: Alternative Transportation</t>
  </si>
  <si>
    <t>AEO.2025.ALTTRNP.ECI_SAL_FGHT_LITEMED_EDH_NA_NA_TH.A</t>
  </si>
  <si>
    <t>Freight: New Trucks: Sales: Light Medium: Plug-in Diesel Hybrid: Alternative Transportation</t>
  </si>
  <si>
    <t>AEO.2025.ALTTRNP.ECI_SAL_FGHT_LITEMED_ELE_NA_NA_TH.A</t>
  </si>
  <si>
    <t>Freight: New Trucks: Sales: Light Medium: Electric: Alternative Transportation</t>
  </si>
  <si>
    <t>AEO.2025.ALTTRNP.ECI_SAL_FGHT_LITEMED_EFFI_NA_NA_TH.A</t>
  </si>
  <si>
    <t>Freight: New Trucks: Sales: Light Medium: Ethanol-Flex Fuel: Alternative Transportation</t>
  </si>
  <si>
    <t>AEO.2025.ALTTRNP.ECI_SAL_FGHT_LITEMED_NG_NA_NA_TH.A</t>
  </si>
  <si>
    <t>Freight: New Trucks: Sales: Light Medium: Natural Gas: Alternative Transportation</t>
  </si>
  <si>
    <t>AEO.2025.ALTTRNP.ECI_SAL_FGHT_LITEMED_PROP_NA_NA_TH.A</t>
  </si>
  <si>
    <t>Freight: New Trucks: Sales: Light Medium: Propane: Alternative Transportation</t>
  </si>
  <si>
    <t>AEO.2025.ALTTRNP.ECI_SAL_FGHT_LITEMED_MGS_NA_NA_TH.A</t>
  </si>
  <si>
    <t>Freight: New Trucks: Sales: Light Medium: Motor Gasoline: Alternative Transportation</t>
  </si>
  <si>
    <t>AEO.2025.ALTTRNP.ECI_SAL_FGHT_LITEMED_DSL_NA_NA_TH.A</t>
  </si>
  <si>
    <t>Freight: New Trucks: Sales: Light Medium: Diesel: Alternative Transportation</t>
  </si>
  <si>
    <t>Light Medium</t>
  </si>
  <si>
    <t>Sales (thousands)</t>
  </si>
  <si>
    <t>AEO.2025.ALTTRNP.EFI_NA_FGHT_NEW_NA_NA_NA_NA.A</t>
  </si>
  <si>
    <t>Freight: New Trucks: Fuel Efficiency: Alternative Transportation</t>
  </si>
  <si>
    <t>Average Fuel Efficiency</t>
  </si>
  <si>
    <t>AEO.2025.ALTTRNP.EFI_NA_FGHT_RADN_NA_NA_NA_NA.A</t>
  </si>
  <si>
    <t>Freight: New Trucks: Fuel Efficiency: Heavy: Average: Alternative Transportation</t>
  </si>
  <si>
    <t>Heavy Average</t>
  </si>
  <si>
    <t>mpg diesel equiv</t>
  </si>
  <si>
    <t>AEO.2025.ALTTRNP.EFI_NA_FGHT_RADN_HYDICE_NA_NA_MPGDSEQ.A</t>
  </si>
  <si>
    <t>Freight: New Trucks: Fuel Efficiency: Heavy: Hydrogen ICE: Alternative Transportation</t>
  </si>
  <si>
    <t>mpg gas equiv</t>
  </si>
  <si>
    <t>AEO.2025.ALTTRNP.EFI_NA_FGHT_RADN_GASHEV_NA_NA_MPGGASEQ.A</t>
  </si>
  <si>
    <t>Freight: New Trucks: Fuel Efficiency: Heavy: Gasoline Hybrid: Alternative Transportation</t>
  </si>
  <si>
    <t>AEO.2025.ALTTRNP.EFI_NA_FGHT_RADN_FEUCELBATDOM_NA_NA_MPGDSEQ.A</t>
  </si>
  <si>
    <t>Freight: New Trucks: Fuel Efficiency: Heavy: Fuel Cell Battery Dominant: Alternative Transportation</t>
  </si>
  <si>
    <t>AEO.2025.ALTTRNP.EFI_NA_FGHT_RADN_FUC_NA_NA_MPGDSEQ.A</t>
  </si>
  <si>
    <t>Freight: New Trucks: Fuel Efficiency: Heavy: Fuel Cell: Alternative Transportation</t>
  </si>
  <si>
    <t>AEO.2025.ALTTRNP.EFI_NA_FGHT_RADN_EGH_NA_NA_MPGGASEQ.A</t>
  </si>
  <si>
    <t>Freight: New Trucks: Fuel Efficiency: Heavy: Plug-in Gasoline Hybrid: Alternative Transportation</t>
  </si>
  <si>
    <t>AEO.2025.ALTTRNP.EFI_NA_FGHT_RADN_EDH_NA_NA_MPGDSEQ.A</t>
  </si>
  <si>
    <t>Freight: New Trucks: Fuel Efficiency: Heavy: Plug-in Diesel Hybrid: Alternative Transportation</t>
  </si>
  <si>
    <t>AEO.2025.ALTTRNP.EFI_NA_FGHT_RADN_ELE_NA_NA_MPGDSEQ.A</t>
  </si>
  <si>
    <t>Freight: New Trucks: Fuel Efficiency: Heavy: Electric: Alternative Transportation</t>
  </si>
  <si>
    <t>AEO.2025.ALTTRNP.EFI_NA_FGHT_RADN_EFFI_NA_NA_MPGGASEQ.A</t>
  </si>
  <si>
    <t>Freight: New Trucks: Fuel Efficiency: Heavy: Ethanol-Flex Fuel: Alternative Transportation</t>
  </si>
  <si>
    <t>AEO.2025.ALTTRNP.EFI_NA_FGHT_RADN_NG_NA_NA_MPGDSEQ.A</t>
  </si>
  <si>
    <t>Freight: New Trucks: Fuel Efficiency: Heavy: Natural Gas: Alternative Transportation</t>
  </si>
  <si>
    <t>AEO.2025.ALTTRNP.EFI_NA_FGHT_RADN_PROP_NA_NA_MPGGASEQ.A</t>
  </si>
  <si>
    <t>Freight: New Trucks: Fuel Efficiency: Heavy: Propane: Alternative Transportation</t>
  </si>
  <si>
    <t>AEO.2025.ALTTRNP.EFI_NA_FGHT_RADN_MGS_NA_NA_MPGGASEQ.A</t>
  </si>
  <si>
    <t>Freight: New Trucks: Fuel Efficiency: Heavy: Motor Gasoline: Alternative Transportation</t>
  </si>
  <si>
    <t>AEO.2025.ALTTRNP.EFI_NA_FGHT_RADN_DSL_NA_NA_MPGDSEQ.A</t>
  </si>
  <si>
    <t>Freight: New Trucks: Fuel Efficiency: Heavy: Diesel: Alternative Transportation</t>
  </si>
  <si>
    <t>AEO.2025.ALTTRNP.EFI_NA_FGHT_SOSON_NA_NA_NA_NA.A</t>
  </si>
  <si>
    <t>Freight: New Trucks: Fuel Efficiency: Medium: Average: Alternative Transportation</t>
  </si>
  <si>
    <t>Medium Average</t>
  </si>
  <si>
    <t>AEO.2025.ALTTRNP.EFI_NA_FGHT_SOSON_HYDICE_NA_NA_MPGDSEQ.A</t>
  </si>
  <si>
    <t>Freight: New Trucks: Fuel Efficiency: Medium: Hydrogen ICE: Alternative Transportation</t>
  </si>
  <si>
    <t>AEO.2025.ALTTRNP.EFI_NA_FGHT_SOSON_GASHEV_NA_NA_MPGGASEQ.A</t>
  </si>
  <si>
    <t>Freight: New Trucks: Fuel Efficiency: Medium: Gasoline Hybrid: Alternative Transportation</t>
  </si>
  <si>
    <t>AEO.2025.ALTTRNP.EFI_NA_FGHT_SOSON_FEUCELBATDOM_NA_NA_MPGDSEQ.A</t>
  </si>
  <si>
    <t>Freight: New Trucks: Fuel Efficiency: Medium: Fuel Cell Battery Dominant: Alternative Transportation</t>
  </si>
  <si>
    <t>AEO.2025.ALTTRNP.EFI_NA_FGHT_SOSON_FUC_NA_NA_MPGGASEQ.A</t>
  </si>
  <si>
    <t>Freight: New Trucks: Fuel Efficiency: Medium: Fuel Cell: Alternative Transportation</t>
  </si>
  <si>
    <t>AEO.2025.ALTTRNP.EFI_NA_FGHT_SOSON_EGH_NA_NA_MPGGASEQ.A</t>
  </si>
  <si>
    <t>Freight: New Trucks: Fuel Efficiency: Medium: Plug-in Gasoline Hybrid: Alternative Transportation</t>
  </si>
  <si>
    <t>AEO.2025.ALTTRNP.EFI_NA_FGHT_SOSON_EDH_NA_NA_MPGGASEQ.A</t>
  </si>
  <si>
    <t>Freight: New Trucks: Fuel Efficiency: Medium: Plug-in Diesel Hybrid: Alternative Transportation</t>
  </si>
  <si>
    <t>AEO.2025.ALTTRNP.EFI_NA_FGHT_SOSON_ELE_NA_NA_MPGGASEQ.A</t>
  </si>
  <si>
    <t>Freight: New Trucks: Fuel Efficiency: Medium: Electric: Alternative Transportation</t>
  </si>
  <si>
    <t>mpg</t>
  </si>
  <si>
    <t>AEO.2025.ALTTRNP.EFI_NA_FGHT_SOSON_EFFI_NA_NA_MPG.A</t>
  </si>
  <si>
    <t>Freight: New Trucks: Fuel Efficiency: Medium: Ethanol-Flex Fuel: Alternative Transportation</t>
  </si>
  <si>
    <t>AEO.2025.ALTTRNP.EFI_NA_FGHT_SOSON_NG_NA_NA_MPGGASEQ.A</t>
  </si>
  <si>
    <t>Freight: New Trucks: Fuel Efficiency: Medium: Natural Gas: Alternative Transportation</t>
  </si>
  <si>
    <t>AEO.2025.ALTTRNP.EFI_NA_FGHT_SOSON_PROP_NA_NA_MPGGASEQ.A</t>
  </si>
  <si>
    <t>Freight: New Trucks: Fuel Efficiency: Medium: Propane: Alternative Transportation</t>
  </si>
  <si>
    <t>AEO.2025.ALTTRNP.EFI_NA_FGHT_SOSON_MGS_NA_NA_MPGGASEQ.A</t>
  </si>
  <si>
    <t>Freight: New Trucks: Fuel Efficiency: Medium: Motor Gasoline: Alternative Transportation</t>
  </si>
  <si>
    <t>AEO.2025.ALTTRNP.EFI_NA_FGHT_SOSON_DSL_NA_NA_MPGDSEQ.A</t>
  </si>
  <si>
    <t>Freight: New Trucks: Fuel Efficiency: Medium: Diesel: Alternative Transportation</t>
  </si>
  <si>
    <t>AEO.2025.ALTTRNP.EFI_NA_FGHT_LITEMEDN_NA_NA_NA_NA.A</t>
  </si>
  <si>
    <t>Freight: New Trucks: Fuel Efficiency: Light Medium: Average: Alternative Transportation</t>
  </si>
  <si>
    <t>Light Medium Average</t>
  </si>
  <si>
    <t>AEO.2025.ALTTRNP.EFI_NA_FGHT_LITEMEDN_HYDICE_NA_NA_MPGDSEQ.A</t>
  </si>
  <si>
    <t>Freight: New Trucks: Fuel Efficiency: Light Medium: Hydrogen ICE: Alternative Transportation</t>
  </si>
  <si>
    <t>AEO.2025.ALTTRNP.EFI_NA_FGHT_LITEMEDN_GASHEV_NA_NA_MPGGASEQ.A</t>
  </si>
  <si>
    <t>Freight: New Trucks: Fuel Efficiency: Light Medium: Gasoline Hybrid: Alternative Transportation</t>
  </si>
  <si>
    <t>AEO.2025.ALTTRNP.EFI_NA_FGHT_LITEMEDN_FEUCELBATDOM_NA_NA_MPGDSEQ.A</t>
  </si>
  <si>
    <t>Freight: New Trucks: Fuel Efficiency: Light Medium: Fuel Cell Battery Dominant: Alternative Transportation</t>
  </si>
  <si>
    <t>AEO.2025.ALTTRNP.EFI_NA_FGHT_LITEMEDN_FUC_NA_NA_MPGDSEQ.A</t>
  </si>
  <si>
    <t>Freight: New Trucks: Fuel Efficiency: Light Medium: Fuel Cell: Alternative Transportation</t>
  </si>
  <si>
    <t>AEO.2025.ALTTRNP.EFI_NA_FGHT_LITEMEDN_EGH_NA_NA_MPGGASEQ.A</t>
  </si>
  <si>
    <t>Freight: New Trucks: Fuel Efficiency: Light Medium: Plug-in Gasoline Hybrid: Alternative Transportation</t>
  </si>
  <si>
    <t>AEO.2025.ALTTRNP.EFI_NA_FGHT_LITEMEDN_EDH_NA_NA_MPGDSEQ.A</t>
  </si>
  <si>
    <t>Freight: New Trucks: Fuel Efficiency: Light Medium: Plug-in Diesel Hybrid: Alternative Transportation</t>
  </si>
  <si>
    <t>AEO.2025.ALTTRNP.EFI_NA_FGHT_LITEMEDN_ELE_NA_NA_MPGDSEQ.A</t>
  </si>
  <si>
    <t>Freight: New Trucks: Fuel Efficiency: Light Medium: Electric: Alternative Transportation</t>
  </si>
  <si>
    <t>AEO.2025.ALTTRNP.EFI_NA_FGHT_LITEMEDN_EFFI_NA_NA_MPGGASEQ.A</t>
  </si>
  <si>
    <t>Freight: New Trucks: Fuel Efficiency: Light Medium: Ethanol-Flex Fuel: Alternative Transportation</t>
  </si>
  <si>
    <t>AEO.2025.ALTTRNP.EFI_NA_FGHT_LITEMEDN_NG_NA_NA_MPGGASEQ.A</t>
  </si>
  <si>
    <t>Freight: New Trucks: Fuel Efficiency: Light Medium: Natural Gas: Alternative Transportation</t>
  </si>
  <si>
    <t>AEO.2025.ALTTRNP.EFI_NA_FGHT_LITEMEDN_PROP_NA_NA_MPGGASEQ.A</t>
  </si>
  <si>
    <t>Freight: New Trucks: Fuel Efficiency: Light Medium: Propane: Alternative Transportation</t>
  </si>
  <si>
    <t>AEO.2025.ALTTRNP.EFI_NA_FGHT_LITEMEDN_MGS_NA_NA_MPGGASEQ.A</t>
  </si>
  <si>
    <t>Freight: New Trucks: Fuel Efficiency: Light Medium: Motor Gasoline: Alternative Transportation</t>
  </si>
  <si>
    <t>AEO.2025.ALTTRNP.EFI_NA_FGHT_LITEMEDN_DSL_NA_NA_MPGDSEQ.A</t>
  </si>
  <si>
    <t>Freight: New Trucks: Fuel Efficiency: Light Medium: Diesel: Alternative Transportation</t>
  </si>
  <si>
    <t>Fuel Efficiency (miles per gallon)</t>
  </si>
  <si>
    <t>millions</t>
  </si>
  <si>
    <t>AEO.2025.ALTTRNP.ECI_STK_FGHT_STK_NA_NA_NA_MILL.A</t>
  </si>
  <si>
    <t>Freight: Truck Stock: Alternative Transportation</t>
  </si>
  <si>
    <t>AEO.2025.ALTTRNP.ECI_STK_FGHT_RADS_NA_NA_NA_MILL.A</t>
  </si>
  <si>
    <t>Freight: Truck Stock: Heavy: Alternative Transportation</t>
  </si>
  <si>
    <t>AEO.2025.ALTTRNP.ECI_STK_FGHT_RADS_HYDICE_NA_NA_MILL.A</t>
  </si>
  <si>
    <t>Freight: Truck Stock: Heavy: Hydrogen ICE: Alternative Transportation</t>
  </si>
  <si>
    <t>AEO.2025.ALTTRNP.ECI_STK_FGHT_RADS_GASHEV_NA_NA_MILL.A</t>
  </si>
  <si>
    <t>Freight: Truck Stock: Heavy: Gasoline Hybrid: Alternative Transportation</t>
  </si>
  <si>
    <t>AEO.2025.ALTTRNP.ECI_STK_FGHT_RADS_FEUCELBATDOM_NA_NA_MILL.A</t>
  </si>
  <si>
    <t>Freight: Truck Stock: Heavy: Fuel Cell Battery Dominant: Alternative Transportation</t>
  </si>
  <si>
    <t>AEO.2025.ALTTRNP.ECI_STK_FGHT_RADS_FUC_NA_NA_MILL.A</t>
  </si>
  <si>
    <t>Freight: Truck Stock: Heavy: Fuel Cell: Alternative Transportation</t>
  </si>
  <si>
    <t>AEO.2025.ALTTRNP.ECI_STK_FGHT_RADS_EGH_NA_NA_MILL.A</t>
  </si>
  <si>
    <t>Freight: Truck Stock: Heavy: Plug-in Gasoline Hybrid: Alternative Transportation</t>
  </si>
  <si>
    <t>AEO.2025.ALTTRNP.ECI_STK_FGHT_RADS_EDH_NA_NA_MILL.A</t>
  </si>
  <si>
    <t>Freight: Truck Stock: Heavy: Plug-in Diesel Hybrid: Alternative Transportation</t>
  </si>
  <si>
    <t>AEO.2025.ALTTRNP.ECI_STK_FGHT_RADS_ELE_NA_NA_MILL.A</t>
  </si>
  <si>
    <t>Freight: Truck Stock: Heavy: Electric: Alternative Transportation</t>
  </si>
  <si>
    <t>AEO.2025.ALTTRNP.ECI_STK_FGHT_RADS_EFFI_NA_NA_MILL.A</t>
  </si>
  <si>
    <t>Freight: Truck Stock: Heavy: Ethanol-Flex Fuel: Alternative Transportation</t>
  </si>
  <si>
    <t>AEO.2025.ALTTRNP.ECI_STK_FGHT_RADS_NG_NA_NA_MILL.A</t>
  </si>
  <si>
    <t>Freight: Truck Stock: Heavy: Natural Gas: Alternative Transportation</t>
  </si>
  <si>
    <t>AEO.2025.ALTTRNP.ECI_STK_FGHT_RADS_PROP_NA_NA_MILL.A</t>
  </si>
  <si>
    <t>Freight: Truck Stock: Heavy: Propane: Alternative Transportation</t>
  </si>
  <si>
    <t>AEO.2025.ALTTRNP.ECI_STK_FGHT_RADS_MGS_NA_NA_MILL.A</t>
  </si>
  <si>
    <t>Freight: Truck Stock: Heavy: Motor Gasoline: Alternative Transportation</t>
  </si>
  <si>
    <t>AEO.2025.ALTTRNP.ECI_STK_FGHT_RADS_DSL_NA_NA_MILL.A</t>
  </si>
  <si>
    <t>Freight: Truck Stock: Heavy: Diesel: Alternative Transportation</t>
  </si>
  <si>
    <t>AEO.2025.ALTTRNP.ECI_STK_FGHT_SOSOS_NA_NA_NA_MILL.A</t>
  </si>
  <si>
    <t>Freight: Truck Stock: Medium: Alternative Transportation</t>
  </si>
  <si>
    <t>AEO.2025.ALTTRNP.ECI_STK_FGHT_SOSOS_HYDICE_NA_NA_MILL.A</t>
  </si>
  <si>
    <t>Freight: Truck Stock: Medium: Hydrogen ICE: Alternative Transportation</t>
  </si>
  <si>
    <t>AEO.2025.ALTTRNP.ECI_STK_FGHT_SOSOS_GASHEV_NA_NA_MILL.A</t>
  </si>
  <si>
    <t>Freight: Truck Stock: Medium: Gasoline Hybrid: Alternative Transportation</t>
  </si>
  <si>
    <t>AEO.2025.ALTTRNP.ECI_STK_FGHT_SOSOS_FEUCELBATDOM_NA_NA_MILL.A</t>
  </si>
  <si>
    <t>Freight: Truck Stock: Medium: Fuel Cell Battery Dominant: Alternative Transportation</t>
  </si>
  <si>
    <t>AEO.2025.ALTTRNP.ECI_STK_FGHT_SOSOS_FUC_NA_NA_MILL.A</t>
  </si>
  <si>
    <t>Freight: Truck Stock: Medium: Fuel Cell: Alternative Transportation</t>
  </si>
  <si>
    <t>AEO.2025.ALTTRNP.ECI_STK_FGHT_SOSOS_EGH_NA_NA_MILL.A</t>
  </si>
  <si>
    <t>Freight: Truck Stock: Medium: Plug-in Gasoline Hybrid: Alternative Transportation</t>
  </si>
  <si>
    <t>AEO.2025.ALTTRNP.ECI_STK_FGHT_SOSOS_EDH_NA_NA_MILL.A</t>
  </si>
  <si>
    <t>Freight: Truck Stock: Medium: Plug-in Diesel Hybrid: Alternative Transportation</t>
  </si>
  <si>
    <t>AEO.2025.ALTTRNP.ECI_STK_FGHT_SOSOS_ELE_NA_NA_MILL.A</t>
  </si>
  <si>
    <t>Freight: Truck Stock: Medium: Electric: Alternative Transportation</t>
  </si>
  <si>
    <t>AEO.2025.ALTTRNP.ECI_STK_FGHT_SOSOS_EFFI_NA_NA_MILL.A</t>
  </si>
  <si>
    <t>Freight: Truck Stock: Medium: Ethanol-Flex Fuel: Alternative Transportation</t>
  </si>
  <si>
    <t>AEO.2025.ALTTRNP.ECI_STK_FGHT_SOSOS_NG_NA_NA_MILL.A</t>
  </si>
  <si>
    <t>Freight: Truck Stock: Medium: Natural Gas: Alternative Transportation</t>
  </si>
  <si>
    <t>AEO.2025.ALTTRNP.ECI_STK_FGHT_SOSOS_PROP_NA_NA_MILL.A</t>
  </si>
  <si>
    <t>Freight: Truck Stock: Medium: Propane: Alternative Transportation</t>
  </si>
  <si>
    <t>AEO.2025.ALTTRNP.ECI_STK_FGHT_SOSOS_MGS_NA_NA_MILL.A</t>
  </si>
  <si>
    <t>Freight: Truck Stock: Medium: Motor Gasoline: Alternative Transportation</t>
  </si>
  <si>
    <t>AEO.2025.ALTTRNP.ECI_STK_FGHT_SOSOS_DSL_NA_NA_MILL.A</t>
  </si>
  <si>
    <t>Freight: Truck Stock: Medium: Diesel: Alternative Transportation</t>
  </si>
  <si>
    <t>AEO.2025.ALTTRNP.ECI_STK_FGHT_LITEMEDS_NA_NA_NA_MILL.A</t>
  </si>
  <si>
    <t>Freight: Truck Stock: Light Medium: Alternative Transportation</t>
  </si>
  <si>
    <t>AEO.2025.ALTTRNP.ECI_STK_FGHT_LITEMEDS_HYDICE_NA_NA_MILL.A</t>
  </si>
  <si>
    <t>Freight: Truck Stock: Light Medium: Hydrogen ICE: Alternative Transportation</t>
  </si>
  <si>
    <t>AEO.2025.ALTTRNP.ECI_STK_FGHT_LITEMEDS_GASHEV_NA_NA_MILL.A</t>
  </si>
  <si>
    <t>Freight: Truck Stock: Light Medium: Gasoline Hybrid: Alternative Transportation</t>
  </si>
  <si>
    <t>AEO.2025.ALTTRNP.ECI_STK_FGHT_LITEMEDS_FEUCELBATDOM_NA_NA_MILL.A</t>
  </si>
  <si>
    <t>Freight: Truck Stock: Light Medium: Fuel Cell Battery Dominant: Alternative Transportation</t>
  </si>
  <si>
    <t>AEO.2025.ALTTRNP.ECI_STK_FGHT_LITEMEDS_FUC_NA_NA_MILL.A</t>
  </si>
  <si>
    <t>Freight: Truck Stock: Light Medium: Fuel Cell: Alternative Transportation</t>
  </si>
  <si>
    <t>AEO.2025.ALTTRNP.ECI_STK_FGHT_LITEMEDS_EGH_NA_NA_MILL.A</t>
  </si>
  <si>
    <t>Freight: Truck Stock: Light Medium: Plug-in Gasoline Hybrid: Alternative Transportation</t>
  </si>
  <si>
    <t>AEO.2025.ALTTRNP.ECI_STK_FGHT_LITEMEDS_EDH_NA_NA_MILL.A</t>
  </si>
  <si>
    <t>Freight: Truck Stock: Light Medium: Plug-in Diesel Hybrid: Alternative Transportation</t>
  </si>
  <si>
    <t>AEO.2025.ALTTRNP.ECI_STK_FGHT_LITEMEDS_ELE_NA_NA_MILL.A</t>
  </si>
  <si>
    <t>Freight: Truck Stock: Light Medium: Electric: Alternative Transportation</t>
  </si>
  <si>
    <t>AEO.2025.ALTTRNP.ECI_STK_FGHT_LITEMEDS_EFFI_NA_NA_MILL.A</t>
  </si>
  <si>
    <t>Freight: Truck Stock: Light Medium: Ethanol-Flex Fuel: Alternative Transportation</t>
  </si>
  <si>
    <t>AEO.2025.ALTTRNP.ECI_STK_FGHT_LITEMEDS_NG_NA_NA_MILL.A</t>
  </si>
  <si>
    <t>Freight: Truck Stock: Light Medium: Natural Gas: Alternative Transportation</t>
  </si>
  <si>
    <t>AEO.2025.ALTTRNP.ECI_STK_FGHT_LITEMEDS_PROP_NA_NA_MILL.A</t>
  </si>
  <si>
    <t>Freight: Truck Stock: Light Medium: Propane: Alternative Transportation</t>
  </si>
  <si>
    <t>AEO.2025.ALTTRNP.ECI_STK_FGHT_LITEMEDS_MGS_NA_NA_MILL.A</t>
  </si>
  <si>
    <t>Freight: Truck Stock: Light Medium: Motor Gasoline: Alternative Transportation</t>
  </si>
  <si>
    <t>AEO.2025.ALTTRNP.ECI_STK_FGHT_LITEMEDS_DSL_NA_NA_MILL.A</t>
  </si>
  <si>
    <t>Freight: Truck Stock: Light Medium: Diesel: Alternative Transportation</t>
  </si>
  <si>
    <t>Stock (millions)</t>
  </si>
  <si>
    <t>AEO.2025.ALTTRNP.EFI_NA_FGHT_STK_NA_NA_NA_NA.A</t>
  </si>
  <si>
    <t>Freight: Truck Stock: Fuel Efficiency: Alternative Transportation</t>
  </si>
  <si>
    <t>AEO.2025.ALTTRNP.EFI_NA_FGHT_RADS_NA_NA_NA_NA.A</t>
  </si>
  <si>
    <t>Freight: Truck Stock: Fuel Efficiency: Heavy: Average: Alternative Transportation</t>
  </si>
  <si>
    <t>AEO.2025.ALTTRNP.EFI_NA_FGHT_RADS_HYDICE_NA_NA_MPGDSEQ.A</t>
  </si>
  <si>
    <t>Freight: Truck Stock: Fuel Efficiency: Heavy: Hydrogen ICE: Alternative Transportation</t>
  </si>
  <si>
    <t>AEO.2025.ALTTRNP.EFI_NA_FGHT_RADS_GASHEV_NA_NA_MPGGASEQ.A</t>
  </si>
  <si>
    <t>Freight: Truck Stock: Fuel Efficiency: Heavy: Gasoline Hybrid: Alternative Transportation</t>
  </si>
  <si>
    <t>AEO.2025.ALTTRNP.EFI_NA_FGHT_RADS_FEUCELBATDOM_NA_NA_MPGDSEQ.A</t>
  </si>
  <si>
    <t>Freight: Truck Stock: Fuel Efficiency: Heavy: Fuel Cell Battery Dominant: Alternative Transportation</t>
  </si>
  <si>
    <t>AEO.2025.ALTTRNP.EFI_NA_FGHT_RADS_FUC_NA_NA_MPGDSEQ.A</t>
  </si>
  <si>
    <t>Freight: Truck Stock: Fuel Efficiency: Heavy: Fuel Cell: Alternative Transportation</t>
  </si>
  <si>
    <t>AEO.2025.ALTTRNP.EFI_NA_FGHT_RADS_EGH_NA_NA_MPGGASEQ.A</t>
  </si>
  <si>
    <t>Freight: Truck Stock: Fuel Efficiency: Heavy: Plug-in Gasoline Hybrid: Alternative Transportation</t>
  </si>
  <si>
    <t>AEO.2025.ALTTRNP.EFI_NA_FGHT_RADS_EDH_NA_NA_MPGDSEQ.A</t>
  </si>
  <si>
    <t>Freight: Truck Stock: Fuel Efficiency: Heavy: Plug-in Diesel Hybrid: Alternative Transportation</t>
  </si>
  <si>
    <t>AEO.2025.ALTTRNP.EFI_NA_FGHT_RADS_ELE_NA_NA_MPGDSEQ.A</t>
  </si>
  <si>
    <t>Freight: Truck Stock: Fuel Efficiency: Heavy: Electric: Alternative Transportation</t>
  </si>
  <si>
    <t>AEO.2025.ALTTRNP.EFI_NA_FGHT_RADS_EFFI_NA_NA_MPGGASEQ.A</t>
  </si>
  <si>
    <t>Freight: Truck Stock: Fuel Efficiency: Heavy: Ethanol-Flex Fuel: Alternative Transportation</t>
  </si>
  <si>
    <t>AEO.2025.ALTTRNP.EFI_NA_FGHT_RADS_NG_NA_NA_MPGDSEQ.A</t>
  </si>
  <si>
    <t>Freight: Truck Stock: Fuel Efficiency: Heavy: Natural Gas: Alternative Transportation</t>
  </si>
  <si>
    <t>AEO.2025.ALTTRNP.EFI_NA_FGHT_RADS_PROP_NA_NA_MPGGASEQ.A</t>
  </si>
  <si>
    <t>Freight: Truck Stock: Fuel Efficiency: Heavy: Propane: Alternative Transportation</t>
  </si>
  <si>
    <t>AEO.2025.ALTTRNP.EFI_NA_FGHT_RADS_MGS_NA_NA_MPGGASEQ.A</t>
  </si>
  <si>
    <t>Freight: Truck Stock: Fuel Efficiency: Heavy: Motor Gasoline: Alternative Transportation</t>
  </si>
  <si>
    <t>AEO.2025.ALTTRNP.EFI_NA_FGHT_RADS_DSL_NA_NA_MPGDSEQ.A</t>
  </si>
  <si>
    <t>Freight: Truck Stock: Fuel Efficiency: Heavy: Diesel: Alternative Transportation</t>
  </si>
  <si>
    <t>AEO.2025.ALTTRNP.EFI_NA_FGHT_SOSOS_NA_NA_NA_NA.A</t>
  </si>
  <si>
    <t>Freight: Truck Stock: Fuel Efficiency: Medium: Average: Alternative Transportation</t>
  </si>
  <si>
    <t>AEO.2025.ALTTRNP.EFI_NA_FGHT_SOSOS_HYDICE_NA_NA_MPGDSEQ.A</t>
  </si>
  <si>
    <t>Freight: Truck Stock: Fuel Efficiency: Medium: Hydrogen ICE: Alternative Transportation</t>
  </si>
  <si>
    <t>AEO.2025.ALTTRNP.EFI_NA_FGHT_SOSOS_GASHEV_NA_NA_MPGGASEQ.A</t>
  </si>
  <si>
    <t>Freight: Truck Stock: Fuel Efficiency: Medium: Gasoline Hybrid: Alternative Transportation</t>
  </si>
  <si>
    <t>AEO.2025.ALTTRNP.EFI_NA_FGHT_SOSOS_FEUCELBATDOM_NA_NA_MPGDSEQ.A</t>
  </si>
  <si>
    <t>Freight: Truck Stock: Fuel Efficiency: Medium: Fuel Cell Battery Dominant: Alternative Transportation</t>
  </si>
  <si>
    <t>AEO.2025.ALTTRNP.EFI_NA_FGHT_SOSOS_FUC_NA_NA_MPGGASEQ.A</t>
  </si>
  <si>
    <t>Freight: Truck Stock: Fuel Efficiency: Medium: Fuel Cell: Alternative Transportation</t>
  </si>
  <si>
    <t>AEO.2025.ALTTRNP.EFI_NA_FGHT_SOSOS_EGH_NA_NA_MPGGASEQ.A</t>
  </si>
  <si>
    <t>Freight: Truck Stock: Fuel Efficiency: Medium: Plug-in Gasoline Hybrid: Alternative Transportation</t>
  </si>
  <si>
    <t>AEO.2025.ALTTRNP.EFI_NA_FGHT_SOSOS_EDH_NA_NA_MPGGASEQ.A</t>
  </si>
  <si>
    <t>Freight: Truck Stock: Fuel Efficiency: Medium: Plug-in Diesel Hybrid: Alternative Transportation</t>
  </si>
  <si>
    <t>AEO.2025.ALTTRNP.EFI_NA_FGHT_SOSOS_ELE_NA_NA_MPGGASEQ.A</t>
  </si>
  <si>
    <t>Freight: Truck Stock: Fuel Efficiency: Medium: Electric: Alternative Transportation</t>
  </si>
  <si>
    <t>AEO.2025.ALTTRNP.EFI_NA_FGHT_SOSOS_EFFI_NA_NA_MPG.A</t>
  </si>
  <si>
    <t>Freight: Truck Stock: Fuel Efficiency: Medium: Ethanol-Flex Fuel: Alternative Transportation</t>
  </si>
  <si>
    <t>AEO.2025.ALTTRNP.EFI_NA_FGHT_SOSOS_NG_NA_NA_MPGGASEQ.A</t>
  </si>
  <si>
    <t>Freight: Truck Stock: Fuel Efficiency: Medium: Natural Gas: Alternative Transportation</t>
  </si>
  <si>
    <t>AEO.2025.ALTTRNP.EFI_NA_FGHT_SOSOS_PROP_NA_NA_MPGGASEQ.A</t>
  </si>
  <si>
    <t>Freight: Truck Stock: Fuel Efficiency: Medium: Propane: Alternative Transportation</t>
  </si>
  <si>
    <t>AEO.2025.ALTTRNP.EFI_NA_FGHT_SOSOS_MGS_NA_NA_MPGGASEQ.A</t>
  </si>
  <si>
    <t>Freight: Truck Stock: Fuel Efficiency: Medium: Motor Gasoline: Alternative Transportation</t>
  </si>
  <si>
    <t>AEO.2025.ALTTRNP.EFI_NA_FGHT_SOSOS_DSL_NA_NA_MPGDSEQ.A</t>
  </si>
  <si>
    <t>Freight: Truck Stock: Fuel Efficiency: Medium: Diesel: Alternative Transportation</t>
  </si>
  <si>
    <t>AEO.2025.ALTTRNP.EFI_NA_FGHT_LITEMEDS_NA_NA_NA_NA.A</t>
  </si>
  <si>
    <t>Freight: Truck Stock: Fuel Efficiency: Light Medium: Average: Alternative Transportation</t>
  </si>
  <si>
    <t>AEO.2025.ALTTRNP.EFI_NA_FGHT_LITEMEDS_HYDICE_NA_NA_MPGDSEQ.A</t>
  </si>
  <si>
    <t>Freight: Truck Stock: Fuel Efficiency: Light Medium: Hydrogen ICE: Alternative Transportation</t>
  </si>
  <si>
    <t>AEO.2025.ALTTRNP.EFI_NA_FGHT_LITEMEDS_GASHEV_NA_NA_MPGGASEQ.A</t>
  </si>
  <si>
    <t>Freight: Truck Stock: Fuel Efficiency: Light Medium: Gasoline Hybrid: Alternative Transportation</t>
  </si>
  <si>
    <t>AEO.2025.ALTTRNP.EFI_NA_FGHT_LITEMEDS_FEUCELBATDOM_NA_NA_MPGDSEQ.A</t>
  </si>
  <si>
    <t>Freight: Truck Stock: Fuel Efficiency: Light Medium: Fuel Cell Battery Dominant: Alternative Transportation</t>
  </si>
  <si>
    <t>AEO.2025.ALTTRNP.EFI_NA_FGHT_LITEMEDS_FUC_NA_NA_MPGDSEQ.A</t>
  </si>
  <si>
    <t>Freight: Truck Stock: Fuel Efficiency: Light Medium: Fuel Cell: Alternative Transportation</t>
  </si>
  <si>
    <t>AEO.2025.ALTTRNP.EFI_NA_FGHT_LITEMEDS_EGH_NA_NA_MPGGASEQ.A</t>
  </si>
  <si>
    <t>Freight: Truck Stock: Fuel Efficiency: Light Medium: Plug-in Gasoline Hybrid: Alternative Transportation</t>
  </si>
  <si>
    <t>AEO.2025.ALTTRNP.EFI_NA_FGHT_LITEMEDS_EDH_NA_NA_MPGDSEQ.A</t>
  </si>
  <si>
    <t>Freight: Truck Stock: Fuel Efficiency: Light Medium: Plug-in Diesel Hybrid: Alternative Transportation</t>
  </si>
  <si>
    <t>AEO.2025.ALTTRNP.EFI_NA_FGHT_LITEMEDS_ELE_NA_NA_MPGDSEQ.A</t>
  </si>
  <si>
    <t>Freight: Truck Stock: Fuel Efficiency: Light Medium: Electric: Alternative Transportation</t>
  </si>
  <si>
    <t>AEO.2025.ALTTRNP.EFI_NA_FGHT_LITEMEDS_EFFI_NA_NA_MPGGASEQ.A</t>
  </si>
  <si>
    <t>Freight: Truck Stock: Fuel Efficiency: Light Medium: Ethanol-Flex Fuel: Alternative Transportation</t>
  </si>
  <si>
    <t>AEO.2025.ALTTRNP.EFI_NA_FGHT_LITEMEDS_NG_NA_NA_MPGGASEQ.A</t>
  </si>
  <si>
    <t>Freight: Truck Stock: Fuel Efficiency: Light Medium: Natural Gas: Alternative Transportation</t>
  </si>
  <si>
    <t>AEO.2025.ALTTRNP.EFI_NA_FGHT_LITEMEDS_PROP_NA_NA_MPGGASEQ.A</t>
  </si>
  <si>
    <t>Freight: Truck Stock: Fuel Efficiency: Light Medium: Propane: Alternative Transportation</t>
  </si>
  <si>
    <t>AEO.2025.ALTTRNP.EFI_NA_FGHT_LITEMEDS_MGS_NA_NA_MPGGASEQ.A</t>
  </si>
  <si>
    <t>Freight: Truck Stock: Fuel Efficiency: Light Medium: Motor Gasoline: Alternative Transportation</t>
  </si>
  <si>
    <t>AEO.2025.ALTTRNP.EFI_NA_FGHT_LITEMEDS_DSL_NA_NA_MPGDSEQ.A</t>
  </si>
  <si>
    <t>Freight: Truck Stock: Fuel Efficiency: Light Medium: Diesel: Alternative Transportation</t>
  </si>
  <si>
    <t>AEO.2025.ALTTRNP.CNSM_NA_FGHT_STK_NA_NA_NA_TRLBTU.A</t>
  </si>
  <si>
    <t>Freight: Truck Stock: Use: Light Medium, Medium, and Heavy: Alternative Transportation</t>
  </si>
  <si>
    <t>Total Consumption</t>
  </si>
  <si>
    <t>AEO.2025.ALTTRNP.CNSM_NA_FGHT_STK_HYDICE_NA_NA_TRLBTU.A</t>
  </si>
  <si>
    <t>Freight: Truck Stock: Use: Light Medium, Medium, and Heavy: Hydrogen ICE: Alternative Transportation</t>
  </si>
  <si>
    <t>AEO.2025.ALTTRNP.CNSM_NA_FGHT_STK_GASHEV_NA_NA_TRLBTU.A</t>
  </si>
  <si>
    <t>Freight: Truck Stock: Use: Light Medium, Medium, and Heavy: Gasoline Hybrid: Alternative Transportation</t>
  </si>
  <si>
    <t>AEO.2025.ALTTRNP.CNSM_NA_FGHT_STK_FEUCELBATDOM_NA_NA_TRLBTU.A</t>
  </si>
  <si>
    <t>Freight: Truck Stock: Use: Light Medium, Medium, and Heavy: Fuel Cell Battery Dominant: Alternative Transportation</t>
  </si>
  <si>
    <t>AEO.2025.ALTTRNP.CNSM_NA_FGHT_STK_FUC_NA_NA_TRLBTU.A</t>
  </si>
  <si>
    <t>Freight: Truck Stock: Use: Light Medium, Medium, and Heavy: Fuel Cell: Alternative Transportation</t>
  </si>
  <si>
    <t>AEO.2025.ALTTRNP.CNSM_NA_FGHT_STK_EGH_NA_NA_TRLBTU.A</t>
  </si>
  <si>
    <t>Freight: Truck Stock: Use: Light Medium, Medium, and Heavy: Plug-in Gasoline Hybrid: Alternative Transportation</t>
  </si>
  <si>
    <t>AEO.2025.ALTTRNP.CNSM_NA_FGHT_STK_EDH_NA_NA_TRLBTU.A</t>
  </si>
  <si>
    <t>Freight: Truck Stock: Use: Light Medium, Medium, and Heavy: Plug-in Diesel Hybrid: Alternative Transportation</t>
  </si>
  <si>
    <t>AEO.2025.ALTTRNP.CNSM_NA_FGHT_STK_ELE_NA_NA_TRLBTU.A</t>
  </si>
  <si>
    <t>Freight: Truck Stock: Use: Light Medium, Medium, and Heavy: Electric: Alternative Transportation</t>
  </si>
  <si>
    <t>AEO.2025.ALTTRNP.CNSM_NA_FGHT_STK_EFFI_NA_NA_TRLBTU.A</t>
  </si>
  <si>
    <t>Freight: Truck Stock: Use: Light Medium, Medium, and Heavy: Ethanol-Flex Fuel: Alternative Transportation</t>
  </si>
  <si>
    <t>AEO.2025.ALTTRNP.CNSM_NA_FGHT_STK_NG_NA_NA_TRLBTU.A</t>
  </si>
  <si>
    <t>Freight: Truck Stock: Use: Light Medium, Medium, and Heavy: Natural Gas: Alternative Transportation</t>
  </si>
  <si>
    <t>AEO.2025.ALTTRNP.CNSM_NA_FGHT_STK_PROP_NA_NA_TRLBTU.A</t>
  </si>
  <si>
    <t>Freight: Truck Stock: Use: Light Medium, Medium, and Heavy: Propane: Alternative Transportation</t>
  </si>
  <si>
    <t>AEO.2025.ALTTRNP.CNSM_NA_FGHT_STK_MGS_NA_NA_TRLBTU.A</t>
  </si>
  <si>
    <t>Freight: Truck Stock: Use: Light Medium, Medium, and Heavy: Motor Gasoline: Alternative Transportation</t>
  </si>
  <si>
    <t>AEO.2025.ALTTRNP.CNSM_NA_FGHT_STK_DSL_NA_NA_TRLBTU.A</t>
  </si>
  <si>
    <t>Freight: Truck Stock: Use: Light Medium, Medium, and Heavy: Diesel: Alternative Transportation</t>
  </si>
  <si>
    <t xml:space="preserve"> and Heavy Total</t>
  </si>
  <si>
    <t>AEO.2025.ALTTRNP.CNSM_NA_FGHT_RADS_NA_NA_NA_TRLBTU.A</t>
  </si>
  <si>
    <t>Freight: Truck Stock: Use: Heavy: Alternative Transportation</t>
  </si>
  <si>
    <t>AEO.2025.ALTTRNP.CNSM_NA_FGHT_RADS_HYDICE_NA_NA_TRLBTU.A</t>
  </si>
  <si>
    <t>Freight: Truck Stock: Use: Heavy: Hydrogen ICE: Alternative Transportation</t>
  </si>
  <si>
    <t>AEO.2025.ALTTRNP.CNSM_NA_FGHT_RADS_GASHEV_NA_NA_TRLBTU.A</t>
  </si>
  <si>
    <t>Freight: Truck Stock: Use: Heavy: Gasoline Hybrid: Alternative Transportation</t>
  </si>
  <si>
    <t>AEO.2025.ALTTRNP.CNSM_NA_FGHT_RADS_FEUCELBATDOM_NA_NA_TRLBTU.A</t>
  </si>
  <si>
    <t>Freight: Truck Stock: Use: Heavy: Fuel Cell Battery Dominant: Alternative Transportation</t>
  </si>
  <si>
    <t>AEO.2025.ALTTRNP.CNSM_NA_FGHT_RADS_FUC_NA_NA_TRLBTU.A</t>
  </si>
  <si>
    <t>Freight: Truck Stock: Use: Heavy: Fuel Cell: Alternative Transportation</t>
  </si>
  <si>
    <t>AEO.2025.ALTTRNP.CNSM_NA_FGHT_RADS_EGH_NA_NA_TRLBTU.A</t>
  </si>
  <si>
    <t>Freight: Truck Stock: Use: Heavy: Plug-in Gasoline Hybrid: Alternative Transportation</t>
  </si>
  <si>
    <t>AEO.2025.ALTTRNP.CNSM_NA_FGHT_RADS_EDH_NA_NA_TRLBTU.A</t>
  </si>
  <si>
    <t>Freight: Truck Stock: Use: Heavy: Plug-in Diesel Hybrid: Alternative Transportation</t>
  </si>
  <si>
    <t>AEO.2025.ALTTRNP.CNSM_NA_FGHT_RADS_ELE_NA_NA_TRLBTU.A</t>
  </si>
  <si>
    <t>Freight: Truck Stock: Use: Heavy: Electric: Alternative Transportation</t>
  </si>
  <si>
    <t>AEO.2025.ALTTRNP.CNSM_NA_FGHT_RADS_EFFI_NA_NA_TRLBTU.A</t>
  </si>
  <si>
    <t>Freight: Truck Stock: Use: Heavy: Ethanol-Flex Fuel: Alternative Transportation</t>
  </si>
  <si>
    <t>AEO.2025.ALTTRNP.CNSM_NA_FGHT_RADS_NG_NA_NA_TRLBTU.A</t>
  </si>
  <si>
    <t>Freight: Truck Stock: Use: Heavy: Natural Gas: Alternative Transportation</t>
  </si>
  <si>
    <t>AEO.2025.ALTTRNP.CNSM_NA_FGHT_RADS_PROP_NA_NA_TRLBTU.A</t>
  </si>
  <si>
    <t>Freight: Truck Stock: Use: Heavy: Propane: Alternative Transportation</t>
  </si>
  <si>
    <t>AEO.2025.ALTTRNP.CNSM_NA_FGHT_RADS_MGS_NA_NA_TRLBTU.A</t>
  </si>
  <si>
    <t>Freight: Truck Stock: Use: Heavy: Motor Gasoline: Alternative Transportation</t>
  </si>
  <si>
    <t>AEO.2025.ALTTRNP.CNSM_NA_FGHT_RADS_DSL_NA_NA_TRLBTU.A</t>
  </si>
  <si>
    <t>Freight: Truck Stock: Use: Heavy: Diesel: Alternative Transportation</t>
  </si>
  <si>
    <t>AEO.2025.ALTTRNP.CNSM_NA_FGHT_SOSOS_NA_NA_NA_TRLBTU.A</t>
  </si>
  <si>
    <t>Freight: Truck Stock: Use: Medium: Alternative Transportation</t>
  </si>
  <si>
    <t>AEO.2025.ALTTRNP.CNSM_NA_FGHT_SOSOS_HYDICE_NA_NA_TRLBTU.A</t>
  </si>
  <si>
    <t>Freight: Truck Stock: Use: Medium: Hydrogen ICE: Alternative Transportation</t>
  </si>
  <si>
    <t>AEO.2025.ALTTRNP.CNSM_NA_FGHT_SOSOS_GASHEV_NA_NA_TRLBTU.A</t>
  </si>
  <si>
    <t>Freight: Truck Stock: Use: Medium: Gasoline Hybrid: Alternative Transportation</t>
  </si>
  <si>
    <t>AEO.2025.ALTTRNP.CNSM_NA_FGHT_SOSOS_FEUCELBATDOM_NA_NA_TRLBTU.A</t>
  </si>
  <si>
    <t>Freight: Truck Stock: Use: Medium: Fuel Cell Battery Dominant: Alternative Transportation</t>
  </si>
  <si>
    <t>AEO.2025.ALTTRNP.CNSM_NA_FGHT_SOSOS_FUC_NA_NA_TRLBTU.A</t>
  </si>
  <si>
    <t>Freight: Truck Stock: Use: Medium: Fuel Cell: Alternative Transportation</t>
  </si>
  <si>
    <t>AEO.2025.ALTTRNP.CNSM_NA_FGHT_SOSOS_EGH_NA_NA_TRLBTU.A</t>
  </si>
  <si>
    <t>Freight: Truck Stock: Use: Medium: Plug-in Gasoline Hybrid: Alternative Transportation</t>
  </si>
  <si>
    <t>AEO.2025.ALTTRNP.CNSM_NA_FGHT_SOSOS_EDH_NA_NA_TRLBTU.A</t>
  </si>
  <si>
    <t>Freight: Truck Stock: Use: Medium: Plug-in Diesel Hybrid: Alternative Transportation</t>
  </si>
  <si>
    <t>AEO.2025.ALTTRNP.CNSM_NA_FGHT_SOSOS_ELE_NA_NA_TRLBTU.A</t>
  </si>
  <si>
    <t>Freight: Truck Stock: Use: Medium: Electric: Alternative Transportation</t>
  </si>
  <si>
    <t>AEO.2025.ALTTRNP.CNSM_NA_FGHT_SOSOS_EFFI_NA_NA_TRLBTU.A</t>
  </si>
  <si>
    <t>Freight: Truck Stock: Use: Medium: Ethanol-Flex Fuel: Alternative Transportation</t>
  </si>
  <si>
    <t>AEO.2025.ALTTRNP.CNSM_NA_FGHT_SOSOS_NG_NA_NA_TRLBTU.A</t>
  </si>
  <si>
    <t>Freight: Truck Stock: Use: Medium: Natural Gas: Alternative Transportation</t>
  </si>
  <si>
    <t>AEO.2025.ALTTRNP.CNSM_NA_FGHT_SOSOS_PROP_NA_NA_TRLBTU.A</t>
  </si>
  <si>
    <t>Freight: Truck Stock: Use: Medium: Propane: Alternative Transportation</t>
  </si>
  <si>
    <t>AEO.2025.ALTTRNP.CNSM_NA_FGHT_SOSOS_MGS_NA_NA_TRLBTU.A</t>
  </si>
  <si>
    <t>Freight: Truck Stock: Use: Medium: Motor Gasoline: Alternative Transportation</t>
  </si>
  <si>
    <t>AEO.2025.ALTTRNP.CNSM_NA_FGHT_SOSOS_DSL_NA_NA_TRLBTU.A</t>
  </si>
  <si>
    <t>Freight: Truck Stock: Use: Medium: Diesel: Alternative Transportation</t>
  </si>
  <si>
    <t>AEO.2025.ALTTRNP.CNSM_NA_FGHT_LITEMEDS_NA_NA_NA_TRLBTU.A</t>
  </si>
  <si>
    <t>Freight: Truck Stock: Use: Light Medium: Alternative Transportation</t>
  </si>
  <si>
    <t>AEO.2025.ALTTRNP.CNSM_NA_FGHT_LITEMEDS_HYDICE_NA_NA_TRLBTU.A</t>
  </si>
  <si>
    <t>Freight: Truck Stock: Use: Light Medium: Hydrogen ICE: Alternative Transportation</t>
  </si>
  <si>
    <t>AEO.2025.ALTTRNP.CNSM_NA_FGHT_LITEMEDS_GASHEV_NA_NA_TRLBTU.A</t>
  </si>
  <si>
    <t>Freight: Truck Stock: Use: Light Medium: Gasoline Hybrid: Alternative Transportation</t>
  </si>
  <si>
    <t>AEO.2025.ALTTRNP.CNSM_NA_FGHT_LITEMEDS_FEUCELBATDOM_NA_NA_TRLBTU.A</t>
  </si>
  <si>
    <t>Freight: Truck Stock: Use: Light Medium: Fuel Cell Battery Dominant: Alternative Transportation</t>
  </si>
  <si>
    <t>AEO.2025.ALTTRNP.CNSM_NA_FGHT_LITEMEDS_FUC_NA_NA_TRLBTU.A</t>
  </si>
  <si>
    <t>Freight: Truck Stock: Use: Light Medium: Fuel Cell: Alternative Transportation</t>
  </si>
  <si>
    <t>AEO.2025.ALTTRNP.CNSM_NA_FGHT_LITEMEDS_EGH_NA_NA_TRLBTU.A</t>
  </si>
  <si>
    <t>Freight: Truck Stock: Use: Light Medium: Plug-in Gasoline Hybrid: Alternative Transportation</t>
  </si>
  <si>
    <t>AEO.2025.ALTTRNP.CNSM_NA_FGHT_LITEMEDS_EDH_NA_NA_TRLBTU.A</t>
  </si>
  <si>
    <t>Freight: Truck Stock: Use: Light Medium: Plug-in Diesel Hybrid: Alternative Transportation</t>
  </si>
  <si>
    <t>AEO.2025.ALTTRNP.CNSM_NA_FGHT_LITEMEDS_ELE_NA_NA_TRLBTU.A</t>
  </si>
  <si>
    <t>Freight: Truck Stock: Use: Light Medium: Electric: Alternative Transportation</t>
  </si>
  <si>
    <t>AEO.2025.ALTTRNP.CNSM_NA_FGHT_LITEMEDS_EFFI_NA_NA_TRLBTU.A</t>
  </si>
  <si>
    <t>Freight: Truck Stock: Use: Light Medium: Ethanol-Flex Fuel: Alternative Transportation</t>
  </si>
  <si>
    <t>AEO.2025.ALTTRNP.CNSM_NA_FGHT_LITEMEDS_NG_NA_NA_TRLBTU.A</t>
  </si>
  <si>
    <t>Freight: Truck Stock: Use: Light Medium: Natural Gas: Alternative Transportation</t>
  </si>
  <si>
    <t>AEO.2025.ALTTRNP.CNSM_NA_FGHT_LITEMEDS_PROP_NA_NA_TRLBTU.A</t>
  </si>
  <si>
    <t>Freight: Truck Stock: Use: Light Medium: Propane: Alternative Transportation</t>
  </si>
  <si>
    <t>AEO.2025.ALTTRNP.CNSM_NA_FGHT_LITEMEDS_MGS_NA_NA_TRLBTU.A</t>
  </si>
  <si>
    <t>Freight: Truck Stock: Use: Light Medium: Motor Gasoline: Alternative Transportation</t>
  </si>
  <si>
    <t>AEO.2025.ALTTRNP.CNSM_NA_FGHT_LITEMEDS_DSL_NA_NA_TRLBTU.A</t>
  </si>
  <si>
    <t>Freight: Truck Stock: Use: Light Medium: Diesel: Alternative Transportation</t>
  </si>
  <si>
    <t>Consumption (trillion Btu)</t>
  </si>
  <si>
    <t>billion miles</t>
  </si>
  <si>
    <t>AEO.2025.ALTTRNP.ECI_VMT_FGHT_STK_NA_NA_NA_BLNMLS.A</t>
  </si>
  <si>
    <t>Freight: Truck Stock: Vehicle Miles Traveled: Alternative Transportation</t>
  </si>
  <si>
    <t>Total Vehicle Miles Traveled</t>
  </si>
  <si>
    <t>AEO.2025.ALTTRNP.ECI_VMT_FGHT_RADS_NA_NA_NA_BLNMLS.A</t>
  </si>
  <si>
    <t>Freight: Truck Stock: Vehicle Miles Traveled: Heavy: Alternative Transportation</t>
  </si>
  <si>
    <t>AEO.2025.ALTTRNP.ECI_VMT_FGHT_RADS_HYDICE_NA_NA_BLNMLS.A</t>
  </si>
  <si>
    <t>Freight: Truck Stock: Vehicle Miles Traveled: Heavy: Hydrogen ICE: Alternative Transportation</t>
  </si>
  <si>
    <t>AEO.2025.ALTTRNP.ECI_VMT_FGHT_RADS_GASHEV_NA_NA_BLNMLS.A</t>
  </si>
  <si>
    <t>Freight: Truck Stock: Vehicle Miles Traveled: Heavy: Gasoline Hybrid: Alternative Transportation</t>
  </si>
  <si>
    <t>AEO.2025.ALTTRNP.ECI_VMT_FGHT_RADS_FEUCELBATDOM_NA_NA_BLNMLS.A</t>
  </si>
  <si>
    <t>Freight: Truck Stock: Vehicle Miles Traveled: Heavy: Fuel Cell Battery Dominant: Alternative Transportation</t>
  </si>
  <si>
    <t>AEO.2025.ALTTRNP.ECI_VMT_FGHT_RADS_FUC_NA_NA_BLNMLS.A</t>
  </si>
  <si>
    <t>Freight: Truck Stock: Vehicle Miles Traveled: Heavy: Fuel Cell: Alternative Transportation</t>
  </si>
  <si>
    <t>AEO.2025.ALTTRNP.ECI_VMT_FGHT_RADS_EGH_NA_NA_BLNMLS.A</t>
  </si>
  <si>
    <t>Freight: Truck Stock: Vehicle Miles Traveled: Heavy: Plug-in Gasoline Hybrid: Alternative Transportation</t>
  </si>
  <si>
    <t>AEO.2025.ALTTRNP.ECI_VMT_FGHT_RADS_EDH_NA_NA_BLNMLS.A</t>
  </si>
  <si>
    <t>Freight: Truck Stock: Vehicle Miles Traveled: Heavy: Plug-in Diesel Hybrid: Alternative Transportation</t>
  </si>
  <si>
    <t>AEO.2025.ALTTRNP.ECI_VMT_FGHT_RADS_ELE_NA_NA_BLNMLS.A</t>
  </si>
  <si>
    <t>Freight: Truck Stock: Vehicle Miles Traveled: Heavy: Electric: Alternative Transportation</t>
  </si>
  <si>
    <t>AEO.2025.ALTTRNP.ECI_VMT_FGHT_RADS_EFFI_NA_NA_BLNMLS.A</t>
  </si>
  <si>
    <t>Freight: Truck Stock: Vehicle Miles Traveled: Heavy: Ethanol-Flex Fuel: Alternative Transportation</t>
  </si>
  <si>
    <t>AEO.2025.ALTTRNP.ECI_VMT_FGHT_RADS_NG_NA_NA_BLNMLS.A</t>
  </si>
  <si>
    <t>Freight: Truck Stock: Vehicle Miles Traveled: Heavy: Natural Gas: Alternative Transportation</t>
  </si>
  <si>
    <t>AEO.2025.ALTTRNP.ECI_VMT_FGHT_RADS_PROP_NA_NA_BLNMLS.A</t>
  </si>
  <si>
    <t>Freight: Truck Stock: Vehicle Miles Traveled: Heavy: Propane: Alternative Transportation</t>
  </si>
  <si>
    <t>AEO.2025.ALTTRNP.ECI_VMT_FGHT_RADS_MGS_NA_NA_BLNMLS.A</t>
  </si>
  <si>
    <t>Freight: Truck Stock: Vehicle Miles Traveled: Heavy: Motor Gasoline: Alternative Transportation</t>
  </si>
  <si>
    <t>AEO.2025.ALTTRNP.ECI_VMT_FGHT_RADS_DSL_NA_NA_BLNMLS.A</t>
  </si>
  <si>
    <t>Freight: Truck Stock: Vehicle Miles Traveled: Heavy: Diesel: Alternative Transportation</t>
  </si>
  <si>
    <t>AEO.2025.ALTTRNP.ECI_VMT_FGHT_SOSOS_NA_NA_NA_BLNMLS.A</t>
  </si>
  <si>
    <t>Freight: Truck Stock: Vehicle Miles Traveled: Medium: Alternative Transportation</t>
  </si>
  <si>
    <t>AEO.2025.ALTTRNP.ECI_VMT_FGHT_SOSOS_HYDICE_NA_NA_BLNMLS.A</t>
  </si>
  <si>
    <t>Freight: Truck Stock: Vehicle Miles Traveled: Medium: Hydrogen ICE: Alternative Transportation</t>
  </si>
  <si>
    <t>AEO.2025.ALTTRNP.ECI_VMT_FGHT_SOSOS_GASHEV_NA_NA_BLNMLS.A</t>
  </si>
  <si>
    <t>Freight: Truck Stock: Vehicle Miles Traveled: Medium: Gasoline Hybrid: Alternative Transportation</t>
  </si>
  <si>
    <t>AEO.2025.ALTTRNP.ECI_VMT_FGHT_SOSOS_FEUCELBATDOM_NA_NA_BLNMLS.A</t>
  </si>
  <si>
    <t>Freight: Truck Stock: Vehicle Miles Traveled: Medium: Fuel Cell Battery Dominant: Alternative Transportation</t>
  </si>
  <si>
    <t>AEO.2025.ALTTRNP.ECI_VMT_FGHT_SOSOS_FUC_NA_NA_BLNMLS.A</t>
  </si>
  <si>
    <t>Freight: Truck Stock: Vehicle Miles Traveled: Medium: Fuel Cell: Alternative Transportation</t>
  </si>
  <si>
    <t>AEO.2025.ALTTRNP.ECI_VMT_FGHT_SOSOS_EGH_NA_NA_BLNMLS.A</t>
  </si>
  <si>
    <t>Freight: Truck Stock: Vehicle Miles Traveled: Medium: Plug-in Gasoline Hybrid: Alternative Transportation</t>
  </si>
  <si>
    <t>AEO.2025.ALTTRNP.ECI_VMT_FGHT_SOSOS_EDH_NA_NA_BLNMLS.A</t>
  </si>
  <si>
    <t>Freight: Truck Stock: Vehicle Miles Traveled: Medium: Plug-in Diesel Hybrid: Alternative Transportation</t>
  </si>
  <si>
    <t>AEO.2025.ALTTRNP.ECI_VMT_FGHT_SOSOS_ELE_NA_NA_BLNMLS.A</t>
  </si>
  <si>
    <t>Freight: Truck Stock: Vehicle Miles Traveled: Medium: Electric: Alternative Transportation</t>
  </si>
  <si>
    <t>AEO.2025.ALTTRNP.ECI_VMT_FGHT_SOSOS_EFFI_NA_NA_BLNMLS.A</t>
  </si>
  <si>
    <t>Freight: Truck Stock: Vehicle Miles Traveled: Medium: Ethanol-Flex Fuel: Alternative Transportation</t>
  </si>
  <si>
    <t>AEO.2025.ALTTRNP.ECI_VMT_FGHT_SOSOS_NG_NA_NA_BLNMLS.A</t>
  </si>
  <si>
    <t>Freight: Truck Stock: Vehicle Miles Traveled: Medium: Natural Gas: Alternative Transportation</t>
  </si>
  <si>
    <t>AEO.2025.ALTTRNP.ECI_VMT_FGHT_SOSOS_PROP_NA_NA_BLNMLS.A</t>
  </si>
  <si>
    <t>Freight: Truck Stock: Vehicle Miles Traveled: Medium: Propane: Alternative Transportation</t>
  </si>
  <si>
    <t>AEO.2025.ALTTRNP.ECI_VMT_FGHT_SOSOS_MGS_NA_NA_BLNMLS.A</t>
  </si>
  <si>
    <t>Freight: Truck Stock: Vehicle Miles Traveled: Medium: Motor Gasoline: Alternative Transportation</t>
  </si>
  <si>
    <t>AEO.2025.ALTTRNP.ECI_VMT_FGHT_SOSOS_DSL_NA_NA_BLNMLS.A</t>
  </si>
  <si>
    <t>Freight: Truck Stock: Vehicle Miles Traveled: Medium: Diesel: Alternative Transportation</t>
  </si>
  <si>
    <t>AEO.2025.ALTTRNP.ECI_VMT_FGHT_LITEMEDS_NA_NA_NA_BLNMLS.A</t>
  </si>
  <si>
    <t>Freight: Truck Stock: Vehicle Miles Traveled: Light Medium: Alternative Transportation</t>
  </si>
  <si>
    <t>AEO.2025.ALTTRNP.ECI_VMT_FGHT_LITEMEDS_HYDICE_NA_NA_BLNMLS.A</t>
  </si>
  <si>
    <t>Freight: Truck Stock: Vehicle Miles Traveled: Light Medium: Hydrogen ICE: Alternative Transportation</t>
  </si>
  <si>
    <t>AEO.2025.ALTTRNP.ECI_VMT_FGHT_LITEMEDS_GASHEV_NA_NA_BLNMLS.A</t>
  </si>
  <si>
    <t>Freight: Truck Stock: Vehicle Miles Traveled: Light Medium: Gasoline Hybrid: Alternative Transportation</t>
  </si>
  <si>
    <t>AEO.2025.ALTTRNP.ECI_VMT_FGHT_LITEMEDS_FEUCELBATDOM_NA_NA_BLNMLS.A</t>
  </si>
  <si>
    <t>Freight: Truck Stock: Vehicle Miles Traveled: Light Medium: Fuel Cell Battery Dominant: Alternative Transportation</t>
  </si>
  <si>
    <t>AEO.2025.ALTTRNP.ECI_VMT_FGHT_LITEMEDS_FUC_NA_NA_BLNMLS.A</t>
  </si>
  <si>
    <t>Freight: Truck Stock: Vehicle Miles Traveled: Light Medium: Fuel Cell: Alternative Transportation</t>
  </si>
  <si>
    <t>AEO.2025.ALTTRNP.ECI_VMT_FGHT_LITEMEDS_EGH_NA_NA_BLNMLS.A</t>
  </si>
  <si>
    <t>Freight: Truck Stock: Vehicle Miles Traveled: Light Medium: Plug-in Gasoline Hybrid: Alternative Transportation</t>
  </si>
  <si>
    <t>AEO.2025.ALTTRNP.ECI_VMT_FGHT_LITEMEDS_EDH_NA_NA_BLNMLS.A</t>
  </si>
  <si>
    <t>Freight: Truck Stock: Vehicle Miles Traveled: Light Medium: Plug-in Diesel Hybrid: Alternative Transportation</t>
  </si>
  <si>
    <t>AEO.2025.ALTTRNP.ECI_VMT_FGHT_LITEMEDS_ELE_NA_NA_BLNMLS.A</t>
  </si>
  <si>
    <t>Freight: Truck Stock: Vehicle Miles Traveled: Light Medium: Electric: Alternative Transportation</t>
  </si>
  <si>
    <t>AEO.2025.ALTTRNP.ECI_VMT_FGHT_LITEMEDS_EFFI_NA_NA_BLNMLS.A</t>
  </si>
  <si>
    <t>Freight: Truck Stock: Vehicle Miles Traveled: Light Medium: Ethanol-Flex Fuel: Alternative Transportation</t>
  </si>
  <si>
    <t>AEO.2025.ALTTRNP.ECI_VMT_FGHT_LITEMEDS_NG_NA_NA_BLNMLS.A</t>
  </si>
  <si>
    <t>Freight: Truck Stock: Vehicle Miles Traveled: Light Medium: Natural Gas: Alternative Transportation</t>
  </si>
  <si>
    <t>AEO.2025.ALTTRNP.ECI_VMT_FGHT_LITEMEDS_PROP_NA_NA_BLNMLS.A</t>
  </si>
  <si>
    <t>Freight: Truck Stock: Vehicle Miles Traveled: Light Medium: Propane: Alternative Transportation</t>
  </si>
  <si>
    <t>AEO.2025.ALTTRNP.ECI_VMT_FGHT_LITEMEDS_MGS_NA_NA_BLNMLS.A</t>
  </si>
  <si>
    <t>Freight: Truck Stock: Vehicle Miles Traveled: Light Medium: Motor Gasoline: Alternative Transportation</t>
  </si>
  <si>
    <t>AEO.2025.ALTTRNP.ECI_VMT_FGHT_LITEMEDS_DSL_NA_NA_BLNMLS.A</t>
  </si>
  <si>
    <t>Freight: Truck Stock: Vehicle Miles Traveled: Light Medium: Diesel: Alternative Transportation</t>
  </si>
  <si>
    <t>Vehicle Miles Traveled (billion miles)</t>
  </si>
  <si>
    <t>Freight Truck Stock by Size Class</t>
  </si>
  <si>
    <t>Growth (2024-2050)</t>
  </si>
  <si>
    <t>units</t>
  </si>
  <si>
    <t>api key</t>
  </si>
  <si>
    <t>full name</t>
  </si>
  <si>
    <t>Source: U.S. Energy Information Administration</t>
  </si>
  <si>
    <t>Fri Dec 05 2025 14:51:45 GMT-0800 (Pacific Standard Time)</t>
  </si>
  <si>
    <t>https://www.eia.gov/outlooks/aeo/data/browser/#/?id=58-AEO2025&amp;cases=alttrnp&amp;sourcekey=0</t>
  </si>
  <si>
    <t>Table 49.  Freight Transportation Energy Use</t>
  </si>
  <si>
    <t>AEO.2025.ALTTRNP.CNSM_NA_AIRT_MILT_JFL_NA_USA_TRLBTU.A</t>
  </si>
  <si>
    <t>Air Travel: Fuel Use: Military: Jet Fuel: U.S.: Alternative Transportation</t>
  </si>
  <si>
    <t>Military Jet Fuel</t>
  </si>
  <si>
    <t>AEO.2025.ALTTRNP.CNSM_NA_AIRT_COMM_AVGA_NA_USA_TRLBTU.A</t>
  </si>
  <si>
    <t>Air Travel: Fuel Use: Commercial: Aviation Gasoline: U.S.: Alternative Transportation</t>
  </si>
  <si>
    <t>Commercial Aviation Gasoline</t>
  </si>
  <si>
    <t>AEO.2025.ALTTRNP.CNSM_NA_AIRT_COMM_JFL_NA_WRLD_TRLBTU.A</t>
  </si>
  <si>
    <t>Air Travel: Fuel Use: Commercial: Jet Fuel: World: Alternative Transportation</t>
  </si>
  <si>
    <t>AEO.2025.ALTTRNP.CNSM_NA_AIRT_COMM_JFL_NA_ONOAS_TRLBTU.A</t>
  </si>
  <si>
    <t>Air Travel: Fuel Use: Commercial: Jet Fuel: Other Americas: Alternative Transportation</t>
  </si>
  <si>
    <t>Other Americas</t>
  </si>
  <si>
    <t>AEO.2025.ALTTRNP.CNSM_NA_AIRT_COMM_JFL_NA_BRZ_TRLBTU.A</t>
  </si>
  <si>
    <t>Air Travel: Fuel Use: Commercial: Jet Fuel: Brazil: Alternative Transportation</t>
  </si>
  <si>
    <t>Brazil</t>
  </si>
  <si>
    <t>AEO.2025.ALTTRNP.CNSM_NA_AIRT_COMM_JFL_NA_AFR_TRLBTU.A</t>
  </si>
  <si>
    <t>Air Travel: Fuel Use: Commercial: Jet Fuel: Africa: Alternative Transportation</t>
  </si>
  <si>
    <t>AEO.2025.ALTTRNP.CNSM_NA_AIRT_COMM_JFL_NA_MDE_TRLBTU.A</t>
  </si>
  <si>
    <t>Air Travel: Fuel Use: Commercial: Jet Fuel: Middle East: Alternative Transportation</t>
  </si>
  <si>
    <t>Middle East</t>
  </si>
  <si>
    <t>AEO.2025.ALTTRNP.CNSM_NA_AIRT_COMM_JFL_NA_ONCDAS_TRLBTU.A</t>
  </si>
  <si>
    <t>Air Travel: Fuel Use: Commercial: Jet Fuel: Other Asia Pacific: Alternative Transportation</t>
  </si>
  <si>
    <t>Other Asia Pacific</t>
  </si>
  <si>
    <t>AEO.2025.ALTTRNP.CNSM_NA_AIRT_COMM_JFL_NA_IND_TRLBTU.A</t>
  </si>
  <si>
    <t>Air Travel: Fuel Use: Commercial: Jet Fuel: India: Alternative Transportation</t>
  </si>
  <si>
    <t>India</t>
  </si>
  <si>
    <t>AEO.2025.ALTTRNP.CNSM_NA_AIRT_COMM_JFL_NA_CHN_TRLBTU.A</t>
  </si>
  <si>
    <t>Air Travel: Fuel Use: Commercial: Jet Fuel: China: Alternative Transportation</t>
  </si>
  <si>
    <t>AEO.2025.ALTTRNP.CNSM_NA_AIRT_COMM_JFL_NA_OEUAS_TRLBTU.A</t>
  </si>
  <si>
    <t>Air Travel: Fuel Use: Commercial: Jet Fuel: Eastern Europe and Eurasia: Alternative Transportation</t>
  </si>
  <si>
    <t>Eastern Europe and Eurasia</t>
  </si>
  <si>
    <t>AEO.2025.ALTTRNP.CNSM_NA_AIRT_COMM_JFL_NA_RUS_TRLBTU.A</t>
  </si>
  <si>
    <t>Air Travel: Fuel Use: Commercial: Jet Fuel: Russia: Alternative Transportation</t>
  </si>
  <si>
    <t>Russia</t>
  </si>
  <si>
    <t>AEO.2025.ALTTRNP.CNSM_NA_AIRT_COMM_JFL_NA_SOK_TRLBTU.A</t>
  </si>
  <si>
    <t>Air Travel: Fuel Use: Commercial: Jet Fuel: South Korea: Alternative Transportation</t>
  </si>
  <si>
    <t>South Korea</t>
  </si>
  <si>
    <t>AEO.2025.ALTTRNP.CNSM_NA_AIRT_COMM_JFL_NA_AUNZ_TRLBTU.A</t>
  </si>
  <si>
    <t>Air Travel: Fuel Use: Commercial: Jet Fuel: Australia and New Zealand: Alternative Transportation</t>
  </si>
  <si>
    <t>Australia and New Zealand</t>
  </si>
  <si>
    <t>AEO.2025.ALTTRNP.CNSM_NA_AIRT_COMM_JFL_NA_JPN_TRLBTU.A</t>
  </si>
  <si>
    <t>Air Travel: Fuel Use: Commercial: Jet Fuel: Japan: Alternative Transportation</t>
  </si>
  <si>
    <t>Japan</t>
  </si>
  <si>
    <t>AEO.2025.ALTTRNP.CNSM_NA_AIRT_COMM_JFL_NA_OCDEU_TRLBTU.A</t>
  </si>
  <si>
    <t>Air Travel: Fuel Use: Commercial: Jet Fuel: Western Europe: Alternative Transportation</t>
  </si>
  <si>
    <t>Western Europe</t>
  </si>
  <si>
    <t>AEO.2025.ALTTRNP.CNSM_NA_AIRT_COMM_JFL_NA_MAOOAS_TRLBTU.A</t>
  </si>
  <si>
    <t>Air Travel: Fuel Use: Commercial: Jet Fuel: Mexico: Alternative Transportation</t>
  </si>
  <si>
    <t>Mexico</t>
  </si>
  <si>
    <t>AEO.2025.ALTTRNP.CNSM_NA_AIRT_COMM_JFL_NA_CAN_TRLBTU.A</t>
  </si>
  <si>
    <t>Air Travel: Fuel Use: Commercial: Jet Fuel: Canada: Alternative Transportation</t>
  </si>
  <si>
    <t>AEO.2025.ALTTRNP.CNSM_NA_AIRT_COMM_JFL_NA_USA_TRLBTU.A</t>
  </si>
  <si>
    <t>Air Travel: Fuel Use: Commercial: Jet Fuel: U.S.: Alternative Transportation</t>
  </si>
  <si>
    <t>Commercial Jet Fuel</t>
  </si>
  <si>
    <t>seat mpg</t>
  </si>
  <si>
    <t>AEO.2025.ALTTRNP.EFI_STK_AIRT_NA_NA_NA_USA_SEATMPG.A</t>
  </si>
  <si>
    <t>Air Travel: Aircraft Stock Efficiency: Average Aircraft: Alternative Transportation</t>
  </si>
  <si>
    <t>AEO.2025.ALTTRNP.EFI_STK_AIRT_REGJ_NA_NA_USA_SEATMPG.A</t>
  </si>
  <si>
    <t>Air Travel: Aircraft Stock Efficiency: Regional Jets: Alternative Transportation</t>
  </si>
  <si>
    <t>Regional Jets</t>
  </si>
  <si>
    <t>AEO.2025.ALTTRNP.EFI_STK_AIRT_WBE_NA_NA_USA_SEATMPG.A</t>
  </si>
  <si>
    <t>Air Travel: Aircraft Stock Efficiency: Wide Body Aircraft: Alternative Transportation</t>
  </si>
  <si>
    <t>Wide Body Aircraft</t>
  </si>
  <si>
    <t>AEO.2025.ALTTRNP.EFI_STK_AIRT_NBTR_NA_NA_USA_SEATMPG.A</t>
  </si>
  <si>
    <t>Air Travel: Aircraft Stock Efficiency: Narrow Body Aircraft: Alternative Transportation</t>
  </si>
  <si>
    <t>Narrow Body Aircraft</t>
  </si>
  <si>
    <t>AEO.2025.ALTTRNP.EFI_NEW_AIRT_NA_NA_NA_USA_SEATMPG.A</t>
  </si>
  <si>
    <t>Air Travel: New Aircraft Efficiency: Average Aircraft: Alternative Transportation</t>
  </si>
  <si>
    <t>AEO.2025.ALTTRNP.EFI_NEW_AIRT_REGJ_NA_NA_USA_SEATMPG.A</t>
  </si>
  <si>
    <t>Air Travel: New Aircraft Efficiency: Regional Jets: Alternative Transportation</t>
  </si>
  <si>
    <t>AEO.2025.ALTTRNP.EFI_NEW_AIRT_WBE_NA_NA_USA_SEATMPG.A</t>
  </si>
  <si>
    <t>Air Travel: New Aircraft Efficiency: Wide Body Aircraft: Alternative Transportation</t>
  </si>
  <si>
    <t>AEO.2025.ALTTRNP.EFI_NEW_AIRT_NBTR_NA_NA_USA_SEATMPG.A</t>
  </si>
  <si>
    <t>Air Travel: New Aircraft Efficiency: Narrow Body Aircraft: Alternative Transportation</t>
  </si>
  <si>
    <t>New Aircraft</t>
  </si>
  <si>
    <t>Aircraft Efficiency (seat miles per gallon)</t>
  </si>
  <si>
    <t>AEO.2025.ALTTRNP.ECI_ACFTDELIV_AIRT_NA_NA_NA_WRLD_UNIT.A</t>
  </si>
  <si>
    <t>Air Travel: Aircraft Deliveries: World: Alternative Transportation</t>
  </si>
  <si>
    <t>AEO.2025.ALTTRNP.ECI_ACFTDELIV_AIRT_REGJ_NA_NA_WRLD_UNIT.A</t>
  </si>
  <si>
    <t>Air Travel: Aircraft Deliveries: World: Regional Jets: Alternative Transportation</t>
  </si>
  <si>
    <t>Total Regional Jet</t>
  </si>
  <si>
    <t>AEO.2025.ALTTRNP.ECI_ACFTDELIV_AIRT_WBE_NA_NA_WRLD_UNIT.A</t>
  </si>
  <si>
    <t>Air Travel: Aircraft Deliveries: World: Wide Body Aircraft: Alternative Transportation</t>
  </si>
  <si>
    <t>Total Wide Body</t>
  </si>
  <si>
    <t>AEO.2025.ALTTRNP.ECI_ACFTDELIV_AIRT_NBTR_NA_NA_WRLD_UNIT.A</t>
  </si>
  <si>
    <t>Air Travel: Aircraft Deliveries: World: Narrow Body Aircraft: Alternative Transportation</t>
  </si>
  <si>
    <t>Total Narrow Body</t>
  </si>
  <si>
    <t>AEO.2025.ALTTRNP.ECI_ACFTDELIV_AIRT_REGJ_NA_NA_ONOAS_UNIT.A</t>
  </si>
  <si>
    <t>Air Travel: Aircraft Deliveries: Other Americas: Regional Jets: Alternative Transportation</t>
  </si>
  <si>
    <t>AEO.2025.ALTTRNP.ECI_ACFTDELIV_AIRT_WBE_NA_NA_ONOAS_UNIT.A</t>
  </si>
  <si>
    <t>Air Travel: Aircraft Deliveries: Other Americas: Wide Body Aircraft: Alternative Transportation</t>
  </si>
  <si>
    <t>AEO.2025.ALTTRNP.ECI_ACFTDELIV_AIRT_NBTR_NA_NA_ONOAS_UNIT.A</t>
  </si>
  <si>
    <t>Air Travel: Aircraft Deliveries: Other Americas: Narrow Body Aircraft: Alternative Transportation</t>
  </si>
  <si>
    <t>AEO.2025.ALTTRNP.ECI_ACFTDELIV_AIRT_NA_NA_NA_ONOAS_UNIT.A</t>
  </si>
  <si>
    <t>Air Travel: Aircraft Deliveries: Other Americas: Alternative Transportation</t>
  </si>
  <si>
    <t>AEO.2025.ALTTRNP.ECI_ACFTDELIV_AIRT_REGJ_NA_NA_BRZ_UNIT.A</t>
  </si>
  <si>
    <t>Air Travel: Aircraft Deliveries: Brazil: Regional Jets: Alternative Transportation</t>
  </si>
  <si>
    <t>AEO.2025.ALTTRNP.ECI_ACFTDELIV_AIRT_WBE_NA_NA_BRZ_UNIT.A</t>
  </si>
  <si>
    <t>Air Travel: Aircraft Deliveries: Brazil: Wide Body Aircraft: Alternative Transportation</t>
  </si>
  <si>
    <t>AEO.2025.ALTTRNP.ECI_ACFTDELIV_AIRT_NBTR_NA_NA_BRZ_UNIT.A</t>
  </si>
  <si>
    <t>Air Travel: Aircraft Deliveries: Brazil: Narrow Body Aircraft: Alternative Transportation</t>
  </si>
  <si>
    <t>AEO.2025.ALTTRNP.ECI_ACFTDELIV_AIRT_NA_NA_NA_BRZ_UNIT.A</t>
  </si>
  <si>
    <t>Air Travel: Aircraft Deliveries: Brazil: Alternative Transportation</t>
  </si>
  <si>
    <t>AEO.2025.ALTTRNP.ECI_ACFTDELIV_AIRT_REGJ_NA_NA_AFR_UNIT.A</t>
  </si>
  <si>
    <t>Air Travel: Aircraft Deliveries: Africa: Regional Jets: Alternative Transportation</t>
  </si>
  <si>
    <t>AEO.2025.ALTTRNP.ECI_ACFTDELIV_AIRT_WBE_NA_NA_AFR_UNIT.A</t>
  </si>
  <si>
    <t>Air Travel: Aircraft Deliveries: Africa: Wide Body Aircraft: Alternative Transportation</t>
  </si>
  <si>
    <t>AEO.2025.ALTTRNP.ECI_ACFTDELIV_AIRT_NBTR_NA_NA_AFR_UNIT.A</t>
  </si>
  <si>
    <t>Air Travel: Aircraft Deliveries: Africa: Narrow Body Aircraft: Alternative Transportation</t>
  </si>
  <si>
    <t>AEO.2025.ALTTRNP.ECI_ACFTDELIV_AIRT_NA_NA_NA_AFR_UNIT.A</t>
  </si>
  <si>
    <t>Air Travel: Aircraft Deliveries: Africa: Alternative Transportation</t>
  </si>
  <si>
    <t>AEO.2025.ALTTRNP.ECI_ACFTDELIV_AIRT_REGJ_NA_NA_MDE_UNIT.A</t>
  </si>
  <si>
    <t>Air Travel: Aircraft Deliveries: Middle East: Regional Jets: Alternative Transportation</t>
  </si>
  <si>
    <t>AEO.2025.ALTTRNP.ECI_ACFTDELIV_AIRT_WBE_NA_NA_MDE_UNIT.A</t>
  </si>
  <si>
    <t>Air Travel: Aircraft Deliveries: Middle East: Wide Body Aircraft: Alternative Transportation</t>
  </si>
  <si>
    <t>AEO.2025.ALTTRNP.ECI_ACFTDELIV_AIRT_NBTR_NA_NA_MDE_UNIT.A</t>
  </si>
  <si>
    <t>Air Travel: Aircraft Deliveries: Middle East: Narrow Body Aircraft: Alternative Transportation</t>
  </si>
  <si>
    <t>AEO.2025.ALTTRNP.ECI_ACFTDELIV_AIRT_NA_NA_NA_MDE_UNIT.A</t>
  </si>
  <si>
    <t>Air Travel: Aircraft Deliveries: Middle East: Alternative Transportation</t>
  </si>
  <si>
    <t>AEO.2025.ALTTRNP.ECI_ACFTDELIV_AIRT_REGJ_NA_NA_ONCDAS_UNIT.A</t>
  </si>
  <si>
    <t>Air Travel: Aircraft Deliveries: Other Asia Pacific: Regional Jets: Alternative Transportation</t>
  </si>
  <si>
    <t>AEO.2025.ALTTRNP.ECI_ACFTDELIV_AIRT_WBE_NA_NA_ONCDAS_UNIT.A</t>
  </si>
  <si>
    <t>Air Travel: Aircraft Deliveries: Other Asia Pacific: Wide Body Aircraft: Alternative Transportation</t>
  </si>
  <si>
    <t>AEO.2025.ALTTRNP.ECI_ACFTDELIV_AIRT_NBTR_NA_NA_ONCDAS_UNIT.A</t>
  </si>
  <si>
    <t>Air Travel: Aircraft Deliveries: Other Asia Pacific: Narrow Body Aircraft: Alternative Transportation</t>
  </si>
  <si>
    <t>AEO.2025.ALTTRNP.ECI_ACFTDELIV_AIRT_NA_NA_NA_ONCDAS_UNIT.A</t>
  </si>
  <si>
    <t>Air Travel: Aircraft Deliveries: Other Asia Pacific: Alternative Transportation</t>
  </si>
  <si>
    <t>AEO.2025.ALTTRNP.ECI_ACFTDELIV_AIRT_REGJ_NA_NA_IND_UNIT.A</t>
  </si>
  <si>
    <t>Air Travel: Aircraft Deliveries: India: Regional Jets: Alternative Transportation</t>
  </si>
  <si>
    <t>AEO.2025.ALTTRNP.ECI_ACFTDELIV_AIRT_WBE_NA_NA_IND_UNIT.A</t>
  </si>
  <si>
    <t>Air Travel: Aircraft Deliveries: India: Wide Body Aircraft: Alternative Transportation</t>
  </si>
  <si>
    <t>AEO.2025.ALTTRNP.ECI_ACFTDELIV_AIRT_NBTR_NA_NA_IND_UNIT.A</t>
  </si>
  <si>
    <t>Air Travel: Aircraft Deliveries: India: Narrow Body Aircraft: Alternative Transportation</t>
  </si>
  <si>
    <t>AEO.2025.ALTTRNP.ECI_ACFTDELIV_AIRT_NA_NA_NA_IND_UNIT.A</t>
  </si>
  <si>
    <t>Air Travel: Aircraft Deliveries: India: Alternative Transportation</t>
  </si>
  <si>
    <t>AEO.2025.ALTTRNP.ECI_ACFTDELIV_AIRT_REGJ_NA_NA_CHN_UNIT.A</t>
  </si>
  <si>
    <t>Air Travel: Aircraft Deliveries: China: Regional Jets: Alternative Transportation</t>
  </si>
  <si>
    <t>AEO.2025.ALTTRNP.ECI_ACFTDELIV_AIRT_WBE_NA_NA_CHN_UNIT.A</t>
  </si>
  <si>
    <t>Air Travel: Aircraft Deliveries: China: Wide Body Aircraft: Alternative Transportation</t>
  </si>
  <si>
    <t>AEO.2025.ALTTRNP.ECI_ACFTDELIV_AIRT_NBTR_NA_NA_CHN_UNIT.A</t>
  </si>
  <si>
    <t>Air Travel: Aircraft Deliveries: China: Narrow Body Aircraft: Alternative Transportation</t>
  </si>
  <si>
    <t>AEO.2025.ALTTRNP.ECI_ACFTDELIV_AIRT_NA_NA_NA_CHN_UNIT.A</t>
  </si>
  <si>
    <t>Air Travel: Aircraft Deliveries: China: Alternative Transportation</t>
  </si>
  <si>
    <t>AEO.2025.ALTTRNP.ECI_ACFTDELIV_AIRT_REGJ_NA_NA_OEUAS_UNIT.A</t>
  </si>
  <si>
    <t>Air Travel: Aircraft Deliveries: Eastern Europe and Eurasia: Regional Jets: Alternative Transportation</t>
  </si>
  <si>
    <t>AEO.2025.ALTTRNP.ECI_ACFTDELIV_AIRT_WBE_NA_NA_OEUAS_UNIT.A</t>
  </si>
  <si>
    <t>Air Travel: Aircraft Deliveries: Eastern Europe and Eurasia: Wide Body Aircraft: Alternative Transportation</t>
  </si>
  <si>
    <t>AEO.2025.ALTTRNP.ECI_ACFTDELIV_AIRT_NBTR_NA_NA_OEUAS_UNIT.A</t>
  </si>
  <si>
    <t>Air Travel: Aircraft Deliveries: Eastern Europe and Eurasia: Narrow Body Aircraft: Alternative Transportation</t>
  </si>
  <si>
    <t>AEO.2025.ALTTRNP.ECI_ACFTDELIV_AIRT_NA_NA_NA_OEUAS_UNIT.A</t>
  </si>
  <si>
    <t>Air Travel: Aircraft Deliveries: Eastern Europe and Eurasia: Alternative Transportation</t>
  </si>
  <si>
    <t>AEO.2025.ALTTRNP.ECI_ACFTDELIV_AIRT_REGJ_NA_NA_RUS_UNIT.A</t>
  </si>
  <si>
    <t>Air Travel: Aircraft Deliveries: Russia: Regional Jets: Alternative Transportation</t>
  </si>
  <si>
    <t>AEO.2025.ALTTRNP.ECI_ACFTDELIV_AIRT_WBE_NA_NA_RUS_UNIT.A</t>
  </si>
  <si>
    <t>Air Travel: Aircraft Deliveries: Russia: Wide Body Aircraft: Alternative Transportation</t>
  </si>
  <si>
    <t>AEO.2025.ALTTRNP.ECI_ACFTDELIV_AIRT_NBTR_NA_NA_RUS_UNIT.A</t>
  </si>
  <si>
    <t>Air Travel: Aircraft Deliveries: Russia: Narrow Body Aircraft: Alternative Transportation</t>
  </si>
  <si>
    <t>AEO.2025.ALTTRNP.ECI_ACFTDELIV_AIRT_NA_NA_NA_RUS_UNIT.A</t>
  </si>
  <si>
    <t>Air Travel: Aircraft Deliveries: Russia: Alternative Transportation</t>
  </si>
  <si>
    <t>AEO.2025.ALTTRNP.ECI_ACFTDELIV_AIRT_REGJ_NA_NA_SOK_UNIT.A</t>
  </si>
  <si>
    <t>Air Travel: Aircraft Deliveries: South Korea: Regional Jets: Alternative Transportation</t>
  </si>
  <si>
    <t>AEO.2025.ALTTRNP.ECI_ACFTDELIV_AIRT_WBE_NA_NA_SOK_UNIT.A</t>
  </si>
  <si>
    <t>Air Travel: Aircraft Deliveries: South Korea: Wide Body Aircraft: Alternative Transportation</t>
  </si>
  <si>
    <t>AEO.2025.ALTTRNP.ECI_ACFTDELIV_AIRT_NBTR_NA_NA_SOK_UNIT.A</t>
  </si>
  <si>
    <t>Air Travel: Aircraft Deliveries: South Korea: Narrow Body Aircraft: Alternative Transportation</t>
  </si>
  <si>
    <t>AEO.2025.ALTTRNP.ECI_ACFTDELIV_AIRT_NA_NA_NA_SOK_UNIT.A</t>
  </si>
  <si>
    <t>Air Travel: Aircraft Deliveries: South Korea: Alternative Transportation</t>
  </si>
  <si>
    <t>AEO.2025.ALTTRNP.ECI_ACFTDELIV_AIRT_REGJ_NA_NA_AUNZ_UNIT.A</t>
  </si>
  <si>
    <t>Air Travel: Aircraft Deliveries: Australia and New Zealand: Regional Jets: Alternative Transportation</t>
  </si>
  <si>
    <t>AEO.2025.ALTTRNP.ECI_ACFTDELIV_AIRT_WBE_NA_NA_AUNZ_UNIT.A</t>
  </si>
  <si>
    <t>Air Travel: Aircraft Deliveries: Australia and New Zealand: Wide Body Aircraft: Alternative Transportation</t>
  </si>
  <si>
    <t>AEO.2025.ALTTRNP.ECI_ACFTDELIV_AIRT_NBTR_NA_NA_AUNZ_UNIT.A</t>
  </si>
  <si>
    <t>Air Travel: Aircraft Deliveries: Australia and New Zealand: Narrow Body Aircraft: Alternative Transportation</t>
  </si>
  <si>
    <t>AEO.2025.ALTTRNP.ECI_ACFTDELIV_AIRT_NA_NA_NA_AUNZ_UNIT.A</t>
  </si>
  <si>
    <t>Air Travel: Aircraft Deliveries: Australia and New Zealand: Alternative Transportation</t>
  </si>
  <si>
    <t>AEO.2025.ALTTRNP.ECI_ACFTDELIV_AIRT_REGJ_NA_NA_JPN_UNIT.A</t>
  </si>
  <si>
    <t>Air Travel: Aircraft Deliveries: Japan: Regional Jets: Alternative Transportation</t>
  </si>
  <si>
    <t>AEO.2025.ALTTRNP.ECI_ACFTDELIV_AIRT_WBE_NA_NA_JPN_UNIT.A</t>
  </si>
  <si>
    <t>Air Travel: Aircraft Deliveries: Japan: Wide Body Aircraft: Alternative Transportation</t>
  </si>
  <si>
    <t>AEO.2025.ALTTRNP.ECI_ACFTDELIV_AIRT_NBTR_NA_NA_JPN_UNIT.A</t>
  </si>
  <si>
    <t>Air Travel: Aircraft Deliveries: Japan: Narrow Body Aircraft: Alternative Transportation</t>
  </si>
  <si>
    <t>AEO.2025.ALTTRNP.ECI_ACFTDELIV_AIRT_NA_NA_NA_JPN_UNIT.A</t>
  </si>
  <si>
    <t>Air Travel: Aircraft Deliveries: Japan: Alternative Transportation</t>
  </si>
  <si>
    <t>AEO.2025.ALTTRNP.ECI_ACFTDELIV_AIRT_REGJ_NA_NA_OCDEU_UNIT.A</t>
  </si>
  <si>
    <t>Air Travel: Aircraft Deliveries: Western Europe: Regional Jets: Alternative Transportation</t>
  </si>
  <si>
    <t>AEO.2025.ALTTRNP.ECI_ACFTDELIV_AIRT_WBE_NA_NA_OCDEU_UNIT.A</t>
  </si>
  <si>
    <t>Air Travel: Aircraft Deliveries: Western Europe: Wide Body Aircraft: Alternative Transportation</t>
  </si>
  <si>
    <t>AEO.2025.ALTTRNP.ECI_ACFTDELIV_AIRT_NBTR_NA_NA_OCDEU_UNIT.A</t>
  </si>
  <si>
    <t>Air Travel: Aircraft Deliveries: Western Europe: Narrow Body Aircraft: Alternative Transportation</t>
  </si>
  <si>
    <t>AEO.2025.ALTTRNP.ECI_ACFTDELIV_AIRT_NA_NA_NA_OCDEU_UNIT.A</t>
  </si>
  <si>
    <t>Air Travel: Aircraft Deliveries: Western Europe: Alternative Transportation</t>
  </si>
  <si>
    <t>AEO.2025.ALTTRNP.ECI_ACFTDELIV_AIRT_REGJ_NA_NA_MAOOAS_UNIT.A</t>
  </si>
  <si>
    <t>Air Travel: Aircraft Deliveries: Mexico: Regional Jets: Alternative Transportation</t>
  </si>
  <si>
    <t>AEO.2025.ALTTRNP.ECI_ACFTDELIV_AIRT_WBE_NA_NA_MAOOAS_UNIT.A</t>
  </si>
  <si>
    <t>Air Travel: Aircraft Deliveries: Mexico: Wide Body Aircraft: Alternative Transportation</t>
  </si>
  <si>
    <t>AEO.2025.ALTTRNP.ECI_ACFTDELIV_AIRT_NBTR_NA_NA_MAOOAS_UNIT.A</t>
  </si>
  <si>
    <t>Air Travel: Aircraft Deliveries: Mexico: Narrow Body Aircraft: Alternative Transportation</t>
  </si>
  <si>
    <t>AEO.2025.ALTTRNP.ECI_ACFTDELIV_AIRT_NA_NA_NA_MAOOAS_UNIT.A</t>
  </si>
  <si>
    <t>Air Travel: Aircraft Deliveries: Mexico: Alternative Transportation</t>
  </si>
  <si>
    <t>AEO.2025.ALTTRNP.ECI_ACFTDELIV_AIRT_REGJ_NA_NA_CAN_UNIT.A</t>
  </si>
  <si>
    <t>Air Travel: Aircraft Deliveries: Canada: Regional Jets: Alternative Transportation</t>
  </si>
  <si>
    <t>AEO.2025.ALTTRNP.ECI_ACFTDELIV_AIRT_WBE_NA_NA_CAN_UNIT.A</t>
  </si>
  <si>
    <t>Air Travel: Aircraft Deliveries: Canada: Wide Body Aircraft: Alternative Transportation</t>
  </si>
  <si>
    <t>AEO.2025.ALTTRNP.ECI_ACFTDELIV_AIRT_NBTR_NA_NA_CAN_UNIT.A</t>
  </si>
  <si>
    <t>Air Travel: Aircraft Deliveries: Canada: Narrow Body Aircraft: Alternative Transportation</t>
  </si>
  <si>
    <t>AEO.2025.ALTTRNP.ECI_ACFTDELIV_AIRT_NA_NA_NA_CAN_UNIT.A</t>
  </si>
  <si>
    <t>Air Travel: Aircraft Deliveries: Canada: Alternative Transportation</t>
  </si>
  <si>
    <t>AEO.2025.ALTTRNP.ECI_ACFTDELIV_AIRT_REGJ_NA_NA_USA_UNIT.A</t>
  </si>
  <si>
    <t>Air Travel: Aircraft Deliveries: U.S.: Regional Jets: Alternative Transportation</t>
  </si>
  <si>
    <t>AEO.2025.ALTTRNP.ECI_ACFTDELIV_AIRT_WBE_NA_NA_USA_UNIT.A</t>
  </si>
  <si>
    <t>Air Travel: Aircraft Deliveries: U.S.: Wide Body Aircraft: Alternative Transportation</t>
  </si>
  <si>
    <t>AEO.2025.ALTTRNP.ECI_ACFTDELIV_AIRT_NBTR_NA_NA_USA_UNIT.A</t>
  </si>
  <si>
    <t>Air Travel: Aircraft Deliveries: U.S.: Narrow Body Aircraft: Alternative Transportation</t>
  </si>
  <si>
    <t>AEO.2025.ALTTRNP.ECI_ACFTDELIV_AIRT_NA_NA_NA_USA_UNIT.A</t>
  </si>
  <si>
    <t>Air Travel: Aircraft Deliveries: U.S.: Alternative Transportation</t>
  </si>
  <si>
    <t>AEO.2025.ALTTRNP.ECI_SMD_AIRT_NA_NA_NA_WRLD_BLNMLS.A</t>
  </si>
  <si>
    <t>Air Travel: Seat Miles Demanded: World: Alternative Transportation</t>
  </si>
  <si>
    <t>AEO.2025.ALTTRNP.ECI_SMD_AIRT_REGJ_NA_NA_WRLD_BLNMLS.A</t>
  </si>
  <si>
    <t>Air Travel: Seat Miles Demanded: World: Regional Jets: Alternative Transportation</t>
  </si>
  <si>
    <t>AEO.2025.ALTTRNP.ECI_SMD_AIRT_WBE_NA_NA_WRLD_BLNMLS.A</t>
  </si>
  <si>
    <t>Air Travel: Seat Miles Demanded: World: Wide Body Aircraft: Alternative Transportation</t>
  </si>
  <si>
    <t>AEO.2025.ALTTRNP.ECI_SMD_AIRT_NBTR_NA_NA_WRLD_BLNMLS.A</t>
  </si>
  <si>
    <t>Air Travel: Seat Miles Demanded: World: Narrow Body Aircraft: Alternative Transportation</t>
  </si>
  <si>
    <t>AEO.2025.ALTTRNP.ECI_SMD_AIRT_REGJ_NA_NA_ONOAS_BLNMLS.A</t>
  </si>
  <si>
    <t>Air Travel: Seat Miles Demanded: Other Americas: Regional Jets: Alternative Transportation</t>
  </si>
  <si>
    <t>AEO.2025.ALTTRNP.ECI_SMD_AIRT_WBE_NA_NA_ONOAS_BLNMLS.A</t>
  </si>
  <si>
    <t>Air Travel: Seat Miles Demanded: Other Americas: Wide Body Aircraft: Alternative Transportation</t>
  </si>
  <si>
    <t>AEO.2025.ALTTRNP.ECI_SMD_AIRT_NBTR_NA_NA_ONOAS_BLNMLS.A</t>
  </si>
  <si>
    <t>Air Travel: Seat Miles Demanded: Other Americas: Narrow Body Aircraft: Alternative Transportation</t>
  </si>
  <si>
    <t>AEO.2025.ALTTRNP.ECI_SMD_AIRT_NA_NA_NA_ONOAS_BLNMLS.A</t>
  </si>
  <si>
    <t>Air Travel: Seat Miles Demanded: Other Americas: Alternative Transportation</t>
  </si>
  <si>
    <t>AEO.2025.ALTTRNP.ECI_SMD_AIRT_REGJ_NA_NA_BRZ_BLNMLS.A</t>
  </si>
  <si>
    <t>Air Travel: Seat Miles Demanded: Brazil: Regional Jets: Alternative Transportation</t>
  </si>
  <si>
    <t>AEO.2025.ALTTRNP.ECI_SMD_AIRT_WBE_NA_NA_BRZ_BLNMLS.A</t>
  </si>
  <si>
    <t>Air Travel: Seat Miles Demanded: Brazil: Wide Body Aircraft: Alternative Transportation</t>
  </si>
  <si>
    <t>AEO.2025.ALTTRNP.ECI_SMD_AIRT_NBTR_NA_NA_BRZ_BLNMLS.A</t>
  </si>
  <si>
    <t>Air Travel: Seat Miles Demanded: Brazil: Narrow Body Aircraft: Alternative Transportation</t>
  </si>
  <si>
    <t>AEO.2025.ALTTRNP.ECI_SMD_AIRT_NA_NA_NA_BRZ_BLNMLS.A</t>
  </si>
  <si>
    <t>Air Travel: Seat Miles Demanded: Brazil: Alternative Transportation</t>
  </si>
  <si>
    <t>AEO.2025.ALTTRNP.ECI_SMD_AIRT_REGJ_NA_NA_AFR_BLNMLS.A</t>
  </si>
  <si>
    <t>Air Travel: Seat Miles Demanded: Africa: Regional Jets: Alternative Transportation</t>
  </si>
  <si>
    <t>AEO.2025.ALTTRNP.ECI_SMD_AIRT_WBE_NA_NA_AFR_BLNMLS.A</t>
  </si>
  <si>
    <t>Air Travel: Seat Miles Demanded: Africa: Wide Body Aircraft: Alternative Transportation</t>
  </si>
  <si>
    <t>AEO.2025.ALTTRNP.ECI_SMD_AIRT_NBTR_NA_NA_AFR_BLNMLS.A</t>
  </si>
  <si>
    <t>Air Travel: Seat Miles Demanded: Africa: Narrow Body Aircraft: Alternative Transportation</t>
  </si>
  <si>
    <t>AEO.2025.ALTTRNP.ECI_SMD_AIRT_NA_NA_NA_AFR_BLNMLS.A</t>
  </si>
  <si>
    <t>Air Travel: Seat Miles Demanded: Africa: Alternative Transportation</t>
  </si>
  <si>
    <t>AEO.2025.ALTTRNP.ECI_SMD_AIRT_REGJ_NA_NA_MDE_BLNMLS.A</t>
  </si>
  <si>
    <t>Air Travel: Seat Miles Demanded: Middle East: Regional Jets: Alternative Transportation</t>
  </si>
  <si>
    <t>AEO.2025.ALTTRNP.ECI_SMD_AIRT_WBE_NA_NA_MDE_BLNMLS.A</t>
  </si>
  <si>
    <t>Air Travel: Seat Miles Demanded: Middle East: Wide Body Aircraft: Alternative Transportation</t>
  </si>
  <si>
    <t>AEO.2025.ALTTRNP.ECI_SMD_AIRT_NBTR_NA_NA_MDE_BLNMLS.A</t>
  </si>
  <si>
    <t>Air Travel: Seat Miles Demanded: Middle East: Narrow Body Aircraft: Alternative Transportation</t>
  </si>
  <si>
    <t>AEO.2025.ALTTRNP.ECI_SMD_AIRT_NA_NA_NA_MDE_BLNMLS.A</t>
  </si>
  <si>
    <t>Air Travel: Seat Miles Demanded: Middle East: Alternative Transportation</t>
  </si>
  <si>
    <t>AEO.2025.ALTTRNP.ECI_SMD_AIRT_REGJ_NA_NA_ONCDAS_BLNMLS.A</t>
  </si>
  <si>
    <t>Air Travel: Seat Miles Demanded: Other Asia Pacific: Regional Jets: Alternative Transportation</t>
  </si>
  <si>
    <t>AEO.2025.ALTTRNP.ECI_SMD_AIRT_WBE_NA_NA_ONCDAS_BLNMLS.A</t>
  </si>
  <si>
    <t>Air Travel: Seat Miles Demanded: Other Asia Pacific: Wide Body Aircraft: Alternative Transportation</t>
  </si>
  <si>
    <t>AEO.2025.ALTTRNP.ECI_SMD_AIRT_NBTR_NA_NA_ONCDAS_BLNMLS.A</t>
  </si>
  <si>
    <t>Air Travel: Seat Miles Demanded: Other Asia Pacific: Narrow Body Aircraft: Alternative Transportation</t>
  </si>
  <si>
    <t>AEO.2025.ALTTRNP.ECI_SMD_AIRT_NA_NA_NA_ONCDAS_BLNMLS.A</t>
  </si>
  <si>
    <t>Air Travel: Seat Miles Demanded: Other Asia Pacific: Alternative Transportation</t>
  </si>
  <si>
    <t>AEO.2025.ALTTRNP.ECI_SMD_AIRT_REGJ_NA_NA_IND_BLNMLS.A</t>
  </si>
  <si>
    <t>Air Travel: Seat Miles Demanded: India: Regional Jets: Alternative Transportation</t>
  </si>
  <si>
    <t>AEO.2025.ALTTRNP.ECI_SMD_AIRT_WBE_NA_NA_IND_BLNMLS.A</t>
  </si>
  <si>
    <t>Air Travel: Seat Miles Demanded: India: Wide Body Aircraft: Alternative Transportation</t>
  </si>
  <si>
    <t>AEO.2025.ALTTRNP.ECI_SMD_AIRT_NBTR_NA_NA_IND_BLNMLS.A</t>
  </si>
  <si>
    <t>Air Travel: Seat Miles Demanded: India: Narrow Body Aircraft: Alternative Transportation</t>
  </si>
  <si>
    <t>AEO.2025.ALTTRNP.ECI_SMD_AIRT_NA_NA_NA_IND_BLNMLS.A</t>
  </si>
  <si>
    <t>Air Travel: Seat Miles Demanded: India: Alternative Transportation</t>
  </si>
  <si>
    <t>AEO.2025.ALTTRNP.ECI_SMD_AIRT_REGJ_NA_NA_CHN_BLNMLS.A</t>
  </si>
  <si>
    <t>Air Travel: Seat Miles Demanded: China: Regional Jets: Alternative Transportation</t>
  </si>
  <si>
    <t>AEO.2025.ALTTRNP.ECI_SMD_AIRT_WBE_NA_NA_CHN_BLNMLS.A</t>
  </si>
  <si>
    <t>Air Travel: Seat Miles Demanded: China: Wide Body Aircraft: Alternative Transportation</t>
  </si>
  <si>
    <t>AEO.2025.ALTTRNP.ECI_SMD_AIRT_NBTR_NA_NA_CHN_BLNMLS.A</t>
  </si>
  <si>
    <t>Air Travel: Seat Miles Demanded: China: Narrow Body Aircraft: Alternative Transportation</t>
  </si>
  <si>
    <t>AEO.2025.ALTTRNP.ECI_SMD_AIRT_NA_NA_NA_CHN_BLNMLS.A</t>
  </si>
  <si>
    <t>Air Travel: Seat Miles Demanded: China: Alternative Transportation</t>
  </si>
  <si>
    <t>AEO.2025.ALTTRNP.ECI_SMD_AIRT_REGJ_NA_NA_OEUAS_BLNMLS.A</t>
  </si>
  <si>
    <t>Air Travel: Seat Miles Demanded: Eastern Europe and Eurasia: Regional Jets: Alternative Transportation</t>
  </si>
  <si>
    <t>AEO.2025.ALTTRNP.ECI_SMD_AIRT_WBE_NA_NA_OEUAS_BLNMLS.A</t>
  </si>
  <si>
    <t>Air Travel: Seat Miles Demanded: Eastern Europe and Eurasia: Wide Body Aircraft: Alternative Transportation</t>
  </si>
  <si>
    <t>AEO.2025.ALTTRNP.ECI_SMD_AIRT_NBTR_NA_NA_OEUAS_BLNMLS.A</t>
  </si>
  <si>
    <t>Air Travel: Seat Miles Demanded: Eastern Europe and Eurasia: Narrow Body Aircraft: Alternative Transportation</t>
  </si>
  <si>
    <t>AEO.2025.ALTTRNP.ECI_SMD_AIRT_NA_NA_NA_OEUAS_BLNMLS.A</t>
  </si>
  <si>
    <t>Air Travel: Seat Miles Demanded: Eastern Europe and Eurasia: Alternative Transportation</t>
  </si>
  <si>
    <t>AEO.2025.ALTTRNP.ECI_SMD_AIRT_REGJ_NA_NA_RUS_BLNMLS.A</t>
  </si>
  <si>
    <t>Air Travel: Seat Miles Demanded: Russia: Regional Jets: Alternative Transportation</t>
  </si>
  <si>
    <t>AEO.2025.ALTTRNP.ECI_SMD_AIRT_WBE_NA_NA_RUS_BLNMLS.A</t>
  </si>
  <si>
    <t>Air Travel: Seat Miles Demanded: Russia: Wide Body Aircraft: Alternative Transportation</t>
  </si>
  <si>
    <t>AEO.2025.ALTTRNP.ECI_SMD_AIRT_NBTR_NA_NA_RUS_BLNMLS.A</t>
  </si>
  <si>
    <t>Air Travel: Seat Miles Demanded: Russia: Narrow Body Aircraft: Alternative Transportation</t>
  </si>
  <si>
    <t>AEO.2025.ALTTRNP.ECI_SMD_AIRT_NA_NA_NA_RUS_BLNMLS.A</t>
  </si>
  <si>
    <t>Air Travel: Seat Miles Demanded: Russia: Alternative Transportation</t>
  </si>
  <si>
    <t>AEO.2025.ALTTRNP.ECI_SMD_AIRT_REGJ_NA_NA_SOK_BLNMLS.A</t>
  </si>
  <si>
    <t>Air Travel: Seat Miles Demanded: South Korea: Regional Jets: Alternative Transportation</t>
  </si>
  <si>
    <t>AEO.2025.ALTTRNP.ECI_SMD_AIRT_WBE_NA_NA_SOK_BLNMLS.A</t>
  </si>
  <si>
    <t>Air Travel: Seat Miles Demanded: South Korea: Wide Body Aircraft: Alternative Transportation</t>
  </si>
  <si>
    <t>AEO.2025.ALTTRNP.ECI_SMD_AIRT_NBTR_NA_NA_SOK_BLNMLS.A</t>
  </si>
  <si>
    <t>Air Travel: Seat Miles Demanded: South Korea: Narrow Body Aircraft: Alternative Transportation</t>
  </si>
  <si>
    <t>AEO.2025.ALTTRNP.ECI_SMD_AIRT_NA_NA_NA_SOK_BLNMLS.A</t>
  </si>
  <si>
    <t>Air Travel: Seat Miles Demanded: South Korea: Alternative Transportation</t>
  </si>
  <si>
    <t>AEO.2025.ALTTRNP.ECI_SMD_AIRT_REGJ_NA_NA_AUNZ_BLNMLS.A</t>
  </si>
  <si>
    <t>Air Travel: Seat Miles Demanded: Australia and New Zealand: Regional Jets: Alternative Transportation</t>
  </si>
  <si>
    <t>AEO.2025.ALTTRNP.ECI_SMD_AIRT_WBE_NA_NA_AUNZ_BLNMLS.A</t>
  </si>
  <si>
    <t>Air Travel: Seat Miles Demanded: Australia and New Zealand: Wide Body Aircraft: Alternative Transportation</t>
  </si>
  <si>
    <t>AEO.2025.ALTTRNP.ECI_SMD_AIRT_NBTR_NA_NA_AUNZ_BLNMLS.A</t>
  </si>
  <si>
    <t>Air Travel: Seat Miles Demanded: Australia and New Zealand: Narrow Body Aircraft: Alternative Transportation</t>
  </si>
  <si>
    <t>AEO.2025.ALTTRNP.ECI_SMD_AIRT_NA_NA_NA_AUNZ_BLNMLS.A</t>
  </si>
  <si>
    <t>Air Travel: Seat Miles Demanded: Australia and New Zealand: Alternative Transportation</t>
  </si>
  <si>
    <t>AEO.2025.ALTTRNP.ECI_SMD_AIRT_REGJ_NA_NA_JPN_BLNMLS.A</t>
  </si>
  <si>
    <t>Air Travel: Seat Miles Demanded: Japan: Regional Jets: Alternative Transportation</t>
  </si>
  <si>
    <t>AEO.2025.ALTTRNP.ECI_SMD_AIRT_WBE_NA_NA_JPN_BLNMLS.A</t>
  </si>
  <si>
    <t>Air Travel: Seat Miles Demanded: Japan: Wide Body Aircraft: Alternative Transportation</t>
  </si>
  <si>
    <t>AEO.2025.ALTTRNP.ECI_SMD_AIRT_NBTR_NA_NA_JPN_BLNMLS.A</t>
  </si>
  <si>
    <t>Air Travel: Seat Miles Demanded: Japan: Narrow Body Aircraft: Alternative Transportation</t>
  </si>
  <si>
    <t>AEO.2025.ALTTRNP.ECI_SMD_AIRT_NA_NA_NA_JPN_BLNMLS.A</t>
  </si>
  <si>
    <t>Air Travel: Seat Miles Demanded: Japan: Alternative Transportation</t>
  </si>
  <si>
    <t>AEO.2025.ALTTRNP.ECI_SMD_AIRT_REGJ_NA_NA_OCDEU_BLNMLS.A</t>
  </si>
  <si>
    <t>Air Travel: Seat Miles Demanded: Western Europe: Regional Jets: Alternative Transportation</t>
  </si>
  <si>
    <t>AEO.2025.ALTTRNP.ECI_SMD_AIRT_WBE_NA_NA_OCDEU_BLNMLS.A</t>
  </si>
  <si>
    <t>Air Travel: Seat Miles Demanded: Western Europe: Wide Body Aircraft: Alternative Transportation</t>
  </si>
  <si>
    <t>AEO.2025.ALTTRNP.ECI_SMD_AIRT_NBTR_NA_NA_OCDEU_BLNMLS.A</t>
  </si>
  <si>
    <t>Air Travel: Seat Miles Demanded: Western Europe: Narrow Body Aircraft: Alternative Transportation</t>
  </si>
  <si>
    <t>AEO.2025.ALTTRNP.ECI_SMD_AIRT_NA_NA_NA_OCDEU_BLNMLS.A</t>
  </si>
  <si>
    <t>Air Travel: Seat Miles Demanded: Western Europe: Alternative Transportation</t>
  </si>
  <si>
    <t>AEO.2025.ALTTRNP.ECI_SMD_AIRT_REGJ_NA_NA_MAOOAS_BLNMLS.A</t>
  </si>
  <si>
    <t>Air Travel: Seat Miles Demanded: Mexico: Regional Jets: Alternative Transportation</t>
  </si>
  <si>
    <t>AEO.2025.ALTTRNP.ECI_SMD_AIRT_WBE_NA_NA_MAOOAS_BLNMLS.A</t>
  </si>
  <si>
    <t>Air Travel: Seat Miles Demanded: Mexico: Wide Body Aircraft: Alternative Transportation</t>
  </si>
  <si>
    <t>AEO.2025.ALTTRNP.ECI_SMD_AIRT_NBTR_NA_NA_MAOOAS_BLNMLS.A</t>
  </si>
  <si>
    <t>Air Travel: Seat Miles Demanded: Mexico: Narrow Body Aircraft: Alternative Transportation</t>
  </si>
  <si>
    <t>AEO.2025.ALTTRNP.ECI_SMD_AIRT_NA_NA_NA_MAOOAS_BLNMLS.A</t>
  </si>
  <si>
    <t>Air Travel: Seat Miles Demanded: Mexico: Alternative Transportation</t>
  </si>
  <si>
    <t>AEO.2025.ALTTRNP.ECI_SMD_AIRT_REGJ_NA_NA_CAN_BLNMLS.A</t>
  </si>
  <si>
    <t>Air Travel: Seat Miles Demanded: Canada: Regional Jets: Alternative Transportation</t>
  </si>
  <si>
    <t>AEO.2025.ALTTRNP.ECI_SMD_AIRT_WBE_NA_NA_CAN_BLNMLS.A</t>
  </si>
  <si>
    <t>Air Travel: Seat Miles Demanded: Canada: Wide Body Aircraft: Alternative Transportation</t>
  </si>
  <si>
    <t>AEO.2025.ALTTRNP.ECI_SMD_AIRT_NBTR_NA_NA_CAN_BLNMLS.A</t>
  </si>
  <si>
    <t>Air Travel: Seat Miles Demanded: Canada: Narrow Body Aircraft: Alternative Transportation</t>
  </si>
  <si>
    <t>AEO.2025.ALTTRNP.ECI_SMD_AIRT_NA_NA_NA_CAN_BLNMLS.A</t>
  </si>
  <si>
    <t>Air Travel: Seat Miles Demanded: Canada: Alternative Transportation</t>
  </si>
  <si>
    <t>AEO.2025.ALTTRNP.ECI_SMD_AIRT_REGJ_NA_NA_USA_BLNMLS.A</t>
  </si>
  <si>
    <t>Air Travel: Seat Miles Demanded: U.S.: Regional Jets: Alternative Transportation</t>
  </si>
  <si>
    <t>AEO.2025.ALTTRNP.ECI_SMD_AIRT_WBE_NA_NA_USA_BLNMLS.A</t>
  </si>
  <si>
    <t>Air Travel: Seat Miles Demanded: U.S.: Wide Body Aircraft: Alternative Transportation</t>
  </si>
  <si>
    <t>AEO.2025.ALTTRNP.ECI_SMD_AIRT_NBTR_NA_NA_USA_BLNMLS.A</t>
  </si>
  <si>
    <t>Air Travel: Seat Miles Demanded: U.S.: Narrow Body Aircraft: Alternative Transportation</t>
  </si>
  <si>
    <t>AEO.2025.ALTTRNP.ECI_SMD_AIRT_NA_NA_NA_USA_BLNMLS.A</t>
  </si>
  <si>
    <t>Air Travel: Seat Miles Demanded: U.S.: Alternative Transportation</t>
  </si>
  <si>
    <t>AEO.2025.ALTTRNP.ECI_RTM_AIRT_NA_NA_NA_WRLD_BLNMLS.A</t>
  </si>
  <si>
    <t>Air Travel: Travel Demand: Revenue Ton Miles: Freight: World: Alternative Transportation</t>
  </si>
  <si>
    <t>Air Travel: Travel Demand: Revenue Ton Miles: Freight: International World: Alternative Transportation</t>
  </si>
  <si>
    <t>Total World International</t>
  </si>
  <si>
    <t>Air Travel: Travel Demand: Revenue Ton Miles: Freight: Domestic World: Alternative Transportation</t>
  </si>
  <si>
    <t>Total World Domestic</t>
  </si>
  <si>
    <t>AEO.2025.ALTTRNP.ECI_RTM_AIRT_NA_NA_NA_ONOAS_BLNMLS.A</t>
  </si>
  <si>
    <t>Air Travel: Travel Demand: Revenue Ton Miles: Freight: Other Americas: Alternative Transportation</t>
  </si>
  <si>
    <t>AEO.2025.ALTTRNP.ECI_RTM_AIRT_NA_NA_NA_BRZ_BLNMLS.A</t>
  </si>
  <si>
    <t>Air Travel: Travel Demand: Revenue Ton Miles: Freight: Brazil: Alternative Transportation</t>
  </si>
  <si>
    <t>AEO.2025.ALTTRNP.ECI_RTM_AIRT_NA_NA_NA_AFR_BLNMLS.A</t>
  </si>
  <si>
    <t>Air Travel: Travel Demand: Revenue Ton Miles: Freight: Africa: Alternative Transportation</t>
  </si>
  <si>
    <t>AEO.2025.ALTTRNP.ECI_RTM_AIRT_NA_NA_NA_MDE_BLNMLS.A</t>
  </si>
  <si>
    <t>Air Travel: Travel Demand: Revenue Ton Miles: Freight: Middle East: Alternative Transportation</t>
  </si>
  <si>
    <t>AEO.2025.ALTTRNP.ECI_RTM_AIRT_NA_NA_NA_ONCDAS_BLNMLS.A</t>
  </si>
  <si>
    <t>Air Travel: Travel Demand: Revenue Ton Miles: Freight: Other Asia Pacific: Alternative Transportation</t>
  </si>
  <si>
    <t>AEO.2025.ALTTRNP.ECI_RTM_AIRT_NA_NA_NA_IND_BLNMLS.A</t>
  </si>
  <si>
    <t>Air Travel: Travel Demand: Revenue Ton Miles: Freight: India: Alternative Transportation</t>
  </si>
  <si>
    <t>AEO.2025.ALTTRNP.ECI_RTM_AIRT_NA_NA_NA_CHN_BLNMLS.A</t>
  </si>
  <si>
    <t>Air Travel: Travel Demand: Revenue Ton Miles: Freight: China: Alternative Transportation</t>
  </si>
  <si>
    <t>AEO.2025.ALTTRNP.ECI_RTM_AIRT_NA_NA_NA_OEUAS_BLNMLS.A</t>
  </si>
  <si>
    <t>Air Travel: Travel Demand: Revenue Ton Miles: Freight: Eastern Europe and Eurasia: Alternative Transportation</t>
  </si>
  <si>
    <t>AEO.2025.ALTTRNP.ECI_RTM_AIRT_NA_NA_NA_RUS_BLNMLS.A</t>
  </si>
  <si>
    <t>Air Travel: Travel Demand: Revenue Ton Miles: Freight: Russia: Alternative Transportation</t>
  </si>
  <si>
    <t>AEO.2025.ALTTRNP.ECI_RTM_AIRT_NA_NA_NA_SOK_BLNMLS.A</t>
  </si>
  <si>
    <t>Air Travel: Travel Demand: Revenue Ton Miles: Freight: South Korea: Alternative Transportation</t>
  </si>
  <si>
    <t>AEO.2025.ALTTRNP.ECI_RTM_AIRT_NA_NA_NA_AUNZ_BLNMLS.A</t>
  </si>
  <si>
    <t>Air Travel: Travel Demand: Revenue Ton Miles: Freight: Australia and New Zealand: Alternative Transportation</t>
  </si>
  <si>
    <t>AEO.2025.ALTTRNP.ECI_RTM_AIRT_NA_NA_NA_JPN_BLNMLS.A</t>
  </si>
  <si>
    <t>Air Travel: Travel Demand: Revenue Ton Miles: Freight: Japan: Alternative Transportation</t>
  </si>
  <si>
    <t>AEO.2025.ALTTRNP.ECI_RTM_AIRT_NA_NA_NA_OCDEU_BLNMLS.A</t>
  </si>
  <si>
    <t>Air Travel: Travel Demand: Revenue Ton Miles: Freight: Western Europe: Alternative Transportation</t>
  </si>
  <si>
    <t>AEO.2025.ALTTRNP.ECI_RTM_AIRT_NA_NA_NA_MAOOAS_BLNMLS.A</t>
  </si>
  <si>
    <t>Air Travel: Travel Demand: Revenue Ton Miles: Freight: Mexico: Alternative Transportation</t>
  </si>
  <si>
    <t>AEO.2025.ALTTRNP.ECI_RTM_AIRT_NA_NA_NA_CAN_BLNMLS.A</t>
  </si>
  <si>
    <t>Air Travel: Travel Demand: Revenue Ton Miles: Freight: Canada: Alternative Transportation</t>
  </si>
  <si>
    <t>AEO.2025.ALTTRNP.ECI_RTM_AIRT_NA_NA_NA_USA_BLNMLS.A</t>
  </si>
  <si>
    <t>Air Travel: Travel Demand: Revenue Ton Miles: Freight: U.S.: Alternative Transportation</t>
  </si>
  <si>
    <t>Freight Revenue Ton Miles (billion miles)</t>
  </si>
  <si>
    <t>AEO.2025.ALTTRNP.ECI_RPM_AIRT_INTA_NA_NA_WRLD_BLNMLS.A</t>
  </si>
  <si>
    <t>Air Travel: Travel Demand: Revenue Passenger Miles: World: Alternative Transportation</t>
  </si>
  <si>
    <t>Air Travel: Travel Demand: Revenue Passenger Miles: International World: Alternative Transportation</t>
  </si>
  <si>
    <t>AEO.2025.ALTTRNP.ECI_RPM_AIRT_INTA_NA_NA_ONOAS_BLNMLS.A</t>
  </si>
  <si>
    <t>Air Travel: Travel Demand: Revenue Passenger Miles: International Other Americas: Alternative Transportation</t>
  </si>
  <si>
    <t>AEO.2025.ALTTRNP.ECI_RPM_AIRT_INTA_NA_NA_BRZ_BLNMLS.A</t>
  </si>
  <si>
    <t>Air Travel: Travel Demand: Revenue Passenger Miles: International Brazil: Alternative Transportation</t>
  </si>
  <si>
    <t>AEO.2025.ALTTRNP.ECI_RPM_AIRT_INTA_NA_NA_AFR_BLNMLS.A</t>
  </si>
  <si>
    <t>Air Travel: Travel Demand: Revenue Passenger Miles: International Africa: Alternative Transportation</t>
  </si>
  <si>
    <t>AEO.2025.ALTTRNP.ECI_RPM_AIRT_INTA_NA_NA_MDE_BLNMLS.A</t>
  </si>
  <si>
    <t>Air Travel: Travel Demand: Revenue Passenger Miles: International Middle East: Alternative Transportation</t>
  </si>
  <si>
    <t>AEO.2025.ALTTRNP.ECI_RPM_AIRT_INTA_NA_NA_ONCDAS_BLNMLS.A</t>
  </si>
  <si>
    <t>Air Travel: Travel Demand: Revenue Passenger Miles: International Other Asia Pacific: Alternative Transportation</t>
  </si>
  <si>
    <t>AEO.2025.ALTTRNP.ECI_RPM_AIRT_INTA_NA_NA_IND_BLNMLS.A</t>
  </si>
  <si>
    <t>Air Travel: Travel Demand: Revenue Passenger Miles: International India: Alternative Transportation</t>
  </si>
  <si>
    <t>AEO.2025.ALTTRNP.ECI_RPM_AIRT_INTA_NA_NA_CHN_BLNMLS.A</t>
  </si>
  <si>
    <t>Air Travel: Travel Demand: Revenue Passenger Miles: International China: Alternative Transportation</t>
  </si>
  <si>
    <t>AEO.2025.ALTTRNP.ECI_RPM_AIRT_INTA_NA_NA_OEUAS_BLNMLS.A</t>
  </si>
  <si>
    <t>Air Travel: Travel Demand: Revenue Passenger Miles: International Eastern Europe and Eurasia: Alternative Transportation</t>
  </si>
  <si>
    <t>AEO.2025.ALTTRNP.ECI_RPM_AIRT_INTA_NA_NA_RUS_BLNMLS.A</t>
  </si>
  <si>
    <t>Air Travel: Travel Demand: Revenue Passenger Miles: International Russia: Alternative Transportation</t>
  </si>
  <si>
    <t>AEO.2025.ALTTRNP.ECI_RPM_AIRT_INTA_NA_NA_SOK_BLNMLS.A</t>
  </si>
  <si>
    <t>Air Travel: Travel Demand: Revenue Passenger Miles: International South Korea: Alternative Transportation</t>
  </si>
  <si>
    <t>AEO.2025.ALTTRNP.ECI_RPM_AIRT_INTA_NA_NA_AUNZ_BLNMLS.A</t>
  </si>
  <si>
    <t>Air Travel: Travel Demand: Revenue Passenger Miles: International Australia and New Zealand: Alternative Transportation</t>
  </si>
  <si>
    <t>AEO.2025.ALTTRNP.ECI_RPM_AIRT_INTA_NA_NA_JPN_BLNMLS.A</t>
  </si>
  <si>
    <t>Air Travel: Travel Demand: Revenue Passenger Miles: International Japan: Alternative Transportation</t>
  </si>
  <si>
    <t>AEO.2025.ALTTRNP.ECI_RPM_AIRT_INTA_NA_NA_OCDEU_BLNMLS.A</t>
  </si>
  <si>
    <t>Air Travel: Travel Demand: Revenue Passenger Miles: International Western Europe: Alternative Transportation</t>
  </si>
  <si>
    <t>AEO.2025.ALTTRNP.ECI_RPM_AIRT_INTA_NA_NA_MAOOAS_BLNMLS.A</t>
  </si>
  <si>
    <t>Air Travel: Travel Demand: Revenue Passenger Miles: International Mexico: Alternative Transportation</t>
  </si>
  <si>
    <t>AEO.2025.ALTTRNP.ECI_RPM_AIRT_INTA_NA_NA_CAN_BLNMLS.A</t>
  </si>
  <si>
    <t>Air Travel: Travel Demand: Revenue Passenger Miles: International Canada: Alternative Transportation</t>
  </si>
  <si>
    <t>AEO.2025.ALTTRNP.ECI_RPM_AIRT_INTA_NA_NA_USA_BLNMLS.A</t>
  </si>
  <si>
    <t>Air Travel: Travel Demand: Revenue Passenger Miles: International U.S.: Alternative Transportation</t>
  </si>
  <si>
    <t>International</t>
  </si>
  <si>
    <t>AEO.2025.ALTTRNP.ECI_RPM_AIRT_DMS_NA_NA_WRLD_BLNMLS.A</t>
  </si>
  <si>
    <t>Air Travel: Travel Demand: Revenue Passenger Miles: Domestic: World: Alternative Transportation</t>
  </si>
  <si>
    <t>AEO.2025.ALTTRNP.ECI_RPM_AIRT_DMS_NA_NA_ONOAS_BLNMLS.A</t>
  </si>
  <si>
    <t>Air Travel: Travel Demand: Revenue Passenger Miles: Domestic: Other Americas: Alternative Transportation</t>
  </si>
  <si>
    <t>AEO.2025.ALTTRNP.ECI_RPM_AIRT_DMS_NA_NA_BRZ_BLNMLS.A</t>
  </si>
  <si>
    <t>Air Travel: Travel Demand: Revenue Passenger Miles: Domestic: Brazil: Alternative Transportation</t>
  </si>
  <si>
    <t>AEO.2025.ALTTRNP.ECI_RPM_AIRT_DMS_NA_NA_AFR_BLNMLS.A</t>
  </si>
  <si>
    <t>Air Travel: Travel Demand: Revenue Passenger Miles: Domestic: Africa: Alternative Transportation</t>
  </si>
  <si>
    <t>AEO.2025.ALTTRNP.ECI_RPM_AIRT_DMS_NA_NA_MDE_BLNMLS.A</t>
  </si>
  <si>
    <t>Air Travel: Travel Demand: Revenue Passenger Miles: Domestic: Middle East: Alternative Transportation</t>
  </si>
  <si>
    <t>AEO.2025.ALTTRNP.ECI_RPM_AIRT_DMS_NA_NA_ONCDAS_BLNMLS.A</t>
  </si>
  <si>
    <t>Air Travel: Travel Demand: Revenue Passenger Miles: Domestic: Other Asia Pacific: Alternative Transportation</t>
  </si>
  <si>
    <t>AEO.2025.ALTTRNP.ECI_RPM_AIRT_DMS_NA_NA_IND_BLNMLS.A</t>
  </si>
  <si>
    <t>Air Travel: Travel Demand: Revenue Passenger Miles: Domestic: India: Alternative Transportation</t>
  </si>
  <si>
    <t>AEO.2025.ALTTRNP.ECI_RPM_AIRT_DMS_NA_NA_CHN_BLNMLS.A</t>
  </si>
  <si>
    <t>Air Travel: Travel Demand: Revenue Passenger Miles: Domestic: China: Alternative Transportation</t>
  </si>
  <si>
    <t>AEO.2025.ALTTRNP.ECI_RPM_AIRT_DMS_NA_NA_OEUAS_BLNMLS.A</t>
  </si>
  <si>
    <t>Air Travel: Travel Demand: Revenue Passenger Miles: Domestic: Eastern Europe and Eurasia: Alternative Transportation</t>
  </si>
  <si>
    <t>AEO.2025.ALTTRNP.ECI_RPM_AIRT_DMS_NA_NA_RUS_BLNMLS.A</t>
  </si>
  <si>
    <t>Air Travel: Travel Demand: Revenue Passenger Miles: Domestic: Russia: Alternative Transportation</t>
  </si>
  <si>
    <t>AEO.2025.ALTTRNP.ECI_RPM_AIRT_DMS_NA_NA_SOK_BLNMLS.A</t>
  </si>
  <si>
    <t>Air Travel: Travel Demand: Revenue Passenger Miles: Domestic: South Korea: Alternative Transportation</t>
  </si>
  <si>
    <t>AEO.2025.ALTTRNP.ECI_RPM_AIRT_DMS_NA_NA_AUNZ_BLNMLS.A</t>
  </si>
  <si>
    <t>Air Travel: Travel Demand: Revenue Passenger Miles: Domestic: Australia and New Zealand: Alternative Transportation</t>
  </si>
  <si>
    <t>AEO.2025.ALTTRNP.ECI_RPM_AIRT_DMS_NA_NA_JPN_BLNMLS.A</t>
  </si>
  <si>
    <t>Air Travel: Travel Demand: Revenue Passenger Miles: Domestic: Japan: Alternative Transportation</t>
  </si>
  <si>
    <t>AEO.2025.ALTTRNP.ECI_RPM_AIRT_DMS_NA_NA_OCDEU_BLNMLS.A</t>
  </si>
  <si>
    <t>Air Travel: Travel Demand: Revenue Passenger Miles: Domestic: Western Europe: Alternative Transportation</t>
  </si>
  <si>
    <t>AEO.2025.ALTTRNP.ECI_RPM_AIRT_DMS_NA_NA_MAOOAS_BLNMLS.A</t>
  </si>
  <si>
    <t>Air Travel: Travel Demand: Revenue Passenger Miles: Domestic: Mexico: Alternative Transportation</t>
  </si>
  <si>
    <t>AEO.2025.ALTTRNP.ECI_RPM_AIRT_DMS_NA_NA_CAN_BLNMLS.A</t>
  </si>
  <si>
    <t>Air Travel: Travel Demand: Revenue Passenger Miles: Domestic: Canada: Alternative Transportation</t>
  </si>
  <si>
    <t>AEO.2025.ALTTRNP.ECI_RPM_AIRT_DMS_NA_NA_USA_BLNMLS.A</t>
  </si>
  <si>
    <t>Air Travel: Travel Demand: Revenue Passenger Miles: Domestic: U.S.: Alternative Transportation</t>
  </si>
  <si>
    <t>Domestic</t>
  </si>
  <si>
    <t>Revenue Passenger Miles (billion miles)</t>
  </si>
  <si>
    <t>AEO.2025.ALTTRNP.ECI_POP_NA_NA_NA_NA_ONOAS_MILL.A</t>
  </si>
  <si>
    <t>Air Travel: Drivers: Population: Other Americas: Alternative Transportation</t>
  </si>
  <si>
    <t>AEO.2025.ALTTRNP.ECI_POP_NA_NA_NA_NA_BRZ_MILL.A</t>
  </si>
  <si>
    <t>Air Travel: Drivers: Population: Brazil: Alternative Transportation</t>
  </si>
  <si>
    <t>AEO.2025.ALTTRNP.ECI_POP_NA_NA_NA_NA_AFR_MILL.A</t>
  </si>
  <si>
    <t>Air Travel: Drivers: Population: Africa: Alternative Transportation</t>
  </si>
  <si>
    <t>AEO.2025.ALTTRNP.ECI_POP_NA_NA_NA_NA_MDE_MILL.A</t>
  </si>
  <si>
    <t>Air Travel: Drivers: Population: Middle East: Alternative Transportation</t>
  </si>
  <si>
    <t>AEO.2025.ALTTRNP.ECI_POP_NA_NA_NA_NA_ONCDAS_MILL.A</t>
  </si>
  <si>
    <t>Air Travel: Drivers: Population: Other Asia Pacific: Alternative Transportation</t>
  </si>
  <si>
    <t>AEO.2025.ALTTRNP.ECI_POP_NA_NA_NA_NA_IND_MILL.A</t>
  </si>
  <si>
    <t>Air Travel: Drivers: Population: India: Alternative Transportation</t>
  </si>
  <si>
    <t>AEO.2025.ALTTRNP.ECI_POP_NA_NA_NA_NA_CHN_MILL.A</t>
  </si>
  <si>
    <t>Air Travel: Drivers: Population: China: Alternative Transportation</t>
  </si>
  <si>
    <t>AEO.2025.ALTTRNP.ECI_POP_NA_NA_NA_NA_OEUAS_MILL.A</t>
  </si>
  <si>
    <t>Air Travel: Drivers: Population: Eastern Europe and Eurasia: Alternative Transportation</t>
  </si>
  <si>
    <t>AEO.2025.ALTTRNP.ECI_POP_NA_NA_NA_NA_RUS_MILL.A</t>
  </si>
  <si>
    <t>Air Travel: Drivers: Population: Russia: Alternative Transportation</t>
  </si>
  <si>
    <t>AEO.2025.ALTTRNP.ECI_POP_NA_NA_NA_NA_SOK_MILL.A</t>
  </si>
  <si>
    <t>Air Travel: Drivers: Population: South Korea: Alternative Transportation</t>
  </si>
  <si>
    <t>AEO.2025.ALTTRNP.ECI_POP_NA_NA_NA_NA_AUNZ_MILL.A</t>
  </si>
  <si>
    <t>Air Travel: Drivers: Population: Australia and New Zealand: Alternative Transportation</t>
  </si>
  <si>
    <t>AEO.2025.ALTTRNP.ECI_POP_NA_NA_NA_NA_JPN_MILL.A</t>
  </si>
  <si>
    <t>Air Travel: Drivers: Population: Japan: Alternative Transportation</t>
  </si>
  <si>
    <t>AEO.2025.ALTTRNP.ECI_POP_NA_NA_NA_NA_OCDEU_MILL.A</t>
  </si>
  <si>
    <t>Air Travel: Drivers: Population: Western Europe: Alternative Transportation</t>
  </si>
  <si>
    <t>AEO.2025.ALTTRNP.ECI_POP_NA_NA_NA_NA_MAOOAS_MILL.A</t>
  </si>
  <si>
    <t>Air Travel: Drivers: Population: Mexico: Alternative Transportation</t>
  </si>
  <si>
    <t>AEO.2025.ALTTRNP.ECI_POP_NA_NA_NA_NA_CAN_MILL.A</t>
  </si>
  <si>
    <t>Air Travel: Drivers: Population: Canada: Alternative Transportation</t>
  </si>
  <si>
    <t>AEO.2025.ALTTRNP.ECI_POP_NA_NA_NA_NA_USA_MILL.A</t>
  </si>
  <si>
    <t>Air Travel: Drivers: Population: U.S.: Alternative Transportation</t>
  </si>
  <si>
    <t>Population (millions)</t>
  </si>
  <si>
    <t>fraction</t>
  </si>
  <si>
    <t>AEO.2025.ALTTRNP.CAP_LDFAC_AIRT_INTA_NA_NA_NA_FRAC.A</t>
  </si>
  <si>
    <t>Air Travel: Load Factor: U.S. International: Alternative Transportation</t>
  </si>
  <si>
    <t>U.S. International</t>
  </si>
  <si>
    <t>AEO.2025.ALTTRNP.CAP_LDFAC_AIRT_DMS_NA_NA_NA_FRAC.A</t>
  </si>
  <si>
    <t>Air Travel: Load Factor: U.S. Domestic: Alternative Transportation</t>
  </si>
  <si>
    <t>U.S. Domestic</t>
  </si>
  <si>
    <t>1987 $/MMBtu</t>
  </si>
  <si>
    <t>AEO.2025.ALTTRNP.PRCE_FUL_AIRT_NA_NA_NA_NA_87DLRPMBTU.A</t>
  </si>
  <si>
    <t>Air Travel: Fuel Cost: Alternative Transportation</t>
  </si>
  <si>
    <t>Fuel Cost (1987 dollars per MMBtu)</t>
  </si>
  <si>
    <t>Fri Dec 05 2025 14:51:22 GMT-0800 (Pacific Standard Time)</t>
  </si>
  <si>
    <t>https://www.eia.gov/outlooks/aeo/data/browser/#/?id=57-AEO2025&amp;cases=alttrnp&amp;sourcekey=0</t>
  </si>
  <si>
    <t>Table 47.  Air Travel Energy Use</t>
  </si>
  <si>
    <t>AEO.2025.ALTTRNP.ECI_VMT_NA_CLTR_NA_NA_NA_BLNMLS.A</t>
  </si>
  <si>
    <t>Fleet Vehicle Miles Traveled: Commercial Light Trucks: Total: Alternative Transportation</t>
  </si>
  <si>
    <t>AEO.2025.ALTTRNP.ECI_VMT_NA_CLTR_HYDICE_NA_NA_BLNMLS.A</t>
  </si>
  <si>
    <t>Fleet Vehicle Miles Traveled: Commercial Light Trucks: Hydrogen ICE: Alternative Transportation</t>
  </si>
  <si>
    <t>AEO.2025.ALTTRNP.ECI_VMT_NA_CLTR_GASHEV_NA_NA_BLNMLS.A</t>
  </si>
  <si>
    <t>Fleet Vehicle Miles Traveled: Commercial Light Trucks: Gasoline Hybrid: Alternative Transportation</t>
  </si>
  <si>
    <t>AEO.2025.ALTTRNP.ECI_VMT_NA_CLTR_FEUCELBATDOM_NA_NA_BLNMLS.A</t>
  </si>
  <si>
    <t>Fleet Vehicle Miles Traveled: Commercial Light Trucks: Fuel Cell Battery Dominant: Alternative Transportation</t>
  </si>
  <si>
    <t>AEO.2025.ALTTRNP.ECI_VMT_NA_CLTR_FUC_NA_NA_BLNMLS.A</t>
  </si>
  <si>
    <t>Fleet Vehicle Miles Traveled: Commercial Light Trucks: Fuel Cell: Alternative Transportation</t>
  </si>
  <si>
    <t>AEO.2025.ALTTRNP.ECI_VMT_NA_CLTR_EDH_NA_NA_BLNMLS.A</t>
  </si>
  <si>
    <t>Fleet Vehicle Miles Traveled: Commercial Light Trucks: Plug-in Diesel: Alternative Transportation</t>
  </si>
  <si>
    <t>AEO.2025.ALTTRNP.ECI_VMT_NA_CLTR_EGH_NA_NA_BLNMLS.A</t>
  </si>
  <si>
    <t>Fleet Vehicle Miles Traveled: Commercial Light Trucks: Plug-in Gas: Alternative Transportation</t>
  </si>
  <si>
    <t>AEO.2025.ALTTRNP.ECI_VMT_NA_CLTR_ELE_NA_NA_BLNMLS.A</t>
  </si>
  <si>
    <t>Fleet Vehicle Miles Traveled: Commercial Light Trucks: Electric: Alternative Transportation</t>
  </si>
  <si>
    <t>AEO.2025.ALTTRNP.ECI_VMT_NA_CLTR_EFFI_NA_NA_BLNMLS.A</t>
  </si>
  <si>
    <t>Fleet Vehicle Miles Traveled: Commercial Light Trucks: Ethanol Flex: Alternative Transportation</t>
  </si>
  <si>
    <t>AEO.2025.ALTTRNP.ECI_VMT_NA_CLTR_NG_NA_NA_BLNMLS.A</t>
  </si>
  <si>
    <t>Fleet Vehicle Miles Traveled: Commercial Light Trucks: CNG/LNG: Alternative Transportation</t>
  </si>
  <si>
    <t>AEO.2025.ALTTRNP.ECI_VMT_NA_CLTR_PROP_NA_NA_BLNMLS.A</t>
  </si>
  <si>
    <t>Fleet Vehicle Miles Traveled: Commercial Light Trucks: Propane: Alternative Transportation</t>
  </si>
  <si>
    <t>AEO.2025.ALTTRNP.ECI_VMT_NA_CLTR_TDS_NA_NA_BLNMLS.A</t>
  </si>
  <si>
    <t>Fleet Vehicle Miles Traveled: Commercial Light Trucks: TDI Diesel: Alternative Transportation</t>
  </si>
  <si>
    <t>AEO.2025.ALTTRNP.ECI_VMT_NA_CLTR_GSL_NA_NA_BLNMLS.A</t>
  </si>
  <si>
    <t>Fleet Vehicle Miles Traveled: Commercial Light Trucks: Gasoline: Alternative Transportation</t>
  </si>
  <si>
    <t>AEO.2025.ALTTRNP.ECI_VMT_NA_NA_NA_NA_NA_BLNMLS.A</t>
  </si>
  <si>
    <t>Fleet Vehicle Miles Traveled: Total Fleet Vehicles: Alternative Transportation</t>
  </si>
  <si>
    <t>AEO.2025.ALTTRNP.ECI_VMT_NA_FLTR_NA_NA_NA_BLNMLS.A</t>
  </si>
  <si>
    <t>Fleet Vehicle Miles Traveled: Light Trucks: Total: Alternative Transportation</t>
  </si>
  <si>
    <t>Total Light Trucks</t>
  </si>
  <si>
    <t>AEO.2025.ALTTRNP.ECI_VMT_ALF1_FLTR_NA_NA_NA_BLNMLS.A</t>
  </si>
  <si>
    <t>Fleet Vehicle Miles Traveled: Alternative-Fuel Light Trucks: Total: Alternative Transportation</t>
  </si>
  <si>
    <t>Total Alternative Light Trucks</t>
  </si>
  <si>
    <t>AEO.2025.ALTTRNP.ECI_VMT_ALF1_FLTR_FCH_NA_NA_BLNMLS.A</t>
  </si>
  <si>
    <t>Fleet Vehicle Miles Traveled: Alternative-Fuel Light Trucks: Fuel Cell Hydrogen: Alternative Transportation</t>
  </si>
  <si>
    <t>AEO.2025.ALTTRNP.ECI_VMT_ALF1_FLTR_FCLMTH_NA_NA_BLNMLS.A</t>
  </si>
  <si>
    <t>Fleet Vehicle Miles Traveled: Alternative-Fuel Light Trucks: Fuel Cell Methanol: Alternative Transportation</t>
  </si>
  <si>
    <t>AEO.2025.ALTTRNP.ECI_VMT_ALF1_FLTR_PBF_NA_NA_BLNMLS.A</t>
  </si>
  <si>
    <t>Fleet Vehicle Miles Traveled: Alternative-Fuel Light Trucks: Propane Bi-fuel: Alternative Transportation</t>
  </si>
  <si>
    <t>AEO.2025.ALTTRNP.ECI_VMT_ALF1_FLTR_PROP_NA_NA_BLNMLS.A</t>
  </si>
  <si>
    <t>Fleet Vehicle Miles Traveled: Alternative-Fuel Light Trucks: Propane ICE: Alternative Transportation</t>
  </si>
  <si>
    <t>AEO.2025.ALTTRNP.ECI_VMT_ALF1_FLTR_NBF_NA_NA_BLNMLS.A</t>
  </si>
  <si>
    <t>Fleet Vehicle Miles Traveled: Alternative-Fuel Light Trucks: Natural Gas Bi-fuel: Alternative Transportation</t>
  </si>
  <si>
    <t>AEO.2025.ALTTRNP.ECI_VMT_ALF1_FLTR_NGI_NA_NA_BLNMLS.A</t>
  </si>
  <si>
    <t>Fleet Vehicle Miles Traveled: Alternative-Fuel Light Trucks: Natural Gas ICE: Alternative Transportation</t>
  </si>
  <si>
    <t>AEO.2025.ALTTRNP.ECI_VMT_ALF1_FLTR_EGH_NA_NA_BLNMLS.A</t>
  </si>
  <si>
    <t>Fleet Vehicle Miles Traveled: Alternative-Fuel Light Trucks: Electric-Gasoline Hybrid: Alternative Transportation</t>
  </si>
  <si>
    <t>AEO.2025.ALTTRNP.ECI_VMT_ALF1_FLTR_EDH_NA_NA_BLNMLS.A</t>
  </si>
  <si>
    <t>Fleet Vehicle Miles Traveled: Alternative-Fuel Light Trucks: Electric-Diesel Hybrid: Alternative Transportation</t>
  </si>
  <si>
    <t>AEO.2025.ALTTRNP.ECI_VMT_ALF1_FLTR_PI50GH_NA_NA_BLNMLS.A</t>
  </si>
  <si>
    <t>Fleet Vehicle Miles Traveled: Alternative-Fuel Light Trucks: Plug-in 50 Gasoline Hybrid: Alternative Transportation</t>
  </si>
  <si>
    <t>Plug-in 50 Gasoline Hybrid</t>
  </si>
  <si>
    <t>AEO.2025.ALTTRNP.ECI_VMT_ALF1_FLTR_PI20GH_NA_NA_BLNMLS.A</t>
  </si>
  <si>
    <t>Fleet Vehicle Miles Traveled: Alternative-Fuel Light Trucks: Plug-in 20 Gasoline Hybrid: Alternative Transportation</t>
  </si>
  <si>
    <t>Plug-in 20 Gasoline Hybrid</t>
  </si>
  <si>
    <t>AEO.2025.ALTTRNP.ECI_VMT_ALF1_FLTR_300MIEV_NA_NA_BLNMLS.A</t>
  </si>
  <si>
    <t>Fleet Vehicle Miles Traveled: Alternative-Fuel Light Trucks: 300-Mile Electric Vehicle: Alternative Transportation</t>
  </si>
  <si>
    <t>300-Mile Electric Vehicle</t>
  </si>
  <si>
    <t>AEO.2025.ALTTRNP.ECI_VMT_ALF1_FLTR_200MIEV_NA_NA_BLNMLS.A</t>
  </si>
  <si>
    <t>Fleet Vehicle Miles Traveled: Alternative-Fuel Light Trucks: 200-Mile Electric Vehicle: Alternative Transportation</t>
  </si>
  <si>
    <t>200-Mile Electric Vehicle</t>
  </si>
  <si>
    <t>AEO.2025.ALTTRNP.ECI_VMT_ALF1_FLTR_100MIEV_NA_NA_BLNMLS.A</t>
  </si>
  <si>
    <t>Fleet Vehicle Miles Traveled: Alternative-Fuel Light Trucks: 100-Mile Electric Vehicle: Alternative Transportation</t>
  </si>
  <si>
    <t>100-Mile Electric Vehicle</t>
  </si>
  <si>
    <t>AEO.2025.ALTTRNP.ECI_VMT_ALF1_FLTR_EFFI_NA_NA_BLNMLS.A</t>
  </si>
  <si>
    <t>Fleet Vehicle Miles Traveled: Alternative-Fuel Light Trucks: Ethanol-Flex Fuel ICE: Alternative Transportation</t>
  </si>
  <si>
    <t>Alternative-Fuel Light Trucks</t>
  </si>
  <si>
    <t>AEO.2025.ALTTRNP.ECI_VMT_CNV_FLTR_NA_NA_NA_BLNMLS.A</t>
  </si>
  <si>
    <t>Fleet Vehicle Miles Traveled: Conventional Light Trucks: Total: Alternative Transportation</t>
  </si>
  <si>
    <t>Total Conventional Light Trucks</t>
  </si>
  <si>
    <t>AEO.2025.ALTTRNP.ECI_VMT_CNV_FLTR_TDS_NA_NA_BLNMLS.A</t>
  </si>
  <si>
    <t>Fleet Vehicle Miles Traveled: Conventional Light Trucks: TDI Diesel: Alternative Transportation</t>
  </si>
  <si>
    <t>AEO.2025.ALTTRNP.ECI_VMT_CNV_FLTR_GSL_NA_NA_BLNMLS.A</t>
  </si>
  <si>
    <t>Fleet Vehicle Miles Traveled: Conventional Light Trucks: Gasoline: Alternative Transportation</t>
  </si>
  <si>
    <t>Conventional Light Trucks</t>
  </si>
  <si>
    <t>Light Trucks</t>
  </si>
  <si>
    <t>AEO.2025.ALTTRNP.ECI_VMT_NA_FLC_NA_NA_NA_BLNMLS.A</t>
  </si>
  <si>
    <t>Fleet Vehicle Miles Traveled: Cars: Total: Alternative Transportation</t>
  </si>
  <si>
    <t>Total Cars</t>
  </si>
  <si>
    <t>AEO.2025.ALTTRNP.ECI_VMT_ALF1_FLC_NA_NA_NA_BLNMLS.A</t>
  </si>
  <si>
    <t>Fleet Vehicle Miles Traveled: Alternative-Fuel Cars: Total: Alternative Transportation</t>
  </si>
  <si>
    <t>Total Alternative Cars</t>
  </si>
  <si>
    <t>AEO.2025.ALTTRNP.ECI_VMT_ALF1_FLC_FCH_NA_NA_BLNMLS.A</t>
  </si>
  <si>
    <t>Fleet Vehicle Miles Traveled: Alternative-Fuel Cars: Fuel Cell Hydrogen: Alternative Transportation</t>
  </si>
  <si>
    <t>AEO.2025.ALTTRNP.ECI_VMT_ALF1_FLC_FCLMTH_NA_NA_BLNMLS.A</t>
  </si>
  <si>
    <t>Fleet Vehicle Miles Traveled: Alternative-Fuel Cars: Fuel Cell Methanol: Alternative Transportation</t>
  </si>
  <si>
    <t>AEO.2025.ALTTRNP.ECI_VMT_ALF1_FLC_PBF_NA_NA_BLNMLS.A</t>
  </si>
  <si>
    <t>Fleet Vehicle Miles Traveled: Alternative-Fuel Cars: Propane Bi-fuel: Alternative Transportation</t>
  </si>
  <si>
    <t>AEO.2025.ALTTRNP.ECI_VMT_ALF1_FLC_PROP_NA_NA_BLNMLS.A</t>
  </si>
  <si>
    <t>Fleet Vehicle Miles Traveled: Alternative-Fuel Cars: Propane ICE: Alternative Transportation</t>
  </si>
  <si>
    <t>AEO.2025.ALTTRNP.ECI_VMT_ALF1_FLC_NBF_NA_NA_BLNMLS.A</t>
  </si>
  <si>
    <t>Fleet Vehicle Miles Traveled: Alternative-Fuel Cars: Natural Gas Bi-fuel: Alternative Transportation</t>
  </si>
  <si>
    <t>AEO.2025.ALTTRNP.ECI_VMT_ALF1_FLC_NGI_NA_NA_BLNMLS.A</t>
  </si>
  <si>
    <t>Fleet Vehicle Miles Traveled: Alternative-Fuel Cars: Natural Gas ICE: Alternative Transportation</t>
  </si>
  <si>
    <t>AEO.2025.ALTTRNP.ECI_VMT_ALF1_FLC_EGH_NA_NA_BLNMLS.A</t>
  </si>
  <si>
    <t>Fleet Vehicle Miles Traveled: Alternative-Fuel Cars: Electric-Gasoline Hybrid: Alternative Transportation</t>
  </si>
  <si>
    <t>AEO.2025.ALTTRNP.ECI_VMT_ALF1_FLC_EDH_NA_NA_BLNMLS.A</t>
  </si>
  <si>
    <t>Fleet Vehicle Miles Traveled: Alternative-Fuel Cars: Electric-Diesel Hybrid: Alternative Transportation</t>
  </si>
  <si>
    <t>AEO.2025.ALTTRNP.ECI_VMT_ALF1_FLC_PI50GH_NA_NA_BLNMLS.A</t>
  </si>
  <si>
    <t>Fleet Vehicle Miles Traveled: Alternative-Fuel Cars: Plug-in 50 Gasoline Hybrid: Alternative Transportation</t>
  </si>
  <si>
    <t>AEO.2025.ALTTRNP.ECI_VMT_ALF1_FLC_PI20GH_NA_NA_BLNMLS.A</t>
  </si>
  <si>
    <t>Fleet Vehicle Miles Traveled: Alternative-Fuel Cars: Plug-in 20 Gasoline Hybrid: Alternative Transportation</t>
  </si>
  <si>
    <t>AEO.2025.ALTTRNP.ECI_VMT_ALF1_FLC_300MIEV_NA_NA_BLNMLS.A</t>
  </si>
  <si>
    <t>Fleet Vehicle Miles Traveled: Alternative-Fuel Cars: 300-Mile Electric Vehicle: Alternative Transportation</t>
  </si>
  <si>
    <t>AEO.2025.ALTTRNP.ECI_VMT_ALF1_FLC_200MIEV_NA_NA_BLNMLS.A</t>
  </si>
  <si>
    <t>Fleet Vehicle Miles Traveled: Alternative-Fuel Cars: 200-Mile Electric Vehicle: Alternative Transportation</t>
  </si>
  <si>
    <t>AEO.2025.ALTTRNP.ECI_VMT_ALF1_FLC_100MIEV_NA_NA_BLNMLS.A</t>
  </si>
  <si>
    <t>Fleet Vehicle Miles Traveled: Alternative-Fuel Cars: 100-Mile Electric Vehicle: Alternative Transportation</t>
  </si>
  <si>
    <t>AEO.2025.ALTTRNP.ECI_VMT_ALF1_FLC_EFFI_NA_NA_BLNMLS.A</t>
  </si>
  <si>
    <t>Fleet Vehicle Miles Traveled: Alternative-Fuel Cars: Ethanol-Flex Fuel ICE: Alternative Transportation</t>
  </si>
  <si>
    <t>Alternative-Fuel Cars</t>
  </si>
  <si>
    <t>AEO.2025.ALTTRNP.ECI_VMT_CNV_FLC_NA_NA_NA_BLNMLS.A</t>
  </si>
  <si>
    <t>Fleet Vehicle Miles Traveled: Conventional Cars: Total: Alternative Transportation</t>
  </si>
  <si>
    <t>Total Conventional Cars</t>
  </si>
  <si>
    <t>AEO.2025.ALTTRNP.ECI_VMT_CNV_FLC_TDS_NA_NA_BLNMLS.A</t>
  </si>
  <si>
    <t>Fleet Vehicle Miles Traveled: Conventional Cars: TDI Diesel: Alternative Transportation</t>
  </si>
  <si>
    <t>AEO.2025.ALTTRNP.ECI_VMT_CNV_FLC_GSL_NA_NA_BLNMLS.A</t>
  </si>
  <si>
    <t>Fleet Vehicle Miles Traveled: Conventional Cars: Gasoline: Alternative Transportation</t>
  </si>
  <si>
    <t>Conventional Cars</t>
  </si>
  <si>
    <t>Cars</t>
  </si>
  <si>
    <t>Fri Dec 05 2025 14:51:05 GMT-0800 (Pacific Standard Time)</t>
  </si>
  <si>
    <t>https://www.eia.gov/outlooks/aeo/data/browser/#/?id=56-AEO2025&amp;cases=alttrnp&amp;sourcekey=0</t>
  </si>
  <si>
    <t>Table 46.  Transportation Fleet Car and Truck Vehicle Miles Traveled by Type and Technology</t>
  </si>
  <si>
    <t>AEO.2025.ALTTRNP.STK_AIRC_CARG_NA_NA_NA_WRLD_UNIT.A</t>
  </si>
  <si>
    <t>Aircraft Stock: Cargo: World: Alternative Transportation</t>
  </si>
  <si>
    <t>AEO.2025.ALTTRNP.STK_AIRC_CARG_NA_NA_NA_NA_UNIT.A</t>
  </si>
  <si>
    <t>Aircraft Stock: Cargo: Other Americas: Alternative Transportation</t>
  </si>
  <si>
    <t>AEO.2025.ALTTRNP.STK_AIRC_CARG_NA_NA_NA_BRZ_UNIT.A</t>
  </si>
  <si>
    <t>Aircraft Stock: Cargo: Brazil: Alternative Transportation</t>
  </si>
  <si>
    <t>AEO.2025.ALTTRNP.STK_AIRC_CARG_NA_NA_NA_AFR_UNIT.A</t>
  </si>
  <si>
    <t>Aircraft Stock: Cargo: Africa: Alternative Transportation</t>
  </si>
  <si>
    <t>AEO.2025.ALTTRNP.STK_AIRC_CARG_NA_NA_NA_MID_UNIT.A</t>
  </si>
  <si>
    <t>Aircraft Stock: Cargo: Middle East: Alternative Transportation</t>
  </si>
  <si>
    <t>AEO.2025.ALTTRNP.STK_AIRC_CARG_NA_NA_NA_OAS_UNIT.A</t>
  </si>
  <si>
    <t>Aircraft Stock: Cargo: Other Asia Pacific: Alternative Transportation</t>
  </si>
  <si>
    <t>AEO.2025.ALTTRNP.STK_AIRC_CARG_NA_NA_NA_IND_UNIT.A</t>
  </si>
  <si>
    <t>Aircraft Stock: Cargo: India: Alternative Transportation</t>
  </si>
  <si>
    <t>AEO.2025.ALTTRNP.STK_AIRC_CARG_NA_NA_NA_CHI_UNIT.A</t>
  </si>
  <si>
    <t>Aircraft Stock: Cargo: China: Alternative Transportation</t>
  </si>
  <si>
    <t>AEO.2025.ALTTRNP.STK_AIRC_CARG_NA_NA_NA_URA_UNIT.A</t>
  </si>
  <si>
    <t>Aircraft Stock: Cargo: Eastern Europe and Eurasia: Alternative Transportation</t>
  </si>
  <si>
    <t>AEO.2025.ALTTRNP.STK_AIRC_CARG_NA_NA_NA_RUS_UNIT.A</t>
  </si>
  <si>
    <t>Aircraft Stock: Cargo: Russia: Alternative Transportation</t>
  </si>
  <si>
    <t>AEO.2025.ALTTRNP.STK_AIRC_CARG_NA_NA_NA_SKO_UNIT.A</t>
  </si>
  <si>
    <t>Aircraft Stock: Cargo: South Korea: Alternative Transportation</t>
  </si>
  <si>
    <t>AEO.2025.ALTTRNP.STK_AIRC_CARG_NA_NA_NA_ANZ_UNIT.A</t>
  </si>
  <si>
    <t>Aircraft Stock: Cargo: Australia and New Zealand: Alternative Transportation</t>
  </si>
  <si>
    <t>AEO.2025.ALTTRNP.STK_AIRC_CARG_NA_NA_NA_JPN_UNIT.A</t>
  </si>
  <si>
    <t>Aircraft Stock: Cargo: Japan: Alternative Transportation</t>
  </si>
  <si>
    <t>AEO.2025.ALTTRNP.STK_AIRC_CARG_NA_NA_NA_EUR_UNIT.A</t>
  </si>
  <si>
    <t>Aircraft Stock: Cargo: Western Europe: Alternative Transportation</t>
  </si>
  <si>
    <t>AEO.2025.ALTTRNP.STK_AIRC_CARG_NA_NA_NA_MXC_UNIT.A</t>
  </si>
  <si>
    <t>Aircraft Stock: Cargo: Mexico: Alternative Transportation</t>
  </si>
  <si>
    <t>AEO.2025.ALTTRNP.STK_AIRC_CARG_NA_NA_NA_CAN_UNIT.A</t>
  </si>
  <si>
    <t>Aircraft Stock: Cargo: Canada: Alternative Transportation</t>
  </si>
  <si>
    <t>AEO.2025.ALTTRNP.STK_AIRC_CARG_NA_NA_NA_USA_UNIT.A</t>
  </si>
  <si>
    <t>Aircraft Stock: Cargo: United States: Alternative Transportation</t>
  </si>
  <si>
    <t>AEO.2025.ALTTRNP.STK_AIRC_ACTV_REGJ_PRKD_NA_WRLD_UNIT.A</t>
  </si>
  <si>
    <t>Aircraft Stock: Parked: World: Regional: Alternative Transportation</t>
  </si>
  <si>
    <t>AEO.2025.ALTTRNP.STK_AIRC_ACTV_WBE_PRKD_NA_WRLD_UNIT.A</t>
  </si>
  <si>
    <t>Aircraft Stock: Parked: World: Wide Body: Alternative Transportation</t>
  </si>
  <si>
    <t>AEO.2025.ALTTRNP.STK_AIRC_ACTV_NBTR_PRKD_NA_WRLD_UNIT.A</t>
  </si>
  <si>
    <t>Aircraft Stock: Parked: World: Narrow Body: Alternative Transportation</t>
  </si>
  <si>
    <t>AEO.2025.ALTTRNP.STK_AIRC_ACTV_NA_PRKD_NA_WRLD_UNIT.A</t>
  </si>
  <si>
    <t>Aircraft Stock: Parked: World: Alternative Transportation</t>
  </si>
  <si>
    <t>AEO.2025.ALTTRNP.STK_AIRC_ACTV_REGJ_PRKD_NA_NA_UNIT.A</t>
  </si>
  <si>
    <t>Aircraft Stock: Parked: Other Americas: Regional: Alternative Transportation</t>
  </si>
  <si>
    <t>AEO.2025.ALTTRNP.STK_AIRC_ACTV_WBE_PRKD_NA_NA_UNIT.A</t>
  </si>
  <si>
    <t>Aircraft Stock: Parked: Other Americas: Wide Body: Alternative Transportation</t>
  </si>
  <si>
    <t>AEO.2025.ALTTRNP.STK_AIRC_ACTV_NBTR_PRKD_NA_NA_UNIT.A</t>
  </si>
  <si>
    <t>Aircraft Stock: Parked: Other Americas: Narrow Body: Alternative Transportation</t>
  </si>
  <si>
    <t>AEO.2025.ALTTRNP.STK_AIRC_ACTV_NA_PRKD_NA_NA_UNIT.A</t>
  </si>
  <si>
    <t>Aircraft Stock: Parked: Other Americas: Alternative Transportation</t>
  </si>
  <si>
    <t>AEO.2025.ALTTRNP.STK_AIRC_ACTV_REGJ_PRKD_NA_BRZ_UNIT.A</t>
  </si>
  <si>
    <t>Aircraft Stock: Parked: Brazil: Regional: Alternative Transportation</t>
  </si>
  <si>
    <t>AEO.2025.ALTTRNP.STK_AIRC_ACTV_WBE_PRKD_NA_BRZ_UNIT.A</t>
  </si>
  <si>
    <t>Aircraft Stock: Parked: Brazil: Wide Body: Alternative Transportation</t>
  </si>
  <si>
    <t>AEO.2025.ALTTRNP.STK_AIRC_ACTV_NBTR_PRKD_NA_BRZ_UNIT.A</t>
  </si>
  <si>
    <t>Aircraft Stock: Parked: Brazil: Narrow Body: Alternative Transportation</t>
  </si>
  <si>
    <t>AEO.2025.ALTTRNP.STK_AIRC_ACTV_NA_PRKD_NA_BRZ_UNIT.A</t>
  </si>
  <si>
    <t>Aircraft Stock: Parked: Brazil: Alternative Transportation</t>
  </si>
  <si>
    <t>AEO.2025.ALTTRNP.STK_AIRC_ACTV_REGJ_PRKD_NA_AFR_UNIT.A</t>
  </si>
  <si>
    <t>Aircraft Stock: Parked: Africa: Regional: Alternative Transportation</t>
  </si>
  <si>
    <t>AEO.2025.ALTTRNP.STK_AIRC_ACTV_WBE_PRKD_NA_AFR_UNIT.A</t>
  </si>
  <si>
    <t>Aircraft Stock: Parked: Africa: Wide Body: Alternative Transportation</t>
  </si>
  <si>
    <t>AEO.2025.ALTTRNP.STK_AIRC_ACTV_NBTR_PRKD_NA_AFR_UNIT.A</t>
  </si>
  <si>
    <t>Aircraft Stock: Parked: Africa: Narrow Body: Alternative Transportation</t>
  </si>
  <si>
    <t>AEO.2025.ALTTRNP.STK_AIRC_ACTV_NA_PRKD_NA_AFR_UNIT.A</t>
  </si>
  <si>
    <t>Aircraft Stock: Parked: Africa: Alternative Transportation</t>
  </si>
  <si>
    <t>AEO.2025.ALTTRNP.STK_AIRC_ACTV_REGJ_PRKD_NA_MID_UNIT.A</t>
  </si>
  <si>
    <t>Aircraft Stock: Parked: Middle East: Regional: Alternative Transportation</t>
  </si>
  <si>
    <t>AEO.2025.ALTTRNP.STK_AIRC_ACTV_WBE_PRKD_NA_MID_UNIT.A</t>
  </si>
  <si>
    <t>Aircraft Stock: Parked: Middle East: Wide Body: Alternative Transportation</t>
  </si>
  <si>
    <t>AEO.2025.ALTTRNP.STK_AIRC_ACTV_NBTR_PRKD_NA_MID_UNIT.A</t>
  </si>
  <si>
    <t>Aircraft Stock: Parked: Middle East: Narrow Body: Alternative Transportation</t>
  </si>
  <si>
    <t>AEO.2025.ALTTRNP.STK_AIRC_ACTV_NA_PRKD_NA_MID_UNIT.A</t>
  </si>
  <si>
    <t>Aircraft Stock: Parked: Middle East: Alternative Transportation</t>
  </si>
  <si>
    <t>AEO.2025.ALTTRNP.STK_AIRC_ACTV_REGJ_PRKD_NA_OAS_UNIT.A</t>
  </si>
  <si>
    <t>Aircraft Stock: Parked: Other Asia Pacific: Regional: Alternative Transportation</t>
  </si>
  <si>
    <t>AEO.2025.ALTTRNP.STK_AIRC_ACTV_WBE_PRKD_NA_OAS_UNIT.A</t>
  </si>
  <si>
    <t>Aircraft Stock: Parked: Other Asia Pacific: Wide Body: Alternative Transportation</t>
  </si>
  <si>
    <t>AEO.2025.ALTTRNP.STK_AIRC_ACTV_NBTR_PRKD_NA_OAS_UNIT.A</t>
  </si>
  <si>
    <t>Aircraft Stock: Parked: Other Asia Pacific: Narrow Body: Alternative Transportation</t>
  </si>
  <si>
    <t>AEO.2025.ALTTRNP.STK_AIRC_ACTV_NA_PRKD_NA_OAS_UNIT.A</t>
  </si>
  <si>
    <t>Aircraft Stock: Parked: Other Asia Pacific: Alternative Transportation</t>
  </si>
  <si>
    <t>AEO.2025.ALTTRNP.STK_AIRC_ACTV_REGJ_PRKD_NA_IND_UNIT.A</t>
  </si>
  <si>
    <t>Aircraft Stock: Parked: India: Regional: Alternative Transportation</t>
  </si>
  <si>
    <t>AEO.2025.ALTTRNP.STK_AIRC_ACTV_WBE_PRKD_NA_IND_UNIT.A</t>
  </si>
  <si>
    <t>Aircraft Stock: Parked: India: Wide Body: Alternative Transportation</t>
  </si>
  <si>
    <t>AEO.2025.ALTTRNP.STK_AIRC_ACTV_NBTR_PRKD_NA_IND_UNIT.A</t>
  </si>
  <si>
    <t>Aircraft Stock: Parked: India: Narrow Body: Alternative Transportation</t>
  </si>
  <si>
    <t>AEO.2025.ALTTRNP.STK_AIRC_ACTV_NA_PRKD_NA_IND_UNIT.A</t>
  </si>
  <si>
    <t>Aircraft Stock: Parked: India: Alternative Transportation</t>
  </si>
  <si>
    <t>AEO.2025.ALTTRNP.STK_AIRC_ACTV_REGJ_PRKD_NA_CHI_UNIT.A</t>
  </si>
  <si>
    <t>Aircraft Stock: Parked: China: Regional: Alternative Transportation</t>
  </si>
  <si>
    <t>AEO.2025.ALTTRNP.STK_AIRC_ACTV_WBE_PRKD_NA_CHI_UNIT.A</t>
  </si>
  <si>
    <t>Aircraft Stock: Parked: China: Wide Body: Alternative Transportation</t>
  </si>
  <si>
    <t>AEO.2025.ALTTRNP.STK_AIRC_ACTV_NBTR_PRKD_NA_CHI_UNIT.A</t>
  </si>
  <si>
    <t>Aircraft Stock: Parked: China: Narrow Body: Alternative Transportation</t>
  </si>
  <si>
    <t>AEO.2025.ALTTRNP.STK_AIRC_ACTV_NA_PRKD_NA_CHI_UNIT.A</t>
  </si>
  <si>
    <t>Aircraft Stock: Parked: China: Alternative Transportation</t>
  </si>
  <si>
    <t>AEO.2025.ALTTRNP.STK_AIRC_ACTV_REGJ_PRKD_NA_URA_UNIT.A</t>
  </si>
  <si>
    <t>Aircraft Stock: Parked: Eastern Europe and Eurasia: Regional: Alternative Transportation</t>
  </si>
  <si>
    <t>AEO.2025.ALTTRNP.STK_AIRC_ACTV_WBE_PRKD_NA_URA_UNIT.A</t>
  </si>
  <si>
    <t>Aircraft Stock: Parked: Eastern Europe and Eurasia: Wide Body: Alternative Transportation</t>
  </si>
  <si>
    <t>AEO.2025.ALTTRNP.STK_AIRC_ACTV_NBTR_PRKD_NA_URA_UNIT.A</t>
  </si>
  <si>
    <t>Aircraft Stock: Parked: Eastern Europe and Eurasia: Narrow Body: Alternative Transportation</t>
  </si>
  <si>
    <t>AEO.2025.ALTTRNP.STK_AIRC_ACTV_NA_PRKD_NA_URA_UNIT.A</t>
  </si>
  <si>
    <t>Aircraft Stock: Parked: Eastern Europe and Eurasia: Alternative Transportation</t>
  </si>
  <si>
    <t>AEO.2025.ALTTRNP.STK_AIRC_ACTV_REGJ_PRKD_NA_RUS_UNIT.A</t>
  </si>
  <si>
    <t>Aircraft Stock: Parked: Russia: Regional: Alternative Transportation</t>
  </si>
  <si>
    <t>AEO.2025.ALTTRNP.STK_AIRC_ACTV_WBE_PRKD_NA_RUS_UNIT.A</t>
  </si>
  <si>
    <t>Aircraft Stock: Parked: Russia: Wide Body: Alternative Transportation</t>
  </si>
  <si>
    <t>AEO.2025.ALTTRNP.STK_AIRC_ACTV_NBTR_PRKD_NA_RUS_UNIT.A</t>
  </si>
  <si>
    <t>Aircraft Stock: Parked: Russia: Narrow Body: Alternative Transportation</t>
  </si>
  <si>
    <t>AEO.2025.ALTTRNP.STK_AIRC_ACTV_NA_PRKD_NA_RUS_UNIT.A</t>
  </si>
  <si>
    <t>Aircraft Stock: Parked: Russia: Alternative Transportation</t>
  </si>
  <si>
    <t>AEO.2025.ALTTRNP.STK_AIRC_ACTV_REGJ_PRKD_NA_SKO_UNIT.A</t>
  </si>
  <si>
    <t>Aircraft Stock: Parked: South Korea: Regional: Alternative Transportation</t>
  </si>
  <si>
    <t>AEO.2025.ALTTRNP.STK_AIRC_ACTV_WBE_PRKD_NA_SKO_UNIT.A</t>
  </si>
  <si>
    <t>Aircraft Stock: Parked: South Korea: Wide Body: Alternative Transportation</t>
  </si>
  <si>
    <t>AEO.2025.ALTTRNP.STK_AIRC_ACTV_NBTR_PRKD_NA_SKO_UNIT.A</t>
  </si>
  <si>
    <t>Aircraft Stock: Parked: South Korea: Narrow Body: Alternative Transportation</t>
  </si>
  <si>
    <t>AEO.2025.ALTTRNP.STK_AIRC_ACTV_NA_PRKD_NA_SKO_UNIT.A</t>
  </si>
  <si>
    <t>Aircraft Stock: Parked: South Korea: Alternative Transportation</t>
  </si>
  <si>
    <t>AEO.2025.ALTTRNP.STK_AIRC_ACTV_REGJ_PRKD_NA_ANZ_UNIT.A</t>
  </si>
  <si>
    <t>Aircraft Stock: Parked: Australia and New Zealand: Regional: Alternative Transportation</t>
  </si>
  <si>
    <t>AEO.2025.ALTTRNP.STK_AIRC_ACTV_WBE_PRKD_NA_ANZ_UNIT.A</t>
  </si>
  <si>
    <t>Aircraft Stock: Parked: Australia and New Zealand: Wide Body: Alternative Transportation</t>
  </si>
  <si>
    <t>AEO.2025.ALTTRNP.STK_AIRC_ACTV_NBTR_PRKD_NA_ANZ_UNIT.A</t>
  </si>
  <si>
    <t>Aircraft Stock: Parked: Australia and New Zealand: Narrow Body: Alternative Transportation</t>
  </si>
  <si>
    <t>AEO.2025.ALTTRNP.STK_AIRC_ACTV_NA_PRKD_NA_ANZ_UNIT.A</t>
  </si>
  <si>
    <t>Aircraft Stock: Parked: Australia and New Zealand: Alternative Transportation</t>
  </si>
  <si>
    <t>AEO.2025.ALTTRNP.STK_AIRC_ACTV_REGJ_PRKD_NA_JPN_UNIT.A</t>
  </si>
  <si>
    <t>Aircraft Stock: Parked: Japan: Regional: Alternative Transportation</t>
  </si>
  <si>
    <t>AEO.2025.ALTTRNP.STK_AIRC_ACTV_WBE_PRKD_NA_JPN_UNIT.A</t>
  </si>
  <si>
    <t>Aircraft Stock: Parked: Japan: Wide Body: Alternative Transportation</t>
  </si>
  <si>
    <t>AEO.2025.ALTTRNP.STK_AIRC_ACTV_NBTR_PRKD_NA_JPN_UNIT.A</t>
  </si>
  <si>
    <t>Aircraft Stock: Parked: Japan: Narrow Body: Alternative Transportation</t>
  </si>
  <si>
    <t>AEO.2025.ALTTRNP.STK_AIRC_ACTV_NA_PRKD_NA_JPN_UNIT.A</t>
  </si>
  <si>
    <t>Aircraft Stock: Parked: Japan: Alternative Transportation</t>
  </si>
  <si>
    <t>AEO.2025.ALTTRNP.STK_AIRC_ACTV_REGJ_PRKD_NA_EUR_UNIT.A</t>
  </si>
  <si>
    <t>Aircraft Stock: Parked: Western Europe: Regional: Alternative Transportation</t>
  </si>
  <si>
    <t>AEO.2025.ALTTRNP.STK_AIRC_ACTV_WBE_PRKD_NA_EUR_UNIT.A</t>
  </si>
  <si>
    <t>Aircraft Stock: Parked: Western Europe: Wide Body: Alternative Transportation</t>
  </si>
  <si>
    <t>AEO.2025.ALTTRNP.STK_AIRC_ACTV_NBTR_PRKD_NA_EUR_UNIT.A</t>
  </si>
  <si>
    <t>Aircraft Stock: Parked: Western Europe: Narrow Body: Alternative Transportation</t>
  </si>
  <si>
    <t>AEO.2025.ALTTRNP.STK_AIRC_ACTV_NA_PRKD_NA_EUR_UNIT.A</t>
  </si>
  <si>
    <t>Aircraft Stock: Parked: Western Europe: Alternative Transportation</t>
  </si>
  <si>
    <t>AEO.2025.ALTTRNP.STK_AIRC_ACTV_REGJ_PRKD_NA_MXC_UNIT.A</t>
  </si>
  <si>
    <t>Aircraft Stock: Parked: Mexico: Regional: Alternative Transportation</t>
  </si>
  <si>
    <t>AEO.2025.ALTTRNP.STK_AIRC_ACTV_WBE_PRKD_NA_MXC_UNIT.A</t>
  </si>
  <si>
    <t>Aircraft Stock: Parked: Mexico: Wide Body: Alternative Transportation</t>
  </si>
  <si>
    <t>AEO.2025.ALTTRNP.STK_AIRC_ACTV_NBTR_PRKD_NA_MXC_UNIT.A</t>
  </si>
  <si>
    <t>Aircraft Stock: Parked: Mexico: Narrow Body: Alternative Transportation</t>
  </si>
  <si>
    <t>AEO.2025.ALTTRNP.STK_AIRC_ACTV_NA_PRKD_NA_MXC_UNIT.A</t>
  </si>
  <si>
    <t>Aircraft Stock: Parked: Mexico: Alternative Transportation</t>
  </si>
  <si>
    <t>AEO.2025.ALTTRNP.STK_AIRC_ACTV_REGJ_PRKD_NA_CAN_UNIT.A</t>
  </si>
  <si>
    <t>Aircraft Stock: Parked: Canada: Regional: Alternative Transportation</t>
  </si>
  <si>
    <t>AEO.2025.ALTTRNP.STK_AIRC_ACTV_WBE_PRKD_NA_CAN_UNIT.A</t>
  </si>
  <si>
    <t>Aircraft Stock: Parked: Canada: Wide Body: Alternative Transportation</t>
  </si>
  <si>
    <t>AEO.2025.ALTTRNP.STK_AIRC_ACTV_NBTR_PRKD_NA_CAN_UNIT.A</t>
  </si>
  <si>
    <t>Aircraft Stock: Parked: Canada: Narrow Body: Alternative Transportation</t>
  </si>
  <si>
    <t>AEO.2025.ALTTRNP.STK_AIRC_ACTV_NA_PRKD_NA_CAN_UNIT.A</t>
  </si>
  <si>
    <t>Aircraft Stock: Parked: Canada: Alternative Transportation</t>
  </si>
  <si>
    <t>AEO.2025.ALTTRNP.STK_AIRC_ACTV_REGJ_PRKD_NA_USA_UNIT.A</t>
  </si>
  <si>
    <t>Aircraft Stock: Parked: U.S.: Regional: Alternative Transportation</t>
  </si>
  <si>
    <t>AEO.2025.ALTTRNP.STK_AIRC_ACTV_WBE_PRKD_NA_USA_UNIT.A</t>
  </si>
  <si>
    <t>Aircraft Stock: Parked: U.S.: Wide Body: Alternative Transportation</t>
  </si>
  <si>
    <t>AEO.2025.ALTTRNP.STK_AIRC_ACTV_NBTR_PRKD_NA_USA_UNIT.A</t>
  </si>
  <si>
    <t>Aircraft Stock: Parked: U.S.: Narrow Body: Alternative Transportation</t>
  </si>
  <si>
    <t>AEO.2025.ALTTRNP.STK_AIRC_ACTV_NA_PRKD_NA_USA_UNIT.A</t>
  </si>
  <si>
    <t>Aircraft Stock: Parked: United States: Alternative Transportation</t>
  </si>
  <si>
    <t>AEO.2025.ALTTRNP.STK_AIRC_ACTV_REGJ_NA_NA_WRLD_UNIT.A</t>
  </si>
  <si>
    <t>Aircraft Stock: Active: World: Regional: Alternative Transportation</t>
  </si>
  <si>
    <t>AEO.2025.ALTTRNP.STK_AIRC_ACTV_WBE_NA_NA_WRLD_UNIT.A</t>
  </si>
  <si>
    <t>Aircraft Stock: Active: World: Wide Body: Alternative Transportation</t>
  </si>
  <si>
    <t>AEO.2025.ALTTRNP.STK_AIRC_ACTV_NBTR_NA_NA_WRLD_UNIT.A</t>
  </si>
  <si>
    <t>Aircraft Stock: Active: World: Narrow Body: Alternative Transportation</t>
  </si>
  <si>
    <t>AEO.2025.ALTTRNP.STK_AIRC_ACTV_NA_NA_NA_WRLD_UNIT.A</t>
  </si>
  <si>
    <t>Aircraft Stock: Active: World: Alternative Transportation</t>
  </si>
  <si>
    <t>AEO.2025.ALTTRNP.STK_AIRC_ACTV_REGJ_NA_NA_NA_UNIT.A</t>
  </si>
  <si>
    <t>Aircraft Stock: Active: Other Americas: Regional: Alternative Transportation</t>
  </si>
  <si>
    <t>AEO.2025.ALTTRNP.STK_AIRC_ACTV_WBE_NA_NA_NA_UNIT.A</t>
  </si>
  <si>
    <t>Aircraft Stock: Active: Other Americas: Wide Body: Alternative Transportation</t>
  </si>
  <si>
    <t>AEO.2025.ALTTRNP.STK_AIRC_ACTV_NBTR_NA_NA_NA_UNIT.A</t>
  </si>
  <si>
    <t>Aircraft Stock: Active: Other Americas: Narrow Body: Alternative Transportation</t>
  </si>
  <si>
    <t>AEO.2025.ALTTRNP.STK_AIRC_ACTV_NA_NA_NA_NA_UNIT.A</t>
  </si>
  <si>
    <t>Aircraft Stock: Active: Other Americas: Alternative Transportation</t>
  </si>
  <si>
    <t>AEO.2025.ALTTRNP.STK_AIRC_ACTV_REGJ_NA_NA_BRZ_UNIT.A</t>
  </si>
  <si>
    <t>Aircraft Stock: Active: Brazil: Regional: Alternative Transportation</t>
  </si>
  <si>
    <t>AEO.2025.ALTTRNP.STK_AIRC_ACTV_WBE_NA_NA_BRZ_UNIT.A</t>
  </si>
  <si>
    <t>Aircraft Stock: Active: Brazil: Wide Body: Alternative Transportation</t>
  </si>
  <si>
    <t>AEO.2025.ALTTRNP.STK_AIRC_ACTV_NBTR_NA_NA_BRZ_UNIT.A</t>
  </si>
  <si>
    <t>Aircraft Stock: Active: Brazil: Narrow Body: Alternative Transportation</t>
  </si>
  <si>
    <t>AEO.2025.ALTTRNP.STK_AIRC_ACTV_NA_NA_NA_BRZ_UNIT.A</t>
  </si>
  <si>
    <t>Aircraft Stock: Active: Brazil: Alternative Transportation</t>
  </si>
  <si>
    <t>AEO.2025.ALTTRNP.STK_AIRC_ACTV_REGJ_NA_NA_AFR_UNIT.A</t>
  </si>
  <si>
    <t>Aircraft Stock: Active: Africa: Regional: Alternative Transportation</t>
  </si>
  <si>
    <t>AEO.2025.ALTTRNP.STK_AIRC_ACTV_WBE_NA_NA_AFR_UNIT.A</t>
  </si>
  <si>
    <t>Aircraft Stock: Active: Africa: Wide Body: Alternative Transportation</t>
  </si>
  <si>
    <t>AEO.2025.ALTTRNP.STK_AIRC_ACTV_NBTR_NA_NA_AFR_UNIT.A</t>
  </si>
  <si>
    <t>Aircraft Stock: Active: Africa: Narrow Body: Alternative Transportation</t>
  </si>
  <si>
    <t>AEO.2025.ALTTRNP.STK_AIRC_ACTV_NA_NA_NA_AFR_UNIT.A</t>
  </si>
  <si>
    <t>Aircraft Stock: Active: Africa: Alternative Transportation</t>
  </si>
  <si>
    <t>AEO.2025.ALTTRNP.STK_AIRC_ACTV_REGJ_NA_NA_MID_UNIT.A</t>
  </si>
  <si>
    <t>Aircraft Stock: Active: Middle East: Regional: Alternative Transportation</t>
  </si>
  <si>
    <t>AEO.2025.ALTTRNP.STK_AIRC_ACTV_WBE_NA_NA_MID_UNIT.A</t>
  </si>
  <si>
    <t>Aircraft Stock: Active: Middle East: Wide Body: Alternative Transportation</t>
  </si>
  <si>
    <t>AEO.2025.ALTTRNP.STK_AIRC_ACTV_NBTR_NA_NA_MID_UNIT.A</t>
  </si>
  <si>
    <t>Aircraft Stock: Active: Middle East: Narrow Body: Alternative Transportation</t>
  </si>
  <si>
    <t>AEO.2025.ALTTRNP.STK_AIRC_ACTV_NA_NA_NA_MID_UNIT.A</t>
  </si>
  <si>
    <t>Aircraft Stock: Active: Middle East: Alternative Transportation</t>
  </si>
  <si>
    <t>AEO.2025.ALTTRNP.STK_AIRC_ACTV_REGJ_NA_NA_OAS_UNIT.A</t>
  </si>
  <si>
    <t>Aircraft Stock: Active: Other Asia Pacific: Regional: Alternative Transportation</t>
  </si>
  <si>
    <t>AEO.2025.ALTTRNP.STK_AIRC_ACTV_WBE_NA_NA_OAS_UNIT.A</t>
  </si>
  <si>
    <t>Aircraft Stock: Active: Other Asia Pacific: Wide Body: Alternative Transportation</t>
  </si>
  <si>
    <t>AEO.2025.ALTTRNP.STK_AIRC_ACTV_NBTR_NA_NA_OAS_UNIT.A</t>
  </si>
  <si>
    <t>Aircraft Stock: Active: Other Asia Pacific: Narrow Body: Alternative Transportation</t>
  </si>
  <si>
    <t>AEO.2025.ALTTRNP.STK_AIRC_ACTV_NA_NA_NA_OAS_UNIT.A</t>
  </si>
  <si>
    <t>Aircraft Stock: Active: Other Asia Pacific: Alternative Transportation</t>
  </si>
  <si>
    <t>AEO.2025.ALTTRNP.STK_AIRC_ACTV_REGJ_NA_NA_IND_UNIT.A</t>
  </si>
  <si>
    <t>Aircraft Stock: Active: India: Regional: Alternative Transportation</t>
  </si>
  <si>
    <t>AEO.2025.ALTTRNP.STK_AIRC_ACTV_WBE_NA_NA_IND_UNIT.A</t>
  </si>
  <si>
    <t>Aircraft Stock: Active: India: Wide Body: Alternative Transportation</t>
  </si>
  <si>
    <t>AEO.2025.ALTTRNP.STK_AIRC_ACTV_NBTR_NA_NA_IND_UNIT.A</t>
  </si>
  <si>
    <t>Aircraft Stock: Active: India: Narrow Body: Alternative Transportation</t>
  </si>
  <si>
    <t>AEO.2025.ALTTRNP.STK_AIRC_ACTV_NA_NA_NA_IND_UNIT.A</t>
  </si>
  <si>
    <t>Aircraft Stock: Active: India: Alternative Transportation</t>
  </si>
  <si>
    <t>AEO.2025.ALTTRNP.STK_AIRC_ACTV_REGJ_NA_NA_CHI_UNIT.A</t>
  </si>
  <si>
    <t>Aircraft Stock: Active: China: Regional: Alternative Transportation</t>
  </si>
  <si>
    <t>AEO.2025.ALTTRNP.STK_AIRC_ACTV_WBE_NA_NA_CHI_UNIT.A</t>
  </si>
  <si>
    <t>Aircraft Stock: Active: China: Wide Body: Alternative Transportation</t>
  </si>
  <si>
    <t>AEO.2025.ALTTRNP.STK_AIRC_ACTV_NBTR_NA_NA_CHI_UNIT.A</t>
  </si>
  <si>
    <t>Aircraft Stock: Active: China: Narrow Body: Alternative Transportation</t>
  </si>
  <si>
    <t>AEO.2025.ALTTRNP.STK_AIRC_ACTV_NA_NA_NA_CHI_UNIT.A</t>
  </si>
  <si>
    <t>Aircraft Stock: Active: China: Alternative Transportation</t>
  </si>
  <si>
    <t>AEO.2025.ALTTRNP.STK_AIRC_ACTV_REGJ_NA_NA_URA_UNIT.A</t>
  </si>
  <si>
    <t>Aircraft Stock: Active: Eastern Europe and Eurasia: Regional: Alternative Transportation</t>
  </si>
  <si>
    <t>AEO.2025.ALTTRNP.STK_AIRC_ACTV_WBE_NA_NA_URA_UNIT.A</t>
  </si>
  <si>
    <t>Aircraft Stock: Active: Eastern Europe and Eurasia: Wide Body: Alternative Transportation</t>
  </si>
  <si>
    <t>AEO.2025.ALTTRNP.STK_AIRC_ACTV_NBTR_NA_NA_URA_UNIT.A</t>
  </si>
  <si>
    <t>Aircraft Stock: Active: Eastern Europe and Eurasia: Narrow Body: Alternative Transportation</t>
  </si>
  <si>
    <t>AEO.2025.ALTTRNP.STK_AIRC_ACTV_NA_NA_NA_URA_UNIT.A</t>
  </si>
  <si>
    <t>Aircraft Stock: Active: Eastern Europe and Eurasia: Alternative Transportation</t>
  </si>
  <si>
    <t>AEO.2025.ALTTRNP.STK_AIRC_ACTV_REGJ_NA_NA_RUS_UNIT.A</t>
  </si>
  <si>
    <t>Aircraft Stock: Active: Russia: Regional: Alternative Transportation</t>
  </si>
  <si>
    <t>AEO.2025.ALTTRNP.STK_AIRC_ACTV_WBE_NA_NA_RUS_UNIT.A</t>
  </si>
  <si>
    <t>Aircraft Stock: Active: Russia: Wide Body: Alternative Transportation</t>
  </si>
  <si>
    <t>AEO.2025.ALTTRNP.STK_AIRC_ACTV_NBTR_NA_NA_RUS_UNIT.A</t>
  </si>
  <si>
    <t>Aircraft Stock: Active: Russia: Narrow Body: Alternative Transportation</t>
  </si>
  <si>
    <t>AEO.2025.ALTTRNP.STK_AIRC_ACTV_NA_NA_NA_RUS_UNIT.A</t>
  </si>
  <si>
    <t>Aircraft Stock: Active: Russia: Alternative Transportation</t>
  </si>
  <si>
    <t>AEO.2025.ALTTRNP.STK_AIRC_ACTV_REGJ_NA_NA_SKO_UNIT.A</t>
  </si>
  <si>
    <t>Aircraft Stock: Active: South Korea: Regional: Alternative Transportation</t>
  </si>
  <si>
    <t>AEO.2025.ALTTRNP.STK_AIRC_ACTV_WBE_NA_NA_SKO_UNIT.A</t>
  </si>
  <si>
    <t>Aircraft Stock: Active: South Korea: Wide Body: Alternative Transportation</t>
  </si>
  <si>
    <t>AEO.2025.ALTTRNP.STK_AIRC_ACTV_NBTR_NA_NA_SKO_UNIT.A</t>
  </si>
  <si>
    <t>Aircraft Stock: Active: South Korea: Narrow Body: Alternative Transportation</t>
  </si>
  <si>
    <t>AEO.2025.ALTTRNP.STK_AIRC_ACTV_NA_NA_NA_SKO_UNIT.A</t>
  </si>
  <si>
    <t>Aircraft Stock: Active: South Korea: Alternative Transportation</t>
  </si>
  <si>
    <t>AEO.2025.ALTTRNP.STK_AIRC_ACTV_REGJ_NA_NA_ANZ_UNIT.A</t>
  </si>
  <si>
    <t>Aircraft Stock: Active: Australia and New Zealand: Regional: Alternative Transportation</t>
  </si>
  <si>
    <t>AEO.2025.ALTTRNP.STK_AIRC_ACTV_WBE_NA_NA_ANZ_UNIT.A</t>
  </si>
  <si>
    <t>Aircraft Stock: Active: Australia and New Zealand: Wide Body: Alternative Transportation</t>
  </si>
  <si>
    <t>AEO.2025.ALTTRNP.STK_AIRC_ACTV_NBTR_NA_NA_ANZ_UNIT.A</t>
  </si>
  <si>
    <t>Aircraft Stock: Active: Australia and New Zealand: Narrow Body: Alternative Transportation</t>
  </si>
  <si>
    <t>AEO.2025.ALTTRNP.STK_AIRC_ACTV_NA_NA_NA_ANZ_UNIT.A</t>
  </si>
  <si>
    <t>Aircraft Stock: Active: Australia and New Zealand: Alternative Transportation</t>
  </si>
  <si>
    <t>AEO.2025.ALTTRNP.STK_AIRC_ACTV_REGJ_NA_NA_JPN_UNIT.A</t>
  </si>
  <si>
    <t>Aircraft Stock: Active: Japan: Regional: Alternative Transportation</t>
  </si>
  <si>
    <t>AEO.2025.ALTTRNP.STK_AIRC_ACTV_WBE_NA_NA_JPN_UNIT.A</t>
  </si>
  <si>
    <t>Aircraft Stock: Active: Japan: Wide Body: Alternative Transportation</t>
  </si>
  <si>
    <t>AEO.2025.ALTTRNP.STK_AIRC_ACTV_NBTR_NA_NA_JPN_UNIT.A</t>
  </si>
  <si>
    <t>Aircraft Stock: Active: Japan: Narrow Body: Alternative Transportation</t>
  </si>
  <si>
    <t>AEO.2025.ALTTRNP.STK_AIRC_ACTV_NA_NA_NA_JPN_UNIT.A</t>
  </si>
  <si>
    <t>Aircraft Stock: Active: Japan: Alternative Transportation</t>
  </si>
  <si>
    <t>AEO.2025.ALTTRNP.STK_AIRC_ACTV_REGJ_NA_NA_EUR_UNIT.A</t>
  </si>
  <si>
    <t>Aircraft Stock: Active: Western Europe: Regional: Alternative Transportation</t>
  </si>
  <si>
    <t>AEO.2025.ALTTRNP.STK_AIRC_ACTV_WBE_NA_NA_EUR_UNIT.A</t>
  </si>
  <si>
    <t>Aircraft Stock: Active: Western Europe: Wide Body: Alternative Transportation</t>
  </si>
  <si>
    <t>AEO.2025.ALTTRNP.STK_AIRC_ACTV_NBTR_NA_NA_EUR_UNIT.A</t>
  </si>
  <si>
    <t>Aircraft Stock: Active: Western Europe: Narrow Body: Alternative Transportation</t>
  </si>
  <si>
    <t>AEO.2025.ALTTRNP.STK_AIRC_ACTV_NA_NA_NA_EUR_UNIT.A</t>
  </si>
  <si>
    <t>Aircraft Stock: Active: Western Europe: Alternative Transportation</t>
  </si>
  <si>
    <t>AEO.2025.ALTTRNP.STK_AIRC_ACTV_REGJ_NA_NA_MXC_UNIT.A</t>
  </si>
  <si>
    <t>Aircraft Stock: Active: Mexico: Regional: Alternative Transportation</t>
  </si>
  <si>
    <t>AEO.2025.ALTTRNP.STK_AIRC_ACTV_WBE_NA_NA_MXC_UNIT.A</t>
  </si>
  <si>
    <t>Aircraft Stock: Active: Mexico: Wide Body: Alternative Transportation</t>
  </si>
  <si>
    <t>AEO.2025.ALTTRNP.STK_AIRC_ACTV_NBTR_NA_NA_MXC_UNIT.A</t>
  </si>
  <si>
    <t>Aircraft Stock: Active: Mexico: Narrow Body: Alternative Transportation</t>
  </si>
  <si>
    <t>AEO.2025.ALTTRNP.STK_AIRC_ACTV_NA_NA_NA_MXC_UNIT.A</t>
  </si>
  <si>
    <t>Aircraft Stock: Active: Mexico: Alternative Transportation</t>
  </si>
  <si>
    <t>AEO.2025.ALTTRNP.STK_AIRC_ACTV_REGJ_NA_NA_CAN_UNIT.A</t>
  </si>
  <si>
    <t>Aircraft Stock: Active: Canada: Regional: Alternative Transportation</t>
  </si>
  <si>
    <t>AEO.2025.ALTTRNP.STK_AIRC_ACTV_WBE_NA_NA_CAN_UNIT.A</t>
  </si>
  <si>
    <t>Aircraft Stock: Active: Canada: Wide Body: Alternative Transportation</t>
  </si>
  <si>
    <t>AEO.2025.ALTTRNP.STK_AIRC_ACTV_NBTR_NA_NA_CAN_UNIT.A</t>
  </si>
  <si>
    <t>Aircraft Stock: Active: Canada: Narrow Body: Alternative Transportation</t>
  </si>
  <si>
    <t>AEO.2025.ALTTRNP.STK_AIRC_ACTV_NA_NA_NA_CAN_UNIT.A</t>
  </si>
  <si>
    <t>Aircraft Stock: Active: Canada: Alternative Transportation</t>
  </si>
  <si>
    <t>AEO.2025.ALTTRNP.STK_AIRC_ACTV_REGJ_NA_NA_USA_UNIT.A</t>
  </si>
  <si>
    <t>Aircraft Stock: Active: U.S.: Regional: Alternative Transportation</t>
  </si>
  <si>
    <t>AEO.2025.ALTTRNP.STK_AIRC_ACTV_WBE_NA_NA_USA_UNIT.A</t>
  </si>
  <si>
    <t>Aircraft Stock: Active: U.S.: Wide Body: Alternative Transportation</t>
  </si>
  <si>
    <t>AEO.2025.ALTTRNP.STK_AIRC_ACTV_NBTR_NA_NA_USA_UNIT.A</t>
  </si>
  <si>
    <t>Aircraft Stock: Active: U.S.: Narrow Body: Alternative Transportation</t>
  </si>
  <si>
    <t>AEO.2025.ALTTRNP.STK_AIRC_ACTV_NA_NA_NA_USA_UNIT.A</t>
  </si>
  <si>
    <t>Aircraft Stock: Active: United States: Alternative Transportation</t>
  </si>
  <si>
    <t>AEO.2025.ALTTRNP.STK_AIRC_NA_REGJ_NA_NA_WRLD_UNIT.A</t>
  </si>
  <si>
    <t>Aircraft Stock: Total: World: Regional: Alternative Transportation</t>
  </si>
  <si>
    <t>AEO.2025.ALTTRNP.STK_AIRC_NA_WBE_NA_NA_WRLD_UNIT.A</t>
  </si>
  <si>
    <t>Aircraft Stock: Total: World: Wide Body: Alternative Transportation</t>
  </si>
  <si>
    <t>AEO.2025.ALTTRNP.STK_AIRC_NA_NBTR_NA_NA_WRLD_UNIT.A</t>
  </si>
  <si>
    <t>Aircraft Stock: Total: World: Narrow Body: Alternative Transportation</t>
  </si>
  <si>
    <t>AEO.2025.ALTTRNP.STK_AIRC_NA_NA_NA_NA_WRLD_UNIT.A</t>
  </si>
  <si>
    <t>Aircraft Stock: Total: World: Alternative Transportation</t>
  </si>
  <si>
    <t>AEO.2025.ALTTRNP.STK_AIRC_NA_REGJ_NA_NA_NA_UNIT.A</t>
  </si>
  <si>
    <t>Aircraft Stock: Total: Other Americas: Regional: Alternative Transportation</t>
  </si>
  <si>
    <t>AEO.2025.ALTTRNP.STK_AIRC_NA_WBE_NA_NA_NA_UNIT.A</t>
  </si>
  <si>
    <t>Aircraft Stock: Total: Other Americas: Wide Body: Alternative Transportation</t>
  </si>
  <si>
    <t>AEO.2025.ALTTRNP.STK_AIRC_NA_NBTR_NA_NA_NA_UNIT.A</t>
  </si>
  <si>
    <t>Aircraft Stock: Total: Other Americas: Narrow Body: Alternative Transportation</t>
  </si>
  <si>
    <t>AEO.2025.ALTTRNP.STK_AIRC_NA_NA_NA_NA_NA_UNIT.A</t>
  </si>
  <si>
    <t>Aircraft Stock: Total: Other Americas: Alternative Transportation</t>
  </si>
  <si>
    <t>AEO.2025.ALTTRNP.STK_AIRC_NA_REGJ_NA_NA_BRZ_UNIT.A</t>
  </si>
  <si>
    <t>Aircraft Stock: Total: Brazil: Regional: Alternative Transportation</t>
  </si>
  <si>
    <t>AEO.2025.ALTTRNP.STK_AIRC_NA_WBE_NA_NA_BRZ_UNIT.A</t>
  </si>
  <si>
    <t>Aircraft Stock: Total: Brazil: Wide Body: Alternative Transportation</t>
  </si>
  <si>
    <t>AEO.2025.ALTTRNP.STK_AIRC_NA_NBTR_NA_NA_BRZ_UNIT.A</t>
  </si>
  <si>
    <t>Aircraft Stock: Total: Brazil: Narrow Body: Alternative Transportation</t>
  </si>
  <si>
    <t>AEO.2025.ALTTRNP.STK_AIRC_NA_NA_NA_NA_BRZ_UNIT.A</t>
  </si>
  <si>
    <t>Aircraft Stock: Total: Brazil: Alternative Transportation</t>
  </si>
  <si>
    <t>AEO.2025.ALTTRNP.STK_AIRC_NA_REGJ_NA_NA_AFR_UNIT.A</t>
  </si>
  <si>
    <t>Aircraft Stock: Total: Africa: Regional: Alternative Transportation</t>
  </si>
  <si>
    <t>AEO.2025.ALTTRNP.STK_AIRC_NA_WBE_NA_NA_AFR_UNIT.A</t>
  </si>
  <si>
    <t>Aircraft Stock: Total: Africa: Wide Body: Alternative Transportation</t>
  </si>
  <si>
    <t>AEO.2025.ALTTRNP.STK_AIRC_NA_NBTR_NA_NA_AFR_UNIT.A</t>
  </si>
  <si>
    <t>Aircraft Stock: Total: Africa: Narrow Body: Alternative Transportation</t>
  </si>
  <si>
    <t>AEO.2025.ALTTRNP.STK_AIRC_NA_NA_NA_NA_AFR_UNIT.A</t>
  </si>
  <si>
    <t>Aircraft Stock: Total: Africa: Alternative Transportation</t>
  </si>
  <si>
    <t>AEO.2025.ALTTRNP.STK_AIRC_NA_REGJ_NA_NA_MID_UNIT.A</t>
  </si>
  <si>
    <t>Aircraft Stock: Total: Middle East: Regional: Alternative Transportation</t>
  </si>
  <si>
    <t>AEO.2025.ALTTRNP.STK_AIRC_NA_WBE_NA_NA_MID_UNIT.A</t>
  </si>
  <si>
    <t>Aircraft Stock: Total: Middle East: Wide Body: Alternative Transportation</t>
  </si>
  <si>
    <t>AEO.2025.ALTTRNP.STK_AIRC_NA_NBTR_NA_NA_MID_UNIT.A</t>
  </si>
  <si>
    <t>Aircraft Stock: Total: Middle East: Narrow Body: Alternative Transportation</t>
  </si>
  <si>
    <t>AEO.2025.ALTTRNP.STK_AIRC_NA_NA_NA_NA_MID_UNIT.A</t>
  </si>
  <si>
    <t>Aircraft Stock: Total: Middle East: Alternative Transportation</t>
  </si>
  <si>
    <t>AEO.2025.ALTTRNP.STK_AIRC_NA_REGJ_NA_NA_OAS_UNIT.A</t>
  </si>
  <si>
    <t>Aircraft Stock: Total: Other Asia Pacific: Regional: Alternative Transportation</t>
  </si>
  <si>
    <t>AEO.2025.ALTTRNP.STK_AIRC_NA_WBE_NA_NA_OAS_UNIT.A</t>
  </si>
  <si>
    <t>Aircraft Stock: Total: Other Asia Pacific: Wide Body: Alternative Transportation</t>
  </si>
  <si>
    <t>AEO.2025.ALTTRNP.STK_AIRC_NA_NBTR_NA_NA_OAS_UNIT.A</t>
  </si>
  <si>
    <t>Aircraft Stock: Total: Other Asia Pacific: Narrow Body: Alternative Transportation</t>
  </si>
  <si>
    <t>AEO.2025.ALTTRNP.STK_AIRC_NA_NA_NA_NA_OAS_UNIT.A</t>
  </si>
  <si>
    <t>Aircraft Stock: Total: Other Asia Pacific: Alternative Transportation</t>
  </si>
  <si>
    <t>AEO.2025.ALTTRNP.STK_AIRC_NA_REGJ_NA_NA_IND_UNIT.A</t>
  </si>
  <si>
    <t>Aircraft Stock: Total: India: Regional: Alternative Transportation</t>
  </si>
  <si>
    <t>AEO.2025.ALTTRNP.STK_AIRC_NA_WBE_NA_NA_IND_UNIT.A</t>
  </si>
  <si>
    <t>Aircraft Stock: Total: India: Wide Body: Alternative Transportation</t>
  </si>
  <si>
    <t>AEO.2025.ALTTRNP.STK_AIRC_NA_NBTR_NA_NA_IND_UNIT.A</t>
  </si>
  <si>
    <t>Aircraft Stock: Total: India: Narrow Body: Alternative Transportation</t>
  </si>
  <si>
    <t>AEO.2025.ALTTRNP.STK_AIRC_NA_NA_NA_NA_IND_UNIT.A</t>
  </si>
  <si>
    <t>Aircraft Stock: Total: India: Alternative Transportation</t>
  </si>
  <si>
    <t>AEO.2025.ALTTRNP.STK_AIRC_NA_REGJ_NA_NA_CHI_UNIT.A</t>
  </si>
  <si>
    <t>Aircraft Stock: Total: China: Regional: Alternative Transportation</t>
  </si>
  <si>
    <t>AEO.2025.ALTTRNP.STK_AIRC_NA_WBE_NA_NA_CHI_UNIT.A</t>
  </si>
  <si>
    <t>Aircraft Stock: Total: China: Wide Body: Alternative Transportation</t>
  </si>
  <si>
    <t>AEO.2025.ALTTRNP.STK_AIRC_NA_NBTR_NA_NA_CHI_UNIT.A</t>
  </si>
  <si>
    <t>Aircraft Stock: Total: China: Narrow Body: Alternative Transportation</t>
  </si>
  <si>
    <t>AEO.2025.ALTTRNP.STK_AIRC_NA_NA_NA_NA_CHI_UNIT.A</t>
  </si>
  <si>
    <t>Aircraft Stock: Total: China: Alternative Transportation</t>
  </si>
  <si>
    <t>AEO.2025.ALTTRNP.STK_AIRC_NA_REGJ_NA_NA_URA_UNIT.A</t>
  </si>
  <si>
    <t>Aircraft Stock: Total: Eastern Europe and Eurasia: Regional: Alternative Transportation</t>
  </si>
  <si>
    <t>AEO.2025.ALTTRNP.STK_AIRC_NA_WBE_NA_NA_URA_UNIT.A</t>
  </si>
  <si>
    <t>Aircraft Stock: Total: Eastern Europe and Eurasia: Wide Body: Alternative Transportation</t>
  </si>
  <si>
    <t>AEO.2025.ALTTRNP.STK_AIRC_NA_NBTR_NA_NA_URA_UNIT.A</t>
  </si>
  <si>
    <t>Aircraft Stock: Total: Eastern Europe and Eurasia: Narrow Body: Alternative Transportation</t>
  </si>
  <si>
    <t>AEO.2025.ALTTRNP.STK_AIRC_NA_NA_NA_NA_URA_UNIT.A</t>
  </si>
  <si>
    <t>Aircraft Stock: Total: Eastern Europe and Eurasia: Alternative Transportation</t>
  </si>
  <si>
    <t>AEO.2025.ALTTRNP.STK_AIRC_NA_REGJ_NA_NA_RUS_UNIT.A</t>
  </si>
  <si>
    <t>Aircraft Stock: Total: Russia: Regional: Alternative Transportation</t>
  </si>
  <si>
    <t>AEO.2025.ALTTRNP.STK_AIRC_NA_WBE_NA_NA_RUS_UNIT.A</t>
  </si>
  <si>
    <t>Aircraft Stock: Total: Russia: Wide Body: Alternative Transportation</t>
  </si>
  <si>
    <t>AEO.2025.ALTTRNP.STK_AIRC_NA_NBTR_NA_NA_RUS_UNIT.A</t>
  </si>
  <si>
    <t>Aircraft Stock: Total: Russia: Narrow Body: Alternative Transportation</t>
  </si>
  <si>
    <t>AEO.2025.ALTTRNP.STK_AIRC_NA_NA_NA_NA_RUS_UNIT.A</t>
  </si>
  <si>
    <t>Aircraft Stock: Total: Russia: Alternative Transportation</t>
  </si>
  <si>
    <t>AEO.2025.ALTTRNP.STK_AIRC_NA_REGJ_NA_NA_SKO_UNIT.A</t>
  </si>
  <si>
    <t>Aircraft Stock: Total: South Korea: Regional: Alternative Transportation</t>
  </si>
  <si>
    <t>AEO.2025.ALTTRNP.STK_AIRC_NA_WBE_NA_NA_SKO_UNIT.A</t>
  </si>
  <si>
    <t>Aircraft Stock: Total: South Korea: Wide Body: Alternative Transportation</t>
  </si>
  <si>
    <t>AEO.2025.ALTTRNP.STK_AIRC_NA_NBTR_NA_NA_SKO_UNIT.A</t>
  </si>
  <si>
    <t>Aircraft Stock: Total: South Korea: Narrow Body: Alternative Transportation</t>
  </si>
  <si>
    <t>AEO.2025.ALTTRNP.STK_AIRC_NA_NA_NA_NA_SKO_UNIT.A</t>
  </si>
  <si>
    <t>Aircraft Stock: Total: South Korea: Alternative Transportation</t>
  </si>
  <si>
    <t>AEO.2025.ALTTRNP.STK_AIRC_NA_REGJ_NA_NA_ANZ_UNIT.A</t>
  </si>
  <si>
    <t>Aircraft Stock: Total: Australia and New Zealand: Regional: Alternative Transportation</t>
  </si>
  <si>
    <t>AEO.2025.ALTTRNP.STK_AIRC_NA_WBE_NA_NA_ANZ_UNIT.A</t>
  </si>
  <si>
    <t>Aircraft Stock: Total: Australia and New Zealand: Wide Body: Alternative Transportation</t>
  </si>
  <si>
    <t>AEO.2025.ALTTRNP.STK_AIRC_NA_NBTR_NA_NA_ANZ_UNIT.A</t>
  </si>
  <si>
    <t>Aircraft Stock: Total: Australia and New Zealand: Narrow Body: Alternative Transportation</t>
  </si>
  <si>
    <t>AEO.2025.ALTTRNP.STK_AIRC_NA_NA_NA_NA_ANZ_UNIT.A</t>
  </si>
  <si>
    <t>Aircraft Stock: Total: Australia and New Zealand: Alternative Transportation</t>
  </si>
  <si>
    <t>AEO.2025.ALTTRNP.STK_AIRC_NA_REGJ_NA_NA_JPN_UNIT.A</t>
  </si>
  <si>
    <t>Aircraft Stock: Total: Japan: Regional: Alternative Transportation</t>
  </si>
  <si>
    <t>AEO.2025.ALTTRNP.STK_AIRC_NA_WBE_NA_NA_JPN_UNIT.A</t>
  </si>
  <si>
    <t>Aircraft Stock: Total: Japan: Wide Body: Alternative Transportation</t>
  </si>
  <si>
    <t>AEO.2025.ALTTRNP.STK_AIRC_NA_NBTR_NA_NA_JPN_UNIT.A</t>
  </si>
  <si>
    <t>Aircraft Stock: Total: Japan: Narrow Body: Alternative Transportation</t>
  </si>
  <si>
    <t>AEO.2025.ALTTRNP.STK_AIRC_NA_NA_NA_NA_JPN_UNIT.A</t>
  </si>
  <si>
    <t>Aircraft Stock: Total: Japan: Alternative Transportation</t>
  </si>
  <si>
    <t>AEO.2025.ALTTRNP.STK_AIRC_NA_REGJ_NA_NA_EUR_UNIT.A</t>
  </si>
  <si>
    <t>Aircraft Stock: Total: Western Europe: Regional: Alternative Transportation</t>
  </si>
  <si>
    <t>AEO.2025.ALTTRNP.STK_AIRC_NA_WBE_NA_NA_EUR_UNIT.A</t>
  </si>
  <si>
    <t>Aircraft Stock: Total: Western Europe: Wide Body: Alternative Transportation</t>
  </si>
  <si>
    <t>AEO.2025.ALTTRNP.STK_AIRC_NA_NBTR_NA_NA_EUR_UNIT.A</t>
  </si>
  <si>
    <t>Aircraft Stock: Total: Western Europe: Narrow Body: Alternative Transportation</t>
  </si>
  <si>
    <t>AEO.2025.ALTTRNP.STK_AIRC_NA_NA_NA_NA_EUR_UNIT.A</t>
  </si>
  <si>
    <t>Aircraft Stock: Total: Western Europe: Alternative Transportation</t>
  </si>
  <si>
    <t>AEO.2025.ALTTRNP.STK_AIRC_NA_REGJ_NA_NA_MXC_UNIT.A</t>
  </si>
  <si>
    <t>Aircraft Stock: Total: Mexico: Regional: Alternative Transportation</t>
  </si>
  <si>
    <t>AEO.2025.ALTTRNP.STK_AIRC_NA_WBE_NA_NA_MXC_UNIT.A</t>
  </si>
  <si>
    <t>Aircraft Stock: Total: Mexico: Wide Body: Alternative Transportation</t>
  </si>
  <si>
    <t>AEO.2025.ALTTRNP.STK_AIRC_NA_NBTR_NA_NA_MXC_UNIT.A</t>
  </si>
  <si>
    <t>Aircraft Stock: Total: Mexico: Narrow Body: Alternative Transportation</t>
  </si>
  <si>
    <t>AEO.2025.ALTTRNP.STK_AIRC_NA_NA_NA_NA_MXC_UNIT.A</t>
  </si>
  <si>
    <t>Aircraft Stock: Total: Mexico: Alternative Transportation</t>
  </si>
  <si>
    <t>AEO.2025.ALTTRNP.STK_AIRC_NA_REGJ_NA_NA_CAN_UNIT.A</t>
  </si>
  <si>
    <t>Aircraft Stock: Total: Canada: Regional: Alternative Transportation</t>
  </si>
  <si>
    <t>AEO.2025.ALTTRNP.STK_AIRC_NA_WBE_NA_NA_CAN_UNIT.A</t>
  </si>
  <si>
    <t>Aircraft Stock: Total: Canada: Wide Body: Alternative Transportation</t>
  </si>
  <si>
    <t>AEO.2025.ALTTRNP.STK_AIRC_NA_NBTR_NA_NA_CAN_UNIT.A</t>
  </si>
  <si>
    <t>Aircraft Stock: Total: Canada: Narrow Body: Alternative Transportation</t>
  </si>
  <si>
    <t>AEO.2025.ALTTRNP.STK_AIRC_NA_NA_NA_NA_CAN_UNIT.A</t>
  </si>
  <si>
    <t>Aircraft Stock: Total: Canada: Alternative Transportation</t>
  </si>
  <si>
    <t>AEO.2025.ALTTRNP.STK_AIRC_NA_REGJ_NA_NA_USA_UNIT.A</t>
  </si>
  <si>
    <t>Aircraft Stock: Total: U.S.: Regional: Alternative Transportation</t>
  </si>
  <si>
    <t>AEO.2025.ALTTRNP.STK_AIRC_NA_WBE_NA_NA_USA_UNIT.A</t>
  </si>
  <si>
    <t>Aircraft Stock: Total: U.S.: Wide Body: Alternative Transportation</t>
  </si>
  <si>
    <t>AEO.2025.ALTTRNP.STK_AIRC_NA_NBTR_NA_NA_USA_UNIT.A</t>
  </si>
  <si>
    <t>Aircraft Stock: Total: U.S.: Narrow Body: Alternative Transportation</t>
  </si>
  <si>
    <t>AEO.2025.ALTTRNP.STK_AIRC_NA_NA_NA_NA_USA_UNIT.A</t>
  </si>
  <si>
    <t>Aircraft Stock: Total: United States: Alternative Transportation</t>
  </si>
  <si>
    <t>Fri Dec 05 2025 14:51:35 GMT-0800 (Pacific Standard Time)</t>
  </si>
  <si>
    <t>https://www.eia.gov/outlooks/aeo/data/browser/#/?id=148-AEO2025&amp;cases=alttrnp&amp;sourcekey=0</t>
  </si>
  <si>
    <t>Table 48.  Aircraft Stock</t>
  </si>
  <si>
    <t>AEO.2025.ALTTRNP.ECI_STK_TRN_LDV_FUC_NA_NA_MILL.A</t>
  </si>
  <si>
    <t>Light-Duty Vehicle Sales: Total Vehicle Stock: Fuel Cell: Alternative Transportation</t>
  </si>
  <si>
    <t>AEO.2025.ALTTRNP.ECI_STK_TRN_LDV_GSU_NA_NA_MILL.A</t>
  </si>
  <si>
    <t>Light-Duty Vehicle Sales: Total Vehicle Stock: Gaseous: Alternative Transportation</t>
  </si>
  <si>
    <t>Gaseous (Propane and Natural Gas)</t>
  </si>
  <si>
    <t>AEO.2025.ALTTRNP.ECI_STK_TRN_LDV_EHY_NA_NA_MILL.A</t>
  </si>
  <si>
    <t>Light-Duty Vehicle Sales: Total Vehicle Stock: Electric Hybrid: Alternative Transportation</t>
  </si>
  <si>
    <t>Electric Hybrid</t>
  </si>
  <si>
    <t>AEO.2025.ALTTRNP.ECI_STK_TRN_LDV_PIE_NA_NA_MILL.A</t>
  </si>
  <si>
    <t>Light-Duty Vehicle Sales: Total Vehicle Stock: Plug-in Electric Hybrid: Alternative Transportation</t>
  </si>
  <si>
    <t>Plug-in Electric Hybrid</t>
  </si>
  <si>
    <t>AEO.2025.ALTTRNP.ECI_STK_TRN_LDV_ELE_NA_NA_MILL.A</t>
  </si>
  <si>
    <t>Light-Duty Vehicle Sales: Total Vehicle Stock: Electric: Alternative Transportation</t>
  </si>
  <si>
    <t>AEO.2025.ALTTRNP.ECI_STK_TRN_LDV_FXF_NA_NA_MILL.A</t>
  </si>
  <si>
    <t>Light-Duty Vehicle Sales: Total Vehicle Stock: Flex-Fuel: Alternative Transportation</t>
  </si>
  <si>
    <t>Flex-Fuel</t>
  </si>
  <si>
    <t>AEO.2025.ALTTRNP.ECI_STK_TRN_LDV_TDS_NA_NA_MILL.A</t>
  </si>
  <si>
    <t>Light-Duty Vehicle Sales: Total Vehicle Stock: TDI Diesel: Alternative Transportation</t>
  </si>
  <si>
    <t>TDI Diesel</t>
  </si>
  <si>
    <t>AEO.2025.ALTTRNP.ECI_STK_TRN_LDV_CVG_NA_NA_MILL.A</t>
  </si>
  <si>
    <t>Light-Duty Vehicle Sales: Total Vehicle Stock: Conventional Gasoline: Alternative Transportation</t>
  </si>
  <si>
    <t>Conventional Gasoline</t>
  </si>
  <si>
    <t>AEO.2025.ALTTRNP.ECI_STK_TRN_LDV_NA_NA_NA_MILL.A</t>
  </si>
  <si>
    <t>Light-Duty Vehicle Stock: Total Vehicle Stock: Alternative Transportation</t>
  </si>
  <si>
    <t xml:space="preserve"> Cars and Light Trucks</t>
  </si>
  <si>
    <t>AEO.2025.ALTTRNP.ECI_STK_TRN_LTK_NA_NA_NA_MILL.A</t>
  </si>
  <si>
    <t>Light-Duty Vehicle Stock: Light Truck Stock: Total: Alternative Transportation</t>
  </si>
  <si>
    <t>AEO.2025.ALTTRNP.ECI_STK_TRN_LTK_ALT_NA_NA_MILL.A</t>
  </si>
  <si>
    <t>Light-Duty Vehicle Stock: Alternative-Fuel Light Trucks: Total: Alternative Transportation</t>
  </si>
  <si>
    <t>AEO.2025.ALTTRNP.ECI_STK_TRN_LTK_FCH_NA_NA_MILL.A</t>
  </si>
  <si>
    <t>Light-Duty Vehicle Stock: Alternative-Fuel Light Trucks: Fuel Cell Hydrogen: Alternative Transportation</t>
  </si>
  <si>
    <t>AEO.2025.ALTTRNP.ECI_STK_TRN_LTK_FCLMTH_NA_NA_MILL.A</t>
  </si>
  <si>
    <t>Light-Duty Vehicle Stock: Alternative-Fuel Light Trucks: Fuel Cell Methanol: Alternative Transportation</t>
  </si>
  <si>
    <t>AEO.2025.ALTTRNP.ECI_STK_TRN_LTK_PBF_NA_NA_MILL.A</t>
  </si>
  <si>
    <t>Light-Duty Vehicle Stock: Alternative-Fuel Light Trucks: Propane Bi-fuel: Alternative Transportation</t>
  </si>
  <si>
    <t>AEO.2025.ALTTRNP.ECI_STK_TRN_LTK_PROP_NA_NA_MILL.A</t>
  </si>
  <si>
    <t>Light-Duty Vehicle Stock: Alternative-Fuel Light Trucks: Propane ICE: Alternative Transportation</t>
  </si>
  <si>
    <t>AEO.2025.ALTTRNP.ECI_STK_TRN_LTK_NBF_NA_NA_MILL.A</t>
  </si>
  <si>
    <t>Light-Duty Vehicle Stock: Alternative-Fuel Light Trucks: Natural Gas Bi-fuel: Alternative Transportation</t>
  </si>
  <si>
    <t>AEO.2025.ALTTRNP.ECI_STK_TRN_LTK_NGI_NA_NA_MILL.A</t>
  </si>
  <si>
    <t>Light-Duty Vehicle Stock: Alternative-Fuel Light Trucks: Natural Gas ICE: Alternative Transportation</t>
  </si>
  <si>
    <t>AEO.2025.ALTTRNP.ECI_STK_TRN_LTK_EGH_NA_NA_MILL.A</t>
  </si>
  <si>
    <t>Light-Duty Vehicle Stock: Alternative-Fuel Light Trucks: Electric-Gasoline Hybrid: Alternative Transportation</t>
  </si>
  <si>
    <t>AEO.2025.ALTTRNP.ECI_STK_TRN_LTK_EDH_NA_NA_MILL.A</t>
  </si>
  <si>
    <t>Light-Duty Vehicle Stock: Alternative-Fuel Light Trucks: Electric-Diesel Hybrid: Alternative Transportation</t>
  </si>
  <si>
    <t>AEO.2025.ALTTRNP.ECI_STK_TRN_LTK_PI50GH_NA_NA_MILL.A</t>
  </si>
  <si>
    <t>Light-Duty Vehicle Stock: Alternative-Fuel Light Trucks: Plug-in 50 Gasoline Hybrid: Alternative Transportation</t>
  </si>
  <si>
    <t>AEO.2025.ALTTRNP.ECI_STK_TRN_LTK_PI20GH_NA_NA_MILL.A</t>
  </si>
  <si>
    <t>Light-Duty Vehicle Stock: Alternative-Fuel Light Trucks: Plug-in 20 Gasoline Hybrid: Alternative Transportation</t>
  </si>
  <si>
    <t>AEO.2025.ALTTRNP.ECI_STK_TRN_LTK_300MIEV_NA_NA_MILL.A</t>
  </si>
  <si>
    <t>Light-Duty Vehicle Stock: Alternative-Fuel Light Trucks: 300-Mile Electric Vehicle: Alternative Transportation</t>
  </si>
  <si>
    <t>AEO.2025.ALTTRNP.ECI_STK_TRN_LTK_200MIEV_NA_NA_MILL.A</t>
  </si>
  <si>
    <t>Light-Duty Vehicle Stock: Alternative-Fuel Light Trucks: 200-Mile Electric Vehicle: Alternative Transportation</t>
  </si>
  <si>
    <t>AEO.2025.ALTTRNP.ECI_STK_TRN_LTK_100MIEV_NA_NA_MILL.A</t>
  </si>
  <si>
    <t>Light-Duty Vehicle Stock: Alternative-Fuel Light Trucks: 100-Mile Electric Vehicle: Alternative Transportation</t>
  </si>
  <si>
    <t>AEO.2025.ALTTRNP.ECI_STK_TRN_LTK_EFFI_NA_NA_MILL.A</t>
  </si>
  <si>
    <t>Light-Duty Vehicle Stock: Alternative-Fuel Light Trucks: Ethanol-Flex Fuel ICE: Alternative Transportation</t>
  </si>
  <si>
    <t>AEO.2025.ALTTRNP.ECI_STK_TRN_LTK_CNV_NA_NA_MILL.A</t>
  </si>
  <si>
    <t>Light-Duty Vehicle Stock: Conventional Light Trucks: Total: Alternative Transportation</t>
  </si>
  <si>
    <t>AEO.2025.ALTTRNP.ECI_STK_TRN_LTK_TDS_NA_NA_MILL.A</t>
  </si>
  <si>
    <t>Light-Duty Vehicle Stock: Conventional Light Trucks: TDI Diesel: Alternative Transportation</t>
  </si>
  <si>
    <t>AEO.2025.ALTTRNP.ECI_STK_TRN_LTK_GSL_NA_NA_MILL.A</t>
  </si>
  <si>
    <t>Light-Duty Vehicle Stock: Conventional Light Trucks: Gasoline: Alternative Transportation</t>
  </si>
  <si>
    <t>Light Truck Stock</t>
  </si>
  <si>
    <t>AEO.2025.ALTTRNP.ECI_STK_TRN_CAR_NA_NA_NA_MILL.A</t>
  </si>
  <si>
    <t>Light-Duty Vehicle Stock: Car Stock: Total: Alternative Transportation</t>
  </si>
  <si>
    <t>AEO.2025.ALTTRNP.ECI_STK_TRN_CAR_ALT_NA_NA_MILL.A</t>
  </si>
  <si>
    <t>Light-Duty Vehicle Stock: Alternative-Fuel Cars: Total: Alternative Transportation</t>
  </si>
  <si>
    <t>AEO.2025.ALTTRNP.ECI_STK_TRN_CAR_FCH_NA_NA_MILL.A</t>
  </si>
  <si>
    <t>Light-Duty Vehicle Stock: Alternative-Fuel Cars: Fuel Cell Hydrogen: Alternative Transportation</t>
  </si>
  <si>
    <t>AEO.2025.ALTTRNP.ECI_STK_TRN_CAR_FCLMTH_NA_NA_MILL.A</t>
  </si>
  <si>
    <t>Light-Duty Vehicle Stock: Alternative-Fuel Cars: Fuel Cell Methanol: Alternative Transportation</t>
  </si>
  <si>
    <t>AEO.2025.ALTTRNP.ECI_STK_TRN_CAR_PBF_NA_NA_MILL.A</t>
  </si>
  <si>
    <t>Light-Duty Vehicle Stock: Alternative-Fuel Cars: Propane Bi-fuel: Alternative Transportation</t>
  </si>
  <si>
    <t>AEO.2025.ALTTRNP.ECI_STK_TRN_CAR_PROP_NA_NA_MILL.A</t>
  </si>
  <si>
    <t>Light-Duty Vehicle Stock: Alternative-Fuel Cars: Propane ICE: Alternative Transportation</t>
  </si>
  <si>
    <t>AEO.2025.ALTTRNP.ECI_STK_TRN_CAR_NBF_NA_NA_MILL.A</t>
  </si>
  <si>
    <t>Light-Duty Vehicle Stock: Alternative-Fuel Cars: Natural Gas Bi-fuel: Alternative Transportation</t>
  </si>
  <si>
    <t>AEO.2025.ALTTRNP.ECI_STK_TRN_CAR_NGI_NA_NA_MILL.A</t>
  </si>
  <si>
    <t>Light-Duty Vehicle Stock: Alternative-Fuel Cars: Natural Gas ICE: Alternative Transportation</t>
  </si>
  <si>
    <t>AEO.2025.ALTTRNP.ECI_STK_TRN_CAR_EGH_NA_NA_MILL.A</t>
  </si>
  <si>
    <t>Light-Duty Vehicle Stock: Alternative-Fuel Cars: Electric-Gasoline Hybrid: Alternative Transportation</t>
  </si>
  <si>
    <t>AEO.2025.ALTTRNP.ECI_STK_TRN_CAR_EDH_NA_NA_MILL.A</t>
  </si>
  <si>
    <t>Light-Duty Vehicle Stock: Alternative-Fuel Cars: Electric-Diesel Hybrid: Alternative Transportation</t>
  </si>
  <si>
    <t>AEO.2025.ALTTRNP.ECI_STK_TRN_CAR_PI50GH_NA_NA_MILL.A</t>
  </si>
  <si>
    <t>Light-Duty Vehicle Stock: Alternative-Fuel Cars: Plug-in 50 Gasoline Hybrid: Alternative Transportation</t>
  </si>
  <si>
    <t>AEO.2025.ALTTRNP.ECI_STK_TRN_CAR_PI20GH_NA_NA_MILL.A</t>
  </si>
  <si>
    <t>Light-Duty Vehicle Stock: Alternative-Fuel Cars: Plug-in 20 Gasoline Hybrid: Alternative Transportation</t>
  </si>
  <si>
    <t>AEO.2025.ALTTRNP.ECI_STK_TRN_CAR_300MIEV_NA_NA_MILL.A</t>
  </si>
  <si>
    <t>Light-Duty Vehicle Stock: Alternative-Fuel Cars: 300-Mile Electric Vehicle: Alternative Transportation</t>
  </si>
  <si>
    <t>AEO.2025.ALTTRNP.ECI_STK_TRN_CAR_200MIEV_NA_NA_MILL.A</t>
  </si>
  <si>
    <t>Light-Duty Vehicle Stock: Alternative-Fuel Cars: 200-Mile Electric Vehicle: Alternative Transportation</t>
  </si>
  <si>
    <t>AEO.2025.ALTTRNP.ECI_STK_TRN_CAR_100MIEV_NA_NA_MILL.A</t>
  </si>
  <si>
    <t>Light-Duty Vehicle Stock: Alternative-Fuel Cars: 100-Mile Electric Vehicle: Alternative Transportation</t>
  </si>
  <si>
    <t>AEO.2025.ALTTRNP.ECI_STK_TRN_CAR_EFFI_NA_NA_MILL.A</t>
  </si>
  <si>
    <t>Light-Duty Vehicle Stock: Alternative-Fuel Cars: Ethanol-Flex Fuel ICE: Alternative Transportation</t>
  </si>
  <si>
    <t>AEO.2025.ALTTRNP.ECI_STK_TRN_CAR_CNV_NA_NA_MILL.A</t>
  </si>
  <si>
    <t>Light-Duty Vehicle Stock: Conventional Cars: Total: Alternative Transportation</t>
  </si>
  <si>
    <t>AEO.2025.ALTTRNP.ECI_STK_TRN_CAR_TDS_NA_NA_MILL.A</t>
  </si>
  <si>
    <t>Light-Duty Vehicle Stock: Conventional Cars: TDI Diesel: Alternative Transportation</t>
  </si>
  <si>
    <t>AEO.2025.ALTTRNP.ECI_STK_TRN_CAR_GSL_NA_NA_MILL.A</t>
  </si>
  <si>
    <t>Light-Duty Vehicle Stock: Conventional Cars: Gasoline: Alternative Transportation</t>
  </si>
  <si>
    <t>Car Stock</t>
  </si>
  <si>
    <t>Fri Dec 05 2025 14:49:43 GMT-0800 (Pacific Standard Time)</t>
  </si>
  <si>
    <t>https://www.eia.gov/outlooks/aeo/data/browser/#/?id=49-AEO2025&amp;cases=alttrnp&amp;sourcekey=0</t>
  </si>
  <si>
    <t>Table 39.  Light-Duty Vehicle Stock by Technology Type</t>
  </si>
  <si>
    <t>AEO.2025.ALTTRNP.ECI_STK_NA_CLTR_NA_NA_NA_TH.A</t>
  </si>
  <si>
    <t>Fleet Stock: Commercial Light Trucks: Total: Alternative Transportation</t>
  </si>
  <si>
    <t>Total Commercial Light Truck Stock</t>
  </si>
  <si>
    <t>AEO.2025.ALTTRNP.ECI_STK_NA_CLTR_HYDICE_NA_NA_TH.A</t>
  </si>
  <si>
    <t>Fleet Stock: Commercial Light Trucks: Hydrogen ICE: Alternative Transportation</t>
  </si>
  <si>
    <t>AEO.2025.ALTTRNP.ECI_STK_NA_CLTR_GASHEV_NA_NA_TH.A</t>
  </si>
  <si>
    <t>Fleet Stock: Commercial Light Trucks: Gasoline Hybrid: Alternative Transportation</t>
  </si>
  <si>
    <t>AEO.2025.ALTTRNP.ECI_STK_NA_CLTR_FEUCELBATDOM_NA_NA_TH.A</t>
  </si>
  <si>
    <t>Fleet Stock: Commercial Light Trucks: Fuel Cell Battery Dominant: Alternative Transportation</t>
  </si>
  <si>
    <t>AEO.2025.ALTTRNP.ECI_STK_NA_CLTR_FUC_NA_NA_TH.A</t>
  </si>
  <si>
    <t>Fleet Stock: Commercial Light Trucks: Fuel Cell: Alternative Transportation</t>
  </si>
  <si>
    <t>AEO.2025.ALTTRNP.ECI_STK_NA_CLTR_EDH_NA_NA_TH.A</t>
  </si>
  <si>
    <t>Fleet Stock: Commercial Light Trucks: Plug-in Diesel: Alternative Transportation</t>
  </si>
  <si>
    <t>AEO.2025.ALTTRNP.ECI_STK_NA_CLTR_EGH_NA_NA_TH.A</t>
  </si>
  <si>
    <t>Fleet Stock: Commercial Light Trucks: Plug-in Gas: Alternative Transportation</t>
  </si>
  <si>
    <t>AEO.2025.ALTTRNP.ECI_STK_NA_CLTR_ELE_NA_NA_TH.A</t>
  </si>
  <si>
    <t>Fleet Stock: Commercial Light Trucks: Electric: Alternative Transportation</t>
  </si>
  <si>
    <t>AEO.2025.ALTTRNP.ECI_STK_NA_CLTR_EFFI_NA_NA_TH.A</t>
  </si>
  <si>
    <t>Fleet Stock: Commercial Light Trucks: Ethanol Flex: Alternative Transportation</t>
  </si>
  <si>
    <t>AEO.2025.ALTTRNP.ECI_STK_NA_CLTR_NG_NA_NA_TH.A</t>
  </si>
  <si>
    <t>Fleet Stock: Commercial Light Trucks: CNG/LNG: Alternative Transportation</t>
  </si>
  <si>
    <t>AEO.2025.ALTTRNP.ECI_STK_NA_CLTR_PROP_NA_NA_TH.A</t>
  </si>
  <si>
    <t>Fleet Stock: Commercial Light Trucks: Propane: Alternative Transportation</t>
  </si>
  <si>
    <t>AEO.2025.ALTTRNP.ECI_STK_NA_CLTR_TDS_NA_NA_TH.A</t>
  </si>
  <si>
    <t>Fleet Stock: Commercial Light Trucks: TDI Diesel: Alternative Transportation</t>
  </si>
  <si>
    <t>AEO.2025.ALTTRNP.ECI_STK_NA_CLTR_GSL_NA_NA_TH.A</t>
  </si>
  <si>
    <t>Fleet Stock: Commercial Light Trucks: Gasoline: Alternative Transportation</t>
  </si>
  <si>
    <t>AEO.2025.ALTTRNP.ECI_STK_NA_NA_NA_NA_NA_TH.A</t>
  </si>
  <si>
    <t>Fleet Stock: Total Fleet Vehicles: Alternative Transportation</t>
  </si>
  <si>
    <t>AEO.2025.ALTTRNP.ECI_STK_NA_FLTR_NA_NA_NA_TH.A</t>
  </si>
  <si>
    <t>Fleet Vehicle Stock: Light Trucks: Total: Alternative Transportation</t>
  </si>
  <si>
    <t>AEO.2025.ALTTRNP.ECI_STK_ALF1_FLTR_NA_NA_NA_TH.A</t>
  </si>
  <si>
    <t>Fleet Vehicle Stock: Alternative-Fuel Light Trucks: Total: Alternative Transportation</t>
  </si>
  <si>
    <t>AEO.2025.ALTTRNP.ECI_STK_ALF1_FLTR_FCH_NA_NA_TH.A</t>
  </si>
  <si>
    <t>Fleet Vehicle Stock: Alternative-Fuel Light Trucks: Fuel Cell Hydrogen: Alternative Transportation</t>
  </si>
  <si>
    <t>AEO.2025.ALTTRNP.ECI_STK_ALF1_FLTR_FCLMTH_NA_NA_TH.A</t>
  </si>
  <si>
    <t>Fleet Vehicle Stock: Alternative-Fuel Light Trucks: Fuel Cell Methanol: Alternative Transportation</t>
  </si>
  <si>
    <t>AEO.2025.ALTTRNP.ECI_STK_ALF1_FLTR_PBF_NA_NA_TH.A</t>
  </si>
  <si>
    <t>Fleet Vehicle Stock: Alternative-Fuel Light Trucks: Propane Bi-fuel: Alternative Transportation</t>
  </si>
  <si>
    <t>AEO.2025.ALTTRNP.ECI_STK_ALF1_FLTR_PROP_NA_NA_TH.A</t>
  </si>
  <si>
    <t>Fleet Vehicle Stock: Alternative-Fuel Light Trucks: Propane ICE: Alternative Transportation</t>
  </si>
  <si>
    <t>AEO.2025.ALTTRNP.ECI_STK_ALF1_FLTR_NBF_NA_NA_TH.A</t>
  </si>
  <si>
    <t>Fleet Vehicle Stock: Alternative-Fuel Light Trucks: Natural Gas Bi-fuel: Alternative Transportation</t>
  </si>
  <si>
    <t>AEO.2025.ALTTRNP.ECI_STK_ALF1_FLTR_NGI_NA_NA_TH.A</t>
  </si>
  <si>
    <t>Fleet Vehicle Stock: Alternative-Fuel Light Trucks: Natural Gas ICE: Alternative Transportation</t>
  </si>
  <si>
    <t>AEO.2025.ALTTRNP.ECI_STK_ALF1_FLTR_EGH_NA_NA_TH.A</t>
  </si>
  <si>
    <t>Fleet Vehicle Stock: Alternative-Fuel Light Trucks: Electric-Gasoline Hybrid: Alternative Transportation</t>
  </si>
  <si>
    <t>AEO.2025.ALTTRNP.ECI_STK_ALF1_FLTR_EDH_NA_NA_TH.A</t>
  </si>
  <si>
    <t>Fleet Vehicle Stock: Alternative-Fuel Light Trucks: Electric-Diesel Hybrid: Alternative Transportation</t>
  </si>
  <si>
    <t>AEO.2025.ALTTRNP.ECI_STK_ALF1_FLTR_PI50GH_NA_NA_TH.A</t>
  </si>
  <si>
    <t>Fleet Vehicle Stock: Alternative-Fuel Light Trucks: Plug-in 50 Gasoline Hybrid: Alternative Transportation</t>
  </si>
  <si>
    <t>AEO.2025.ALTTRNP.ECI_STK_ALF1_FLTR_PI20GH_NA_NA_TH.A</t>
  </si>
  <si>
    <t>Fleet Vehicle Stock: Alternative-Fuel Light Trucks: Plug-in 20 Gasoline Hybrid: Alternative Transportation</t>
  </si>
  <si>
    <t>AEO.2025.ALTTRNP.ECI_STK_ALF1_FLTR_300MIEV_NA_NA_TH.A</t>
  </si>
  <si>
    <t>Fleet Vehicle Stock: Alternative-Fuel Light Trucks: 300-Mile Electric Vehicle: Alternative Transportation</t>
  </si>
  <si>
    <t>AEO.2025.ALTTRNP.ECI_STK_ALF1_FLTR_200MIEV_NA_NA_TH.A</t>
  </si>
  <si>
    <t>Fleet Vehicle Stock: Alternative-Fuel Light Trucks: 200-Mile Electric Vehicle: Alternative Transportation</t>
  </si>
  <si>
    <t>AEO.2025.ALTTRNP.ECI_STK_ALF1_FLTR_100MIEV_NA_NA_TH.A</t>
  </si>
  <si>
    <t>Fleet Vehicle Stock: Alternative-Fuel Light Trucks: 100-Mile Electric Vehicle: Alternative Transportation</t>
  </si>
  <si>
    <t>AEO.2025.ALTTRNP.ECI_STK_ALF1_FLTR_EFFI_NA_NA_TH.A</t>
  </si>
  <si>
    <t>Fleet Vehicle Stock: Alternative-Fuel Light Trucks: Ethanol-Flex Fuel ICE: Alternative Transportation</t>
  </si>
  <si>
    <t>AEO.2025.ALTTRNP.ECI_STK_CNV_FLTR_NA_NA_NA_TH.A</t>
  </si>
  <si>
    <t>Fleet Vehicle Stock: Conventional Light Trucks: Total: Alternative Transportation</t>
  </si>
  <si>
    <t>AEO.2025.ALTTRNP.ECI_STK_CNV_FLTR_TDS_NA_NA_TH.A</t>
  </si>
  <si>
    <t>Fleet Vehicle Stock: Conventional Light Trucks: TDI Diesel: Alternative Transportation</t>
  </si>
  <si>
    <t>AEO.2025.ALTTRNP.ECI_STK_CNV_FLTR_GSL_NA_NA_TH.A</t>
  </si>
  <si>
    <t>Fleet Vehicle Stock: Conventional Light Trucks: Gasoline: Alternative Transportation</t>
  </si>
  <si>
    <t>AEO.2025.ALTTRNP.ECI_STK_NA_FLC_NA_NA_NA_TH.A</t>
  </si>
  <si>
    <t>Fleet Vehicle Stock: Cars: Total: Alternative Transportation</t>
  </si>
  <si>
    <t>AEO.2025.ALTTRNP.ECI_STK_ALF1_FLC_NA_NA_NA_TH.A</t>
  </si>
  <si>
    <t>Fleet Vehicle Stock: Alternative-Fuel Cars: Total: Alternative Transportation</t>
  </si>
  <si>
    <t>AEO.2025.ALTTRNP.ECI_STK_ALF1_FLC_FCH_NA_NA_TH.A</t>
  </si>
  <si>
    <t>Fleet Vehicle Stock: Alternative-Fuel Cars: Fuel Cell Hydrogen: Alternative Transportation</t>
  </si>
  <si>
    <t>AEO.2025.ALTTRNP.ECI_STK_ALF1_FLC_FCLMTH_NA_NA_TH.A</t>
  </si>
  <si>
    <t>Fleet Vehicle Stock: Alternative-Fuel Cars: Fuel Cell Methanol: Alternative Transportation</t>
  </si>
  <si>
    <t>AEO.2025.ALTTRNP.ECI_STK_ALF1_FLC_PBF_NA_NA_TH.A</t>
  </si>
  <si>
    <t>Fleet Vehicle Stock: Alternative-Fuel Cars: Propane Bi-fuel: Alternative Transportation</t>
  </si>
  <si>
    <t>AEO.2025.ALTTRNP.ECI_STK_ALF1_FLC_PROP_NA_NA_TH.A</t>
  </si>
  <si>
    <t>Fleet Vehicle Stock: Alternative-Fuel Cars: Propane ICE: Alternative Transportation</t>
  </si>
  <si>
    <t>AEO.2025.ALTTRNP.ECI_STK_ALF1_FLC_NBF_NA_NA_TH.A</t>
  </si>
  <si>
    <t>Fleet Vehicle Stock: Alternative-Fuel Cars: Natural Gas Bi-fuel: Alternative Transportation</t>
  </si>
  <si>
    <t>AEO.2025.ALTTRNP.ECI_STK_ALF1_FLC_NGI_NA_NA_TH.A</t>
  </si>
  <si>
    <t>Fleet Vehicle Stock: Alternative-Fuel Cars: Natural Gas ICE: Alternative Transportation</t>
  </si>
  <si>
    <t>AEO.2025.ALTTRNP.ECI_STK_ALF1_FLC_EGH_NA_NA_TH.A</t>
  </si>
  <si>
    <t>Fleet Vehicle Stock: Alternative-Fuel Cars: Electric-Gasoline Hybrid: Alternative Transportation</t>
  </si>
  <si>
    <t>AEO.2025.ALTTRNP.ECI_STK_ALF1_FLC_EDH_NA_NA_TH.A</t>
  </si>
  <si>
    <t>Fleet Vehicle Stock: Alternative-Fuel Cars: Electric-Diesel Hybrid: Alternative Transportation</t>
  </si>
  <si>
    <t>AEO.2025.ALTTRNP.ECI_STK_ALF1_FLC_PI50GH_NA_NA_TH.A</t>
  </si>
  <si>
    <t>Fleet Vehicle Stock: Alternative-Fuel Cars: Plug-in 50 Gasoline Hybrid: Alternative Transportation</t>
  </si>
  <si>
    <t>AEO.2025.ALTTRNP.ECI_STK_ALF1_FLC_PI20GH_NA_NA_TH.A</t>
  </si>
  <si>
    <t>Fleet Vehicle Stock: Alternative-Fuel Cars: Plug-in 20 Gasoline Hybrid: Alternative Transportation</t>
  </si>
  <si>
    <t>AEO.2025.ALTTRNP.ECI_STK_ALF1_FLC_300MIEV_NA_NA_TH.A</t>
  </si>
  <si>
    <t>Fleet Vehicle Stock: Alternative-Fuel Cars: 300-Mile Electric Vehicle: Alternative Transportation</t>
  </si>
  <si>
    <t>AEO.2025.ALTTRNP.ECI_STK_ALF1_FLC_200MIEV_NA_NA_TH.A</t>
  </si>
  <si>
    <t>Fleet Vehicle Stock: Alternative-Fuel Cars: 200-Mile Electric Vehicle: Alternative Transportation</t>
  </si>
  <si>
    <t>AEO.2025.ALTTRNP.ECI_STK_ALF1_FLC_100MIEV_NA_NA_TH.A</t>
  </si>
  <si>
    <t>Fleet Vehicle Stock: Alternative-Fuel Cars: 100-Mile Electric Vehicle: Alternative Transportation</t>
  </si>
  <si>
    <t>AEO.2025.ALTTRNP.ECI_STK_ALF1_FLC_EFFI_NA_NA_TH.A</t>
  </si>
  <si>
    <t>Fleet Vehicle Stock: Alternative-Fuel Cars: Ethanol-Flex Fuel ICE: Alternative Transportation</t>
  </si>
  <si>
    <t>AEO.2025.ALTTRNP.ECI_STK_CNV_FLC_NA_NA_NA_TH.A</t>
  </si>
  <si>
    <t>Fleet Vehicle Stock: Conventional Cars: Total: Alternative Transportation</t>
  </si>
  <si>
    <t>AEO.2025.ALTTRNP.ECI_STK_CNV_FLC_TDS_NA_NA_TH.A</t>
  </si>
  <si>
    <t>Fleet Vehicle Stock: Conventional Cars: TDI Diesel: Alternative Transportation</t>
  </si>
  <si>
    <t>AEO.2025.ALTTRNP.ECI_STK_CNV_FLC_GSL_NA_NA_TH.A</t>
  </si>
  <si>
    <t>Fleet Vehicle Stock: Conventional Cars: Gasoline: Alternative Transportation</t>
  </si>
  <si>
    <t>Fri Dec 05 2025 14:50:52 GMT-0800 (Pacific Standard Time)</t>
  </si>
  <si>
    <t>https://www.eia.gov/outlooks/aeo/data/browser/#/?id=55-AEO2025&amp;cases=alttrnp&amp;sourcekey=0</t>
  </si>
  <si>
    <t>Table 45.  Transportation Fleet Car and Truck Stock by Type and Technology</t>
  </si>
  <si>
    <t>2024 $/MMBtu</t>
  </si>
  <si>
    <t>AEO.2025.ALTTRNP.PRCE_NA_TRN_NA_LNG_INTA_NA_Y13DLRPMMBTU.A</t>
  </si>
  <si>
    <t>Transportation: Natural Gas Prices: Liquefied: Shipping: International: Alternative Transportation</t>
  </si>
  <si>
    <t>AEO.2025.ALTTRNP.PRCE_NA_TRN_NA_LNG_DMS_NA_Y13DLRPMMBTU.A</t>
  </si>
  <si>
    <t>Transportation: Natural Gas Prices: Liquefied: Shipping: Domestic: Alternative Transportation</t>
  </si>
  <si>
    <t>AEO.2025.ALTTRNP.PRCE_NA_TRN_NA_LNG_SHIP_NA_Y13DLRPMMBTU.A</t>
  </si>
  <si>
    <t>Transportation: Natural Gas Prices: Liquefied: Shipping: Alternative Transportation</t>
  </si>
  <si>
    <t>Marine</t>
  </si>
  <si>
    <t>AEO.2025.ALTTRNP.PRCE_NA_TRN_NA_LNG_FGT_NA_Y13DLRPMMBTU.A</t>
  </si>
  <si>
    <t>Transportation: Natural Gas Prices: Liquefied: Rail: Freight: Alternative Transportation</t>
  </si>
  <si>
    <t>Freight Rail</t>
  </si>
  <si>
    <t>AEO.2025.ALTTRNP.PRCE_NA_TRN_NA_LNG_FLEET_NA_Y13DLRPMMBTU.A</t>
  </si>
  <si>
    <t>Transportation: Natural Gas Prices: Liquefied: Vehicles: Depot: Alternative Transportation</t>
  </si>
  <si>
    <t>Depot</t>
  </si>
  <si>
    <t>AEO.2025.ALTTRNP.PRCE_NA_TRN_NA_LNG_PERS_NA_Y13DLRPMMBTU.A</t>
  </si>
  <si>
    <t>Transportation: Natural Gas Prices: Liquefied: Vehicles: Public/Retail: Alternative Transportation</t>
  </si>
  <si>
    <t>Public/Retail</t>
  </si>
  <si>
    <t>AEO.2025.ALTTRNP.PRCE_NA_TRN_NA_LNG_LDV_NA_Y13DLRPMMBTU.A</t>
  </si>
  <si>
    <t>Transportation: Natural Gas Prices: Liquefied: Vehicles: Alternative Transportation</t>
  </si>
  <si>
    <t>Freight Trucks</t>
  </si>
  <si>
    <t>AEO.2025.ALTTRNP.PRCE_NA_TRN_NA_CNG_INTA_NA_Y13DLRPMMBTU.A</t>
  </si>
  <si>
    <t>Transportation: Natural Gas Prices: Compressed: Shipping: International: Alternative Transportation</t>
  </si>
  <si>
    <t>AEO.2025.ALTTRNP.PRCE_NA_TRN_NA_CNG_DMS_NA_Y13DLRPMMBTU.A</t>
  </si>
  <si>
    <t>Transportation: Natural Gas Prices: Compressed: Shipping: Domestic: Alternative Transportation</t>
  </si>
  <si>
    <t>AEO.2025.ALTTRNP.PRCE_NA_TRN_NA_CNG_SHIP_NA_Y13DLRPMMBTU.A</t>
  </si>
  <si>
    <t>Transportation: Natural Gas Prices: Compressed: Shipping: Alternative Transportation</t>
  </si>
  <si>
    <t>AEO.2025.ALTTRNP.PRCE_NA_TRN_NA_CNG_FLEET_NA_Y13DLRPMMBTU.A</t>
  </si>
  <si>
    <t>Transportation: Natural Gas Prices: Compressed: Vehicles: Depot: Alternative Transportation</t>
  </si>
  <si>
    <t>AEO.2025.ALTTRNP.PRCE_NA_TRN_NA_CNG_NFLEET_NA_Y13DLRPMMBTU.A</t>
  </si>
  <si>
    <t>Transportation: Natural Gas Prices: Compressed: Vehicles: Public/Retail: Alternative Transportation</t>
  </si>
  <si>
    <t>AEO.2025.ALTTRNP.PRCE_NA_TRN_NA_CNG_LDTVHFT_NA_Y13DLRPMMBTU.A</t>
  </si>
  <si>
    <t>Transportation: Natural Gas Prices: Compressed: Vehicles: Alternative Transportation</t>
  </si>
  <si>
    <t>Natural Gas Prices (2024 dollars per mmBtu)</t>
  </si>
  <si>
    <t>2024 $/kg</t>
  </si>
  <si>
    <t>AEO.2025.ALTTRNP.PRCE_NA_TRN_NA_HDG_NA_NA_NA.A</t>
  </si>
  <si>
    <t>Transportation: Hydrogen Price: Delivered: Alternative Transportation</t>
  </si>
  <si>
    <t>Hydrogen Price (2024 dollars per kg)</t>
  </si>
  <si>
    <t>2024 cents/kWh</t>
  </si>
  <si>
    <t>AEO.2025.ALTTRNP.PRCE_NA_TRN_NA_ELC_CLT_NA_Y13DLRPMMBTU.A</t>
  </si>
  <si>
    <t>Transportation: Electricity Prices: Commercial Light Truck Public/Retail: Alternative Transportation</t>
  </si>
  <si>
    <t>Transportation: Electricity Prices: Commercial Light Truck Depot: Alternative Transportation</t>
  </si>
  <si>
    <t>Commercial light truck</t>
  </si>
  <si>
    <t>AEO.2025.ALTTRNP.PRCE_NA_TRN_NA_ELC_FRTTRK_NA_Y13DLRPMMBTU.A</t>
  </si>
  <si>
    <t>Transportation: Electricity Prices: Freight Truck Public/Retail: Alternative Transportation</t>
  </si>
  <si>
    <t>Transportation: Electricity Prices: Freight Truck Depot: Alternative Transportation</t>
  </si>
  <si>
    <t>Transportation: Electricity Prices: Freight Truck: Alternative Transportation</t>
  </si>
  <si>
    <t>Freight truck</t>
  </si>
  <si>
    <t>AEO.2025.ALTTRNP.PRCE_NA_TRN_NA_ELC_BUS_NA_Y13DLRPMMBTU.A</t>
  </si>
  <si>
    <t>Transportation: Electricity Prices: Intercity Bus: Alternative Transportation</t>
  </si>
  <si>
    <t>Intercity</t>
  </si>
  <si>
    <t>Transportation: Electricity Prices: Transit Bus: Alternative Transportation</t>
  </si>
  <si>
    <t>Transit</t>
  </si>
  <si>
    <t>Transportation: Electricity Prices: School Bus: Alternative Transportation</t>
  </si>
  <si>
    <t>School</t>
  </si>
  <si>
    <t>Transportation: Electricity Prices: Bus: Alternative Transportation</t>
  </si>
  <si>
    <t>AEO.2025.ALTTRNP.PRCE_NA_TRN_NA_ELC_LDV_NA_Y13DLRPMMBTU.A</t>
  </si>
  <si>
    <t>Transportation: Electricity Prices: Light-Duty Vehicles Public DCFC: Alternative Transportation</t>
  </si>
  <si>
    <t>Public DC Fast Charge</t>
  </si>
  <si>
    <t>Transportation: Electricity Prices: Light-Duty Vehicles Public Level 2: Alternative Transportation</t>
  </si>
  <si>
    <t>Public Level 2</t>
  </si>
  <si>
    <t>Transportation: Electricity Prices: Light-Duty Vehicles Home: Alternative Transportation</t>
  </si>
  <si>
    <t>Home</t>
  </si>
  <si>
    <t>Transportation: Electricity Prices: Light-Duty Vehicles: Alternative Transportation</t>
  </si>
  <si>
    <t>Light-Duty Vehicles</t>
  </si>
  <si>
    <t>AEO.2025.ALTTRNP.PRCE_NA_TRN_NA_ELC_LTRNS_NA_Y13DLRPMMBTU.A</t>
  </si>
  <si>
    <t>Transportation: Electricity Prices: Light Trains: Alternative Transportation</t>
  </si>
  <si>
    <t>Light Trains</t>
  </si>
  <si>
    <t>Electricity Prices (2024 cents per kWh)</t>
  </si>
  <si>
    <t>2024 $/kWh</t>
  </si>
  <si>
    <t>AEO.2025.ALTTRNP.PRCE_NA_TRN_NA_BAT_FRTTRK_NA_13YDKWH.A</t>
  </si>
  <si>
    <t>Transportation: Battery Prices: Freight Truck Gasoline Hybrid Electric: Alternative Transportation</t>
  </si>
  <si>
    <t>Hybrid Electric Vehicles</t>
  </si>
  <si>
    <t>Transportation: Battery Prices: Freight Truck Class 2b&amp;3: Alternative Transportation</t>
  </si>
  <si>
    <t>Class 2b &amp; 3</t>
  </si>
  <si>
    <t>Transportation: Battery Prices: Freight Truck Class 7&amp;8 Tractor: Alternative Transportation</t>
  </si>
  <si>
    <t>Class 7&amp;8 Tractors</t>
  </si>
  <si>
    <t>Transportation: Battery Prices: Freight Truck Class 6-8 Vocational: Alternative Transportation</t>
  </si>
  <si>
    <t>Class 6-8 Vocational</t>
  </si>
  <si>
    <t>Transportation: Battery Prices: Freight Truck Class 4-5: Alternative Transportation</t>
  </si>
  <si>
    <t>Class 4 &amp; 5</t>
  </si>
  <si>
    <t>2024 $/kWh RPE</t>
  </si>
  <si>
    <t>AEO.2025.ALTTRNP.PRCE_NA_TRN_NA_BAT_LDV_NA_13YDKWH.A</t>
  </si>
  <si>
    <t>Transportation: Battery Prices: Light-Duty Hybrid Electric: Alternative Transportation</t>
  </si>
  <si>
    <t>Transportation: Battery Prices: Light-Duty Plug-in Hybrid Electric: Alternative Transportation</t>
  </si>
  <si>
    <t>Plug-In Hybrid Electric Vehicles</t>
  </si>
  <si>
    <t>Transportation: Battery Prices: Light-Duty Battery Electric: Alternative Transportation</t>
  </si>
  <si>
    <t>Battery Electric Vehicles</t>
  </si>
  <si>
    <t>Battery Prices (2024 dollars per nominal kWh)</t>
  </si>
  <si>
    <t>MMb/d oil eq</t>
  </si>
  <si>
    <t>AEO.2025.ALTTRNP.CNSM_NA_TRN_NA_USE_NA_NA_MILLBPDYOEQ.A</t>
  </si>
  <si>
    <t>Transportation: Energy Use by Mode: Total: Alternative Transportation</t>
  </si>
  <si>
    <t>Total</t>
  </si>
  <si>
    <t>AEO.2025.ALTTRNP.CNSM_NA_TRN_NA_LQFCT_NA_USA_MILLBPDYOEQ.A</t>
  </si>
  <si>
    <t>Transportation: Energy Use by Mode: Natural Gas for Liquefaction: Alternative Transportation</t>
  </si>
  <si>
    <t>Natural Gas Liquefaction for Export</t>
  </si>
  <si>
    <t>AEO.2025.ALTTRNP.CNSM_NA_TRN_PFT_USE_NA_NA_MILLBPDYOEQ.A</t>
  </si>
  <si>
    <t>Transportation: Energy Use by Mode: Pipeline Fuel: Alternative Transportation</t>
  </si>
  <si>
    <t>Pipeline Fuel</t>
  </si>
  <si>
    <t>AEO.2025.ALTTRNP.CNSM_NA_TRN_LBC_USE_NA_NA_MILLBPDYOEQ.A</t>
  </si>
  <si>
    <t>Transportation: Energy Use by Mode: Lubricants: Alternative Transportation</t>
  </si>
  <si>
    <t>Lubricants</t>
  </si>
  <si>
    <t>AEO.2025.ALTTRNP.CNSM_NA_TRN_MILU_USE_NA_NA_MILLBPDYOEQ.A</t>
  </si>
  <si>
    <t>Transportation: Energy Use by Mode: Military Use: Alternative Transportation</t>
  </si>
  <si>
    <t>Military Use</t>
  </si>
  <si>
    <t>AEO.2025.ALTTRNP.CNSM_NA_TRN_AIR_USE_NA_NA_MILLBPDYOEQ.A</t>
  </si>
  <si>
    <t>Transportation: Energy Use by Mode: Air: Alternative Transportation</t>
  </si>
  <si>
    <t>AEO.2025.ALTTRNP.CNSM_NA_TRN_RBT_USE_NA_NA_MILLBPDYOEQ.A</t>
  </si>
  <si>
    <t>Transportation: Energy Use by Mode: Recreational Boats: Alternative Transportation</t>
  </si>
  <si>
    <t>Recreational Boats</t>
  </si>
  <si>
    <t>AEO.2025.ALTTRNP.CNSM_NA_TRN_SHINT_USE_NA_NA_MILLBPDYOEQ.A</t>
  </si>
  <si>
    <t>Transportation: Energy Use by Mode: Shipping, International: Alternative Transportation</t>
  </si>
  <si>
    <t xml:space="preserve"> International</t>
  </si>
  <si>
    <t>Shipping</t>
  </si>
  <si>
    <t>AEO.2025.ALTTRNP.CNSM_NA_TRN_SHDT_USE_NA_NA_MILLBPDYOEQ.A</t>
  </si>
  <si>
    <t>Transportation: Energy Use by Mode: Shipping, Domestic: Alternative Transportation</t>
  </si>
  <si>
    <t xml:space="preserve"> Domestic</t>
  </si>
  <si>
    <t>AEO.2025.ALTTRNP.CNSM_NA_TRN_RLF_USE_NA_NA_MILLBPDYOEQ.A</t>
  </si>
  <si>
    <t>Transportation: Energy Use by Mode: Rail, Freight: Alternative Transportation</t>
  </si>
  <si>
    <t xml:space="preserve"> Freight</t>
  </si>
  <si>
    <t>AEO.2025.ALTTRNP.CNSM_NA_TRN_RLP_USE_NA_NA_MILLBPDYOEQ.A</t>
  </si>
  <si>
    <t>Transportation: Energy Use by Mode: Rail, Passenger: Alternative Transportation</t>
  </si>
  <si>
    <t xml:space="preserve"> Passenger</t>
  </si>
  <si>
    <t>AEO.2025.ALTTRNP.CNSM_NA_TRN_FGHT_USE_NA_NA_MILLBPDYOEQ.A</t>
  </si>
  <si>
    <t>Transportation: Energy Use by Mode: Freight Trucks: Alternative Transportation</t>
  </si>
  <si>
    <t>AEO.2025.ALTTRNP.CNSM_NA_TRN_BST_USE_NA_NA_MILLBPDYOEQ.A</t>
  </si>
  <si>
    <t>Transportation: Energy Use by Mode: Bus Transportation: Alternative Transportation</t>
  </si>
  <si>
    <t>Bus Transportation</t>
  </si>
  <si>
    <t>AEO.2025.ALTTRNP.CNSM_NA_TRN_CML_USE_NA_NA_MILLBPDYOEQ.A</t>
  </si>
  <si>
    <t>Transportation: Energy Use by Mode: Commercial Light Trucks: Alternative Transportation</t>
  </si>
  <si>
    <t>Commercial Light Trucks</t>
  </si>
  <si>
    <t>AEO.2025.ALTTRNP.CNSM_NA_TRN_LDV_USE_NA_NA_MILLBPDYOEQ.A</t>
  </si>
  <si>
    <t>Transportation: Energy Use by Mode: Light-Duty Vehicles: Alternative Transportation</t>
  </si>
  <si>
    <t>(million barrels per day oil equivalent)</t>
  </si>
  <si>
    <t>quads</t>
  </si>
  <si>
    <t>AEO.2025.ALTTRNP.CNSM_NA_TRN_NA_USE_NA_NA_QBTU.A</t>
  </si>
  <si>
    <t>AEO.2025.ALTTRNP.CNSM_NA_TRN_IDEI_LQFCT_NA_USA_QBTU.A</t>
  </si>
  <si>
    <t>AEO.2025.ALTTRNP.CNSM_NA_TRN_PFT_USE_NA_NA_QBTU.A</t>
  </si>
  <si>
    <t>AEO.2025.ALTTRNP.CNSM_NA_TRN_LBC_USE_NA_NA_QBTU.A</t>
  </si>
  <si>
    <t>AEO.2025.ALTTRNP.CNSM_NA_TRN_MILU_USE_NA_NA_QBTU.A</t>
  </si>
  <si>
    <t>AEO.2025.ALTTRNP.CNSM_NA_TRN_AIR_USE_NA_NA_QBTU.A</t>
  </si>
  <si>
    <t>AEO.2025.ALTTRNP.CNSM_NA_TRN_RBT_USE_NA_NA_QBTU.A</t>
  </si>
  <si>
    <t>AEO.2025.ALTTRNP.CNSM_NA_TRN_SHINT_USE_NA_NA_QBTU.A</t>
  </si>
  <si>
    <t>AEO.2025.ALTTRNP.CNSM_NA_TRN_SHDT_USE_NA_NA_QBTU.A</t>
  </si>
  <si>
    <t>AEO.2025.ALTTRNP.CNSM_NA_TRN_RLF_USE_NA_NA_QBTU.A</t>
  </si>
  <si>
    <t>AEO.2025.ALTTRNP.CNSM_NA_TRN_RLP_USE_NA_NA_QBTU.A</t>
  </si>
  <si>
    <t>AEO.2025.ALTTRNP.CNSM_NA_TRN_FGHT_USE_NA_NA_QBTU.A</t>
  </si>
  <si>
    <t>AEO.2025.ALTTRNP.CNSM_NA_TRN_BST_USE_NA_NA_QBTU.A</t>
  </si>
  <si>
    <t>AEO.2025.ALTTRNP.CNSM_NA_TRN_CML_USE_NA_NA_QBTU.A</t>
  </si>
  <si>
    <t>AEO.2025.ALTTRNP.CNSM_NA_TRN_LDV_USE_NA_NA_QBTU.A</t>
  </si>
  <si>
    <t>(quadrillion Btu)</t>
  </si>
  <si>
    <t>AEO.2025.ALTTRNP.EFI_NA_TRN_NA_DMT_NA_NA_TONMLPTHBTU.A</t>
  </si>
  <si>
    <t>Transportation: Energy Efficiency Indicators: Domestic Shipping: Alternative Transportation</t>
  </si>
  <si>
    <t>AEO.2025.ALTTRNP.EFI_NA_TRN_NA_RAIL_NA_NA_TONMLPTHBTU.A</t>
  </si>
  <si>
    <t>Transportation: Energy Efficiency Indicators: Rail: Alternative Transportation</t>
  </si>
  <si>
    <t>(ton miles/thousand Btu)</t>
  </si>
  <si>
    <t>AEO.2025.ALTTRNP.EFI_NA_TRN_NA_AIRC_NA_NA_SEATMPG.A</t>
  </si>
  <si>
    <t>Transportation: Energy Efficiency Indicators: Aircraft: Alternative Transportation</t>
  </si>
  <si>
    <t>Aircraft</t>
  </si>
  <si>
    <t>(seat miles per gallon)</t>
  </si>
  <si>
    <t>AEO.2025.ALTTRNP.EFI_NA_TRN_HWY_FRTT_STK_NA_MLSPGLN.A</t>
  </si>
  <si>
    <t>Transportation: Energy Efficiency Indicators: Freight Truck: Alternative Transportation</t>
  </si>
  <si>
    <t>Freight Truck</t>
  </si>
  <si>
    <t>AEO.2025.ALTTRNP.EFI_NA_TRN_HWY_CLTR_STK_NA_MLSPGLN.A</t>
  </si>
  <si>
    <t>Transportation: Energy Efficiency Indicators: Stock Commercial Light Truck: Alternative Transportation</t>
  </si>
  <si>
    <t>Stock Commercial Light Truck</t>
  </si>
  <si>
    <t>AEO.2025.ALTTRNP.EFI_NA_TRN_HWY_CLTR_NEW_NA_MLSPGLN.A</t>
  </si>
  <si>
    <t>Transportation: Energy Efficiency Indicators: New Commercial Light Truck: Alternative Transportation</t>
  </si>
  <si>
    <t>New Commercial Light Truck</t>
  </si>
  <si>
    <t>AEO.2025.ALTTRNP.EFI_CAFEO_TRN_HWY_LDTY_STK_NA_MLSPGLN.A</t>
  </si>
  <si>
    <t>Transportation: Energy Efficiency Indicators: Light-Duty Stock: Alternative Transportation</t>
  </si>
  <si>
    <t>Light-Duty Stock</t>
  </si>
  <si>
    <t>AEO.2025.ALTTRNP.EFI_CAFEO_TRN_HWY_LTRT_NEW_NA_MLSPGLN.A</t>
  </si>
  <si>
    <t>Transportation: Energy Efficiency Indicators: On-Road New Light Truck: Alternative Transportation</t>
  </si>
  <si>
    <t>New Light Truck</t>
  </si>
  <si>
    <t>AEO.2025.ALTTRNP.EFI_CAFEO_TRN_HWY_CAR_NEW_NA_MLSPGLN.A</t>
  </si>
  <si>
    <t>Transportation: Energy Efficiency Indicators: On-Road New Car: Alternative Transportation</t>
  </si>
  <si>
    <t>New Car</t>
  </si>
  <si>
    <t>AEO.2025.ALTTRNP.EFI_CAFEO_TRN_HWY_LDTY_NEW_NA_MLSPGLN.A</t>
  </si>
  <si>
    <t>Transportation: Energy Efficiency Indicators: On-Road New Light-Duty Vehicle: Alternative Transportation</t>
  </si>
  <si>
    <t>On-Road New Light-Duty Vehicle</t>
  </si>
  <si>
    <t>AEO.2025.ALTTRNP.EFI_CAFET_TRN_HWY_LTRT_NEW_NA_MLSPGLN.A</t>
  </si>
  <si>
    <t>Transportation: Energy Efficiency Indicators: Tested: New Light Truck: Alternative Transportation</t>
  </si>
  <si>
    <t>AEO.2025.ALTTRNP.EFI_CAFET_TRN_HWY_CAR_NEW_NA_MLSPGLN.A</t>
  </si>
  <si>
    <t>Transportation: Energy Efficiency Indicators: Tested: New Car: Alternative Transportation</t>
  </si>
  <si>
    <t>AEO.2025.ALTTRNP.EFI_CAFET_TRN_HWY_LDTY_NEW_NA_MLSPGLN.A</t>
  </si>
  <si>
    <t>Transportation: Energy Efficiency Indicators: Tested: New Light-Duty Vehicle: Alternative Transportation</t>
  </si>
  <si>
    <t>Tested New Light-Duty Vehicle</t>
  </si>
  <si>
    <t>AEO.2025.ALTTRNP.EFI_CAFEC_TRN_HWY_LTRT_NEW_NA_MLSPGLN.A</t>
  </si>
  <si>
    <t>Transportation: Energy Efficiency Indicators: Compliance: New Light Truck: Alternative Transportation</t>
  </si>
  <si>
    <t>AEO.2025.ALTTRNP.EFI_CAFEC_TRN_HWY_CAR_NEW_NA_MLSPGLN.A</t>
  </si>
  <si>
    <t>Transportation: Energy Efficiency Indicators: Compliance: New Car: Alternative Transportation</t>
  </si>
  <si>
    <t>AEO.2025.ALTTRNP.EFI_CAFEC_TRN_HWY_LDTY_NEW_NA_MLSPGLN.A</t>
  </si>
  <si>
    <t>Transportation: Energy Efficiency Indicators: Compliance: New Light-Duty Vehicle: Alternative Transportation</t>
  </si>
  <si>
    <t>Compliance New Light-Duty Vehicle</t>
  </si>
  <si>
    <t>AEO.2025.ALTTRNP.EFI_CAFES_TRN_HWY_LTRT_NEW_NA_MLSPGLN.A</t>
  </si>
  <si>
    <t>Transportation: Energy Efficiency Indicators: CAFE Standard: New Light Truck: Alternative Transportation</t>
  </si>
  <si>
    <t>AEO.2025.ALTTRNP.EFI_CAFES_TRN_HWY_CAR_NEW_NA_MLSPGLN.A</t>
  </si>
  <si>
    <t>Transportation: Energy Efficiency Indicators: CAFE Standard: New Car: Alternative Transportation</t>
  </si>
  <si>
    <t>AEO.2025.ALTTRNP.EFI_CAFES_TRN_HWY_LDTY_NEW_NA_MLSPGLN.A</t>
  </si>
  <si>
    <t>Transportation: Energy Efficiency Indicators: CAFE Standard: New Light-Duty Vehicle: Alternative Transportation</t>
  </si>
  <si>
    <t>New Light-Duty Vehicle CAFE Standard</t>
  </si>
  <si>
    <t>(miles per gallon)</t>
  </si>
  <si>
    <t>billion ton miles</t>
  </si>
  <si>
    <t>AEO.2025.ALTTRNP.KEI_TRV_TRN_NA_DMT_NA_NA_BLNTNMLS.A</t>
  </si>
  <si>
    <t>Transportation: Travel Indicators: Domestic Shipping: Alternative Transportation</t>
  </si>
  <si>
    <t>AEO.2025.ALTTRNP.KEI_TRV_TRN_NA_RAIL_NA_NA_BLNTNMLS.A</t>
  </si>
  <si>
    <t>Transportation: Travel Indicators: Rail: Alternative Transportation</t>
  </si>
  <si>
    <t>(billion ton miles traveled)</t>
  </si>
  <si>
    <t>billion seat miles</t>
  </si>
  <si>
    <t>AEO.2025.ALTTRNP.KEI_TRV_TRN_NA_AIR_NA_NA_BLNSEATMLS.A</t>
  </si>
  <si>
    <t>Transportation: Travel Indicators: Air: Alternative Transportation</t>
  </si>
  <si>
    <t>(billion seat miles available)</t>
  </si>
  <si>
    <t>billion passenger miles</t>
  </si>
  <si>
    <t>AEO.2025.ALTTRNP.KEI_TRV_TRN_NA_RLP_NA_NA_BPM.A</t>
  </si>
  <si>
    <t>Transportation: Travel Indicators: Passenger Rail: Alternative Transportation</t>
  </si>
  <si>
    <t>Passenger Rail</t>
  </si>
  <si>
    <t>AEO.2025.ALTTRNP.KEI_TRV_TRN_NA_BST_NA_NA_BPM.A</t>
  </si>
  <si>
    <t>Transportation: Travel Indicators: Bus: Alternative Transportation</t>
  </si>
  <si>
    <t>(billion passenger miles traveled)</t>
  </si>
  <si>
    <t>billion vehicle miles</t>
  </si>
  <si>
    <t>AEO.2025.ALTTRNP.KEI_TRV_TRN_NA_FGHT_NA_NA_BLNVEHMLS.A</t>
  </si>
  <si>
    <t>Transportation: Travel Indicators: Freight Trucks &gt; 10,000 lbs.: Alternative Transportation</t>
  </si>
  <si>
    <t>000 pounds</t>
  </si>
  <si>
    <t>Freight Trucks greater than 10</t>
  </si>
  <si>
    <t>AEO.2025.ALTTRNP.KEI_TRV_TRN_NA_CML_NA_NA_BLNVEHMLS.A</t>
  </si>
  <si>
    <t>Transportation: Travel Indicators: Commercial Light Trucks: Alternative Transportation</t>
  </si>
  <si>
    <t>AEO.2025.ALTTRNP.KEI_TRV_TRN_NA_LDV_NA_NA_BLNVEHMLS.A</t>
  </si>
  <si>
    <t>Transportation: Travel Indicators: Light-Duty Vehicles &lt;= 8,500 lbs: Alternative Transportation</t>
  </si>
  <si>
    <t>501 pounds</t>
  </si>
  <si>
    <t>Light-Duty Vehicles less than 8</t>
  </si>
  <si>
    <t>(billion vehicle miles traveled)</t>
  </si>
  <si>
    <t>Fri Dec 05 2025 14:42:41 GMT-0800 (Pacific Standard Time)</t>
  </si>
  <si>
    <t>https://www.eia.gov/outlooks/aeo/data/browser/#/?id=7-AEO2025&amp;cases=alttrnp&amp;sourcekey=0</t>
  </si>
  <si>
    <t>Table 7.  Transportation Sector Key Indicators and Delivered Energy Consumption</t>
  </si>
  <si>
    <t>SYAADTvBT-passengers</t>
  </si>
  <si>
    <t>SYAADTvBT-freight</t>
  </si>
  <si>
    <t>BAADTbVT-passengers</t>
  </si>
  <si>
    <t>BAADTbVT-freight</t>
  </si>
  <si>
    <t>AEO Table 7</t>
  </si>
  <si>
    <t>Source</t>
  </si>
  <si>
    <t>NTS</t>
  </si>
  <si>
    <t>psgr rail calcs</t>
  </si>
  <si>
    <t>NRBS</t>
  </si>
  <si>
    <t>AEO</t>
  </si>
  <si>
    <t xml:space="preserve">Table 1-40:  U.S. Passenger-Miles (millions) </t>
  </si>
  <si>
    <r>
      <t>KEY:</t>
    </r>
    <r>
      <rPr>
        <sz val="9"/>
        <rFont val="Arial"/>
        <family val="2"/>
      </rPr>
      <t xml:space="preserve"> N = data do not exist; U = data are not available.</t>
    </r>
  </si>
  <si>
    <r>
      <t xml:space="preserve">1990-2024: U.S. Department of Transportation, Bureau of Transportation Statistics, Office of Airline Information,  </t>
    </r>
    <r>
      <rPr>
        <i/>
        <sz val="9"/>
        <rFont val="Arial"/>
        <family val="2"/>
      </rPr>
      <t>Air Carrier Statistics T-100</t>
    </r>
    <r>
      <rPr>
        <sz val="9"/>
        <rFont val="Arial"/>
        <family val="2"/>
      </rPr>
      <t>, available at https://transtats.bts.gov/ as of Oct. 24, 2025.</t>
    </r>
  </si>
  <si>
    <r>
      <t xml:space="preserve">1994-2023: U.S. Department of Transportation, Federal Highway Administration, </t>
    </r>
    <r>
      <rPr>
        <i/>
        <sz val="9"/>
        <rFont val="Arial"/>
        <family val="2"/>
      </rPr>
      <t>Highway Statistics</t>
    </r>
    <r>
      <rPr>
        <sz val="9"/>
        <rFont val="Arial"/>
        <family val="2"/>
      </rPr>
      <t xml:space="preserve"> (Washington, DC: Annual Issues), table VM-1, available at http://www.fhwa.dot.gov/policyinformation/statistics.cfm as of May 9, 2025, minus transit bus categories (Motor bus, Trolley bus, and Demand response).</t>
    </r>
  </si>
  <si>
    <r>
      <t xml:space="preserve">2009-24: U.S. Department of Transportation, Federal Transit Administration, </t>
    </r>
    <r>
      <rPr>
        <i/>
        <sz val="9"/>
        <rFont val="Arial"/>
        <family val="2"/>
      </rPr>
      <t>National Transit Database</t>
    </r>
    <r>
      <rPr>
        <sz val="9"/>
        <rFont val="Arial"/>
        <family val="2"/>
      </rPr>
      <t xml:space="preserve"> (Washington, DC: Annual Issues), Annual Database Service, available at https://www.transit.dot.gov/ntd/ntd-data as of Oct. 24, 2025.</t>
    </r>
  </si>
  <si>
    <r>
      <t xml:space="preserve">2009-24: U.S. Department of Transportation, Federal Transit Administration, </t>
    </r>
    <r>
      <rPr>
        <i/>
        <sz val="9"/>
        <rFont val="Arial"/>
        <family val="2"/>
      </rPr>
      <t>National Transit Database</t>
    </r>
    <r>
      <rPr>
        <sz val="9"/>
        <rFont val="Arial"/>
        <family val="2"/>
      </rPr>
      <t xml:space="preserve"> (Washington, DC: Annual Issues), </t>
    </r>
    <r>
      <rPr>
        <i/>
        <sz val="9"/>
        <rFont val="Arial"/>
        <family val="2"/>
      </rPr>
      <t>Annual Database Service</t>
    </r>
    <r>
      <rPr>
        <sz val="9"/>
        <rFont val="Arial"/>
        <family val="2"/>
      </rPr>
      <t>, available at https://www.transit.dot.gov/ntd/ntd-data as of Oct. 24, 2025.</t>
    </r>
  </si>
  <si>
    <t>2001-24: Amtrak, Energy Management Department and Government Affairs Department, personal communications, Aug. 5, 2021, Sep. 22, 2022, Jul. 26, 2023, Jul. 16, 2024, and Jul. 28, 2025.</t>
  </si>
  <si>
    <t>U.S. Department of Transportation, Bureau of Transportation Statistics and Federal Highway Administration, National Household Travel Survey data, available at https://nhts.ornl.gov/ as of Jul. 2, 2024.</t>
  </si>
  <si>
    <r>
      <t>KEY:</t>
    </r>
    <r>
      <rPr>
        <sz val="9"/>
        <rFont val="Arial"/>
        <family val="2"/>
      </rPr>
      <t xml:space="preserve"> N = data do not exist; U = data are not available. </t>
    </r>
  </si>
  <si>
    <r>
      <t xml:space="preserve">1995-2024: U.S. Department of Transportation, Federal Aviation Administration, </t>
    </r>
    <r>
      <rPr>
        <i/>
        <sz val="9"/>
        <rFont val="Arial"/>
        <family val="2"/>
      </rPr>
      <t>FAA Aerospace Forecasts</t>
    </r>
    <r>
      <rPr>
        <sz val="9"/>
        <rFont val="Arial"/>
        <family val="2"/>
      </rPr>
      <t>, tables  21, 22, and 27, available at https://www.faa.gov/data_research/aviation/aerospace_forecasts/ as of Aug. 12, 2025.</t>
    </r>
  </si>
  <si>
    <r>
      <t xml:space="preserve">2010-24: U.S. Department of Transportation, Federal Aviation Administration, </t>
    </r>
    <r>
      <rPr>
        <i/>
        <sz val="9"/>
        <rFont val="Arial"/>
        <family val="2"/>
      </rPr>
      <t>FAA Aerospace Forecasts</t>
    </r>
    <r>
      <rPr>
        <sz val="9"/>
        <rFont val="Arial"/>
        <family val="2"/>
      </rPr>
      <t>, table 28, available at https://www.faa.gov/data_research/aviation/aerospace_forecasts/ as of Aug. 12, 2025.</t>
    </r>
  </si>
  <si>
    <r>
      <t xml:space="preserve">1994-2023: U.S. Department of Transportation, Federal Highway Administration, </t>
    </r>
    <r>
      <rPr>
        <i/>
        <sz val="9"/>
        <rFont val="Arial"/>
        <family val="2"/>
      </rPr>
      <t>Highway Statistics</t>
    </r>
    <r>
      <rPr>
        <sz val="9"/>
        <rFont val="Arial"/>
        <family val="2"/>
      </rPr>
      <t xml:space="preserve"> (Washington, DC: Annual Issues), table VM-1, available at http://www.fhwa.dot.gov/policyinformation/statistics.cfm as of Apr. 24,, 2025.</t>
    </r>
  </si>
  <si>
    <r>
      <t xml:space="preserve">2002-24: U.S. Department of Transportation, Federal Transit Administration, </t>
    </r>
    <r>
      <rPr>
        <i/>
        <sz val="9"/>
        <rFont val="Arial"/>
        <family val="2"/>
      </rPr>
      <t xml:space="preserve">National Transit Database, </t>
    </r>
    <r>
      <rPr>
        <sz val="9"/>
        <rFont val="Arial"/>
        <family val="2"/>
      </rPr>
      <t>Annual Database Agency Mode Service (Washington, DC: Annual Issues), available at https://www.transit.dot.gov/ntd/ntd-data as of Oct. 22, 2025.</t>
    </r>
  </si>
  <si>
    <r>
      <t xml:space="preserve">2001-23: Association of American Railroads, </t>
    </r>
    <r>
      <rPr>
        <i/>
        <sz val="9"/>
        <rFont val="Arial"/>
        <family val="2"/>
      </rPr>
      <t xml:space="preserve">Railroad Facts </t>
    </r>
    <r>
      <rPr>
        <sz val="9"/>
        <rFont val="Arial"/>
        <family val="2"/>
      </rPr>
      <t>(Washington, DC: Annual Issues), p. 73 and similar pages in earlier editions.</t>
    </r>
  </si>
  <si>
    <r>
      <t xml:space="preserve">1995-2023: U.S. Army, Corps of Engineers, </t>
    </r>
    <r>
      <rPr>
        <i/>
        <sz val="9"/>
        <rFont val="Arial"/>
        <family val="2"/>
      </rPr>
      <t>Waterborne Transportation Lines of The United States, Volume 1, National Summaries</t>
    </r>
    <r>
      <rPr>
        <sz val="9"/>
        <rFont val="Arial"/>
        <family val="2"/>
      </rPr>
      <t xml:space="preserve"> (New Orleans, LA : Annual Issues), table 2, available at https://www.iwr.usace.army.mil/about/technical-centers/wcsc-waterborne-commerce-statistics-center/ as of Aug. 12, 2025.</t>
    </r>
  </si>
  <si>
    <r>
      <t xml:space="preserve">2020-24: U.S. Department of Transportation, Maritime Administration, Data &amp; Reports, </t>
    </r>
    <r>
      <rPr>
        <i/>
        <sz val="9"/>
        <rFont val="Arial"/>
        <family val="2"/>
      </rPr>
      <t>Vessel Inventory Reports since July 1990</t>
    </r>
    <r>
      <rPr>
        <sz val="9"/>
        <rFont val="Arial"/>
        <family val="2"/>
      </rPr>
      <t>, available at https://www.maritime.dot.gov/data-reports as of Aug. 12, 2025.</t>
    </r>
  </si>
  <si>
    <r>
      <t xml:space="preserve">U.S. Department of Transportation, U.S. Coast Guard, </t>
    </r>
    <r>
      <rPr>
        <i/>
        <sz val="9"/>
        <rFont val="Arial"/>
        <family val="2"/>
      </rPr>
      <t xml:space="preserve">Boating Statistics </t>
    </r>
    <r>
      <rPr>
        <sz val="9"/>
        <rFont val="Arial"/>
        <family val="2"/>
      </rPr>
      <t>(Washington, DC: Annual Issues), table 36 and table 35 in earlier editions, available at http://uscgboating.org/statistics/accident_statistics.php as of Aug. 12, 2025.</t>
    </r>
  </si>
  <si>
    <t>psgr-rail calcs</t>
  </si>
  <si>
    <t>AEO, 2023 AEO value is wrong, use 2025 AEO</t>
  </si>
  <si>
    <t>https://www.bts.gov/content/us-passenger-miles</t>
  </si>
  <si>
    <t>U.S. Passenger-Miles</t>
  </si>
  <si>
    <t>https://www.bts.gov/content/number-us-aircraft-vehicles-vessels-and-other-conveyances</t>
  </si>
  <si>
    <t>Number of U.S. Aircraft, Vehicles, Vessels, and Other Conveyances</t>
  </si>
  <si>
    <t>motorbikes, buses, aircraft</t>
  </si>
  <si>
    <t>cars per commuter rail train</t>
  </si>
  <si>
    <t>electric buses in the U.S.</t>
  </si>
  <si>
    <t>share of passenger rail that is electric</t>
  </si>
  <si>
    <t>share of passenger rail that is diesel</t>
  </si>
  <si>
    <t>share of passenger ships that is gasoline</t>
  </si>
  <si>
    <t>share of passenger ships that is diesel</t>
  </si>
  <si>
    <t>Efficiency electric</t>
  </si>
  <si>
    <t>Efficiency diesel</t>
  </si>
  <si>
    <t>Electric BTUs * efficiency</t>
  </si>
  <si>
    <t>Diesel BTUs * efficiency</t>
  </si>
  <si>
    <t>share of air travel demand that is domestic</t>
  </si>
  <si>
    <t>U.S. Energy Information Administration</t>
  </si>
  <si>
    <t>Annual Energy Outlook 2025</t>
  </si>
  <si>
    <t>Scenario: Alternative Transportation</t>
  </si>
  <si>
    <t>https://www.eia.gov/outlooks/aeo/tables_side_xls.php</t>
  </si>
  <si>
    <t>Table 7, 39, 45, 46, 47, 48, 49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</si>
</sst>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4" formatCode="_(&quot;$&quot;* #,##0.00_);_(&quot;$&quot;* \(#,##0.00\);_(&quot;$&quot;* &quot;-&quot;??_);_(@_)"/>
    <numFmt numFmtId="43" formatCode="_(* #,##0.00_);_(* \(#,##0.00\);_(* &quot;-&quot;??_);_(@_)"/>
    <numFmt numFmtId="164" formatCode="#,##0.0"/>
    <numFmt numFmtId="165" formatCode="0.0"/>
    <numFmt numFmtId="166" formatCode="0.0%"/>
    <numFmt numFmtId="167" formatCode="###0.00_)"/>
    <numFmt numFmtId="168" formatCode="#,##0_)"/>
    <numFmt numFmtId="169" formatCode="&quot;(R)&quot;\ #,##0;&quot;(R) -&quot;#,##0;&quot;(R) &quot;\ 0"/>
    <numFmt numFmtId="170" formatCode="\ #,##0"/>
    <numFmt numFmtId="171" formatCode="_(* #,##0_);_(* \(#,##0\);_(* &quot;-&quot;??_);_(@_)"/>
    <numFmt numFmtId="172" formatCode="000#"/>
    <numFmt numFmtId="173" formatCode="0000#"/>
    <numFmt numFmtId="174" formatCode="_(* #,##0.0_);_(* \(#,##0.0\);_(* &quot;-&quot;??_);_(@_)"/>
    <numFmt numFmtId="175" formatCode="#,##0.000000"/>
  </numFmts>
  <fonts count="70">
    <font>
      <sz val="11"/>
      <color theme="1"/>
      <name val="Calibri"/>
      <family val="2"/>
      <scheme val="minor"/>
    </font>
    <font>
      <b/>
      <sz val="11"/>
      <color theme="1"/>
      <name val="Calibri"/>
      <family val="2"/>
      <scheme val="minor"/>
    </font>
    <font>
      <u/>
      <sz val="11"/>
      <color theme="10"/>
      <name val="Calibri"/>
      <family val="2"/>
      <scheme val="minor"/>
    </font>
    <font>
      <sz val="10"/>
      <name val="Arial"/>
      <family val="2"/>
    </font>
    <font>
      <sz val="10"/>
      <color theme="1"/>
      <name val="Arial"/>
      <family val="2"/>
    </font>
    <font>
      <sz val="11"/>
      <color theme="1"/>
      <name val="Calibri"/>
      <family val="2"/>
      <scheme val="minor"/>
    </font>
    <font>
      <sz val="11"/>
      <color indexed="8"/>
      <name val="Calibri"/>
      <family val="2"/>
    </font>
    <font>
      <sz val="11"/>
      <color indexed="9"/>
      <name val="Calibri"/>
      <family val="2"/>
    </font>
    <font>
      <sz val="11"/>
      <color indexed="20"/>
      <name val="Calibri"/>
      <family val="2"/>
    </font>
    <font>
      <sz val="9"/>
      <color indexed="8"/>
      <name val="Calibri"/>
      <family val="2"/>
    </font>
    <font>
      <b/>
      <sz val="11"/>
      <color indexed="52"/>
      <name val="Calibri"/>
      <family val="2"/>
    </font>
    <font>
      <b/>
      <sz val="11"/>
      <color indexed="9"/>
      <name val="Calibri"/>
      <family val="2"/>
    </font>
    <font>
      <sz val="12"/>
      <name val="Helv"/>
    </font>
    <font>
      <b/>
      <sz val="12"/>
      <name val="Helv"/>
    </font>
    <font>
      <sz val="10"/>
      <name val="Helv"/>
    </font>
    <font>
      <sz val="10"/>
      <name val="Helv"/>
      <family val="2"/>
    </font>
    <font>
      <sz val="9"/>
      <name val="Helv"/>
    </font>
    <font>
      <vertAlign val="superscript"/>
      <sz val="12"/>
      <name val="Helv"/>
    </font>
    <font>
      <i/>
      <sz val="11"/>
      <color indexed="23"/>
      <name val="Calibri"/>
      <family val="2"/>
    </font>
    <font>
      <sz val="11"/>
      <color indexed="17"/>
      <name val="Calibri"/>
      <family val="2"/>
    </font>
    <font>
      <b/>
      <sz val="9"/>
      <color indexed="8"/>
      <name val="Calibri"/>
      <family val="2"/>
    </font>
    <font>
      <b/>
      <sz val="15"/>
      <color indexed="56"/>
      <name val="Calibri"/>
      <family val="2"/>
    </font>
    <font>
      <b/>
      <sz val="13"/>
      <color indexed="56"/>
      <name val="Calibri"/>
      <family val="2"/>
    </font>
    <font>
      <b/>
      <sz val="11"/>
      <color indexed="56"/>
      <name val="Calibri"/>
      <family val="2"/>
    </font>
    <font>
      <b/>
      <sz val="10"/>
      <name val="Helv"/>
    </font>
    <font>
      <b/>
      <sz val="10"/>
      <name val="Helv"/>
      <family val="2"/>
    </font>
    <font>
      <b/>
      <sz val="9"/>
      <name val="Helv"/>
    </font>
    <font>
      <sz val="8.5"/>
      <name val="Helv"/>
    </font>
    <font>
      <u/>
      <sz val="10"/>
      <color indexed="12"/>
      <name val="Arial"/>
      <family val="2"/>
    </font>
    <font>
      <sz val="11"/>
      <color indexed="62"/>
      <name val="Calibri"/>
      <family val="2"/>
    </font>
    <font>
      <sz val="11"/>
      <color indexed="52"/>
      <name val="Calibri"/>
      <family val="2"/>
    </font>
    <font>
      <sz val="11"/>
      <color indexed="60"/>
      <name val="Calibri"/>
      <family val="2"/>
    </font>
    <font>
      <sz val="18"/>
      <name val="P-AVGARD"/>
    </font>
    <font>
      <b/>
      <sz val="11"/>
      <color indexed="63"/>
      <name val="Calibri"/>
      <family val="2"/>
    </font>
    <font>
      <sz val="8"/>
      <name val="Helv"/>
    </font>
    <font>
      <vertAlign val="superscript"/>
      <sz val="12"/>
      <name val="Helv"/>
      <family val="2"/>
    </font>
    <font>
      <sz val="8"/>
      <name val="Helv"/>
      <family val="2"/>
    </font>
    <font>
      <b/>
      <sz val="12"/>
      <color indexed="30"/>
      <name val="Calibri"/>
      <family val="2"/>
    </font>
    <font>
      <b/>
      <sz val="18"/>
      <color indexed="56"/>
      <name val="Cambria"/>
      <family val="2"/>
    </font>
    <font>
      <b/>
      <sz val="14"/>
      <name val="Helv"/>
    </font>
    <font>
      <b/>
      <sz val="11"/>
      <color indexed="8"/>
      <name val="Calibri"/>
      <family val="2"/>
    </font>
    <font>
      <sz val="11"/>
      <color indexed="10"/>
      <name val="Calibri"/>
      <family val="2"/>
    </font>
    <font>
      <sz val="10"/>
      <color indexed="8"/>
      <name val="Arial"/>
      <family val="2"/>
    </font>
    <font>
      <sz val="8"/>
      <name val="Arial"/>
      <family val="2"/>
    </font>
    <font>
      <sz val="9"/>
      <name val="Calibri"/>
      <family val="2"/>
    </font>
    <font>
      <b/>
      <sz val="12"/>
      <name val="Arial"/>
      <family val="2"/>
    </font>
    <font>
      <b/>
      <sz val="11"/>
      <name val="Arial Narrow"/>
      <family val="2"/>
    </font>
    <font>
      <sz val="11"/>
      <name val="Arial Narrow"/>
      <family val="2"/>
    </font>
    <font>
      <vertAlign val="superscript"/>
      <sz val="11"/>
      <name val="Arial Narrow"/>
      <family val="2"/>
    </font>
    <font>
      <b/>
      <vertAlign val="superscript"/>
      <sz val="11"/>
      <name val="Arial Narrow"/>
      <family val="2"/>
    </font>
    <font>
      <b/>
      <sz val="9"/>
      <name val="Arial"/>
      <family val="2"/>
    </font>
    <font>
      <sz val="9"/>
      <name val="Arial"/>
      <family val="2"/>
    </font>
    <font>
      <vertAlign val="superscript"/>
      <sz val="9"/>
      <name val="Arial"/>
      <family val="2"/>
    </font>
    <font>
      <i/>
      <sz val="9"/>
      <name val="Arial"/>
      <family val="2"/>
    </font>
    <font>
      <sz val="10"/>
      <name val="Calibri"/>
      <family val="2"/>
    </font>
    <font>
      <sz val="9"/>
      <name val="Calibri"/>
      <family val="2"/>
    </font>
    <font>
      <b/>
      <sz val="12"/>
      <name val="Calibri"/>
      <family val="2"/>
    </font>
    <font>
      <b/>
      <sz val="9"/>
      <name val="Calibri"/>
      <family val="2"/>
    </font>
    <font>
      <b/>
      <sz val="14"/>
      <name val="Arial"/>
      <family val="2"/>
    </font>
    <font>
      <sz val="10"/>
      <color indexed="8"/>
      <name val="Verdana"/>
      <family val="2"/>
    </font>
    <font>
      <i/>
      <vertAlign val="superscript"/>
      <sz val="9"/>
      <name val="Arial"/>
      <family val="2"/>
    </font>
    <font>
      <sz val="10"/>
      <name val="Arial Narrow"/>
      <family val="2"/>
    </font>
    <font>
      <b/>
      <sz val="8"/>
      <color theme="0"/>
      <name val="Arial"/>
      <family val="2"/>
    </font>
    <font>
      <sz val="8"/>
      <color theme="1"/>
      <name val="Arial"/>
      <family val="2"/>
    </font>
    <font>
      <b/>
      <sz val="8"/>
      <name val="Arial"/>
      <family val="2"/>
    </font>
    <font>
      <b/>
      <sz val="11"/>
      <color rgb="FF403F41"/>
      <name val="Calibri"/>
      <family val="2"/>
      <scheme val="minor"/>
    </font>
    <font>
      <sz val="11"/>
      <color rgb="FF403F41"/>
      <name val="Calibri"/>
      <family val="2"/>
      <scheme val="minor"/>
    </font>
    <font>
      <sz val="8"/>
      <name val="Arial Narrow"/>
      <family val="2"/>
    </font>
    <font>
      <i/>
      <sz val="11"/>
      <color theme="1"/>
      <name val="Calibri"/>
      <family val="2"/>
      <scheme val="minor"/>
    </font>
    <font>
      <sz val="11"/>
      <color theme="1"/>
      <name val="Calibri"/>
      <family val="2"/>
    </font>
  </fonts>
  <fills count="45">
    <fill>
      <patternFill patternType="none"/>
    </fill>
    <fill>
      <patternFill patternType="gray125"/>
    </fill>
    <fill>
      <patternFill patternType="solid">
        <fgColor theme="0" tint="-0.249977111117893"/>
        <bgColor indexed="64"/>
      </patternFill>
    </fill>
    <fill>
      <patternFill patternType="solid">
        <fgColor rgb="FFFFFFCC"/>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rgb="FFFFFF00"/>
        <bgColor indexed="64"/>
      </patternFill>
    </fill>
    <fill>
      <patternFill patternType="solid">
        <fgColor theme="7" tint="-0.249977111117893"/>
        <bgColor indexed="64"/>
      </patternFill>
    </fill>
    <fill>
      <patternFill patternType="solid">
        <fgColor rgb="FFFFCC66"/>
        <bgColor indexed="64"/>
      </patternFill>
    </fill>
    <fill>
      <patternFill patternType="solid">
        <fgColor theme="3"/>
        <bgColor indexed="64"/>
      </patternFill>
    </fill>
    <fill>
      <patternFill patternType="solid">
        <fgColor theme="9" tint="0.39997558519241921"/>
        <bgColor indexed="64"/>
      </patternFill>
    </fill>
    <fill>
      <patternFill patternType="solid">
        <fgColor theme="3" tint="0.499984740745262"/>
        <bgColor indexed="64"/>
      </patternFill>
    </fill>
    <fill>
      <patternFill patternType="solid">
        <fgColor theme="5" tint="0.59999389629810485"/>
        <bgColor indexed="64"/>
      </patternFill>
    </fill>
    <fill>
      <patternFill patternType="solid">
        <fgColor theme="5" tint="0.39997558519241921"/>
        <bgColor indexed="64"/>
      </patternFill>
    </fill>
    <fill>
      <patternFill patternType="solid">
        <fgColor theme="0" tint="-4.9989318521683403E-2"/>
        <bgColor indexed="64"/>
      </patternFill>
    </fill>
    <fill>
      <patternFill patternType="solid">
        <fgColor theme="6" tint="0.39997558519241921"/>
        <bgColor indexed="64"/>
      </patternFill>
    </fill>
    <fill>
      <patternFill patternType="solid">
        <fgColor theme="7" tint="0.79998168889431442"/>
        <bgColor indexed="64"/>
      </patternFill>
    </fill>
    <fill>
      <patternFill patternType="solid">
        <fgColor theme="7" tint="0.59999389629810485"/>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theme="7" tint="0.39997558519241921"/>
        <bgColor indexed="64"/>
      </patternFill>
    </fill>
    <fill>
      <patternFill patternType="solid">
        <fgColor theme="0" tint="-0.14999847407452621"/>
        <bgColor indexed="64"/>
      </patternFill>
    </fill>
    <fill>
      <patternFill patternType="solid">
        <fgColor theme="5" tint="0.79998168889431442"/>
        <bgColor indexed="64"/>
      </patternFill>
    </fill>
  </fills>
  <borders count="23">
    <border>
      <left/>
      <right/>
      <top/>
      <bottom/>
      <diagonal/>
    </border>
    <border>
      <left/>
      <right/>
      <top/>
      <bottom style="medium">
        <color indexed="64"/>
      </bottom>
      <diagonal/>
    </border>
    <border>
      <left/>
      <right/>
      <top/>
      <bottom style="thin">
        <color indexed="64"/>
      </bottom>
      <diagonal/>
    </border>
    <border>
      <left/>
      <right/>
      <top style="medium">
        <color indexed="64"/>
      </top>
      <bottom/>
      <diagonal/>
    </border>
    <border>
      <left style="thin">
        <color rgb="FFB2B2B2"/>
      </left>
      <right style="thin">
        <color rgb="FFB2B2B2"/>
      </right>
      <top style="thin">
        <color rgb="FFB2B2B2"/>
      </top>
      <bottom style="thin">
        <color rgb="FFB2B2B2"/>
      </bottom>
      <diagonal/>
    </border>
    <border>
      <left/>
      <right/>
      <top/>
      <bottom style="dashed">
        <color rgb="FFBFBFBF"/>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n">
        <color indexed="22"/>
      </bottom>
      <diagonal/>
    </border>
    <border>
      <left/>
      <right/>
      <top style="medium">
        <color rgb="FF0096D7"/>
      </top>
      <bottom/>
      <diagonal/>
    </border>
    <border>
      <left/>
      <right/>
      <top/>
      <bottom style="thick">
        <color rgb="FF0096D7"/>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thin">
        <color rgb="FFBFBFBF"/>
      </bottom>
      <diagonal/>
    </border>
    <border>
      <left/>
      <right/>
      <top/>
      <bottom style="hair">
        <color indexed="8"/>
      </bottom>
      <diagonal/>
    </border>
    <border>
      <left/>
      <right/>
      <top style="thin">
        <color indexed="62"/>
      </top>
      <bottom style="double">
        <color indexed="62"/>
      </bottom>
      <diagonal/>
    </border>
    <border>
      <left/>
      <right/>
      <top style="medium">
        <color indexed="64"/>
      </top>
      <bottom style="thin">
        <color indexed="64"/>
      </bottom>
      <diagonal/>
    </border>
    <border>
      <left style="thin">
        <color auto="1"/>
      </left>
      <right/>
      <top/>
      <bottom/>
      <diagonal/>
    </border>
  </borders>
  <cellStyleXfs count="175">
    <xf numFmtId="0" fontId="0" fillId="0" borderId="0"/>
    <xf numFmtId="0" fontId="2" fillId="0" borderId="0" applyNumberFormat="0" applyFill="0" applyBorder="0" applyAlignment="0" applyProtection="0"/>
    <xf numFmtId="0" fontId="3" fillId="0" borderId="0"/>
    <xf numFmtId="0" fontId="4" fillId="0" borderId="0"/>
    <xf numFmtId="0" fontId="6" fillId="4" borderId="0" applyNumberFormat="0" applyBorder="0" applyAlignment="0" applyProtection="0"/>
    <xf numFmtId="0" fontId="6" fillId="5" borderId="0" applyNumberFormat="0" applyBorder="0" applyAlignment="0" applyProtection="0"/>
    <xf numFmtId="0" fontId="6" fillId="6" borderId="0" applyNumberFormat="0" applyBorder="0" applyAlignment="0" applyProtection="0"/>
    <xf numFmtId="0" fontId="6" fillId="7" borderId="0" applyNumberFormat="0" applyBorder="0" applyAlignment="0" applyProtection="0"/>
    <xf numFmtId="0" fontId="6" fillId="8" borderId="0" applyNumberFormat="0" applyBorder="0" applyAlignment="0" applyProtection="0"/>
    <xf numFmtId="0" fontId="6" fillId="9" borderId="0" applyNumberFormat="0" applyBorder="0" applyAlignment="0" applyProtection="0"/>
    <xf numFmtId="0" fontId="6" fillId="10" borderId="0" applyNumberFormat="0" applyBorder="0" applyAlignment="0" applyProtection="0"/>
    <xf numFmtId="0" fontId="6" fillId="11" borderId="0" applyNumberFormat="0" applyBorder="0" applyAlignment="0" applyProtection="0"/>
    <xf numFmtId="0" fontId="6" fillId="12" borderId="0" applyNumberFormat="0" applyBorder="0" applyAlignment="0" applyProtection="0"/>
    <xf numFmtId="0" fontId="6" fillId="7" borderId="0" applyNumberFormat="0" applyBorder="0" applyAlignment="0" applyProtection="0"/>
    <xf numFmtId="0" fontId="6" fillId="10" borderId="0" applyNumberFormat="0" applyBorder="0" applyAlignment="0" applyProtection="0"/>
    <xf numFmtId="0" fontId="6" fillId="13" borderId="0" applyNumberFormat="0" applyBorder="0" applyAlignment="0" applyProtection="0"/>
    <xf numFmtId="0" fontId="7" fillId="14" borderId="0" applyNumberFormat="0" applyBorder="0" applyAlignment="0" applyProtection="0"/>
    <xf numFmtId="0" fontId="7" fillId="11" borderId="0" applyNumberFormat="0" applyBorder="0" applyAlignment="0" applyProtection="0"/>
    <xf numFmtId="0" fontId="7" fillId="12" borderId="0" applyNumberFormat="0" applyBorder="0" applyAlignment="0" applyProtection="0"/>
    <xf numFmtId="0" fontId="7" fillId="15" borderId="0" applyNumberFormat="0" applyBorder="0" applyAlignment="0" applyProtection="0"/>
    <xf numFmtId="0" fontId="7" fillId="16" borderId="0" applyNumberFormat="0" applyBorder="0" applyAlignment="0" applyProtection="0"/>
    <xf numFmtId="0" fontId="7" fillId="17" borderId="0" applyNumberFormat="0" applyBorder="0" applyAlignment="0" applyProtection="0"/>
    <xf numFmtId="0" fontId="7" fillId="18" borderId="0" applyNumberFormat="0" applyBorder="0" applyAlignment="0" applyProtection="0"/>
    <xf numFmtId="0" fontId="7" fillId="19" borderId="0" applyNumberFormat="0" applyBorder="0" applyAlignment="0" applyProtection="0"/>
    <xf numFmtId="0" fontId="7" fillId="20" borderId="0" applyNumberFormat="0" applyBorder="0" applyAlignment="0" applyProtection="0"/>
    <xf numFmtId="0" fontId="7" fillId="15" borderId="0" applyNumberFormat="0" applyBorder="0" applyAlignment="0" applyProtection="0"/>
    <xf numFmtId="0" fontId="7" fillId="16" borderId="0" applyNumberFormat="0" applyBorder="0" applyAlignment="0" applyProtection="0"/>
    <xf numFmtId="0" fontId="7" fillId="21" borderId="0" applyNumberFormat="0" applyBorder="0" applyAlignment="0" applyProtection="0"/>
    <xf numFmtId="0" fontId="8" fillId="5" borderId="0" applyNumberFormat="0" applyBorder="0" applyAlignment="0" applyProtection="0"/>
    <xf numFmtId="0" fontId="9" fillId="0" borderId="5" applyNumberFormat="0" applyFont="0" applyProtection="0">
      <alignment wrapText="1"/>
    </xf>
    <xf numFmtId="0" fontId="9" fillId="0" borderId="5" applyNumberFormat="0" applyFont="0" applyProtection="0">
      <alignment wrapText="1"/>
    </xf>
    <xf numFmtId="0" fontId="10" fillId="22" borderId="6" applyNumberFormat="0" applyAlignment="0" applyProtection="0"/>
    <xf numFmtId="0" fontId="11" fillId="23" borderId="7" applyNumberFormat="0" applyAlignment="0" applyProtection="0"/>
    <xf numFmtId="0" fontId="12" fillId="0" borderId="0">
      <alignment horizontal="center" vertical="center" wrapText="1"/>
    </xf>
    <xf numFmtId="43" fontId="3" fillId="0" borderId="0" applyFont="0" applyFill="0" applyBorder="0" applyAlignment="0" applyProtection="0"/>
    <xf numFmtId="43" fontId="5" fillId="0" borderId="0" applyFont="0" applyFill="0" applyBorder="0" applyAlignment="0" applyProtection="0"/>
    <xf numFmtId="43" fontId="6" fillId="0" borderId="0" applyFont="0" applyFill="0" applyBorder="0" applyAlignment="0" applyProtection="0"/>
    <xf numFmtId="43" fontId="3"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0" fontId="13" fillId="0" borderId="0">
      <alignment horizontal="left" vertical="center" wrapText="1"/>
    </xf>
    <xf numFmtId="44" fontId="5" fillId="0" borderId="0" applyFont="0" applyFill="0" applyBorder="0" applyAlignment="0" applyProtection="0"/>
    <xf numFmtId="44" fontId="5" fillId="0" borderId="0" applyFont="0" applyFill="0" applyBorder="0" applyAlignment="0" applyProtection="0"/>
    <xf numFmtId="44" fontId="3" fillId="0" borderId="0" applyFont="0" applyFill="0" applyBorder="0" applyAlignment="0" applyProtection="0"/>
    <xf numFmtId="167" fontId="14" fillId="0" borderId="8" applyNumberFormat="0" applyFill="0">
      <alignment horizontal="right"/>
    </xf>
    <xf numFmtId="167" fontId="15" fillId="0" borderId="8" applyNumberFormat="0" applyFill="0">
      <alignment horizontal="right"/>
    </xf>
    <xf numFmtId="168" fontId="16" fillId="0" borderId="8">
      <alignment horizontal="right" vertical="center"/>
    </xf>
    <xf numFmtId="49" fontId="17" fillId="0" borderId="8">
      <alignment horizontal="left" vertical="center"/>
    </xf>
    <xf numFmtId="167" fontId="14" fillId="0" borderId="8" applyNumberFormat="0" applyFill="0">
      <alignment horizontal="right"/>
    </xf>
    <xf numFmtId="0" fontId="18" fillId="0" borderId="0" applyNumberFormat="0" applyFill="0" applyBorder="0" applyAlignment="0" applyProtection="0"/>
    <xf numFmtId="0" fontId="9" fillId="0" borderId="0" applyNumberFormat="0" applyFill="0" applyBorder="0" applyAlignment="0" applyProtection="0"/>
    <xf numFmtId="0" fontId="9" fillId="0" borderId="0" applyNumberFormat="0" applyFill="0" applyBorder="0" applyAlignment="0" applyProtection="0"/>
    <xf numFmtId="0" fontId="9" fillId="0" borderId="9" applyNumberFormat="0" applyProtection="0">
      <alignment wrapText="1"/>
    </xf>
    <xf numFmtId="0" fontId="9" fillId="0" borderId="9" applyNumberFormat="0" applyProtection="0">
      <alignment wrapText="1"/>
    </xf>
    <xf numFmtId="0" fontId="19" fillId="6" borderId="0" applyNumberFormat="0" applyBorder="0" applyAlignment="0" applyProtection="0"/>
    <xf numFmtId="0" fontId="20" fillId="0" borderId="10" applyNumberFormat="0" applyProtection="0">
      <alignment wrapText="1"/>
    </xf>
    <xf numFmtId="0" fontId="20" fillId="0" borderId="10" applyNumberFormat="0" applyProtection="0">
      <alignment wrapText="1"/>
    </xf>
    <xf numFmtId="0" fontId="21" fillId="0" borderId="11" applyNumberFormat="0" applyFill="0" applyAlignment="0" applyProtection="0"/>
    <xf numFmtId="0" fontId="22" fillId="0" borderId="12" applyNumberFormat="0" applyFill="0" applyAlignment="0" applyProtection="0"/>
    <xf numFmtId="0" fontId="23" fillId="0" borderId="13" applyNumberFormat="0" applyFill="0" applyAlignment="0" applyProtection="0"/>
    <xf numFmtId="0" fontId="23" fillId="0" borderId="0" applyNumberFormat="0" applyFill="0" applyBorder="0" applyAlignment="0" applyProtection="0"/>
    <xf numFmtId="0" fontId="24" fillId="0" borderId="8">
      <alignment horizontal="left"/>
    </xf>
    <xf numFmtId="0" fontId="25" fillId="0" borderId="8">
      <alignment horizontal="left"/>
    </xf>
    <xf numFmtId="0" fontId="26" fillId="0" borderId="14">
      <alignment horizontal="right" vertical="center"/>
    </xf>
    <xf numFmtId="0" fontId="27" fillId="0" borderId="8">
      <alignment horizontal="left" vertical="center"/>
    </xf>
    <xf numFmtId="0" fontId="14" fillId="0" borderId="8">
      <alignment horizontal="left" vertical="center"/>
    </xf>
    <xf numFmtId="0" fontId="24" fillId="0" borderId="8">
      <alignment horizontal="left"/>
    </xf>
    <xf numFmtId="0" fontId="24" fillId="24" borderId="0">
      <alignment horizontal="centerContinuous" wrapText="1"/>
    </xf>
    <xf numFmtId="49" fontId="24" fillId="24" borderId="2">
      <alignment horizontal="left" vertical="center"/>
    </xf>
    <xf numFmtId="0" fontId="24" fillId="24" borderId="0">
      <alignment horizontal="centerContinuous" vertical="center" wrapText="1"/>
    </xf>
    <xf numFmtId="0" fontId="28" fillId="0" borderId="0" applyNumberFormat="0" applyFill="0" applyBorder="0" applyAlignment="0" applyProtection="0">
      <alignment vertical="top"/>
      <protection locked="0"/>
    </xf>
    <xf numFmtId="0" fontId="29" fillId="9" borderId="6" applyNumberFormat="0" applyAlignment="0" applyProtection="0"/>
    <xf numFmtId="0" fontId="30" fillId="0" borderId="15" applyNumberFormat="0" applyFill="0" applyAlignment="0" applyProtection="0"/>
    <xf numFmtId="0" fontId="31" fillId="25" borderId="0" applyNumberFormat="0" applyBorder="0" applyAlignment="0" applyProtection="0"/>
    <xf numFmtId="0" fontId="5" fillId="0" borderId="0"/>
    <xf numFmtId="0" fontId="5" fillId="0" borderId="0"/>
    <xf numFmtId="0" fontId="3" fillId="0" borderId="0"/>
    <xf numFmtId="0" fontId="32" fillId="0" borderId="0"/>
    <xf numFmtId="0" fontId="3"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 fillId="0" borderId="0"/>
    <xf numFmtId="0" fontId="3" fillId="0" borderId="0"/>
    <xf numFmtId="0" fontId="5" fillId="0" borderId="0"/>
    <xf numFmtId="0" fontId="5" fillId="0" borderId="0"/>
    <xf numFmtId="0" fontId="5" fillId="0" borderId="0"/>
    <xf numFmtId="0" fontId="3" fillId="0" borderId="0"/>
    <xf numFmtId="0" fontId="5" fillId="3" borderId="4" applyNumberFormat="0" applyFont="0" applyAlignment="0" applyProtection="0"/>
    <xf numFmtId="0" fontId="3" fillId="26" borderId="16" applyNumberFormat="0" applyFont="0" applyAlignment="0" applyProtection="0"/>
    <xf numFmtId="0" fontId="33" fillId="22" borderId="17" applyNumberFormat="0" applyAlignment="0" applyProtection="0"/>
    <xf numFmtId="0" fontId="20" fillId="0" borderId="18" applyNumberFormat="0" applyProtection="0">
      <alignment wrapText="1"/>
    </xf>
    <xf numFmtId="0" fontId="20" fillId="0" borderId="18" applyNumberFormat="0" applyProtection="0">
      <alignment wrapText="1"/>
    </xf>
    <xf numFmtId="9" fontId="5" fillId="0" borderId="0" applyFont="0" applyFill="0" applyBorder="0" applyAlignment="0" applyProtection="0"/>
    <xf numFmtId="9" fontId="5"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5" fillId="0" borderId="0" applyFont="0" applyFill="0" applyBorder="0" applyAlignment="0" applyProtection="0"/>
    <xf numFmtId="3" fontId="16" fillId="0" borderId="0">
      <alignment horizontal="left" vertical="center"/>
    </xf>
    <xf numFmtId="0" fontId="12" fillId="0" borderId="0">
      <alignment horizontal="left" vertical="center"/>
    </xf>
    <xf numFmtId="0" fontId="34" fillId="0" borderId="0">
      <alignment horizontal="right"/>
    </xf>
    <xf numFmtId="49" fontId="34" fillId="0" borderId="0">
      <alignment horizontal="center"/>
    </xf>
    <xf numFmtId="0" fontId="17" fillId="0" borderId="0">
      <alignment horizontal="right"/>
    </xf>
    <xf numFmtId="0" fontId="35" fillId="0" borderId="0">
      <alignment horizontal="right"/>
    </xf>
    <xf numFmtId="0" fontId="34" fillId="0" borderId="0">
      <alignment horizontal="left"/>
    </xf>
    <xf numFmtId="0" fontId="36" fillId="0" borderId="0">
      <alignment horizontal="left"/>
    </xf>
    <xf numFmtId="49" fontId="16" fillId="0" borderId="0">
      <alignment horizontal="left" vertical="center"/>
    </xf>
    <xf numFmtId="49" fontId="17" fillId="0" borderId="8">
      <alignment horizontal="left"/>
    </xf>
    <xf numFmtId="167" fontId="16" fillId="0" borderId="0" applyNumberFormat="0">
      <alignment horizontal="right"/>
    </xf>
    <xf numFmtId="0" fontId="26" fillId="27" borderId="0">
      <alignment horizontal="centerContinuous" vertical="center" wrapText="1"/>
    </xf>
    <xf numFmtId="0" fontId="26" fillId="0" borderId="19">
      <alignment horizontal="left" vertical="center"/>
    </xf>
    <xf numFmtId="0" fontId="37" fillId="0" borderId="0" applyNumberFormat="0" applyProtection="0">
      <alignment horizontal="left"/>
    </xf>
    <xf numFmtId="0" fontId="37" fillId="0" borderId="0" applyNumberFormat="0" applyProtection="0">
      <alignment horizontal="left"/>
    </xf>
    <xf numFmtId="0" fontId="38" fillId="0" borderId="0" applyNumberFormat="0" applyFill="0" applyBorder="0" applyAlignment="0" applyProtection="0"/>
    <xf numFmtId="0" fontId="24" fillId="0" borderId="0">
      <alignment horizontal="left"/>
    </xf>
    <xf numFmtId="0" fontId="13" fillId="0" borderId="0">
      <alignment horizontal="left"/>
    </xf>
    <xf numFmtId="0" fontId="14" fillId="0" borderId="0">
      <alignment horizontal="left"/>
    </xf>
    <xf numFmtId="0" fontId="39" fillId="0" borderId="0">
      <alignment horizontal="left" vertical="top"/>
    </xf>
    <xf numFmtId="0" fontId="13" fillId="0" borderId="0">
      <alignment horizontal="left"/>
    </xf>
    <xf numFmtId="0" fontId="14" fillId="0" borderId="0">
      <alignment horizontal="left"/>
    </xf>
    <xf numFmtId="0" fontId="40" fillId="0" borderId="20" applyNumberFormat="0" applyFill="0" applyAlignment="0" applyProtection="0"/>
    <xf numFmtId="0" fontId="41" fillId="0" borderId="0" applyNumberFormat="0" applyFill="0" applyBorder="0" applyAlignment="0" applyProtection="0"/>
    <xf numFmtId="49" fontId="16" fillId="0" borderId="8">
      <alignment horizontal="left"/>
    </xf>
    <xf numFmtId="0" fontId="26" fillId="0" borderId="14">
      <alignment horizontal="left"/>
    </xf>
    <xf numFmtId="0" fontId="24" fillId="0" borderId="0">
      <alignment horizontal="left" vertical="center"/>
    </xf>
    <xf numFmtId="49" fontId="34" fillId="0" borderId="8">
      <alignment horizontal="left"/>
    </xf>
    <xf numFmtId="0" fontId="9" fillId="0" borderId="0"/>
    <xf numFmtId="0" fontId="9" fillId="0" borderId="5">
      <alignment wrapText="1"/>
    </xf>
    <xf numFmtId="0" fontId="9" fillId="0" borderId="0"/>
    <xf numFmtId="0" fontId="9" fillId="0" borderId="9">
      <alignment wrapText="1"/>
    </xf>
    <xf numFmtId="0" fontId="20" fillId="0" borderId="10">
      <alignment wrapText="1"/>
    </xf>
    <xf numFmtId="0" fontId="20" fillId="0" borderId="18">
      <alignment wrapText="1"/>
    </xf>
    <xf numFmtId="0" fontId="37" fillId="0" borderId="0">
      <alignment horizontal="left"/>
    </xf>
    <xf numFmtId="0" fontId="9" fillId="0" borderId="0"/>
    <xf numFmtId="0" fontId="9" fillId="0" borderId="0"/>
    <xf numFmtId="0" fontId="9" fillId="0" borderId="5">
      <alignment wrapText="1"/>
    </xf>
    <xf numFmtId="0" fontId="9" fillId="0" borderId="0"/>
    <xf numFmtId="0" fontId="9" fillId="0" borderId="9">
      <alignment wrapText="1"/>
    </xf>
    <xf numFmtId="0" fontId="20" fillId="0" borderId="10">
      <alignment wrapText="1"/>
    </xf>
    <xf numFmtId="0" fontId="20" fillId="0" borderId="18">
      <alignment wrapText="1"/>
    </xf>
    <xf numFmtId="0" fontId="37" fillId="0" borderId="0">
      <alignment horizontal="left"/>
    </xf>
    <xf numFmtId="0" fontId="24" fillId="0" borderId="8">
      <alignment horizontal="left" vertical="center"/>
    </xf>
    <xf numFmtId="3" fontId="34" fillId="0" borderId="8">
      <alignment horizontal="right" vertical="center"/>
    </xf>
    <xf numFmtId="0" fontId="59" fillId="0" borderId="0" applyNumberFormat="0">
      <alignment readingOrder="1"/>
      <protection locked="0"/>
    </xf>
    <xf numFmtId="43" fontId="5" fillId="0" borderId="0" applyFont="0" applyFill="0" applyBorder="0" applyAlignment="0" applyProtection="0"/>
    <xf numFmtId="9" fontId="5" fillId="0" borderId="0" applyFont="0" applyFill="0" applyBorder="0" applyAlignment="0" applyProtection="0"/>
    <xf numFmtId="43" fontId="3" fillId="0" borderId="0"/>
  </cellStyleXfs>
  <cellXfs count="294">
    <xf numFmtId="0" fontId="0" fillId="0" borderId="0" xfId="0"/>
    <xf numFmtId="0" fontId="1" fillId="0" borderId="0" xfId="0" applyFont="1"/>
    <xf numFmtId="0" fontId="0" fillId="0" borderId="0" xfId="0" applyAlignment="1">
      <alignment horizontal="left"/>
    </xf>
    <xf numFmtId="0" fontId="2" fillId="0" borderId="0" xfId="1"/>
    <xf numFmtId="0" fontId="1" fillId="2" borderId="0" xfId="0" applyFont="1" applyFill="1"/>
    <xf numFmtId="0" fontId="1" fillId="0" borderId="0" xfId="0" applyFont="1" applyAlignment="1">
      <alignment horizontal="right"/>
    </xf>
    <xf numFmtId="1" fontId="0" fillId="0" borderId="0" xfId="0" applyNumberFormat="1"/>
    <xf numFmtId="3" fontId="0" fillId="0" borderId="0" xfId="0" applyNumberFormat="1" applyAlignment="1">
      <alignment horizontal="left"/>
    </xf>
    <xf numFmtId="0" fontId="1" fillId="0" borderId="0" xfId="0" applyFont="1" applyAlignment="1">
      <alignment wrapText="1"/>
    </xf>
    <xf numFmtId="3" fontId="0" fillId="0" borderId="0" xfId="0" applyNumberFormat="1"/>
    <xf numFmtId="0" fontId="1" fillId="2" borderId="0" xfId="0" applyFont="1" applyFill="1" applyAlignment="1">
      <alignment horizontal="left"/>
    </xf>
    <xf numFmtId="0" fontId="43" fillId="0" borderId="0" xfId="0" applyFont="1"/>
    <xf numFmtId="0" fontId="44" fillId="0" borderId="0" xfId="0" applyFont="1"/>
    <xf numFmtId="2" fontId="0" fillId="0" borderId="0" xfId="0" applyNumberFormat="1"/>
    <xf numFmtId="165" fontId="0" fillId="0" borderId="0" xfId="0" applyNumberFormat="1"/>
    <xf numFmtId="0" fontId="3" fillId="0" borderId="0" xfId="0" applyFont="1" applyProtection="1">
      <protection locked="0"/>
    </xf>
    <xf numFmtId="0" fontId="46" fillId="0" borderId="21" xfId="0" applyFont="1" applyBorder="1" applyAlignment="1" applyProtection="1">
      <alignment horizontal="center"/>
      <protection locked="0"/>
    </xf>
    <xf numFmtId="0" fontId="46" fillId="0" borderId="21" xfId="64" applyFont="1" applyBorder="1" applyAlignment="1" applyProtection="1">
      <alignment horizontal="center"/>
      <protection locked="0"/>
    </xf>
    <xf numFmtId="1" fontId="46" fillId="0" borderId="21" xfId="0" applyNumberFormat="1" applyFont="1" applyBorder="1" applyAlignment="1" applyProtection="1">
      <alignment horizontal="center"/>
      <protection locked="0"/>
    </xf>
    <xf numFmtId="3" fontId="46" fillId="0" borderId="0" xfId="47" applyNumberFormat="1" applyFont="1" applyFill="1" applyBorder="1" applyAlignment="1" applyProtection="1">
      <alignment horizontal="left"/>
      <protection locked="0"/>
    </xf>
    <xf numFmtId="3" fontId="46" fillId="0" borderId="0" xfId="47" applyNumberFormat="1" applyFont="1" applyFill="1" applyBorder="1" applyProtection="1">
      <alignment horizontal="right"/>
      <protection locked="0"/>
    </xf>
    <xf numFmtId="169" fontId="46" fillId="0" borderId="0" xfId="0" applyNumberFormat="1" applyFont="1" applyAlignment="1" applyProtection="1">
      <alignment horizontal="right"/>
      <protection locked="0"/>
    </xf>
    <xf numFmtId="3" fontId="46" fillId="0" borderId="0" xfId="0" applyNumberFormat="1" applyFont="1" applyAlignment="1" applyProtection="1">
      <alignment horizontal="right"/>
      <protection locked="0"/>
    </xf>
    <xf numFmtId="3" fontId="47" fillId="0" borderId="0" xfId="0" applyNumberFormat="1" applyFont="1" applyProtection="1">
      <protection locked="0"/>
    </xf>
    <xf numFmtId="3" fontId="47" fillId="0" borderId="0" xfId="0" applyNumberFormat="1" applyFont="1" applyAlignment="1" applyProtection="1">
      <alignment horizontal="right"/>
      <protection locked="0"/>
    </xf>
    <xf numFmtId="0" fontId="46" fillId="0" borderId="0" xfId="0" applyFont="1" applyProtection="1">
      <protection locked="0"/>
    </xf>
    <xf numFmtId="0" fontId="46" fillId="0" borderId="0" xfId="0" applyFont="1" applyAlignment="1" applyProtection="1">
      <alignment horizontal="left"/>
      <protection locked="0"/>
    </xf>
    <xf numFmtId="3" fontId="46" fillId="0" borderId="1" xfId="0" applyNumberFormat="1" applyFont="1" applyBorder="1" applyAlignment="1" applyProtection="1">
      <alignment horizontal="right"/>
      <protection locked="0"/>
    </xf>
    <xf numFmtId="0" fontId="51" fillId="0" borderId="0" xfId="0" applyFont="1" applyProtection="1">
      <protection locked="0"/>
    </xf>
    <xf numFmtId="0" fontId="9" fillId="0" borderId="0" xfId="154"/>
    <xf numFmtId="0" fontId="43" fillId="0" borderId="0" xfId="154" applyFont="1"/>
    <xf numFmtId="0" fontId="44" fillId="0" borderId="0" xfId="154" applyFont="1"/>
    <xf numFmtId="0" fontId="9" fillId="0" borderId="9" xfId="154" applyBorder="1"/>
    <xf numFmtId="0" fontId="47" fillId="0" borderId="2" xfId="0" applyFont="1" applyBorder="1" applyAlignment="1">
      <alignment horizontal="center"/>
    </xf>
    <xf numFmtId="0" fontId="9" fillId="0" borderId="0" xfId="164"/>
    <xf numFmtId="0" fontId="20" fillId="0" borderId="10" xfId="166">
      <alignment wrapText="1"/>
    </xf>
    <xf numFmtId="0" fontId="42" fillId="0" borderId="0" xfId="162" applyFont="1"/>
    <xf numFmtId="0" fontId="57" fillId="0" borderId="0" xfId="154" applyFont="1" applyAlignment="1">
      <alignment horizontal="right"/>
    </xf>
    <xf numFmtId="0" fontId="44" fillId="0" borderId="0" xfId="154" applyFont="1" applyAlignment="1">
      <alignment horizontal="left"/>
    </xf>
    <xf numFmtId="0" fontId="57" fillId="0" borderId="10" xfId="158" applyFont="1" applyAlignment="1">
      <alignment horizontal="right"/>
    </xf>
    <xf numFmtId="0" fontId="54" fillId="0" borderId="0" xfId="162" applyFont="1"/>
    <xf numFmtId="166" fontId="44" fillId="0" borderId="5" xfId="163" applyNumberFormat="1" applyFont="1" applyAlignment="1">
      <alignment horizontal="right" wrapText="1"/>
    </xf>
    <xf numFmtId="0" fontId="46" fillId="0" borderId="2" xfId="63" applyFont="1" applyBorder="1" applyAlignment="1">
      <alignment horizontal="center"/>
    </xf>
    <xf numFmtId="0" fontId="44" fillId="0" borderId="5" xfId="163" applyFont="1">
      <alignment wrapText="1"/>
    </xf>
    <xf numFmtId="164" fontId="44" fillId="0" borderId="5" xfId="163" applyNumberFormat="1" applyFont="1" applyAlignment="1">
      <alignment horizontal="right" wrapText="1"/>
    </xf>
    <xf numFmtId="0" fontId="56" fillId="0" borderId="0" xfId="168" applyFont="1">
      <alignment horizontal="left"/>
    </xf>
    <xf numFmtId="0" fontId="44" fillId="0" borderId="0" xfId="164" applyFont="1"/>
    <xf numFmtId="0" fontId="57" fillId="0" borderId="10" xfId="166" applyFont="1">
      <alignment wrapText="1"/>
    </xf>
    <xf numFmtId="0" fontId="57" fillId="0" borderId="10" xfId="166" applyFont="1" applyAlignment="1">
      <alignment horizontal="right"/>
    </xf>
    <xf numFmtId="0" fontId="57" fillId="0" borderId="18" xfId="167" applyFont="1">
      <alignment wrapText="1"/>
    </xf>
    <xf numFmtId="166" fontId="57" fillId="0" borderId="18" xfId="167" applyNumberFormat="1" applyFont="1" applyAlignment="1">
      <alignment horizontal="right" wrapText="1"/>
    </xf>
    <xf numFmtId="4" fontId="44" fillId="0" borderId="5" xfId="163" applyNumberFormat="1" applyFont="1" applyAlignment="1">
      <alignment horizontal="right" wrapText="1"/>
    </xf>
    <xf numFmtId="4" fontId="57" fillId="0" borderId="18" xfId="167" applyNumberFormat="1" applyFont="1" applyAlignment="1">
      <alignment horizontal="right" wrapText="1"/>
    </xf>
    <xf numFmtId="164" fontId="57" fillId="0" borderId="18" xfId="167" applyNumberFormat="1" applyFont="1" applyAlignment="1">
      <alignment horizontal="right" wrapText="1"/>
    </xf>
    <xf numFmtId="0" fontId="3" fillId="0" borderId="0" xfId="0" applyFont="1"/>
    <xf numFmtId="0" fontId="46" fillId="0" borderId="21" xfId="0" applyFont="1" applyBorder="1" applyAlignment="1">
      <alignment horizontal="center"/>
    </xf>
    <xf numFmtId="0" fontId="46" fillId="0" borderId="0" xfId="169" quotePrefix="1" applyFont="1" applyBorder="1" applyAlignment="1">
      <alignment horizontal="left"/>
    </xf>
    <xf numFmtId="3" fontId="47" fillId="0" borderId="0" xfId="170" applyFont="1" applyBorder="1" applyAlignment="1">
      <alignment horizontal="right"/>
    </xf>
    <xf numFmtId="3" fontId="47" fillId="0" borderId="0" xfId="0" applyNumberFormat="1" applyFont="1"/>
    <xf numFmtId="0" fontId="46" fillId="0" borderId="0" xfId="0" applyFont="1"/>
    <xf numFmtId="0" fontId="47" fillId="0" borderId="0" xfId="0" applyFont="1"/>
    <xf numFmtId="3" fontId="47" fillId="0" borderId="0" xfId="171" applyNumberFormat="1" applyFont="1" applyAlignment="1">
      <alignment horizontal="right" readingOrder="1"/>
      <protection locked="0"/>
    </xf>
    <xf numFmtId="3" fontId="46" fillId="0" borderId="0" xfId="171" applyNumberFormat="1" applyFont="1" applyAlignment="1">
      <alignment horizontal="right" readingOrder="1"/>
      <protection locked="0"/>
    </xf>
    <xf numFmtId="3" fontId="46" fillId="0" borderId="0" xfId="170" applyFont="1" applyBorder="1" applyAlignment="1">
      <alignment horizontal="right"/>
    </xf>
    <xf numFmtId="0" fontId="46" fillId="0" borderId="0" xfId="169" applyFont="1" applyBorder="1" applyAlignment="1">
      <alignment horizontal="left"/>
    </xf>
    <xf numFmtId="3" fontId="47" fillId="0" borderId="0" xfId="0" applyNumberFormat="1" applyFont="1" applyAlignment="1">
      <alignment horizontal="right"/>
    </xf>
    <xf numFmtId="3" fontId="47" fillId="0" borderId="0" xfId="169" applyNumberFormat="1" applyFont="1" applyBorder="1" applyAlignment="1">
      <alignment horizontal="right"/>
    </xf>
    <xf numFmtId="170" fontId="47" fillId="0" borderId="0" xfId="0" applyNumberFormat="1" applyFont="1"/>
    <xf numFmtId="3" fontId="47" fillId="0" borderId="1" xfId="169" applyNumberFormat="1" applyFont="1" applyBorder="1" applyAlignment="1">
      <alignment horizontal="right"/>
    </xf>
    <xf numFmtId="3" fontId="47" fillId="0" borderId="1" xfId="170" applyFont="1" applyBorder="1" applyAlignment="1">
      <alignment horizontal="right"/>
    </xf>
    <xf numFmtId="3" fontId="47" fillId="0" borderId="1" xfId="0" applyNumberFormat="1" applyFont="1" applyBorder="1"/>
    <xf numFmtId="3" fontId="51" fillId="0" borderId="0" xfId="0" applyNumberFormat="1" applyFont="1" applyAlignment="1">
      <alignment horizontal="left" vertical="center"/>
    </xf>
    <xf numFmtId="0" fontId="51" fillId="0" borderId="0" xfId="0" applyFont="1" applyAlignment="1">
      <alignment vertical="center"/>
    </xf>
    <xf numFmtId="0" fontId="51" fillId="0" borderId="0" xfId="0" applyFont="1"/>
    <xf numFmtId="0" fontId="51" fillId="0" borderId="0" xfId="0" applyFont="1" applyAlignment="1">
      <alignment horizontal="left"/>
    </xf>
    <xf numFmtId="0" fontId="51" fillId="0" borderId="0" xfId="0" applyFont="1" applyAlignment="1">
      <alignment horizontal="left" vertical="center"/>
    </xf>
    <xf numFmtId="0" fontId="43" fillId="0" borderId="0" xfId="0" applyFont="1" applyAlignment="1">
      <alignment horizontal="left"/>
    </xf>
    <xf numFmtId="0" fontId="61" fillId="0" borderId="0" xfId="0" applyFont="1"/>
    <xf numFmtId="0" fontId="44" fillId="0" borderId="0" xfId="0" applyFont="1" applyAlignment="1">
      <alignment horizontal="left"/>
    </xf>
    <xf numFmtId="0" fontId="0" fillId="0" borderId="9" xfId="0" applyBorder="1"/>
    <xf numFmtId="0" fontId="57" fillId="0" borderId="0" xfId="0" applyFont="1" applyAlignment="1">
      <alignment horizontal="right"/>
    </xf>
    <xf numFmtId="0" fontId="62" fillId="29" borderId="0" xfId="0" applyFont="1" applyFill="1" applyAlignment="1">
      <alignment wrapText="1"/>
    </xf>
    <xf numFmtId="3" fontId="62" fillId="30" borderId="0" xfId="0" applyNumberFormat="1" applyFont="1" applyFill="1" applyAlignment="1">
      <alignment wrapText="1"/>
    </xf>
    <xf numFmtId="0" fontId="62" fillId="30" borderId="0" xfId="0" applyFont="1" applyFill="1" applyAlignment="1">
      <alignment wrapText="1"/>
    </xf>
    <xf numFmtId="171" fontId="62" fillId="29" borderId="0" xfId="172" applyNumberFormat="1" applyFont="1" applyFill="1" applyBorder="1" applyAlignment="1">
      <alignment wrapText="1"/>
    </xf>
    <xf numFmtId="37" fontId="62" fillId="29" borderId="0" xfId="172" applyNumberFormat="1" applyFont="1" applyFill="1" applyBorder="1" applyAlignment="1">
      <alignment wrapText="1"/>
    </xf>
    <xf numFmtId="37" fontId="62" fillId="30" borderId="0" xfId="172" applyNumberFormat="1" applyFont="1" applyFill="1" applyBorder="1" applyAlignment="1">
      <alignment wrapText="1"/>
    </xf>
    <xf numFmtId="3" fontId="62" fillId="29" borderId="0" xfId="0" applyNumberFormat="1" applyFont="1" applyFill="1" applyAlignment="1">
      <alignment wrapText="1"/>
    </xf>
    <xf numFmtId="164" fontId="62" fillId="29" borderId="0" xfId="0" applyNumberFormat="1" applyFont="1" applyFill="1" applyAlignment="1">
      <alignment wrapText="1"/>
    </xf>
    <xf numFmtId="0" fontId="63" fillId="0" borderId="0" xfId="0" applyFont="1"/>
    <xf numFmtId="172" fontId="63" fillId="0" borderId="0" xfId="0" applyNumberFormat="1" applyFont="1" applyAlignment="1">
      <alignment horizontal="left"/>
    </xf>
    <xf numFmtId="173" fontId="63" fillId="0" borderId="0" xfId="0" applyNumberFormat="1" applyFont="1" applyAlignment="1">
      <alignment horizontal="left"/>
    </xf>
    <xf numFmtId="37" fontId="63" fillId="0" borderId="0" xfId="172" applyNumberFormat="1" applyFont="1"/>
    <xf numFmtId="171" fontId="63" fillId="0" borderId="0" xfId="172" applyNumberFormat="1" applyFont="1"/>
    <xf numFmtId="3" fontId="63" fillId="0" borderId="0" xfId="0" applyNumberFormat="1" applyFont="1"/>
    <xf numFmtId="3" fontId="63" fillId="30" borderId="0" xfId="172" applyNumberFormat="1" applyFont="1" applyFill="1"/>
    <xf numFmtId="43" fontId="63" fillId="0" borderId="0" xfId="172" applyFont="1"/>
    <xf numFmtId="37" fontId="63" fillId="30" borderId="0" xfId="172" applyNumberFormat="1" applyFont="1" applyFill="1"/>
    <xf numFmtId="37" fontId="63" fillId="0" borderId="0" xfId="172" applyNumberFormat="1" applyFont="1" applyBorder="1"/>
    <xf numFmtId="164" fontId="63" fillId="0" borderId="0" xfId="0" applyNumberFormat="1" applyFont="1"/>
    <xf numFmtId="3" fontId="0" fillId="30" borderId="0" xfId="0" applyNumberFormat="1" applyFill="1"/>
    <xf numFmtId="0" fontId="0" fillId="30" borderId="0" xfId="0" applyFill="1"/>
    <xf numFmtId="0" fontId="62" fillId="31" borderId="0" xfId="2" applyFont="1" applyFill="1"/>
    <xf numFmtId="0" fontId="62" fillId="31" borderId="0" xfId="2" applyFont="1" applyFill="1" applyAlignment="1">
      <alignment horizontal="left" wrapText="1"/>
    </xf>
    <xf numFmtId="172" fontId="62" fillId="31" borderId="0" xfId="2" applyNumberFormat="1" applyFont="1" applyFill="1" applyAlignment="1">
      <alignment horizontal="left" wrapText="1"/>
    </xf>
    <xf numFmtId="173" fontId="62" fillId="31" borderId="0" xfId="2" applyNumberFormat="1" applyFont="1" applyFill="1" applyAlignment="1">
      <alignment horizontal="left" wrapText="1"/>
    </xf>
    <xf numFmtId="0" fontId="62" fillId="31" borderId="0" xfId="2" applyFont="1" applyFill="1" applyAlignment="1">
      <alignment wrapText="1"/>
    </xf>
    <xf numFmtId="3" fontId="62" fillId="31" borderId="0" xfId="2" applyNumberFormat="1" applyFont="1" applyFill="1" applyAlignment="1">
      <alignment wrapText="1"/>
    </xf>
    <xf numFmtId="3" fontId="64" fillId="28" borderId="22" xfId="2" applyNumberFormat="1" applyFont="1" applyFill="1" applyBorder="1" applyAlignment="1">
      <alignment wrapText="1"/>
    </xf>
    <xf numFmtId="3" fontId="64" fillId="28" borderId="0" xfId="2" applyNumberFormat="1" applyFont="1" applyFill="1" applyAlignment="1">
      <alignment wrapText="1"/>
    </xf>
    <xf numFmtId="0" fontId="62" fillId="31" borderId="22" xfId="2" applyFont="1" applyFill="1" applyBorder="1" applyAlignment="1">
      <alignment wrapText="1"/>
    </xf>
    <xf numFmtId="2" fontId="62" fillId="31" borderId="0" xfId="2" applyNumberFormat="1" applyFont="1" applyFill="1" applyAlignment="1">
      <alignment wrapText="1"/>
    </xf>
    <xf numFmtId="0" fontId="43" fillId="0" borderId="0" xfId="2" applyFont="1"/>
    <xf numFmtId="0" fontId="43" fillId="0" borderId="0" xfId="2" applyFont="1" applyAlignment="1">
      <alignment horizontal="left"/>
    </xf>
    <xf numFmtId="172" fontId="43" fillId="0" borderId="0" xfId="2" quotePrefix="1" applyNumberFormat="1" applyFont="1" applyAlignment="1">
      <alignment horizontal="left"/>
    </xf>
    <xf numFmtId="173" fontId="43" fillId="0" borderId="0" xfId="2" quotePrefix="1" applyNumberFormat="1" applyFont="1" applyAlignment="1">
      <alignment horizontal="left"/>
    </xf>
    <xf numFmtId="3" fontId="43" fillId="0" borderId="0" xfId="2" applyNumberFormat="1" applyFont="1" applyAlignment="1">
      <alignment horizontal="right" wrapText="1"/>
    </xf>
    <xf numFmtId="3" fontId="43" fillId="0" borderId="0" xfId="2" applyNumberFormat="1" applyFont="1" applyAlignment="1">
      <alignment horizontal="right"/>
    </xf>
    <xf numFmtId="171" fontId="43" fillId="0" borderId="0" xfId="174" applyNumberFormat="1" applyFont="1"/>
    <xf numFmtId="164" fontId="43" fillId="0" borderId="0" xfId="174" applyNumberFormat="1" applyFont="1"/>
    <xf numFmtId="3" fontId="43" fillId="0" borderId="0" xfId="174" applyNumberFormat="1" applyFont="1" applyAlignment="1">
      <alignment horizontal="right"/>
    </xf>
    <xf numFmtId="3" fontId="43" fillId="0" borderId="0" xfId="2" applyNumberFormat="1" applyFont="1"/>
    <xf numFmtId="3" fontId="43" fillId="0" borderId="22" xfId="2" applyNumberFormat="1" applyFont="1" applyBorder="1"/>
    <xf numFmtId="0" fontId="43" fillId="0" borderId="22" xfId="2" applyFont="1" applyBorder="1"/>
    <xf numFmtId="2" fontId="43" fillId="0" borderId="0" xfId="2" applyNumberFormat="1" applyFont="1"/>
    <xf numFmtId="9" fontId="0" fillId="0" borderId="0" xfId="173" applyFont="1"/>
    <xf numFmtId="0" fontId="1" fillId="30" borderId="0" xfId="0" applyFont="1" applyFill="1"/>
    <xf numFmtId="0" fontId="1" fillId="32" borderId="0" xfId="0" applyFont="1" applyFill="1"/>
    <xf numFmtId="0" fontId="0" fillId="32" borderId="0" xfId="0" applyFill="1"/>
    <xf numFmtId="0" fontId="1" fillId="33" borderId="0" xfId="0" applyFont="1" applyFill="1"/>
    <xf numFmtId="0" fontId="0" fillId="33" borderId="0" xfId="0" applyFill="1"/>
    <xf numFmtId="171" fontId="0" fillId="0" borderId="0" xfId="172" applyNumberFormat="1" applyFont="1"/>
    <xf numFmtId="0" fontId="65" fillId="0" borderId="0" xfId="0" applyFont="1" applyAlignment="1">
      <alignment vertical="center"/>
    </xf>
    <xf numFmtId="0" fontId="1" fillId="34" borderId="0" xfId="0" applyFont="1" applyFill="1"/>
    <xf numFmtId="0" fontId="66" fillId="0" borderId="0" xfId="0" applyFont="1"/>
    <xf numFmtId="174" fontId="0" fillId="34" borderId="0" xfId="172" applyNumberFormat="1" applyFont="1" applyFill="1"/>
    <xf numFmtId="171" fontId="0" fillId="34" borderId="0" xfId="172" applyNumberFormat="1" applyFont="1" applyFill="1"/>
    <xf numFmtId="0" fontId="0" fillId="34" borderId="0" xfId="0" applyFill="1"/>
    <xf numFmtId="174" fontId="1" fillId="2" borderId="0" xfId="172" applyNumberFormat="1" applyFont="1" applyFill="1"/>
    <xf numFmtId="171" fontId="1" fillId="2" borderId="0" xfId="172" applyNumberFormat="1" applyFont="1" applyFill="1"/>
    <xf numFmtId="171" fontId="5" fillId="2" borderId="0" xfId="172" applyNumberFormat="1" applyFont="1" applyFill="1"/>
    <xf numFmtId="11" fontId="1" fillId="2" borderId="0" xfId="0" applyNumberFormat="1" applyFont="1" applyFill="1"/>
    <xf numFmtId="0" fontId="0" fillId="2" borderId="0" xfId="0" applyFill="1"/>
    <xf numFmtId="43" fontId="0" fillId="0" borderId="0" xfId="172" applyFont="1"/>
    <xf numFmtId="10" fontId="0" fillId="0" borderId="0" xfId="0" applyNumberFormat="1"/>
    <xf numFmtId="0" fontId="1" fillId="35" borderId="0" xfId="0" applyFont="1" applyFill="1"/>
    <xf numFmtId="0" fontId="0" fillId="35" borderId="0" xfId="0" applyFill="1"/>
    <xf numFmtId="0" fontId="9" fillId="0" borderId="0" xfId="156"/>
    <xf numFmtId="0" fontId="20" fillId="0" borderId="10" xfId="158" applyAlignment="1"/>
    <xf numFmtId="0" fontId="56" fillId="0" borderId="0" xfId="160" applyFont="1">
      <alignment horizontal="left"/>
    </xf>
    <xf numFmtId="0" fontId="44" fillId="0" borderId="0" xfId="156" applyFont="1"/>
    <xf numFmtId="0" fontId="57" fillId="0" borderId="10" xfId="158" applyFont="1" applyAlignment="1"/>
    <xf numFmtId="0" fontId="57" fillId="0" borderId="18" xfId="159" applyFont="1" applyAlignment="1"/>
    <xf numFmtId="0" fontId="44" fillId="0" borderId="5" xfId="155" applyFont="1" applyAlignment="1"/>
    <xf numFmtId="3" fontId="44" fillId="0" borderId="5" xfId="155" applyNumberFormat="1" applyFont="1" applyAlignment="1">
      <alignment horizontal="right"/>
    </xf>
    <xf numFmtId="166" fontId="44" fillId="0" borderId="5" xfId="155" applyNumberFormat="1" applyFont="1" applyAlignment="1">
      <alignment horizontal="right"/>
    </xf>
    <xf numFmtId="164" fontId="44" fillId="0" borderId="5" xfId="155" applyNumberFormat="1" applyFont="1" applyAlignment="1">
      <alignment horizontal="right"/>
    </xf>
    <xf numFmtId="4" fontId="44" fillId="0" borderId="5" xfId="155" applyNumberFormat="1" applyFont="1" applyAlignment="1">
      <alignment horizontal="right"/>
    </xf>
    <xf numFmtId="4" fontId="57" fillId="0" borderId="18" xfId="159" applyNumberFormat="1" applyFont="1" applyAlignment="1">
      <alignment horizontal="right"/>
    </xf>
    <xf numFmtId="166" fontId="57" fillId="0" borderId="18" xfId="159" applyNumberFormat="1" applyFont="1" applyAlignment="1">
      <alignment horizontal="right"/>
    </xf>
    <xf numFmtId="3" fontId="47" fillId="0" borderId="0" xfId="47" applyNumberFormat="1" applyFont="1" applyFill="1" applyBorder="1" applyAlignment="1" applyProtection="1">
      <alignment horizontal="left"/>
      <protection locked="0"/>
    </xf>
    <xf numFmtId="3" fontId="47" fillId="0" borderId="0" xfId="47" applyNumberFormat="1" applyFont="1" applyFill="1" applyBorder="1" applyAlignment="1" applyProtection="1">
      <alignment horizontal="left" vertical="top"/>
      <protection locked="0"/>
    </xf>
    <xf numFmtId="0" fontId="50" fillId="0" borderId="3" xfId="131" applyFont="1" applyBorder="1" applyAlignment="1" applyProtection="1">
      <protection locked="0"/>
    </xf>
    <xf numFmtId="3" fontId="51" fillId="0" borderId="0" xfId="47" applyNumberFormat="1" applyFont="1" applyFill="1" applyBorder="1" applyAlignment="1" applyProtection="1">
      <protection locked="0"/>
    </xf>
    <xf numFmtId="0" fontId="52" fillId="0" borderId="0" xfId="133" applyFont="1" applyAlignment="1" applyProtection="1">
      <protection locked="0"/>
    </xf>
    <xf numFmtId="0" fontId="52" fillId="0" borderId="0" xfId="132" applyFont="1" applyAlignment="1" applyProtection="1">
      <protection locked="0"/>
    </xf>
    <xf numFmtId="0" fontId="50" fillId="0" borderId="0" xfId="133" applyFont="1" applyAlignment="1" applyProtection="1">
      <protection locked="0"/>
    </xf>
    <xf numFmtId="0" fontId="51" fillId="0" borderId="0" xfId="133" applyFont="1" applyAlignment="1" applyProtection="1">
      <protection locked="0"/>
    </xf>
    <xf numFmtId="0" fontId="50" fillId="0" borderId="0" xfId="131" applyFont="1" applyAlignment="1" applyProtection="1">
      <protection locked="0"/>
    </xf>
    <xf numFmtId="0" fontId="53" fillId="0" borderId="0" xfId="131" applyFont="1" applyAlignment="1" applyProtection="1">
      <protection locked="0"/>
    </xf>
    <xf numFmtId="0" fontId="45" fillId="0" borderId="1" xfId="0" applyFont="1" applyBorder="1" applyProtection="1">
      <protection locked="0"/>
    </xf>
    <xf numFmtId="0" fontId="51" fillId="0" borderId="0" xfId="0" applyFont="1" applyAlignment="1" applyProtection="1">
      <alignment horizontal="center"/>
      <protection locked="0"/>
    </xf>
    <xf numFmtId="0" fontId="53" fillId="0" borderId="0" xfId="0" applyFont="1" applyProtection="1">
      <protection locked="0"/>
    </xf>
    <xf numFmtId="49" fontId="51" fillId="0" borderId="0" xfId="0" applyNumberFormat="1" applyFont="1" applyProtection="1">
      <protection locked="0"/>
    </xf>
    <xf numFmtId="49" fontId="50" fillId="0" borderId="0" xfId="0" applyNumberFormat="1" applyFont="1" applyProtection="1">
      <protection locked="0"/>
    </xf>
    <xf numFmtId="0" fontId="51" fillId="0" borderId="0" xfId="133" applyFont="1" applyProtection="1">
      <alignment horizontal="left"/>
      <protection locked="0"/>
    </xf>
    <xf numFmtId="49" fontId="53" fillId="0" borderId="0" xfId="0" applyNumberFormat="1" applyFont="1" applyProtection="1">
      <protection locked="0"/>
    </xf>
    <xf numFmtId="0" fontId="46" fillId="28" borderId="21" xfId="64" applyFont="1" applyFill="1" applyBorder="1" applyAlignment="1" applyProtection="1">
      <alignment horizontal="center"/>
      <protection locked="0"/>
    </xf>
    <xf numFmtId="3" fontId="47" fillId="28" borderId="0" xfId="0" applyNumberFormat="1" applyFont="1" applyFill="1" applyProtection="1">
      <protection locked="0"/>
    </xf>
    <xf numFmtId="3" fontId="47" fillId="28" borderId="0" xfId="0" applyNumberFormat="1" applyFont="1" applyFill="1" applyAlignment="1" applyProtection="1">
      <alignment horizontal="right"/>
      <protection locked="0"/>
    </xf>
    <xf numFmtId="3" fontId="46" fillId="28" borderId="0" xfId="0" applyNumberFormat="1" applyFont="1" applyFill="1" applyAlignment="1" applyProtection="1">
      <alignment horizontal="right"/>
      <protection locked="0"/>
    </xf>
    <xf numFmtId="3" fontId="46" fillId="28" borderId="1" xfId="0" applyNumberFormat="1" applyFont="1" applyFill="1" applyBorder="1" applyAlignment="1" applyProtection="1">
      <alignment horizontal="right"/>
      <protection locked="0"/>
    </xf>
    <xf numFmtId="0" fontId="3" fillId="28" borderId="0" xfId="0" applyFont="1" applyFill="1" applyProtection="1">
      <protection locked="0"/>
    </xf>
    <xf numFmtId="3" fontId="47" fillId="36" borderId="0" xfId="47" applyNumberFormat="1" applyFont="1" applyFill="1" applyBorder="1" applyAlignment="1" applyProtection="1">
      <alignment horizontal="left"/>
      <protection locked="0"/>
    </xf>
    <xf numFmtId="3" fontId="47" fillId="36" borderId="0" xfId="0" applyNumberFormat="1" applyFont="1" applyFill="1" applyAlignment="1" applyProtection="1">
      <alignment horizontal="right"/>
      <protection locked="0"/>
    </xf>
    <xf numFmtId="0" fontId="3" fillId="36" borderId="0" xfId="0" applyFont="1" applyFill="1" applyProtection="1">
      <protection locked="0"/>
    </xf>
    <xf numFmtId="3" fontId="47" fillId="36" borderId="0" xfId="47" applyNumberFormat="1" applyFont="1" applyFill="1" applyBorder="1" applyAlignment="1" applyProtection="1">
      <alignment horizontal="left" vertical="top"/>
      <protection locked="0"/>
    </xf>
    <xf numFmtId="0" fontId="45" fillId="0" borderId="1" xfId="145" applyFont="1" applyBorder="1" applyAlignment="1"/>
    <xf numFmtId="0" fontId="47" fillId="0" borderId="0" xfId="169" applyFont="1" applyBorder="1" applyAlignment="1">
      <alignment horizontal="left"/>
    </xf>
    <xf numFmtId="0" fontId="47" fillId="0" borderId="0" xfId="0" applyFont="1" applyAlignment="1">
      <alignment horizontal="left"/>
    </xf>
    <xf numFmtId="169" fontId="47" fillId="0" borderId="0" xfId="169" applyNumberFormat="1" applyFont="1" applyBorder="1" applyAlignment="1">
      <alignment horizontal="left"/>
    </xf>
    <xf numFmtId="0" fontId="47" fillId="0" borderId="1" xfId="169" applyFont="1" applyBorder="1" applyAlignment="1">
      <alignment horizontal="left"/>
    </xf>
    <xf numFmtId="0" fontId="50" fillId="0" borderId="0" xfId="0" applyFont="1" applyAlignment="1">
      <alignment vertical="center"/>
    </xf>
    <xf numFmtId="0" fontId="52" fillId="0" borderId="0" xfId="169" applyFont="1" applyBorder="1" applyAlignment="1"/>
    <xf numFmtId="0" fontId="52" fillId="0" borderId="0" xfId="132" applyFont="1" applyAlignment="1"/>
    <xf numFmtId="0" fontId="51" fillId="0" borderId="0" xfId="132" applyFont="1" applyAlignment="1"/>
    <xf numFmtId="0" fontId="50" fillId="0" borderId="0" xfId="132" applyFont="1" applyAlignment="1"/>
    <xf numFmtId="0" fontId="50" fillId="0" borderId="3" xfId="0" applyFont="1" applyBorder="1"/>
    <xf numFmtId="2" fontId="51" fillId="0" borderId="0" xfId="0" applyNumberFormat="1" applyFont="1"/>
    <xf numFmtId="0" fontId="50" fillId="0" borderId="0" xfId="0" applyFont="1"/>
    <xf numFmtId="49" fontId="53" fillId="0" borderId="0" xfId="0" applyNumberFormat="1" applyFont="1"/>
    <xf numFmtId="49" fontId="51" fillId="0" borderId="0" xfId="0" applyNumberFormat="1" applyFont="1"/>
    <xf numFmtId="49" fontId="50" fillId="0" borderId="0" xfId="0" applyNumberFormat="1" applyFont="1"/>
    <xf numFmtId="49" fontId="50" fillId="0" borderId="0" xfId="0" applyNumberFormat="1" applyFont="1" applyAlignment="1">
      <alignment horizontal="left"/>
    </xf>
    <xf numFmtId="49" fontId="43" fillId="0" borderId="0" xfId="0" applyNumberFormat="1" applyFont="1" applyAlignment="1">
      <alignment horizontal="left"/>
    </xf>
    <xf numFmtId="0" fontId="67" fillId="0" borderId="0" xfId="0" applyFont="1" applyAlignment="1">
      <alignment horizontal="left"/>
    </xf>
    <xf numFmtId="0" fontId="67" fillId="0" borderId="0" xfId="0" applyFont="1"/>
    <xf numFmtId="0" fontId="20" fillId="0" borderId="10" xfId="166" applyAlignment="1"/>
    <xf numFmtId="0" fontId="57" fillId="0" borderId="10" xfId="166" applyFont="1" applyAlignment="1"/>
    <xf numFmtId="0" fontId="57" fillId="0" borderId="18" xfId="167" applyFont="1" applyAlignment="1"/>
    <xf numFmtId="0" fontId="44" fillId="0" borderId="5" xfId="163" applyFont="1" applyAlignment="1"/>
    <xf numFmtId="164" fontId="44" fillId="0" borderId="5" xfId="163" applyNumberFormat="1" applyFont="1" applyAlignment="1">
      <alignment horizontal="right"/>
    </xf>
    <xf numFmtId="166" fontId="44" fillId="0" borderId="5" xfId="163" applyNumberFormat="1" applyFont="1" applyAlignment="1">
      <alignment horizontal="right"/>
    </xf>
    <xf numFmtId="164" fontId="57" fillId="0" borderId="18" xfId="167" applyNumberFormat="1" applyFont="1" applyAlignment="1">
      <alignment horizontal="right"/>
    </xf>
    <xf numFmtId="166" fontId="57" fillId="0" borderId="18" xfId="167" applyNumberFormat="1" applyFont="1" applyAlignment="1">
      <alignment horizontal="right"/>
    </xf>
    <xf numFmtId="164" fontId="44" fillId="0" borderId="5" xfId="163" applyNumberFormat="1" applyFont="1" applyAlignment="1"/>
    <xf numFmtId="166" fontId="44" fillId="0" borderId="5" xfId="163" applyNumberFormat="1" applyFont="1" applyAlignment="1"/>
    <xf numFmtId="4" fontId="44" fillId="0" borderId="5" xfId="163" applyNumberFormat="1" applyFont="1" applyAlignment="1">
      <alignment horizontal="right"/>
    </xf>
    <xf numFmtId="4" fontId="57" fillId="0" borderId="18" xfId="167" applyNumberFormat="1" applyFont="1" applyAlignment="1">
      <alignment horizontal="right"/>
    </xf>
    <xf numFmtId="3" fontId="44" fillId="0" borderId="5" xfId="163" applyNumberFormat="1" applyFont="1" applyAlignment="1">
      <alignment horizontal="right"/>
    </xf>
    <xf numFmtId="0" fontId="55" fillId="0" borderId="9" xfId="165" applyFont="1" applyAlignment="1"/>
    <xf numFmtId="3" fontId="44" fillId="0" borderId="5" xfId="163" applyNumberFormat="1" applyFont="1" applyAlignment="1"/>
    <xf numFmtId="3" fontId="57" fillId="0" borderId="18" xfId="167" applyNumberFormat="1" applyFont="1" applyAlignment="1">
      <alignment horizontal="right"/>
    </xf>
    <xf numFmtId="0" fontId="43" fillId="37" borderId="0" xfId="154" applyFont="1" applyFill="1"/>
    <xf numFmtId="0" fontId="44" fillId="37" borderId="5" xfId="163" applyFont="1" applyFill="1" applyAlignment="1"/>
    <xf numFmtId="3" fontId="44" fillId="37" borderId="5" xfId="163" applyNumberFormat="1" applyFont="1" applyFill="1" applyAlignment="1">
      <alignment horizontal="right"/>
    </xf>
    <xf numFmtId="166" fontId="44" fillId="37" borderId="5" xfId="163" applyNumberFormat="1" applyFont="1" applyFill="1" applyAlignment="1">
      <alignment horizontal="right"/>
    </xf>
    <xf numFmtId="0" fontId="44" fillId="37" borderId="0" xfId="154" applyFont="1" applyFill="1"/>
    <xf numFmtId="0" fontId="0" fillId="37" borderId="0" xfId="0" applyFill="1"/>
    <xf numFmtId="0" fontId="55" fillId="0" borderId="0" xfId="154" applyFont="1"/>
    <xf numFmtId="0" fontId="44" fillId="0" borderId="9" xfId="165" applyFont="1" applyAlignment="1"/>
    <xf numFmtId="0" fontId="68" fillId="0" borderId="0" xfId="0" applyFont="1"/>
    <xf numFmtId="0" fontId="43" fillId="38" borderId="0" xfId="154" applyFont="1" applyFill="1"/>
    <xf numFmtId="0" fontId="44" fillId="38" borderId="5" xfId="155" applyFont="1" applyFill="1" applyAlignment="1"/>
    <xf numFmtId="3" fontId="44" fillId="38" borderId="5" xfId="155" applyNumberFormat="1" applyFont="1" applyFill="1" applyAlignment="1">
      <alignment horizontal="right"/>
    </xf>
    <xf numFmtId="166" fontId="44" fillId="38" borderId="5" xfId="155" applyNumberFormat="1" applyFont="1" applyFill="1" applyAlignment="1">
      <alignment horizontal="right"/>
    </xf>
    <xf numFmtId="0" fontId="44" fillId="38" borderId="0" xfId="154" applyFont="1" applyFill="1"/>
    <xf numFmtId="0" fontId="0" fillId="38" borderId="0" xfId="0" applyFill="1"/>
    <xf numFmtId="0" fontId="57" fillId="38" borderId="18" xfId="167" applyFont="1" applyFill="1" applyAlignment="1"/>
    <xf numFmtId="4" fontId="57" fillId="38" borderId="18" xfId="167" applyNumberFormat="1" applyFont="1" applyFill="1" applyAlignment="1">
      <alignment horizontal="right"/>
    </xf>
    <xf numFmtId="166" fontId="57" fillId="38" borderId="18" xfId="167" applyNumberFormat="1" applyFont="1" applyFill="1" applyAlignment="1">
      <alignment horizontal="right"/>
    </xf>
    <xf numFmtId="0" fontId="9" fillId="38" borderId="0" xfId="154" applyFill="1"/>
    <xf numFmtId="10" fontId="0" fillId="38" borderId="0" xfId="0" applyNumberFormat="1" applyFill="1"/>
    <xf numFmtId="0" fontId="43" fillId="39" borderId="0" xfId="154" applyFont="1" applyFill="1"/>
    <xf numFmtId="0" fontId="44" fillId="39" borderId="5" xfId="163" applyFont="1" applyFill="1" applyAlignment="1"/>
    <xf numFmtId="3" fontId="44" fillId="39" borderId="5" xfId="163" applyNumberFormat="1" applyFont="1" applyFill="1" applyAlignment="1">
      <alignment horizontal="right"/>
    </xf>
    <xf numFmtId="166" fontId="44" fillId="39" borderId="5" xfId="163" applyNumberFormat="1" applyFont="1" applyFill="1" applyAlignment="1">
      <alignment horizontal="right"/>
    </xf>
    <xf numFmtId="0" fontId="44" fillId="39" borderId="0" xfId="154" applyFont="1" applyFill="1"/>
    <xf numFmtId="0" fontId="0" fillId="39" borderId="0" xfId="0" applyFill="1"/>
    <xf numFmtId="10" fontId="0" fillId="39" borderId="0" xfId="0" applyNumberFormat="1" applyFill="1"/>
    <xf numFmtId="0" fontId="43" fillId="40" borderId="0" xfId="154" applyFont="1" applyFill="1"/>
    <xf numFmtId="0" fontId="44" fillId="40" borderId="5" xfId="155" applyFont="1" applyFill="1" applyAlignment="1"/>
    <xf numFmtId="3" fontId="44" fillId="40" borderId="5" xfId="155" applyNumberFormat="1" applyFont="1" applyFill="1" applyAlignment="1">
      <alignment horizontal="right"/>
    </xf>
    <xf numFmtId="166" fontId="44" fillId="40" borderId="5" xfId="155" applyNumberFormat="1" applyFont="1" applyFill="1" applyAlignment="1">
      <alignment horizontal="right"/>
    </xf>
    <xf numFmtId="0" fontId="44" fillId="40" borderId="0" xfId="154" applyFont="1" applyFill="1"/>
    <xf numFmtId="0" fontId="0" fillId="40" borderId="0" xfId="0" applyFill="1"/>
    <xf numFmtId="10" fontId="0" fillId="40" borderId="0" xfId="0" applyNumberFormat="1" applyFill="1"/>
    <xf numFmtId="0" fontId="44" fillId="40" borderId="5" xfId="163" applyFont="1" applyFill="1" applyAlignment="1"/>
    <xf numFmtId="164" fontId="44" fillId="40" borderId="5" xfId="163" applyNumberFormat="1" applyFont="1" applyFill="1" applyAlignment="1">
      <alignment horizontal="right"/>
    </xf>
    <xf numFmtId="166" fontId="44" fillId="40" borderId="5" xfId="163" applyNumberFormat="1" applyFont="1" applyFill="1" applyAlignment="1">
      <alignment horizontal="right"/>
    </xf>
    <xf numFmtId="0" fontId="0" fillId="41" borderId="0" xfId="0" applyFill="1"/>
    <xf numFmtId="10" fontId="0" fillId="41" borderId="0" xfId="0" applyNumberFormat="1" applyFill="1"/>
    <xf numFmtId="0" fontId="43" fillId="41" borderId="0" xfId="0" applyFont="1" applyFill="1"/>
    <xf numFmtId="0" fontId="57" fillId="41" borderId="18" xfId="167" applyFont="1" applyFill="1">
      <alignment wrapText="1"/>
    </xf>
    <xf numFmtId="164" fontId="57" fillId="41" borderId="18" xfId="167" applyNumberFormat="1" applyFont="1" applyFill="1" applyAlignment="1">
      <alignment horizontal="right" wrapText="1"/>
    </xf>
    <xf numFmtId="166" fontId="57" fillId="41" borderId="18" xfId="167" applyNumberFormat="1" applyFont="1" applyFill="1" applyAlignment="1">
      <alignment horizontal="right" wrapText="1"/>
    </xf>
    <xf numFmtId="0" fontId="44" fillId="41" borderId="0" xfId="0" applyFont="1" applyFill="1"/>
    <xf numFmtId="0" fontId="43" fillId="41" borderId="0" xfId="154" applyFont="1" applyFill="1"/>
    <xf numFmtId="0" fontId="44" fillId="41" borderId="5" xfId="163" applyFont="1" applyFill="1" applyAlignment="1"/>
    <xf numFmtId="4" fontId="44" fillId="41" borderId="5" xfId="163" applyNumberFormat="1" applyFont="1" applyFill="1" applyAlignment="1">
      <alignment horizontal="right"/>
    </xf>
    <xf numFmtId="166" fontId="44" fillId="41" borderId="5" xfId="163" applyNumberFormat="1" applyFont="1" applyFill="1" applyAlignment="1">
      <alignment horizontal="right"/>
    </xf>
    <xf numFmtId="0" fontId="44" fillId="41" borderId="0" xfId="154" applyFont="1" applyFill="1"/>
    <xf numFmtId="0" fontId="43" fillId="42" borderId="0" xfId="154" applyFont="1" applyFill="1"/>
    <xf numFmtId="0" fontId="44" fillId="42" borderId="5" xfId="163" applyFont="1" applyFill="1" applyAlignment="1"/>
    <xf numFmtId="3" fontId="44" fillId="42" borderId="5" xfId="163" applyNumberFormat="1" applyFont="1" applyFill="1" applyAlignment="1">
      <alignment horizontal="right"/>
    </xf>
    <xf numFmtId="166" fontId="44" fillId="42" borderId="5" xfId="163" applyNumberFormat="1" applyFont="1" applyFill="1" applyAlignment="1">
      <alignment horizontal="right"/>
    </xf>
    <xf numFmtId="0" fontId="44" fillId="42" borderId="0" xfId="154" applyFont="1" applyFill="1"/>
    <xf numFmtId="0" fontId="0" fillId="42" borderId="0" xfId="0" applyFill="1"/>
    <xf numFmtId="10" fontId="0" fillId="42" borderId="0" xfId="0" applyNumberFormat="1" applyFill="1"/>
    <xf numFmtId="1" fontId="0" fillId="0" borderId="0" xfId="173" applyNumberFormat="1" applyFont="1"/>
    <xf numFmtId="175" fontId="0" fillId="0" borderId="0" xfId="0" applyNumberFormat="1"/>
    <xf numFmtId="0" fontId="0" fillId="0" borderId="0" xfId="172" applyNumberFormat="1" applyFont="1"/>
    <xf numFmtId="9" fontId="1" fillId="0" borderId="0" xfId="173" applyFont="1"/>
    <xf numFmtId="0" fontId="0" fillId="43" borderId="0" xfId="0" applyFill="1"/>
    <xf numFmtId="0" fontId="69" fillId="0" borderId="0" xfId="0" applyFont="1" applyAlignment="1">
      <alignment vertical="center"/>
    </xf>
    <xf numFmtId="0" fontId="0" fillId="44" borderId="0" xfId="0" applyFill="1"/>
    <xf numFmtId="10" fontId="0" fillId="44" borderId="0" xfId="0" applyNumberFormat="1" applyFill="1"/>
    <xf numFmtId="0" fontId="55" fillId="0" borderId="9" xfId="157" applyFont="1" applyAlignment="1"/>
    <xf numFmtId="0" fontId="9" fillId="0" borderId="9" xfId="154" applyBorder="1"/>
    <xf numFmtId="0" fontId="9" fillId="0" borderId="0" xfId="154"/>
    <xf numFmtId="0" fontId="44" fillId="0" borderId="0" xfId="154" applyFont="1"/>
    <xf numFmtId="0" fontId="0" fillId="0" borderId="0" xfId="0"/>
    <xf numFmtId="0" fontId="55" fillId="0" borderId="9" xfId="165" applyFont="1">
      <alignment wrapText="1"/>
    </xf>
    <xf numFmtId="0" fontId="0" fillId="0" borderId="9" xfId="0" applyBorder="1"/>
  </cellXfs>
  <cellStyles count="175">
    <cellStyle name="_Normal" xfId="171" xr:uid="{068A2019-5A06-44EF-A8A4-0D6C0E7A4D11}"/>
    <cellStyle name="20% - Accent1 2" xfId="4" xr:uid="{00000000-0005-0000-0000-000000000000}"/>
    <cellStyle name="20% - Accent2 2" xfId="5" xr:uid="{00000000-0005-0000-0000-000001000000}"/>
    <cellStyle name="20% - Accent3 2" xfId="6" xr:uid="{00000000-0005-0000-0000-000002000000}"/>
    <cellStyle name="20% - Accent4 2" xfId="7" xr:uid="{00000000-0005-0000-0000-000003000000}"/>
    <cellStyle name="20% - Accent5 2" xfId="8" xr:uid="{00000000-0005-0000-0000-000004000000}"/>
    <cellStyle name="20% - Accent6 2" xfId="9" xr:uid="{00000000-0005-0000-0000-000005000000}"/>
    <cellStyle name="40% - Accent1 2" xfId="10" xr:uid="{00000000-0005-0000-0000-000006000000}"/>
    <cellStyle name="40% - Accent2 2" xfId="11" xr:uid="{00000000-0005-0000-0000-000007000000}"/>
    <cellStyle name="40% - Accent3 2" xfId="12" xr:uid="{00000000-0005-0000-0000-000008000000}"/>
    <cellStyle name="40% - Accent4 2" xfId="13" xr:uid="{00000000-0005-0000-0000-000009000000}"/>
    <cellStyle name="40% - Accent5 2" xfId="14" xr:uid="{00000000-0005-0000-0000-00000A000000}"/>
    <cellStyle name="40% - Accent6 2" xfId="15" xr:uid="{00000000-0005-0000-0000-00000B000000}"/>
    <cellStyle name="60% - Accent1 2" xfId="16" xr:uid="{00000000-0005-0000-0000-00000C000000}"/>
    <cellStyle name="60% - Accent2 2" xfId="17" xr:uid="{00000000-0005-0000-0000-00000D000000}"/>
    <cellStyle name="60% - Accent3 2" xfId="18" xr:uid="{00000000-0005-0000-0000-00000E000000}"/>
    <cellStyle name="60% - Accent4 2" xfId="19" xr:uid="{00000000-0005-0000-0000-00000F000000}"/>
    <cellStyle name="60% - Accent5 2" xfId="20" xr:uid="{00000000-0005-0000-0000-000010000000}"/>
    <cellStyle name="60% - Accent6 2" xfId="21" xr:uid="{00000000-0005-0000-0000-000011000000}"/>
    <cellStyle name="Accent1 2" xfId="22" xr:uid="{00000000-0005-0000-0000-000012000000}"/>
    <cellStyle name="Accent2 2" xfId="23" xr:uid="{00000000-0005-0000-0000-000013000000}"/>
    <cellStyle name="Accent3 2" xfId="24" xr:uid="{00000000-0005-0000-0000-000014000000}"/>
    <cellStyle name="Accent4 2" xfId="25" xr:uid="{00000000-0005-0000-0000-000015000000}"/>
    <cellStyle name="Accent5 2" xfId="26" xr:uid="{00000000-0005-0000-0000-000016000000}"/>
    <cellStyle name="Accent6 2" xfId="27" xr:uid="{00000000-0005-0000-0000-000017000000}"/>
    <cellStyle name="Bad 2" xfId="28" xr:uid="{00000000-0005-0000-0000-000018000000}"/>
    <cellStyle name="Body: normal cell" xfId="29" xr:uid="{00000000-0005-0000-0000-000019000000}"/>
    <cellStyle name="Body: normal cell 2" xfId="30" xr:uid="{00000000-0005-0000-0000-00001A000000}"/>
    <cellStyle name="Body: normal cell 2 2" xfId="163" xr:uid="{A8919528-A7FA-4EAA-811A-9E4D8B922A52}"/>
    <cellStyle name="Body: normal cell 3" xfId="155" xr:uid="{DCEDA298-61B2-4D00-8CF6-1474FE533F57}"/>
    <cellStyle name="Calculation 2" xfId="31" xr:uid="{00000000-0005-0000-0000-00001B000000}"/>
    <cellStyle name="Check Cell 2" xfId="32" xr:uid="{00000000-0005-0000-0000-00001C000000}"/>
    <cellStyle name="Column heading" xfId="33" xr:uid="{00000000-0005-0000-0000-00001D000000}"/>
    <cellStyle name="Comma" xfId="172" builtinId="3"/>
    <cellStyle name="Comma 2" xfId="34" xr:uid="{00000000-0005-0000-0000-00001E000000}"/>
    <cellStyle name="Comma 2 2" xfId="35" xr:uid="{00000000-0005-0000-0000-00001F000000}"/>
    <cellStyle name="Comma 2 3" xfId="174" xr:uid="{9B3808DF-3CAC-4A07-A8AF-FFE775C61958}"/>
    <cellStyle name="Comma 3" xfId="36" xr:uid="{00000000-0005-0000-0000-000020000000}"/>
    <cellStyle name="Comma 4" xfId="37" xr:uid="{00000000-0005-0000-0000-000021000000}"/>
    <cellStyle name="Comma 5" xfId="38" xr:uid="{00000000-0005-0000-0000-000022000000}"/>
    <cellStyle name="Comma 6" xfId="39" xr:uid="{00000000-0005-0000-0000-000023000000}"/>
    <cellStyle name="Comma 7" xfId="40" xr:uid="{00000000-0005-0000-0000-000024000000}"/>
    <cellStyle name="Comma 8" xfId="41" xr:uid="{00000000-0005-0000-0000-000025000000}"/>
    <cellStyle name="Corner heading" xfId="42" xr:uid="{00000000-0005-0000-0000-000026000000}"/>
    <cellStyle name="Currency 2" xfId="43" xr:uid="{00000000-0005-0000-0000-000027000000}"/>
    <cellStyle name="Currency 3" xfId="44" xr:uid="{00000000-0005-0000-0000-000028000000}"/>
    <cellStyle name="Currency 3 2" xfId="45" xr:uid="{00000000-0005-0000-0000-000029000000}"/>
    <cellStyle name="Data" xfId="46" xr:uid="{00000000-0005-0000-0000-00002A000000}"/>
    <cellStyle name="Data 2" xfId="47" xr:uid="{00000000-0005-0000-0000-00002B000000}"/>
    <cellStyle name="Data no deci" xfId="48" xr:uid="{00000000-0005-0000-0000-00002C000000}"/>
    <cellStyle name="Data Superscript" xfId="49" xr:uid="{00000000-0005-0000-0000-00002D000000}"/>
    <cellStyle name="Data_1-1A-Regular" xfId="50" xr:uid="{00000000-0005-0000-0000-00002E000000}"/>
    <cellStyle name="Data_Sheet1 (2)_1" xfId="170" xr:uid="{637636B2-6470-4453-B6E5-4414CF240E22}"/>
    <cellStyle name="Explanatory Text 2" xfId="51" xr:uid="{00000000-0005-0000-0000-00002F000000}"/>
    <cellStyle name="Font: Calibri, 9pt regular" xfId="52" xr:uid="{00000000-0005-0000-0000-000030000000}"/>
    <cellStyle name="Font: Calibri, 9pt regular 2" xfId="53" xr:uid="{00000000-0005-0000-0000-000031000000}"/>
    <cellStyle name="Font: Calibri, 9pt regular 2 2" xfId="164" xr:uid="{FD1C2FA3-0833-4F75-AC4F-A1D9DAB27C46}"/>
    <cellStyle name="Font: Calibri, 9pt regular 3" xfId="156" xr:uid="{74D46755-EEAF-427F-A6CB-88D48B28E91A}"/>
    <cellStyle name="Footnotes: top row" xfId="54" xr:uid="{00000000-0005-0000-0000-000032000000}"/>
    <cellStyle name="Footnotes: top row 2" xfId="55" xr:uid="{00000000-0005-0000-0000-000033000000}"/>
    <cellStyle name="Footnotes: top row 2 2" xfId="165" xr:uid="{F97AAF89-28B6-4B1B-8596-20CAF92AD6CA}"/>
    <cellStyle name="Footnotes: top row 3" xfId="157" xr:uid="{982646C1-E806-4A07-B8B4-BC9B89CB4229}"/>
    <cellStyle name="Good 2" xfId="56" xr:uid="{00000000-0005-0000-0000-000034000000}"/>
    <cellStyle name="Header: bottom row" xfId="57" xr:uid="{00000000-0005-0000-0000-000035000000}"/>
    <cellStyle name="Header: bottom row 2" xfId="58" xr:uid="{00000000-0005-0000-0000-000036000000}"/>
    <cellStyle name="Header: bottom row 2 2" xfId="166" xr:uid="{CA349706-EE88-4401-A101-B8BB4DB06960}"/>
    <cellStyle name="Header: bottom row 3" xfId="158" xr:uid="{15ACEF59-9D83-4E3F-B134-317C64F95D0D}"/>
    <cellStyle name="Heading 1 2" xfId="59" xr:uid="{00000000-0005-0000-0000-000037000000}"/>
    <cellStyle name="Heading 2 2" xfId="60" xr:uid="{00000000-0005-0000-0000-000038000000}"/>
    <cellStyle name="Heading 3 2" xfId="61" xr:uid="{00000000-0005-0000-0000-000039000000}"/>
    <cellStyle name="Heading 4 2" xfId="62" xr:uid="{00000000-0005-0000-0000-00003A000000}"/>
    <cellStyle name="Hed Side" xfId="63" xr:uid="{00000000-0005-0000-0000-00003B000000}"/>
    <cellStyle name="Hed Side 2" xfId="64" xr:uid="{00000000-0005-0000-0000-00003C000000}"/>
    <cellStyle name="Hed Side bold" xfId="65" xr:uid="{00000000-0005-0000-0000-00003D000000}"/>
    <cellStyle name="Hed Side Indent" xfId="66" xr:uid="{00000000-0005-0000-0000-00003E000000}"/>
    <cellStyle name="Hed Side Regular" xfId="67" xr:uid="{00000000-0005-0000-0000-00003F000000}"/>
    <cellStyle name="Hed Side_1-1A-Regular" xfId="68" xr:uid="{00000000-0005-0000-0000-000040000000}"/>
    <cellStyle name="Hed Side_Sheet1 (2)_1" xfId="169" xr:uid="{2C0FF5CB-6934-4FC9-8424-2311754FA59E}"/>
    <cellStyle name="Hed Top" xfId="69" xr:uid="{00000000-0005-0000-0000-000041000000}"/>
    <cellStyle name="Hed Top - SECTION" xfId="70" xr:uid="{00000000-0005-0000-0000-000042000000}"/>
    <cellStyle name="Hed Top_3-new4" xfId="71" xr:uid="{00000000-0005-0000-0000-000043000000}"/>
    <cellStyle name="Hyperlink" xfId="1" builtinId="8"/>
    <cellStyle name="Hyperlink 2" xfId="72" xr:uid="{00000000-0005-0000-0000-000045000000}"/>
    <cellStyle name="Input 2" xfId="73" xr:uid="{00000000-0005-0000-0000-000046000000}"/>
    <cellStyle name="Linked Cell 2" xfId="74" xr:uid="{00000000-0005-0000-0000-000047000000}"/>
    <cellStyle name="Neutral 2" xfId="75" xr:uid="{00000000-0005-0000-0000-000048000000}"/>
    <cellStyle name="Normal" xfId="0" builtinId="0"/>
    <cellStyle name="Normal 10" xfId="76" xr:uid="{00000000-0005-0000-0000-00004A000000}"/>
    <cellStyle name="Normal 11" xfId="77" xr:uid="{00000000-0005-0000-0000-00004B000000}"/>
    <cellStyle name="Normal 12" xfId="154" xr:uid="{0B8D55DC-22CD-4BA1-A6CE-D55F7EBA5130}"/>
    <cellStyle name="Normal 2" xfId="2" xr:uid="{00000000-0005-0000-0000-00004C000000}"/>
    <cellStyle name="Normal 2 2" xfId="78" xr:uid="{00000000-0005-0000-0000-00004D000000}"/>
    <cellStyle name="Normal 2 3" xfId="79" xr:uid="{00000000-0005-0000-0000-00004E000000}"/>
    <cellStyle name="Normal 2 4" xfId="162" xr:uid="{185FA048-C054-468B-86A3-1718892CD85C}"/>
    <cellStyle name="Normal 3" xfId="3" xr:uid="{00000000-0005-0000-0000-00004F000000}"/>
    <cellStyle name="Normal 3 2" xfId="80" xr:uid="{00000000-0005-0000-0000-000050000000}"/>
    <cellStyle name="Normal 3 2 2" xfId="81" xr:uid="{00000000-0005-0000-0000-000051000000}"/>
    <cellStyle name="Normal 3 2 2 2" xfId="82" xr:uid="{00000000-0005-0000-0000-000052000000}"/>
    <cellStyle name="Normal 3 2 3" xfId="83" xr:uid="{00000000-0005-0000-0000-000053000000}"/>
    <cellStyle name="Normal 3 3" xfId="84" xr:uid="{00000000-0005-0000-0000-000054000000}"/>
    <cellStyle name="Normal 3 3 2" xfId="85" xr:uid="{00000000-0005-0000-0000-000055000000}"/>
    <cellStyle name="Normal 3 3 2 2" xfId="86" xr:uid="{00000000-0005-0000-0000-000056000000}"/>
    <cellStyle name="Normal 3 3 3" xfId="87" xr:uid="{00000000-0005-0000-0000-000057000000}"/>
    <cellStyle name="Normal 3 4" xfId="88" xr:uid="{00000000-0005-0000-0000-000058000000}"/>
    <cellStyle name="Normal 3 4 2" xfId="89" xr:uid="{00000000-0005-0000-0000-000059000000}"/>
    <cellStyle name="Normal 3 5" xfId="90" xr:uid="{00000000-0005-0000-0000-00005A000000}"/>
    <cellStyle name="Normal 3 6" xfId="91" xr:uid="{00000000-0005-0000-0000-00005B000000}"/>
    <cellStyle name="Normal 3 7" xfId="92" xr:uid="{00000000-0005-0000-0000-00005C000000}"/>
    <cellStyle name="Normal 4" xfId="93" xr:uid="{00000000-0005-0000-0000-00005D000000}"/>
    <cellStyle name="Normal 4 2" xfId="94" xr:uid="{00000000-0005-0000-0000-00005E000000}"/>
    <cellStyle name="Normal 4 2 2" xfId="95" xr:uid="{00000000-0005-0000-0000-00005F000000}"/>
    <cellStyle name="Normal 4 2 2 2" xfId="96" xr:uid="{00000000-0005-0000-0000-000060000000}"/>
    <cellStyle name="Normal 4 2 3" xfId="97" xr:uid="{00000000-0005-0000-0000-000061000000}"/>
    <cellStyle name="Normal 4 3" xfId="98" xr:uid="{00000000-0005-0000-0000-000062000000}"/>
    <cellStyle name="Normal 4 3 2" xfId="99" xr:uid="{00000000-0005-0000-0000-000063000000}"/>
    <cellStyle name="Normal 4 3 2 2" xfId="100" xr:uid="{00000000-0005-0000-0000-000064000000}"/>
    <cellStyle name="Normal 4 3 3" xfId="101" xr:uid="{00000000-0005-0000-0000-000065000000}"/>
    <cellStyle name="Normal 4 4" xfId="102" xr:uid="{00000000-0005-0000-0000-000066000000}"/>
    <cellStyle name="Normal 4 4 2" xfId="103" xr:uid="{00000000-0005-0000-0000-000067000000}"/>
    <cellStyle name="Normal 4 5" xfId="104" xr:uid="{00000000-0005-0000-0000-000068000000}"/>
    <cellStyle name="Normal 4 6" xfId="105" xr:uid="{00000000-0005-0000-0000-000069000000}"/>
    <cellStyle name="Normal 4 7" xfId="106" xr:uid="{00000000-0005-0000-0000-00006A000000}"/>
    <cellStyle name="Normal 4 8" xfId="161" xr:uid="{89B76DA6-EC9D-4928-ABDE-D53F70B786AE}"/>
    <cellStyle name="Normal 5" xfId="107" xr:uid="{00000000-0005-0000-0000-00006B000000}"/>
    <cellStyle name="Normal 5 2" xfId="108" xr:uid="{00000000-0005-0000-0000-00006C000000}"/>
    <cellStyle name="Normal 5 3" xfId="109" xr:uid="{00000000-0005-0000-0000-00006D000000}"/>
    <cellStyle name="Normal 6" xfId="110" xr:uid="{00000000-0005-0000-0000-00006E000000}"/>
    <cellStyle name="Normal 6 2" xfId="111" xr:uid="{00000000-0005-0000-0000-00006F000000}"/>
    <cellStyle name="Normal 7" xfId="112" xr:uid="{00000000-0005-0000-0000-000070000000}"/>
    <cellStyle name="Normal 7 2" xfId="113" xr:uid="{00000000-0005-0000-0000-000071000000}"/>
    <cellStyle name="Normal 8" xfId="114" xr:uid="{00000000-0005-0000-0000-000072000000}"/>
    <cellStyle name="Normal 9" xfId="115" xr:uid="{00000000-0005-0000-0000-000073000000}"/>
    <cellStyle name="Note 2" xfId="116" xr:uid="{00000000-0005-0000-0000-000074000000}"/>
    <cellStyle name="Note 2 2" xfId="117" xr:uid="{00000000-0005-0000-0000-000075000000}"/>
    <cellStyle name="Output 2" xfId="118" xr:uid="{00000000-0005-0000-0000-000076000000}"/>
    <cellStyle name="Parent row" xfId="119" xr:uid="{00000000-0005-0000-0000-000077000000}"/>
    <cellStyle name="Parent row 2" xfId="120" xr:uid="{00000000-0005-0000-0000-000078000000}"/>
    <cellStyle name="Parent row 2 2" xfId="167" xr:uid="{1540C86E-A99E-42FE-94FE-9ACE9FA8D37A}"/>
    <cellStyle name="Parent row 3" xfId="159" xr:uid="{4AC304BC-780B-4FE6-8BC9-1B04423CFCF1}"/>
    <cellStyle name="Percent" xfId="173" builtinId="5"/>
    <cellStyle name="Percent 2" xfId="121" xr:uid="{00000000-0005-0000-0000-000079000000}"/>
    <cellStyle name="Percent 2 2" xfId="122" xr:uid="{00000000-0005-0000-0000-00007A000000}"/>
    <cellStyle name="Percent 3" xfId="123" xr:uid="{00000000-0005-0000-0000-00007B000000}"/>
    <cellStyle name="Percent 3 2" xfId="124" xr:uid="{00000000-0005-0000-0000-00007C000000}"/>
    <cellStyle name="Percent 4" xfId="125" xr:uid="{00000000-0005-0000-0000-00007D000000}"/>
    <cellStyle name="Reference" xfId="126" xr:uid="{00000000-0005-0000-0000-00007E000000}"/>
    <cellStyle name="Row heading" xfId="127" xr:uid="{00000000-0005-0000-0000-00007F000000}"/>
    <cellStyle name="Source Hed" xfId="128" xr:uid="{00000000-0005-0000-0000-000080000000}"/>
    <cellStyle name="Source Letter" xfId="129" xr:uid="{00000000-0005-0000-0000-000081000000}"/>
    <cellStyle name="Source Superscript" xfId="130" xr:uid="{00000000-0005-0000-0000-000082000000}"/>
    <cellStyle name="Source Superscript 2" xfId="131" xr:uid="{00000000-0005-0000-0000-000083000000}"/>
    <cellStyle name="Source Text" xfId="132" xr:uid="{00000000-0005-0000-0000-000084000000}"/>
    <cellStyle name="Source Text 2" xfId="133" xr:uid="{00000000-0005-0000-0000-000085000000}"/>
    <cellStyle name="State" xfId="134" xr:uid="{00000000-0005-0000-0000-000086000000}"/>
    <cellStyle name="Superscript" xfId="135" xr:uid="{00000000-0005-0000-0000-000087000000}"/>
    <cellStyle name="Table Data" xfId="136" xr:uid="{00000000-0005-0000-0000-000088000000}"/>
    <cellStyle name="Table Head Top" xfId="137" xr:uid="{00000000-0005-0000-0000-000089000000}"/>
    <cellStyle name="Table Hed Side" xfId="138" xr:uid="{00000000-0005-0000-0000-00008A000000}"/>
    <cellStyle name="Table title" xfId="139" xr:uid="{00000000-0005-0000-0000-00008B000000}"/>
    <cellStyle name="Table title 2" xfId="140" xr:uid="{00000000-0005-0000-0000-00008C000000}"/>
    <cellStyle name="Table title 2 2" xfId="168" xr:uid="{D35DF435-1D22-4B87-8565-B97966058159}"/>
    <cellStyle name="Table title 3" xfId="160" xr:uid="{68DA7D6B-640F-4FEA-8899-E26677D8C4F2}"/>
    <cellStyle name="Title 2" xfId="141" xr:uid="{00000000-0005-0000-0000-00008D000000}"/>
    <cellStyle name="Title Text" xfId="142" xr:uid="{00000000-0005-0000-0000-00008E000000}"/>
    <cellStyle name="Title Text 1" xfId="143" xr:uid="{00000000-0005-0000-0000-00008F000000}"/>
    <cellStyle name="Title Text 2" xfId="144" xr:uid="{00000000-0005-0000-0000-000090000000}"/>
    <cellStyle name="Title-1" xfId="145" xr:uid="{00000000-0005-0000-0000-000091000000}"/>
    <cellStyle name="Title-2" xfId="146" xr:uid="{00000000-0005-0000-0000-000092000000}"/>
    <cellStyle name="Title-3" xfId="147" xr:uid="{00000000-0005-0000-0000-000093000000}"/>
    <cellStyle name="Total 2" xfId="148" xr:uid="{00000000-0005-0000-0000-000094000000}"/>
    <cellStyle name="Warning Text 2" xfId="149" xr:uid="{00000000-0005-0000-0000-000095000000}"/>
    <cellStyle name="Wrap" xfId="150" xr:uid="{00000000-0005-0000-0000-000096000000}"/>
    <cellStyle name="Wrap Bold" xfId="151" xr:uid="{00000000-0005-0000-0000-000097000000}"/>
    <cellStyle name="Wrap Title" xfId="152" xr:uid="{00000000-0005-0000-0000-000098000000}"/>
    <cellStyle name="Wrap_NTS99-~11" xfId="153" xr:uid="{00000000-0005-0000-0000-000099000000}"/>
  </cellStyles>
  <dxfs count="7">
    <dxf>
      <font>
        <color rgb="FF9C0006"/>
      </font>
      <fill>
        <patternFill>
          <bgColor rgb="FFFFC7CE"/>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rgb="FFFFFF00"/>
        </patternFill>
      </fill>
    </dxf>
    <dxf>
      <fill>
        <patternFill>
          <bgColor rgb="FFFFFF00"/>
        </patternFill>
      </fill>
    </dxf>
    <dxf>
      <fill>
        <patternFill>
          <bgColor rgb="FFFFFF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styles" Target="styles.xml"/><Relationship Id="rId21" Type="http://schemas.openxmlformats.org/officeDocument/2006/relationships/worksheet" Target="worksheets/sheet21.xml"/><Relationship Id="rId34" Type="http://schemas.openxmlformats.org/officeDocument/2006/relationships/worksheet" Target="worksheets/sheet3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externalLink" Target="externalLinks/externalLink2.xml"/><Relationship Id="rId40"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externalLink" Target="externalLinks/externalLink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D:\WINDOWS\TEMP\USFreight97-93.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WINDOWS/TEMP/USFreight97-93.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theme/theme1.xml><?xml version="1.0" encoding="utf-8"?>
<a:theme xmlns:a="http://schemas.openxmlformats.org/drawingml/2006/main" name="Office Theme 2007 - 2010">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apta.com/research-technical-resources/transit-statistics/ntd-data-tables/" TargetMode="Externa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55"/>
  <sheetViews>
    <sheetView workbookViewId="0">
      <selection activeCell="A10" sqref="A10"/>
    </sheetView>
    <sheetView workbookViewId="1"/>
  </sheetViews>
  <sheetFormatPr defaultRowHeight="14.75"/>
  <cols>
    <col min="2" max="2" width="51.54296875" customWidth="1"/>
  </cols>
  <sheetData>
    <row r="1" spans="1:2">
      <c r="A1" s="1" t="s">
        <v>1378</v>
      </c>
    </row>
    <row r="2" spans="1:2">
      <c r="A2" s="1" t="s">
        <v>36</v>
      </c>
    </row>
    <row r="4" spans="1:2">
      <c r="A4" s="1" t="s">
        <v>0</v>
      </c>
      <c r="B4" s="4" t="s">
        <v>186</v>
      </c>
    </row>
    <row r="5" spans="1:2">
      <c r="B5" s="283" t="s">
        <v>3926</v>
      </c>
    </row>
    <row r="6" spans="1:2">
      <c r="B6" s="2">
        <v>2025</v>
      </c>
    </row>
    <row r="7" spans="1:2">
      <c r="B7" t="s">
        <v>3927</v>
      </c>
    </row>
    <row r="8" spans="1:2">
      <c r="B8" t="s">
        <v>3928</v>
      </c>
    </row>
    <row r="9" spans="1:2">
      <c r="B9" t="s">
        <v>3929</v>
      </c>
    </row>
    <row r="10" spans="1:2">
      <c r="B10" s="284" t="s">
        <v>3930</v>
      </c>
    </row>
    <row r="11" spans="1:2">
      <c r="B11" s="284"/>
    </row>
    <row r="12" spans="1:2">
      <c r="B12" s="4" t="s">
        <v>3914</v>
      </c>
    </row>
    <row r="13" spans="1:2">
      <c r="B13" t="s">
        <v>1</v>
      </c>
    </row>
    <row r="14" spans="1:2">
      <c r="B14" s="2">
        <v>2025</v>
      </c>
    </row>
    <row r="15" spans="1:2">
      <c r="B15" t="s">
        <v>3911</v>
      </c>
    </row>
    <row r="16" spans="1:2">
      <c r="B16" s="3" t="s">
        <v>3910</v>
      </c>
    </row>
    <row r="17" spans="2:2">
      <c r="B17" s="3"/>
    </row>
    <row r="18" spans="2:2">
      <c r="B18" s="4" t="s">
        <v>3914</v>
      </c>
    </row>
    <row r="19" spans="2:2">
      <c r="B19" t="s">
        <v>1</v>
      </c>
    </row>
    <row r="20" spans="2:2">
      <c r="B20" s="2">
        <v>2025</v>
      </c>
    </row>
    <row r="21" spans="2:2">
      <c r="B21" t="s">
        <v>3913</v>
      </c>
    </row>
    <row r="22" spans="2:2">
      <c r="B22" s="3" t="s">
        <v>3912</v>
      </c>
    </row>
    <row r="24" spans="2:2">
      <c r="B24" s="10" t="s">
        <v>31</v>
      </c>
    </row>
    <row r="25" spans="2:2">
      <c r="B25" t="s">
        <v>32</v>
      </c>
    </row>
    <row r="26" spans="2:2">
      <c r="B26" s="2">
        <v>2013</v>
      </c>
    </row>
    <row r="27" spans="2:2">
      <c r="B27" t="s">
        <v>33</v>
      </c>
    </row>
    <row r="28" spans="2:2">
      <c r="B28" t="s">
        <v>34</v>
      </c>
    </row>
    <row r="29" spans="2:2">
      <c r="B29" t="s">
        <v>35</v>
      </c>
    </row>
    <row r="31" spans="2:2">
      <c r="B31" s="4" t="s">
        <v>1379</v>
      </c>
    </row>
    <row r="32" spans="2:2">
      <c r="B32" t="s">
        <v>1380</v>
      </c>
    </row>
    <row r="33" spans="1:2">
      <c r="B33" t="s">
        <v>1381</v>
      </c>
    </row>
    <row r="34" spans="1:2">
      <c r="B34">
        <v>2020</v>
      </c>
    </row>
    <row r="35" spans="1:2">
      <c r="B35" s="3" t="s">
        <v>1382</v>
      </c>
    </row>
    <row r="38" spans="1:2">
      <c r="B38" s="1"/>
    </row>
    <row r="39" spans="1:2">
      <c r="A39" s="1" t="s">
        <v>10</v>
      </c>
      <c r="B39" s="7"/>
    </row>
    <row r="40" spans="1:2">
      <c r="A40" t="s">
        <v>29</v>
      </c>
      <c r="B40" s="7"/>
    </row>
    <row r="41" spans="1:2">
      <c r="A41" t="s">
        <v>30</v>
      </c>
      <c r="B41" s="7"/>
    </row>
    <row r="42" spans="1:2">
      <c r="B42" s="7"/>
    </row>
    <row r="43" spans="1:2">
      <c r="A43" t="s">
        <v>12</v>
      </c>
    </row>
    <row r="44" spans="1:2">
      <c r="A44" t="s">
        <v>1375</v>
      </c>
    </row>
    <row r="47" spans="1:2">
      <c r="A47" t="s">
        <v>217</v>
      </c>
    </row>
    <row r="48" spans="1:2">
      <c r="A48" t="s">
        <v>218</v>
      </c>
    </row>
    <row r="50" spans="1:2">
      <c r="A50" t="s">
        <v>155</v>
      </c>
      <c r="B50">
        <v>2023</v>
      </c>
    </row>
    <row r="51" spans="1:2">
      <c r="A51" t="s">
        <v>190</v>
      </c>
    </row>
    <row r="52" spans="1:2">
      <c r="A52" t="s">
        <v>322</v>
      </c>
    </row>
    <row r="53" spans="1:2">
      <c r="A53" t="s">
        <v>219</v>
      </c>
    </row>
    <row r="54" spans="1:2">
      <c r="A54" t="s">
        <v>1376</v>
      </c>
    </row>
    <row r="55" spans="1:2">
      <c r="A55" t="s">
        <v>1377</v>
      </c>
    </row>
  </sheetData>
  <hyperlinks>
    <hyperlink ref="B35" r:id="rId1" xr:uid="{7C7D20CA-1A4D-4D11-8908-D541A1753997}"/>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65221A-2C06-4797-B382-D35E54A77E75}">
  <sheetPr>
    <tabColor theme="6"/>
  </sheetPr>
  <dimension ref="A1"/>
  <sheetViews>
    <sheetView workbookViewId="0"/>
    <sheetView workbookViewId="1"/>
  </sheetViews>
  <sheetFormatPr defaultRowHeight="14.7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19"/>
  <sheetViews>
    <sheetView workbookViewId="0">
      <selection sqref="A1:H7"/>
    </sheetView>
    <sheetView workbookViewId="1"/>
  </sheetViews>
  <sheetFormatPr defaultRowHeight="14.75"/>
  <cols>
    <col min="1" max="1" width="16.86328125" customWidth="1"/>
    <col min="2" max="2" width="24.54296875" customWidth="1"/>
    <col min="3" max="3" width="20.86328125" customWidth="1"/>
    <col min="4" max="4" width="18.26953125" customWidth="1"/>
    <col min="5" max="5" width="17.1328125" customWidth="1"/>
    <col min="6" max="6" width="23.26953125" customWidth="1"/>
    <col min="7" max="7" width="19.26953125" customWidth="1"/>
    <col min="8" max="8" width="22.54296875" customWidth="1"/>
  </cols>
  <sheetData>
    <row r="1" spans="1:8">
      <c r="A1" t="s">
        <v>216</v>
      </c>
      <c r="B1" t="s">
        <v>156</v>
      </c>
      <c r="C1" t="s">
        <v>157</v>
      </c>
      <c r="D1" t="s">
        <v>158</v>
      </c>
      <c r="E1" t="s">
        <v>159</v>
      </c>
      <c r="F1" t="s">
        <v>160</v>
      </c>
      <c r="G1" t="s">
        <v>187</v>
      </c>
      <c r="H1" t="s">
        <v>188</v>
      </c>
    </row>
    <row r="2" spans="1:8">
      <c r="A2" t="s">
        <v>4</v>
      </c>
      <c r="B2">
        <v>2799214</v>
      </c>
      <c r="C2">
        <v>16648</v>
      </c>
      <c r="D2">
        <v>256819978</v>
      </c>
      <c r="E2">
        <v>1348635</v>
      </c>
      <c r="F2">
        <v>1130472</v>
      </c>
      <c r="G2">
        <v>16384</v>
      </c>
      <c r="H2">
        <v>15809</v>
      </c>
    </row>
    <row r="3" spans="1:8">
      <c r="A3" t="s">
        <v>5</v>
      </c>
      <c r="B3">
        <v>300</v>
      </c>
      <c r="C3">
        <v>123406</v>
      </c>
      <c r="D3">
        <v>98370</v>
      </c>
      <c r="E3">
        <v>703912</v>
      </c>
      <c r="F3">
        <v>0</v>
      </c>
      <c r="G3">
        <v>41837</v>
      </c>
      <c r="H3">
        <v>105</v>
      </c>
    </row>
    <row r="4" spans="1:8">
      <c r="A4" t="s">
        <v>6</v>
      </c>
      <c r="B4">
        <v>0</v>
      </c>
      <c r="C4">
        <v>0</v>
      </c>
      <c r="D4">
        <v>0</v>
      </c>
      <c r="E4">
        <v>6646</v>
      </c>
      <c r="F4">
        <v>0</v>
      </c>
      <c r="G4">
        <v>0</v>
      </c>
      <c r="H4">
        <v>0</v>
      </c>
    </row>
    <row r="5" spans="1:8">
      <c r="A5" t="s">
        <v>7</v>
      </c>
      <c r="B5">
        <v>2564</v>
      </c>
      <c r="C5">
        <v>0</v>
      </c>
      <c r="D5">
        <v>0</v>
      </c>
      <c r="E5">
        <v>173</v>
      </c>
      <c r="F5">
        <v>0</v>
      </c>
      <c r="G5">
        <v>0</v>
      </c>
      <c r="H5">
        <v>0</v>
      </c>
    </row>
    <row r="6" spans="1:8">
      <c r="A6" t="s">
        <v>8</v>
      </c>
      <c r="B6">
        <v>0</v>
      </c>
      <c r="C6">
        <v>0</v>
      </c>
      <c r="D6">
        <v>10231405</v>
      </c>
      <c r="E6">
        <v>2473595</v>
      </c>
      <c r="F6">
        <v>0</v>
      </c>
      <c r="G6">
        <v>0</v>
      </c>
      <c r="H6">
        <v>0</v>
      </c>
    </row>
    <row r="7" spans="1:8">
      <c r="A7" t="s">
        <v>9</v>
      </c>
      <c r="B7">
        <v>0</v>
      </c>
      <c r="C7">
        <v>0</v>
      </c>
      <c r="D7">
        <v>9516910</v>
      </c>
      <c r="E7">
        <v>0</v>
      </c>
      <c r="F7">
        <v>0</v>
      </c>
      <c r="G7">
        <v>0</v>
      </c>
      <c r="H7">
        <v>0</v>
      </c>
    </row>
    <row r="18" spans="3:3">
      <c r="C18" s="6"/>
    </row>
    <row r="19" spans="3:3">
      <c r="C19" s="6"/>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7"/>
  <sheetViews>
    <sheetView workbookViewId="0">
      <selection sqref="A1:H7"/>
    </sheetView>
    <sheetView workbookViewId="1"/>
  </sheetViews>
  <sheetFormatPr defaultRowHeight="14.75"/>
  <cols>
    <col min="1" max="1" width="16.86328125" customWidth="1"/>
    <col min="2" max="2" width="24.54296875" customWidth="1"/>
    <col min="3" max="3" width="20.86328125" customWidth="1"/>
    <col min="4" max="4" width="18.26953125" customWidth="1"/>
    <col min="5" max="5" width="17.1328125" customWidth="1"/>
    <col min="6" max="6" width="23.26953125" customWidth="1"/>
    <col min="7" max="7" width="19.26953125" customWidth="1"/>
    <col min="8" max="8" width="20.54296875" customWidth="1"/>
  </cols>
  <sheetData>
    <row r="1" spans="1:8">
      <c r="A1" t="s">
        <v>216</v>
      </c>
      <c r="B1" t="s">
        <v>156</v>
      </c>
      <c r="C1" t="s">
        <v>157</v>
      </c>
      <c r="D1" t="s">
        <v>158</v>
      </c>
      <c r="E1" t="s">
        <v>159</v>
      </c>
      <c r="F1" t="s">
        <v>160</v>
      </c>
      <c r="G1" t="s">
        <v>187</v>
      </c>
      <c r="H1" t="s">
        <v>188</v>
      </c>
    </row>
    <row r="2" spans="1:8">
      <c r="A2" t="s">
        <v>4</v>
      </c>
      <c r="B2">
        <v>368</v>
      </c>
      <c r="C2">
        <v>15529</v>
      </c>
      <c r="D2">
        <v>12709652</v>
      </c>
      <c r="E2">
        <v>10634737</v>
      </c>
      <c r="F2">
        <v>2288</v>
      </c>
      <c r="G2">
        <v>3349</v>
      </c>
      <c r="H2">
        <v>0</v>
      </c>
    </row>
    <row r="3" spans="1:8">
      <c r="A3" t="s">
        <v>5</v>
      </c>
      <c r="B3">
        <v>255</v>
      </c>
      <c r="C3">
        <v>53506</v>
      </c>
      <c r="D3">
        <v>39244</v>
      </c>
      <c r="E3">
        <v>5288878</v>
      </c>
      <c r="F3">
        <v>0</v>
      </c>
      <c r="G3">
        <v>3134</v>
      </c>
      <c r="H3">
        <v>0</v>
      </c>
    </row>
    <row r="4" spans="1:8">
      <c r="A4" t="s">
        <v>6</v>
      </c>
      <c r="B4">
        <v>0</v>
      </c>
      <c r="C4">
        <v>0</v>
      </c>
      <c r="D4">
        <v>0</v>
      </c>
      <c r="E4">
        <v>1069</v>
      </c>
      <c r="F4">
        <v>0</v>
      </c>
      <c r="G4">
        <v>0</v>
      </c>
      <c r="H4">
        <v>0</v>
      </c>
    </row>
    <row r="5" spans="1:8">
      <c r="A5" t="s">
        <v>7</v>
      </c>
      <c r="B5">
        <v>0</v>
      </c>
      <c r="C5">
        <v>0</v>
      </c>
      <c r="D5">
        <v>0</v>
      </c>
      <c r="E5">
        <v>24526</v>
      </c>
      <c r="F5">
        <v>0</v>
      </c>
      <c r="G5">
        <v>0</v>
      </c>
      <c r="H5">
        <v>0</v>
      </c>
    </row>
    <row r="6" spans="1:8">
      <c r="A6" t="s">
        <v>8</v>
      </c>
      <c r="B6">
        <v>0</v>
      </c>
      <c r="C6">
        <v>0</v>
      </c>
      <c r="D6">
        <v>0</v>
      </c>
      <c r="E6">
        <v>9678</v>
      </c>
      <c r="F6">
        <v>0</v>
      </c>
      <c r="G6">
        <v>0</v>
      </c>
      <c r="H6">
        <v>0</v>
      </c>
    </row>
    <row r="7" spans="1:8">
      <c r="A7" t="s">
        <v>9</v>
      </c>
      <c r="B7">
        <v>0</v>
      </c>
      <c r="C7">
        <v>0</v>
      </c>
      <c r="D7">
        <v>0</v>
      </c>
      <c r="E7">
        <v>0</v>
      </c>
      <c r="F7">
        <v>0</v>
      </c>
      <c r="G7">
        <v>0</v>
      </c>
      <c r="H7">
        <v>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K7"/>
  <sheetViews>
    <sheetView workbookViewId="0"/>
    <sheetView workbookViewId="1"/>
  </sheetViews>
  <sheetFormatPr defaultRowHeight="14.75"/>
  <cols>
    <col min="1" max="1" width="13.1328125" customWidth="1"/>
    <col min="2" max="2" width="8.7265625" customWidth="1"/>
  </cols>
  <sheetData>
    <row r="1" spans="1:37">
      <c r="A1" s="1"/>
      <c r="B1" s="5">
        <v>2015</v>
      </c>
      <c r="C1" s="1">
        <v>2016</v>
      </c>
      <c r="D1" s="5">
        <v>2017</v>
      </c>
      <c r="E1" s="1">
        <v>2018</v>
      </c>
      <c r="F1" s="5">
        <v>2019</v>
      </c>
      <c r="G1" s="1">
        <v>2020</v>
      </c>
      <c r="H1" s="5">
        <v>2021</v>
      </c>
      <c r="I1" s="1">
        <v>2022</v>
      </c>
      <c r="J1" s="5">
        <v>2023</v>
      </c>
      <c r="K1" s="1">
        <v>2024</v>
      </c>
      <c r="L1" s="5">
        <v>2025</v>
      </c>
      <c r="M1" s="1">
        <v>2026</v>
      </c>
      <c r="N1" s="5">
        <v>2027</v>
      </c>
      <c r="O1" s="1">
        <v>2028</v>
      </c>
      <c r="P1" s="5">
        <v>2029</v>
      </c>
      <c r="Q1" s="1">
        <v>2030</v>
      </c>
      <c r="R1" s="5">
        <v>2031</v>
      </c>
      <c r="S1" s="1">
        <v>2032</v>
      </c>
      <c r="T1" s="5">
        <v>2033</v>
      </c>
      <c r="U1" s="1">
        <v>2034</v>
      </c>
      <c r="V1" s="5">
        <v>2035</v>
      </c>
      <c r="W1" s="1">
        <v>2036</v>
      </c>
      <c r="X1" s="5">
        <v>2037</v>
      </c>
      <c r="Y1" s="1">
        <v>2038</v>
      </c>
      <c r="Z1" s="5">
        <v>2039</v>
      </c>
      <c r="AA1" s="1">
        <v>2040</v>
      </c>
      <c r="AB1" s="5">
        <v>2041</v>
      </c>
      <c r="AC1" s="1">
        <v>2042</v>
      </c>
      <c r="AD1" s="5">
        <v>2043</v>
      </c>
      <c r="AE1" s="1">
        <v>2044</v>
      </c>
      <c r="AF1" s="5">
        <v>2045</v>
      </c>
      <c r="AG1" s="1">
        <v>2046</v>
      </c>
      <c r="AH1" s="5">
        <v>2047</v>
      </c>
      <c r="AI1" s="1">
        <v>2048</v>
      </c>
      <c r="AJ1" s="5">
        <v>2049</v>
      </c>
      <c r="AK1" s="1">
        <v>2050</v>
      </c>
    </row>
    <row r="2" spans="1:37">
      <c r="A2" s="1" t="s">
        <v>4</v>
      </c>
      <c r="B2" s="13">
        <v>1.67</v>
      </c>
      <c r="C2" s="13">
        <v>1.67</v>
      </c>
      <c r="D2" s="13">
        <v>1.67</v>
      </c>
      <c r="E2" s="13">
        <v>1.67</v>
      </c>
      <c r="F2" s="13">
        <v>1.67</v>
      </c>
      <c r="G2" s="13">
        <v>1.67</v>
      </c>
      <c r="H2" s="13">
        <v>1.67</v>
      </c>
      <c r="I2" s="13">
        <v>1.67</v>
      </c>
      <c r="J2" s="13">
        <v>1.67</v>
      </c>
      <c r="K2" s="13">
        <v>1.67</v>
      </c>
      <c r="L2" s="13">
        <v>1.67</v>
      </c>
      <c r="M2" s="13">
        <v>1.67</v>
      </c>
      <c r="N2" s="13">
        <v>1.67</v>
      </c>
      <c r="O2" s="13">
        <v>1.67</v>
      </c>
      <c r="P2" s="13">
        <v>1.67</v>
      </c>
      <c r="Q2" s="13">
        <v>1.67</v>
      </c>
      <c r="R2" s="13">
        <v>1.67</v>
      </c>
      <c r="S2" s="13">
        <v>1.67</v>
      </c>
      <c r="T2" s="13">
        <v>1.67</v>
      </c>
      <c r="U2" s="13">
        <v>1.67</v>
      </c>
      <c r="V2" s="13">
        <v>1.67</v>
      </c>
      <c r="W2" s="13">
        <v>1.67</v>
      </c>
      <c r="X2" s="13">
        <v>1.67</v>
      </c>
      <c r="Y2" s="13">
        <v>1.67</v>
      </c>
      <c r="Z2" s="13">
        <v>1.67</v>
      </c>
      <c r="AA2" s="13">
        <v>1.67</v>
      </c>
      <c r="AB2" s="13">
        <v>1.67</v>
      </c>
      <c r="AC2" s="13">
        <v>1.67</v>
      </c>
      <c r="AD2" s="13">
        <v>1.67</v>
      </c>
      <c r="AE2" s="13">
        <v>1.67</v>
      </c>
      <c r="AF2" s="13">
        <v>1.67</v>
      </c>
      <c r="AG2" s="13">
        <v>1.67</v>
      </c>
      <c r="AH2" s="13">
        <v>1.67</v>
      </c>
      <c r="AI2" s="13">
        <v>1.67</v>
      </c>
      <c r="AJ2" s="13">
        <v>1.67</v>
      </c>
      <c r="AK2" s="13">
        <v>1.67</v>
      </c>
    </row>
    <row r="3" spans="1:37">
      <c r="A3" s="1" t="s">
        <v>5</v>
      </c>
      <c r="B3" s="14">
        <v>21.196137258578663</v>
      </c>
      <c r="C3" s="13">
        <v>21.196137258578663</v>
      </c>
      <c r="D3" s="13">
        <v>21.196137258578663</v>
      </c>
      <c r="E3" s="13">
        <v>21.196137258578663</v>
      </c>
      <c r="F3" s="13">
        <v>21.196137258578663</v>
      </c>
      <c r="G3" s="13">
        <v>21.196137258578663</v>
      </c>
      <c r="H3" s="13">
        <v>21.196137258578663</v>
      </c>
      <c r="I3" s="13">
        <v>21.196137258578663</v>
      </c>
      <c r="J3" s="13">
        <v>21.196137258578663</v>
      </c>
      <c r="K3" s="13">
        <v>21.196137258578663</v>
      </c>
      <c r="L3" s="13">
        <v>21.196137258578663</v>
      </c>
      <c r="M3" s="13">
        <v>21.196137258578663</v>
      </c>
      <c r="N3" s="13">
        <v>21.196137258578663</v>
      </c>
      <c r="O3" s="13">
        <v>21.196137258578663</v>
      </c>
      <c r="P3" s="13">
        <v>21.196137258578663</v>
      </c>
      <c r="Q3" s="13">
        <v>21.196137258578663</v>
      </c>
      <c r="R3" s="13">
        <v>21.196137258578663</v>
      </c>
      <c r="S3" s="13">
        <v>21.196137258578663</v>
      </c>
      <c r="T3" s="13">
        <v>21.196137258578663</v>
      </c>
      <c r="U3" s="13">
        <v>21.196137258578663</v>
      </c>
      <c r="V3" s="13">
        <v>21.196137258578663</v>
      </c>
      <c r="W3" s="13">
        <v>21.196137258578663</v>
      </c>
      <c r="X3" s="13">
        <v>21.196137258578663</v>
      </c>
      <c r="Y3" s="13">
        <v>21.196137258578663</v>
      </c>
      <c r="Z3" s="13">
        <v>21.196137258578663</v>
      </c>
      <c r="AA3" s="13">
        <v>21.196137258578663</v>
      </c>
      <c r="AB3" s="13">
        <v>21.196137258578663</v>
      </c>
      <c r="AC3" s="13">
        <v>21.196137258578663</v>
      </c>
      <c r="AD3" s="13">
        <v>21.196137258578663</v>
      </c>
      <c r="AE3" s="13">
        <v>21.196137258578663</v>
      </c>
      <c r="AF3" s="13">
        <v>21.196137258578663</v>
      </c>
      <c r="AG3" s="13">
        <v>21.196137258578663</v>
      </c>
      <c r="AH3" s="13">
        <v>21.196137258578663</v>
      </c>
      <c r="AI3" s="13">
        <v>21.196137258578663</v>
      </c>
      <c r="AJ3" s="13">
        <v>21.196137258578663</v>
      </c>
      <c r="AK3" s="13">
        <v>21.196137258578663</v>
      </c>
    </row>
    <row r="4" spans="1:37">
      <c r="A4" s="1" t="s">
        <v>6</v>
      </c>
      <c r="B4" s="14">
        <v>111.39416306433705</v>
      </c>
      <c r="C4" s="13">
        <v>111.39416306433705</v>
      </c>
      <c r="D4" s="13">
        <v>111.39416306433705</v>
      </c>
      <c r="E4" s="13">
        <v>111.39416306433705</v>
      </c>
      <c r="F4" s="13">
        <v>111.39416306433705</v>
      </c>
      <c r="G4" s="13">
        <v>111.39416306433705</v>
      </c>
      <c r="H4" s="13">
        <v>111.39416306433705</v>
      </c>
      <c r="I4" s="13">
        <v>111.39416306433705</v>
      </c>
      <c r="J4" s="13">
        <v>111.39416306433705</v>
      </c>
      <c r="K4" s="13">
        <v>111.39416306433705</v>
      </c>
      <c r="L4" s="13">
        <v>111.39416306433705</v>
      </c>
      <c r="M4" s="13">
        <v>111.39416306433705</v>
      </c>
      <c r="N4" s="13">
        <v>111.39416306433705</v>
      </c>
      <c r="O4" s="13">
        <v>111.39416306433705</v>
      </c>
      <c r="P4" s="13">
        <v>111.39416306433705</v>
      </c>
      <c r="Q4" s="13">
        <v>111.39416306433705</v>
      </c>
      <c r="R4" s="13">
        <v>111.39416306433705</v>
      </c>
      <c r="S4" s="13">
        <v>111.39416306433705</v>
      </c>
      <c r="T4" s="13">
        <v>111.39416306433705</v>
      </c>
      <c r="U4" s="13">
        <v>111.39416306433705</v>
      </c>
      <c r="V4" s="13">
        <v>111.39416306433705</v>
      </c>
      <c r="W4" s="13">
        <v>111.39416306433705</v>
      </c>
      <c r="X4" s="13">
        <v>111.39416306433705</v>
      </c>
      <c r="Y4" s="13">
        <v>111.39416306433705</v>
      </c>
      <c r="Z4" s="13">
        <v>111.39416306433705</v>
      </c>
      <c r="AA4" s="13">
        <v>111.39416306433705</v>
      </c>
      <c r="AB4" s="13">
        <v>111.39416306433705</v>
      </c>
      <c r="AC4" s="13">
        <v>111.39416306433705</v>
      </c>
      <c r="AD4" s="13">
        <v>111.39416306433705</v>
      </c>
      <c r="AE4" s="13">
        <v>111.39416306433705</v>
      </c>
      <c r="AF4" s="13">
        <v>111.39416306433705</v>
      </c>
      <c r="AG4" s="13">
        <v>111.39416306433705</v>
      </c>
      <c r="AH4" s="13">
        <v>111.39416306433705</v>
      </c>
      <c r="AI4" s="13">
        <v>111.39416306433705</v>
      </c>
      <c r="AJ4" s="13">
        <v>111.39416306433705</v>
      </c>
      <c r="AK4" s="13">
        <v>111.39416306433705</v>
      </c>
    </row>
    <row r="5" spans="1:37">
      <c r="A5" s="1" t="s">
        <v>7</v>
      </c>
      <c r="B5" s="14">
        <v>486.56731685074101</v>
      </c>
      <c r="C5" s="13">
        <v>486.56731685074101</v>
      </c>
      <c r="D5" s="13">
        <v>486.56731685074101</v>
      </c>
      <c r="E5" s="13">
        <v>486.56731685074101</v>
      </c>
      <c r="F5" s="13">
        <v>486.56731685074101</v>
      </c>
      <c r="G5" s="13">
        <v>486.56731685074101</v>
      </c>
      <c r="H5" s="13">
        <v>486.56731685074101</v>
      </c>
      <c r="I5" s="13">
        <v>486.56731685074101</v>
      </c>
      <c r="J5" s="13">
        <v>486.56731685074101</v>
      </c>
      <c r="K5" s="13">
        <v>486.56731685074101</v>
      </c>
      <c r="L5" s="13">
        <v>486.56731685074101</v>
      </c>
      <c r="M5" s="13">
        <v>486.56731685074101</v>
      </c>
      <c r="N5" s="13">
        <v>486.56731685074101</v>
      </c>
      <c r="O5" s="13">
        <v>486.56731685074101</v>
      </c>
      <c r="P5" s="13">
        <v>486.56731685074101</v>
      </c>
      <c r="Q5" s="13">
        <v>486.56731685074101</v>
      </c>
      <c r="R5" s="13">
        <v>486.56731685074101</v>
      </c>
      <c r="S5" s="13">
        <v>486.56731685074101</v>
      </c>
      <c r="T5" s="13">
        <v>486.56731685074101</v>
      </c>
      <c r="U5" s="13">
        <v>486.56731685074101</v>
      </c>
      <c r="V5" s="13">
        <v>486.56731685074101</v>
      </c>
      <c r="W5" s="13">
        <v>486.56731685074101</v>
      </c>
      <c r="X5" s="13">
        <v>486.56731685074101</v>
      </c>
      <c r="Y5" s="13">
        <v>486.56731685074101</v>
      </c>
      <c r="Z5" s="13">
        <v>486.56731685074101</v>
      </c>
      <c r="AA5" s="13">
        <v>486.56731685074101</v>
      </c>
      <c r="AB5" s="13">
        <v>486.56731685074101</v>
      </c>
      <c r="AC5" s="13">
        <v>486.56731685074101</v>
      </c>
      <c r="AD5" s="13">
        <v>486.56731685074101</v>
      </c>
      <c r="AE5" s="13">
        <v>486.56731685074101</v>
      </c>
      <c r="AF5" s="13">
        <v>486.56731685074101</v>
      </c>
      <c r="AG5" s="13">
        <v>486.56731685074101</v>
      </c>
      <c r="AH5" s="13">
        <v>486.56731685074101</v>
      </c>
      <c r="AI5" s="13">
        <v>486.56731685074101</v>
      </c>
      <c r="AJ5" s="13">
        <v>486.56731685074101</v>
      </c>
      <c r="AK5" s="13">
        <v>486.56731685074101</v>
      </c>
    </row>
    <row r="6" spans="1:37">
      <c r="A6" s="1" t="s">
        <v>8</v>
      </c>
      <c r="B6" s="13">
        <v>1</v>
      </c>
      <c r="C6" s="13">
        <v>1</v>
      </c>
      <c r="D6" s="13">
        <v>1</v>
      </c>
      <c r="E6" s="13">
        <v>1</v>
      </c>
      <c r="F6" s="13">
        <v>1</v>
      </c>
      <c r="G6" s="13">
        <v>1</v>
      </c>
      <c r="H6" s="13">
        <v>1</v>
      </c>
      <c r="I6" s="13">
        <v>1</v>
      </c>
      <c r="J6" s="13">
        <v>1</v>
      </c>
      <c r="K6" s="13">
        <v>1</v>
      </c>
      <c r="L6" s="13">
        <v>1</v>
      </c>
      <c r="M6" s="13">
        <v>1</v>
      </c>
      <c r="N6" s="13">
        <v>1</v>
      </c>
      <c r="O6" s="13">
        <v>1</v>
      </c>
      <c r="P6" s="13">
        <v>1</v>
      </c>
      <c r="Q6" s="13">
        <v>1</v>
      </c>
      <c r="R6" s="13">
        <v>1</v>
      </c>
      <c r="S6" s="13">
        <v>1</v>
      </c>
      <c r="T6" s="13">
        <v>1</v>
      </c>
      <c r="U6" s="13">
        <v>1</v>
      </c>
      <c r="V6" s="13">
        <v>1</v>
      </c>
      <c r="W6" s="13">
        <v>1</v>
      </c>
      <c r="X6" s="13">
        <v>1</v>
      </c>
      <c r="Y6" s="13">
        <v>1</v>
      </c>
      <c r="Z6" s="13">
        <v>1</v>
      </c>
      <c r="AA6" s="13">
        <v>1</v>
      </c>
      <c r="AB6" s="13">
        <v>1</v>
      </c>
      <c r="AC6" s="13">
        <v>1</v>
      </c>
      <c r="AD6" s="13">
        <v>1</v>
      </c>
      <c r="AE6" s="13">
        <v>1</v>
      </c>
      <c r="AF6" s="13">
        <v>1</v>
      </c>
      <c r="AG6" s="13">
        <v>1</v>
      </c>
      <c r="AH6" s="13">
        <v>1</v>
      </c>
      <c r="AI6" s="13">
        <v>1</v>
      </c>
      <c r="AJ6" s="13">
        <v>1</v>
      </c>
      <c r="AK6" s="13">
        <v>1</v>
      </c>
    </row>
    <row r="7" spans="1:37">
      <c r="A7" s="1" t="s">
        <v>9</v>
      </c>
      <c r="B7" s="13">
        <v>1.2700756740871355</v>
      </c>
      <c r="C7" s="13">
        <v>1.2700756740871355</v>
      </c>
      <c r="D7" s="13">
        <v>1.2700756740871355</v>
      </c>
      <c r="E7" s="13">
        <v>1.2700756740871355</v>
      </c>
      <c r="F7" s="13">
        <v>1.2700756740871355</v>
      </c>
      <c r="G7" s="13">
        <v>1.2700756740871355</v>
      </c>
      <c r="H7" s="13">
        <v>1.2700756740871355</v>
      </c>
      <c r="I7" s="13">
        <v>1.2700756740871355</v>
      </c>
      <c r="J7" s="13">
        <v>1.2700756740871355</v>
      </c>
      <c r="K7" s="13">
        <v>1.2700756740871355</v>
      </c>
      <c r="L7" s="13">
        <v>1.2700756740871355</v>
      </c>
      <c r="M7" s="13">
        <v>1.2700756740871355</v>
      </c>
      <c r="N7" s="13">
        <v>1.2700756740871355</v>
      </c>
      <c r="O7" s="13">
        <v>1.2700756740871355</v>
      </c>
      <c r="P7" s="13">
        <v>1.2700756740871355</v>
      </c>
      <c r="Q7" s="13">
        <v>1.2700756740871355</v>
      </c>
      <c r="R7" s="13">
        <v>1.2700756740871355</v>
      </c>
      <c r="S7" s="13">
        <v>1.2700756740871355</v>
      </c>
      <c r="T7" s="13">
        <v>1.2700756740871355</v>
      </c>
      <c r="U7" s="13">
        <v>1.2700756740871355</v>
      </c>
      <c r="V7" s="13">
        <v>1.2700756740871355</v>
      </c>
      <c r="W7" s="13">
        <v>1.2700756740871355</v>
      </c>
      <c r="X7" s="13">
        <v>1.2700756740871355</v>
      </c>
      <c r="Y7" s="13">
        <v>1.2700756740871355</v>
      </c>
      <c r="Z7" s="13">
        <v>1.2700756740871355</v>
      </c>
      <c r="AA7" s="13">
        <v>1.2700756740871355</v>
      </c>
      <c r="AB7" s="13">
        <v>1.2700756740871355</v>
      </c>
      <c r="AC7" s="13">
        <v>1.2700756740871355</v>
      </c>
      <c r="AD7" s="13">
        <v>1.2700756740871355</v>
      </c>
      <c r="AE7" s="13">
        <v>1.2700756740871355</v>
      </c>
      <c r="AF7" s="13">
        <v>1.2700756740871355</v>
      </c>
      <c r="AG7" s="13">
        <v>1.2700756740871355</v>
      </c>
      <c r="AH7" s="13">
        <v>1.2700756740871355</v>
      </c>
      <c r="AI7" s="13">
        <v>1.2700756740871355</v>
      </c>
      <c r="AJ7" s="13">
        <v>1.2700756740871355</v>
      </c>
      <c r="AK7" s="13">
        <v>1.2700756740871355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J7"/>
  <sheetViews>
    <sheetView workbookViewId="0"/>
    <sheetView workbookViewId="1"/>
  </sheetViews>
  <sheetFormatPr defaultRowHeight="14.75"/>
  <cols>
    <col min="1" max="1" width="11.86328125" customWidth="1"/>
  </cols>
  <sheetData>
    <row r="1" spans="1:36" s="1" customFormat="1">
      <c r="B1" s="1">
        <v>2016</v>
      </c>
      <c r="C1" s="1">
        <v>2017</v>
      </c>
      <c r="D1" s="1">
        <v>2018</v>
      </c>
      <c r="E1" s="1">
        <v>2019</v>
      </c>
      <c r="F1" s="1">
        <v>2020</v>
      </c>
      <c r="G1" s="1">
        <v>2021</v>
      </c>
      <c r="H1" s="1">
        <v>2022</v>
      </c>
      <c r="I1" s="1">
        <v>2023</v>
      </c>
      <c r="J1" s="1">
        <v>2024</v>
      </c>
      <c r="K1" s="1">
        <v>2025</v>
      </c>
      <c r="L1" s="1">
        <v>2026</v>
      </c>
      <c r="M1" s="1">
        <v>2027</v>
      </c>
      <c r="N1" s="1">
        <v>2028</v>
      </c>
      <c r="O1" s="1">
        <v>2029</v>
      </c>
      <c r="P1" s="1">
        <v>2030</v>
      </c>
      <c r="Q1" s="1">
        <v>2031</v>
      </c>
      <c r="R1" s="1">
        <v>2032</v>
      </c>
      <c r="S1" s="1">
        <v>2033</v>
      </c>
      <c r="T1" s="1">
        <v>2034</v>
      </c>
      <c r="U1" s="1">
        <v>2035</v>
      </c>
      <c r="V1" s="1">
        <v>2036</v>
      </c>
      <c r="W1" s="1">
        <v>2037</v>
      </c>
      <c r="X1" s="1">
        <v>2038</v>
      </c>
      <c r="Y1" s="1">
        <v>2039</v>
      </c>
      <c r="Z1" s="1">
        <v>2040</v>
      </c>
      <c r="AA1" s="1">
        <v>2041</v>
      </c>
      <c r="AB1" s="1">
        <v>2042</v>
      </c>
      <c r="AC1" s="1">
        <v>2043</v>
      </c>
      <c r="AD1" s="1">
        <v>2044</v>
      </c>
      <c r="AE1" s="1">
        <v>2045</v>
      </c>
      <c r="AF1" s="1">
        <v>2046</v>
      </c>
      <c r="AG1" s="1">
        <v>2047</v>
      </c>
      <c r="AH1" s="1">
        <v>2048</v>
      </c>
      <c r="AI1" s="1">
        <v>2049</v>
      </c>
      <c r="AJ1" s="1">
        <v>2050</v>
      </c>
    </row>
    <row r="2" spans="1:36">
      <c r="A2" s="1" t="s">
        <v>4</v>
      </c>
      <c r="B2" s="6">
        <v>1</v>
      </c>
      <c r="C2">
        <v>1</v>
      </c>
      <c r="D2">
        <v>1</v>
      </c>
      <c r="E2">
        <v>1</v>
      </c>
      <c r="F2">
        <v>1</v>
      </c>
      <c r="G2">
        <v>1</v>
      </c>
      <c r="H2">
        <v>1</v>
      </c>
      <c r="I2">
        <v>1</v>
      </c>
      <c r="J2">
        <v>1</v>
      </c>
      <c r="K2">
        <v>1</v>
      </c>
      <c r="L2">
        <v>1</v>
      </c>
      <c r="M2">
        <v>1</v>
      </c>
      <c r="N2">
        <v>1</v>
      </c>
      <c r="O2">
        <v>1</v>
      </c>
      <c r="P2">
        <v>1</v>
      </c>
      <c r="Q2">
        <v>1</v>
      </c>
      <c r="R2">
        <v>1</v>
      </c>
      <c r="S2">
        <v>1</v>
      </c>
      <c r="T2">
        <v>1</v>
      </c>
      <c r="U2">
        <v>1</v>
      </c>
      <c r="V2">
        <v>1</v>
      </c>
      <c r="W2">
        <v>1</v>
      </c>
      <c r="X2">
        <v>1</v>
      </c>
      <c r="Y2">
        <v>1</v>
      </c>
      <c r="Z2">
        <v>1</v>
      </c>
      <c r="AA2">
        <v>1</v>
      </c>
      <c r="AB2">
        <v>1</v>
      </c>
      <c r="AC2">
        <v>1</v>
      </c>
      <c r="AD2">
        <v>1</v>
      </c>
      <c r="AE2">
        <v>1</v>
      </c>
      <c r="AF2">
        <v>1</v>
      </c>
      <c r="AG2">
        <v>1</v>
      </c>
      <c r="AH2">
        <v>1</v>
      </c>
      <c r="AI2">
        <v>1</v>
      </c>
      <c r="AJ2">
        <v>1</v>
      </c>
    </row>
    <row r="3" spans="1:36">
      <c r="A3" s="1" t="s">
        <v>5</v>
      </c>
      <c r="B3" s="6">
        <v>16</v>
      </c>
      <c r="C3">
        <v>16</v>
      </c>
      <c r="D3">
        <v>16</v>
      </c>
      <c r="E3">
        <v>16</v>
      </c>
      <c r="F3">
        <v>16</v>
      </c>
      <c r="G3">
        <v>16</v>
      </c>
      <c r="H3">
        <v>16</v>
      </c>
      <c r="I3">
        <v>16</v>
      </c>
      <c r="J3">
        <v>16</v>
      </c>
      <c r="K3">
        <v>16</v>
      </c>
      <c r="L3">
        <v>16</v>
      </c>
      <c r="M3">
        <v>16</v>
      </c>
      <c r="N3">
        <v>16</v>
      </c>
      <c r="O3">
        <v>16</v>
      </c>
      <c r="P3">
        <v>16</v>
      </c>
      <c r="Q3">
        <v>16</v>
      </c>
      <c r="R3">
        <v>16</v>
      </c>
      <c r="S3">
        <v>16</v>
      </c>
      <c r="T3">
        <v>16</v>
      </c>
      <c r="U3">
        <v>16</v>
      </c>
      <c r="V3">
        <v>16</v>
      </c>
      <c r="W3">
        <v>16</v>
      </c>
      <c r="X3">
        <v>16</v>
      </c>
      <c r="Y3">
        <v>16</v>
      </c>
      <c r="Z3">
        <v>16</v>
      </c>
      <c r="AA3">
        <v>16</v>
      </c>
      <c r="AB3">
        <v>16</v>
      </c>
      <c r="AC3">
        <v>16</v>
      </c>
      <c r="AD3">
        <v>16</v>
      </c>
      <c r="AE3">
        <v>16</v>
      </c>
      <c r="AF3">
        <v>16</v>
      </c>
      <c r="AG3">
        <v>16</v>
      </c>
      <c r="AH3">
        <v>16</v>
      </c>
      <c r="AI3">
        <v>16</v>
      </c>
      <c r="AJ3">
        <v>16</v>
      </c>
    </row>
    <row r="4" spans="1:36">
      <c r="A4" s="1" t="s">
        <v>6</v>
      </c>
      <c r="B4" s="6">
        <v>41.989116133258747</v>
      </c>
      <c r="C4" s="6">
        <v>41.989116133258747</v>
      </c>
      <c r="D4" s="6">
        <v>41.989116133258747</v>
      </c>
      <c r="E4" s="6">
        <v>41.989116133258747</v>
      </c>
      <c r="F4" s="6">
        <v>41.989116133258747</v>
      </c>
      <c r="G4" s="6">
        <v>41.989116133258747</v>
      </c>
      <c r="H4" s="6">
        <v>41.989116133258747</v>
      </c>
      <c r="I4" s="6">
        <v>41.989116133258747</v>
      </c>
      <c r="J4" s="6">
        <v>41.989116133258747</v>
      </c>
      <c r="K4" s="6">
        <v>41.989116133258747</v>
      </c>
      <c r="L4" s="6">
        <v>41.989116133258747</v>
      </c>
      <c r="M4" s="6">
        <v>41.989116133258747</v>
      </c>
      <c r="N4" s="6">
        <v>41.989116133258747</v>
      </c>
      <c r="O4" s="6">
        <v>41.989116133258747</v>
      </c>
      <c r="P4" s="6">
        <v>41.989116133258747</v>
      </c>
      <c r="Q4" s="6">
        <v>41.989116133258747</v>
      </c>
      <c r="R4" s="6">
        <v>41.989116133258747</v>
      </c>
      <c r="S4" s="6">
        <v>41.989116133258747</v>
      </c>
      <c r="T4" s="6">
        <v>41.989116133258747</v>
      </c>
      <c r="U4" s="6">
        <v>41.989116133258747</v>
      </c>
      <c r="V4" s="6">
        <v>41.989116133258747</v>
      </c>
      <c r="W4" s="6">
        <v>41.989116133258747</v>
      </c>
      <c r="X4" s="6">
        <v>41.989116133258747</v>
      </c>
      <c r="Y4" s="6">
        <v>41.989116133258747</v>
      </c>
      <c r="Z4" s="6">
        <v>41.989116133258747</v>
      </c>
      <c r="AA4" s="6">
        <v>41.989116133258747</v>
      </c>
      <c r="AB4" s="6">
        <v>41.989116133258747</v>
      </c>
      <c r="AC4" s="6">
        <v>41.989116133258747</v>
      </c>
      <c r="AD4" s="6">
        <v>41.989116133258747</v>
      </c>
      <c r="AE4" s="6">
        <v>41.989116133258747</v>
      </c>
      <c r="AF4" s="6">
        <v>41.989116133258747</v>
      </c>
      <c r="AG4" s="6">
        <v>41.989116133258747</v>
      </c>
      <c r="AH4" s="6">
        <v>41.989116133258747</v>
      </c>
      <c r="AI4" s="6">
        <v>41.989116133258747</v>
      </c>
      <c r="AJ4" s="6">
        <v>41.989116133258747</v>
      </c>
    </row>
    <row r="5" spans="1:36">
      <c r="A5" s="1" t="s">
        <v>7</v>
      </c>
      <c r="B5" s="6">
        <v>3512.35916421195</v>
      </c>
      <c r="C5" s="6">
        <v>3512.35916421195</v>
      </c>
      <c r="D5" s="6">
        <v>3512.35916421195</v>
      </c>
      <c r="E5" s="6">
        <v>3512.35916421195</v>
      </c>
      <c r="F5" s="6">
        <v>3512.35916421195</v>
      </c>
      <c r="G5" s="6">
        <v>3512.35916421195</v>
      </c>
      <c r="H5" s="6">
        <v>3512.35916421195</v>
      </c>
      <c r="I5" s="6">
        <v>3512.35916421195</v>
      </c>
      <c r="J5" s="6">
        <v>3512.35916421195</v>
      </c>
      <c r="K5" s="6">
        <v>3512.35916421195</v>
      </c>
      <c r="L5" s="6">
        <v>3512.35916421195</v>
      </c>
      <c r="M5" s="6">
        <v>3512.35916421195</v>
      </c>
      <c r="N5" s="6">
        <v>3512.35916421195</v>
      </c>
      <c r="O5" s="6">
        <v>3512.35916421195</v>
      </c>
      <c r="P5" s="6">
        <v>3512.35916421195</v>
      </c>
      <c r="Q5" s="6">
        <v>3512.35916421195</v>
      </c>
      <c r="R5" s="6">
        <v>3512.35916421195</v>
      </c>
      <c r="S5" s="6">
        <v>3512.35916421195</v>
      </c>
      <c r="T5" s="6">
        <v>3512.35916421195</v>
      </c>
      <c r="U5" s="6">
        <v>3512.35916421195</v>
      </c>
      <c r="V5" s="6">
        <v>3512.35916421195</v>
      </c>
      <c r="W5" s="6">
        <v>3512.35916421195</v>
      </c>
      <c r="X5" s="6">
        <v>3512.35916421195</v>
      </c>
      <c r="Y5" s="6">
        <v>3512.35916421195</v>
      </c>
      <c r="Z5" s="6">
        <v>3512.35916421195</v>
      </c>
      <c r="AA5" s="6">
        <v>3512.35916421195</v>
      </c>
      <c r="AB5" s="6">
        <v>3512.35916421195</v>
      </c>
      <c r="AC5" s="6">
        <v>3512.35916421195</v>
      </c>
      <c r="AD5" s="6">
        <v>3512.35916421195</v>
      </c>
      <c r="AE5" s="6">
        <v>3512.35916421195</v>
      </c>
      <c r="AF5" s="6">
        <v>3512.35916421195</v>
      </c>
      <c r="AG5" s="6">
        <v>3512.35916421195</v>
      </c>
      <c r="AH5" s="6">
        <v>3512.35916421195</v>
      </c>
      <c r="AI5" s="6">
        <v>3512.35916421195</v>
      </c>
      <c r="AJ5" s="6">
        <v>3512.35916421195</v>
      </c>
    </row>
    <row r="6" spans="1:36">
      <c r="A6" s="1" t="s">
        <v>8</v>
      </c>
      <c r="B6" s="6">
        <v>1974.4736422180429</v>
      </c>
      <c r="C6" s="6">
        <v>1974.4736422180429</v>
      </c>
      <c r="D6" s="6">
        <v>1974.4736422180429</v>
      </c>
      <c r="E6" s="6">
        <v>1974.4736422180429</v>
      </c>
      <c r="F6" s="6">
        <v>1974.4736422180429</v>
      </c>
      <c r="G6" s="6">
        <v>1974.4736422180429</v>
      </c>
      <c r="H6" s="6">
        <v>1974.4736422180429</v>
      </c>
      <c r="I6" s="6">
        <v>1974.4736422180429</v>
      </c>
      <c r="J6" s="6">
        <v>1974.4736422180429</v>
      </c>
      <c r="K6" s="6">
        <v>1974.4736422180429</v>
      </c>
      <c r="L6" s="6">
        <v>1974.4736422180429</v>
      </c>
      <c r="M6" s="6">
        <v>1974.4736422180429</v>
      </c>
      <c r="N6" s="6">
        <v>1974.4736422180429</v>
      </c>
      <c r="O6" s="6">
        <v>1974.4736422180429</v>
      </c>
      <c r="P6" s="6">
        <v>1974.4736422180429</v>
      </c>
      <c r="Q6" s="6">
        <v>1974.4736422180429</v>
      </c>
      <c r="R6" s="6">
        <v>1974.4736422180429</v>
      </c>
      <c r="S6" s="6">
        <v>1974.4736422180429</v>
      </c>
      <c r="T6" s="6">
        <v>1974.4736422180429</v>
      </c>
      <c r="U6" s="6">
        <v>1974.4736422180429</v>
      </c>
      <c r="V6" s="6">
        <v>1974.4736422180429</v>
      </c>
      <c r="W6" s="6">
        <v>1974.4736422180429</v>
      </c>
      <c r="X6" s="6">
        <v>1974.4736422180429</v>
      </c>
      <c r="Y6" s="6">
        <v>1974.4736422180429</v>
      </c>
      <c r="Z6" s="6">
        <v>1974.4736422180429</v>
      </c>
      <c r="AA6" s="6">
        <v>1974.4736422180429</v>
      </c>
      <c r="AB6" s="6">
        <v>1974.4736422180429</v>
      </c>
      <c r="AC6" s="6">
        <v>1974.4736422180429</v>
      </c>
      <c r="AD6" s="6">
        <v>1974.4736422180429</v>
      </c>
      <c r="AE6" s="6">
        <v>1974.4736422180429</v>
      </c>
      <c r="AF6" s="6">
        <v>1974.4736422180429</v>
      </c>
      <c r="AG6" s="6">
        <v>1974.4736422180429</v>
      </c>
      <c r="AH6" s="6">
        <v>1974.4736422180429</v>
      </c>
      <c r="AI6" s="6">
        <v>1974.4736422180429</v>
      </c>
      <c r="AJ6" s="6">
        <v>1974.4736422180429</v>
      </c>
    </row>
    <row r="7" spans="1:36">
      <c r="A7" s="1" t="s">
        <v>9</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v>0</v>
      </c>
      <c r="AI7">
        <v>0</v>
      </c>
      <c r="AJ7">
        <v>0</v>
      </c>
    </row>
  </sheetData>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7B30C-472E-4D21-812F-392A50EFD60C}">
  <dimension ref="A1:AH2837"/>
  <sheetViews>
    <sheetView workbookViewId="0"/>
    <sheetView workbookViewId="1"/>
  </sheetViews>
  <sheetFormatPr defaultColWidth="8.7265625" defaultRowHeight="14.75"/>
  <cols>
    <col min="2" max="2" width="38" customWidth="1"/>
  </cols>
  <sheetData>
    <row r="1" spans="1:33" ht="15.5" thickBot="1">
      <c r="A1" s="29"/>
      <c r="B1" s="147" t="s">
        <v>649</v>
      </c>
      <c r="C1" s="148">
        <v>2022</v>
      </c>
      <c r="D1" s="148">
        <v>2023</v>
      </c>
      <c r="E1" s="148">
        <v>2024</v>
      </c>
      <c r="F1" s="148">
        <v>2025</v>
      </c>
      <c r="G1" s="148">
        <v>2026</v>
      </c>
      <c r="H1" s="148">
        <v>2027</v>
      </c>
      <c r="I1" s="148">
        <v>2028</v>
      </c>
      <c r="J1" s="148">
        <v>2029</v>
      </c>
      <c r="K1" s="148">
        <v>2030</v>
      </c>
      <c r="L1" s="148">
        <v>2031</v>
      </c>
      <c r="M1" s="148">
        <v>2032</v>
      </c>
      <c r="N1" s="148">
        <v>2033</v>
      </c>
      <c r="O1" s="148">
        <v>2034</v>
      </c>
      <c r="P1" s="148">
        <v>2035</v>
      </c>
      <c r="Q1" s="148">
        <v>2036</v>
      </c>
      <c r="R1" s="148">
        <v>2037</v>
      </c>
      <c r="S1" s="148">
        <v>2038</v>
      </c>
      <c r="T1" s="148">
        <v>2039</v>
      </c>
      <c r="U1" s="148">
        <v>2040</v>
      </c>
      <c r="V1" s="148">
        <v>2041</v>
      </c>
      <c r="W1" s="148">
        <v>2042</v>
      </c>
      <c r="X1" s="148">
        <v>2043</v>
      </c>
      <c r="Y1" s="148">
        <v>2044</v>
      </c>
      <c r="Z1" s="148">
        <v>2045</v>
      </c>
      <c r="AA1" s="148">
        <v>2046</v>
      </c>
      <c r="AB1" s="148">
        <v>2047</v>
      </c>
      <c r="AC1" s="148">
        <v>2048</v>
      </c>
      <c r="AD1" s="148">
        <v>2049</v>
      </c>
      <c r="AE1" s="148">
        <v>2050</v>
      </c>
      <c r="AF1" s="29"/>
      <c r="AG1" s="29"/>
    </row>
    <row r="2" spans="1:33" ht="15.5" thickTop="1">
      <c r="A2" s="29"/>
      <c r="B2" s="29"/>
      <c r="C2" s="29"/>
      <c r="D2" s="29"/>
      <c r="E2" s="29"/>
      <c r="F2" s="29"/>
      <c r="G2" s="29"/>
      <c r="H2" s="29"/>
      <c r="I2" s="29"/>
      <c r="J2" s="29"/>
      <c r="K2" s="29"/>
      <c r="L2" s="29"/>
      <c r="M2" s="29"/>
      <c r="N2" s="29"/>
      <c r="O2" s="29"/>
      <c r="P2" s="29"/>
      <c r="Q2" s="29"/>
      <c r="R2" s="29"/>
      <c r="S2" s="29"/>
      <c r="T2" s="29"/>
      <c r="U2" s="29"/>
      <c r="V2" s="29"/>
      <c r="W2" s="29"/>
      <c r="X2" s="29"/>
      <c r="Y2" s="29"/>
      <c r="Z2" s="29"/>
      <c r="AA2" s="29"/>
      <c r="AB2" s="29"/>
      <c r="AC2" s="29"/>
      <c r="AD2" s="29"/>
      <c r="AE2" s="29"/>
      <c r="AF2" s="29"/>
      <c r="AG2" s="29"/>
    </row>
    <row r="3" spans="1:33">
      <c r="A3" s="29"/>
      <c r="B3" s="29"/>
      <c r="C3" s="40" t="s">
        <v>265</v>
      </c>
      <c r="D3" s="40" t="s">
        <v>650</v>
      </c>
      <c r="E3" s="36"/>
      <c r="F3" s="36"/>
      <c r="G3" s="36"/>
      <c r="H3" s="29"/>
      <c r="I3" s="29"/>
      <c r="J3" s="29"/>
      <c r="K3" s="29"/>
      <c r="L3" s="29"/>
      <c r="M3" s="29"/>
      <c r="N3" s="29"/>
      <c r="O3" s="29"/>
      <c r="P3" s="29"/>
      <c r="Q3" s="29"/>
      <c r="R3" s="29"/>
      <c r="S3" s="29"/>
      <c r="T3" s="29"/>
      <c r="U3" s="29"/>
      <c r="V3" s="29"/>
      <c r="W3" s="29"/>
      <c r="X3" s="29"/>
      <c r="Y3" s="29"/>
      <c r="Z3" s="29"/>
      <c r="AA3" s="29"/>
      <c r="AB3" s="29"/>
      <c r="AC3" s="29"/>
      <c r="AD3" s="29"/>
      <c r="AE3" s="29"/>
      <c r="AF3" s="29"/>
      <c r="AG3" s="29"/>
    </row>
    <row r="4" spans="1:33">
      <c r="A4" s="29"/>
      <c r="B4" s="29"/>
      <c r="C4" s="40" t="s">
        <v>266</v>
      </c>
      <c r="D4" s="40" t="s">
        <v>651</v>
      </c>
      <c r="E4" s="36"/>
      <c r="F4" s="36"/>
      <c r="G4" s="40" t="s">
        <v>652</v>
      </c>
      <c r="H4" s="29"/>
      <c r="I4" s="29"/>
      <c r="J4" s="29"/>
      <c r="K4" s="29"/>
      <c r="L4" s="29"/>
      <c r="M4" s="29"/>
      <c r="N4" s="29"/>
      <c r="O4" s="29"/>
      <c r="P4" s="29"/>
      <c r="Q4" s="29"/>
      <c r="R4" s="29"/>
      <c r="S4" s="29"/>
      <c r="T4" s="29"/>
      <c r="U4" s="29"/>
      <c r="V4" s="29"/>
      <c r="W4" s="29"/>
      <c r="X4" s="29"/>
      <c r="Y4" s="29"/>
      <c r="Z4" s="29"/>
      <c r="AA4" s="29"/>
      <c r="AB4" s="29"/>
      <c r="AC4" s="29"/>
      <c r="AD4" s="29"/>
      <c r="AE4" s="29"/>
      <c r="AF4" s="29"/>
      <c r="AG4" s="29"/>
    </row>
    <row r="5" spans="1:33">
      <c r="A5" s="29"/>
      <c r="B5" s="29"/>
      <c r="C5" s="40" t="s">
        <v>267</v>
      </c>
      <c r="D5" s="40" t="s">
        <v>653</v>
      </c>
      <c r="E5" s="36"/>
      <c r="F5" s="36"/>
      <c r="G5" s="36"/>
      <c r="H5" s="29"/>
      <c r="I5" s="29"/>
      <c r="J5" s="29"/>
      <c r="K5" s="29"/>
      <c r="L5" s="29"/>
      <c r="M5" s="29"/>
      <c r="N5" s="29"/>
      <c r="O5" s="29"/>
      <c r="P5" s="29"/>
      <c r="Q5" s="29"/>
      <c r="R5" s="29"/>
      <c r="S5" s="29"/>
      <c r="T5" s="29"/>
      <c r="U5" s="29"/>
      <c r="V5" s="29"/>
      <c r="W5" s="29"/>
      <c r="X5" s="29"/>
      <c r="Y5" s="29"/>
      <c r="Z5" s="29"/>
      <c r="AA5" s="29"/>
      <c r="AB5" s="29"/>
      <c r="AC5" s="29"/>
      <c r="AD5" s="29"/>
      <c r="AE5" s="29"/>
      <c r="AF5" s="29"/>
      <c r="AG5" s="29"/>
    </row>
    <row r="6" spans="1:33">
      <c r="A6" s="29"/>
      <c r="B6" s="29"/>
      <c r="C6" s="40" t="s">
        <v>268</v>
      </c>
      <c r="D6" s="36"/>
      <c r="E6" s="40" t="s">
        <v>654</v>
      </c>
      <c r="F6" s="36"/>
      <c r="G6" s="36"/>
      <c r="H6" s="29"/>
      <c r="I6" s="29"/>
      <c r="J6" s="29"/>
      <c r="K6" s="29"/>
      <c r="L6" s="29"/>
      <c r="M6" s="29"/>
      <c r="N6" s="29"/>
      <c r="O6" s="29"/>
      <c r="P6" s="29"/>
      <c r="Q6" s="29"/>
      <c r="R6" s="29"/>
      <c r="S6" s="29"/>
      <c r="T6" s="29"/>
      <c r="U6" s="29"/>
      <c r="V6" s="29"/>
      <c r="W6" s="29"/>
      <c r="X6" s="29"/>
      <c r="Y6" s="29"/>
      <c r="Z6" s="29"/>
      <c r="AA6" s="29"/>
      <c r="AB6" s="29"/>
      <c r="AC6" s="29"/>
      <c r="AD6" s="29"/>
      <c r="AE6" s="29"/>
      <c r="AF6" s="29"/>
      <c r="AG6" s="29"/>
    </row>
    <row r="7" spans="1:33">
      <c r="A7" s="29"/>
      <c r="B7" s="29"/>
      <c r="C7" s="29"/>
      <c r="D7" s="29"/>
      <c r="E7" s="29"/>
      <c r="F7" s="29"/>
      <c r="G7" s="29"/>
      <c r="H7" s="29"/>
      <c r="I7" s="29"/>
      <c r="J7" s="29"/>
      <c r="K7" s="29"/>
      <c r="L7" s="29"/>
      <c r="M7" s="29"/>
      <c r="N7" s="29"/>
      <c r="O7" s="29"/>
      <c r="P7" s="29"/>
      <c r="Q7" s="29"/>
      <c r="R7" s="29"/>
      <c r="S7" s="29"/>
      <c r="T7" s="29"/>
      <c r="U7" s="29"/>
      <c r="V7" s="29"/>
      <c r="W7" s="29"/>
      <c r="X7" s="29"/>
      <c r="Y7" s="29"/>
      <c r="Z7" s="29"/>
      <c r="AA7" s="29"/>
      <c r="AB7" s="29"/>
      <c r="AC7" s="29"/>
      <c r="AD7" s="29"/>
      <c r="AE7" s="29"/>
      <c r="AF7" s="29"/>
      <c r="AG7" s="29"/>
    </row>
    <row r="8" spans="1:33">
      <c r="A8" s="29"/>
      <c r="B8" s="29"/>
      <c r="C8" s="29"/>
      <c r="D8" s="29"/>
      <c r="E8" s="29"/>
      <c r="F8" s="29"/>
      <c r="G8" s="29"/>
      <c r="H8" s="29"/>
      <c r="I8" s="29"/>
      <c r="J8" s="29"/>
      <c r="K8" s="29"/>
      <c r="L8" s="29"/>
      <c r="M8" s="29"/>
      <c r="N8" s="29"/>
      <c r="O8" s="29"/>
      <c r="P8" s="29"/>
      <c r="Q8" s="29"/>
      <c r="R8" s="29"/>
      <c r="S8" s="29"/>
      <c r="T8" s="29"/>
      <c r="U8" s="29"/>
      <c r="V8" s="29"/>
      <c r="W8" s="29"/>
      <c r="X8" s="29"/>
      <c r="Y8" s="29"/>
      <c r="Z8" s="29"/>
      <c r="AA8" s="29"/>
      <c r="AB8" s="29"/>
      <c r="AC8" s="29"/>
      <c r="AD8" s="29"/>
      <c r="AE8" s="29"/>
      <c r="AF8" s="29"/>
      <c r="AG8" s="29"/>
    </row>
    <row r="9" spans="1:33">
      <c r="A9" s="29"/>
      <c r="B9" s="31"/>
      <c r="C9" s="31"/>
      <c r="D9" s="31"/>
      <c r="E9" s="31"/>
      <c r="F9" s="31"/>
      <c r="G9" s="31"/>
      <c r="H9" s="31"/>
      <c r="I9" s="31"/>
      <c r="J9" s="31"/>
      <c r="K9" s="31"/>
      <c r="L9" s="31"/>
      <c r="M9" s="31"/>
      <c r="N9" s="31"/>
      <c r="O9" s="31"/>
      <c r="P9" s="31"/>
      <c r="Q9" s="31"/>
      <c r="R9" s="31"/>
      <c r="S9" s="31"/>
      <c r="T9" s="31"/>
      <c r="U9" s="31"/>
      <c r="V9" s="31"/>
      <c r="W9" s="31"/>
      <c r="X9" s="31"/>
      <c r="Y9" s="31"/>
      <c r="Z9" s="31"/>
      <c r="AA9" s="31"/>
      <c r="AB9" s="31"/>
      <c r="AC9" s="31"/>
      <c r="AD9" s="31"/>
      <c r="AE9" s="31"/>
      <c r="AF9" s="31"/>
      <c r="AG9" s="31"/>
    </row>
    <row r="10" spans="1:33" ht="16">
      <c r="A10" s="30" t="s">
        <v>37</v>
      </c>
      <c r="B10" s="149" t="s">
        <v>38</v>
      </c>
      <c r="C10" s="31"/>
      <c r="D10" s="31"/>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7" t="s">
        <v>655</v>
      </c>
      <c r="AG10" s="31"/>
    </row>
    <row r="11" spans="1:33">
      <c r="A11" s="29"/>
      <c r="B11" s="150"/>
      <c r="C11" s="31"/>
      <c r="D11" s="31"/>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7" t="s">
        <v>656</v>
      </c>
      <c r="AG11" s="31"/>
    </row>
    <row r="12" spans="1:33">
      <c r="A12" s="29"/>
      <c r="B12" s="150"/>
      <c r="C12" s="38"/>
      <c r="D12" s="38"/>
      <c r="E12" s="38"/>
      <c r="F12" s="38"/>
      <c r="G12" s="38"/>
      <c r="H12" s="38"/>
      <c r="I12" s="38"/>
      <c r="J12" s="38"/>
      <c r="K12" s="38"/>
      <c r="L12" s="38"/>
      <c r="M12" s="38"/>
      <c r="N12" s="38"/>
      <c r="O12" s="38"/>
      <c r="P12" s="38"/>
      <c r="Q12" s="38"/>
      <c r="R12" s="38"/>
      <c r="S12" s="38"/>
      <c r="T12" s="38"/>
      <c r="U12" s="38"/>
      <c r="V12" s="38"/>
      <c r="W12" s="38"/>
      <c r="X12" s="38"/>
      <c r="Y12" s="38"/>
      <c r="Z12" s="38"/>
      <c r="AA12" s="38"/>
      <c r="AB12" s="38"/>
      <c r="AC12" s="38"/>
      <c r="AD12" s="38"/>
      <c r="AE12" s="38"/>
      <c r="AF12" s="37" t="s">
        <v>657</v>
      </c>
      <c r="AG12" s="31"/>
    </row>
    <row r="13" spans="1:33" ht="15.5" thickBot="1">
      <c r="A13" s="29"/>
      <c r="B13" s="151" t="s">
        <v>40</v>
      </c>
      <c r="C13" s="151">
        <v>2022</v>
      </c>
      <c r="D13" s="151">
        <v>2023</v>
      </c>
      <c r="E13" s="151">
        <v>2024</v>
      </c>
      <c r="F13" s="151">
        <v>2025</v>
      </c>
      <c r="G13" s="151">
        <v>2026</v>
      </c>
      <c r="H13" s="151">
        <v>2027</v>
      </c>
      <c r="I13" s="151">
        <v>2028</v>
      </c>
      <c r="J13" s="151">
        <v>2029</v>
      </c>
      <c r="K13" s="151">
        <v>2030</v>
      </c>
      <c r="L13" s="151">
        <v>2031</v>
      </c>
      <c r="M13" s="151">
        <v>2032</v>
      </c>
      <c r="N13" s="151">
        <v>2033</v>
      </c>
      <c r="O13" s="151">
        <v>2034</v>
      </c>
      <c r="P13" s="151">
        <v>2035</v>
      </c>
      <c r="Q13" s="151">
        <v>2036</v>
      </c>
      <c r="R13" s="151">
        <v>2037</v>
      </c>
      <c r="S13" s="151">
        <v>2038</v>
      </c>
      <c r="T13" s="151">
        <v>2039</v>
      </c>
      <c r="U13" s="151">
        <v>2040</v>
      </c>
      <c r="V13" s="151">
        <v>2041</v>
      </c>
      <c r="W13" s="151">
        <v>2042</v>
      </c>
      <c r="X13" s="151">
        <v>2043</v>
      </c>
      <c r="Y13" s="151">
        <v>2044</v>
      </c>
      <c r="Z13" s="151">
        <v>2045</v>
      </c>
      <c r="AA13" s="151">
        <v>2046</v>
      </c>
      <c r="AB13" s="151">
        <v>2047</v>
      </c>
      <c r="AC13" s="151">
        <v>2048</v>
      </c>
      <c r="AD13" s="151">
        <v>2049</v>
      </c>
      <c r="AE13" s="151">
        <v>2050</v>
      </c>
      <c r="AF13" s="39" t="s">
        <v>658</v>
      </c>
      <c r="AG13" s="31"/>
    </row>
    <row r="14" spans="1:33" ht="15.5" thickTop="1">
      <c r="A14" s="29"/>
      <c r="B14" s="31"/>
      <c r="C14" s="31"/>
      <c r="D14" s="31"/>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row>
    <row r="15" spans="1:33">
      <c r="A15" s="29"/>
      <c r="B15" s="152" t="s">
        <v>41</v>
      </c>
      <c r="C15" s="31"/>
      <c r="D15" s="31"/>
      <c r="E15" s="31"/>
      <c r="F15" s="31"/>
      <c r="G15" s="31"/>
      <c r="H15" s="31"/>
      <c r="I15" s="31"/>
      <c r="J15" s="31"/>
      <c r="K15" s="31"/>
      <c r="L15" s="31"/>
      <c r="M15" s="31"/>
      <c r="N15" s="31"/>
      <c r="O15" s="31"/>
      <c r="P15" s="31"/>
      <c r="Q15" s="31"/>
      <c r="R15" s="31"/>
      <c r="S15" s="31"/>
      <c r="T15" s="31"/>
      <c r="U15" s="31"/>
      <c r="V15" s="31"/>
      <c r="W15" s="31"/>
      <c r="X15" s="31"/>
      <c r="Y15" s="31"/>
      <c r="Z15" s="31"/>
      <c r="AA15" s="31"/>
      <c r="AB15" s="31"/>
      <c r="AC15" s="31"/>
      <c r="AD15" s="31"/>
      <c r="AE15" s="31"/>
      <c r="AF15" s="31"/>
      <c r="AG15" s="31"/>
    </row>
    <row r="16" spans="1:33">
      <c r="A16" s="29"/>
      <c r="B16" s="152" t="s">
        <v>42</v>
      </c>
      <c r="C16" s="31"/>
      <c r="D16" s="31"/>
      <c r="E16" s="31"/>
      <c r="F16" s="31"/>
      <c r="G16" s="31"/>
      <c r="H16" s="31"/>
      <c r="I16" s="31"/>
      <c r="J16" s="31"/>
      <c r="K16" s="31"/>
      <c r="L16" s="31"/>
      <c r="M16" s="31"/>
      <c r="N16" s="31"/>
      <c r="O16" s="31"/>
      <c r="P16" s="31"/>
      <c r="Q16" s="31"/>
      <c r="R16" s="31"/>
      <c r="S16" s="31"/>
      <c r="T16" s="31"/>
      <c r="U16" s="31"/>
      <c r="V16" s="31"/>
      <c r="W16" s="31"/>
      <c r="X16" s="31"/>
      <c r="Y16" s="31"/>
      <c r="Z16" s="31"/>
      <c r="AA16" s="31"/>
      <c r="AB16" s="31"/>
      <c r="AC16" s="31"/>
      <c r="AD16" s="31"/>
      <c r="AE16" s="31"/>
      <c r="AF16" s="31"/>
      <c r="AG16" s="31"/>
    </row>
    <row r="17" spans="1:33">
      <c r="A17" s="29"/>
      <c r="B17" s="152" t="s">
        <v>43</v>
      </c>
      <c r="C17" s="31"/>
      <c r="D17" s="31"/>
      <c r="E17" s="31"/>
      <c r="F17" s="31"/>
      <c r="G17" s="31"/>
      <c r="H17" s="31"/>
      <c r="I17" s="31"/>
      <c r="J17" s="31"/>
      <c r="K17" s="31"/>
      <c r="L17" s="31"/>
      <c r="M17" s="31"/>
      <c r="N17" s="31"/>
      <c r="O17" s="31"/>
      <c r="P17" s="31"/>
      <c r="Q17" s="31"/>
      <c r="R17" s="31"/>
      <c r="S17" s="31"/>
      <c r="T17" s="31"/>
      <c r="U17" s="31"/>
      <c r="V17" s="31"/>
      <c r="W17" s="31"/>
      <c r="X17" s="31"/>
      <c r="Y17" s="31"/>
      <c r="Z17" s="31"/>
      <c r="AA17" s="31"/>
      <c r="AB17" s="31"/>
      <c r="AC17" s="31"/>
      <c r="AD17" s="31"/>
      <c r="AE17" s="31"/>
      <c r="AF17" s="31"/>
      <c r="AG17" s="31"/>
    </row>
    <row r="18" spans="1:33" s="237" customFormat="1">
      <c r="A18" s="232" t="s">
        <v>44</v>
      </c>
      <c r="B18" s="233" t="s">
        <v>45</v>
      </c>
      <c r="C18" s="234">
        <v>2843.298096</v>
      </c>
      <c r="D18" s="234">
        <v>2901.3588869999999</v>
      </c>
      <c r="E18" s="234">
        <v>2922.5065920000002</v>
      </c>
      <c r="F18" s="234">
        <v>2933.360107</v>
      </c>
      <c r="G18" s="234">
        <v>2954.2380370000001</v>
      </c>
      <c r="H18" s="234">
        <v>2981.9343260000001</v>
      </c>
      <c r="I18" s="234">
        <v>3007.5581050000001</v>
      </c>
      <c r="J18" s="234">
        <v>3027.5729980000001</v>
      </c>
      <c r="K18" s="234">
        <v>3042.8432619999999</v>
      </c>
      <c r="L18" s="234">
        <v>3055.7746579999998</v>
      </c>
      <c r="M18" s="234">
        <v>3066.6516109999998</v>
      </c>
      <c r="N18" s="234">
        <v>3082.359375</v>
      </c>
      <c r="O18" s="234">
        <v>3102.4182129999999</v>
      </c>
      <c r="P18" s="234">
        <v>3120.7375489999999</v>
      </c>
      <c r="Q18" s="234">
        <v>3135.6208499999998</v>
      </c>
      <c r="R18" s="234">
        <v>3152.9177249999998</v>
      </c>
      <c r="S18" s="234">
        <v>3172.435547</v>
      </c>
      <c r="T18" s="234">
        <v>3192.100586</v>
      </c>
      <c r="U18" s="234">
        <v>3214.5629880000001</v>
      </c>
      <c r="V18" s="234">
        <v>3237.5805660000001</v>
      </c>
      <c r="W18" s="234">
        <v>3261.5847170000002</v>
      </c>
      <c r="X18" s="234">
        <v>3284.897461</v>
      </c>
      <c r="Y18" s="234">
        <v>3309.0390619999998</v>
      </c>
      <c r="Z18" s="234">
        <v>3334.7033689999998</v>
      </c>
      <c r="AA18" s="234">
        <v>3364.522461</v>
      </c>
      <c r="AB18" s="234">
        <v>3396.5351559999999</v>
      </c>
      <c r="AC18" s="234">
        <v>3429.5627439999998</v>
      </c>
      <c r="AD18" s="234">
        <v>3463.0249020000001</v>
      </c>
      <c r="AE18" s="234">
        <v>3499.5429690000001</v>
      </c>
      <c r="AF18" s="235">
        <v>7.4440000000000001E-3</v>
      </c>
      <c r="AG18" s="236"/>
    </row>
    <row r="19" spans="1:33" s="255" customFormat="1">
      <c r="A19" s="250" t="s">
        <v>46</v>
      </c>
      <c r="B19" s="251" t="s">
        <v>47</v>
      </c>
      <c r="C19" s="252">
        <v>102.214951</v>
      </c>
      <c r="D19" s="252">
        <v>103.34345999999999</v>
      </c>
      <c r="E19" s="252">
        <v>103.55378</v>
      </c>
      <c r="F19" s="252">
        <v>104.36998699999999</v>
      </c>
      <c r="G19" s="252">
        <v>105.656265</v>
      </c>
      <c r="H19" s="252">
        <v>107.002548</v>
      </c>
      <c r="I19" s="252">
        <v>108.204063</v>
      </c>
      <c r="J19" s="252">
        <v>109.329842</v>
      </c>
      <c r="K19" s="252">
        <v>110.214569</v>
      </c>
      <c r="L19" s="252">
        <v>111.063705</v>
      </c>
      <c r="M19" s="252">
        <v>112.175911</v>
      </c>
      <c r="N19" s="252">
        <v>113.26731100000001</v>
      </c>
      <c r="O19" s="252">
        <v>114.361328</v>
      </c>
      <c r="P19" s="252">
        <v>115.539856</v>
      </c>
      <c r="Q19" s="252">
        <v>116.693398</v>
      </c>
      <c r="R19" s="252">
        <v>117.934776</v>
      </c>
      <c r="S19" s="252">
        <v>119.26325199999999</v>
      </c>
      <c r="T19" s="252">
        <v>120.517143</v>
      </c>
      <c r="U19" s="252">
        <v>121.965698</v>
      </c>
      <c r="V19" s="252">
        <v>123.543205</v>
      </c>
      <c r="W19" s="252">
        <v>125.055435</v>
      </c>
      <c r="X19" s="252">
        <v>126.490196</v>
      </c>
      <c r="Y19" s="252">
        <v>127.831902</v>
      </c>
      <c r="Z19" s="252">
        <v>129.14802599999999</v>
      </c>
      <c r="AA19" s="252">
        <v>130.647919</v>
      </c>
      <c r="AB19" s="252">
        <v>132.25534099999999</v>
      </c>
      <c r="AC19" s="252">
        <v>133.71923799999999</v>
      </c>
      <c r="AD19" s="252">
        <v>135.16911300000001</v>
      </c>
      <c r="AE19" s="252">
        <v>137.065033</v>
      </c>
      <c r="AF19" s="253">
        <v>1.0533000000000001E-2</v>
      </c>
      <c r="AG19" s="254"/>
    </row>
    <row r="20" spans="1:33">
      <c r="A20" s="30" t="s">
        <v>48</v>
      </c>
      <c r="B20" s="153" t="s">
        <v>49</v>
      </c>
      <c r="C20" s="154">
        <v>321.95498700000002</v>
      </c>
      <c r="D20" s="154">
        <v>320.72061200000002</v>
      </c>
      <c r="E20" s="154">
        <v>321.15664700000002</v>
      </c>
      <c r="F20" s="154">
        <v>324.03918499999997</v>
      </c>
      <c r="G20" s="154">
        <v>328.45147700000001</v>
      </c>
      <c r="H20" s="154">
        <v>332.319275</v>
      </c>
      <c r="I20" s="154">
        <v>335.87875400000001</v>
      </c>
      <c r="J20" s="154">
        <v>338.62100199999998</v>
      </c>
      <c r="K20" s="154">
        <v>341.15325899999999</v>
      </c>
      <c r="L20" s="154">
        <v>344.16229199999998</v>
      </c>
      <c r="M20" s="154">
        <v>348.16583300000002</v>
      </c>
      <c r="N20" s="154">
        <v>351.54122899999999</v>
      </c>
      <c r="O20" s="154">
        <v>354.83010899999999</v>
      </c>
      <c r="P20" s="154">
        <v>358.344696</v>
      </c>
      <c r="Q20" s="154">
        <v>361.39355499999999</v>
      </c>
      <c r="R20" s="154">
        <v>364.92678799999999</v>
      </c>
      <c r="S20" s="154">
        <v>368.38064600000001</v>
      </c>
      <c r="T20" s="154">
        <v>371.81143200000002</v>
      </c>
      <c r="U20" s="154">
        <v>375.58807400000001</v>
      </c>
      <c r="V20" s="154">
        <v>379.58752399999997</v>
      </c>
      <c r="W20" s="154">
        <v>383.51464800000002</v>
      </c>
      <c r="X20" s="154">
        <v>387.20883199999997</v>
      </c>
      <c r="Y20" s="154">
        <v>390.63339200000001</v>
      </c>
      <c r="Z20" s="154">
        <v>393.83795199999997</v>
      </c>
      <c r="AA20" s="154">
        <v>397.54263300000002</v>
      </c>
      <c r="AB20" s="154">
        <v>401.35467499999999</v>
      </c>
      <c r="AC20" s="154">
        <v>404.65982100000002</v>
      </c>
      <c r="AD20" s="154">
        <v>408.22445699999997</v>
      </c>
      <c r="AE20" s="154">
        <v>413.08251999999999</v>
      </c>
      <c r="AF20" s="155">
        <v>8.9409999999999993E-3</v>
      </c>
      <c r="AG20" s="31"/>
    </row>
    <row r="21" spans="1:33">
      <c r="A21" s="29"/>
      <c r="B21" s="152" t="s">
        <v>51</v>
      </c>
      <c r="C21" s="31"/>
      <c r="D21" s="31"/>
      <c r="E21" s="31"/>
      <c r="F21" s="31"/>
      <c r="G21" s="31"/>
      <c r="H21" s="31"/>
      <c r="I21" s="31"/>
      <c r="J21" s="31"/>
      <c r="K21" s="31"/>
      <c r="L21" s="31"/>
      <c r="M21" s="31"/>
      <c r="N21" s="31"/>
      <c r="O21" s="31"/>
      <c r="P21" s="31"/>
      <c r="Q21" s="31"/>
      <c r="R21" s="31"/>
      <c r="S21" s="31"/>
      <c r="T21" s="31"/>
      <c r="U21" s="31"/>
      <c r="V21" s="31"/>
      <c r="W21" s="31"/>
      <c r="X21" s="31"/>
      <c r="Y21" s="31"/>
      <c r="Z21" s="31"/>
      <c r="AA21" s="31"/>
      <c r="AB21" s="31"/>
      <c r="AC21" s="31"/>
      <c r="AD21" s="31"/>
      <c r="AE21" s="31"/>
      <c r="AF21" s="31"/>
      <c r="AG21" s="31"/>
    </row>
    <row r="22" spans="1:33">
      <c r="A22" s="30" t="s">
        <v>50</v>
      </c>
      <c r="B22" s="153" t="s">
        <v>53</v>
      </c>
      <c r="C22" s="154">
        <v>175.473648</v>
      </c>
      <c r="D22" s="154">
        <v>186.883286</v>
      </c>
      <c r="E22" s="154">
        <v>193.369202</v>
      </c>
      <c r="F22" s="154">
        <v>197.39228800000001</v>
      </c>
      <c r="G22" s="154">
        <v>200.32751500000001</v>
      </c>
      <c r="H22" s="154">
        <v>202.52967799999999</v>
      </c>
      <c r="I22" s="154">
        <v>204.211411</v>
      </c>
      <c r="J22" s="154">
        <v>205.46838399999999</v>
      </c>
      <c r="K22" s="154">
        <v>206.39357000000001</v>
      </c>
      <c r="L22" s="154">
        <v>207.029404</v>
      </c>
      <c r="M22" s="154">
        <v>207.54084800000001</v>
      </c>
      <c r="N22" s="154">
        <v>207.99565100000001</v>
      </c>
      <c r="O22" s="154">
        <v>208.43975800000001</v>
      </c>
      <c r="P22" s="154">
        <v>208.79684399999999</v>
      </c>
      <c r="Q22" s="154">
        <v>209.10339400000001</v>
      </c>
      <c r="R22" s="154">
        <v>209.37013200000001</v>
      </c>
      <c r="S22" s="154">
        <v>209.49378999999999</v>
      </c>
      <c r="T22" s="154">
        <v>209.54415900000001</v>
      </c>
      <c r="U22" s="154">
        <v>209.54357899999999</v>
      </c>
      <c r="V22" s="154">
        <v>209.49118000000001</v>
      </c>
      <c r="W22" s="154">
        <v>209.41184999999999</v>
      </c>
      <c r="X22" s="154">
        <v>209.25843800000001</v>
      </c>
      <c r="Y22" s="154">
        <v>209.10913099999999</v>
      </c>
      <c r="Z22" s="154">
        <v>208.931015</v>
      </c>
      <c r="AA22" s="154">
        <v>208.81189000000001</v>
      </c>
      <c r="AB22" s="154">
        <v>208.60612499999999</v>
      </c>
      <c r="AC22" s="154">
        <v>208.41769400000001</v>
      </c>
      <c r="AD22" s="154">
        <v>208.192352</v>
      </c>
      <c r="AE22" s="154">
        <v>207.995926</v>
      </c>
      <c r="AF22" s="155">
        <v>6.0910000000000001E-3</v>
      </c>
      <c r="AG22" s="31"/>
    </row>
    <row r="23" spans="1:33">
      <c r="A23" s="30" t="s">
        <v>52</v>
      </c>
      <c r="B23" s="153" t="s">
        <v>54</v>
      </c>
      <c r="C23" s="154">
        <v>30.144946999999998</v>
      </c>
      <c r="D23" s="154">
        <v>32.030231000000001</v>
      </c>
      <c r="E23" s="154">
        <v>33.064109999999999</v>
      </c>
      <c r="F23" s="154">
        <v>33.706195999999998</v>
      </c>
      <c r="G23" s="154">
        <v>34.620327000000003</v>
      </c>
      <c r="H23" s="154">
        <v>35.443916000000002</v>
      </c>
      <c r="I23" s="154">
        <v>36.137473999999997</v>
      </c>
      <c r="J23" s="154">
        <v>36.650322000000003</v>
      </c>
      <c r="K23" s="154">
        <v>37.00806</v>
      </c>
      <c r="L23" s="154">
        <v>37.264552999999999</v>
      </c>
      <c r="M23" s="154">
        <v>37.633518000000002</v>
      </c>
      <c r="N23" s="154">
        <v>38.067889999999998</v>
      </c>
      <c r="O23" s="154">
        <v>38.564194000000001</v>
      </c>
      <c r="P23" s="154">
        <v>38.985652999999999</v>
      </c>
      <c r="Q23" s="154">
        <v>39.398944999999998</v>
      </c>
      <c r="R23" s="154">
        <v>39.809189000000003</v>
      </c>
      <c r="S23" s="154">
        <v>40.237045000000002</v>
      </c>
      <c r="T23" s="154">
        <v>40.652228999999998</v>
      </c>
      <c r="U23" s="154">
        <v>41.127974999999999</v>
      </c>
      <c r="V23" s="154">
        <v>41.567630999999999</v>
      </c>
      <c r="W23" s="154">
        <v>42.019573000000001</v>
      </c>
      <c r="X23" s="154">
        <v>42.407310000000003</v>
      </c>
      <c r="Y23" s="154">
        <v>42.842342000000002</v>
      </c>
      <c r="Z23" s="154">
        <v>43.266334999999998</v>
      </c>
      <c r="AA23" s="154">
        <v>43.867863</v>
      </c>
      <c r="AB23" s="154">
        <v>44.361511</v>
      </c>
      <c r="AC23" s="154">
        <v>44.905074999999997</v>
      </c>
      <c r="AD23" s="154">
        <v>45.395485000000001</v>
      </c>
      <c r="AE23" s="154">
        <v>46.002594000000002</v>
      </c>
      <c r="AF23" s="155">
        <v>1.521E-2</v>
      </c>
      <c r="AG23" s="31"/>
    </row>
    <row r="24" spans="1:33">
      <c r="A24" s="29"/>
      <c r="B24" s="152" t="s">
        <v>56</v>
      </c>
      <c r="C24" s="31"/>
      <c r="D24" s="31"/>
      <c r="E24" s="31"/>
      <c r="F24" s="31"/>
      <c r="G24" s="31"/>
      <c r="H24" s="31"/>
      <c r="I24" s="31"/>
      <c r="J24" s="31"/>
      <c r="K24" s="31"/>
      <c r="L24" s="31"/>
      <c r="M24" s="31"/>
      <c r="N24" s="31"/>
      <c r="O24" s="31"/>
      <c r="P24" s="31"/>
      <c r="Q24" s="31"/>
      <c r="R24" s="31"/>
      <c r="S24" s="31"/>
      <c r="T24" s="31"/>
      <c r="U24" s="31"/>
      <c r="V24" s="31"/>
      <c r="W24" s="31"/>
      <c r="X24" s="31"/>
      <c r="Y24" s="31"/>
      <c r="Z24" s="31"/>
      <c r="AA24" s="31"/>
      <c r="AB24" s="31"/>
      <c r="AC24" s="31"/>
      <c r="AD24" s="31"/>
      <c r="AE24" s="31"/>
      <c r="AF24" s="31"/>
      <c r="AG24" s="31"/>
    </row>
    <row r="25" spans="1:33">
      <c r="A25" s="30" t="s">
        <v>55</v>
      </c>
      <c r="B25" s="153" t="s">
        <v>57</v>
      </c>
      <c r="C25" s="154">
        <v>1173.034668</v>
      </c>
      <c r="D25" s="154">
        <v>1318.6945800000001</v>
      </c>
      <c r="E25" s="154">
        <v>1361.6110839999999</v>
      </c>
      <c r="F25" s="154">
        <v>1371.6551509999999</v>
      </c>
      <c r="G25" s="154">
        <v>1402.9279790000001</v>
      </c>
      <c r="H25" s="154">
        <v>1433.8398440000001</v>
      </c>
      <c r="I25" s="154">
        <v>1461.472168</v>
      </c>
      <c r="J25" s="154">
        <v>1484.8291019999999</v>
      </c>
      <c r="K25" s="154">
        <v>1504.2687989999999</v>
      </c>
      <c r="L25" s="154">
        <v>1524.7269289999999</v>
      </c>
      <c r="M25" s="154">
        <v>1552.256836</v>
      </c>
      <c r="N25" s="154">
        <v>1583.9248050000001</v>
      </c>
      <c r="O25" s="154">
        <v>1615.380249</v>
      </c>
      <c r="P25" s="154">
        <v>1647.3461910000001</v>
      </c>
      <c r="Q25" s="154">
        <v>1682.5896</v>
      </c>
      <c r="R25" s="154">
        <v>1721.046875</v>
      </c>
      <c r="S25" s="154">
        <v>1761.139038</v>
      </c>
      <c r="T25" s="154">
        <v>1801.9410399999999</v>
      </c>
      <c r="U25" s="154">
        <v>1848.0720209999999</v>
      </c>
      <c r="V25" s="154">
        <v>1894.2041019999999</v>
      </c>
      <c r="W25" s="154">
        <v>1941.463013</v>
      </c>
      <c r="X25" s="154">
        <v>1990.3642580000001</v>
      </c>
      <c r="Y25" s="154">
        <v>2038.4373780000001</v>
      </c>
      <c r="Z25" s="154">
        <v>2085.6875</v>
      </c>
      <c r="AA25" s="154">
        <v>2134.0048830000001</v>
      </c>
      <c r="AB25" s="154">
        <v>2185.8969729999999</v>
      </c>
      <c r="AC25" s="154">
        <v>2238.836182</v>
      </c>
      <c r="AD25" s="154">
        <v>2292.3554690000001</v>
      </c>
      <c r="AE25" s="154">
        <v>2350.2690429999998</v>
      </c>
      <c r="AF25" s="155">
        <v>2.513E-2</v>
      </c>
      <c r="AG25" s="31"/>
    </row>
    <row r="26" spans="1:33">
      <c r="A26" s="29"/>
      <c r="B26" s="152" t="s">
        <v>59</v>
      </c>
      <c r="C26" s="31"/>
      <c r="D26" s="31"/>
      <c r="E26" s="31"/>
      <c r="F26" s="31"/>
      <c r="G26" s="31"/>
      <c r="H26" s="31"/>
      <c r="I26" s="31"/>
      <c r="J26" s="31"/>
      <c r="K26" s="31"/>
      <c r="L26" s="31"/>
      <c r="M26" s="31"/>
      <c r="N26" s="31"/>
      <c r="O26" s="31"/>
      <c r="P26" s="31"/>
      <c r="Q26" s="31"/>
      <c r="R26" s="31"/>
      <c r="S26" s="31"/>
      <c r="T26" s="31"/>
      <c r="U26" s="31"/>
      <c r="V26" s="31"/>
      <c r="W26" s="31"/>
      <c r="X26" s="31"/>
      <c r="Y26" s="31"/>
      <c r="Z26" s="31"/>
      <c r="AA26" s="31"/>
      <c r="AB26" s="31"/>
      <c r="AC26" s="31"/>
      <c r="AD26" s="31"/>
      <c r="AE26" s="31"/>
      <c r="AF26" s="31"/>
      <c r="AG26" s="31"/>
    </row>
    <row r="27" spans="1:33">
      <c r="A27" s="30" t="s">
        <v>58</v>
      </c>
      <c r="B27" s="153" t="s">
        <v>61</v>
      </c>
      <c r="C27" s="154">
        <v>1620.4948730000001</v>
      </c>
      <c r="D27" s="154">
        <v>1600.1008300000001</v>
      </c>
      <c r="E27" s="154">
        <v>1666.9197999999999</v>
      </c>
      <c r="F27" s="154">
        <v>1628.408447</v>
      </c>
      <c r="G27" s="154">
        <v>1561.420654</v>
      </c>
      <c r="H27" s="154">
        <v>1509.649414</v>
      </c>
      <c r="I27" s="154">
        <v>1489.7312010000001</v>
      </c>
      <c r="J27" s="154">
        <v>1507.5151370000001</v>
      </c>
      <c r="K27" s="154">
        <v>1500.1649170000001</v>
      </c>
      <c r="L27" s="154">
        <v>1506.952393</v>
      </c>
      <c r="M27" s="154">
        <v>1522.1982419999999</v>
      </c>
      <c r="N27" s="154">
        <v>1534.73938</v>
      </c>
      <c r="O27" s="154">
        <v>1543.237427</v>
      </c>
      <c r="P27" s="154">
        <v>1554.590698</v>
      </c>
      <c r="Q27" s="154">
        <v>1557.5253909999999</v>
      </c>
      <c r="R27" s="154">
        <v>1562.481567</v>
      </c>
      <c r="S27" s="154">
        <v>1568.966064</v>
      </c>
      <c r="T27" s="154">
        <v>1568.3394780000001</v>
      </c>
      <c r="U27" s="154">
        <v>1571.777466</v>
      </c>
      <c r="V27" s="154">
        <v>1585.611206</v>
      </c>
      <c r="W27" s="154">
        <v>1597.3070070000001</v>
      </c>
      <c r="X27" s="154">
        <v>1600.190918</v>
      </c>
      <c r="Y27" s="154">
        <v>1601.832764</v>
      </c>
      <c r="Z27" s="154">
        <v>1602.998779</v>
      </c>
      <c r="AA27" s="154">
        <v>1608.1293949999999</v>
      </c>
      <c r="AB27" s="154">
        <v>1618.0823969999999</v>
      </c>
      <c r="AC27" s="154">
        <v>1630.8079829999999</v>
      </c>
      <c r="AD27" s="154">
        <v>1636.8905030000001</v>
      </c>
      <c r="AE27" s="154">
        <v>1649.469482</v>
      </c>
      <c r="AF27" s="155">
        <v>6.3299999999999999E-4</v>
      </c>
      <c r="AG27" s="31"/>
    </row>
    <row r="28" spans="1:33">
      <c r="A28" s="30" t="s">
        <v>60</v>
      </c>
      <c r="B28" s="153" t="s">
        <v>62</v>
      </c>
      <c r="C28" s="154">
        <v>444.898865</v>
      </c>
      <c r="D28" s="154">
        <v>450.42761200000001</v>
      </c>
      <c r="E28" s="154">
        <v>448.61004600000001</v>
      </c>
      <c r="F28" s="154">
        <v>446.74627700000002</v>
      </c>
      <c r="G28" s="154">
        <v>445.22772200000003</v>
      </c>
      <c r="H28" s="154">
        <v>442.84777800000001</v>
      </c>
      <c r="I28" s="154">
        <v>440.43005399999998</v>
      </c>
      <c r="J28" s="154">
        <v>437.02459700000003</v>
      </c>
      <c r="K28" s="154">
        <v>434.036407</v>
      </c>
      <c r="L28" s="154">
        <v>431.39211999999998</v>
      </c>
      <c r="M28" s="154">
        <v>429.99737499999998</v>
      </c>
      <c r="N28" s="154">
        <v>428.16067500000003</v>
      </c>
      <c r="O28" s="154">
        <v>426.27862499999998</v>
      </c>
      <c r="P28" s="154">
        <v>424.17816199999999</v>
      </c>
      <c r="Q28" s="154">
        <v>421.71697999999998</v>
      </c>
      <c r="R28" s="154">
        <v>419.81463600000001</v>
      </c>
      <c r="S28" s="154">
        <v>417.567047</v>
      </c>
      <c r="T28" s="154">
        <v>415.80767800000001</v>
      </c>
      <c r="U28" s="154">
        <v>414.04513500000002</v>
      </c>
      <c r="V28" s="154">
        <v>412.52209499999998</v>
      </c>
      <c r="W28" s="154">
        <v>411.24774200000002</v>
      </c>
      <c r="X28" s="154">
        <v>409.97735599999999</v>
      </c>
      <c r="Y28" s="154">
        <v>408.52224699999999</v>
      </c>
      <c r="Z28" s="154">
        <v>406.63034099999999</v>
      </c>
      <c r="AA28" s="154">
        <v>405.358521</v>
      </c>
      <c r="AB28" s="154">
        <v>403.865906</v>
      </c>
      <c r="AC28" s="154">
        <v>401.97906499999999</v>
      </c>
      <c r="AD28" s="154">
        <v>400.55664100000001</v>
      </c>
      <c r="AE28" s="154">
        <v>400.09832799999998</v>
      </c>
      <c r="AF28" s="155">
        <v>-3.7829999999999999E-3</v>
      </c>
      <c r="AG28" s="31"/>
    </row>
    <row r="29" spans="1:33">
      <c r="A29" s="29"/>
      <c r="B29" s="31"/>
      <c r="C29" s="31"/>
      <c r="D29" s="31"/>
      <c r="E29" s="31"/>
      <c r="F29" s="31"/>
      <c r="G29" s="31"/>
      <c r="H29" s="31"/>
      <c r="I29" s="31"/>
      <c r="J29" s="31"/>
      <c r="K29" s="31"/>
      <c r="L29" s="31"/>
      <c r="M29" s="31"/>
      <c r="N29" s="31"/>
      <c r="O29" s="31"/>
      <c r="P29" s="31"/>
      <c r="Q29" s="31"/>
      <c r="R29" s="31"/>
      <c r="S29" s="31"/>
      <c r="T29" s="31"/>
      <c r="U29" s="31"/>
      <c r="V29" s="31"/>
      <c r="W29" s="31"/>
      <c r="X29" s="31"/>
      <c r="Y29" s="31"/>
      <c r="Z29" s="31"/>
      <c r="AA29" s="31"/>
      <c r="AB29" s="31"/>
      <c r="AC29" s="31"/>
      <c r="AD29" s="31"/>
      <c r="AE29" s="31"/>
      <c r="AF29" s="31"/>
      <c r="AG29" s="31"/>
    </row>
    <row r="30" spans="1:33">
      <c r="A30" s="29"/>
      <c r="B30" s="152" t="s">
        <v>63</v>
      </c>
      <c r="C30" s="31"/>
      <c r="D30" s="31"/>
      <c r="E30" s="31"/>
      <c r="F30" s="31"/>
      <c r="G30" s="31"/>
      <c r="H30" s="31"/>
      <c r="I30" s="31"/>
      <c r="J30" s="31"/>
      <c r="K30" s="31"/>
      <c r="L30" s="31"/>
      <c r="M30" s="31"/>
      <c r="N30" s="31"/>
      <c r="O30" s="31"/>
      <c r="P30" s="31"/>
      <c r="Q30" s="31"/>
      <c r="R30" s="31"/>
      <c r="S30" s="31"/>
      <c r="T30" s="31"/>
      <c r="U30" s="31"/>
      <c r="V30" s="31"/>
      <c r="W30" s="31"/>
      <c r="X30" s="31"/>
      <c r="Y30" s="31"/>
      <c r="Z30" s="31"/>
      <c r="AA30" s="31"/>
      <c r="AB30" s="31"/>
      <c r="AC30" s="31"/>
      <c r="AD30" s="31"/>
      <c r="AE30" s="31"/>
      <c r="AF30" s="31"/>
      <c r="AG30" s="31"/>
    </row>
    <row r="31" spans="1:33">
      <c r="A31" s="29"/>
      <c r="B31" s="152" t="s">
        <v>65</v>
      </c>
      <c r="C31" s="31"/>
      <c r="D31" s="31"/>
      <c r="E31" s="31"/>
      <c r="F31" s="31"/>
      <c r="G31" s="31"/>
      <c r="H31" s="31"/>
      <c r="I31" s="31"/>
      <c r="J31" s="31"/>
      <c r="K31" s="31"/>
      <c r="L31" s="31"/>
      <c r="M31" s="31"/>
      <c r="N31" s="31"/>
      <c r="O31" s="31"/>
      <c r="P31" s="31"/>
      <c r="Q31" s="31"/>
      <c r="R31" s="31"/>
      <c r="S31" s="31"/>
      <c r="T31" s="31"/>
      <c r="U31" s="31"/>
      <c r="V31" s="31"/>
      <c r="W31" s="31"/>
      <c r="X31" s="31"/>
      <c r="Y31" s="31"/>
      <c r="Z31" s="31"/>
      <c r="AA31" s="31"/>
      <c r="AB31" s="31"/>
      <c r="AC31" s="31"/>
      <c r="AD31" s="31"/>
      <c r="AE31" s="31"/>
      <c r="AF31" s="31"/>
      <c r="AG31" s="31"/>
    </row>
    <row r="32" spans="1:33">
      <c r="A32" s="30" t="s">
        <v>64</v>
      </c>
      <c r="B32" s="153" t="s">
        <v>67</v>
      </c>
      <c r="C32" s="156">
        <v>35.855949000000003</v>
      </c>
      <c r="D32" s="156">
        <v>36.277985000000001</v>
      </c>
      <c r="E32" s="156">
        <v>39.337012999999999</v>
      </c>
      <c r="F32" s="156">
        <v>42.578201</v>
      </c>
      <c r="G32" s="156">
        <v>47.262627000000002</v>
      </c>
      <c r="H32" s="156">
        <v>47.227249</v>
      </c>
      <c r="I32" s="156">
        <v>47.18121</v>
      </c>
      <c r="J32" s="156">
        <v>47.168773999999999</v>
      </c>
      <c r="K32" s="156">
        <v>47.163848999999999</v>
      </c>
      <c r="L32" s="156">
        <v>47.152081000000003</v>
      </c>
      <c r="M32" s="156">
        <v>47.159278999999998</v>
      </c>
      <c r="N32" s="156">
        <v>47.152672000000003</v>
      </c>
      <c r="O32" s="156">
        <v>47.146118000000001</v>
      </c>
      <c r="P32" s="156">
        <v>47.131686999999999</v>
      </c>
      <c r="Q32" s="156">
        <v>47.138325000000002</v>
      </c>
      <c r="R32" s="156">
        <v>47.119869000000001</v>
      </c>
      <c r="S32" s="156">
        <v>47.100937000000002</v>
      </c>
      <c r="T32" s="156">
        <v>47.084251000000002</v>
      </c>
      <c r="U32" s="156">
        <v>47.059879000000002</v>
      </c>
      <c r="V32" s="156">
        <v>47.032314</v>
      </c>
      <c r="W32" s="156">
        <v>47.004074000000003</v>
      </c>
      <c r="X32" s="156">
        <v>46.960155</v>
      </c>
      <c r="Y32" s="156">
        <v>46.939563999999997</v>
      </c>
      <c r="Z32" s="156">
        <v>46.910690000000002</v>
      </c>
      <c r="AA32" s="156">
        <v>46.948238000000003</v>
      </c>
      <c r="AB32" s="156">
        <v>46.913113000000003</v>
      </c>
      <c r="AC32" s="156">
        <v>46.906829999999999</v>
      </c>
      <c r="AD32" s="156">
        <v>46.880138000000002</v>
      </c>
      <c r="AE32" s="156">
        <v>46.870857000000001</v>
      </c>
      <c r="AF32" s="155">
        <v>9.613E-3</v>
      </c>
      <c r="AG32" s="31"/>
    </row>
    <row r="33" spans="1:33">
      <c r="A33" s="30" t="s">
        <v>66</v>
      </c>
      <c r="B33" s="153" t="s">
        <v>69</v>
      </c>
      <c r="C33" s="156">
        <v>45.004654000000002</v>
      </c>
      <c r="D33" s="156">
        <v>45.471119000000002</v>
      </c>
      <c r="E33" s="156">
        <v>49.460312000000002</v>
      </c>
      <c r="F33" s="156">
        <v>53.789036000000003</v>
      </c>
      <c r="G33" s="156">
        <v>59.791530999999999</v>
      </c>
      <c r="H33" s="156">
        <v>59.803519999999999</v>
      </c>
      <c r="I33" s="156">
        <v>59.817413000000002</v>
      </c>
      <c r="J33" s="156">
        <v>59.819332000000003</v>
      </c>
      <c r="K33" s="156">
        <v>59.821598000000002</v>
      </c>
      <c r="L33" s="156">
        <v>59.822445000000002</v>
      </c>
      <c r="M33" s="156">
        <v>59.827472999999998</v>
      </c>
      <c r="N33" s="156">
        <v>59.828792999999997</v>
      </c>
      <c r="O33" s="156">
        <v>59.830779999999997</v>
      </c>
      <c r="P33" s="156">
        <v>59.831119999999999</v>
      </c>
      <c r="Q33" s="156">
        <v>59.842136000000004</v>
      </c>
      <c r="R33" s="156">
        <v>59.842136000000004</v>
      </c>
      <c r="S33" s="156">
        <v>59.842136000000004</v>
      </c>
      <c r="T33" s="156">
        <v>59.843197000000004</v>
      </c>
      <c r="U33" s="156">
        <v>59.843197000000004</v>
      </c>
      <c r="V33" s="156">
        <v>59.843231000000003</v>
      </c>
      <c r="W33" s="156">
        <v>59.845177</v>
      </c>
      <c r="X33" s="156">
        <v>59.845177</v>
      </c>
      <c r="Y33" s="156">
        <v>59.848227999999999</v>
      </c>
      <c r="Z33" s="156">
        <v>59.848227999999999</v>
      </c>
      <c r="AA33" s="156">
        <v>59.867775000000002</v>
      </c>
      <c r="AB33" s="156">
        <v>59.867775000000002</v>
      </c>
      <c r="AC33" s="156">
        <v>59.867775000000002</v>
      </c>
      <c r="AD33" s="156">
        <v>59.867775000000002</v>
      </c>
      <c r="AE33" s="156">
        <v>59.867775000000002</v>
      </c>
      <c r="AF33" s="155">
        <v>1.0244E-2</v>
      </c>
      <c r="AG33" s="31"/>
    </row>
    <row r="34" spans="1:33">
      <c r="A34" s="30" t="s">
        <v>68</v>
      </c>
      <c r="B34" s="153" t="s">
        <v>71</v>
      </c>
      <c r="C34" s="156">
        <v>32.047302000000002</v>
      </c>
      <c r="D34" s="156">
        <v>32.608868000000001</v>
      </c>
      <c r="E34" s="156">
        <v>35.403008</v>
      </c>
      <c r="F34" s="156">
        <v>38.46349</v>
      </c>
      <c r="G34" s="156">
        <v>42.755749000000002</v>
      </c>
      <c r="H34" s="156">
        <v>42.75658</v>
      </c>
      <c r="I34" s="156">
        <v>42.76173</v>
      </c>
      <c r="J34" s="156">
        <v>42.76173</v>
      </c>
      <c r="K34" s="156">
        <v>42.761840999999997</v>
      </c>
      <c r="L34" s="156">
        <v>42.762084999999999</v>
      </c>
      <c r="M34" s="156">
        <v>42.762169</v>
      </c>
      <c r="N34" s="156">
        <v>42.762360000000001</v>
      </c>
      <c r="O34" s="156">
        <v>42.762390000000003</v>
      </c>
      <c r="P34" s="156">
        <v>42.762520000000002</v>
      </c>
      <c r="Q34" s="156">
        <v>42.762554000000002</v>
      </c>
      <c r="R34" s="156">
        <v>42.762698999999998</v>
      </c>
      <c r="S34" s="156">
        <v>42.762756000000003</v>
      </c>
      <c r="T34" s="156">
        <v>42.762824999999999</v>
      </c>
      <c r="U34" s="156">
        <v>42.762897000000002</v>
      </c>
      <c r="V34" s="156">
        <v>42.762962000000002</v>
      </c>
      <c r="W34" s="156">
        <v>42.763016</v>
      </c>
      <c r="X34" s="156">
        <v>42.763103000000001</v>
      </c>
      <c r="Y34" s="156">
        <v>42.763103000000001</v>
      </c>
      <c r="Z34" s="156">
        <v>42.763184000000003</v>
      </c>
      <c r="AA34" s="156">
        <v>42.763184000000003</v>
      </c>
      <c r="AB34" s="156">
        <v>42.763294000000002</v>
      </c>
      <c r="AC34" s="156">
        <v>42.763294000000002</v>
      </c>
      <c r="AD34" s="156">
        <v>42.763393000000001</v>
      </c>
      <c r="AE34" s="156">
        <v>42.763393000000001</v>
      </c>
      <c r="AF34" s="155">
        <v>1.0356000000000001E-2</v>
      </c>
      <c r="AG34" s="31"/>
    </row>
    <row r="35" spans="1:33">
      <c r="A35" s="30" t="s">
        <v>70</v>
      </c>
      <c r="B35" s="153" t="s">
        <v>73</v>
      </c>
      <c r="C35" s="156">
        <v>41.802036000000001</v>
      </c>
      <c r="D35" s="156">
        <v>43.267200000000003</v>
      </c>
      <c r="E35" s="156">
        <v>44.448151000000003</v>
      </c>
      <c r="F35" s="156">
        <v>47.052714999999999</v>
      </c>
      <c r="G35" s="156">
        <v>48.571758000000003</v>
      </c>
      <c r="H35" s="156">
        <v>49.792529999999999</v>
      </c>
      <c r="I35" s="156">
        <v>52.281478999999997</v>
      </c>
      <c r="J35" s="156">
        <v>53.248958999999999</v>
      </c>
      <c r="K35" s="156">
        <v>53.962006000000002</v>
      </c>
      <c r="L35" s="156">
        <v>54.332034999999998</v>
      </c>
      <c r="M35" s="156">
        <v>54.872646000000003</v>
      </c>
      <c r="N35" s="156">
        <v>55.329352999999998</v>
      </c>
      <c r="O35" s="156">
        <v>55.771633000000001</v>
      </c>
      <c r="P35" s="156">
        <v>56.242725</v>
      </c>
      <c r="Q35" s="156">
        <v>56.632603000000003</v>
      </c>
      <c r="R35" s="156">
        <v>56.856194000000002</v>
      </c>
      <c r="S35" s="156">
        <v>57.030456999999998</v>
      </c>
      <c r="T35" s="156">
        <v>57.310715000000002</v>
      </c>
      <c r="U35" s="156">
        <v>57.240420999999998</v>
      </c>
      <c r="V35" s="156">
        <v>57.306023000000003</v>
      </c>
      <c r="W35" s="156">
        <v>57.371867999999999</v>
      </c>
      <c r="X35" s="156">
        <v>57.326743999999998</v>
      </c>
      <c r="Y35" s="156">
        <v>57.237999000000002</v>
      </c>
      <c r="Z35" s="156">
        <v>57.125121999999998</v>
      </c>
      <c r="AA35" s="156">
        <v>57.475963999999998</v>
      </c>
      <c r="AB35" s="156">
        <v>57.327747000000002</v>
      </c>
      <c r="AC35" s="156">
        <v>57.273457000000001</v>
      </c>
      <c r="AD35" s="156">
        <v>57.524818000000003</v>
      </c>
      <c r="AE35" s="156">
        <v>57.479156000000003</v>
      </c>
      <c r="AF35" s="155">
        <v>1.1439E-2</v>
      </c>
      <c r="AG35" s="31"/>
    </row>
    <row r="36" spans="1:33">
      <c r="A36" s="30" t="s">
        <v>72</v>
      </c>
      <c r="B36" s="153" t="s">
        <v>75</v>
      </c>
      <c r="C36" s="156">
        <v>56.582644999999999</v>
      </c>
      <c r="D36" s="156">
        <v>58.322226999999998</v>
      </c>
      <c r="E36" s="156">
        <v>59.783313999999997</v>
      </c>
      <c r="F36" s="156">
        <v>64.222374000000002</v>
      </c>
      <c r="G36" s="156">
        <v>65.997482000000005</v>
      </c>
      <c r="H36" s="156">
        <v>68.148635999999996</v>
      </c>
      <c r="I36" s="156">
        <v>72.759444999999999</v>
      </c>
      <c r="J36" s="156">
        <v>74.876166999999995</v>
      </c>
      <c r="K36" s="156">
        <v>76.446303999999998</v>
      </c>
      <c r="L36" s="156">
        <v>77.157302999999999</v>
      </c>
      <c r="M36" s="156">
        <v>78.145363000000003</v>
      </c>
      <c r="N36" s="156">
        <v>78.735664</v>
      </c>
      <c r="O36" s="156">
        <v>79.269256999999996</v>
      </c>
      <c r="P36" s="156">
        <v>79.864814999999993</v>
      </c>
      <c r="Q36" s="156">
        <v>80.311751999999998</v>
      </c>
      <c r="R36" s="156">
        <v>80.510566999999995</v>
      </c>
      <c r="S36" s="156">
        <v>80.643073999999999</v>
      </c>
      <c r="T36" s="156">
        <v>81.042243999999997</v>
      </c>
      <c r="U36" s="156">
        <v>80.790893999999994</v>
      </c>
      <c r="V36" s="156">
        <v>80.999863000000005</v>
      </c>
      <c r="W36" s="156">
        <v>81.213393999999994</v>
      </c>
      <c r="X36" s="156">
        <v>81.251564000000002</v>
      </c>
      <c r="Y36" s="156">
        <v>81.126784999999998</v>
      </c>
      <c r="Z36" s="156">
        <v>80.963654000000005</v>
      </c>
      <c r="AA36" s="156">
        <v>81.962256999999994</v>
      </c>
      <c r="AB36" s="156">
        <v>81.685669000000004</v>
      </c>
      <c r="AC36" s="156">
        <v>81.574020000000004</v>
      </c>
      <c r="AD36" s="156">
        <v>82.338425000000001</v>
      </c>
      <c r="AE36" s="156">
        <v>82.243483999999995</v>
      </c>
      <c r="AF36" s="155">
        <v>1.3446E-2</v>
      </c>
      <c r="AG36" s="31"/>
    </row>
    <row r="37" spans="1:33">
      <c r="A37" s="30" t="s">
        <v>74</v>
      </c>
      <c r="B37" s="153" t="s">
        <v>77</v>
      </c>
      <c r="C37" s="156">
        <v>36.263930999999999</v>
      </c>
      <c r="D37" s="156">
        <v>37.832123000000003</v>
      </c>
      <c r="E37" s="156">
        <v>39.014805000000003</v>
      </c>
      <c r="F37" s="156">
        <v>41.375152999999997</v>
      </c>
      <c r="G37" s="156">
        <v>42.876761999999999</v>
      </c>
      <c r="H37" s="156">
        <v>43.911583</v>
      </c>
      <c r="I37" s="156">
        <v>45.953789</v>
      </c>
      <c r="J37" s="156">
        <v>46.678477999999998</v>
      </c>
      <c r="K37" s="156">
        <v>47.207011999999999</v>
      </c>
      <c r="L37" s="156">
        <v>47.518374999999999</v>
      </c>
      <c r="M37" s="156">
        <v>47.939487</v>
      </c>
      <c r="N37" s="156">
        <v>48.362620999999997</v>
      </c>
      <c r="O37" s="156">
        <v>48.779860999999997</v>
      </c>
      <c r="P37" s="156">
        <v>49.233046999999999</v>
      </c>
      <c r="Q37" s="156">
        <v>49.585566999999998</v>
      </c>
      <c r="R37" s="156">
        <v>49.838344999999997</v>
      </c>
      <c r="S37" s="156">
        <v>50.048076999999999</v>
      </c>
      <c r="T37" s="156">
        <v>50.325744999999998</v>
      </c>
      <c r="U37" s="156">
        <v>50.338009</v>
      </c>
      <c r="V37" s="156">
        <v>50.426777000000001</v>
      </c>
      <c r="W37" s="156">
        <v>50.517310999999999</v>
      </c>
      <c r="X37" s="156">
        <v>50.542614</v>
      </c>
      <c r="Y37" s="156">
        <v>50.50412</v>
      </c>
      <c r="Z37" s="156">
        <v>50.459384999999997</v>
      </c>
      <c r="AA37" s="156">
        <v>50.618049999999997</v>
      </c>
      <c r="AB37" s="156">
        <v>50.565734999999997</v>
      </c>
      <c r="AC37" s="156">
        <v>50.535651999999999</v>
      </c>
      <c r="AD37" s="156">
        <v>50.739390999999998</v>
      </c>
      <c r="AE37" s="156">
        <v>50.721836000000003</v>
      </c>
      <c r="AF37" s="155">
        <v>1.2055E-2</v>
      </c>
      <c r="AG37" s="31"/>
    </row>
    <row r="38" spans="1:33">
      <c r="A38" s="30" t="s">
        <v>76</v>
      </c>
      <c r="B38" s="153" t="s">
        <v>79</v>
      </c>
      <c r="C38" s="156">
        <v>37.621077999999997</v>
      </c>
      <c r="D38" s="156">
        <v>38.382415999999999</v>
      </c>
      <c r="E38" s="156">
        <v>39.075671999999997</v>
      </c>
      <c r="F38" s="156">
        <v>40.794502000000001</v>
      </c>
      <c r="G38" s="156">
        <v>41.684994000000003</v>
      </c>
      <c r="H38" s="156">
        <v>42.387779000000002</v>
      </c>
      <c r="I38" s="156">
        <v>43.992404999999998</v>
      </c>
      <c r="J38" s="156">
        <v>44.482399000000001</v>
      </c>
      <c r="K38" s="156">
        <v>44.828845999999999</v>
      </c>
      <c r="L38" s="156">
        <v>45.012852000000002</v>
      </c>
      <c r="M38" s="156">
        <v>45.295108999999997</v>
      </c>
      <c r="N38" s="156">
        <v>45.549660000000003</v>
      </c>
      <c r="O38" s="156">
        <v>45.800465000000003</v>
      </c>
      <c r="P38" s="156">
        <v>46.072913999999997</v>
      </c>
      <c r="Q38" s="156">
        <v>46.308185999999999</v>
      </c>
      <c r="R38" s="156">
        <v>46.454895</v>
      </c>
      <c r="S38" s="156">
        <v>46.573441000000003</v>
      </c>
      <c r="T38" s="156">
        <v>46.763412000000002</v>
      </c>
      <c r="U38" s="156">
        <v>46.743324000000001</v>
      </c>
      <c r="V38" s="156">
        <v>46.781216000000001</v>
      </c>
      <c r="W38" s="156">
        <v>46.812752000000003</v>
      </c>
      <c r="X38" s="156">
        <v>46.781078000000001</v>
      </c>
      <c r="Y38" s="156">
        <v>46.720787000000001</v>
      </c>
      <c r="Z38" s="156">
        <v>46.649310999999997</v>
      </c>
      <c r="AA38" s="156">
        <v>46.812587999999998</v>
      </c>
      <c r="AB38" s="156">
        <v>46.721981</v>
      </c>
      <c r="AC38" s="156">
        <v>46.686661000000001</v>
      </c>
      <c r="AD38" s="156">
        <v>46.844208000000002</v>
      </c>
      <c r="AE38" s="156">
        <v>46.809134999999998</v>
      </c>
      <c r="AF38" s="155">
        <v>7.835E-3</v>
      </c>
      <c r="AG38" s="31"/>
    </row>
    <row r="39" spans="1:33">
      <c r="A39" s="30" t="s">
        <v>78</v>
      </c>
      <c r="B39" s="153" t="s">
        <v>81</v>
      </c>
      <c r="C39" s="156">
        <v>49.658656999999998</v>
      </c>
      <c r="D39" s="156">
        <v>50.63982</v>
      </c>
      <c r="E39" s="156">
        <v>51.418788999999997</v>
      </c>
      <c r="F39" s="156">
        <v>54.041266999999998</v>
      </c>
      <c r="G39" s="156">
        <v>54.808311000000003</v>
      </c>
      <c r="H39" s="156">
        <v>55.812793999999997</v>
      </c>
      <c r="I39" s="156">
        <v>58.414130999999998</v>
      </c>
      <c r="J39" s="156">
        <v>59.295653999999999</v>
      </c>
      <c r="K39" s="156">
        <v>59.885936999999998</v>
      </c>
      <c r="L39" s="156">
        <v>60.128425999999997</v>
      </c>
      <c r="M39" s="156">
        <v>60.482559000000002</v>
      </c>
      <c r="N39" s="156">
        <v>60.696911</v>
      </c>
      <c r="O39" s="156">
        <v>60.896141</v>
      </c>
      <c r="P39" s="156">
        <v>61.139969000000001</v>
      </c>
      <c r="Q39" s="156">
        <v>61.342109999999998</v>
      </c>
      <c r="R39" s="156">
        <v>61.456459000000002</v>
      </c>
      <c r="S39" s="156">
        <v>61.545490000000001</v>
      </c>
      <c r="T39" s="156">
        <v>61.791069</v>
      </c>
      <c r="U39" s="156">
        <v>61.720492999999998</v>
      </c>
      <c r="V39" s="156">
        <v>61.820892000000001</v>
      </c>
      <c r="W39" s="156">
        <v>61.909644999999998</v>
      </c>
      <c r="X39" s="156">
        <v>61.923454</v>
      </c>
      <c r="Y39" s="156">
        <v>61.848678999999997</v>
      </c>
      <c r="Z39" s="156">
        <v>61.762374999999999</v>
      </c>
      <c r="AA39" s="156">
        <v>62.120818999999997</v>
      </c>
      <c r="AB39" s="156">
        <v>61.989952000000002</v>
      </c>
      <c r="AC39" s="156">
        <v>61.932670999999999</v>
      </c>
      <c r="AD39" s="156">
        <v>62.331699</v>
      </c>
      <c r="AE39" s="156">
        <v>62.272804000000001</v>
      </c>
      <c r="AF39" s="155">
        <v>8.1169999999999992E-3</v>
      </c>
      <c r="AG39" s="31"/>
    </row>
    <row r="40" spans="1:33">
      <c r="A40" s="30" t="s">
        <v>80</v>
      </c>
      <c r="B40" s="153" t="s">
        <v>83</v>
      </c>
      <c r="C40" s="156">
        <v>32.951321</v>
      </c>
      <c r="D40" s="156">
        <v>33.825710000000001</v>
      </c>
      <c r="E40" s="156">
        <v>34.570250999999999</v>
      </c>
      <c r="F40" s="156">
        <v>36.235542000000002</v>
      </c>
      <c r="G40" s="156">
        <v>37.203814999999999</v>
      </c>
      <c r="H40" s="156">
        <v>37.859802000000002</v>
      </c>
      <c r="I40" s="156">
        <v>39.251300999999998</v>
      </c>
      <c r="J40" s="156">
        <v>39.654640000000001</v>
      </c>
      <c r="K40" s="156">
        <v>39.942870999999997</v>
      </c>
      <c r="L40" s="156">
        <v>40.123778999999999</v>
      </c>
      <c r="M40" s="156">
        <v>40.372107999999997</v>
      </c>
      <c r="N40" s="156">
        <v>40.635685000000002</v>
      </c>
      <c r="O40" s="156">
        <v>40.898228000000003</v>
      </c>
      <c r="P40" s="156">
        <v>41.187041999999998</v>
      </c>
      <c r="Q40" s="156">
        <v>41.415565000000001</v>
      </c>
      <c r="R40" s="156">
        <v>41.589336000000003</v>
      </c>
      <c r="S40" s="156">
        <v>41.735809000000003</v>
      </c>
      <c r="T40" s="156">
        <v>41.930031</v>
      </c>
      <c r="U40" s="156">
        <v>41.954326999999999</v>
      </c>
      <c r="V40" s="156">
        <v>42.014381</v>
      </c>
      <c r="W40" s="156">
        <v>42.070942000000002</v>
      </c>
      <c r="X40" s="156">
        <v>42.089371</v>
      </c>
      <c r="Y40" s="156">
        <v>42.062252000000001</v>
      </c>
      <c r="Z40" s="156">
        <v>42.034523</v>
      </c>
      <c r="AA40" s="156">
        <v>42.106945000000003</v>
      </c>
      <c r="AB40" s="156">
        <v>42.074627</v>
      </c>
      <c r="AC40" s="156">
        <v>42.053328999999998</v>
      </c>
      <c r="AD40" s="156">
        <v>42.192115999999999</v>
      </c>
      <c r="AE40" s="156">
        <v>42.175429999999999</v>
      </c>
      <c r="AF40" s="155">
        <v>8.8529999999999998E-3</v>
      </c>
      <c r="AG40" s="31"/>
    </row>
    <row r="41" spans="1:33">
      <c r="A41" s="30" t="s">
        <v>82</v>
      </c>
      <c r="B41" s="153" t="s">
        <v>85</v>
      </c>
      <c r="C41" s="156">
        <v>30.687853</v>
      </c>
      <c r="D41" s="156">
        <v>31.308468000000001</v>
      </c>
      <c r="E41" s="156">
        <v>31.873774999999998</v>
      </c>
      <c r="F41" s="156">
        <v>33.275241999999999</v>
      </c>
      <c r="G41" s="156">
        <v>34.001517999999997</v>
      </c>
      <c r="H41" s="156">
        <v>34.574638</v>
      </c>
      <c r="I41" s="156">
        <v>35.883228000000003</v>
      </c>
      <c r="J41" s="156">
        <v>36.282809999999998</v>
      </c>
      <c r="K41" s="156">
        <v>36.565350000000002</v>
      </c>
      <c r="L41" s="156">
        <v>36.715401</v>
      </c>
      <c r="M41" s="156">
        <v>36.945652000000003</v>
      </c>
      <c r="N41" s="156">
        <v>37.153278</v>
      </c>
      <c r="O41" s="156">
        <v>37.357868000000003</v>
      </c>
      <c r="P41" s="156">
        <v>37.580081999999997</v>
      </c>
      <c r="Q41" s="156">
        <v>37.772025999999997</v>
      </c>
      <c r="R41" s="156">
        <v>37.891651000000003</v>
      </c>
      <c r="S41" s="156">
        <v>37.988308000000004</v>
      </c>
      <c r="T41" s="156">
        <v>38.143211000000001</v>
      </c>
      <c r="U41" s="156">
        <v>38.126759</v>
      </c>
      <c r="V41" s="156">
        <v>38.157573999999997</v>
      </c>
      <c r="W41" s="156">
        <v>38.183200999999997</v>
      </c>
      <c r="X41" s="156">
        <v>38.157218999999998</v>
      </c>
      <c r="Y41" s="156">
        <v>38.107975000000003</v>
      </c>
      <c r="Z41" s="156">
        <v>38.049587000000002</v>
      </c>
      <c r="AA41" s="156">
        <v>38.182837999999997</v>
      </c>
      <c r="AB41" s="156">
        <v>38.108822000000004</v>
      </c>
      <c r="AC41" s="156">
        <v>38.080002</v>
      </c>
      <c r="AD41" s="156">
        <v>38.208388999999997</v>
      </c>
      <c r="AE41" s="156">
        <v>38.179749000000001</v>
      </c>
      <c r="AF41" s="155">
        <v>7.8320000000000004E-3</v>
      </c>
      <c r="AG41" s="31"/>
    </row>
    <row r="42" spans="1:33">
      <c r="A42" s="30" t="s">
        <v>84</v>
      </c>
      <c r="B42" s="153" t="s">
        <v>87</v>
      </c>
      <c r="C42" s="156">
        <v>40.552002000000002</v>
      </c>
      <c r="D42" s="156">
        <v>41.353237</v>
      </c>
      <c r="E42" s="156">
        <v>41.989353000000001</v>
      </c>
      <c r="F42" s="156">
        <v>44.130909000000003</v>
      </c>
      <c r="G42" s="156">
        <v>44.757289999999998</v>
      </c>
      <c r="H42" s="156">
        <v>45.577564000000002</v>
      </c>
      <c r="I42" s="156">
        <v>47.701855000000002</v>
      </c>
      <c r="J42" s="156">
        <v>48.421719000000003</v>
      </c>
      <c r="K42" s="156">
        <v>48.903754999999997</v>
      </c>
      <c r="L42" s="156">
        <v>49.101771999999997</v>
      </c>
      <c r="M42" s="156">
        <v>49.390965000000001</v>
      </c>
      <c r="N42" s="156">
        <v>49.566006000000002</v>
      </c>
      <c r="O42" s="156">
        <v>49.728703000000003</v>
      </c>
      <c r="P42" s="156">
        <v>49.927813999999998</v>
      </c>
      <c r="Q42" s="156">
        <v>50.092888000000002</v>
      </c>
      <c r="R42" s="156">
        <v>50.186264000000001</v>
      </c>
      <c r="S42" s="156">
        <v>50.258968000000003</v>
      </c>
      <c r="T42" s="156">
        <v>50.459515000000003</v>
      </c>
      <c r="U42" s="156">
        <v>50.401878000000004</v>
      </c>
      <c r="V42" s="156">
        <v>50.483868000000001</v>
      </c>
      <c r="W42" s="156">
        <v>50.556342999999998</v>
      </c>
      <c r="X42" s="156">
        <v>50.567619000000001</v>
      </c>
      <c r="Y42" s="156">
        <v>50.506557000000001</v>
      </c>
      <c r="Z42" s="156">
        <v>50.436081000000001</v>
      </c>
      <c r="AA42" s="156">
        <v>50.728789999999996</v>
      </c>
      <c r="AB42" s="156">
        <v>50.621924999999997</v>
      </c>
      <c r="AC42" s="156">
        <v>50.575145999999997</v>
      </c>
      <c r="AD42" s="156">
        <v>50.901001000000001</v>
      </c>
      <c r="AE42" s="156">
        <v>50.852905</v>
      </c>
      <c r="AF42" s="155">
        <v>8.1169999999999992E-3</v>
      </c>
      <c r="AG42" s="31"/>
    </row>
    <row r="43" spans="1:33">
      <c r="A43" s="30" t="s">
        <v>86</v>
      </c>
      <c r="B43" s="153" t="s">
        <v>89</v>
      </c>
      <c r="C43" s="156">
        <v>26.867122999999999</v>
      </c>
      <c r="D43" s="156">
        <v>27.580062999999999</v>
      </c>
      <c r="E43" s="156">
        <v>28.18713</v>
      </c>
      <c r="F43" s="156">
        <v>29.544938999999999</v>
      </c>
      <c r="G43" s="156">
        <v>30.334429</v>
      </c>
      <c r="H43" s="156">
        <v>30.869291</v>
      </c>
      <c r="I43" s="156">
        <v>32.003860000000003</v>
      </c>
      <c r="J43" s="156">
        <v>32.332729</v>
      </c>
      <c r="K43" s="156">
        <v>32.567737999999999</v>
      </c>
      <c r="L43" s="156">
        <v>32.715243999999998</v>
      </c>
      <c r="M43" s="156">
        <v>32.917721</v>
      </c>
      <c r="N43" s="156">
        <v>33.132629000000001</v>
      </c>
      <c r="O43" s="156">
        <v>33.346694999999997</v>
      </c>
      <c r="P43" s="156">
        <v>33.582183999999998</v>
      </c>
      <c r="Q43" s="156">
        <v>33.768512999999999</v>
      </c>
      <c r="R43" s="156">
        <v>33.910198000000001</v>
      </c>
      <c r="S43" s="156">
        <v>34.029625000000003</v>
      </c>
      <c r="T43" s="156">
        <v>34.187984</v>
      </c>
      <c r="U43" s="156">
        <v>34.207794</v>
      </c>
      <c r="V43" s="156">
        <v>34.25676</v>
      </c>
      <c r="W43" s="156">
        <v>34.302878999999997</v>
      </c>
      <c r="X43" s="156">
        <v>34.317905000000003</v>
      </c>
      <c r="Y43" s="156">
        <v>34.295791999999999</v>
      </c>
      <c r="Z43" s="156">
        <v>34.273186000000003</v>
      </c>
      <c r="AA43" s="156">
        <v>34.332233000000002</v>
      </c>
      <c r="AB43" s="156">
        <v>34.305881999999997</v>
      </c>
      <c r="AC43" s="156">
        <v>34.288516999999999</v>
      </c>
      <c r="AD43" s="156">
        <v>34.401679999999999</v>
      </c>
      <c r="AE43" s="156">
        <v>34.388072999999999</v>
      </c>
      <c r="AF43" s="155">
        <v>8.8529999999999998E-3</v>
      </c>
      <c r="AG43" s="31"/>
    </row>
    <row r="44" spans="1:33">
      <c r="A44" s="30" t="s">
        <v>88</v>
      </c>
      <c r="B44" s="153" t="s">
        <v>91</v>
      </c>
      <c r="C44" s="156">
        <v>24.416388999999999</v>
      </c>
      <c r="D44" s="156">
        <v>24.836956000000001</v>
      </c>
      <c r="E44" s="156">
        <v>25.286928</v>
      </c>
      <c r="F44" s="156">
        <v>25.785551000000002</v>
      </c>
      <c r="G44" s="156">
        <v>26.309719000000001</v>
      </c>
      <c r="H44" s="156">
        <v>26.853071</v>
      </c>
      <c r="I44" s="156">
        <v>27.439551999999999</v>
      </c>
      <c r="J44" s="156">
        <v>28.039261</v>
      </c>
      <c r="K44" s="156">
        <v>28.645572999999999</v>
      </c>
      <c r="L44" s="156">
        <v>29.223606</v>
      </c>
      <c r="M44" s="156">
        <v>29.795773000000001</v>
      </c>
      <c r="N44" s="156">
        <v>30.329742</v>
      </c>
      <c r="O44" s="156">
        <v>30.858115999999999</v>
      </c>
      <c r="P44" s="156">
        <v>31.383734</v>
      </c>
      <c r="Q44" s="156">
        <v>31.896933000000001</v>
      </c>
      <c r="R44" s="156">
        <v>32.386234000000002</v>
      </c>
      <c r="S44" s="156">
        <v>32.857269000000002</v>
      </c>
      <c r="T44" s="156">
        <v>33.317824999999999</v>
      </c>
      <c r="U44" s="156">
        <v>33.744926</v>
      </c>
      <c r="V44" s="156">
        <v>34.150565999999998</v>
      </c>
      <c r="W44" s="156">
        <v>34.526347999999999</v>
      </c>
      <c r="X44" s="156">
        <v>34.855293000000003</v>
      </c>
      <c r="Y44" s="156">
        <v>35.133709000000003</v>
      </c>
      <c r="Z44" s="156">
        <v>35.376598000000001</v>
      </c>
      <c r="AA44" s="156">
        <v>35.587673000000002</v>
      </c>
      <c r="AB44" s="156">
        <v>35.763168</v>
      </c>
      <c r="AC44" s="156">
        <v>35.911662999999997</v>
      </c>
      <c r="AD44" s="156">
        <v>36.041504000000003</v>
      </c>
      <c r="AE44" s="156">
        <v>36.145099999999999</v>
      </c>
      <c r="AF44" s="155">
        <v>1.4109E-2</v>
      </c>
      <c r="AG44" s="31"/>
    </row>
    <row r="45" spans="1:33">
      <c r="A45" s="30" t="s">
        <v>90</v>
      </c>
      <c r="B45" s="153" t="s">
        <v>93</v>
      </c>
      <c r="C45" s="156">
        <v>15.821263</v>
      </c>
      <c r="D45" s="156">
        <v>16.131247999999999</v>
      </c>
      <c r="E45" s="156">
        <v>16.678804</v>
      </c>
      <c r="F45" s="156">
        <v>17.193453000000002</v>
      </c>
      <c r="G45" s="156">
        <v>17.382670999999998</v>
      </c>
      <c r="H45" s="156">
        <v>17.655719999999999</v>
      </c>
      <c r="I45" s="156">
        <v>17.641428000000001</v>
      </c>
      <c r="J45" s="156">
        <v>17.714843999999999</v>
      </c>
      <c r="K45" s="156">
        <v>17.746100999999999</v>
      </c>
      <c r="L45" s="156">
        <v>17.752108</v>
      </c>
      <c r="M45" s="156">
        <v>17.726762999999998</v>
      </c>
      <c r="N45" s="156">
        <v>17.703925999999999</v>
      </c>
      <c r="O45" s="156">
        <v>17.685976</v>
      </c>
      <c r="P45" s="156">
        <v>17.669809000000001</v>
      </c>
      <c r="Q45" s="156">
        <v>17.656127999999999</v>
      </c>
      <c r="R45" s="156">
        <v>17.644224000000001</v>
      </c>
      <c r="S45" s="156">
        <v>17.635103000000001</v>
      </c>
      <c r="T45" s="156">
        <v>17.627134000000002</v>
      </c>
      <c r="U45" s="156">
        <v>17.621216</v>
      </c>
      <c r="V45" s="156">
        <v>17.615825999999998</v>
      </c>
      <c r="W45" s="156">
        <v>17.612106000000001</v>
      </c>
      <c r="X45" s="156">
        <v>17.608646</v>
      </c>
      <c r="Y45" s="156">
        <v>17.607035</v>
      </c>
      <c r="Z45" s="156">
        <v>17.606117000000001</v>
      </c>
      <c r="AA45" s="156">
        <v>17.607099999999999</v>
      </c>
      <c r="AB45" s="156">
        <v>17.455801000000001</v>
      </c>
      <c r="AC45" s="156">
        <v>17.469227</v>
      </c>
      <c r="AD45" s="156">
        <v>17.484673999999998</v>
      </c>
      <c r="AE45" s="156">
        <v>17.514999</v>
      </c>
      <c r="AF45" s="155">
        <v>3.6389999999999999E-3</v>
      </c>
      <c r="AG45" s="31"/>
    </row>
    <row r="46" spans="1:33">
      <c r="A46" s="30" t="s">
        <v>92</v>
      </c>
      <c r="B46" s="153" t="s">
        <v>95</v>
      </c>
      <c r="C46" s="156">
        <v>13.428094</v>
      </c>
      <c r="D46" s="156">
        <v>13.70518</v>
      </c>
      <c r="E46" s="156">
        <v>13.988607999999999</v>
      </c>
      <c r="F46" s="156">
        <v>14.298017</v>
      </c>
      <c r="G46" s="156">
        <v>14.623931000000001</v>
      </c>
      <c r="H46" s="156">
        <v>14.947717000000001</v>
      </c>
      <c r="I46" s="156">
        <v>15.224836</v>
      </c>
      <c r="J46" s="156">
        <v>15.477124999999999</v>
      </c>
      <c r="K46" s="156">
        <v>15.708449999999999</v>
      </c>
      <c r="L46" s="156">
        <v>15.906402999999999</v>
      </c>
      <c r="M46" s="156">
        <v>16.084123999999999</v>
      </c>
      <c r="N46" s="156">
        <v>16.239180000000001</v>
      </c>
      <c r="O46" s="156">
        <v>16.374127999999999</v>
      </c>
      <c r="P46" s="156">
        <v>16.504307000000001</v>
      </c>
      <c r="Q46" s="156">
        <v>16.623000999999999</v>
      </c>
      <c r="R46" s="156">
        <v>16.732641000000001</v>
      </c>
      <c r="S46" s="156">
        <v>16.834803000000001</v>
      </c>
      <c r="T46" s="156">
        <v>16.930444999999999</v>
      </c>
      <c r="U46" s="156">
        <v>17.012526000000001</v>
      </c>
      <c r="V46" s="156">
        <v>17.084282000000002</v>
      </c>
      <c r="W46" s="156">
        <v>17.141766000000001</v>
      </c>
      <c r="X46" s="156">
        <v>17.21096</v>
      </c>
      <c r="Y46" s="156">
        <v>17.279800000000002</v>
      </c>
      <c r="Z46" s="156">
        <v>17.324511999999999</v>
      </c>
      <c r="AA46" s="156">
        <v>17.374506</v>
      </c>
      <c r="AB46" s="156">
        <v>17.402925</v>
      </c>
      <c r="AC46" s="156">
        <v>17.441884999999999</v>
      </c>
      <c r="AD46" s="156">
        <v>17.468942999999999</v>
      </c>
      <c r="AE46" s="156">
        <v>17.502464</v>
      </c>
      <c r="AF46" s="155">
        <v>9.5090000000000001E-3</v>
      </c>
      <c r="AG46" s="31"/>
    </row>
    <row r="47" spans="1:33">
      <c r="A47" s="30" t="s">
        <v>94</v>
      </c>
      <c r="B47" s="153" t="s">
        <v>96</v>
      </c>
      <c r="C47" s="156">
        <v>7.4724060000000003</v>
      </c>
      <c r="D47" s="156">
        <v>7.5785289999999996</v>
      </c>
      <c r="E47" s="156">
        <v>7.7053229999999999</v>
      </c>
      <c r="F47" s="156">
        <v>7.8485899999999997</v>
      </c>
      <c r="G47" s="156">
        <v>8.002383</v>
      </c>
      <c r="H47" s="156">
        <v>8.1636769999999999</v>
      </c>
      <c r="I47" s="156">
        <v>8.3212849999999996</v>
      </c>
      <c r="J47" s="156">
        <v>8.4797550000000008</v>
      </c>
      <c r="K47" s="156">
        <v>8.6382940000000001</v>
      </c>
      <c r="L47" s="156">
        <v>8.7959300000000002</v>
      </c>
      <c r="M47" s="156">
        <v>8.9485489999999999</v>
      </c>
      <c r="N47" s="156">
        <v>9.0909969999999998</v>
      </c>
      <c r="O47" s="156">
        <v>9.2225160000000006</v>
      </c>
      <c r="P47" s="156">
        <v>9.3430680000000006</v>
      </c>
      <c r="Q47" s="156">
        <v>9.4533149999999999</v>
      </c>
      <c r="R47" s="156">
        <v>9.5530629999999999</v>
      </c>
      <c r="S47" s="156">
        <v>9.6434440000000006</v>
      </c>
      <c r="T47" s="156">
        <v>9.7267100000000006</v>
      </c>
      <c r="U47" s="156">
        <v>9.8045930000000006</v>
      </c>
      <c r="V47" s="156">
        <v>9.8772749999999991</v>
      </c>
      <c r="W47" s="156">
        <v>9.9424309999999991</v>
      </c>
      <c r="X47" s="156">
        <v>10.001567</v>
      </c>
      <c r="Y47" s="156">
        <v>10.055840999999999</v>
      </c>
      <c r="Z47" s="156">
        <v>10.108454</v>
      </c>
      <c r="AA47" s="156">
        <v>10.161227999999999</v>
      </c>
      <c r="AB47" s="156">
        <v>10.213310999999999</v>
      </c>
      <c r="AC47" s="156">
        <v>10.263764</v>
      </c>
      <c r="AD47" s="156">
        <v>10.314513</v>
      </c>
      <c r="AE47" s="156">
        <v>10.365861000000001</v>
      </c>
      <c r="AF47" s="155">
        <v>1.1757999999999999E-2</v>
      </c>
      <c r="AG47" s="31"/>
    </row>
    <row r="48" spans="1:33">
      <c r="A48" s="29"/>
      <c r="B48" s="152" t="s">
        <v>98</v>
      </c>
      <c r="C48" s="31"/>
      <c r="D48" s="31"/>
      <c r="E48" s="31"/>
      <c r="F48" s="31"/>
      <c r="G48" s="31"/>
      <c r="H48" s="31"/>
      <c r="I48" s="31"/>
      <c r="J48" s="31"/>
      <c r="K48" s="31"/>
      <c r="L48" s="31"/>
      <c r="M48" s="31"/>
      <c r="N48" s="31"/>
      <c r="O48" s="31"/>
      <c r="P48" s="31"/>
      <c r="Q48" s="31"/>
      <c r="R48" s="31"/>
      <c r="S48" s="31"/>
      <c r="T48" s="31"/>
      <c r="U48" s="31"/>
      <c r="V48" s="31"/>
      <c r="W48" s="31"/>
      <c r="X48" s="31"/>
      <c r="Y48" s="31"/>
      <c r="Z48" s="31"/>
      <c r="AA48" s="31"/>
      <c r="AB48" s="31"/>
      <c r="AC48" s="31"/>
      <c r="AD48" s="31"/>
      <c r="AE48" s="31"/>
      <c r="AF48" s="31"/>
      <c r="AG48" s="31"/>
    </row>
    <row r="49" spans="1:33">
      <c r="A49" s="30" t="s">
        <v>97</v>
      </c>
      <c r="B49" s="153" t="s">
        <v>99</v>
      </c>
      <c r="C49" s="156">
        <v>72.717087000000006</v>
      </c>
      <c r="D49" s="156">
        <v>73.091971999999998</v>
      </c>
      <c r="E49" s="156">
        <v>73.492531</v>
      </c>
      <c r="F49" s="156">
        <v>74.018456</v>
      </c>
      <c r="G49" s="156">
        <v>74.683121</v>
      </c>
      <c r="H49" s="156">
        <v>75.131766999999996</v>
      </c>
      <c r="I49" s="156">
        <v>75.592140000000001</v>
      </c>
      <c r="J49" s="156">
        <v>76.024017000000001</v>
      </c>
      <c r="K49" s="156">
        <v>76.492362999999997</v>
      </c>
      <c r="L49" s="156">
        <v>77.014213999999996</v>
      </c>
      <c r="M49" s="156">
        <v>77.600960000000001</v>
      </c>
      <c r="N49" s="156">
        <v>78.266677999999999</v>
      </c>
      <c r="O49" s="156">
        <v>78.981505999999996</v>
      </c>
      <c r="P49" s="156">
        <v>79.730591000000004</v>
      </c>
      <c r="Q49" s="156">
        <v>80.489220000000003</v>
      </c>
      <c r="R49" s="156">
        <v>81.260979000000006</v>
      </c>
      <c r="S49" s="156">
        <v>82.048454000000007</v>
      </c>
      <c r="T49" s="156">
        <v>82.814575000000005</v>
      </c>
      <c r="U49" s="156">
        <v>83.594772000000006</v>
      </c>
      <c r="V49" s="156">
        <v>84.382309000000006</v>
      </c>
      <c r="W49" s="156">
        <v>85.171204000000003</v>
      </c>
      <c r="X49" s="156">
        <v>85.974022000000005</v>
      </c>
      <c r="Y49" s="156">
        <v>86.764037999999999</v>
      </c>
      <c r="Z49" s="156">
        <v>87.549926999999997</v>
      </c>
      <c r="AA49" s="156">
        <v>88.321090999999996</v>
      </c>
      <c r="AB49" s="156">
        <v>89.091155999999998</v>
      </c>
      <c r="AC49" s="156">
        <v>89.849761999999998</v>
      </c>
      <c r="AD49" s="156">
        <v>90.593376000000006</v>
      </c>
      <c r="AE49" s="156">
        <v>91.328147999999999</v>
      </c>
      <c r="AF49" s="155">
        <v>8.1720000000000004E-3</v>
      </c>
      <c r="AG49" s="31"/>
    </row>
    <row r="50" spans="1:33">
      <c r="A50" s="29"/>
      <c r="B50" s="152" t="s">
        <v>101</v>
      </c>
      <c r="C50" s="31"/>
      <c r="D50" s="31"/>
      <c r="E50" s="31"/>
      <c r="F50" s="31"/>
      <c r="G50" s="31"/>
      <c r="H50" s="31"/>
      <c r="I50" s="31"/>
      <c r="J50" s="31"/>
      <c r="K50" s="31"/>
      <c r="L50" s="31"/>
      <c r="M50" s="31"/>
      <c r="N50" s="31"/>
      <c r="O50" s="31"/>
      <c r="P50" s="31"/>
      <c r="Q50" s="31"/>
      <c r="R50" s="31"/>
      <c r="S50" s="31"/>
      <c r="T50" s="31"/>
      <c r="U50" s="31"/>
      <c r="V50" s="31"/>
      <c r="W50" s="31"/>
      <c r="X50" s="31"/>
      <c r="Y50" s="31"/>
      <c r="Z50" s="31"/>
      <c r="AA50" s="31"/>
      <c r="AB50" s="31"/>
      <c r="AC50" s="31"/>
      <c r="AD50" s="31"/>
      <c r="AE50" s="31"/>
      <c r="AF50" s="31"/>
      <c r="AG50" s="31"/>
    </row>
    <row r="51" spans="1:33">
      <c r="A51" s="30" t="s">
        <v>100</v>
      </c>
      <c r="B51" s="153" t="s">
        <v>61</v>
      </c>
      <c r="C51" s="156">
        <v>3.3663400000000001</v>
      </c>
      <c r="D51" s="156">
        <v>3.3698929999999998</v>
      </c>
      <c r="E51" s="156">
        <v>3.3734500000000001</v>
      </c>
      <c r="F51" s="156">
        <v>3.3770099999999998</v>
      </c>
      <c r="G51" s="156">
        <v>3.3805740000000002</v>
      </c>
      <c r="H51" s="156">
        <v>3.3841420000000002</v>
      </c>
      <c r="I51" s="156">
        <v>3.3877130000000002</v>
      </c>
      <c r="J51" s="156">
        <v>3.391289</v>
      </c>
      <c r="K51" s="156">
        <v>3.3948680000000002</v>
      </c>
      <c r="L51" s="156">
        <v>3.3984510000000001</v>
      </c>
      <c r="M51" s="156">
        <v>3.402037</v>
      </c>
      <c r="N51" s="156">
        <v>3.4056280000000001</v>
      </c>
      <c r="O51" s="156">
        <v>3.4092220000000002</v>
      </c>
      <c r="P51" s="156">
        <v>3.41282</v>
      </c>
      <c r="Q51" s="156">
        <v>3.4164219999999998</v>
      </c>
      <c r="R51" s="156">
        <v>3.4200270000000002</v>
      </c>
      <c r="S51" s="156">
        <v>3.4236369999999998</v>
      </c>
      <c r="T51" s="156">
        <v>3.4272499999999999</v>
      </c>
      <c r="U51" s="156">
        <v>3.4308670000000001</v>
      </c>
      <c r="V51" s="156">
        <v>3.434488</v>
      </c>
      <c r="W51" s="156">
        <v>3.438113</v>
      </c>
      <c r="X51" s="156">
        <v>3.4417409999999999</v>
      </c>
      <c r="Y51" s="156">
        <v>3.445373</v>
      </c>
      <c r="Z51" s="156">
        <v>3.4490099999999999</v>
      </c>
      <c r="AA51" s="156">
        <v>3.4526490000000001</v>
      </c>
      <c r="AB51" s="156">
        <v>3.4562930000000001</v>
      </c>
      <c r="AC51" s="156">
        <v>3.4599410000000002</v>
      </c>
      <c r="AD51" s="156">
        <v>3.4635929999999999</v>
      </c>
      <c r="AE51" s="156">
        <v>3.4672480000000001</v>
      </c>
      <c r="AF51" s="155">
        <v>1.0549999999999999E-3</v>
      </c>
      <c r="AG51" s="31"/>
    </row>
    <row r="52" spans="1:33">
      <c r="A52" s="30" t="s">
        <v>102</v>
      </c>
      <c r="B52" s="153" t="s">
        <v>62</v>
      </c>
      <c r="C52" s="156">
        <v>4.8202259999999999</v>
      </c>
      <c r="D52" s="156">
        <v>4.8389660000000001</v>
      </c>
      <c r="E52" s="156">
        <v>4.8577789999999998</v>
      </c>
      <c r="F52" s="156">
        <v>4.876665</v>
      </c>
      <c r="G52" s="156">
        <v>4.8956239999999998</v>
      </c>
      <c r="H52" s="156">
        <v>4.9146570000000001</v>
      </c>
      <c r="I52" s="156">
        <v>4.933764</v>
      </c>
      <c r="J52" s="156">
        <v>4.9529449999999997</v>
      </c>
      <c r="K52" s="156">
        <v>4.9722</v>
      </c>
      <c r="L52" s="156">
        <v>4.9915310000000002</v>
      </c>
      <c r="M52" s="156">
        <v>5.0109370000000002</v>
      </c>
      <c r="N52" s="156">
        <v>5.0304180000000001</v>
      </c>
      <c r="O52" s="156">
        <v>5.0499749999999999</v>
      </c>
      <c r="P52" s="156">
        <v>5.0696079999999997</v>
      </c>
      <c r="Q52" s="156">
        <v>5.0893170000000003</v>
      </c>
      <c r="R52" s="156">
        <v>5.1091030000000002</v>
      </c>
      <c r="S52" s="156">
        <v>5.1289660000000001</v>
      </c>
      <c r="T52" s="156">
        <v>5.1489060000000002</v>
      </c>
      <c r="U52" s="156">
        <v>5.1689230000000004</v>
      </c>
      <c r="V52" s="156">
        <v>5.189019</v>
      </c>
      <c r="W52" s="156">
        <v>5.2091919999999998</v>
      </c>
      <c r="X52" s="156">
        <v>5.2294450000000001</v>
      </c>
      <c r="Y52" s="156">
        <v>5.2497749999999996</v>
      </c>
      <c r="Z52" s="156">
        <v>5.2701849999999997</v>
      </c>
      <c r="AA52" s="156">
        <v>5.2906740000000001</v>
      </c>
      <c r="AB52" s="156">
        <v>5.3112430000000002</v>
      </c>
      <c r="AC52" s="156">
        <v>5.3318919999999999</v>
      </c>
      <c r="AD52" s="156">
        <v>5.3526210000000001</v>
      </c>
      <c r="AE52" s="156">
        <v>5.3734299999999999</v>
      </c>
      <c r="AF52" s="155">
        <v>3.888E-3</v>
      </c>
      <c r="AG52" s="31"/>
    </row>
    <row r="53" spans="1:33">
      <c r="A53" s="29"/>
      <c r="B53" s="31"/>
      <c r="C53" s="31"/>
      <c r="D53" s="31"/>
      <c r="E53" s="31"/>
      <c r="F53" s="31"/>
      <c r="G53" s="31"/>
      <c r="H53" s="31"/>
      <c r="I53" s="31"/>
      <c r="J53" s="31"/>
      <c r="K53" s="31"/>
      <c r="L53" s="31"/>
      <c r="M53" s="31"/>
      <c r="N53" s="31"/>
      <c r="O53" s="31"/>
      <c r="P53" s="31"/>
      <c r="Q53" s="31"/>
      <c r="R53" s="31"/>
      <c r="S53" s="31"/>
      <c r="T53" s="31"/>
      <c r="U53" s="31"/>
      <c r="V53" s="31"/>
      <c r="W53" s="31"/>
      <c r="X53" s="31"/>
      <c r="Y53" s="31"/>
      <c r="Z53" s="31"/>
      <c r="AA53" s="31"/>
      <c r="AB53" s="31"/>
      <c r="AC53" s="31"/>
      <c r="AD53" s="31"/>
      <c r="AE53" s="31"/>
      <c r="AF53" s="31"/>
      <c r="AG53" s="31"/>
    </row>
    <row r="54" spans="1:33">
      <c r="A54" s="29"/>
      <c r="B54" s="152" t="s">
        <v>103</v>
      </c>
      <c r="C54" s="31"/>
      <c r="D54" s="31"/>
      <c r="E54" s="31"/>
      <c r="F54" s="31"/>
      <c r="G54" s="31"/>
      <c r="H54" s="31"/>
      <c r="I54" s="31"/>
      <c r="J54" s="31"/>
      <c r="K54" s="31"/>
      <c r="L54" s="31"/>
      <c r="M54" s="31"/>
      <c r="N54" s="31"/>
      <c r="O54" s="31"/>
      <c r="P54" s="31"/>
      <c r="Q54" s="31"/>
      <c r="R54" s="31"/>
      <c r="S54" s="31"/>
      <c r="T54" s="31"/>
      <c r="U54" s="31"/>
      <c r="V54" s="31"/>
      <c r="W54" s="31"/>
      <c r="X54" s="31"/>
      <c r="Y54" s="31"/>
      <c r="Z54" s="31"/>
      <c r="AA54" s="31"/>
      <c r="AB54" s="31"/>
      <c r="AC54" s="31"/>
      <c r="AD54" s="31"/>
      <c r="AE54" s="31"/>
      <c r="AF54" s="31"/>
      <c r="AG54" s="31"/>
    </row>
    <row r="55" spans="1:33">
      <c r="A55" s="29"/>
      <c r="B55" s="152" t="s">
        <v>105</v>
      </c>
      <c r="C55" s="31"/>
      <c r="D55" s="31"/>
      <c r="E55" s="31"/>
      <c r="F55" s="31"/>
      <c r="G55" s="31"/>
      <c r="H55" s="31"/>
      <c r="I55" s="31"/>
      <c r="J55" s="31"/>
      <c r="K55" s="31"/>
      <c r="L55" s="31"/>
      <c r="M55" s="31"/>
      <c r="N55" s="31"/>
      <c r="O55" s="31"/>
      <c r="P55" s="31"/>
      <c r="Q55" s="31"/>
      <c r="R55" s="31"/>
      <c r="S55" s="31"/>
      <c r="T55" s="31"/>
      <c r="U55" s="31"/>
      <c r="V55" s="31"/>
      <c r="W55" s="31"/>
      <c r="X55" s="31"/>
      <c r="Y55" s="31"/>
      <c r="Z55" s="31"/>
      <c r="AA55" s="31"/>
      <c r="AB55" s="31"/>
      <c r="AC55" s="31"/>
      <c r="AD55" s="31"/>
      <c r="AE55" s="31"/>
      <c r="AF55" s="31"/>
      <c r="AG55" s="31"/>
    </row>
    <row r="56" spans="1:33">
      <c r="A56" s="30" t="s">
        <v>104</v>
      </c>
      <c r="B56" s="153" t="s">
        <v>107</v>
      </c>
      <c r="C56" s="157">
        <v>14.541973</v>
      </c>
      <c r="D56" s="157">
        <v>14.586114</v>
      </c>
      <c r="E56" s="157">
        <v>14.429691999999999</v>
      </c>
      <c r="F56" s="157">
        <v>14.201924999999999</v>
      </c>
      <c r="G56" s="157">
        <v>14.016909</v>
      </c>
      <c r="H56" s="157">
        <v>13.860763</v>
      </c>
      <c r="I56" s="157">
        <v>13.679087000000001</v>
      </c>
      <c r="J56" s="157">
        <v>13.473832</v>
      </c>
      <c r="K56" s="157">
        <v>13.253083</v>
      </c>
      <c r="L56" s="157">
        <v>13.044086</v>
      </c>
      <c r="M56" s="157">
        <v>12.836978</v>
      </c>
      <c r="N56" s="157">
        <v>12.674039</v>
      </c>
      <c r="O56" s="157">
        <v>12.534656</v>
      </c>
      <c r="P56" s="157">
        <v>12.394664000000001</v>
      </c>
      <c r="Q56" s="157">
        <v>12.251548</v>
      </c>
      <c r="R56" s="157">
        <v>12.130822</v>
      </c>
      <c r="S56" s="157">
        <v>12.028416</v>
      </c>
      <c r="T56" s="157">
        <v>11.933923</v>
      </c>
      <c r="U56" s="157">
        <v>11.864001</v>
      </c>
      <c r="V56" s="157">
        <v>11.805396</v>
      </c>
      <c r="W56" s="157">
        <v>11.762741999999999</v>
      </c>
      <c r="X56" s="157">
        <v>11.733644</v>
      </c>
      <c r="Y56" s="157">
        <v>11.725387</v>
      </c>
      <c r="Z56" s="157">
        <v>11.735775</v>
      </c>
      <c r="AA56" s="157">
        <v>11.770763000000001</v>
      </c>
      <c r="AB56" s="157">
        <v>11.824349</v>
      </c>
      <c r="AC56" s="157">
        <v>11.889715000000001</v>
      </c>
      <c r="AD56" s="157">
        <v>11.962910000000001</v>
      </c>
      <c r="AE56" s="157">
        <v>12.054455000000001</v>
      </c>
      <c r="AF56" s="155">
        <v>-6.6779999999999999E-3</v>
      </c>
      <c r="AG56" s="31"/>
    </row>
    <row r="57" spans="1:33">
      <c r="A57" s="30" t="s">
        <v>106</v>
      </c>
      <c r="B57" s="153" t="s">
        <v>109</v>
      </c>
      <c r="C57" s="157">
        <v>0.95150299999999999</v>
      </c>
      <c r="D57" s="157">
        <v>0.94255800000000001</v>
      </c>
      <c r="E57" s="157">
        <v>0.92534000000000005</v>
      </c>
      <c r="F57" s="157">
        <v>0.91245200000000004</v>
      </c>
      <c r="G57" s="157">
        <v>0.903111</v>
      </c>
      <c r="H57" s="157">
        <v>0.89480700000000002</v>
      </c>
      <c r="I57" s="157">
        <v>0.88838499999999998</v>
      </c>
      <c r="J57" s="157">
        <v>0.88299499999999997</v>
      </c>
      <c r="K57" s="157">
        <v>0.87703299999999995</v>
      </c>
      <c r="L57" s="157">
        <v>0.87279099999999998</v>
      </c>
      <c r="M57" s="157">
        <v>0.87179099999999998</v>
      </c>
      <c r="N57" s="157">
        <v>0.87186799999999998</v>
      </c>
      <c r="O57" s="157">
        <v>0.87303399999999998</v>
      </c>
      <c r="P57" s="157">
        <v>0.87507400000000002</v>
      </c>
      <c r="Q57" s="157">
        <v>0.87749999999999995</v>
      </c>
      <c r="R57" s="157">
        <v>0.881023</v>
      </c>
      <c r="S57" s="157">
        <v>0.88554100000000002</v>
      </c>
      <c r="T57" s="157">
        <v>0.88979600000000003</v>
      </c>
      <c r="U57" s="157">
        <v>0.896146</v>
      </c>
      <c r="V57" s="157">
        <v>0.90392399999999995</v>
      </c>
      <c r="W57" s="157">
        <v>0.91192099999999998</v>
      </c>
      <c r="X57" s="157">
        <v>0.91867500000000002</v>
      </c>
      <c r="Y57" s="157">
        <v>0.92472100000000002</v>
      </c>
      <c r="Z57" s="157">
        <v>0.93183000000000005</v>
      </c>
      <c r="AA57" s="157">
        <v>0.93994</v>
      </c>
      <c r="AB57" s="157">
        <v>0.94994999999999996</v>
      </c>
      <c r="AC57" s="157">
        <v>0.95831999999999995</v>
      </c>
      <c r="AD57" s="157">
        <v>0.96721000000000001</v>
      </c>
      <c r="AE57" s="157">
        <v>0.97889800000000005</v>
      </c>
      <c r="AF57" s="155">
        <v>1.0139999999999999E-3</v>
      </c>
      <c r="AG57" s="31"/>
    </row>
    <row r="58" spans="1:33">
      <c r="A58" s="30" t="s">
        <v>108</v>
      </c>
      <c r="B58" s="153" t="s">
        <v>111</v>
      </c>
      <c r="C58" s="157">
        <v>0.21216299999999999</v>
      </c>
      <c r="D58" s="157">
        <v>0.22231200000000001</v>
      </c>
      <c r="E58" s="157">
        <v>0.22695699999999999</v>
      </c>
      <c r="F58" s="157">
        <v>0.22801299999999999</v>
      </c>
      <c r="G58" s="157">
        <v>0.228798</v>
      </c>
      <c r="H58" s="157">
        <v>0.229238</v>
      </c>
      <c r="I58" s="157">
        <v>0.229403</v>
      </c>
      <c r="J58" s="157">
        <v>0.229156</v>
      </c>
      <c r="K58" s="157">
        <v>0.228548</v>
      </c>
      <c r="L58" s="157">
        <v>0.22755600000000001</v>
      </c>
      <c r="M58" s="157">
        <v>0.22653000000000001</v>
      </c>
      <c r="N58" s="157">
        <v>0.22600500000000001</v>
      </c>
      <c r="O58" s="157">
        <v>0.22533600000000001</v>
      </c>
      <c r="P58" s="157">
        <v>0.22447300000000001</v>
      </c>
      <c r="Q58" s="157">
        <v>0.223496</v>
      </c>
      <c r="R58" s="157">
        <v>0.22194</v>
      </c>
      <c r="S58" s="157">
        <v>0.22057599999999999</v>
      </c>
      <c r="T58" s="157">
        <v>0.21909899999999999</v>
      </c>
      <c r="U58" s="157">
        <v>0.2175</v>
      </c>
      <c r="V58" s="157">
        <v>0.215784</v>
      </c>
      <c r="W58" s="157">
        <v>0.214032</v>
      </c>
      <c r="X58" s="157">
        <v>0.21201700000000001</v>
      </c>
      <c r="Y58" s="157">
        <v>0.21015400000000001</v>
      </c>
      <c r="Z58" s="157">
        <v>0.20821500000000001</v>
      </c>
      <c r="AA58" s="157">
        <v>0.206535</v>
      </c>
      <c r="AB58" s="157">
        <v>0.20446300000000001</v>
      </c>
      <c r="AC58" s="157">
        <v>0.20246</v>
      </c>
      <c r="AD58" s="157">
        <v>0.20028199999999999</v>
      </c>
      <c r="AE58" s="157">
        <v>0.198183</v>
      </c>
      <c r="AF58" s="155">
        <v>-2.4320000000000001E-3</v>
      </c>
      <c r="AG58" s="31"/>
    </row>
    <row r="59" spans="1:33">
      <c r="A59" s="30" t="s">
        <v>110</v>
      </c>
      <c r="B59" s="153" t="s">
        <v>113</v>
      </c>
      <c r="C59" s="157">
        <v>5.9211260000000001</v>
      </c>
      <c r="D59" s="157">
        <v>5.8150050000000002</v>
      </c>
      <c r="E59" s="157">
        <v>5.7261790000000001</v>
      </c>
      <c r="F59" s="157">
        <v>5.6708869999999996</v>
      </c>
      <c r="G59" s="157">
        <v>5.6364150000000004</v>
      </c>
      <c r="H59" s="157">
        <v>5.5889559999999996</v>
      </c>
      <c r="I59" s="157">
        <v>5.5406930000000001</v>
      </c>
      <c r="J59" s="157">
        <v>5.4803899999999999</v>
      </c>
      <c r="K59" s="157">
        <v>5.4188489999999998</v>
      </c>
      <c r="L59" s="157">
        <v>5.3674910000000002</v>
      </c>
      <c r="M59" s="157">
        <v>5.3360620000000001</v>
      </c>
      <c r="N59" s="157">
        <v>5.3021260000000003</v>
      </c>
      <c r="O59" s="157">
        <v>5.2741230000000003</v>
      </c>
      <c r="P59" s="157">
        <v>5.25631</v>
      </c>
      <c r="Q59" s="157">
        <v>5.2378020000000003</v>
      </c>
      <c r="R59" s="157">
        <v>5.2322259999999998</v>
      </c>
      <c r="S59" s="157">
        <v>5.2306210000000002</v>
      </c>
      <c r="T59" s="157">
        <v>5.2322899999999999</v>
      </c>
      <c r="U59" s="157">
        <v>5.2416010000000002</v>
      </c>
      <c r="V59" s="157">
        <v>5.2565660000000003</v>
      </c>
      <c r="W59" s="157">
        <v>5.2744609999999996</v>
      </c>
      <c r="X59" s="157">
        <v>5.2923179999999999</v>
      </c>
      <c r="Y59" s="157">
        <v>5.3090260000000002</v>
      </c>
      <c r="Z59" s="157">
        <v>5.323563</v>
      </c>
      <c r="AA59" s="157">
        <v>5.3446429999999996</v>
      </c>
      <c r="AB59" s="157">
        <v>5.367305</v>
      </c>
      <c r="AC59" s="157">
        <v>5.3838540000000004</v>
      </c>
      <c r="AD59" s="157">
        <v>5.4034690000000003</v>
      </c>
      <c r="AE59" s="157">
        <v>5.43954</v>
      </c>
      <c r="AF59" s="155">
        <v>-3.0249999999999999E-3</v>
      </c>
      <c r="AG59" s="31"/>
    </row>
    <row r="60" spans="1:33">
      <c r="A60" s="30" t="s">
        <v>112</v>
      </c>
      <c r="B60" s="153" t="s">
        <v>115</v>
      </c>
      <c r="C60" s="157">
        <v>4.3913000000000001E-2</v>
      </c>
      <c r="D60" s="157">
        <v>4.5564E-2</v>
      </c>
      <c r="E60" s="157">
        <v>4.6540999999999999E-2</v>
      </c>
      <c r="F60" s="157">
        <v>4.7204999999999997E-2</v>
      </c>
      <c r="G60" s="157">
        <v>4.7899999999999998E-2</v>
      </c>
      <c r="H60" s="157">
        <v>4.8571000000000003E-2</v>
      </c>
      <c r="I60" s="157">
        <v>4.9133000000000003E-2</v>
      </c>
      <c r="J60" s="157">
        <v>4.9707000000000001E-2</v>
      </c>
      <c r="K60" s="157">
        <v>5.015E-2</v>
      </c>
      <c r="L60" s="157">
        <v>5.0598999999999998E-2</v>
      </c>
      <c r="M60" s="157">
        <v>5.1139999999999998E-2</v>
      </c>
      <c r="N60" s="157">
        <v>5.1727000000000002E-2</v>
      </c>
      <c r="O60" s="157">
        <v>5.2368999999999999E-2</v>
      </c>
      <c r="P60" s="157">
        <v>5.2923999999999999E-2</v>
      </c>
      <c r="Q60" s="157">
        <v>5.3456999999999998E-2</v>
      </c>
      <c r="R60" s="157">
        <v>5.3973E-2</v>
      </c>
      <c r="S60" s="157">
        <v>5.4510000000000003E-2</v>
      </c>
      <c r="T60" s="157">
        <v>5.5034E-2</v>
      </c>
      <c r="U60" s="157">
        <v>5.5627000000000003E-2</v>
      </c>
      <c r="V60" s="157">
        <v>5.6181000000000002E-2</v>
      </c>
      <c r="W60" s="157">
        <v>5.6753999999999999E-2</v>
      </c>
      <c r="X60" s="157">
        <v>5.7258000000000003E-2</v>
      </c>
      <c r="Y60" s="157">
        <v>5.7815999999999999E-2</v>
      </c>
      <c r="Z60" s="157">
        <v>5.8367000000000002E-2</v>
      </c>
      <c r="AA60" s="157">
        <v>5.9116000000000002E-2</v>
      </c>
      <c r="AB60" s="157">
        <v>5.9750999999999999E-2</v>
      </c>
      <c r="AC60" s="157">
        <v>6.0444999999999999E-2</v>
      </c>
      <c r="AD60" s="157">
        <v>6.1081000000000003E-2</v>
      </c>
      <c r="AE60" s="157">
        <v>6.1848E-2</v>
      </c>
      <c r="AF60" s="155">
        <v>1.2305999999999999E-2</v>
      </c>
      <c r="AG60" s="31"/>
    </row>
    <row r="61" spans="1:33">
      <c r="A61" s="30" t="s">
        <v>114</v>
      </c>
      <c r="B61" s="153" t="s">
        <v>117</v>
      </c>
      <c r="C61" s="157">
        <v>0.48138199999999998</v>
      </c>
      <c r="D61" s="157">
        <v>0.47482200000000002</v>
      </c>
      <c r="E61" s="157">
        <v>0.49412899999999998</v>
      </c>
      <c r="F61" s="157">
        <v>0.48220400000000002</v>
      </c>
      <c r="G61" s="157">
        <v>0.46188000000000001</v>
      </c>
      <c r="H61" s="157">
        <v>0.44609500000000002</v>
      </c>
      <c r="I61" s="157">
        <v>0.439745</v>
      </c>
      <c r="J61" s="157">
        <v>0.44452599999999998</v>
      </c>
      <c r="K61" s="157">
        <v>0.44189200000000001</v>
      </c>
      <c r="L61" s="157">
        <v>0.44342300000000001</v>
      </c>
      <c r="M61" s="157">
        <v>0.44743699999999997</v>
      </c>
      <c r="N61" s="157">
        <v>0.45064799999999999</v>
      </c>
      <c r="O61" s="157">
        <v>0.45266600000000001</v>
      </c>
      <c r="P61" s="157">
        <v>0.455515</v>
      </c>
      <c r="Q61" s="157">
        <v>0.45589400000000002</v>
      </c>
      <c r="R61" s="157">
        <v>0.45686199999999999</v>
      </c>
      <c r="S61" s="157">
        <v>0.45827499999999999</v>
      </c>
      <c r="T61" s="157">
        <v>0.45760899999999999</v>
      </c>
      <c r="U61" s="157">
        <v>0.45812799999999998</v>
      </c>
      <c r="V61" s="157">
        <v>0.461673</v>
      </c>
      <c r="W61" s="157">
        <v>0.464588</v>
      </c>
      <c r="X61" s="157">
        <v>0.46493699999999999</v>
      </c>
      <c r="Y61" s="157">
        <v>0.46492299999999998</v>
      </c>
      <c r="Z61" s="157">
        <v>0.46477099999999999</v>
      </c>
      <c r="AA61" s="157">
        <v>0.46576699999999999</v>
      </c>
      <c r="AB61" s="157">
        <v>0.46815499999999999</v>
      </c>
      <c r="AC61" s="157">
        <v>0.47133999999999998</v>
      </c>
      <c r="AD61" s="157">
        <v>0.47259899999999999</v>
      </c>
      <c r="AE61" s="157">
        <v>0.47572900000000001</v>
      </c>
      <c r="AF61" s="155">
        <v>-4.2200000000000001E-4</v>
      </c>
      <c r="AG61" s="31"/>
    </row>
    <row r="62" spans="1:33">
      <c r="A62" s="30" t="s">
        <v>116</v>
      </c>
      <c r="B62" s="153" t="s">
        <v>119</v>
      </c>
      <c r="C62" s="157">
        <v>9.8239000000000007E-2</v>
      </c>
      <c r="D62" s="157">
        <v>9.8920999999999995E-2</v>
      </c>
      <c r="E62" s="157">
        <v>9.8114999999999994E-2</v>
      </c>
      <c r="F62" s="157">
        <v>9.7346000000000002E-2</v>
      </c>
      <c r="G62" s="157">
        <v>9.6685999999999994E-2</v>
      </c>
      <c r="H62" s="157">
        <v>9.5823000000000005E-2</v>
      </c>
      <c r="I62" s="157">
        <v>9.4964999999999994E-2</v>
      </c>
      <c r="J62" s="157">
        <v>9.3891000000000002E-2</v>
      </c>
      <c r="K62" s="157">
        <v>9.2919000000000002E-2</v>
      </c>
      <c r="L62" s="157">
        <v>9.2030000000000001E-2</v>
      </c>
      <c r="M62" s="157">
        <v>9.1400999999999996E-2</v>
      </c>
      <c r="N62" s="157">
        <v>9.0674000000000005E-2</v>
      </c>
      <c r="O62" s="157">
        <v>8.9934E-2</v>
      </c>
      <c r="P62" s="157">
        <v>8.9168999999999998E-2</v>
      </c>
      <c r="Q62" s="157">
        <v>8.8332999999999995E-2</v>
      </c>
      <c r="R62" s="157">
        <v>8.7614999999999998E-2</v>
      </c>
      <c r="S62" s="157">
        <v>8.6832999999999994E-2</v>
      </c>
      <c r="T62" s="157">
        <v>8.6156999999999997E-2</v>
      </c>
      <c r="U62" s="157">
        <v>8.5473999999999994E-2</v>
      </c>
      <c r="V62" s="157">
        <v>8.4846000000000005E-2</v>
      </c>
      <c r="W62" s="157">
        <v>8.4274000000000002E-2</v>
      </c>
      <c r="X62" s="157">
        <v>8.3705000000000002E-2</v>
      </c>
      <c r="Y62" s="157">
        <v>8.3102999999999996E-2</v>
      </c>
      <c r="Z62" s="157">
        <v>8.2418000000000005E-2</v>
      </c>
      <c r="AA62" s="157">
        <v>8.1855999999999998E-2</v>
      </c>
      <c r="AB62" s="157">
        <v>8.1249000000000002E-2</v>
      </c>
      <c r="AC62" s="157">
        <v>8.0573000000000006E-2</v>
      </c>
      <c r="AD62" s="157">
        <v>7.9990000000000006E-2</v>
      </c>
      <c r="AE62" s="157">
        <v>7.9592999999999997E-2</v>
      </c>
      <c r="AF62" s="155">
        <v>-7.489E-3</v>
      </c>
      <c r="AG62" s="31"/>
    </row>
    <row r="63" spans="1:33">
      <c r="A63" s="30" t="s">
        <v>118</v>
      </c>
      <c r="B63" s="153" t="s">
        <v>121</v>
      </c>
      <c r="C63" s="157">
        <v>0.93502799999999997</v>
      </c>
      <c r="D63" s="157">
        <v>0.88183</v>
      </c>
      <c r="E63" s="157">
        <v>0.87772700000000003</v>
      </c>
      <c r="F63" s="157">
        <v>0.87860400000000005</v>
      </c>
      <c r="G63" s="157">
        <v>0.87124999999999997</v>
      </c>
      <c r="H63" s="157">
        <v>0.86844900000000003</v>
      </c>
      <c r="I63" s="157">
        <v>0.86268900000000004</v>
      </c>
      <c r="J63" s="157">
        <v>0.85914199999999996</v>
      </c>
      <c r="K63" s="157">
        <v>0.85663400000000001</v>
      </c>
      <c r="L63" s="157">
        <v>0.85713600000000001</v>
      </c>
      <c r="M63" s="157">
        <v>0.857437</v>
      </c>
      <c r="N63" s="157">
        <v>0.85799999999999998</v>
      </c>
      <c r="O63" s="157">
        <v>0.85775999999999997</v>
      </c>
      <c r="P63" s="157">
        <v>0.85821800000000004</v>
      </c>
      <c r="Q63" s="157">
        <v>0.85754699999999995</v>
      </c>
      <c r="R63" s="157">
        <v>0.85761399999999999</v>
      </c>
      <c r="S63" s="157">
        <v>0.85763500000000004</v>
      </c>
      <c r="T63" s="157">
        <v>0.85734999999999995</v>
      </c>
      <c r="U63" s="157">
        <v>0.85724500000000003</v>
      </c>
      <c r="V63" s="157">
        <v>0.85730099999999998</v>
      </c>
      <c r="W63" s="157">
        <v>0.85782999999999998</v>
      </c>
      <c r="X63" s="157">
        <v>0.85782000000000003</v>
      </c>
      <c r="Y63" s="157">
        <v>0.85804800000000003</v>
      </c>
      <c r="Z63" s="157">
        <v>0.85806800000000005</v>
      </c>
      <c r="AA63" s="157">
        <v>0.86063299999999998</v>
      </c>
      <c r="AB63" s="157">
        <v>0.86092400000000002</v>
      </c>
      <c r="AC63" s="157">
        <v>0.85983399999999999</v>
      </c>
      <c r="AD63" s="157">
        <v>0.85912200000000005</v>
      </c>
      <c r="AE63" s="157">
        <v>0.85809500000000005</v>
      </c>
      <c r="AF63" s="155">
        <v>-3.0620000000000001E-3</v>
      </c>
      <c r="AG63" s="31"/>
    </row>
    <row r="64" spans="1:33">
      <c r="A64" s="30" t="s">
        <v>120</v>
      </c>
      <c r="B64" s="153" t="s">
        <v>123</v>
      </c>
      <c r="C64" s="157">
        <v>0.20283699999999999</v>
      </c>
      <c r="D64" s="157">
        <v>0.19916300000000001</v>
      </c>
      <c r="E64" s="157">
        <v>0.19580500000000001</v>
      </c>
      <c r="F64" s="157">
        <v>0.19373699999999999</v>
      </c>
      <c r="G64" s="157">
        <v>0.19281300000000001</v>
      </c>
      <c r="H64" s="157">
        <v>0.19189700000000001</v>
      </c>
      <c r="I64" s="157">
        <v>0.19073399999999999</v>
      </c>
      <c r="J64" s="157">
        <v>0.18920999999999999</v>
      </c>
      <c r="K64" s="157">
        <v>0.18740399999999999</v>
      </c>
      <c r="L64" s="157">
        <v>0.18567700000000001</v>
      </c>
      <c r="M64" s="157">
        <v>0.18446699999999999</v>
      </c>
      <c r="N64" s="157">
        <v>0.18361</v>
      </c>
      <c r="O64" s="157">
        <v>0.182778</v>
      </c>
      <c r="P64" s="157">
        <v>0.18199799999999999</v>
      </c>
      <c r="Q64" s="157">
        <v>0.18145</v>
      </c>
      <c r="R64" s="157">
        <v>0.18110599999999999</v>
      </c>
      <c r="S64" s="157">
        <v>0.18074599999999999</v>
      </c>
      <c r="T64" s="157">
        <v>0.18038299999999999</v>
      </c>
      <c r="U64" s="157">
        <v>0.18029500000000001</v>
      </c>
      <c r="V64" s="157">
        <v>0.18016099999999999</v>
      </c>
      <c r="W64" s="157">
        <v>0.17998800000000001</v>
      </c>
      <c r="X64" s="157">
        <v>0.179814</v>
      </c>
      <c r="Y64" s="157">
        <v>0.17955699999999999</v>
      </c>
      <c r="Z64" s="157">
        <v>0.17924399999999999</v>
      </c>
      <c r="AA64" s="157">
        <v>0.17895</v>
      </c>
      <c r="AB64" s="157">
        <v>0.178728</v>
      </c>
      <c r="AC64" s="157">
        <v>0.17849100000000001</v>
      </c>
      <c r="AD64" s="157">
        <v>0.178228</v>
      </c>
      <c r="AE64" s="157">
        <v>0.17815600000000001</v>
      </c>
      <c r="AF64" s="155">
        <v>-4.6230000000000004E-3</v>
      </c>
      <c r="AG64" s="31"/>
    </row>
    <row r="65" spans="1:33">
      <c r="A65" s="30" t="s">
        <v>122</v>
      </c>
      <c r="B65" s="153" t="s">
        <v>125</v>
      </c>
      <c r="C65" s="157">
        <v>2.8028080000000002</v>
      </c>
      <c r="D65" s="157">
        <v>3.008168</v>
      </c>
      <c r="E65" s="157">
        <v>3.0512030000000001</v>
      </c>
      <c r="F65" s="157">
        <v>3.0571109999999999</v>
      </c>
      <c r="G65" s="157">
        <v>3.095898</v>
      </c>
      <c r="H65" s="157">
        <v>3.1342270000000001</v>
      </c>
      <c r="I65" s="157">
        <v>3.164552</v>
      </c>
      <c r="J65" s="157">
        <v>3.1871079999999998</v>
      </c>
      <c r="K65" s="157">
        <v>3.2029380000000001</v>
      </c>
      <c r="L65" s="157">
        <v>3.2187830000000002</v>
      </c>
      <c r="M65" s="157">
        <v>3.2439369999999998</v>
      </c>
      <c r="N65" s="157">
        <v>3.270448</v>
      </c>
      <c r="O65" s="157">
        <v>3.294403</v>
      </c>
      <c r="P65" s="157">
        <v>3.322924</v>
      </c>
      <c r="Q65" s="157">
        <v>3.3598249999999998</v>
      </c>
      <c r="R65" s="157">
        <v>3.4038949999999999</v>
      </c>
      <c r="S65" s="157">
        <v>3.4501719999999998</v>
      </c>
      <c r="T65" s="157">
        <v>3.498488</v>
      </c>
      <c r="U65" s="157">
        <v>3.5546440000000001</v>
      </c>
      <c r="V65" s="157">
        <v>3.608403</v>
      </c>
      <c r="W65" s="157">
        <v>3.6630980000000002</v>
      </c>
      <c r="X65" s="157">
        <v>3.7186249999999998</v>
      </c>
      <c r="Y65" s="157">
        <v>3.7740100000000001</v>
      </c>
      <c r="Z65" s="157">
        <v>3.8279190000000001</v>
      </c>
      <c r="AA65" s="157">
        <v>3.8804340000000002</v>
      </c>
      <c r="AB65" s="157">
        <v>3.9367380000000001</v>
      </c>
      <c r="AC65" s="157">
        <v>3.9936039999999999</v>
      </c>
      <c r="AD65" s="157">
        <v>4.0496509999999999</v>
      </c>
      <c r="AE65" s="157">
        <v>4.112158</v>
      </c>
      <c r="AF65" s="155">
        <v>1.3783999999999999E-2</v>
      </c>
      <c r="AG65" s="31"/>
    </row>
    <row r="66" spans="1:33">
      <c r="A66" s="30" t="s">
        <v>124</v>
      </c>
      <c r="B66" s="153" t="s">
        <v>127</v>
      </c>
      <c r="C66" s="157">
        <v>0.43083199999999999</v>
      </c>
      <c r="D66" s="157">
        <v>0.43313099999999999</v>
      </c>
      <c r="E66" s="157">
        <v>0.43396800000000002</v>
      </c>
      <c r="F66" s="157">
        <v>0.43462800000000001</v>
      </c>
      <c r="G66" s="157">
        <v>0.43516199999999999</v>
      </c>
      <c r="H66" s="157">
        <v>0.43594699999999997</v>
      </c>
      <c r="I66" s="157">
        <v>0.43650600000000001</v>
      </c>
      <c r="J66" s="157">
        <v>0.43695099999999998</v>
      </c>
      <c r="K66" s="157">
        <v>0.437332</v>
      </c>
      <c r="L66" s="157">
        <v>0.43757600000000002</v>
      </c>
      <c r="M66" s="157">
        <v>0.43774400000000002</v>
      </c>
      <c r="N66" s="157">
        <v>0.43782700000000002</v>
      </c>
      <c r="O66" s="157">
        <v>0.43785800000000002</v>
      </c>
      <c r="P66" s="157">
        <v>0.43787900000000002</v>
      </c>
      <c r="Q66" s="157">
        <v>0.438004</v>
      </c>
      <c r="R66" s="157">
        <v>0.43820300000000001</v>
      </c>
      <c r="S66" s="157">
        <v>0.43841200000000002</v>
      </c>
      <c r="T66" s="157">
        <v>0.43863099999999999</v>
      </c>
      <c r="U66" s="157">
        <v>0.43885800000000003</v>
      </c>
      <c r="V66" s="157">
        <v>0.43909300000000001</v>
      </c>
      <c r="W66" s="157">
        <v>0.43933499999999998</v>
      </c>
      <c r="X66" s="157">
        <v>0.43958399999999997</v>
      </c>
      <c r="Y66" s="157">
        <v>0.43983899999999998</v>
      </c>
      <c r="Z66" s="157">
        <v>0.44009900000000002</v>
      </c>
      <c r="AA66" s="157">
        <v>0.44036399999999998</v>
      </c>
      <c r="AB66" s="157">
        <v>0.440633</v>
      </c>
      <c r="AC66" s="157">
        <v>0.44090699999999999</v>
      </c>
      <c r="AD66" s="157">
        <v>0.44118400000000002</v>
      </c>
      <c r="AE66" s="157">
        <v>0.441465</v>
      </c>
      <c r="AF66" s="155">
        <v>8.7100000000000003E-4</v>
      </c>
      <c r="AG66" s="31"/>
    </row>
    <row r="67" spans="1:33">
      <c r="A67" s="30" t="s">
        <v>126</v>
      </c>
      <c r="B67" s="153" t="s">
        <v>129</v>
      </c>
      <c r="C67" s="157">
        <v>0.125945</v>
      </c>
      <c r="D67" s="157">
        <v>0.12592500000000001</v>
      </c>
      <c r="E67" s="157">
        <v>0.12601200000000001</v>
      </c>
      <c r="F67" s="157">
        <v>0.12605</v>
      </c>
      <c r="G67" s="157">
        <v>0.126114</v>
      </c>
      <c r="H67" s="157">
        <v>0.12598400000000001</v>
      </c>
      <c r="I67" s="157">
        <v>0.12585299999999999</v>
      </c>
      <c r="J67" s="157">
        <v>0.12575500000000001</v>
      </c>
      <c r="K67" s="157">
        <v>0.12565200000000001</v>
      </c>
      <c r="L67" s="157">
        <v>0.12554599999999999</v>
      </c>
      <c r="M67" s="157">
        <v>0.12543899999999999</v>
      </c>
      <c r="N67" s="157">
        <v>0.12533</v>
      </c>
      <c r="O67" s="157">
        <v>0.12525</v>
      </c>
      <c r="P67" s="157">
        <v>0.125225</v>
      </c>
      <c r="Q67" s="157">
        <v>0.12525500000000001</v>
      </c>
      <c r="R67" s="157">
        <v>0.12531800000000001</v>
      </c>
      <c r="S67" s="157">
        <v>0.125412</v>
      </c>
      <c r="T67" s="157">
        <v>0.125527</v>
      </c>
      <c r="U67" s="157">
        <v>0.125667</v>
      </c>
      <c r="V67" s="157">
        <v>0.12579699999999999</v>
      </c>
      <c r="W67" s="157">
        <v>0.12592500000000001</v>
      </c>
      <c r="X67" s="157">
        <v>0.12604599999999999</v>
      </c>
      <c r="Y67" s="157">
        <v>0.126166</v>
      </c>
      <c r="Z67" s="157">
        <v>0.12631999999999999</v>
      </c>
      <c r="AA67" s="157">
        <v>0.12649199999999999</v>
      </c>
      <c r="AB67" s="157">
        <v>0.126661</v>
      </c>
      <c r="AC67" s="157">
        <v>0.12681100000000001</v>
      </c>
      <c r="AD67" s="157">
        <v>0.126974</v>
      </c>
      <c r="AE67" s="157">
        <v>0.12715899999999999</v>
      </c>
      <c r="AF67" s="155">
        <v>3.4200000000000002E-4</v>
      </c>
      <c r="AG67" s="31"/>
    </row>
    <row r="68" spans="1:33">
      <c r="A68" s="30" t="s">
        <v>128</v>
      </c>
      <c r="B68" s="153" t="s">
        <v>131</v>
      </c>
      <c r="C68" s="157">
        <v>0.90573199999999998</v>
      </c>
      <c r="D68" s="157">
        <v>0.82054300000000002</v>
      </c>
      <c r="E68" s="157">
        <v>0.76098200000000005</v>
      </c>
      <c r="F68" s="157">
        <v>0.72675199999999995</v>
      </c>
      <c r="G68" s="157">
        <v>0.69584999999999997</v>
      </c>
      <c r="H68" s="157">
        <v>0.65398500000000004</v>
      </c>
      <c r="I68" s="157">
        <v>0.61392800000000003</v>
      </c>
      <c r="J68" s="157">
        <v>0.61203300000000005</v>
      </c>
      <c r="K68" s="157">
        <v>0.61031599999999997</v>
      </c>
      <c r="L68" s="157">
        <v>0.61189700000000002</v>
      </c>
      <c r="M68" s="157">
        <v>0.61776399999999998</v>
      </c>
      <c r="N68" s="157">
        <v>0.62628499999999998</v>
      </c>
      <c r="O68" s="157">
        <v>0.63076699999999997</v>
      </c>
      <c r="P68" s="157">
        <v>0.63347699999999996</v>
      </c>
      <c r="Q68" s="157">
        <v>0.63400299999999998</v>
      </c>
      <c r="R68" s="157">
        <v>0.63296799999999998</v>
      </c>
      <c r="S68" s="157">
        <v>0.63783100000000004</v>
      </c>
      <c r="T68" s="157">
        <v>0.63666800000000001</v>
      </c>
      <c r="U68" s="157">
        <v>0.64580700000000002</v>
      </c>
      <c r="V68" s="157">
        <v>0.65242699999999998</v>
      </c>
      <c r="W68" s="157">
        <v>0.65816600000000003</v>
      </c>
      <c r="X68" s="157">
        <v>0.66099399999999997</v>
      </c>
      <c r="Y68" s="157">
        <v>0.66509499999999999</v>
      </c>
      <c r="Z68" s="157">
        <v>0.66920299999999999</v>
      </c>
      <c r="AA68" s="157">
        <v>0.67453399999999997</v>
      </c>
      <c r="AB68" s="157">
        <v>0.68213500000000005</v>
      </c>
      <c r="AC68" s="157">
        <v>0.68949099999999997</v>
      </c>
      <c r="AD68" s="157">
        <v>0.691882</v>
      </c>
      <c r="AE68" s="157">
        <v>0.69677699999999998</v>
      </c>
      <c r="AF68" s="155">
        <v>-9.3229999999999997E-3</v>
      </c>
      <c r="AG68" s="31"/>
    </row>
    <row r="69" spans="1:33">
      <c r="A69" s="30" t="s">
        <v>659</v>
      </c>
      <c r="B69" s="153" t="s">
        <v>660</v>
      </c>
      <c r="C69" s="157">
        <v>0.33252300000000001</v>
      </c>
      <c r="D69" s="157">
        <v>0.377971</v>
      </c>
      <c r="E69" s="157">
        <v>0.38400499999999999</v>
      </c>
      <c r="F69" s="157">
        <v>0.40878300000000001</v>
      </c>
      <c r="G69" s="157">
        <v>0.44626100000000002</v>
      </c>
      <c r="H69" s="157">
        <v>0.47717300000000001</v>
      </c>
      <c r="I69" s="157">
        <v>0.50361</v>
      </c>
      <c r="J69" s="157">
        <v>0.52757100000000001</v>
      </c>
      <c r="K69" s="157">
        <v>0.57796899999999996</v>
      </c>
      <c r="L69" s="157">
        <v>0.62836700000000001</v>
      </c>
      <c r="M69" s="157">
        <v>0.68000400000000005</v>
      </c>
      <c r="N69" s="157">
        <v>0.72916400000000003</v>
      </c>
      <c r="O69" s="157">
        <v>0.77116200000000001</v>
      </c>
      <c r="P69" s="157">
        <v>0.79636099999999999</v>
      </c>
      <c r="Q69" s="157">
        <v>0.81439899999999998</v>
      </c>
      <c r="R69" s="157">
        <v>0.82996000000000003</v>
      </c>
      <c r="S69" s="157">
        <v>0.83835999999999999</v>
      </c>
      <c r="T69" s="157">
        <v>0.83835999999999999</v>
      </c>
      <c r="U69" s="157">
        <v>0.83959799999999996</v>
      </c>
      <c r="V69" s="157">
        <v>0.83835999999999999</v>
      </c>
      <c r="W69" s="157">
        <v>0.83835999999999999</v>
      </c>
      <c r="X69" s="157">
        <v>0.83835999999999999</v>
      </c>
      <c r="Y69" s="157">
        <v>0.83959799999999996</v>
      </c>
      <c r="Z69" s="157">
        <v>0.83835999999999999</v>
      </c>
      <c r="AA69" s="157">
        <v>0.83835999999999999</v>
      </c>
      <c r="AB69" s="157">
        <v>0.83835999999999999</v>
      </c>
      <c r="AC69" s="157">
        <v>0.83959799999999996</v>
      </c>
      <c r="AD69" s="157">
        <v>0.83835999999999999</v>
      </c>
      <c r="AE69" s="157">
        <v>0.83835999999999999</v>
      </c>
      <c r="AF69" s="155">
        <v>3.3577999999999997E-2</v>
      </c>
      <c r="AG69" s="31"/>
    </row>
    <row r="70" spans="1:33">
      <c r="A70" s="30" t="s">
        <v>130</v>
      </c>
      <c r="B70" s="152" t="s">
        <v>132</v>
      </c>
      <c r="C70" s="158">
        <v>27.986006</v>
      </c>
      <c r="D70" s="158">
        <v>28.032028</v>
      </c>
      <c r="E70" s="158">
        <v>27.776655000000002</v>
      </c>
      <c r="F70" s="158">
        <v>27.465699999999998</v>
      </c>
      <c r="G70" s="158">
        <v>27.255044999999999</v>
      </c>
      <c r="H70" s="158">
        <v>27.051918000000001</v>
      </c>
      <c r="I70" s="158">
        <v>26.819282999999999</v>
      </c>
      <c r="J70" s="158">
        <v>26.592269999999999</v>
      </c>
      <c r="K70" s="158">
        <v>26.360721999999999</v>
      </c>
      <c r="L70" s="158">
        <v>26.162958</v>
      </c>
      <c r="M70" s="158">
        <v>26.008129</v>
      </c>
      <c r="N70" s="158">
        <v>25.897749000000001</v>
      </c>
      <c r="O70" s="158">
        <v>25.802094</v>
      </c>
      <c r="P70" s="158">
        <v>25.704211999999998</v>
      </c>
      <c r="Q70" s="158">
        <v>25.598514999999999</v>
      </c>
      <c r="R70" s="158">
        <v>25.533525000000001</v>
      </c>
      <c r="S70" s="158">
        <v>25.493338000000001</v>
      </c>
      <c r="T70" s="158">
        <v>25.449311999999999</v>
      </c>
      <c r="U70" s="158">
        <v>25.46059</v>
      </c>
      <c r="V70" s="158">
        <v>25.485914000000001</v>
      </c>
      <c r="W70" s="158">
        <v>25.531475</v>
      </c>
      <c r="X70" s="158">
        <v>25.583796</v>
      </c>
      <c r="Y70" s="158">
        <v>25.657437999999999</v>
      </c>
      <c r="Z70" s="158">
        <v>25.744152</v>
      </c>
      <c r="AA70" s="158">
        <v>25.868386999999998</v>
      </c>
      <c r="AB70" s="158">
        <v>26.019403000000001</v>
      </c>
      <c r="AC70" s="158">
        <v>26.175443999999999</v>
      </c>
      <c r="AD70" s="158">
        <v>26.332941000000002</v>
      </c>
      <c r="AE70" s="158">
        <v>26.540414999999999</v>
      </c>
      <c r="AF70" s="159">
        <v>-1.892E-3</v>
      </c>
      <c r="AG70" s="31"/>
    </row>
    <row r="71" spans="1:33">
      <c r="A71" s="29"/>
      <c r="B71" s="31"/>
      <c r="C71" s="31"/>
      <c r="D71" s="31"/>
      <c r="E71" s="31"/>
      <c r="F71" s="31"/>
      <c r="G71" s="31"/>
      <c r="H71" s="31"/>
      <c r="I71" s="31"/>
      <c r="J71" s="31"/>
      <c r="K71" s="31"/>
      <c r="L71" s="31"/>
      <c r="M71" s="31"/>
      <c r="N71" s="31"/>
      <c r="O71" s="31"/>
      <c r="P71" s="31"/>
      <c r="Q71" s="31"/>
      <c r="R71" s="31"/>
      <c r="S71" s="31"/>
      <c r="T71" s="31"/>
      <c r="U71" s="31"/>
      <c r="V71" s="31"/>
      <c r="W71" s="31"/>
      <c r="X71" s="31"/>
      <c r="Y71" s="31"/>
      <c r="Z71" s="31"/>
      <c r="AA71" s="31"/>
      <c r="AB71" s="31"/>
      <c r="AC71" s="31"/>
      <c r="AD71" s="31"/>
      <c r="AE71" s="31"/>
      <c r="AF71" s="31"/>
      <c r="AG71" s="31"/>
    </row>
    <row r="72" spans="1:33">
      <c r="A72" s="29"/>
      <c r="B72" s="152" t="s">
        <v>134</v>
      </c>
      <c r="C72" s="31"/>
      <c r="D72" s="31"/>
      <c r="E72" s="31"/>
      <c r="F72" s="31"/>
      <c r="G72" s="31"/>
      <c r="H72" s="31"/>
      <c r="I72" s="31"/>
      <c r="J72" s="31"/>
      <c r="K72" s="31"/>
      <c r="L72" s="31"/>
      <c r="M72" s="31"/>
      <c r="N72" s="31"/>
      <c r="O72" s="31"/>
      <c r="P72" s="31"/>
      <c r="Q72" s="31"/>
      <c r="R72" s="31"/>
      <c r="S72" s="31"/>
      <c r="T72" s="31"/>
      <c r="U72" s="31"/>
      <c r="V72" s="31"/>
      <c r="W72" s="31"/>
      <c r="X72" s="31"/>
      <c r="Y72" s="31"/>
      <c r="Z72" s="31"/>
      <c r="AA72" s="31"/>
      <c r="AB72" s="31"/>
      <c r="AC72" s="31"/>
      <c r="AD72" s="31"/>
      <c r="AE72" s="31"/>
      <c r="AF72" s="31"/>
      <c r="AG72" s="31"/>
    </row>
    <row r="73" spans="1:33">
      <c r="A73" s="30" t="s">
        <v>133</v>
      </c>
      <c r="B73" s="153" t="s">
        <v>107</v>
      </c>
      <c r="C73" s="157">
        <v>7.8874019999999998</v>
      </c>
      <c r="D73" s="157">
        <v>7.9122269999999997</v>
      </c>
      <c r="E73" s="157">
        <v>7.8274340000000002</v>
      </c>
      <c r="F73" s="157">
        <v>7.7041750000000002</v>
      </c>
      <c r="G73" s="157">
        <v>7.6036460000000003</v>
      </c>
      <c r="H73" s="157">
        <v>7.5184980000000001</v>
      </c>
      <c r="I73" s="157">
        <v>7.419035</v>
      </c>
      <c r="J73" s="157">
        <v>7.3065249999999997</v>
      </c>
      <c r="K73" s="157">
        <v>7.1853569999999998</v>
      </c>
      <c r="L73" s="157">
        <v>7.0706910000000001</v>
      </c>
      <c r="M73" s="157">
        <v>6.9570160000000003</v>
      </c>
      <c r="N73" s="157">
        <v>6.8672800000000001</v>
      </c>
      <c r="O73" s="157">
        <v>6.7902670000000001</v>
      </c>
      <c r="P73" s="157">
        <v>6.712955</v>
      </c>
      <c r="Q73" s="157">
        <v>6.6337719999999996</v>
      </c>
      <c r="R73" s="157">
        <v>6.566808</v>
      </c>
      <c r="S73" s="157">
        <v>6.509881</v>
      </c>
      <c r="T73" s="157">
        <v>6.457382</v>
      </c>
      <c r="U73" s="157">
        <v>6.4183839999999996</v>
      </c>
      <c r="V73" s="157">
        <v>6.3855760000000004</v>
      </c>
      <c r="W73" s="157">
        <v>6.3615849999999998</v>
      </c>
      <c r="X73" s="157">
        <v>6.3450730000000002</v>
      </c>
      <c r="Y73" s="157">
        <v>6.3401059999999996</v>
      </c>
      <c r="Z73" s="157">
        <v>6.3454620000000004</v>
      </c>
      <c r="AA73" s="157">
        <v>6.3641899999999998</v>
      </c>
      <c r="AB73" s="157">
        <v>6.3931519999999997</v>
      </c>
      <c r="AC73" s="157">
        <v>6.428598</v>
      </c>
      <c r="AD73" s="157">
        <v>6.4683789999999997</v>
      </c>
      <c r="AE73" s="157">
        <v>6.5181990000000001</v>
      </c>
      <c r="AF73" s="155">
        <v>-6.7860000000000004E-3</v>
      </c>
      <c r="AG73" s="31"/>
    </row>
    <row r="74" spans="1:33">
      <c r="A74" s="30" t="s">
        <v>135</v>
      </c>
      <c r="B74" s="153" t="s">
        <v>109</v>
      </c>
      <c r="C74" s="157">
        <v>0.496809</v>
      </c>
      <c r="D74" s="157">
        <v>0.49219299999999999</v>
      </c>
      <c r="E74" s="157">
        <v>0.48331400000000002</v>
      </c>
      <c r="F74" s="157">
        <v>0.47684199999999999</v>
      </c>
      <c r="G74" s="157">
        <v>0.472221</v>
      </c>
      <c r="H74" s="157">
        <v>0.46793200000000001</v>
      </c>
      <c r="I74" s="157">
        <v>0.46471200000000001</v>
      </c>
      <c r="J74" s="157">
        <v>0.46205299999999999</v>
      </c>
      <c r="K74" s="157">
        <v>0.45911099999999999</v>
      </c>
      <c r="L74" s="157">
        <v>0.45708399999999999</v>
      </c>
      <c r="M74" s="157">
        <v>0.45675399999999999</v>
      </c>
      <c r="N74" s="157">
        <v>0.45698899999999998</v>
      </c>
      <c r="O74" s="157">
        <v>0.457814</v>
      </c>
      <c r="P74" s="157">
        <v>0.45909100000000003</v>
      </c>
      <c r="Q74" s="157">
        <v>0.46056399999999997</v>
      </c>
      <c r="R74" s="157">
        <v>0.462619</v>
      </c>
      <c r="S74" s="157">
        <v>0.46518900000000002</v>
      </c>
      <c r="T74" s="157">
        <v>0.46762300000000001</v>
      </c>
      <c r="U74" s="157">
        <v>0.47117599999999998</v>
      </c>
      <c r="V74" s="157">
        <v>0.47543600000000003</v>
      </c>
      <c r="W74" s="157">
        <v>0.47985299999999997</v>
      </c>
      <c r="X74" s="157">
        <v>0.48379299999999997</v>
      </c>
      <c r="Y74" s="157">
        <v>0.48735400000000001</v>
      </c>
      <c r="Z74" s="157">
        <v>0.49135299999999998</v>
      </c>
      <c r="AA74" s="157">
        <v>0.49600300000000003</v>
      </c>
      <c r="AB74" s="157">
        <v>0.50156500000000004</v>
      </c>
      <c r="AC74" s="157">
        <v>0.50649100000000002</v>
      </c>
      <c r="AD74" s="157">
        <v>0.51146199999999997</v>
      </c>
      <c r="AE74" s="157">
        <v>0.51798100000000002</v>
      </c>
      <c r="AF74" s="155">
        <v>1.4920000000000001E-3</v>
      </c>
      <c r="AG74" s="31"/>
    </row>
    <row r="75" spans="1:33">
      <c r="A75" s="30" t="s">
        <v>136</v>
      </c>
      <c r="B75" s="153" t="s">
        <v>111</v>
      </c>
      <c r="C75" s="157">
        <v>0.105213</v>
      </c>
      <c r="D75" s="157">
        <v>0.11029600000000001</v>
      </c>
      <c r="E75" s="157">
        <v>0.11259</v>
      </c>
      <c r="F75" s="157">
        <v>0.113083</v>
      </c>
      <c r="G75" s="157">
        <v>0.113492</v>
      </c>
      <c r="H75" s="157">
        <v>0.113737</v>
      </c>
      <c r="I75" s="157">
        <v>0.113843</v>
      </c>
      <c r="J75" s="157">
        <v>0.113729</v>
      </c>
      <c r="K75" s="157">
        <v>0.11343399999999999</v>
      </c>
      <c r="L75" s="157">
        <v>0.112917</v>
      </c>
      <c r="M75" s="157">
        <v>0.112403</v>
      </c>
      <c r="N75" s="157">
        <v>0.11212900000000001</v>
      </c>
      <c r="O75" s="157">
        <v>0.111806</v>
      </c>
      <c r="P75" s="157">
        <v>0.11138099999999999</v>
      </c>
      <c r="Q75" s="157">
        <v>0.110915</v>
      </c>
      <c r="R75" s="157">
        <v>0.110151</v>
      </c>
      <c r="S75" s="157">
        <v>0.109477</v>
      </c>
      <c r="T75" s="157">
        <v>0.108762</v>
      </c>
      <c r="U75" s="157">
        <v>0.107969</v>
      </c>
      <c r="V75" s="157">
        <v>0.107129</v>
      </c>
      <c r="W75" s="157">
        <v>0.10628799999999999</v>
      </c>
      <c r="X75" s="157">
        <v>0.105307</v>
      </c>
      <c r="Y75" s="157">
        <v>0.104391</v>
      </c>
      <c r="Z75" s="157">
        <v>0.103434</v>
      </c>
      <c r="AA75" s="157">
        <v>0.102605</v>
      </c>
      <c r="AB75" s="157">
        <v>0.101578</v>
      </c>
      <c r="AC75" s="157">
        <v>0.10058599999999999</v>
      </c>
      <c r="AD75" s="157">
        <v>9.9506999999999998E-2</v>
      </c>
      <c r="AE75" s="157">
        <v>9.8460000000000006E-2</v>
      </c>
      <c r="AF75" s="155">
        <v>-2.366E-3</v>
      </c>
      <c r="AG75" s="31"/>
    </row>
    <row r="76" spans="1:33">
      <c r="A76" s="30" t="s">
        <v>137</v>
      </c>
      <c r="B76" s="153" t="s">
        <v>113</v>
      </c>
      <c r="C76" s="157">
        <v>2.850965</v>
      </c>
      <c r="D76" s="157">
        <v>2.8004340000000001</v>
      </c>
      <c r="E76" s="157">
        <v>2.7581639999999998</v>
      </c>
      <c r="F76" s="157">
        <v>2.7321939999999998</v>
      </c>
      <c r="G76" s="157">
        <v>2.7161360000000001</v>
      </c>
      <c r="H76" s="157">
        <v>2.6936719999999998</v>
      </c>
      <c r="I76" s="157">
        <v>2.6712570000000002</v>
      </c>
      <c r="J76" s="157">
        <v>2.6429619999999998</v>
      </c>
      <c r="K76" s="157">
        <v>2.6141770000000002</v>
      </c>
      <c r="L76" s="157">
        <v>2.5901740000000002</v>
      </c>
      <c r="M76" s="157">
        <v>2.5759319999999999</v>
      </c>
      <c r="N76" s="157">
        <v>2.560368</v>
      </c>
      <c r="O76" s="157">
        <v>2.5477449999999999</v>
      </c>
      <c r="P76" s="157">
        <v>2.5398450000000001</v>
      </c>
      <c r="Q76" s="157">
        <v>2.5316429999999999</v>
      </c>
      <c r="R76" s="157">
        <v>2.5296340000000002</v>
      </c>
      <c r="S76" s="157">
        <v>2.5295000000000001</v>
      </c>
      <c r="T76" s="157">
        <v>2.5309710000000001</v>
      </c>
      <c r="U76" s="157">
        <v>2.536117</v>
      </c>
      <c r="V76" s="157">
        <v>2.5440339999999999</v>
      </c>
      <c r="W76" s="157">
        <v>2.553331</v>
      </c>
      <c r="X76" s="157">
        <v>2.5625979999999999</v>
      </c>
      <c r="Y76" s="157">
        <v>2.571348</v>
      </c>
      <c r="Z76" s="157">
        <v>2.5790220000000001</v>
      </c>
      <c r="AA76" s="157">
        <v>2.5899839999999998</v>
      </c>
      <c r="AB76" s="157">
        <v>2.6017070000000002</v>
      </c>
      <c r="AC76" s="157">
        <v>2.6103890000000001</v>
      </c>
      <c r="AD76" s="157">
        <v>2.6206119999999999</v>
      </c>
      <c r="AE76" s="157">
        <v>2.6388850000000001</v>
      </c>
      <c r="AF76" s="155">
        <v>-2.7569999999999999E-3</v>
      </c>
      <c r="AG76" s="31"/>
    </row>
    <row r="77" spans="1:33">
      <c r="A77" s="30" t="s">
        <v>138</v>
      </c>
      <c r="B77" s="153" t="s">
        <v>115</v>
      </c>
      <c r="C77" s="157">
        <v>2.0781000000000001E-2</v>
      </c>
      <c r="D77" s="157">
        <v>2.1562999999999999E-2</v>
      </c>
      <c r="E77" s="157">
        <v>2.2024999999999999E-2</v>
      </c>
      <c r="F77" s="157">
        <v>2.2339999999999999E-2</v>
      </c>
      <c r="G77" s="157">
        <v>2.2668000000000001E-2</v>
      </c>
      <c r="H77" s="157">
        <v>2.2984000000000001E-2</v>
      </c>
      <c r="I77" s="157">
        <v>2.3251000000000001E-2</v>
      </c>
      <c r="J77" s="157">
        <v>2.3522999999999999E-2</v>
      </c>
      <c r="K77" s="157">
        <v>2.3733000000000001E-2</v>
      </c>
      <c r="L77" s="157">
        <v>2.3945000000000001E-2</v>
      </c>
      <c r="M77" s="157">
        <v>2.4201E-2</v>
      </c>
      <c r="N77" s="157">
        <v>2.4479000000000001E-2</v>
      </c>
      <c r="O77" s="157">
        <v>2.4782999999999999E-2</v>
      </c>
      <c r="P77" s="157">
        <v>2.5045000000000001E-2</v>
      </c>
      <c r="Q77" s="157">
        <v>2.5298000000000001E-2</v>
      </c>
      <c r="R77" s="157">
        <v>2.5541999999999999E-2</v>
      </c>
      <c r="S77" s="157">
        <v>2.5795999999999999E-2</v>
      </c>
      <c r="T77" s="157">
        <v>2.6044000000000001E-2</v>
      </c>
      <c r="U77" s="157">
        <v>2.6325000000000001E-2</v>
      </c>
      <c r="V77" s="157">
        <v>2.6587E-2</v>
      </c>
      <c r="W77" s="157">
        <v>2.6858E-2</v>
      </c>
      <c r="X77" s="157">
        <v>2.7097E-2</v>
      </c>
      <c r="Y77" s="157">
        <v>2.7361E-2</v>
      </c>
      <c r="Z77" s="157">
        <v>2.7622000000000001E-2</v>
      </c>
      <c r="AA77" s="157">
        <v>2.7976999999999998E-2</v>
      </c>
      <c r="AB77" s="157">
        <v>2.8278000000000001E-2</v>
      </c>
      <c r="AC77" s="157">
        <v>2.8604999999999998E-2</v>
      </c>
      <c r="AD77" s="157">
        <v>2.8906000000000001E-2</v>
      </c>
      <c r="AE77" s="157">
        <v>2.9270000000000001E-2</v>
      </c>
      <c r="AF77" s="155">
        <v>1.2307999999999999E-2</v>
      </c>
      <c r="AG77" s="31"/>
    </row>
    <row r="78" spans="1:33">
      <c r="A78" s="30" t="s">
        <v>139</v>
      </c>
      <c r="B78" s="153" t="s">
        <v>117</v>
      </c>
      <c r="C78" s="157">
        <v>0.22834699999999999</v>
      </c>
      <c r="D78" s="157">
        <v>0.22523399999999999</v>
      </c>
      <c r="E78" s="157">
        <v>0.234373</v>
      </c>
      <c r="F78" s="157">
        <v>0.228717</v>
      </c>
      <c r="G78" s="157">
        <v>0.21906</v>
      </c>
      <c r="H78" s="157">
        <v>0.21154500000000001</v>
      </c>
      <c r="I78" s="157">
        <v>0.208541</v>
      </c>
      <c r="J78" s="157">
        <v>0.21080599999999999</v>
      </c>
      <c r="K78" s="157">
        <v>0.209559</v>
      </c>
      <c r="L78" s="157">
        <v>0.21027599999999999</v>
      </c>
      <c r="M78" s="157">
        <v>0.21217800000000001</v>
      </c>
      <c r="N78" s="157">
        <v>0.21369199999999999</v>
      </c>
      <c r="O78" s="157">
        <v>0.21465000000000001</v>
      </c>
      <c r="P78" s="157">
        <v>0.21598899999999999</v>
      </c>
      <c r="Q78" s="157">
        <v>0.216165</v>
      </c>
      <c r="R78" s="157">
        <v>0.216616</v>
      </c>
      <c r="S78" s="157">
        <v>0.21728</v>
      </c>
      <c r="T78" s="157">
        <v>0.21695600000000001</v>
      </c>
      <c r="U78" s="157">
        <v>0.217194</v>
      </c>
      <c r="V78" s="157">
        <v>0.218865</v>
      </c>
      <c r="W78" s="157">
        <v>0.22023400000000001</v>
      </c>
      <c r="X78" s="157">
        <v>0.220387</v>
      </c>
      <c r="Y78" s="157">
        <v>0.22037000000000001</v>
      </c>
      <c r="Z78" s="157">
        <v>0.22028300000000001</v>
      </c>
      <c r="AA78" s="157">
        <v>0.220747</v>
      </c>
      <c r="AB78" s="157">
        <v>0.22186600000000001</v>
      </c>
      <c r="AC78" s="157">
        <v>0.223355</v>
      </c>
      <c r="AD78" s="157">
        <v>0.223935</v>
      </c>
      <c r="AE78" s="157">
        <v>0.225407</v>
      </c>
      <c r="AF78" s="155">
        <v>-4.6299999999999998E-4</v>
      </c>
      <c r="AG78" s="31"/>
    </row>
    <row r="79" spans="1:33">
      <c r="A79" s="30" t="s">
        <v>140</v>
      </c>
      <c r="B79" s="153" t="s">
        <v>119</v>
      </c>
      <c r="C79" s="157">
        <v>4.6526999999999999E-2</v>
      </c>
      <c r="D79" s="157">
        <v>4.6852999999999999E-2</v>
      </c>
      <c r="E79" s="157">
        <v>4.6469999999999997E-2</v>
      </c>
      <c r="F79" s="157">
        <v>4.6109999999999998E-2</v>
      </c>
      <c r="G79" s="157">
        <v>4.5796000000000003E-2</v>
      </c>
      <c r="H79" s="157">
        <v>4.5385000000000002E-2</v>
      </c>
      <c r="I79" s="157">
        <v>4.4983000000000002E-2</v>
      </c>
      <c r="J79" s="157">
        <v>4.4476000000000002E-2</v>
      </c>
      <c r="K79" s="157">
        <v>4.4019999999999997E-2</v>
      </c>
      <c r="L79" s="157">
        <v>4.36E-2</v>
      </c>
      <c r="M79" s="157">
        <v>4.3305999999999997E-2</v>
      </c>
      <c r="N79" s="157">
        <v>4.2963000000000001E-2</v>
      </c>
      <c r="O79" s="157">
        <v>4.2617000000000002E-2</v>
      </c>
      <c r="P79" s="157">
        <v>4.2256000000000002E-2</v>
      </c>
      <c r="Q79" s="157">
        <v>4.1862999999999997E-2</v>
      </c>
      <c r="R79" s="157">
        <v>4.1524999999999999E-2</v>
      </c>
      <c r="S79" s="157">
        <v>4.1158E-2</v>
      </c>
      <c r="T79" s="157">
        <v>4.0840000000000001E-2</v>
      </c>
      <c r="U79" s="157">
        <v>4.0518999999999999E-2</v>
      </c>
      <c r="V79" s="157">
        <v>4.0222000000000001E-2</v>
      </c>
      <c r="W79" s="157">
        <v>3.9949999999999999E-2</v>
      </c>
      <c r="X79" s="157">
        <v>3.9681000000000001E-2</v>
      </c>
      <c r="Y79" s="157">
        <v>3.9394999999999999E-2</v>
      </c>
      <c r="Z79" s="157">
        <v>3.9070000000000001E-2</v>
      </c>
      <c r="AA79" s="157">
        <v>3.8804999999999999E-2</v>
      </c>
      <c r="AB79" s="157">
        <v>3.8517000000000003E-2</v>
      </c>
      <c r="AC79" s="157">
        <v>3.8196000000000001E-2</v>
      </c>
      <c r="AD79" s="157">
        <v>3.7919000000000001E-2</v>
      </c>
      <c r="AE79" s="157">
        <v>3.7732000000000002E-2</v>
      </c>
      <c r="AF79" s="155">
        <v>-7.4549999999999998E-3</v>
      </c>
      <c r="AG79" s="31"/>
    </row>
    <row r="80" spans="1:33">
      <c r="A80" s="30" t="s">
        <v>141</v>
      </c>
      <c r="B80" s="153" t="s">
        <v>121</v>
      </c>
      <c r="C80" s="157">
        <v>0.41703200000000001</v>
      </c>
      <c r="D80" s="157">
        <v>0.39771000000000001</v>
      </c>
      <c r="E80" s="157">
        <v>0.396229</v>
      </c>
      <c r="F80" s="157">
        <v>0.39661299999999999</v>
      </c>
      <c r="G80" s="157">
        <v>0.39397500000000002</v>
      </c>
      <c r="H80" s="157">
        <v>0.39299699999999999</v>
      </c>
      <c r="I80" s="157">
        <v>0.39095600000000003</v>
      </c>
      <c r="J80" s="157">
        <v>0.38970900000000003</v>
      </c>
      <c r="K80" s="157">
        <v>0.388847</v>
      </c>
      <c r="L80" s="157">
        <v>0.389075</v>
      </c>
      <c r="M80" s="157">
        <v>0.38924700000000001</v>
      </c>
      <c r="N80" s="157">
        <v>0.38950699999999999</v>
      </c>
      <c r="O80" s="157">
        <v>0.38948100000000002</v>
      </c>
      <c r="P80" s="157">
        <v>0.38969799999999999</v>
      </c>
      <c r="Q80" s="157">
        <v>0.38950499999999999</v>
      </c>
      <c r="R80" s="157">
        <v>0.389575</v>
      </c>
      <c r="S80" s="157">
        <v>0.38963399999999998</v>
      </c>
      <c r="T80" s="157">
        <v>0.38958100000000001</v>
      </c>
      <c r="U80" s="157">
        <v>0.38959700000000003</v>
      </c>
      <c r="V80" s="157">
        <v>0.38967000000000002</v>
      </c>
      <c r="W80" s="157">
        <v>0.38991700000000001</v>
      </c>
      <c r="X80" s="157">
        <v>0.38996900000000001</v>
      </c>
      <c r="Y80" s="157">
        <v>0.39011299999999999</v>
      </c>
      <c r="Z80" s="157">
        <v>0.39017800000000002</v>
      </c>
      <c r="AA80" s="157">
        <v>0.391183</v>
      </c>
      <c r="AB80" s="157">
        <v>0.391349</v>
      </c>
      <c r="AC80" s="157">
        <v>0.39100600000000002</v>
      </c>
      <c r="AD80" s="157">
        <v>0.39079999999999998</v>
      </c>
      <c r="AE80" s="157">
        <v>0.39048899999999998</v>
      </c>
      <c r="AF80" s="155">
        <v>-2.346E-3</v>
      </c>
      <c r="AG80" s="31"/>
    </row>
    <row r="81" spans="1:34">
      <c r="A81" s="30" t="s">
        <v>142</v>
      </c>
      <c r="B81" s="153" t="s">
        <v>123</v>
      </c>
      <c r="C81" s="157">
        <v>0.11000600000000001</v>
      </c>
      <c r="D81" s="157">
        <v>0.108038</v>
      </c>
      <c r="E81" s="157">
        <v>0.106242</v>
      </c>
      <c r="F81" s="157">
        <v>0.105144</v>
      </c>
      <c r="G81" s="157">
        <v>0.104667</v>
      </c>
      <c r="H81" s="157">
        <v>0.104195</v>
      </c>
      <c r="I81" s="157">
        <v>0.103587</v>
      </c>
      <c r="J81" s="157">
        <v>0.102784</v>
      </c>
      <c r="K81" s="157">
        <v>0.101827</v>
      </c>
      <c r="L81" s="157">
        <v>0.100913</v>
      </c>
      <c r="M81" s="157">
        <v>0.10027899999999999</v>
      </c>
      <c r="N81" s="157">
        <v>9.9837999999999996E-2</v>
      </c>
      <c r="O81" s="157">
        <v>9.9408999999999997E-2</v>
      </c>
      <c r="P81" s="157">
        <v>9.9009E-2</v>
      </c>
      <c r="Q81" s="157">
        <v>9.8730999999999999E-2</v>
      </c>
      <c r="R81" s="157">
        <v>9.8563999999999999E-2</v>
      </c>
      <c r="S81" s="157">
        <v>9.8387000000000002E-2</v>
      </c>
      <c r="T81" s="157">
        <v>9.8209000000000005E-2</v>
      </c>
      <c r="U81" s="157">
        <v>9.8181000000000004E-2</v>
      </c>
      <c r="V81" s="157">
        <v>9.8125000000000004E-2</v>
      </c>
      <c r="W81" s="157">
        <v>9.8048999999999997E-2</v>
      </c>
      <c r="X81" s="157">
        <v>9.7971000000000003E-2</v>
      </c>
      <c r="Y81" s="157">
        <v>9.7849000000000005E-2</v>
      </c>
      <c r="Z81" s="157">
        <v>9.7695000000000004E-2</v>
      </c>
      <c r="AA81" s="157">
        <v>9.7552E-2</v>
      </c>
      <c r="AB81" s="157">
        <v>9.7448000000000007E-2</v>
      </c>
      <c r="AC81" s="157">
        <v>9.7337000000000007E-2</v>
      </c>
      <c r="AD81" s="157">
        <v>9.7211000000000006E-2</v>
      </c>
      <c r="AE81" s="157">
        <v>9.7187999999999997E-2</v>
      </c>
      <c r="AF81" s="155">
        <v>-4.4149999999999997E-3</v>
      </c>
      <c r="AG81" s="31"/>
      <c r="AH81" s="29"/>
    </row>
    <row r="82" spans="1:34">
      <c r="A82" s="30" t="s">
        <v>143</v>
      </c>
      <c r="B82" s="153" t="s">
        <v>125</v>
      </c>
      <c r="C82" s="157">
        <v>1.355634</v>
      </c>
      <c r="D82" s="157">
        <v>1.4548650000000001</v>
      </c>
      <c r="E82" s="157">
        <v>1.475662</v>
      </c>
      <c r="F82" s="157">
        <v>1.4785189999999999</v>
      </c>
      <c r="G82" s="157">
        <v>1.497263</v>
      </c>
      <c r="H82" s="157">
        <v>1.5157860000000001</v>
      </c>
      <c r="I82" s="157">
        <v>1.5304420000000001</v>
      </c>
      <c r="J82" s="157">
        <v>1.541344</v>
      </c>
      <c r="K82" s="157">
        <v>1.5489949999999999</v>
      </c>
      <c r="L82" s="157">
        <v>1.556654</v>
      </c>
      <c r="M82" s="157">
        <v>1.568811</v>
      </c>
      <c r="N82" s="157">
        <v>1.5816239999999999</v>
      </c>
      <c r="O82" s="157">
        <v>1.593202</v>
      </c>
      <c r="P82" s="157">
        <v>1.606986</v>
      </c>
      <c r="Q82" s="157">
        <v>1.624819</v>
      </c>
      <c r="R82" s="157">
        <v>1.6461159999999999</v>
      </c>
      <c r="S82" s="157">
        <v>1.668479</v>
      </c>
      <c r="T82" s="157">
        <v>1.6918280000000001</v>
      </c>
      <c r="U82" s="157">
        <v>1.7189650000000001</v>
      </c>
      <c r="V82" s="157">
        <v>1.7449429999999999</v>
      </c>
      <c r="W82" s="157">
        <v>1.7713730000000001</v>
      </c>
      <c r="X82" s="157">
        <v>1.798206</v>
      </c>
      <c r="Y82" s="157">
        <v>1.82497</v>
      </c>
      <c r="Z82" s="157">
        <v>1.851021</v>
      </c>
      <c r="AA82" s="157">
        <v>1.876398</v>
      </c>
      <c r="AB82" s="157">
        <v>1.9036059999999999</v>
      </c>
      <c r="AC82" s="157">
        <v>1.9310860000000001</v>
      </c>
      <c r="AD82" s="157">
        <v>1.95817</v>
      </c>
      <c r="AE82" s="157">
        <v>1.988375</v>
      </c>
      <c r="AF82" s="155">
        <v>1.3774E-2</v>
      </c>
      <c r="AG82" s="31"/>
      <c r="AH82" s="29"/>
    </row>
    <row r="83" spans="1:34">
      <c r="A83" s="30" t="s">
        <v>144</v>
      </c>
      <c r="B83" s="153" t="s">
        <v>127</v>
      </c>
      <c r="C83" s="157">
        <v>0.20732500000000001</v>
      </c>
      <c r="D83" s="157">
        <v>0.20843100000000001</v>
      </c>
      <c r="E83" s="157">
        <v>0.20882999999999999</v>
      </c>
      <c r="F83" s="157">
        <v>0.209148</v>
      </c>
      <c r="G83" s="157">
        <v>0.209402</v>
      </c>
      <c r="H83" s="157">
        <v>0.20977399999999999</v>
      </c>
      <c r="I83" s="157">
        <v>0.21004500000000001</v>
      </c>
      <c r="J83" s="157">
        <v>0.210259</v>
      </c>
      <c r="K83" s="157">
        <v>0.21044299999999999</v>
      </c>
      <c r="L83" s="157">
        <v>0.21056</v>
      </c>
      <c r="M83" s="157">
        <v>0.21064099999999999</v>
      </c>
      <c r="N83" s="157">
        <v>0.21068000000000001</v>
      </c>
      <c r="O83" s="157">
        <v>0.210697</v>
      </c>
      <c r="P83" s="157">
        <v>0.210706</v>
      </c>
      <c r="Q83" s="157">
        <v>0.21076600000000001</v>
      </c>
      <c r="R83" s="157">
        <v>0.21086199999999999</v>
      </c>
      <c r="S83" s="157">
        <v>0.21096400000000001</v>
      </c>
      <c r="T83" s="157">
        <v>0.21106900000000001</v>
      </c>
      <c r="U83" s="157">
        <v>0.21117900000000001</v>
      </c>
      <c r="V83" s="157">
        <v>0.21129200000000001</v>
      </c>
      <c r="W83" s="157">
        <v>0.21140900000000001</v>
      </c>
      <c r="X83" s="157">
        <v>0.21152899999999999</v>
      </c>
      <c r="Y83" s="157">
        <v>0.21165200000000001</v>
      </c>
      <c r="Z83" s="157">
        <v>0.21177699999999999</v>
      </c>
      <c r="AA83" s="157">
        <v>0.21190600000000001</v>
      </c>
      <c r="AB83" s="157">
        <v>0.212036</v>
      </c>
      <c r="AC83" s="157">
        <v>0.21216699999999999</v>
      </c>
      <c r="AD83" s="157">
        <v>0.21229999999999999</v>
      </c>
      <c r="AE83" s="157">
        <v>0.21243699999999999</v>
      </c>
      <c r="AF83" s="155">
        <v>8.7000000000000001E-4</v>
      </c>
      <c r="AG83" s="31"/>
      <c r="AH83" s="29"/>
    </row>
    <row r="84" spans="1:34">
      <c r="A84" s="30" t="s">
        <v>145</v>
      </c>
      <c r="B84" s="153" t="s">
        <v>129</v>
      </c>
      <c r="C84" s="157">
        <v>5.9492000000000003E-2</v>
      </c>
      <c r="D84" s="157">
        <v>5.9483000000000001E-2</v>
      </c>
      <c r="E84" s="157">
        <v>5.9524000000000001E-2</v>
      </c>
      <c r="F84" s="157">
        <v>5.9541999999999998E-2</v>
      </c>
      <c r="G84" s="157">
        <v>5.9572E-2</v>
      </c>
      <c r="H84" s="157">
        <v>5.9511000000000001E-2</v>
      </c>
      <c r="I84" s="157">
        <v>5.9449000000000002E-2</v>
      </c>
      <c r="J84" s="157">
        <v>5.9402999999999997E-2</v>
      </c>
      <c r="K84" s="157">
        <v>5.9353999999999997E-2</v>
      </c>
      <c r="L84" s="157">
        <v>5.9304000000000003E-2</v>
      </c>
      <c r="M84" s="157">
        <v>5.9253E-2</v>
      </c>
      <c r="N84" s="157">
        <v>5.9201999999999998E-2</v>
      </c>
      <c r="O84" s="157">
        <v>5.9164000000000001E-2</v>
      </c>
      <c r="P84" s="157">
        <v>5.9152000000000003E-2</v>
      </c>
      <c r="Q84" s="157">
        <v>5.9166000000000003E-2</v>
      </c>
      <c r="R84" s="157">
        <v>5.9195999999999999E-2</v>
      </c>
      <c r="S84" s="157">
        <v>5.9240000000000001E-2</v>
      </c>
      <c r="T84" s="157">
        <v>5.9295E-2</v>
      </c>
      <c r="U84" s="157">
        <v>5.9360999999999997E-2</v>
      </c>
      <c r="V84" s="157">
        <v>5.9422000000000003E-2</v>
      </c>
      <c r="W84" s="157">
        <v>5.9483000000000001E-2</v>
      </c>
      <c r="X84" s="157">
        <v>5.9540000000000003E-2</v>
      </c>
      <c r="Y84" s="157">
        <v>5.9596999999999997E-2</v>
      </c>
      <c r="Z84" s="157">
        <v>5.9669E-2</v>
      </c>
      <c r="AA84" s="157">
        <v>5.9750999999999999E-2</v>
      </c>
      <c r="AB84" s="157">
        <v>5.9830000000000001E-2</v>
      </c>
      <c r="AC84" s="157">
        <v>5.9901000000000003E-2</v>
      </c>
      <c r="AD84" s="157">
        <v>5.9977999999999997E-2</v>
      </c>
      <c r="AE84" s="157">
        <v>6.0066000000000001E-2</v>
      </c>
      <c r="AF84" s="155">
        <v>3.4200000000000002E-4</v>
      </c>
      <c r="AG84" s="31"/>
      <c r="AH84" s="29"/>
    </row>
    <row r="85" spans="1:34">
      <c r="A85" s="30" t="s">
        <v>146</v>
      </c>
      <c r="B85" s="153" t="s">
        <v>131</v>
      </c>
      <c r="C85" s="157">
        <v>0.427838</v>
      </c>
      <c r="D85" s="157">
        <v>0.38759700000000002</v>
      </c>
      <c r="E85" s="157">
        <v>0.35946299999999998</v>
      </c>
      <c r="F85" s="157">
        <v>0.34329399999999999</v>
      </c>
      <c r="G85" s="157">
        <v>0.32869599999999999</v>
      </c>
      <c r="H85" s="157">
        <v>0.308921</v>
      </c>
      <c r="I85" s="157">
        <v>0.28999900000000001</v>
      </c>
      <c r="J85" s="157">
        <v>0.28910400000000003</v>
      </c>
      <c r="K85" s="157">
        <v>0.28829300000000002</v>
      </c>
      <c r="L85" s="157">
        <v>0.28903899999999999</v>
      </c>
      <c r="M85" s="157">
        <v>0.29181099999999999</v>
      </c>
      <c r="N85" s="157">
        <v>0.29583599999999999</v>
      </c>
      <c r="O85" s="157">
        <v>0.29795300000000002</v>
      </c>
      <c r="P85" s="157">
        <v>0.29923300000000003</v>
      </c>
      <c r="Q85" s="157">
        <v>0.29948200000000003</v>
      </c>
      <c r="R85" s="157">
        <v>0.29899300000000001</v>
      </c>
      <c r="S85" s="157">
        <v>0.30129</v>
      </c>
      <c r="T85" s="157">
        <v>0.30074099999999998</v>
      </c>
      <c r="U85" s="157">
        <v>0.305058</v>
      </c>
      <c r="V85" s="157">
        <v>0.30818499999999999</v>
      </c>
      <c r="W85" s="157">
        <v>0.31089600000000001</v>
      </c>
      <c r="X85" s="157">
        <v>0.31223099999999998</v>
      </c>
      <c r="Y85" s="157">
        <v>0.314168</v>
      </c>
      <c r="Z85" s="157">
        <v>0.31610899999999997</v>
      </c>
      <c r="AA85" s="157">
        <v>0.31862699999999999</v>
      </c>
      <c r="AB85" s="157">
        <v>0.322218</v>
      </c>
      <c r="AC85" s="157">
        <v>0.32569199999999998</v>
      </c>
      <c r="AD85" s="157">
        <v>0.326822</v>
      </c>
      <c r="AE85" s="157">
        <v>0.32913399999999998</v>
      </c>
      <c r="AF85" s="155">
        <v>-9.3229999999999997E-3</v>
      </c>
      <c r="AG85" s="31"/>
      <c r="AH85" s="29"/>
    </row>
    <row r="86" spans="1:34">
      <c r="A86" s="30" t="s">
        <v>661</v>
      </c>
      <c r="B86" s="153" t="s">
        <v>660</v>
      </c>
      <c r="C86" s="157">
        <v>0.15707299999999999</v>
      </c>
      <c r="D86" s="157">
        <v>0.17854100000000001</v>
      </c>
      <c r="E86" s="157">
        <v>0.181391</v>
      </c>
      <c r="F86" s="157">
        <v>0.19309499999999999</v>
      </c>
      <c r="G86" s="157">
        <v>0.21079899999999999</v>
      </c>
      <c r="H86" s="157">
        <v>0.22539999999999999</v>
      </c>
      <c r="I86" s="157">
        <v>0.23788899999999999</v>
      </c>
      <c r="J86" s="157">
        <v>0.24920700000000001</v>
      </c>
      <c r="K86" s="157">
        <v>0.27301300000000001</v>
      </c>
      <c r="L86" s="157">
        <v>0.29681999999999997</v>
      </c>
      <c r="M86" s="157">
        <v>0.32121100000000002</v>
      </c>
      <c r="N86" s="157">
        <v>0.34443299999999999</v>
      </c>
      <c r="O86" s="157">
        <v>0.36427100000000001</v>
      </c>
      <c r="P86" s="157">
        <v>0.37617400000000001</v>
      </c>
      <c r="Q86" s="157">
        <v>0.38469500000000001</v>
      </c>
      <c r="R86" s="157">
        <v>0.39204499999999998</v>
      </c>
      <c r="S86" s="157">
        <v>0.396013</v>
      </c>
      <c r="T86" s="157">
        <v>0.396013</v>
      </c>
      <c r="U86" s="157">
        <v>0.39659800000000001</v>
      </c>
      <c r="V86" s="157">
        <v>0.396013</v>
      </c>
      <c r="W86" s="157">
        <v>0.396013</v>
      </c>
      <c r="X86" s="157">
        <v>0.396013</v>
      </c>
      <c r="Y86" s="157">
        <v>0.39659800000000001</v>
      </c>
      <c r="Z86" s="157">
        <v>0.396013</v>
      </c>
      <c r="AA86" s="157">
        <v>0.396013</v>
      </c>
      <c r="AB86" s="157">
        <v>0.396013</v>
      </c>
      <c r="AC86" s="157">
        <v>0.39659800000000001</v>
      </c>
      <c r="AD86" s="157">
        <v>0.396013</v>
      </c>
      <c r="AE86" s="157">
        <v>0.396013</v>
      </c>
      <c r="AF86" s="155">
        <v>3.3577999999999997E-2</v>
      </c>
      <c r="AG86" s="31"/>
      <c r="AH86" s="29"/>
    </row>
    <row r="87" spans="1:34">
      <c r="A87" s="30" t="s">
        <v>147</v>
      </c>
      <c r="B87" s="152" t="s">
        <v>132</v>
      </c>
      <c r="C87" s="158">
        <v>14.370443</v>
      </c>
      <c r="D87" s="158">
        <v>14.403465000000001</v>
      </c>
      <c r="E87" s="158">
        <v>14.271711</v>
      </c>
      <c r="F87" s="158">
        <v>14.108815</v>
      </c>
      <c r="G87" s="158">
        <v>13.997396</v>
      </c>
      <c r="H87" s="158">
        <v>13.890337000000001</v>
      </c>
      <c r="I87" s="158">
        <v>13.767988000000001</v>
      </c>
      <c r="J87" s="158">
        <v>13.645885</v>
      </c>
      <c r="K87" s="158">
        <v>13.520163999999999</v>
      </c>
      <c r="L87" s="158">
        <v>13.411051</v>
      </c>
      <c r="M87" s="158">
        <v>13.323045</v>
      </c>
      <c r="N87" s="158">
        <v>13.25902</v>
      </c>
      <c r="O87" s="158">
        <v>13.203858</v>
      </c>
      <c r="P87" s="158">
        <v>13.147519000000001</v>
      </c>
      <c r="Q87" s="158">
        <v>13.087383000000001</v>
      </c>
      <c r="R87" s="158">
        <v>13.048246000000001</v>
      </c>
      <c r="S87" s="158">
        <v>13.022289000000001</v>
      </c>
      <c r="T87" s="158">
        <v>12.995312</v>
      </c>
      <c r="U87" s="158">
        <v>12.996620999999999</v>
      </c>
      <c r="V87" s="158">
        <v>13.0055</v>
      </c>
      <c r="W87" s="158">
        <v>13.025238999999999</v>
      </c>
      <c r="X87" s="158">
        <v>13.049395000000001</v>
      </c>
      <c r="Y87" s="158">
        <v>13.085273000000001</v>
      </c>
      <c r="Z87" s="158">
        <v>13.128707</v>
      </c>
      <c r="AA87" s="158">
        <v>13.191739999999999</v>
      </c>
      <c r="AB87" s="158">
        <v>13.269163000000001</v>
      </c>
      <c r="AC87" s="158">
        <v>13.350009</v>
      </c>
      <c r="AD87" s="158">
        <v>13.432016000000001</v>
      </c>
      <c r="AE87" s="158">
        <v>13.539635000000001</v>
      </c>
      <c r="AF87" s="159">
        <v>-2.1250000000000002E-3</v>
      </c>
      <c r="AG87" s="31"/>
      <c r="AH87" s="29"/>
    </row>
    <row r="88" spans="1:34" ht="15.5" thickBot="1">
      <c r="A88" s="29"/>
      <c r="B88" s="31"/>
      <c r="C88" s="31"/>
      <c r="D88" s="31"/>
      <c r="E88" s="31"/>
      <c r="F88" s="31"/>
      <c r="G88" s="31"/>
      <c r="H88" s="31"/>
      <c r="I88" s="31"/>
      <c r="J88" s="31"/>
      <c r="K88" s="31"/>
      <c r="L88" s="31"/>
      <c r="M88" s="31"/>
      <c r="N88" s="31"/>
      <c r="O88" s="31"/>
      <c r="P88" s="31"/>
      <c r="Q88" s="31"/>
      <c r="R88" s="31"/>
      <c r="S88" s="31"/>
      <c r="T88" s="31"/>
      <c r="U88" s="31"/>
      <c r="V88" s="31"/>
      <c r="W88" s="31"/>
      <c r="X88" s="31"/>
      <c r="Y88" s="31"/>
      <c r="Z88" s="31"/>
      <c r="AA88" s="31"/>
      <c r="AB88" s="31"/>
      <c r="AC88" s="31"/>
      <c r="AD88" s="31"/>
      <c r="AE88" s="31"/>
      <c r="AF88" s="31"/>
      <c r="AG88" s="31"/>
      <c r="AH88" s="29"/>
    </row>
    <row r="89" spans="1:34">
      <c r="A89" s="29"/>
      <c r="B89" s="287" t="s">
        <v>662</v>
      </c>
      <c r="C89" s="288"/>
      <c r="D89" s="288"/>
      <c r="E89" s="288"/>
      <c r="F89" s="288"/>
      <c r="G89" s="288"/>
      <c r="H89" s="288"/>
      <c r="I89" s="288"/>
      <c r="J89" s="288"/>
      <c r="K89" s="288"/>
      <c r="L89" s="288"/>
      <c r="M89" s="288"/>
      <c r="N89" s="288"/>
      <c r="O89" s="288"/>
      <c r="P89" s="288"/>
      <c r="Q89" s="288"/>
      <c r="R89" s="288"/>
      <c r="S89" s="288"/>
      <c r="T89" s="288"/>
      <c r="U89" s="288"/>
      <c r="V89" s="288"/>
      <c r="W89" s="288"/>
      <c r="X89" s="288"/>
      <c r="Y89" s="288"/>
      <c r="Z89" s="288"/>
      <c r="AA89" s="288"/>
      <c r="AB89" s="288"/>
      <c r="AC89" s="288"/>
      <c r="AD89" s="288"/>
      <c r="AE89" s="288"/>
      <c r="AF89" s="288"/>
      <c r="AG89" s="288"/>
      <c r="AH89" s="32"/>
    </row>
    <row r="90" spans="1:34">
      <c r="A90" s="29"/>
      <c r="B90" s="31" t="s">
        <v>323</v>
      </c>
      <c r="C90" s="31"/>
      <c r="D90" s="31"/>
      <c r="E90" s="31"/>
      <c r="F90" s="31"/>
      <c r="G90" s="31"/>
      <c r="H90" s="31"/>
      <c r="I90" s="31"/>
      <c r="J90" s="31"/>
      <c r="K90" s="31"/>
      <c r="L90" s="31"/>
      <c r="M90" s="31"/>
      <c r="N90" s="31"/>
      <c r="O90" s="31"/>
      <c r="P90" s="31"/>
      <c r="Q90" s="31"/>
      <c r="R90" s="31"/>
      <c r="S90" s="31"/>
      <c r="T90" s="31"/>
      <c r="U90" s="31"/>
      <c r="V90" s="31"/>
      <c r="W90" s="31"/>
      <c r="X90" s="31"/>
      <c r="Y90" s="31"/>
      <c r="Z90" s="31"/>
      <c r="AA90" s="31"/>
      <c r="AB90" s="31"/>
      <c r="AC90" s="31"/>
      <c r="AD90" s="31"/>
      <c r="AE90" s="31"/>
      <c r="AF90" s="31"/>
      <c r="AG90" s="31"/>
      <c r="AH90" s="29"/>
    </row>
    <row r="91" spans="1:34">
      <c r="A91" s="29"/>
      <c r="B91" s="31" t="s">
        <v>324</v>
      </c>
      <c r="C91" s="31"/>
      <c r="D91" s="31"/>
      <c r="E91" s="31"/>
      <c r="F91" s="31"/>
      <c r="G91" s="31"/>
      <c r="H91" s="31"/>
      <c r="I91" s="31"/>
      <c r="J91" s="31"/>
      <c r="K91" s="31"/>
      <c r="L91" s="31"/>
      <c r="M91" s="31"/>
      <c r="N91" s="31"/>
      <c r="O91" s="31"/>
      <c r="P91" s="31"/>
      <c r="Q91" s="31"/>
      <c r="R91" s="31"/>
      <c r="S91" s="31"/>
      <c r="T91" s="31"/>
      <c r="U91" s="31"/>
      <c r="V91" s="31"/>
      <c r="W91" s="31"/>
      <c r="X91" s="31"/>
      <c r="Y91" s="31"/>
      <c r="Z91" s="31"/>
      <c r="AA91" s="31"/>
      <c r="AB91" s="31"/>
      <c r="AC91" s="31"/>
      <c r="AD91" s="31"/>
      <c r="AE91" s="31"/>
      <c r="AF91" s="31"/>
      <c r="AG91" s="31"/>
      <c r="AH91" s="29"/>
    </row>
    <row r="92" spans="1:34">
      <c r="A92" s="29"/>
      <c r="B92" s="31" t="s">
        <v>663</v>
      </c>
      <c r="C92" s="31"/>
      <c r="D92" s="31"/>
      <c r="E92" s="31"/>
      <c r="F92" s="31"/>
      <c r="G92" s="31"/>
      <c r="H92" s="31"/>
      <c r="I92" s="31"/>
      <c r="J92" s="31"/>
      <c r="K92" s="31"/>
      <c r="L92" s="31"/>
      <c r="M92" s="31"/>
      <c r="N92" s="31"/>
      <c r="O92" s="31"/>
      <c r="P92" s="31"/>
      <c r="Q92" s="31"/>
      <c r="R92" s="31"/>
      <c r="S92" s="31"/>
      <c r="T92" s="31"/>
      <c r="U92" s="31"/>
      <c r="V92" s="31"/>
      <c r="W92" s="31"/>
      <c r="X92" s="31"/>
      <c r="Y92" s="31"/>
      <c r="Z92" s="31"/>
      <c r="AA92" s="31"/>
      <c r="AB92" s="31"/>
      <c r="AC92" s="31"/>
      <c r="AD92" s="31"/>
      <c r="AE92" s="31"/>
      <c r="AF92" s="31"/>
      <c r="AG92" s="31"/>
      <c r="AH92" s="29"/>
    </row>
    <row r="93" spans="1:34">
      <c r="A93" s="29"/>
      <c r="B93" s="31" t="s">
        <v>325</v>
      </c>
      <c r="C93" s="31"/>
      <c r="D93" s="31"/>
      <c r="E93" s="31"/>
      <c r="F93" s="31"/>
      <c r="G93" s="31"/>
      <c r="H93" s="31"/>
      <c r="I93" s="31"/>
      <c r="J93" s="31"/>
      <c r="K93" s="31"/>
      <c r="L93" s="31"/>
      <c r="M93" s="31"/>
      <c r="N93" s="31"/>
      <c r="O93" s="31"/>
      <c r="P93" s="31"/>
      <c r="Q93" s="31"/>
      <c r="R93" s="31"/>
      <c r="S93" s="31"/>
      <c r="T93" s="31"/>
      <c r="U93" s="31"/>
      <c r="V93" s="31"/>
      <c r="W93" s="31"/>
      <c r="X93" s="31"/>
      <c r="Y93" s="31"/>
      <c r="Z93" s="31"/>
      <c r="AA93" s="31"/>
      <c r="AB93" s="31"/>
      <c r="AC93" s="31"/>
      <c r="AD93" s="31"/>
      <c r="AE93" s="31"/>
      <c r="AF93" s="31"/>
      <c r="AG93" s="31"/>
      <c r="AH93" s="29"/>
    </row>
    <row r="94" spans="1:34">
      <c r="A94" s="29"/>
      <c r="B94" s="31" t="s">
        <v>326</v>
      </c>
      <c r="C94" s="31"/>
      <c r="D94" s="31"/>
      <c r="E94" s="31"/>
      <c r="F94" s="31"/>
      <c r="G94" s="31"/>
      <c r="H94" s="31"/>
      <c r="I94" s="31"/>
      <c r="J94" s="31"/>
      <c r="K94" s="31"/>
      <c r="L94" s="31"/>
      <c r="M94" s="31"/>
      <c r="N94" s="31"/>
      <c r="O94" s="31"/>
      <c r="P94" s="31"/>
      <c r="Q94" s="31"/>
      <c r="R94" s="31"/>
      <c r="S94" s="31"/>
      <c r="T94" s="31"/>
      <c r="U94" s="31"/>
      <c r="V94" s="31"/>
      <c r="W94" s="31"/>
      <c r="X94" s="31"/>
      <c r="Y94" s="31"/>
      <c r="Z94" s="31"/>
      <c r="AA94" s="31"/>
      <c r="AB94" s="31"/>
      <c r="AC94" s="31"/>
      <c r="AD94" s="31"/>
      <c r="AE94" s="31"/>
      <c r="AF94" s="31"/>
      <c r="AG94" s="31"/>
      <c r="AH94" s="29"/>
    </row>
    <row r="95" spans="1:34">
      <c r="A95" s="29"/>
      <c r="B95" s="31" t="s">
        <v>664</v>
      </c>
      <c r="C95" s="31"/>
      <c r="D95" s="31"/>
      <c r="E95" s="31"/>
      <c r="F95" s="31"/>
      <c r="G95" s="31"/>
      <c r="H95" s="31"/>
      <c r="I95" s="31"/>
      <c r="J95" s="31"/>
      <c r="K95" s="31"/>
      <c r="L95" s="31"/>
      <c r="M95" s="31"/>
      <c r="N95" s="31"/>
      <c r="O95" s="31"/>
      <c r="P95" s="31"/>
      <c r="Q95" s="31"/>
      <c r="R95" s="31"/>
      <c r="S95" s="31"/>
      <c r="T95" s="31"/>
      <c r="U95" s="31"/>
      <c r="V95" s="31"/>
      <c r="W95" s="31"/>
      <c r="X95" s="31"/>
      <c r="Y95" s="31"/>
      <c r="Z95" s="31"/>
      <c r="AA95" s="31"/>
      <c r="AB95" s="31"/>
      <c r="AC95" s="31"/>
      <c r="AD95" s="31"/>
      <c r="AE95" s="31"/>
      <c r="AF95" s="31"/>
      <c r="AG95" s="31"/>
      <c r="AH95" s="29"/>
    </row>
    <row r="96" spans="1:34">
      <c r="A96" s="29"/>
      <c r="B96" s="31" t="s">
        <v>327</v>
      </c>
      <c r="C96" s="31"/>
      <c r="D96" s="31"/>
      <c r="E96" s="31"/>
      <c r="F96" s="31"/>
      <c r="G96" s="31"/>
      <c r="H96" s="31"/>
      <c r="I96" s="31"/>
      <c r="J96" s="31"/>
      <c r="K96" s="31"/>
      <c r="L96" s="31"/>
      <c r="M96" s="31"/>
      <c r="N96" s="31"/>
      <c r="O96" s="31"/>
      <c r="P96" s="31"/>
      <c r="Q96" s="31"/>
      <c r="R96" s="31"/>
      <c r="S96" s="31"/>
      <c r="T96" s="31"/>
      <c r="U96" s="31"/>
      <c r="V96" s="31"/>
      <c r="W96" s="31"/>
      <c r="X96" s="31"/>
      <c r="Y96" s="31"/>
      <c r="Z96" s="31"/>
      <c r="AA96" s="31"/>
      <c r="AB96" s="31"/>
      <c r="AC96" s="31"/>
      <c r="AD96" s="31"/>
      <c r="AE96" s="31"/>
      <c r="AF96" s="31"/>
      <c r="AG96" s="31"/>
      <c r="AH96" s="29"/>
    </row>
    <row r="97" spans="2:33">
      <c r="B97" s="31" t="s">
        <v>328</v>
      </c>
      <c r="C97" s="31"/>
      <c r="D97" s="31"/>
      <c r="E97" s="31"/>
      <c r="F97" s="31"/>
      <c r="G97" s="31"/>
      <c r="H97" s="31"/>
      <c r="I97" s="31"/>
      <c r="J97" s="31"/>
      <c r="K97" s="31"/>
      <c r="L97" s="31"/>
      <c r="M97" s="31"/>
      <c r="N97" s="31"/>
      <c r="O97" s="31"/>
      <c r="P97" s="31"/>
      <c r="Q97" s="31"/>
      <c r="R97" s="31"/>
      <c r="S97" s="31"/>
      <c r="T97" s="31"/>
      <c r="U97" s="31"/>
      <c r="V97" s="31"/>
      <c r="W97" s="31"/>
      <c r="X97" s="31"/>
      <c r="Y97" s="31"/>
      <c r="Z97" s="31"/>
      <c r="AA97" s="31"/>
      <c r="AB97" s="31"/>
      <c r="AC97" s="31"/>
      <c r="AD97" s="31"/>
      <c r="AE97" s="31"/>
      <c r="AF97" s="31"/>
      <c r="AG97" s="31"/>
    </row>
    <row r="98" spans="2:33">
      <c r="B98" s="31" t="s">
        <v>329</v>
      </c>
      <c r="C98" s="31"/>
      <c r="D98" s="31"/>
      <c r="E98" s="31"/>
      <c r="F98" s="31"/>
      <c r="G98" s="31"/>
      <c r="H98" s="31"/>
      <c r="I98" s="31"/>
      <c r="J98" s="31"/>
      <c r="K98" s="31"/>
      <c r="L98" s="31"/>
      <c r="M98" s="31"/>
      <c r="N98" s="31"/>
      <c r="O98" s="31"/>
      <c r="P98" s="31"/>
      <c r="Q98" s="31"/>
      <c r="R98" s="31"/>
      <c r="S98" s="31"/>
      <c r="T98" s="31"/>
      <c r="U98" s="31"/>
      <c r="V98" s="31"/>
      <c r="W98" s="31"/>
      <c r="X98" s="31"/>
      <c r="Y98" s="31"/>
      <c r="Z98" s="31"/>
      <c r="AA98" s="31"/>
      <c r="AB98" s="31"/>
      <c r="AC98" s="31"/>
      <c r="AD98" s="31"/>
      <c r="AE98" s="31"/>
      <c r="AF98" s="31"/>
      <c r="AG98" s="31"/>
    </row>
    <row r="99" spans="2:33">
      <c r="B99" s="31" t="s">
        <v>665</v>
      </c>
      <c r="C99" s="31"/>
      <c r="D99" s="31"/>
      <c r="E99" s="31"/>
      <c r="F99" s="31"/>
      <c r="G99" s="31"/>
      <c r="H99" s="31"/>
      <c r="I99" s="31"/>
      <c r="J99" s="31"/>
      <c r="K99" s="31"/>
      <c r="L99" s="31"/>
      <c r="M99" s="31"/>
      <c r="N99" s="31"/>
      <c r="O99" s="31"/>
      <c r="P99" s="31"/>
      <c r="Q99" s="31"/>
      <c r="R99" s="31"/>
      <c r="S99" s="31"/>
      <c r="T99" s="31"/>
      <c r="U99" s="31"/>
      <c r="V99" s="31"/>
      <c r="W99" s="31"/>
      <c r="X99" s="31"/>
      <c r="Y99" s="31"/>
      <c r="Z99" s="31"/>
      <c r="AA99" s="31"/>
      <c r="AB99" s="31"/>
      <c r="AC99" s="31"/>
      <c r="AD99" s="31"/>
      <c r="AE99" s="31"/>
      <c r="AF99" s="31"/>
      <c r="AG99" s="31"/>
    </row>
    <row r="100" spans="2:33">
      <c r="B100" s="31" t="s">
        <v>666</v>
      </c>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1"/>
      <c r="AB100" s="31"/>
      <c r="AC100" s="31"/>
      <c r="AD100" s="31"/>
      <c r="AE100" s="31"/>
      <c r="AF100" s="31"/>
      <c r="AG100" s="31"/>
    </row>
    <row r="101" spans="2:33">
      <c r="B101" s="31"/>
      <c r="C101" s="31"/>
      <c r="D101" s="31"/>
      <c r="E101" s="31"/>
      <c r="F101" s="31"/>
      <c r="G101" s="31"/>
      <c r="H101" s="31"/>
      <c r="I101" s="31"/>
      <c r="J101" s="31"/>
      <c r="K101" s="31"/>
      <c r="L101" s="31"/>
      <c r="M101" s="31"/>
      <c r="N101" s="31"/>
      <c r="O101" s="31"/>
      <c r="P101" s="31"/>
      <c r="Q101" s="31"/>
      <c r="R101" s="31"/>
      <c r="S101" s="31"/>
      <c r="T101" s="31"/>
      <c r="U101" s="31"/>
      <c r="V101" s="31"/>
      <c r="W101" s="31"/>
      <c r="X101" s="31"/>
      <c r="Y101" s="31"/>
      <c r="Z101" s="31"/>
      <c r="AA101" s="31"/>
      <c r="AB101" s="31"/>
      <c r="AC101" s="31"/>
      <c r="AD101" s="31"/>
      <c r="AE101" s="31"/>
      <c r="AF101" s="31"/>
      <c r="AG101" s="31"/>
    </row>
    <row r="102" spans="2:33">
      <c r="B102" s="31"/>
      <c r="C102" s="31"/>
      <c r="D102" s="31"/>
      <c r="E102" s="31"/>
      <c r="F102" s="31"/>
      <c r="G102" s="31"/>
      <c r="H102" s="31"/>
      <c r="I102" s="31"/>
      <c r="J102" s="31"/>
      <c r="K102" s="31"/>
      <c r="L102" s="31"/>
      <c r="M102" s="31"/>
      <c r="N102" s="31"/>
      <c r="O102" s="31"/>
      <c r="P102" s="31"/>
      <c r="Q102" s="31"/>
      <c r="R102" s="31"/>
      <c r="S102" s="31"/>
      <c r="T102" s="31"/>
      <c r="U102" s="31"/>
      <c r="V102" s="31"/>
      <c r="W102" s="31"/>
      <c r="X102" s="31"/>
      <c r="Y102" s="31"/>
      <c r="Z102" s="31"/>
      <c r="AA102" s="31"/>
      <c r="AB102" s="31"/>
      <c r="AC102" s="31"/>
      <c r="AD102" s="31"/>
      <c r="AE102" s="31"/>
      <c r="AF102" s="31"/>
      <c r="AG102" s="31"/>
    </row>
    <row r="103" spans="2:33">
      <c r="B103" s="31"/>
      <c r="C103" s="31"/>
      <c r="D103" s="31"/>
      <c r="E103" s="31"/>
      <c r="F103" s="31"/>
      <c r="G103" s="31"/>
      <c r="H103" s="31"/>
      <c r="I103" s="31"/>
      <c r="J103" s="31"/>
      <c r="K103" s="31"/>
      <c r="L103" s="31"/>
      <c r="M103" s="31"/>
      <c r="N103" s="31"/>
      <c r="O103" s="31"/>
      <c r="P103" s="31"/>
      <c r="Q103" s="31"/>
      <c r="R103" s="31"/>
      <c r="S103" s="31"/>
      <c r="T103" s="31"/>
      <c r="U103" s="31"/>
      <c r="V103" s="31"/>
      <c r="W103" s="31"/>
      <c r="X103" s="31"/>
      <c r="Y103" s="31"/>
      <c r="Z103" s="31"/>
      <c r="AA103" s="31"/>
      <c r="AB103" s="31"/>
      <c r="AC103" s="31"/>
      <c r="AD103" s="31"/>
      <c r="AE103" s="31"/>
      <c r="AF103" s="31"/>
      <c r="AG103" s="31"/>
    </row>
    <row r="104" spans="2:33">
      <c r="B104" s="31"/>
      <c r="C104" s="31"/>
      <c r="D104" s="31"/>
      <c r="E104" s="31"/>
      <c r="F104" s="31"/>
      <c r="G104" s="31"/>
      <c r="H104" s="31"/>
      <c r="I104" s="31"/>
      <c r="J104" s="31"/>
      <c r="K104" s="31"/>
      <c r="L104" s="31"/>
      <c r="M104" s="31"/>
      <c r="N104" s="31"/>
      <c r="O104" s="31"/>
      <c r="P104" s="31"/>
      <c r="Q104" s="31"/>
      <c r="R104" s="31"/>
      <c r="S104" s="31"/>
      <c r="T104" s="31"/>
      <c r="U104" s="31"/>
      <c r="V104" s="31"/>
      <c r="W104" s="31"/>
      <c r="X104" s="31"/>
      <c r="Y104" s="31"/>
      <c r="Z104" s="31"/>
      <c r="AA104" s="31"/>
      <c r="AB104" s="31"/>
      <c r="AC104" s="31"/>
      <c r="AD104" s="31"/>
      <c r="AE104" s="31"/>
      <c r="AF104" s="31"/>
      <c r="AG104" s="31"/>
    </row>
    <row r="105" spans="2:33">
      <c r="B105" s="31"/>
      <c r="C105" s="31"/>
      <c r="D105" s="31"/>
      <c r="E105" s="31"/>
      <c r="F105" s="31"/>
      <c r="G105" s="31"/>
      <c r="H105" s="31"/>
      <c r="I105" s="31"/>
      <c r="J105" s="31"/>
      <c r="K105" s="31"/>
      <c r="L105" s="31"/>
      <c r="M105" s="31"/>
      <c r="N105" s="31"/>
      <c r="O105" s="31"/>
      <c r="P105" s="31"/>
      <c r="Q105" s="31"/>
      <c r="R105" s="31"/>
      <c r="S105" s="31"/>
      <c r="T105" s="31"/>
      <c r="U105" s="31"/>
      <c r="V105" s="31"/>
      <c r="W105" s="31"/>
      <c r="X105" s="31"/>
      <c r="Y105" s="31"/>
      <c r="Z105" s="31"/>
      <c r="AA105" s="31"/>
      <c r="AB105" s="31"/>
      <c r="AC105" s="31"/>
      <c r="AD105" s="31"/>
      <c r="AE105" s="31"/>
      <c r="AF105" s="31"/>
      <c r="AG105" s="31"/>
    </row>
    <row r="106" spans="2:33">
      <c r="B106" s="31"/>
      <c r="C106" s="31"/>
      <c r="D106" s="31"/>
      <c r="E106" s="31"/>
      <c r="F106" s="31"/>
      <c r="G106" s="31"/>
      <c r="H106" s="31"/>
      <c r="I106" s="31"/>
      <c r="J106" s="31"/>
      <c r="K106" s="31"/>
      <c r="L106" s="31"/>
      <c r="M106" s="31"/>
      <c r="N106" s="31"/>
      <c r="O106" s="31"/>
      <c r="P106" s="31"/>
      <c r="Q106" s="31"/>
      <c r="R106" s="31"/>
      <c r="S106" s="31"/>
      <c r="T106" s="31"/>
      <c r="U106" s="31"/>
      <c r="V106" s="31"/>
      <c r="W106" s="31"/>
      <c r="X106" s="31"/>
      <c r="Y106" s="31"/>
      <c r="Z106" s="31"/>
      <c r="AA106" s="31"/>
      <c r="AB106" s="31"/>
      <c r="AC106" s="31"/>
      <c r="AD106" s="31"/>
      <c r="AE106" s="31"/>
      <c r="AF106" s="31"/>
      <c r="AG106" s="31"/>
    </row>
    <row r="107" spans="2:33">
      <c r="B107" s="31"/>
      <c r="C107" s="31"/>
      <c r="D107" s="31"/>
      <c r="E107" s="31"/>
      <c r="F107" s="31"/>
      <c r="G107" s="31"/>
      <c r="H107" s="31"/>
      <c r="I107" s="31"/>
      <c r="J107" s="31"/>
      <c r="K107" s="31"/>
      <c r="L107" s="31"/>
      <c r="M107" s="31"/>
      <c r="N107" s="31"/>
      <c r="O107" s="31"/>
      <c r="P107" s="31"/>
      <c r="Q107" s="31"/>
      <c r="R107" s="31"/>
      <c r="S107" s="31"/>
      <c r="T107" s="31"/>
      <c r="U107" s="31"/>
      <c r="V107" s="31"/>
      <c r="W107" s="31"/>
      <c r="X107" s="31"/>
      <c r="Y107" s="31"/>
      <c r="Z107" s="31"/>
      <c r="AA107" s="31"/>
      <c r="AB107" s="31"/>
      <c r="AC107" s="31"/>
      <c r="AD107" s="31"/>
      <c r="AE107" s="31"/>
      <c r="AF107" s="31"/>
      <c r="AG107" s="31"/>
    </row>
    <row r="108" spans="2:33">
      <c r="B108" s="31"/>
      <c r="C108" s="31"/>
      <c r="D108" s="31"/>
      <c r="E108" s="31"/>
      <c r="F108" s="31"/>
      <c r="G108" s="31"/>
      <c r="H108" s="31"/>
      <c r="I108" s="31"/>
      <c r="J108" s="31"/>
      <c r="K108" s="31"/>
      <c r="L108" s="31"/>
      <c r="M108" s="31"/>
      <c r="N108" s="31"/>
      <c r="O108" s="31"/>
      <c r="P108" s="31"/>
      <c r="Q108" s="31"/>
      <c r="R108" s="31"/>
      <c r="S108" s="31"/>
      <c r="T108" s="31"/>
      <c r="U108" s="31"/>
      <c r="V108" s="31"/>
      <c r="W108" s="31"/>
      <c r="X108" s="31"/>
      <c r="Y108" s="31"/>
      <c r="Z108" s="31"/>
      <c r="AA108" s="31"/>
      <c r="AB108" s="31"/>
      <c r="AC108" s="31"/>
      <c r="AD108" s="31"/>
      <c r="AE108" s="31"/>
      <c r="AF108" s="31"/>
      <c r="AG108" s="31"/>
    </row>
    <row r="109" spans="2:33">
      <c r="B109" s="31"/>
      <c r="C109" s="31"/>
      <c r="D109" s="31"/>
      <c r="E109" s="31"/>
      <c r="F109" s="31"/>
      <c r="G109" s="31"/>
      <c r="H109" s="31"/>
      <c r="I109" s="31"/>
      <c r="J109" s="31"/>
      <c r="K109" s="31"/>
      <c r="L109" s="31"/>
      <c r="M109" s="31"/>
      <c r="N109" s="31"/>
      <c r="O109" s="31"/>
      <c r="P109" s="31"/>
      <c r="Q109" s="31"/>
      <c r="R109" s="31"/>
      <c r="S109" s="31"/>
      <c r="T109" s="31"/>
      <c r="U109" s="31"/>
      <c r="V109" s="31"/>
      <c r="W109" s="31"/>
      <c r="X109" s="31"/>
      <c r="Y109" s="31"/>
      <c r="Z109" s="31"/>
      <c r="AA109" s="31"/>
      <c r="AB109" s="31"/>
      <c r="AC109" s="31"/>
      <c r="AD109" s="31"/>
      <c r="AE109" s="31"/>
      <c r="AF109" s="31"/>
      <c r="AG109" s="31"/>
    </row>
    <row r="110" spans="2:33">
      <c r="B110" s="31"/>
      <c r="C110" s="31"/>
      <c r="D110" s="31"/>
      <c r="E110" s="31"/>
      <c r="F110" s="31"/>
      <c r="G110" s="31"/>
      <c r="H110" s="31"/>
      <c r="I110" s="31"/>
      <c r="J110" s="31"/>
      <c r="K110" s="31"/>
      <c r="L110" s="31"/>
      <c r="M110" s="31"/>
      <c r="N110" s="31"/>
      <c r="O110" s="31"/>
      <c r="P110" s="31"/>
      <c r="Q110" s="31"/>
      <c r="R110" s="31"/>
      <c r="S110" s="31"/>
      <c r="T110" s="31"/>
      <c r="U110" s="31"/>
      <c r="V110" s="31"/>
      <c r="W110" s="31"/>
      <c r="X110" s="31"/>
      <c r="Y110" s="31"/>
      <c r="Z110" s="31"/>
      <c r="AA110" s="31"/>
      <c r="AB110" s="31"/>
      <c r="AC110" s="31"/>
      <c r="AD110" s="31"/>
      <c r="AE110" s="31"/>
      <c r="AF110" s="31"/>
      <c r="AG110" s="31"/>
    </row>
    <row r="111" spans="2:33">
      <c r="B111" s="31"/>
      <c r="C111" s="31"/>
      <c r="D111" s="31"/>
      <c r="E111" s="31"/>
      <c r="F111" s="31"/>
      <c r="G111" s="31"/>
      <c r="H111" s="31"/>
      <c r="I111" s="31"/>
      <c r="J111" s="31"/>
      <c r="K111" s="31"/>
      <c r="L111" s="31"/>
      <c r="M111" s="31"/>
      <c r="N111" s="31"/>
      <c r="O111" s="31"/>
      <c r="P111" s="31"/>
      <c r="Q111" s="31"/>
      <c r="R111" s="31"/>
      <c r="S111" s="31"/>
      <c r="T111" s="31"/>
      <c r="U111" s="31"/>
      <c r="V111" s="31"/>
      <c r="W111" s="31"/>
      <c r="X111" s="31"/>
      <c r="Y111" s="31"/>
      <c r="Z111" s="31"/>
      <c r="AA111" s="31"/>
      <c r="AB111" s="31"/>
      <c r="AC111" s="31"/>
      <c r="AD111" s="31"/>
      <c r="AE111" s="31"/>
      <c r="AF111" s="31"/>
      <c r="AG111" s="31"/>
    </row>
    <row r="112" spans="2:33">
      <c r="B112" s="290"/>
      <c r="C112" s="290"/>
      <c r="D112" s="290"/>
      <c r="E112" s="290"/>
      <c r="F112" s="290"/>
      <c r="G112" s="290"/>
      <c r="H112" s="290"/>
      <c r="I112" s="290"/>
      <c r="J112" s="290"/>
      <c r="K112" s="290"/>
      <c r="L112" s="290"/>
      <c r="M112" s="290"/>
      <c r="N112" s="290"/>
      <c r="O112" s="290"/>
      <c r="P112" s="290"/>
      <c r="Q112" s="290"/>
      <c r="R112" s="290"/>
      <c r="S112" s="290"/>
      <c r="T112" s="290"/>
      <c r="U112" s="290"/>
      <c r="V112" s="290"/>
      <c r="W112" s="290"/>
      <c r="X112" s="290"/>
      <c r="Y112" s="290"/>
      <c r="Z112" s="290"/>
      <c r="AA112" s="290"/>
      <c r="AB112" s="290"/>
      <c r="AC112" s="290"/>
      <c r="AD112" s="290"/>
      <c r="AE112" s="290"/>
      <c r="AF112" s="290"/>
      <c r="AG112" s="31"/>
    </row>
    <row r="113" spans="2:33">
      <c r="B113" s="31"/>
      <c r="C113" s="31"/>
      <c r="D113" s="31"/>
      <c r="E113" s="31"/>
      <c r="F113" s="31"/>
      <c r="G113" s="31"/>
      <c r="H113" s="31"/>
      <c r="I113" s="31"/>
      <c r="J113" s="31"/>
      <c r="K113" s="31"/>
      <c r="L113" s="31"/>
      <c r="M113" s="31"/>
      <c r="N113" s="31"/>
      <c r="O113" s="31"/>
      <c r="P113" s="31"/>
      <c r="Q113" s="31"/>
      <c r="R113" s="31"/>
      <c r="S113" s="31"/>
      <c r="T113" s="31"/>
      <c r="U113" s="31"/>
      <c r="V113" s="31"/>
      <c r="W113" s="31"/>
      <c r="X113" s="31"/>
      <c r="Y113" s="31"/>
      <c r="Z113" s="31"/>
      <c r="AA113" s="31"/>
      <c r="AB113" s="31"/>
      <c r="AC113" s="31"/>
      <c r="AD113" s="31"/>
      <c r="AE113" s="31"/>
      <c r="AF113" s="31"/>
      <c r="AG113" s="31"/>
    </row>
    <row r="114" spans="2:33">
      <c r="B114" s="31"/>
      <c r="C114" s="31"/>
      <c r="D114" s="31"/>
      <c r="E114" s="31"/>
      <c r="F114" s="31"/>
      <c r="G114" s="31"/>
      <c r="H114" s="31"/>
      <c r="I114" s="31"/>
      <c r="J114" s="31"/>
      <c r="K114" s="31"/>
      <c r="L114" s="31"/>
      <c r="M114" s="31"/>
      <c r="N114" s="31"/>
      <c r="O114" s="31"/>
      <c r="P114" s="31"/>
      <c r="Q114" s="31"/>
      <c r="R114" s="31"/>
      <c r="S114" s="31"/>
      <c r="T114" s="31"/>
      <c r="U114" s="31"/>
      <c r="V114" s="31"/>
      <c r="W114" s="31"/>
      <c r="X114" s="31"/>
      <c r="Y114" s="31"/>
      <c r="Z114" s="31"/>
      <c r="AA114" s="31"/>
      <c r="AB114" s="31"/>
      <c r="AC114" s="31"/>
      <c r="AD114" s="31"/>
      <c r="AE114" s="31"/>
      <c r="AF114" s="31"/>
      <c r="AG114" s="31"/>
    </row>
    <row r="115" spans="2:33">
      <c r="B115" s="31"/>
      <c r="C115" s="31"/>
      <c r="D115" s="31"/>
      <c r="E115" s="31"/>
      <c r="F115" s="31"/>
      <c r="G115" s="31"/>
      <c r="H115" s="31"/>
      <c r="I115" s="31"/>
      <c r="J115" s="31"/>
      <c r="K115" s="31"/>
      <c r="L115" s="31"/>
      <c r="M115" s="31"/>
      <c r="N115" s="31"/>
      <c r="O115" s="31"/>
      <c r="P115" s="31"/>
      <c r="Q115" s="31"/>
      <c r="R115" s="31"/>
      <c r="S115" s="31"/>
      <c r="T115" s="31"/>
      <c r="U115" s="31"/>
      <c r="V115" s="31"/>
      <c r="W115" s="31"/>
      <c r="X115" s="31"/>
      <c r="Y115" s="31"/>
      <c r="Z115" s="31"/>
      <c r="AA115" s="31"/>
      <c r="AB115" s="31"/>
      <c r="AC115" s="31"/>
      <c r="AD115" s="31"/>
      <c r="AE115" s="31"/>
      <c r="AF115" s="31"/>
      <c r="AG115" s="31"/>
    </row>
    <row r="116" spans="2:33">
      <c r="B116" s="31"/>
      <c r="C116" s="31"/>
      <c r="D116" s="31"/>
      <c r="E116" s="31"/>
      <c r="F116" s="31"/>
      <c r="G116" s="31"/>
      <c r="H116" s="31"/>
      <c r="I116" s="31"/>
      <c r="J116" s="31"/>
      <c r="K116" s="31"/>
      <c r="L116" s="31"/>
      <c r="M116" s="31"/>
      <c r="N116" s="31"/>
      <c r="O116" s="31"/>
      <c r="P116" s="31"/>
      <c r="Q116" s="31"/>
      <c r="R116" s="31"/>
      <c r="S116" s="31"/>
      <c r="T116" s="31"/>
      <c r="U116" s="31"/>
      <c r="V116" s="31"/>
      <c r="W116" s="31"/>
      <c r="X116" s="31"/>
      <c r="Y116" s="31"/>
      <c r="Z116" s="31"/>
      <c r="AA116" s="31"/>
      <c r="AB116" s="31"/>
      <c r="AC116" s="31"/>
      <c r="AD116" s="31"/>
      <c r="AE116" s="31"/>
      <c r="AF116" s="31"/>
      <c r="AG116" s="31"/>
    </row>
    <row r="117" spans="2:33">
      <c r="B117" s="31"/>
      <c r="C117" s="31"/>
      <c r="D117" s="31"/>
      <c r="E117" s="31"/>
      <c r="F117" s="31"/>
      <c r="G117" s="31"/>
      <c r="H117" s="31"/>
      <c r="I117" s="31"/>
      <c r="J117" s="31"/>
      <c r="K117" s="31"/>
      <c r="L117" s="31"/>
      <c r="M117" s="31"/>
      <c r="N117" s="31"/>
      <c r="O117" s="31"/>
      <c r="P117" s="31"/>
      <c r="Q117" s="31"/>
      <c r="R117" s="31"/>
      <c r="S117" s="31"/>
      <c r="T117" s="31"/>
      <c r="U117" s="31"/>
      <c r="V117" s="31"/>
      <c r="W117" s="31"/>
      <c r="X117" s="31"/>
      <c r="Y117" s="31"/>
      <c r="Z117" s="31"/>
      <c r="AA117" s="31"/>
      <c r="AB117" s="31"/>
      <c r="AC117" s="31"/>
      <c r="AD117" s="31"/>
      <c r="AE117" s="31"/>
      <c r="AF117" s="31"/>
      <c r="AG117" s="31"/>
    </row>
    <row r="118" spans="2:33">
      <c r="B118" s="31"/>
      <c r="C118" s="31"/>
      <c r="D118" s="31"/>
      <c r="E118" s="31"/>
      <c r="F118" s="31"/>
      <c r="G118" s="31"/>
      <c r="H118" s="31"/>
      <c r="I118" s="31"/>
      <c r="J118" s="31"/>
      <c r="K118" s="31"/>
      <c r="L118" s="31"/>
      <c r="M118" s="31"/>
      <c r="N118" s="31"/>
      <c r="O118" s="31"/>
      <c r="P118" s="31"/>
      <c r="Q118" s="31"/>
      <c r="R118" s="31"/>
      <c r="S118" s="31"/>
      <c r="T118" s="31"/>
      <c r="U118" s="31"/>
      <c r="V118" s="31"/>
      <c r="W118" s="31"/>
      <c r="X118" s="31"/>
      <c r="Y118" s="31"/>
      <c r="Z118" s="31"/>
      <c r="AA118" s="31"/>
      <c r="AB118" s="31"/>
      <c r="AC118" s="31"/>
      <c r="AD118" s="31"/>
      <c r="AE118" s="31"/>
      <c r="AF118" s="31"/>
      <c r="AG118" s="31"/>
    </row>
    <row r="119" spans="2:33">
      <c r="B119" s="31"/>
      <c r="C119" s="31"/>
      <c r="D119" s="31"/>
      <c r="E119" s="31"/>
      <c r="F119" s="31"/>
      <c r="G119" s="31"/>
      <c r="H119" s="31"/>
      <c r="I119" s="31"/>
      <c r="J119" s="31"/>
      <c r="K119" s="31"/>
      <c r="L119" s="31"/>
      <c r="M119" s="31"/>
      <c r="N119" s="31"/>
      <c r="O119" s="31"/>
      <c r="P119" s="31"/>
      <c r="Q119" s="31"/>
      <c r="R119" s="31"/>
      <c r="S119" s="31"/>
      <c r="T119" s="31"/>
      <c r="U119" s="31"/>
      <c r="V119" s="31"/>
      <c r="W119" s="31"/>
      <c r="X119" s="31"/>
      <c r="Y119" s="31"/>
      <c r="Z119" s="31"/>
      <c r="AA119" s="31"/>
      <c r="AB119" s="31"/>
      <c r="AC119" s="31"/>
      <c r="AD119" s="31"/>
      <c r="AE119" s="31"/>
      <c r="AF119" s="31"/>
      <c r="AG119" s="31"/>
    </row>
    <row r="120" spans="2:33">
      <c r="B120" s="31"/>
      <c r="C120" s="31"/>
      <c r="D120" s="31"/>
      <c r="E120" s="31"/>
      <c r="F120" s="31"/>
      <c r="G120" s="31"/>
      <c r="H120" s="31"/>
      <c r="I120" s="31"/>
      <c r="J120" s="31"/>
      <c r="K120" s="31"/>
      <c r="L120" s="31"/>
      <c r="M120" s="31"/>
      <c r="N120" s="31"/>
      <c r="O120" s="31"/>
      <c r="P120" s="31"/>
      <c r="Q120" s="31"/>
      <c r="R120" s="31"/>
      <c r="S120" s="31"/>
      <c r="T120" s="31"/>
      <c r="U120" s="31"/>
      <c r="V120" s="31"/>
      <c r="W120" s="31"/>
      <c r="X120" s="31"/>
      <c r="Y120" s="31"/>
      <c r="Z120" s="31"/>
      <c r="AA120" s="31"/>
      <c r="AB120" s="31"/>
      <c r="AC120" s="31"/>
      <c r="AD120" s="31"/>
      <c r="AE120" s="31"/>
      <c r="AF120" s="31"/>
      <c r="AG120" s="31"/>
    </row>
    <row r="121" spans="2:33">
      <c r="B121" s="31"/>
      <c r="C121" s="31"/>
      <c r="D121" s="31"/>
      <c r="E121" s="31"/>
      <c r="F121" s="31"/>
      <c r="G121" s="31"/>
      <c r="H121" s="31"/>
      <c r="I121" s="31"/>
      <c r="J121" s="31"/>
      <c r="K121" s="31"/>
      <c r="L121" s="31"/>
      <c r="M121" s="31"/>
      <c r="N121" s="31"/>
      <c r="O121" s="31"/>
      <c r="P121" s="31"/>
      <c r="Q121" s="31"/>
      <c r="R121" s="31"/>
      <c r="S121" s="31"/>
      <c r="T121" s="31"/>
      <c r="U121" s="31"/>
      <c r="V121" s="31"/>
      <c r="W121" s="31"/>
      <c r="X121" s="31"/>
      <c r="Y121" s="31"/>
      <c r="Z121" s="31"/>
      <c r="AA121" s="31"/>
      <c r="AB121" s="31"/>
      <c r="AC121" s="31"/>
      <c r="AD121" s="31"/>
      <c r="AE121" s="31"/>
      <c r="AF121" s="31"/>
      <c r="AG121" s="31"/>
    </row>
    <row r="122" spans="2:33">
      <c r="B122" s="31"/>
      <c r="C122" s="31"/>
      <c r="D122" s="31"/>
      <c r="E122" s="31"/>
      <c r="F122" s="31"/>
      <c r="G122" s="31"/>
      <c r="H122" s="31"/>
      <c r="I122" s="31"/>
      <c r="J122" s="31"/>
      <c r="K122" s="31"/>
      <c r="L122" s="31"/>
      <c r="M122" s="31"/>
      <c r="N122" s="31"/>
      <c r="O122" s="31"/>
      <c r="P122" s="31"/>
      <c r="Q122" s="31"/>
      <c r="R122" s="31"/>
      <c r="S122" s="31"/>
      <c r="T122" s="31"/>
      <c r="U122" s="31"/>
      <c r="V122" s="31"/>
      <c r="W122" s="31"/>
      <c r="X122" s="31"/>
      <c r="Y122" s="31"/>
      <c r="Z122" s="31"/>
      <c r="AA122" s="31"/>
      <c r="AB122" s="31"/>
      <c r="AC122" s="31"/>
      <c r="AD122" s="31"/>
      <c r="AE122" s="31"/>
      <c r="AF122" s="31"/>
      <c r="AG122" s="31"/>
    </row>
    <row r="123" spans="2:33">
      <c r="B123" s="31"/>
      <c r="C123" s="31"/>
      <c r="D123" s="31"/>
      <c r="E123" s="31"/>
      <c r="F123" s="31"/>
      <c r="G123" s="31"/>
      <c r="H123" s="31"/>
      <c r="I123" s="31"/>
      <c r="J123" s="31"/>
      <c r="K123" s="31"/>
      <c r="L123" s="31"/>
      <c r="M123" s="31"/>
      <c r="N123" s="31"/>
      <c r="O123" s="31"/>
      <c r="P123" s="31"/>
      <c r="Q123" s="31"/>
      <c r="R123" s="31"/>
      <c r="S123" s="31"/>
      <c r="T123" s="31"/>
      <c r="U123" s="31"/>
      <c r="V123" s="31"/>
      <c r="W123" s="31"/>
      <c r="X123" s="31"/>
      <c r="Y123" s="31"/>
      <c r="Z123" s="31"/>
      <c r="AA123" s="31"/>
      <c r="AB123" s="31"/>
      <c r="AC123" s="31"/>
      <c r="AD123" s="31"/>
      <c r="AE123" s="31"/>
      <c r="AF123" s="31"/>
      <c r="AG123" s="31"/>
    </row>
    <row r="124" spans="2:33">
      <c r="B124" s="31"/>
      <c r="C124" s="31"/>
      <c r="D124" s="31"/>
      <c r="E124" s="31"/>
      <c r="F124" s="31"/>
      <c r="G124" s="31"/>
      <c r="H124" s="31"/>
      <c r="I124" s="31"/>
      <c r="J124" s="31"/>
      <c r="K124" s="31"/>
      <c r="L124" s="31"/>
      <c r="M124" s="31"/>
      <c r="N124" s="31"/>
      <c r="O124" s="31"/>
      <c r="P124" s="31"/>
      <c r="Q124" s="31"/>
      <c r="R124" s="31"/>
      <c r="S124" s="31"/>
      <c r="T124" s="31"/>
      <c r="U124" s="31"/>
      <c r="V124" s="31"/>
      <c r="W124" s="31"/>
      <c r="X124" s="31"/>
      <c r="Y124" s="31"/>
      <c r="Z124" s="31"/>
      <c r="AA124" s="31"/>
      <c r="AB124" s="31"/>
      <c r="AC124" s="31"/>
      <c r="AD124" s="31"/>
      <c r="AE124" s="31"/>
      <c r="AF124" s="31"/>
      <c r="AG124" s="31"/>
    </row>
    <row r="125" spans="2:33">
      <c r="B125" s="31"/>
      <c r="C125" s="31"/>
      <c r="D125" s="31"/>
      <c r="E125" s="31"/>
      <c r="F125" s="31"/>
      <c r="G125" s="31"/>
      <c r="H125" s="31"/>
      <c r="I125" s="31"/>
      <c r="J125" s="31"/>
      <c r="K125" s="31"/>
      <c r="L125" s="31"/>
      <c r="M125" s="31"/>
      <c r="N125" s="31"/>
      <c r="O125" s="31"/>
      <c r="P125" s="31"/>
      <c r="Q125" s="31"/>
      <c r="R125" s="31"/>
      <c r="S125" s="31"/>
      <c r="T125" s="31"/>
      <c r="U125" s="31"/>
      <c r="V125" s="31"/>
      <c r="W125" s="31"/>
      <c r="X125" s="31"/>
      <c r="Y125" s="31"/>
      <c r="Z125" s="31"/>
      <c r="AA125" s="31"/>
      <c r="AB125" s="31"/>
      <c r="AC125" s="31"/>
      <c r="AD125" s="31"/>
      <c r="AE125" s="31"/>
      <c r="AF125" s="31"/>
      <c r="AG125" s="31"/>
    </row>
    <row r="126" spans="2:33">
      <c r="B126" s="31"/>
      <c r="C126" s="31"/>
      <c r="D126" s="31"/>
      <c r="E126" s="31"/>
      <c r="F126" s="31"/>
      <c r="G126" s="31"/>
      <c r="H126" s="31"/>
      <c r="I126" s="31"/>
      <c r="J126" s="31"/>
      <c r="K126" s="31"/>
      <c r="L126" s="31"/>
      <c r="M126" s="31"/>
      <c r="N126" s="31"/>
      <c r="O126" s="31"/>
      <c r="P126" s="31"/>
      <c r="Q126" s="31"/>
      <c r="R126" s="31"/>
      <c r="S126" s="31"/>
      <c r="T126" s="31"/>
      <c r="U126" s="31"/>
      <c r="V126" s="31"/>
      <c r="W126" s="31"/>
      <c r="X126" s="31"/>
      <c r="Y126" s="31"/>
      <c r="Z126" s="31"/>
      <c r="AA126" s="31"/>
      <c r="AB126" s="31"/>
      <c r="AC126" s="31"/>
      <c r="AD126" s="31"/>
      <c r="AE126" s="31"/>
      <c r="AF126" s="31"/>
      <c r="AG126" s="31"/>
    </row>
    <row r="127" spans="2:33">
      <c r="B127" s="31"/>
      <c r="C127" s="31"/>
      <c r="D127" s="31"/>
      <c r="E127" s="31"/>
      <c r="F127" s="31"/>
      <c r="G127" s="31"/>
      <c r="H127" s="31"/>
      <c r="I127" s="31"/>
      <c r="J127" s="31"/>
      <c r="K127" s="31"/>
      <c r="L127" s="31"/>
      <c r="M127" s="31"/>
      <c r="N127" s="31"/>
      <c r="O127" s="31"/>
      <c r="P127" s="31"/>
      <c r="Q127" s="31"/>
      <c r="R127" s="31"/>
      <c r="S127" s="31"/>
      <c r="T127" s="31"/>
      <c r="U127" s="31"/>
      <c r="V127" s="31"/>
      <c r="W127" s="31"/>
      <c r="X127" s="31"/>
      <c r="Y127" s="31"/>
      <c r="Z127" s="31"/>
      <c r="AA127" s="31"/>
      <c r="AB127" s="31"/>
      <c r="AC127" s="31"/>
      <c r="AD127" s="31"/>
      <c r="AE127" s="31"/>
      <c r="AF127" s="31"/>
      <c r="AG127" s="31"/>
    </row>
    <row r="128" spans="2:33">
      <c r="B128" s="31"/>
      <c r="C128" s="31"/>
      <c r="D128" s="31"/>
      <c r="E128" s="31"/>
      <c r="F128" s="31"/>
      <c r="G128" s="31"/>
      <c r="H128" s="31"/>
      <c r="I128" s="31"/>
      <c r="J128" s="31"/>
      <c r="K128" s="31"/>
      <c r="L128" s="31"/>
      <c r="M128" s="31"/>
      <c r="N128" s="31"/>
      <c r="O128" s="31"/>
      <c r="P128" s="31"/>
      <c r="Q128" s="31"/>
      <c r="R128" s="31"/>
      <c r="S128" s="31"/>
      <c r="T128" s="31"/>
      <c r="U128" s="31"/>
      <c r="V128" s="31"/>
      <c r="W128" s="31"/>
      <c r="X128" s="31"/>
      <c r="Y128" s="31"/>
      <c r="Z128" s="31"/>
      <c r="AA128" s="31"/>
      <c r="AB128" s="31"/>
      <c r="AC128" s="31"/>
      <c r="AD128" s="31"/>
      <c r="AE128" s="31"/>
      <c r="AF128" s="31"/>
      <c r="AG128" s="31"/>
    </row>
    <row r="129" spans="2:33">
      <c r="B129" s="31"/>
      <c r="C129" s="31"/>
      <c r="D129" s="31"/>
      <c r="E129" s="31"/>
      <c r="F129" s="31"/>
      <c r="G129" s="31"/>
      <c r="H129" s="31"/>
      <c r="I129" s="31"/>
      <c r="J129" s="31"/>
      <c r="K129" s="31"/>
      <c r="L129" s="31"/>
      <c r="M129" s="31"/>
      <c r="N129" s="31"/>
      <c r="O129" s="31"/>
      <c r="P129" s="31"/>
      <c r="Q129" s="31"/>
      <c r="R129" s="31"/>
      <c r="S129" s="31"/>
      <c r="T129" s="31"/>
      <c r="U129" s="31"/>
      <c r="V129" s="31"/>
      <c r="W129" s="31"/>
      <c r="X129" s="31"/>
      <c r="Y129" s="31"/>
      <c r="Z129" s="31"/>
      <c r="AA129" s="31"/>
      <c r="AB129" s="31"/>
      <c r="AC129" s="31"/>
      <c r="AD129" s="31"/>
      <c r="AE129" s="31"/>
      <c r="AF129" s="31"/>
      <c r="AG129" s="31"/>
    </row>
    <row r="130" spans="2:33">
      <c r="B130" s="31"/>
      <c r="C130" s="31"/>
      <c r="D130" s="31"/>
      <c r="E130" s="31"/>
      <c r="F130" s="31"/>
      <c r="G130" s="31"/>
      <c r="H130" s="31"/>
      <c r="I130" s="31"/>
      <c r="J130" s="31"/>
      <c r="K130" s="31"/>
      <c r="L130" s="31"/>
      <c r="M130" s="31"/>
      <c r="N130" s="31"/>
      <c r="O130" s="31"/>
      <c r="P130" s="31"/>
      <c r="Q130" s="31"/>
      <c r="R130" s="31"/>
      <c r="S130" s="31"/>
      <c r="T130" s="31"/>
      <c r="U130" s="31"/>
      <c r="V130" s="31"/>
      <c r="W130" s="31"/>
      <c r="X130" s="31"/>
      <c r="Y130" s="31"/>
      <c r="Z130" s="31"/>
      <c r="AA130" s="31"/>
      <c r="AB130" s="31"/>
      <c r="AC130" s="31"/>
      <c r="AD130" s="31"/>
      <c r="AE130" s="31"/>
      <c r="AF130" s="31"/>
      <c r="AG130" s="31"/>
    </row>
    <row r="131" spans="2:33">
      <c r="B131" s="31"/>
      <c r="C131" s="31"/>
      <c r="D131" s="31"/>
      <c r="E131" s="31"/>
      <c r="F131" s="31"/>
      <c r="G131" s="31"/>
      <c r="H131" s="31"/>
      <c r="I131" s="31"/>
      <c r="J131" s="31"/>
      <c r="K131" s="31"/>
      <c r="L131" s="31"/>
      <c r="M131" s="31"/>
      <c r="N131" s="31"/>
      <c r="O131" s="31"/>
      <c r="P131" s="31"/>
      <c r="Q131" s="31"/>
      <c r="R131" s="31"/>
      <c r="S131" s="31"/>
      <c r="T131" s="31"/>
      <c r="U131" s="31"/>
      <c r="V131" s="31"/>
      <c r="W131" s="31"/>
      <c r="X131" s="31"/>
      <c r="Y131" s="31"/>
      <c r="Z131" s="31"/>
      <c r="AA131" s="31"/>
      <c r="AB131" s="31"/>
      <c r="AC131" s="31"/>
      <c r="AD131" s="31"/>
      <c r="AE131" s="31"/>
      <c r="AF131" s="31"/>
      <c r="AG131" s="31"/>
    </row>
    <row r="132" spans="2:33">
      <c r="B132" s="31"/>
      <c r="C132" s="31"/>
      <c r="D132" s="31"/>
      <c r="E132" s="31"/>
      <c r="F132" s="31"/>
      <c r="G132" s="31"/>
      <c r="H132" s="31"/>
      <c r="I132" s="31"/>
      <c r="J132" s="31"/>
      <c r="K132" s="31"/>
      <c r="L132" s="31"/>
      <c r="M132" s="31"/>
      <c r="N132" s="31"/>
      <c r="O132" s="31"/>
      <c r="P132" s="31"/>
      <c r="Q132" s="31"/>
      <c r="R132" s="31"/>
      <c r="S132" s="31"/>
      <c r="T132" s="31"/>
      <c r="U132" s="31"/>
      <c r="V132" s="31"/>
      <c r="W132" s="31"/>
      <c r="X132" s="31"/>
      <c r="Y132" s="31"/>
      <c r="Z132" s="31"/>
      <c r="AA132" s="31"/>
      <c r="AB132" s="31"/>
      <c r="AC132" s="31"/>
      <c r="AD132" s="31"/>
      <c r="AE132" s="31"/>
      <c r="AF132" s="31"/>
      <c r="AG132" s="31"/>
    </row>
    <row r="133" spans="2:33">
      <c r="B133" s="31"/>
      <c r="C133" s="31"/>
      <c r="D133" s="31"/>
      <c r="E133" s="31"/>
      <c r="F133" s="31"/>
      <c r="G133" s="31"/>
      <c r="H133" s="31"/>
      <c r="I133" s="31"/>
      <c r="J133" s="31"/>
      <c r="K133" s="31"/>
      <c r="L133" s="31"/>
      <c r="M133" s="31"/>
      <c r="N133" s="31"/>
      <c r="O133" s="31"/>
      <c r="P133" s="31"/>
      <c r="Q133" s="31"/>
      <c r="R133" s="31"/>
      <c r="S133" s="31"/>
      <c r="T133" s="31"/>
      <c r="U133" s="31"/>
      <c r="V133" s="31"/>
      <c r="W133" s="31"/>
      <c r="X133" s="31"/>
      <c r="Y133" s="31"/>
      <c r="Z133" s="31"/>
      <c r="AA133" s="31"/>
      <c r="AB133" s="31"/>
      <c r="AC133" s="31"/>
      <c r="AD133" s="31"/>
      <c r="AE133" s="31"/>
      <c r="AF133" s="31"/>
      <c r="AG133" s="31"/>
    </row>
    <row r="134" spans="2:33">
      <c r="B134" s="31"/>
      <c r="C134" s="31"/>
      <c r="D134" s="31"/>
      <c r="E134" s="31"/>
      <c r="F134" s="31"/>
      <c r="G134" s="31"/>
      <c r="H134" s="31"/>
      <c r="I134" s="31"/>
      <c r="J134" s="31"/>
      <c r="K134" s="31"/>
      <c r="L134" s="31"/>
      <c r="M134" s="31"/>
      <c r="N134" s="31"/>
      <c r="O134" s="31"/>
      <c r="P134" s="31"/>
      <c r="Q134" s="31"/>
      <c r="R134" s="31"/>
      <c r="S134" s="31"/>
      <c r="T134" s="31"/>
      <c r="U134" s="31"/>
      <c r="V134" s="31"/>
      <c r="W134" s="31"/>
      <c r="X134" s="31"/>
      <c r="Y134" s="31"/>
      <c r="Z134" s="31"/>
      <c r="AA134" s="31"/>
      <c r="AB134" s="31"/>
      <c r="AC134" s="31"/>
      <c r="AD134" s="31"/>
      <c r="AE134" s="31"/>
      <c r="AF134" s="31"/>
      <c r="AG134" s="31"/>
    </row>
    <row r="135" spans="2:33">
      <c r="B135" s="31"/>
      <c r="C135" s="31"/>
      <c r="D135" s="31"/>
      <c r="E135" s="31"/>
      <c r="F135" s="31"/>
      <c r="G135" s="31"/>
      <c r="H135" s="31"/>
      <c r="I135" s="31"/>
      <c r="J135" s="31"/>
      <c r="K135" s="31"/>
      <c r="L135" s="31"/>
      <c r="M135" s="31"/>
      <c r="N135" s="31"/>
      <c r="O135" s="31"/>
      <c r="P135" s="31"/>
      <c r="Q135" s="31"/>
      <c r="R135" s="31"/>
      <c r="S135" s="31"/>
      <c r="T135" s="31"/>
      <c r="U135" s="31"/>
      <c r="V135" s="31"/>
      <c r="W135" s="31"/>
      <c r="X135" s="31"/>
      <c r="Y135" s="31"/>
      <c r="Z135" s="31"/>
      <c r="AA135" s="31"/>
      <c r="AB135" s="31"/>
      <c r="AC135" s="31"/>
      <c r="AD135" s="31"/>
      <c r="AE135" s="31"/>
      <c r="AF135" s="31"/>
      <c r="AG135" s="31"/>
    </row>
    <row r="136" spans="2:33">
      <c r="B136" s="31"/>
      <c r="C136" s="31"/>
      <c r="D136" s="31"/>
      <c r="E136" s="31"/>
      <c r="F136" s="31"/>
      <c r="G136" s="31"/>
      <c r="H136" s="31"/>
      <c r="I136" s="31"/>
      <c r="J136" s="31"/>
      <c r="K136" s="31"/>
      <c r="L136" s="31"/>
      <c r="M136" s="31"/>
      <c r="N136" s="31"/>
      <c r="O136" s="31"/>
      <c r="P136" s="31"/>
      <c r="Q136" s="31"/>
      <c r="R136" s="31"/>
      <c r="S136" s="31"/>
      <c r="T136" s="31"/>
      <c r="U136" s="31"/>
      <c r="V136" s="31"/>
      <c r="W136" s="31"/>
      <c r="X136" s="31"/>
      <c r="Y136" s="31"/>
      <c r="Z136" s="31"/>
      <c r="AA136" s="31"/>
      <c r="AB136" s="31"/>
      <c r="AC136" s="31"/>
      <c r="AD136" s="31"/>
      <c r="AE136" s="31"/>
      <c r="AF136" s="31"/>
      <c r="AG136" s="31"/>
    </row>
    <row r="137" spans="2:33">
      <c r="B137" s="31"/>
      <c r="C137" s="31"/>
      <c r="D137" s="31"/>
      <c r="E137" s="31"/>
      <c r="F137" s="31"/>
      <c r="G137" s="31"/>
      <c r="H137" s="31"/>
      <c r="I137" s="31"/>
      <c r="J137" s="31"/>
      <c r="K137" s="31"/>
      <c r="L137" s="31"/>
      <c r="M137" s="31"/>
      <c r="N137" s="31"/>
      <c r="O137" s="31"/>
      <c r="P137" s="31"/>
      <c r="Q137" s="31"/>
      <c r="R137" s="31"/>
      <c r="S137" s="31"/>
      <c r="T137" s="31"/>
      <c r="U137" s="31"/>
      <c r="V137" s="31"/>
      <c r="W137" s="31"/>
      <c r="X137" s="31"/>
      <c r="Y137" s="31"/>
      <c r="Z137" s="31"/>
      <c r="AA137" s="31"/>
      <c r="AB137" s="31"/>
      <c r="AC137" s="31"/>
      <c r="AD137" s="31"/>
      <c r="AE137" s="31"/>
      <c r="AF137" s="31"/>
      <c r="AG137" s="31"/>
    </row>
    <row r="138" spans="2:33">
      <c r="B138" s="31"/>
      <c r="C138" s="31"/>
      <c r="D138" s="31"/>
      <c r="E138" s="31"/>
      <c r="F138" s="31"/>
      <c r="G138" s="31"/>
      <c r="H138" s="31"/>
      <c r="I138" s="31"/>
      <c r="J138" s="31"/>
      <c r="K138" s="31"/>
      <c r="L138" s="31"/>
      <c r="M138" s="31"/>
      <c r="N138" s="31"/>
      <c r="O138" s="31"/>
      <c r="P138" s="31"/>
      <c r="Q138" s="31"/>
      <c r="R138" s="31"/>
      <c r="S138" s="31"/>
      <c r="T138" s="31"/>
      <c r="U138" s="31"/>
      <c r="V138" s="31"/>
      <c r="W138" s="31"/>
      <c r="X138" s="31"/>
      <c r="Y138" s="31"/>
      <c r="Z138" s="31"/>
      <c r="AA138" s="31"/>
      <c r="AB138" s="31"/>
      <c r="AC138" s="31"/>
      <c r="AD138" s="31"/>
      <c r="AE138" s="31"/>
      <c r="AF138" s="31"/>
      <c r="AG138" s="31"/>
    </row>
    <row r="139" spans="2:33">
      <c r="B139" s="31"/>
      <c r="C139" s="31"/>
      <c r="D139" s="31"/>
      <c r="E139" s="31"/>
      <c r="F139" s="31"/>
      <c r="G139" s="31"/>
      <c r="H139" s="31"/>
      <c r="I139" s="31"/>
      <c r="J139" s="31"/>
      <c r="K139" s="31"/>
      <c r="L139" s="31"/>
      <c r="M139" s="31"/>
      <c r="N139" s="31"/>
      <c r="O139" s="31"/>
      <c r="P139" s="31"/>
      <c r="Q139" s="31"/>
      <c r="R139" s="31"/>
      <c r="S139" s="31"/>
      <c r="T139" s="31"/>
      <c r="U139" s="31"/>
      <c r="V139" s="31"/>
      <c r="W139" s="31"/>
      <c r="X139" s="31"/>
      <c r="Y139" s="31"/>
      <c r="Z139" s="31"/>
      <c r="AA139" s="31"/>
      <c r="AB139" s="31"/>
      <c r="AC139" s="31"/>
      <c r="AD139" s="31"/>
      <c r="AE139" s="31"/>
      <c r="AF139" s="31"/>
      <c r="AG139" s="31"/>
    </row>
    <row r="140" spans="2:33">
      <c r="B140" s="31"/>
      <c r="C140" s="31"/>
      <c r="D140" s="31"/>
      <c r="E140" s="31"/>
      <c r="F140" s="31"/>
      <c r="G140" s="31"/>
      <c r="H140" s="31"/>
      <c r="I140" s="31"/>
      <c r="J140" s="31"/>
      <c r="K140" s="31"/>
      <c r="L140" s="31"/>
      <c r="M140" s="31"/>
      <c r="N140" s="31"/>
      <c r="O140" s="31"/>
      <c r="P140" s="31"/>
      <c r="Q140" s="31"/>
      <c r="R140" s="31"/>
      <c r="S140" s="31"/>
      <c r="T140" s="31"/>
      <c r="U140" s="31"/>
      <c r="V140" s="31"/>
      <c r="W140" s="31"/>
      <c r="X140" s="31"/>
      <c r="Y140" s="31"/>
      <c r="Z140" s="31"/>
      <c r="AA140" s="31"/>
      <c r="AB140" s="31"/>
      <c r="AC140" s="31"/>
      <c r="AD140" s="31"/>
      <c r="AE140" s="31"/>
      <c r="AF140" s="31"/>
      <c r="AG140" s="31"/>
    </row>
    <row r="141" spans="2:33">
      <c r="B141" s="31"/>
      <c r="C141" s="31"/>
      <c r="D141" s="31"/>
      <c r="E141" s="31"/>
      <c r="F141" s="31"/>
      <c r="G141" s="31"/>
      <c r="H141" s="31"/>
      <c r="I141" s="31"/>
      <c r="J141" s="31"/>
      <c r="K141" s="31"/>
      <c r="L141" s="31"/>
      <c r="M141" s="31"/>
      <c r="N141" s="31"/>
      <c r="O141" s="31"/>
      <c r="P141" s="31"/>
      <c r="Q141" s="31"/>
      <c r="R141" s="31"/>
      <c r="S141" s="31"/>
      <c r="T141" s="31"/>
      <c r="U141" s="31"/>
      <c r="V141" s="31"/>
      <c r="W141" s="31"/>
      <c r="X141" s="31"/>
      <c r="Y141" s="31"/>
      <c r="Z141" s="31"/>
      <c r="AA141" s="31"/>
      <c r="AB141" s="31"/>
      <c r="AC141" s="31"/>
      <c r="AD141" s="31"/>
      <c r="AE141" s="31"/>
      <c r="AF141" s="31"/>
      <c r="AG141" s="31"/>
    </row>
    <row r="142" spans="2:33">
      <c r="B142" s="31"/>
      <c r="C142" s="31"/>
      <c r="D142" s="31"/>
      <c r="E142" s="31"/>
      <c r="F142" s="31"/>
      <c r="G142" s="31"/>
      <c r="H142" s="31"/>
      <c r="I142" s="31"/>
      <c r="J142" s="31"/>
      <c r="K142" s="31"/>
      <c r="L142" s="31"/>
      <c r="M142" s="31"/>
      <c r="N142" s="31"/>
      <c r="O142" s="31"/>
      <c r="P142" s="31"/>
      <c r="Q142" s="31"/>
      <c r="R142" s="31"/>
      <c r="S142" s="31"/>
      <c r="T142" s="31"/>
      <c r="U142" s="31"/>
      <c r="V142" s="31"/>
      <c r="W142" s="31"/>
      <c r="X142" s="31"/>
      <c r="Y142" s="31"/>
      <c r="Z142" s="31"/>
      <c r="AA142" s="31"/>
      <c r="AB142" s="31"/>
      <c r="AC142" s="31"/>
      <c r="AD142" s="31"/>
      <c r="AE142" s="31"/>
      <c r="AF142" s="31"/>
      <c r="AG142" s="31"/>
    </row>
    <row r="143" spans="2:33">
      <c r="B143" s="31"/>
      <c r="C143" s="31"/>
      <c r="D143" s="31"/>
      <c r="E143" s="31"/>
      <c r="F143" s="31"/>
      <c r="G143" s="31"/>
      <c r="H143" s="31"/>
      <c r="I143" s="31"/>
      <c r="J143" s="31"/>
      <c r="K143" s="31"/>
      <c r="L143" s="31"/>
      <c r="M143" s="31"/>
      <c r="N143" s="31"/>
      <c r="O143" s="31"/>
      <c r="P143" s="31"/>
      <c r="Q143" s="31"/>
      <c r="R143" s="31"/>
      <c r="S143" s="31"/>
      <c r="T143" s="31"/>
      <c r="U143" s="31"/>
      <c r="V143" s="31"/>
      <c r="W143" s="31"/>
      <c r="X143" s="31"/>
      <c r="Y143" s="31"/>
      <c r="Z143" s="31"/>
      <c r="AA143" s="31"/>
      <c r="AB143" s="31"/>
      <c r="AC143" s="31"/>
      <c r="AD143" s="31"/>
      <c r="AE143" s="31"/>
      <c r="AF143" s="31"/>
      <c r="AG143" s="31"/>
    </row>
    <row r="144" spans="2:33">
      <c r="B144" s="31"/>
      <c r="C144" s="31"/>
      <c r="D144" s="31"/>
      <c r="E144" s="31"/>
      <c r="F144" s="31"/>
      <c r="G144" s="31"/>
      <c r="H144" s="31"/>
      <c r="I144" s="31"/>
      <c r="J144" s="31"/>
      <c r="K144" s="31"/>
      <c r="L144" s="31"/>
      <c r="M144" s="31"/>
      <c r="N144" s="31"/>
      <c r="O144" s="31"/>
      <c r="P144" s="31"/>
      <c r="Q144" s="31"/>
      <c r="R144" s="31"/>
      <c r="S144" s="31"/>
      <c r="T144" s="31"/>
      <c r="U144" s="31"/>
      <c r="V144" s="31"/>
      <c r="W144" s="31"/>
      <c r="X144" s="31"/>
      <c r="Y144" s="31"/>
      <c r="Z144" s="31"/>
      <c r="AA144" s="31"/>
      <c r="AB144" s="31"/>
      <c r="AC144" s="31"/>
      <c r="AD144" s="31"/>
      <c r="AE144" s="31"/>
      <c r="AF144" s="31"/>
      <c r="AG144" s="31"/>
    </row>
    <row r="145" spans="2:33">
      <c r="B145" s="31"/>
      <c r="C145" s="31"/>
      <c r="D145" s="31"/>
      <c r="E145" s="31"/>
      <c r="F145" s="31"/>
      <c r="G145" s="31"/>
      <c r="H145" s="31"/>
      <c r="I145" s="31"/>
      <c r="J145" s="31"/>
      <c r="K145" s="31"/>
      <c r="L145" s="31"/>
      <c r="M145" s="31"/>
      <c r="N145" s="31"/>
      <c r="O145" s="31"/>
      <c r="P145" s="31"/>
      <c r="Q145" s="31"/>
      <c r="R145" s="31"/>
      <c r="S145" s="31"/>
      <c r="T145" s="31"/>
      <c r="U145" s="31"/>
      <c r="V145" s="31"/>
      <c r="W145" s="31"/>
      <c r="X145" s="31"/>
      <c r="Y145" s="31"/>
      <c r="Z145" s="31"/>
      <c r="AA145" s="31"/>
      <c r="AB145" s="31"/>
      <c r="AC145" s="31"/>
      <c r="AD145" s="31"/>
      <c r="AE145" s="31"/>
      <c r="AF145" s="31"/>
      <c r="AG145" s="31"/>
    </row>
    <row r="146" spans="2:33">
      <c r="B146" s="31"/>
      <c r="C146" s="31"/>
      <c r="D146" s="31"/>
      <c r="E146" s="31"/>
      <c r="F146" s="31"/>
      <c r="G146" s="31"/>
      <c r="H146" s="31"/>
      <c r="I146" s="31"/>
      <c r="J146" s="31"/>
      <c r="K146" s="31"/>
      <c r="L146" s="31"/>
      <c r="M146" s="31"/>
      <c r="N146" s="31"/>
      <c r="O146" s="31"/>
      <c r="P146" s="31"/>
      <c r="Q146" s="31"/>
      <c r="R146" s="31"/>
      <c r="S146" s="31"/>
      <c r="T146" s="31"/>
      <c r="U146" s="31"/>
      <c r="V146" s="31"/>
      <c r="W146" s="31"/>
      <c r="X146" s="31"/>
      <c r="Y146" s="31"/>
      <c r="Z146" s="31"/>
      <c r="AA146" s="31"/>
      <c r="AB146" s="31"/>
      <c r="AC146" s="31"/>
      <c r="AD146" s="31"/>
      <c r="AE146" s="31"/>
      <c r="AF146" s="31"/>
      <c r="AG146" s="31"/>
    </row>
    <row r="147" spans="2:33">
      <c r="B147" s="31"/>
      <c r="C147" s="31"/>
      <c r="D147" s="31"/>
      <c r="E147" s="31"/>
      <c r="F147" s="31"/>
      <c r="G147" s="31"/>
      <c r="H147" s="31"/>
      <c r="I147" s="31"/>
      <c r="J147" s="31"/>
      <c r="K147" s="31"/>
      <c r="L147" s="31"/>
      <c r="M147" s="31"/>
      <c r="N147" s="31"/>
      <c r="O147" s="31"/>
      <c r="P147" s="31"/>
      <c r="Q147" s="31"/>
      <c r="R147" s="31"/>
      <c r="S147" s="31"/>
      <c r="T147" s="31"/>
      <c r="U147" s="31"/>
      <c r="V147" s="31"/>
      <c r="W147" s="31"/>
      <c r="X147" s="31"/>
      <c r="Y147" s="31"/>
      <c r="Z147" s="31"/>
      <c r="AA147" s="31"/>
      <c r="AB147" s="31"/>
      <c r="AC147" s="31"/>
      <c r="AD147" s="31"/>
      <c r="AE147" s="31"/>
      <c r="AF147" s="31"/>
      <c r="AG147" s="31"/>
    </row>
    <row r="148" spans="2:33">
      <c r="B148" s="31"/>
      <c r="C148" s="31"/>
      <c r="D148" s="31"/>
      <c r="E148" s="31"/>
      <c r="F148" s="31"/>
      <c r="G148" s="31"/>
      <c r="H148" s="31"/>
      <c r="I148" s="31"/>
      <c r="J148" s="31"/>
      <c r="K148" s="31"/>
      <c r="L148" s="31"/>
      <c r="M148" s="31"/>
      <c r="N148" s="31"/>
      <c r="O148" s="31"/>
      <c r="P148" s="31"/>
      <c r="Q148" s="31"/>
      <c r="R148" s="31"/>
      <c r="S148" s="31"/>
      <c r="T148" s="31"/>
      <c r="U148" s="31"/>
      <c r="V148" s="31"/>
      <c r="W148" s="31"/>
      <c r="X148" s="31"/>
      <c r="Y148" s="31"/>
      <c r="Z148" s="31"/>
      <c r="AA148" s="31"/>
      <c r="AB148" s="31"/>
      <c r="AC148" s="31"/>
      <c r="AD148" s="31"/>
      <c r="AE148" s="31"/>
      <c r="AF148" s="31"/>
      <c r="AG148" s="31"/>
    </row>
    <row r="149" spans="2:33">
      <c r="B149" s="31"/>
      <c r="C149" s="31"/>
      <c r="D149" s="31"/>
      <c r="E149" s="31"/>
      <c r="F149" s="31"/>
      <c r="G149" s="31"/>
      <c r="H149" s="31"/>
      <c r="I149" s="31"/>
      <c r="J149" s="31"/>
      <c r="K149" s="31"/>
      <c r="L149" s="31"/>
      <c r="M149" s="31"/>
      <c r="N149" s="31"/>
      <c r="O149" s="31"/>
      <c r="P149" s="31"/>
      <c r="Q149" s="31"/>
      <c r="R149" s="31"/>
      <c r="S149" s="31"/>
      <c r="T149" s="31"/>
      <c r="U149" s="31"/>
      <c r="V149" s="31"/>
      <c r="W149" s="31"/>
      <c r="X149" s="31"/>
      <c r="Y149" s="31"/>
      <c r="Z149" s="31"/>
      <c r="AA149" s="31"/>
      <c r="AB149" s="31"/>
      <c r="AC149" s="31"/>
      <c r="AD149" s="31"/>
      <c r="AE149" s="31"/>
      <c r="AF149" s="31"/>
      <c r="AG149" s="31"/>
    </row>
    <row r="150" spans="2:33">
      <c r="B150" s="31"/>
      <c r="C150" s="31"/>
      <c r="D150" s="31"/>
      <c r="E150" s="31"/>
      <c r="F150" s="31"/>
      <c r="G150" s="31"/>
      <c r="H150" s="31"/>
      <c r="I150" s="31"/>
      <c r="J150" s="31"/>
      <c r="K150" s="31"/>
      <c r="L150" s="31"/>
      <c r="M150" s="31"/>
      <c r="N150" s="31"/>
      <c r="O150" s="31"/>
      <c r="P150" s="31"/>
      <c r="Q150" s="31"/>
      <c r="R150" s="31"/>
      <c r="S150" s="31"/>
      <c r="T150" s="31"/>
      <c r="U150" s="31"/>
      <c r="V150" s="31"/>
      <c r="W150" s="31"/>
      <c r="X150" s="31"/>
      <c r="Y150" s="31"/>
      <c r="Z150" s="31"/>
      <c r="AA150" s="31"/>
      <c r="AB150" s="31"/>
      <c r="AC150" s="31"/>
      <c r="AD150" s="31"/>
      <c r="AE150" s="31"/>
      <c r="AF150" s="31"/>
      <c r="AG150" s="31"/>
    </row>
    <row r="151" spans="2:33">
      <c r="B151" s="31"/>
      <c r="C151" s="31"/>
      <c r="D151" s="31"/>
      <c r="E151" s="31"/>
      <c r="F151" s="31"/>
      <c r="G151" s="31"/>
      <c r="H151" s="31"/>
      <c r="I151" s="31"/>
      <c r="J151" s="31"/>
      <c r="K151" s="31"/>
      <c r="L151" s="31"/>
      <c r="M151" s="31"/>
      <c r="N151" s="31"/>
      <c r="O151" s="31"/>
      <c r="P151" s="31"/>
      <c r="Q151" s="31"/>
      <c r="R151" s="31"/>
      <c r="S151" s="31"/>
      <c r="T151" s="31"/>
      <c r="U151" s="31"/>
      <c r="V151" s="31"/>
      <c r="W151" s="31"/>
      <c r="X151" s="31"/>
      <c r="Y151" s="31"/>
      <c r="Z151" s="31"/>
      <c r="AA151" s="31"/>
      <c r="AB151" s="31"/>
      <c r="AC151" s="31"/>
      <c r="AD151" s="31"/>
      <c r="AE151" s="31"/>
      <c r="AF151" s="31"/>
      <c r="AG151" s="31"/>
    </row>
    <row r="152" spans="2:33">
      <c r="B152" s="31"/>
      <c r="C152" s="31"/>
      <c r="D152" s="31"/>
      <c r="E152" s="31"/>
      <c r="F152" s="31"/>
      <c r="G152" s="31"/>
      <c r="H152" s="31"/>
      <c r="I152" s="31"/>
      <c r="J152" s="31"/>
      <c r="K152" s="31"/>
      <c r="L152" s="31"/>
      <c r="M152" s="31"/>
      <c r="N152" s="31"/>
      <c r="O152" s="31"/>
      <c r="P152" s="31"/>
      <c r="Q152" s="31"/>
      <c r="R152" s="31"/>
      <c r="S152" s="31"/>
      <c r="T152" s="31"/>
      <c r="U152" s="31"/>
      <c r="V152" s="31"/>
      <c r="W152" s="31"/>
      <c r="X152" s="31"/>
      <c r="Y152" s="31"/>
      <c r="Z152" s="31"/>
      <c r="AA152" s="31"/>
      <c r="AB152" s="31"/>
      <c r="AC152" s="31"/>
      <c r="AD152" s="31"/>
      <c r="AE152" s="31"/>
      <c r="AF152" s="31"/>
      <c r="AG152" s="31"/>
    </row>
    <row r="153" spans="2:33">
      <c r="B153" s="31"/>
      <c r="C153" s="31"/>
      <c r="D153" s="31"/>
      <c r="E153" s="31"/>
      <c r="F153" s="31"/>
      <c r="G153" s="31"/>
      <c r="H153" s="31"/>
      <c r="I153" s="31"/>
      <c r="J153" s="31"/>
      <c r="K153" s="31"/>
      <c r="L153" s="31"/>
      <c r="M153" s="31"/>
      <c r="N153" s="31"/>
      <c r="O153" s="31"/>
      <c r="P153" s="31"/>
      <c r="Q153" s="31"/>
      <c r="R153" s="31"/>
      <c r="S153" s="31"/>
      <c r="T153" s="31"/>
      <c r="U153" s="31"/>
      <c r="V153" s="31"/>
      <c r="W153" s="31"/>
      <c r="X153" s="31"/>
      <c r="Y153" s="31"/>
      <c r="Z153" s="31"/>
      <c r="AA153" s="31"/>
      <c r="AB153" s="31"/>
      <c r="AC153" s="31"/>
      <c r="AD153" s="31"/>
      <c r="AE153" s="31"/>
      <c r="AF153" s="31"/>
      <c r="AG153" s="31"/>
    </row>
    <row r="154" spans="2:33">
      <c r="B154" s="31"/>
      <c r="C154" s="31"/>
      <c r="D154" s="31"/>
      <c r="E154" s="31"/>
      <c r="F154" s="31"/>
      <c r="G154" s="31"/>
      <c r="H154" s="31"/>
      <c r="I154" s="31"/>
      <c r="J154" s="31"/>
      <c r="K154" s="31"/>
      <c r="L154" s="31"/>
      <c r="M154" s="31"/>
      <c r="N154" s="31"/>
      <c r="O154" s="31"/>
      <c r="P154" s="31"/>
      <c r="Q154" s="31"/>
      <c r="R154" s="31"/>
      <c r="S154" s="31"/>
      <c r="T154" s="31"/>
      <c r="U154" s="31"/>
      <c r="V154" s="31"/>
      <c r="W154" s="31"/>
      <c r="X154" s="31"/>
      <c r="Y154" s="31"/>
      <c r="Z154" s="31"/>
      <c r="AA154" s="31"/>
      <c r="AB154" s="31"/>
      <c r="AC154" s="31"/>
      <c r="AD154" s="31"/>
      <c r="AE154" s="31"/>
      <c r="AF154" s="31"/>
      <c r="AG154" s="31"/>
    </row>
    <row r="155" spans="2:33">
      <c r="B155" s="31"/>
      <c r="C155" s="31"/>
      <c r="D155" s="31"/>
      <c r="E155" s="31"/>
      <c r="F155" s="31"/>
      <c r="G155" s="31"/>
      <c r="H155" s="31"/>
      <c r="I155" s="31"/>
      <c r="J155" s="31"/>
      <c r="K155" s="31"/>
      <c r="L155" s="31"/>
      <c r="M155" s="31"/>
      <c r="N155" s="31"/>
      <c r="O155" s="31"/>
      <c r="P155" s="31"/>
      <c r="Q155" s="31"/>
      <c r="R155" s="31"/>
      <c r="S155" s="31"/>
      <c r="T155" s="31"/>
      <c r="U155" s="31"/>
      <c r="V155" s="31"/>
      <c r="W155" s="31"/>
      <c r="X155" s="31"/>
      <c r="Y155" s="31"/>
      <c r="Z155" s="31"/>
      <c r="AA155" s="31"/>
      <c r="AB155" s="31"/>
      <c r="AC155" s="31"/>
      <c r="AD155" s="31"/>
      <c r="AE155" s="31"/>
      <c r="AF155" s="31"/>
      <c r="AG155" s="31"/>
    </row>
    <row r="156" spans="2:33">
      <c r="B156" s="31"/>
      <c r="C156" s="31"/>
      <c r="D156" s="31"/>
      <c r="E156" s="31"/>
      <c r="F156" s="31"/>
      <c r="G156" s="31"/>
      <c r="H156" s="31"/>
      <c r="I156" s="31"/>
      <c r="J156" s="31"/>
      <c r="K156" s="31"/>
      <c r="L156" s="31"/>
      <c r="M156" s="31"/>
      <c r="N156" s="31"/>
      <c r="O156" s="31"/>
      <c r="P156" s="31"/>
      <c r="Q156" s="31"/>
      <c r="R156" s="31"/>
      <c r="S156" s="31"/>
      <c r="T156" s="31"/>
      <c r="U156" s="31"/>
      <c r="V156" s="31"/>
      <c r="W156" s="31"/>
      <c r="X156" s="31"/>
      <c r="Y156" s="31"/>
      <c r="Z156" s="31"/>
      <c r="AA156" s="31"/>
      <c r="AB156" s="31"/>
      <c r="AC156" s="31"/>
      <c r="AD156" s="31"/>
      <c r="AE156" s="31"/>
      <c r="AF156" s="31"/>
      <c r="AG156" s="31"/>
    </row>
    <row r="157" spans="2:33">
      <c r="B157" s="31"/>
      <c r="C157" s="31"/>
      <c r="D157" s="31"/>
      <c r="E157" s="31"/>
      <c r="F157" s="31"/>
      <c r="G157" s="31"/>
      <c r="H157" s="31"/>
      <c r="I157" s="31"/>
      <c r="J157" s="31"/>
      <c r="K157" s="31"/>
      <c r="L157" s="31"/>
      <c r="M157" s="31"/>
      <c r="N157" s="31"/>
      <c r="O157" s="31"/>
      <c r="P157" s="31"/>
      <c r="Q157" s="31"/>
      <c r="R157" s="31"/>
      <c r="S157" s="31"/>
      <c r="T157" s="31"/>
      <c r="U157" s="31"/>
      <c r="V157" s="31"/>
      <c r="W157" s="31"/>
      <c r="X157" s="31"/>
      <c r="Y157" s="31"/>
      <c r="Z157" s="31"/>
      <c r="AA157" s="31"/>
      <c r="AB157" s="31"/>
      <c r="AC157" s="31"/>
      <c r="AD157" s="31"/>
      <c r="AE157" s="31"/>
      <c r="AF157" s="31"/>
      <c r="AG157" s="31"/>
    </row>
    <row r="158" spans="2:33">
      <c r="B158" s="31"/>
      <c r="C158" s="31"/>
      <c r="D158" s="31"/>
      <c r="E158" s="31"/>
      <c r="F158" s="31"/>
      <c r="G158" s="31"/>
      <c r="H158" s="31"/>
      <c r="I158" s="31"/>
      <c r="J158" s="31"/>
      <c r="K158" s="31"/>
      <c r="L158" s="31"/>
      <c r="M158" s="31"/>
      <c r="N158" s="31"/>
      <c r="O158" s="31"/>
      <c r="P158" s="31"/>
      <c r="Q158" s="31"/>
      <c r="R158" s="31"/>
      <c r="S158" s="31"/>
      <c r="T158" s="31"/>
      <c r="U158" s="31"/>
      <c r="V158" s="31"/>
      <c r="W158" s="31"/>
      <c r="X158" s="31"/>
      <c r="Y158" s="31"/>
      <c r="Z158" s="31"/>
      <c r="AA158" s="31"/>
      <c r="AB158" s="31"/>
      <c r="AC158" s="31"/>
      <c r="AD158" s="31"/>
      <c r="AE158" s="31"/>
      <c r="AF158" s="31"/>
      <c r="AG158" s="31"/>
    </row>
    <row r="159" spans="2:33">
      <c r="B159" s="31"/>
      <c r="C159" s="31"/>
      <c r="D159" s="31"/>
      <c r="E159" s="31"/>
      <c r="F159" s="31"/>
      <c r="G159" s="31"/>
      <c r="H159" s="31"/>
      <c r="I159" s="31"/>
      <c r="J159" s="31"/>
      <c r="K159" s="31"/>
      <c r="L159" s="31"/>
      <c r="M159" s="31"/>
      <c r="N159" s="31"/>
      <c r="O159" s="31"/>
      <c r="P159" s="31"/>
      <c r="Q159" s="31"/>
      <c r="R159" s="31"/>
      <c r="S159" s="31"/>
      <c r="T159" s="31"/>
      <c r="U159" s="31"/>
      <c r="V159" s="31"/>
      <c r="W159" s="31"/>
      <c r="X159" s="31"/>
      <c r="Y159" s="31"/>
      <c r="Z159" s="31"/>
      <c r="AA159" s="31"/>
      <c r="AB159" s="31"/>
      <c r="AC159" s="31"/>
      <c r="AD159" s="31"/>
      <c r="AE159" s="31"/>
      <c r="AF159" s="31"/>
      <c r="AG159" s="31"/>
    </row>
    <row r="307" spans="2:32">
      <c r="B307" s="29"/>
      <c r="C307" s="29"/>
      <c r="D307" s="29"/>
      <c r="E307" s="29"/>
      <c r="F307" s="29"/>
      <c r="G307" s="29"/>
      <c r="H307" s="29"/>
      <c r="I307" s="29"/>
      <c r="J307" s="29"/>
      <c r="K307" s="29"/>
      <c r="L307" s="29"/>
      <c r="M307" s="29"/>
      <c r="N307" s="29"/>
      <c r="O307" s="29"/>
      <c r="P307" s="29"/>
      <c r="Q307" s="29"/>
      <c r="R307" s="29"/>
      <c r="S307" s="29"/>
      <c r="T307" s="29"/>
      <c r="U307" s="29"/>
      <c r="V307" s="29"/>
      <c r="W307" s="29"/>
      <c r="X307" s="29"/>
      <c r="Y307" s="29"/>
      <c r="Z307" s="29"/>
      <c r="AA307" s="29"/>
      <c r="AB307" s="29"/>
      <c r="AC307" s="29"/>
      <c r="AD307" s="29"/>
      <c r="AE307" s="29"/>
      <c r="AF307" s="29"/>
    </row>
    <row r="308" spans="2:32">
      <c r="B308" s="289"/>
      <c r="C308" s="289"/>
      <c r="D308" s="289"/>
      <c r="E308" s="289"/>
      <c r="F308" s="289"/>
      <c r="G308" s="289"/>
      <c r="H308" s="289"/>
      <c r="I308" s="289"/>
      <c r="J308" s="289"/>
      <c r="K308" s="289"/>
      <c r="L308" s="289"/>
      <c r="M308" s="289"/>
      <c r="N308" s="289"/>
      <c r="O308" s="289"/>
      <c r="P308" s="289"/>
      <c r="Q308" s="289"/>
      <c r="R308" s="289"/>
      <c r="S308" s="289"/>
      <c r="T308" s="289"/>
      <c r="U308" s="289"/>
      <c r="V308" s="289"/>
      <c r="W308" s="289"/>
      <c r="X308" s="289"/>
      <c r="Y308" s="289"/>
      <c r="Z308" s="289"/>
      <c r="AA308" s="289"/>
      <c r="AB308" s="289"/>
      <c r="AC308" s="289"/>
      <c r="AD308" s="289"/>
      <c r="AE308" s="289"/>
      <c r="AF308" s="289"/>
    </row>
    <row r="499" spans="2:32">
      <c r="B499" s="29"/>
      <c r="C499" s="29"/>
      <c r="D499" s="29"/>
      <c r="E499" s="29"/>
      <c r="F499" s="29"/>
      <c r="G499" s="29"/>
      <c r="H499" s="29"/>
      <c r="I499" s="29"/>
      <c r="J499" s="29"/>
      <c r="K499" s="29"/>
      <c r="L499" s="29"/>
      <c r="M499" s="29"/>
      <c r="N499" s="29"/>
      <c r="O499" s="29"/>
      <c r="P499" s="29"/>
      <c r="Q499" s="29"/>
      <c r="R499" s="29"/>
      <c r="S499" s="29"/>
      <c r="T499" s="29"/>
      <c r="U499" s="29"/>
      <c r="V499" s="29"/>
      <c r="W499" s="29"/>
      <c r="X499" s="29"/>
      <c r="Y499" s="29"/>
      <c r="Z499" s="29"/>
      <c r="AA499" s="29"/>
      <c r="AB499" s="29"/>
      <c r="AC499" s="29"/>
      <c r="AD499" s="29"/>
      <c r="AE499" s="29"/>
      <c r="AF499" s="29"/>
    </row>
    <row r="509" spans="2:32">
      <c r="B509" s="29"/>
      <c r="C509" s="29"/>
      <c r="D509" s="29"/>
      <c r="E509" s="29"/>
      <c r="F509" s="29"/>
      <c r="G509" s="29"/>
      <c r="H509" s="29"/>
      <c r="I509" s="29"/>
      <c r="J509" s="29"/>
      <c r="K509" s="29"/>
      <c r="L509" s="29"/>
      <c r="M509" s="29"/>
      <c r="N509" s="29"/>
      <c r="O509" s="29"/>
      <c r="P509" s="29"/>
      <c r="Q509" s="29"/>
      <c r="R509" s="29"/>
      <c r="S509" s="29"/>
      <c r="T509" s="29"/>
      <c r="U509" s="29"/>
      <c r="V509" s="29"/>
      <c r="W509" s="29"/>
      <c r="X509" s="29"/>
      <c r="Y509" s="29"/>
      <c r="Z509" s="29"/>
      <c r="AA509" s="29"/>
      <c r="AB509" s="29"/>
      <c r="AC509" s="29"/>
      <c r="AD509" s="29"/>
      <c r="AE509" s="29"/>
      <c r="AF509" s="29"/>
    </row>
    <row r="510" spans="2:32">
      <c r="B510" s="29"/>
      <c r="C510" s="29"/>
      <c r="D510" s="29"/>
      <c r="E510" s="29"/>
      <c r="F510" s="29"/>
      <c r="G510" s="29"/>
      <c r="H510" s="29"/>
      <c r="I510" s="29"/>
      <c r="J510" s="29"/>
      <c r="K510" s="29"/>
      <c r="L510" s="29"/>
      <c r="M510" s="29"/>
      <c r="N510" s="29"/>
      <c r="O510" s="29"/>
      <c r="P510" s="29"/>
      <c r="Q510" s="29"/>
      <c r="R510" s="29"/>
      <c r="S510" s="29"/>
      <c r="T510" s="29"/>
      <c r="U510" s="29"/>
      <c r="V510" s="29"/>
      <c r="W510" s="29"/>
      <c r="X510" s="29"/>
      <c r="Y510" s="29"/>
      <c r="Z510" s="29"/>
      <c r="AA510" s="29"/>
      <c r="AB510" s="29"/>
      <c r="AC510" s="29"/>
      <c r="AD510" s="29"/>
      <c r="AE510" s="29"/>
      <c r="AF510" s="29"/>
    </row>
    <row r="511" spans="2:32">
      <c r="B511" s="289"/>
      <c r="C511" s="289"/>
      <c r="D511" s="289"/>
      <c r="E511" s="289"/>
      <c r="F511" s="289"/>
      <c r="G511" s="289"/>
      <c r="H511" s="289"/>
      <c r="I511" s="289"/>
      <c r="J511" s="289"/>
      <c r="K511" s="289"/>
      <c r="L511" s="289"/>
      <c r="M511" s="289"/>
      <c r="N511" s="289"/>
      <c r="O511" s="289"/>
      <c r="P511" s="289"/>
      <c r="Q511" s="289"/>
      <c r="R511" s="289"/>
      <c r="S511" s="289"/>
      <c r="T511" s="289"/>
      <c r="U511" s="289"/>
      <c r="V511" s="289"/>
      <c r="W511" s="289"/>
      <c r="X511" s="289"/>
      <c r="Y511" s="289"/>
      <c r="Z511" s="289"/>
      <c r="AA511" s="289"/>
      <c r="AB511" s="289"/>
      <c r="AC511" s="289"/>
      <c r="AD511" s="289"/>
      <c r="AE511" s="289"/>
      <c r="AF511" s="289"/>
    </row>
    <row r="711" spans="2:32">
      <c r="B711" s="29"/>
      <c r="C711" s="29"/>
      <c r="D711" s="29"/>
      <c r="E711" s="29"/>
      <c r="F711" s="29"/>
      <c r="G711" s="29"/>
      <c r="H711" s="29"/>
      <c r="I711" s="29"/>
      <c r="J711" s="29"/>
      <c r="K711" s="29"/>
      <c r="L711" s="29"/>
      <c r="M711" s="29"/>
      <c r="N711" s="29"/>
      <c r="O711" s="29"/>
      <c r="P711" s="29"/>
      <c r="Q711" s="29"/>
      <c r="R711" s="29"/>
      <c r="S711" s="29"/>
      <c r="T711" s="29"/>
      <c r="U711" s="29"/>
      <c r="V711" s="29"/>
      <c r="W711" s="29"/>
      <c r="X711" s="29"/>
      <c r="Y711" s="29"/>
      <c r="Z711" s="29"/>
      <c r="AA711" s="29"/>
      <c r="AB711" s="29"/>
      <c r="AC711" s="29"/>
      <c r="AD711" s="29"/>
      <c r="AE711" s="29"/>
      <c r="AF711" s="29"/>
    </row>
    <row r="712" spans="2:32">
      <c r="B712" s="289"/>
      <c r="C712" s="289"/>
      <c r="D712" s="289"/>
      <c r="E712" s="289"/>
      <c r="F712" s="289"/>
      <c r="G712" s="289"/>
      <c r="H712" s="289"/>
      <c r="I712" s="289"/>
      <c r="J712" s="289"/>
      <c r="K712" s="289"/>
      <c r="L712" s="289"/>
      <c r="M712" s="289"/>
      <c r="N712" s="289"/>
      <c r="O712" s="289"/>
      <c r="P712" s="289"/>
      <c r="Q712" s="289"/>
      <c r="R712" s="289"/>
      <c r="S712" s="289"/>
      <c r="T712" s="289"/>
      <c r="U712" s="289"/>
      <c r="V712" s="289"/>
      <c r="W712" s="289"/>
      <c r="X712" s="289"/>
      <c r="Y712" s="289"/>
      <c r="Z712" s="289"/>
      <c r="AA712" s="289"/>
      <c r="AB712" s="289"/>
      <c r="AC712" s="289"/>
      <c r="AD712" s="289"/>
      <c r="AE712" s="289"/>
      <c r="AF712" s="289"/>
    </row>
    <row r="886" spans="2:32">
      <c r="B886" s="29"/>
      <c r="C886" s="29"/>
      <c r="D886" s="29"/>
      <c r="E886" s="29"/>
      <c r="F886" s="29"/>
      <c r="G886" s="29"/>
      <c r="H886" s="29"/>
      <c r="I886" s="29"/>
      <c r="J886" s="29"/>
      <c r="K886" s="29"/>
      <c r="L886" s="29"/>
      <c r="M886" s="29"/>
      <c r="N886" s="29"/>
      <c r="O886" s="29"/>
      <c r="P886" s="29"/>
      <c r="Q886" s="29"/>
      <c r="R886" s="29"/>
      <c r="S886" s="29"/>
      <c r="T886" s="29"/>
      <c r="U886" s="29"/>
      <c r="V886" s="29"/>
      <c r="W886" s="29"/>
      <c r="X886" s="29"/>
      <c r="Y886" s="29"/>
      <c r="Z886" s="29"/>
      <c r="AA886" s="29"/>
      <c r="AB886" s="29"/>
      <c r="AC886" s="29"/>
      <c r="AD886" s="29"/>
      <c r="AE886" s="29"/>
      <c r="AF886" s="29"/>
    </row>
    <row r="887" spans="2:32">
      <c r="B887" s="289"/>
      <c r="C887" s="289"/>
      <c r="D887" s="289"/>
      <c r="E887" s="289"/>
      <c r="F887" s="289"/>
      <c r="G887" s="289"/>
      <c r="H887" s="289"/>
      <c r="I887" s="289"/>
      <c r="J887" s="289"/>
      <c r="K887" s="289"/>
      <c r="L887" s="289"/>
      <c r="M887" s="289"/>
      <c r="N887" s="289"/>
      <c r="O887" s="289"/>
      <c r="P887" s="289"/>
      <c r="Q887" s="289"/>
      <c r="R887" s="289"/>
      <c r="S887" s="289"/>
      <c r="T887" s="289"/>
      <c r="U887" s="289"/>
      <c r="V887" s="289"/>
      <c r="W887" s="289"/>
      <c r="X887" s="289"/>
      <c r="Y887" s="289"/>
      <c r="Z887" s="289"/>
      <c r="AA887" s="289"/>
      <c r="AB887" s="289"/>
      <c r="AC887" s="289"/>
      <c r="AD887" s="289"/>
      <c r="AE887" s="289"/>
      <c r="AF887" s="289"/>
    </row>
    <row r="1096" spans="2:32">
      <c r="B1096" s="29"/>
      <c r="C1096" s="29"/>
      <c r="D1096" s="29"/>
      <c r="E1096" s="29"/>
      <c r="F1096" s="29"/>
      <c r="G1096" s="29"/>
      <c r="H1096" s="29"/>
      <c r="I1096" s="29"/>
      <c r="J1096" s="29"/>
      <c r="K1096" s="29"/>
      <c r="L1096" s="29"/>
      <c r="M1096" s="29"/>
      <c r="N1096" s="29"/>
      <c r="O1096" s="29"/>
      <c r="P1096" s="29"/>
      <c r="Q1096" s="29"/>
      <c r="R1096" s="29"/>
      <c r="S1096" s="29"/>
      <c r="T1096" s="29"/>
      <c r="U1096" s="29"/>
      <c r="V1096" s="29"/>
      <c r="W1096" s="29"/>
      <c r="X1096" s="29"/>
      <c r="Y1096" s="29"/>
      <c r="Z1096" s="29"/>
      <c r="AA1096" s="29"/>
      <c r="AB1096" s="29"/>
      <c r="AC1096" s="29"/>
      <c r="AD1096" s="29"/>
      <c r="AE1096" s="29"/>
      <c r="AF1096" s="29"/>
    </row>
    <row r="1100" spans="2:32">
      <c r="B1100" s="29"/>
      <c r="C1100" s="29"/>
      <c r="D1100" s="29"/>
      <c r="E1100" s="29"/>
      <c r="F1100" s="29"/>
      <c r="G1100" s="29"/>
      <c r="H1100" s="29"/>
      <c r="I1100" s="29"/>
      <c r="J1100" s="29"/>
      <c r="K1100" s="29"/>
      <c r="L1100" s="29"/>
      <c r="M1100" s="29"/>
      <c r="N1100" s="29"/>
      <c r="O1100" s="29"/>
      <c r="P1100" s="29"/>
      <c r="Q1100" s="29"/>
      <c r="R1100" s="29"/>
      <c r="S1100" s="29"/>
      <c r="T1100" s="29"/>
      <c r="U1100" s="29"/>
      <c r="V1100" s="29"/>
      <c r="W1100" s="29"/>
      <c r="X1100" s="29"/>
      <c r="Y1100" s="29"/>
      <c r="Z1100" s="29"/>
      <c r="AA1100" s="29"/>
      <c r="AB1100" s="29"/>
      <c r="AC1100" s="29"/>
      <c r="AD1100" s="29"/>
      <c r="AE1100" s="29"/>
      <c r="AF1100" s="29"/>
    </row>
    <row r="1101" spans="2:32">
      <c r="B1101" s="289"/>
      <c r="C1101" s="289"/>
      <c r="D1101" s="289"/>
      <c r="E1101" s="289"/>
      <c r="F1101" s="289"/>
      <c r="G1101" s="289"/>
      <c r="H1101" s="289"/>
      <c r="I1101" s="289"/>
      <c r="J1101" s="289"/>
      <c r="K1101" s="289"/>
      <c r="L1101" s="289"/>
      <c r="M1101" s="289"/>
      <c r="N1101" s="289"/>
      <c r="O1101" s="289"/>
      <c r="P1101" s="289"/>
      <c r="Q1101" s="289"/>
      <c r="R1101" s="289"/>
      <c r="S1101" s="289"/>
      <c r="T1101" s="289"/>
      <c r="U1101" s="289"/>
      <c r="V1101" s="289"/>
      <c r="W1101" s="289"/>
      <c r="X1101" s="289"/>
      <c r="Y1101" s="289"/>
      <c r="Z1101" s="289"/>
      <c r="AA1101" s="289"/>
      <c r="AB1101" s="289"/>
      <c r="AC1101" s="289"/>
      <c r="AD1101" s="289"/>
      <c r="AE1101" s="289"/>
      <c r="AF1101" s="289"/>
    </row>
    <row r="1228" spans="2:32">
      <c r="B1228" s="29"/>
      <c r="C1228" s="29"/>
      <c r="D1228" s="29"/>
      <c r="E1228" s="29"/>
      <c r="F1228" s="29"/>
      <c r="G1228" s="29"/>
      <c r="H1228" s="29"/>
      <c r="I1228" s="29"/>
      <c r="J1228" s="29"/>
      <c r="K1228" s="29"/>
      <c r="L1228" s="29"/>
      <c r="M1228" s="29"/>
      <c r="N1228" s="29"/>
      <c r="O1228" s="29"/>
      <c r="P1228" s="29"/>
      <c r="Q1228" s="29"/>
      <c r="R1228" s="29"/>
      <c r="S1228" s="29"/>
      <c r="T1228" s="29"/>
      <c r="U1228" s="29"/>
      <c r="V1228" s="29"/>
      <c r="W1228" s="29"/>
      <c r="X1228" s="29"/>
      <c r="Y1228" s="29"/>
      <c r="Z1228" s="29"/>
      <c r="AA1228" s="29"/>
      <c r="AB1228" s="29"/>
      <c r="AC1228" s="29"/>
      <c r="AD1228" s="29"/>
      <c r="AE1228" s="29"/>
      <c r="AF1228" s="29"/>
    </row>
    <row r="1229" spans="2:32">
      <c r="B1229" s="289"/>
      <c r="C1229" s="289"/>
      <c r="D1229" s="289"/>
      <c r="E1229" s="289"/>
      <c r="F1229" s="289"/>
      <c r="G1229" s="289"/>
      <c r="H1229" s="289"/>
      <c r="I1229" s="289"/>
      <c r="J1229" s="289"/>
      <c r="K1229" s="289"/>
      <c r="L1229" s="289"/>
      <c r="M1229" s="289"/>
      <c r="N1229" s="289"/>
      <c r="O1229" s="289"/>
      <c r="P1229" s="289"/>
      <c r="Q1229" s="289"/>
      <c r="R1229" s="289"/>
      <c r="S1229" s="289"/>
      <c r="T1229" s="289"/>
      <c r="U1229" s="289"/>
      <c r="V1229" s="289"/>
      <c r="W1229" s="289"/>
      <c r="X1229" s="289"/>
      <c r="Y1229" s="289"/>
      <c r="Z1229" s="289"/>
      <c r="AA1229" s="289"/>
      <c r="AB1229" s="289"/>
      <c r="AC1229" s="289"/>
      <c r="AD1229" s="289"/>
      <c r="AE1229" s="289"/>
      <c r="AF1229" s="289"/>
    </row>
    <row r="1384" spans="2:32">
      <c r="B1384" s="29"/>
      <c r="C1384" s="29"/>
      <c r="D1384" s="29"/>
      <c r="E1384" s="29"/>
      <c r="F1384" s="29"/>
      <c r="G1384" s="29"/>
      <c r="H1384" s="29"/>
      <c r="I1384" s="29"/>
      <c r="J1384" s="29"/>
      <c r="K1384" s="29"/>
      <c r="L1384" s="29"/>
      <c r="M1384" s="29"/>
      <c r="N1384" s="29"/>
      <c r="O1384" s="29"/>
      <c r="P1384" s="29"/>
      <c r="Q1384" s="29"/>
      <c r="R1384" s="29"/>
      <c r="S1384" s="29"/>
      <c r="T1384" s="29"/>
      <c r="U1384" s="29"/>
      <c r="V1384" s="29"/>
      <c r="W1384" s="29"/>
      <c r="X1384" s="29"/>
      <c r="Y1384" s="29"/>
      <c r="Z1384" s="29"/>
      <c r="AA1384" s="29"/>
      <c r="AB1384" s="29"/>
      <c r="AC1384" s="29"/>
      <c r="AD1384" s="29"/>
      <c r="AE1384" s="29"/>
      <c r="AF1384" s="29"/>
    </row>
    <row r="1389" spans="2:32">
      <c r="B1389" s="29"/>
      <c r="C1389" s="29"/>
      <c r="D1389" s="29"/>
      <c r="E1389" s="29"/>
      <c r="F1389" s="29"/>
      <c r="G1389" s="29"/>
      <c r="H1389" s="29"/>
      <c r="I1389" s="29"/>
      <c r="J1389" s="29"/>
      <c r="K1389" s="29"/>
      <c r="L1389" s="29"/>
      <c r="M1389" s="29"/>
      <c r="N1389" s="29"/>
      <c r="O1389" s="29"/>
      <c r="P1389" s="29"/>
      <c r="Q1389" s="29"/>
      <c r="R1389" s="29"/>
      <c r="S1389" s="29"/>
      <c r="T1389" s="29"/>
      <c r="U1389" s="29"/>
      <c r="V1389" s="29"/>
      <c r="W1389" s="29"/>
      <c r="X1389" s="29"/>
      <c r="Y1389" s="29"/>
      <c r="Z1389" s="29"/>
      <c r="AA1389" s="29"/>
      <c r="AB1389" s="29"/>
      <c r="AC1389" s="29"/>
      <c r="AD1389" s="29"/>
      <c r="AE1389" s="29"/>
      <c r="AF1389" s="29"/>
    </row>
    <row r="1390" spans="2:32">
      <c r="B1390" s="289"/>
      <c r="C1390" s="289"/>
      <c r="D1390" s="289"/>
      <c r="E1390" s="289"/>
      <c r="F1390" s="289"/>
      <c r="G1390" s="289"/>
      <c r="H1390" s="289"/>
      <c r="I1390" s="289"/>
      <c r="J1390" s="289"/>
      <c r="K1390" s="289"/>
      <c r="L1390" s="289"/>
      <c r="M1390" s="289"/>
      <c r="N1390" s="289"/>
      <c r="O1390" s="289"/>
      <c r="P1390" s="289"/>
      <c r="Q1390" s="289"/>
      <c r="R1390" s="289"/>
      <c r="S1390" s="289"/>
      <c r="T1390" s="289"/>
      <c r="U1390" s="289"/>
      <c r="V1390" s="289"/>
      <c r="W1390" s="289"/>
      <c r="X1390" s="289"/>
      <c r="Y1390" s="289"/>
      <c r="Z1390" s="289"/>
      <c r="AA1390" s="289"/>
      <c r="AB1390" s="289"/>
      <c r="AC1390" s="289"/>
      <c r="AD1390" s="289"/>
      <c r="AE1390" s="289"/>
      <c r="AF1390" s="289"/>
    </row>
    <row r="1490" spans="2:32">
      <c r="B1490" s="29"/>
      <c r="C1490" s="29"/>
      <c r="D1490" s="29"/>
      <c r="E1490" s="29"/>
      <c r="F1490" s="29"/>
      <c r="G1490" s="29"/>
      <c r="H1490" s="29"/>
      <c r="I1490" s="29"/>
      <c r="J1490" s="29"/>
      <c r="K1490" s="29"/>
      <c r="L1490" s="29"/>
      <c r="M1490" s="29"/>
      <c r="N1490" s="29"/>
      <c r="O1490" s="29"/>
      <c r="P1490" s="29"/>
      <c r="Q1490" s="29"/>
      <c r="R1490" s="29"/>
      <c r="S1490" s="29"/>
      <c r="T1490" s="29"/>
      <c r="U1490" s="29"/>
      <c r="V1490" s="29"/>
      <c r="W1490" s="29"/>
      <c r="X1490" s="29"/>
      <c r="Y1490" s="29"/>
      <c r="Z1490" s="29"/>
      <c r="AA1490" s="29"/>
      <c r="AB1490" s="29"/>
      <c r="AC1490" s="29"/>
      <c r="AD1490" s="29"/>
      <c r="AE1490" s="29"/>
      <c r="AF1490" s="29"/>
    </row>
    <row r="1499" spans="2:32">
      <c r="B1499" s="29"/>
      <c r="C1499" s="29"/>
      <c r="D1499" s="29"/>
      <c r="E1499" s="29"/>
      <c r="F1499" s="29"/>
      <c r="G1499" s="29"/>
      <c r="H1499" s="29"/>
      <c r="I1499" s="29"/>
      <c r="J1499" s="29"/>
      <c r="K1499" s="29"/>
      <c r="L1499" s="29"/>
      <c r="M1499" s="29"/>
      <c r="N1499" s="29"/>
      <c r="O1499" s="29"/>
      <c r="P1499" s="29"/>
      <c r="Q1499" s="29"/>
      <c r="R1499" s="29"/>
      <c r="S1499" s="29"/>
      <c r="T1499" s="29"/>
      <c r="U1499" s="29"/>
      <c r="V1499" s="29"/>
      <c r="W1499" s="29"/>
      <c r="X1499" s="29"/>
      <c r="Y1499" s="29"/>
      <c r="Z1499" s="29"/>
      <c r="AA1499" s="29"/>
      <c r="AB1499" s="29"/>
      <c r="AC1499" s="29"/>
      <c r="AD1499" s="29"/>
      <c r="AE1499" s="29"/>
      <c r="AF1499" s="29"/>
    </row>
    <row r="1501" spans="2:32">
      <c r="B1501" s="29"/>
      <c r="C1501" s="29"/>
      <c r="D1501" s="29"/>
      <c r="E1501" s="29"/>
      <c r="F1501" s="29"/>
      <c r="G1501" s="29"/>
      <c r="H1501" s="29"/>
      <c r="I1501" s="29"/>
      <c r="J1501" s="29"/>
      <c r="K1501" s="29"/>
      <c r="L1501" s="29"/>
      <c r="M1501" s="29"/>
      <c r="N1501" s="29"/>
      <c r="O1501" s="29"/>
      <c r="P1501" s="29"/>
      <c r="Q1501" s="29"/>
      <c r="R1501" s="29"/>
      <c r="S1501" s="29"/>
      <c r="T1501" s="29"/>
      <c r="U1501" s="29"/>
      <c r="V1501" s="29"/>
      <c r="W1501" s="29"/>
      <c r="X1501" s="29"/>
      <c r="Y1501" s="29"/>
      <c r="Z1501" s="29"/>
      <c r="AA1501" s="29"/>
      <c r="AB1501" s="29"/>
      <c r="AC1501" s="29"/>
      <c r="AD1501" s="29"/>
      <c r="AE1501" s="29"/>
      <c r="AF1501" s="29"/>
    </row>
    <row r="1502" spans="2:32">
      <c r="B1502" s="289"/>
      <c r="C1502" s="289"/>
      <c r="D1502" s="289"/>
      <c r="E1502" s="289"/>
      <c r="F1502" s="289"/>
      <c r="G1502" s="289"/>
      <c r="H1502" s="289"/>
      <c r="I1502" s="289"/>
      <c r="J1502" s="289"/>
      <c r="K1502" s="289"/>
      <c r="L1502" s="289"/>
      <c r="M1502" s="289"/>
      <c r="N1502" s="289"/>
      <c r="O1502" s="289"/>
      <c r="P1502" s="289"/>
      <c r="Q1502" s="289"/>
      <c r="R1502" s="289"/>
      <c r="S1502" s="289"/>
      <c r="T1502" s="289"/>
      <c r="U1502" s="289"/>
      <c r="V1502" s="289"/>
      <c r="W1502" s="289"/>
      <c r="X1502" s="289"/>
      <c r="Y1502" s="289"/>
      <c r="Z1502" s="289"/>
      <c r="AA1502" s="289"/>
      <c r="AB1502" s="289"/>
      <c r="AC1502" s="289"/>
      <c r="AD1502" s="289"/>
      <c r="AE1502" s="289"/>
      <c r="AF1502" s="289"/>
    </row>
    <row r="1603" spans="2:32">
      <c r="B1603" s="29"/>
      <c r="C1603" s="29"/>
      <c r="D1603" s="29"/>
      <c r="E1603" s="29"/>
      <c r="F1603" s="29"/>
      <c r="G1603" s="29"/>
      <c r="H1603" s="29"/>
      <c r="I1603" s="29"/>
      <c r="J1603" s="29"/>
      <c r="K1603" s="29"/>
      <c r="L1603" s="29"/>
      <c r="M1603" s="29"/>
      <c r="N1603" s="29"/>
      <c r="O1603" s="29"/>
      <c r="P1603" s="29"/>
      <c r="Q1603" s="29"/>
      <c r="R1603" s="29"/>
      <c r="S1603" s="29"/>
      <c r="T1603" s="29"/>
      <c r="U1603" s="29"/>
      <c r="V1603" s="29"/>
      <c r="W1603" s="29"/>
      <c r="X1603" s="29"/>
      <c r="Y1603" s="29"/>
      <c r="Z1603" s="29"/>
      <c r="AA1603" s="29"/>
      <c r="AB1603" s="29"/>
      <c r="AC1603" s="29"/>
      <c r="AD1603" s="29"/>
      <c r="AE1603" s="29"/>
      <c r="AF1603" s="29"/>
    </row>
    <row r="1604" spans="2:32">
      <c r="B1604" s="289"/>
      <c r="C1604" s="289"/>
      <c r="D1604" s="289"/>
      <c r="E1604" s="289"/>
      <c r="F1604" s="289"/>
      <c r="G1604" s="289"/>
      <c r="H1604" s="289"/>
      <c r="I1604" s="289"/>
      <c r="J1604" s="289"/>
      <c r="K1604" s="289"/>
      <c r="L1604" s="289"/>
      <c r="M1604" s="289"/>
      <c r="N1604" s="289"/>
      <c r="O1604" s="289"/>
      <c r="P1604" s="289"/>
      <c r="Q1604" s="289"/>
      <c r="R1604" s="289"/>
      <c r="S1604" s="289"/>
      <c r="T1604" s="289"/>
      <c r="U1604" s="289"/>
      <c r="V1604" s="289"/>
      <c r="W1604" s="289"/>
      <c r="X1604" s="289"/>
      <c r="Y1604" s="289"/>
      <c r="Z1604" s="289"/>
      <c r="AA1604" s="289"/>
      <c r="AB1604" s="289"/>
      <c r="AC1604" s="289"/>
      <c r="AD1604" s="289"/>
      <c r="AE1604" s="289"/>
      <c r="AF1604" s="289"/>
    </row>
    <row r="1612" spans="2:32">
      <c r="B1612" s="29"/>
      <c r="C1612" s="29"/>
      <c r="D1612" s="29"/>
      <c r="E1612" s="29"/>
      <c r="F1612" s="29"/>
      <c r="G1612" s="29"/>
      <c r="H1612" s="29"/>
      <c r="I1612" s="29"/>
      <c r="J1612" s="29"/>
      <c r="K1612" s="29"/>
      <c r="L1612" s="29"/>
      <c r="M1612" s="29"/>
      <c r="N1612" s="29"/>
      <c r="O1612" s="29"/>
      <c r="P1612" s="29"/>
      <c r="Q1612" s="29"/>
      <c r="R1612" s="29"/>
      <c r="S1612" s="29"/>
      <c r="T1612" s="29"/>
      <c r="U1612" s="29"/>
      <c r="V1612" s="29"/>
      <c r="W1612" s="29"/>
      <c r="X1612" s="29"/>
      <c r="Y1612" s="29"/>
      <c r="Z1612" s="29"/>
      <c r="AA1612" s="29"/>
      <c r="AB1612" s="29"/>
      <c r="AC1612" s="29"/>
      <c r="AD1612" s="29"/>
      <c r="AE1612" s="29"/>
      <c r="AF1612" s="29"/>
    </row>
    <row r="1613" spans="2:32">
      <c r="B1613" s="29"/>
      <c r="C1613" s="29"/>
      <c r="D1613" s="29"/>
      <c r="E1613" s="29"/>
      <c r="F1613" s="29"/>
      <c r="G1613" s="29"/>
      <c r="H1613" s="29"/>
      <c r="I1613" s="29"/>
      <c r="J1613" s="29"/>
      <c r="K1613" s="29"/>
      <c r="L1613" s="29"/>
      <c r="M1613" s="29"/>
      <c r="N1613" s="29"/>
      <c r="O1613" s="29"/>
      <c r="P1613" s="29"/>
      <c r="Q1613" s="29"/>
      <c r="R1613" s="29"/>
      <c r="S1613" s="29"/>
      <c r="T1613" s="29"/>
      <c r="U1613" s="29"/>
      <c r="V1613" s="29"/>
      <c r="W1613" s="29"/>
      <c r="X1613" s="29"/>
      <c r="Y1613" s="29"/>
      <c r="Z1613" s="29"/>
      <c r="AA1613" s="29"/>
      <c r="AB1613" s="29"/>
      <c r="AC1613" s="29"/>
      <c r="AD1613" s="29"/>
      <c r="AE1613" s="29"/>
      <c r="AF1613" s="29"/>
    </row>
    <row r="1614" spans="2:32">
      <c r="B1614" s="29"/>
      <c r="C1614" s="29"/>
      <c r="D1614" s="29"/>
      <c r="E1614" s="29"/>
      <c r="F1614" s="29"/>
      <c r="G1614" s="29"/>
      <c r="H1614" s="29"/>
      <c r="I1614" s="29"/>
      <c r="J1614" s="29"/>
      <c r="K1614" s="29"/>
      <c r="L1614" s="29"/>
      <c r="M1614" s="29"/>
      <c r="N1614" s="29"/>
      <c r="O1614" s="29"/>
      <c r="P1614" s="29"/>
      <c r="Q1614" s="29"/>
      <c r="R1614" s="29"/>
      <c r="S1614" s="29"/>
      <c r="T1614" s="29"/>
      <c r="U1614" s="29"/>
      <c r="V1614" s="29"/>
      <c r="W1614" s="29"/>
      <c r="X1614" s="29"/>
      <c r="Y1614" s="29"/>
      <c r="Z1614" s="29"/>
      <c r="AA1614" s="29"/>
      <c r="AB1614" s="29"/>
      <c r="AC1614" s="29"/>
      <c r="AD1614" s="29"/>
      <c r="AE1614" s="29"/>
      <c r="AF1614" s="29"/>
    </row>
    <row r="1615" spans="2:32">
      <c r="B1615" s="29"/>
      <c r="C1615" s="29"/>
      <c r="D1615" s="29"/>
      <c r="E1615" s="29"/>
      <c r="F1615" s="29"/>
      <c r="G1615" s="29"/>
      <c r="H1615" s="29"/>
      <c r="I1615" s="29"/>
      <c r="J1615" s="29"/>
      <c r="K1615" s="29"/>
      <c r="L1615" s="29"/>
      <c r="M1615" s="29"/>
      <c r="N1615" s="29"/>
      <c r="O1615" s="29"/>
      <c r="P1615" s="29"/>
      <c r="Q1615" s="29"/>
      <c r="R1615" s="29"/>
      <c r="S1615" s="29"/>
      <c r="T1615" s="29"/>
      <c r="U1615" s="29"/>
      <c r="V1615" s="29"/>
      <c r="W1615" s="29"/>
      <c r="X1615" s="29"/>
      <c r="Y1615" s="29"/>
      <c r="Z1615" s="29"/>
      <c r="AA1615" s="29"/>
      <c r="AB1615" s="29"/>
      <c r="AC1615" s="29"/>
      <c r="AD1615" s="29"/>
      <c r="AE1615" s="29"/>
      <c r="AF1615" s="29"/>
    </row>
    <row r="1616" spans="2:32">
      <c r="B1616" s="29"/>
      <c r="C1616" s="29"/>
      <c r="D1616" s="29"/>
      <c r="E1616" s="29"/>
      <c r="F1616" s="29"/>
      <c r="G1616" s="29"/>
      <c r="H1616" s="29"/>
      <c r="I1616" s="29"/>
      <c r="J1616" s="29"/>
      <c r="K1616" s="29"/>
      <c r="L1616" s="29"/>
      <c r="M1616" s="29"/>
      <c r="N1616" s="29"/>
      <c r="O1616" s="29"/>
      <c r="P1616" s="29"/>
      <c r="Q1616" s="29"/>
      <c r="R1616" s="29"/>
      <c r="S1616" s="29"/>
      <c r="T1616" s="29"/>
      <c r="U1616" s="29"/>
      <c r="V1616" s="29"/>
      <c r="W1616" s="29"/>
      <c r="X1616" s="29"/>
      <c r="Y1616" s="29"/>
      <c r="Z1616" s="29"/>
      <c r="AA1616" s="29"/>
      <c r="AB1616" s="29"/>
      <c r="AC1616" s="29"/>
      <c r="AD1616" s="29"/>
      <c r="AE1616" s="29"/>
      <c r="AF1616" s="29"/>
    </row>
    <row r="1697" spans="2:32">
      <c r="B1697" s="29"/>
      <c r="C1697" s="29"/>
      <c r="D1697" s="29"/>
      <c r="E1697" s="29"/>
      <c r="F1697" s="29"/>
      <c r="G1697" s="29"/>
      <c r="H1697" s="29"/>
      <c r="I1697" s="29"/>
      <c r="J1697" s="29"/>
      <c r="K1697" s="29"/>
      <c r="L1697" s="29"/>
      <c r="M1697" s="29"/>
      <c r="N1697" s="29"/>
      <c r="O1697" s="29"/>
      <c r="P1697" s="29"/>
      <c r="Q1697" s="29"/>
      <c r="R1697" s="29"/>
      <c r="S1697" s="29"/>
      <c r="T1697" s="29"/>
      <c r="U1697" s="29"/>
      <c r="V1697" s="29"/>
      <c r="W1697" s="29"/>
      <c r="X1697" s="29"/>
      <c r="Y1697" s="29"/>
      <c r="Z1697" s="29"/>
      <c r="AA1697" s="29"/>
      <c r="AB1697" s="29"/>
      <c r="AC1697" s="29"/>
      <c r="AD1697" s="29"/>
      <c r="AE1697" s="29"/>
      <c r="AF1697" s="29"/>
    </row>
    <row r="1698" spans="2:32">
      <c r="B1698" s="29"/>
      <c r="C1698" s="29"/>
      <c r="D1698" s="29"/>
      <c r="E1698" s="29"/>
      <c r="F1698" s="29"/>
      <c r="G1698" s="29"/>
      <c r="H1698" s="29"/>
      <c r="I1698" s="29"/>
      <c r="J1698" s="29"/>
      <c r="K1698" s="29"/>
      <c r="L1698" s="29"/>
      <c r="M1698" s="29"/>
      <c r="N1698" s="29"/>
      <c r="O1698" s="29"/>
      <c r="P1698" s="29"/>
      <c r="Q1698" s="29"/>
      <c r="R1698" s="29"/>
      <c r="S1698" s="29"/>
      <c r="T1698" s="29"/>
      <c r="U1698" s="29"/>
      <c r="V1698" s="29"/>
      <c r="W1698" s="29"/>
      <c r="X1698" s="29"/>
      <c r="Y1698" s="29"/>
      <c r="Z1698" s="29"/>
      <c r="AA1698" s="29"/>
      <c r="AB1698" s="29"/>
      <c r="AC1698" s="29"/>
      <c r="AD1698" s="29"/>
      <c r="AE1698" s="29"/>
      <c r="AF1698" s="29"/>
    </row>
    <row r="1699" spans="2:32">
      <c r="B1699" s="289"/>
      <c r="C1699" s="289"/>
      <c r="D1699" s="289"/>
      <c r="E1699" s="289"/>
      <c r="F1699" s="289"/>
      <c r="G1699" s="289"/>
      <c r="H1699" s="289"/>
      <c r="I1699" s="289"/>
      <c r="J1699" s="289"/>
      <c r="K1699" s="289"/>
      <c r="L1699" s="289"/>
      <c r="M1699" s="289"/>
      <c r="N1699" s="289"/>
      <c r="O1699" s="289"/>
      <c r="P1699" s="289"/>
      <c r="Q1699" s="289"/>
      <c r="R1699" s="289"/>
      <c r="S1699" s="289"/>
      <c r="T1699" s="289"/>
      <c r="U1699" s="289"/>
      <c r="V1699" s="289"/>
      <c r="W1699" s="289"/>
      <c r="X1699" s="289"/>
      <c r="Y1699" s="289"/>
      <c r="Z1699" s="289"/>
      <c r="AA1699" s="289"/>
      <c r="AB1699" s="289"/>
      <c r="AC1699" s="289"/>
      <c r="AD1699" s="289"/>
      <c r="AE1699" s="289"/>
      <c r="AF1699" s="289"/>
    </row>
    <row r="1944" spans="2:32">
      <c r="B1944" s="29"/>
      <c r="C1944" s="29"/>
      <c r="D1944" s="29"/>
      <c r="E1944" s="29"/>
      <c r="F1944" s="29"/>
      <c r="G1944" s="29"/>
      <c r="H1944" s="29"/>
      <c r="I1944" s="29"/>
      <c r="J1944" s="29"/>
      <c r="K1944" s="29"/>
      <c r="L1944" s="29"/>
      <c r="M1944" s="29"/>
      <c r="N1944" s="29"/>
      <c r="O1944" s="29"/>
      <c r="P1944" s="29"/>
      <c r="Q1944" s="29"/>
      <c r="R1944" s="29"/>
      <c r="S1944" s="29"/>
      <c r="T1944" s="29"/>
      <c r="U1944" s="29"/>
      <c r="V1944" s="29"/>
      <c r="W1944" s="29"/>
      <c r="X1944" s="29"/>
      <c r="Y1944" s="29"/>
      <c r="Z1944" s="29"/>
      <c r="AA1944" s="29"/>
      <c r="AB1944" s="29"/>
      <c r="AC1944" s="29"/>
      <c r="AD1944" s="29"/>
      <c r="AE1944" s="29"/>
      <c r="AF1944" s="29"/>
    </row>
    <row r="1945" spans="2:32">
      <c r="B1945" s="289"/>
      <c r="C1945" s="289"/>
      <c r="D1945" s="289"/>
      <c r="E1945" s="289"/>
      <c r="F1945" s="289"/>
      <c r="G1945" s="289"/>
      <c r="H1945" s="289"/>
      <c r="I1945" s="289"/>
      <c r="J1945" s="289"/>
      <c r="K1945" s="289"/>
      <c r="L1945" s="289"/>
      <c r="M1945" s="289"/>
      <c r="N1945" s="289"/>
      <c r="O1945" s="289"/>
      <c r="P1945" s="289"/>
      <c r="Q1945" s="289"/>
      <c r="R1945" s="289"/>
      <c r="S1945" s="289"/>
      <c r="T1945" s="289"/>
      <c r="U1945" s="289"/>
      <c r="V1945" s="289"/>
      <c r="W1945" s="289"/>
      <c r="X1945" s="289"/>
      <c r="Y1945" s="289"/>
      <c r="Z1945" s="289"/>
      <c r="AA1945" s="289"/>
      <c r="AB1945" s="289"/>
      <c r="AC1945" s="289"/>
      <c r="AD1945" s="289"/>
      <c r="AE1945" s="289"/>
      <c r="AF1945" s="289"/>
    </row>
    <row r="2021" spans="2:32">
      <c r="B2021" s="29"/>
      <c r="C2021" s="29"/>
      <c r="D2021" s="29"/>
      <c r="E2021" s="29"/>
      <c r="F2021" s="29"/>
      <c r="G2021" s="29"/>
      <c r="H2021" s="29"/>
      <c r="I2021" s="29"/>
      <c r="J2021" s="29"/>
      <c r="K2021" s="29"/>
      <c r="L2021" s="29"/>
      <c r="M2021" s="29"/>
      <c r="N2021" s="29"/>
      <c r="O2021" s="29"/>
      <c r="P2021" s="29"/>
      <c r="Q2021" s="29"/>
      <c r="R2021" s="29"/>
      <c r="S2021" s="29"/>
      <c r="T2021" s="29"/>
      <c r="U2021" s="29"/>
      <c r="V2021" s="29"/>
      <c r="W2021" s="29"/>
      <c r="X2021" s="29"/>
      <c r="Y2021" s="29"/>
      <c r="Z2021" s="29"/>
      <c r="AA2021" s="29"/>
      <c r="AB2021" s="29"/>
      <c r="AC2021" s="29"/>
      <c r="AD2021" s="29"/>
      <c r="AE2021" s="29"/>
      <c r="AF2021" s="29"/>
    </row>
    <row r="2030" spans="2:32">
      <c r="B2030" s="29"/>
      <c r="C2030" s="29"/>
      <c r="D2030" s="29"/>
      <c r="E2030" s="29"/>
      <c r="F2030" s="29"/>
      <c r="G2030" s="29"/>
      <c r="H2030" s="29"/>
      <c r="I2030" s="29"/>
      <c r="J2030" s="29"/>
      <c r="K2030" s="29"/>
      <c r="L2030" s="29"/>
      <c r="M2030" s="29"/>
      <c r="N2030" s="29"/>
      <c r="O2030" s="29"/>
      <c r="P2030" s="29"/>
      <c r="Q2030" s="29"/>
      <c r="R2030" s="29"/>
      <c r="S2030" s="29"/>
      <c r="T2030" s="29"/>
      <c r="U2030" s="29"/>
      <c r="V2030" s="29"/>
      <c r="W2030" s="29"/>
      <c r="X2030" s="29"/>
      <c r="Y2030" s="29"/>
      <c r="Z2030" s="29"/>
      <c r="AA2030" s="29"/>
      <c r="AB2030" s="29"/>
      <c r="AC2030" s="29"/>
      <c r="AD2030" s="29"/>
      <c r="AE2030" s="29"/>
      <c r="AF2030" s="29"/>
    </row>
    <row r="2031" spans="2:32">
      <c r="B2031" s="289"/>
      <c r="C2031" s="289"/>
      <c r="D2031" s="289"/>
      <c r="E2031" s="289"/>
      <c r="F2031" s="289"/>
      <c r="G2031" s="289"/>
      <c r="H2031" s="289"/>
      <c r="I2031" s="289"/>
      <c r="J2031" s="289"/>
      <c r="K2031" s="289"/>
      <c r="L2031" s="289"/>
      <c r="M2031" s="289"/>
      <c r="N2031" s="289"/>
      <c r="O2031" s="289"/>
      <c r="P2031" s="289"/>
      <c r="Q2031" s="289"/>
      <c r="R2031" s="289"/>
      <c r="S2031" s="289"/>
      <c r="T2031" s="289"/>
      <c r="U2031" s="289"/>
      <c r="V2031" s="289"/>
      <c r="W2031" s="289"/>
      <c r="X2031" s="289"/>
      <c r="Y2031" s="289"/>
      <c r="Z2031" s="289"/>
      <c r="AA2031" s="289"/>
      <c r="AB2031" s="289"/>
      <c r="AC2031" s="289"/>
      <c r="AD2031" s="289"/>
      <c r="AE2031" s="289"/>
      <c r="AF2031" s="289"/>
    </row>
    <row r="2147" spans="2:32">
      <c r="B2147" s="29"/>
      <c r="C2147" s="29"/>
      <c r="D2147" s="29"/>
      <c r="E2147" s="29"/>
      <c r="F2147" s="29"/>
      <c r="G2147" s="29"/>
      <c r="H2147" s="29"/>
      <c r="I2147" s="29"/>
      <c r="J2147" s="29"/>
      <c r="K2147" s="29"/>
      <c r="L2147" s="29"/>
      <c r="M2147" s="29"/>
      <c r="N2147" s="29"/>
      <c r="O2147" s="29"/>
      <c r="P2147" s="29"/>
      <c r="Q2147" s="29"/>
      <c r="R2147" s="29"/>
      <c r="S2147" s="29"/>
      <c r="T2147" s="29"/>
      <c r="U2147" s="29"/>
      <c r="V2147" s="29"/>
      <c r="W2147" s="29"/>
      <c r="X2147" s="29"/>
      <c r="Y2147" s="29"/>
      <c r="Z2147" s="29"/>
      <c r="AA2147" s="29"/>
      <c r="AB2147" s="29"/>
      <c r="AC2147" s="29"/>
      <c r="AD2147" s="29"/>
      <c r="AE2147" s="29"/>
      <c r="AF2147" s="29"/>
    </row>
    <row r="2149" spans="2:32">
      <c r="B2149" s="29"/>
      <c r="C2149" s="29"/>
      <c r="D2149" s="29"/>
      <c r="E2149" s="29"/>
      <c r="F2149" s="29"/>
      <c r="G2149" s="29"/>
      <c r="H2149" s="29"/>
      <c r="I2149" s="29"/>
      <c r="J2149" s="29"/>
      <c r="K2149" s="29"/>
      <c r="L2149" s="29"/>
      <c r="M2149" s="29"/>
      <c r="N2149" s="29"/>
      <c r="O2149" s="29"/>
      <c r="P2149" s="29"/>
      <c r="Q2149" s="29"/>
      <c r="R2149" s="29"/>
      <c r="S2149" s="29"/>
      <c r="T2149" s="29"/>
      <c r="U2149" s="29"/>
      <c r="V2149" s="29"/>
      <c r="W2149" s="29"/>
      <c r="X2149" s="29"/>
      <c r="Y2149" s="29"/>
      <c r="Z2149" s="29"/>
      <c r="AA2149" s="29"/>
      <c r="AB2149" s="29"/>
      <c r="AC2149" s="29"/>
      <c r="AD2149" s="29"/>
      <c r="AE2149" s="29"/>
      <c r="AF2149" s="29"/>
    </row>
    <row r="2150" spans="2:32">
      <c r="B2150" s="29"/>
      <c r="C2150" s="29"/>
      <c r="D2150" s="29"/>
      <c r="E2150" s="29"/>
      <c r="F2150" s="29"/>
      <c r="G2150" s="29"/>
      <c r="H2150" s="29"/>
      <c r="I2150" s="29"/>
      <c r="J2150" s="29"/>
      <c r="K2150" s="29"/>
      <c r="L2150" s="29"/>
      <c r="M2150" s="29"/>
      <c r="N2150" s="29"/>
      <c r="O2150" s="29"/>
      <c r="P2150" s="29"/>
      <c r="Q2150" s="29"/>
      <c r="R2150" s="29"/>
      <c r="S2150" s="29"/>
      <c r="T2150" s="29"/>
      <c r="U2150" s="29"/>
      <c r="V2150" s="29"/>
      <c r="W2150" s="29"/>
      <c r="X2150" s="29"/>
      <c r="Y2150" s="29"/>
      <c r="Z2150" s="29"/>
      <c r="AA2150" s="29"/>
      <c r="AB2150" s="29"/>
      <c r="AC2150" s="29"/>
      <c r="AD2150" s="29"/>
      <c r="AE2150" s="29"/>
      <c r="AF2150" s="29"/>
    </row>
    <row r="2152" spans="2:32">
      <c r="B2152" s="29"/>
      <c r="C2152" s="29"/>
      <c r="D2152" s="29"/>
      <c r="E2152" s="29"/>
      <c r="F2152" s="29"/>
      <c r="G2152" s="29"/>
      <c r="H2152" s="29"/>
      <c r="I2152" s="29"/>
      <c r="J2152" s="29"/>
      <c r="K2152" s="29"/>
      <c r="L2152" s="29"/>
      <c r="M2152" s="29"/>
      <c r="N2152" s="29"/>
      <c r="O2152" s="29"/>
      <c r="P2152" s="29"/>
      <c r="Q2152" s="29"/>
      <c r="R2152" s="29"/>
      <c r="S2152" s="29"/>
      <c r="T2152" s="29"/>
      <c r="U2152" s="29"/>
      <c r="V2152" s="29"/>
      <c r="W2152" s="29"/>
      <c r="X2152" s="29"/>
      <c r="Y2152" s="29"/>
      <c r="Z2152" s="29"/>
      <c r="AA2152" s="29"/>
      <c r="AB2152" s="29"/>
      <c r="AC2152" s="29"/>
      <c r="AD2152" s="29"/>
      <c r="AE2152" s="29"/>
      <c r="AF2152" s="29"/>
    </row>
    <row r="2153" spans="2:32">
      <c r="B2153" s="289"/>
      <c r="C2153" s="289"/>
      <c r="D2153" s="289"/>
      <c r="E2153" s="289"/>
      <c r="F2153" s="289"/>
      <c r="G2153" s="289"/>
      <c r="H2153" s="289"/>
      <c r="I2153" s="289"/>
      <c r="J2153" s="289"/>
      <c r="K2153" s="289"/>
      <c r="L2153" s="289"/>
      <c r="M2153" s="289"/>
      <c r="N2153" s="289"/>
      <c r="O2153" s="289"/>
      <c r="P2153" s="289"/>
      <c r="Q2153" s="289"/>
      <c r="R2153" s="289"/>
      <c r="S2153" s="289"/>
      <c r="T2153" s="289"/>
      <c r="U2153" s="289"/>
      <c r="V2153" s="289"/>
      <c r="W2153" s="289"/>
      <c r="X2153" s="289"/>
      <c r="Y2153" s="289"/>
      <c r="Z2153" s="289"/>
      <c r="AA2153" s="289"/>
      <c r="AB2153" s="289"/>
      <c r="AC2153" s="289"/>
      <c r="AD2153" s="289"/>
      <c r="AE2153" s="289"/>
      <c r="AF2153" s="289"/>
    </row>
    <row r="2316" spans="2:32">
      <c r="B2316" s="29"/>
      <c r="C2316" s="29"/>
      <c r="D2316" s="29"/>
      <c r="E2316" s="29"/>
      <c r="F2316" s="29"/>
      <c r="G2316" s="29"/>
      <c r="H2316" s="29"/>
      <c r="I2316" s="29"/>
      <c r="J2316" s="29"/>
      <c r="K2316" s="29"/>
      <c r="L2316" s="29"/>
      <c r="M2316" s="29"/>
      <c r="N2316" s="29"/>
      <c r="O2316" s="29"/>
      <c r="P2316" s="29"/>
      <c r="Q2316" s="29"/>
      <c r="R2316" s="29"/>
      <c r="S2316" s="29"/>
      <c r="T2316" s="29"/>
      <c r="U2316" s="29"/>
      <c r="V2316" s="29"/>
      <c r="W2316" s="29"/>
      <c r="X2316" s="29"/>
      <c r="Y2316" s="29"/>
      <c r="Z2316" s="29"/>
      <c r="AA2316" s="29"/>
      <c r="AB2316" s="29"/>
      <c r="AC2316" s="29"/>
      <c r="AD2316" s="29"/>
      <c r="AE2316" s="29"/>
      <c r="AF2316" s="29"/>
    </row>
    <row r="2317" spans="2:32">
      <c r="B2317" s="289"/>
      <c r="C2317" s="289"/>
      <c r="D2317" s="289"/>
      <c r="E2317" s="289"/>
      <c r="F2317" s="289"/>
      <c r="G2317" s="289"/>
      <c r="H2317" s="289"/>
      <c r="I2317" s="289"/>
      <c r="J2317" s="289"/>
      <c r="K2317" s="289"/>
      <c r="L2317" s="289"/>
      <c r="M2317" s="289"/>
      <c r="N2317" s="289"/>
      <c r="O2317" s="289"/>
      <c r="P2317" s="289"/>
      <c r="Q2317" s="289"/>
      <c r="R2317" s="289"/>
      <c r="S2317" s="289"/>
      <c r="T2317" s="289"/>
      <c r="U2317" s="289"/>
      <c r="V2317" s="289"/>
      <c r="W2317" s="289"/>
      <c r="X2317" s="289"/>
      <c r="Y2317" s="289"/>
      <c r="Z2317" s="289"/>
      <c r="AA2317" s="289"/>
      <c r="AB2317" s="289"/>
      <c r="AC2317" s="289"/>
      <c r="AD2317" s="289"/>
      <c r="AE2317" s="289"/>
      <c r="AF2317" s="289"/>
    </row>
    <row r="2418" spans="2:32">
      <c r="B2418" s="29"/>
      <c r="C2418" s="29"/>
      <c r="D2418" s="29"/>
      <c r="E2418" s="29"/>
      <c r="F2418" s="29"/>
      <c r="G2418" s="29"/>
      <c r="H2418" s="29"/>
      <c r="I2418" s="29"/>
      <c r="J2418" s="29"/>
      <c r="K2418" s="29"/>
      <c r="L2418" s="29"/>
      <c r="M2418" s="29"/>
      <c r="N2418" s="29"/>
      <c r="O2418" s="29"/>
      <c r="P2418" s="29"/>
      <c r="Q2418" s="29"/>
      <c r="R2418" s="29"/>
      <c r="S2418" s="29"/>
      <c r="T2418" s="29"/>
      <c r="U2418" s="29"/>
      <c r="V2418" s="29"/>
      <c r="W2418" s="29"/>
      <c r="X2418" s="29"/>
      <c r="Y2418" s="29"/>
      <c r="Z2418" s="29"/>
      <c r="AA2418" s="29"/>
      <c r="AB2418" s="29"/>
      <c r="AC2418" s="29"/>
      <c r="AD2418" s="29"/>
      <c r="AE2418" s="29"/>
      <c r="AF2418" s="29"/>
    </row>
    <row r="2419" spans="2:32">
      <c r="B2419" s="289"/>
      <c r="C2419" s="289"/>
      <c r="D2419" s="289"/>
      <c r="E2419" s="289"/>
      <c r="F2419" s="289"/>
      <c r="G2419" s="289"/>
      <c r="H2419" s="289"/>
      <c r="I2419" s="289"/>
      <c r="J2419" s="289"/>
      <c r="K2419" s="289"/>
      <c r="L2419" s="289"/>
      <c r="M2419" s="289"/>
      <c r="N2419" s="289"/>
      <c r="O2419" s="289"/>
      <c r="P2419" s="289"/>
      <c r="Q2419" s="289"/>
      <c r="R2419" s="289"/>
      <c r="S2419" s="289"/>
      <c r="T2419" s="289"/>
      <c r="U2419" s="289"/>
      <c r="V2419" s="289"/>
      <c r="W2419" s="289"/>
      <c r="X2419" s="289"/>
      <c r="Y2419" s="289"/>
      <c r="Z2419" s="289"/>
      <c r="AA2419" s="289"/>
      <c r="AB2419" s="289"/>
      <c r="AC2419" s="289"/>
      <c r="AD2419" s="289"/>
      <c r="AE2419" s="289"/>
      <c r="AF2419" s="289"/>
    </row>
    <row r="2497" spans="2:32">
      <c r="B2497" s="29"/>
      <c r="C2497" s="29"/>
      <c r="D2497" s="29"/>
      <c r="E2497" s="29"/>
      <c r="F2497" s="29"/>
      <c r="G2497" s="29"/>
      <c r="H2497" s="29"/>
      <c r="I2497" s="29"/>
      <c r="J2497" s="29"/>
      <c r="K2497" s="29"/>
      <c r="L2497" s="29"/>
      <c r="M2497" s="29"/>
      <c r="N2497" s="29"/>
      <c r="O2497" s="29"/>
      <c r="P2497" s="29"/>
      <c r="Q2497" s="29"/>
      <c r="R2497" s="29"/>
      <c r="S2497" s="29"/>
      <c r="T2497" s="29"/>
      <c r="U2497" s="29"/>
      <c r="V2497" s="29"/>
      <c r="W2497" s="29"/>
      <c r="X2497" s="29"/>
      <c r="Y2497" s="29"/>
      <c r="Z2497" s="29"/>
      <c r="AA2497" s="29"/>
      <c r="AB2497" s="29"/>
      <c r="AC2497" s="29"/>
      <c r="AD2497" s="29"/>
      <c r="AE2497" s="29"/>
      <c r="AF2497" s="29"/>
    </row>
    <row r="2503" spans="2:32">
      <c r="B2503" s="29"/>
      <c r="C2503" s="29"/>
      <c r="D2503" s="29"/>
      <c r="E2503" s="29"/>
      <c r="F2503" s="29"/>
      <c r="G2503" s="29"/>
      <c r="H2503" s="29"/>
      <c r="I2503" s="29"/>
      <c r="J2503" s="29"/>
      <c r="K2503" s="29"/>
      <c r="L2503" s="29"/>
      <c r="M2503" s="29"/>
      <c r="N2503" s="29"/>
      <c r="O2503" s="29"/>
      <c r="P2503" s="29"/>
      <c r="Q2503" s="29"/>
      <c r="R2503" s="29"/>
      <c r="S2503" s="29"/>
      <c r="T2503" s="29"/>
      <c r="U2503" s="29"/>
      <c r="V2503" s="29"/>
      <c r="W2503" s="29"/>
      <c r="X2503" s="29"/>
      <c r="Y2503" s="29"/>
      <c r="Z2503" s="29"/>
      <c r="AA2503" s="29"/>
      <c r="AB2503" s="29"/>
      <c r="AC2503" s="29"/>
      <c r="AD2503" s="29"/>
      <c r="AE2503" s="29"/>
      <c r="AF2503" s="29"/>
    </row>
    <row r="2508" spans="2:32">
      <c r="B2508" s="29"/>
      <c r="C2508" s="29"/>
      <c r="D2508" s="29"/>
      <c r="E2508" s="29"/>
      <c r="F2508" s="29"/>
      <c r="G2508" s="29"/>
      <c r="H2508" s="29"/>
      <c r="I2508" s="29"/>
      <c r="J2508" s="29"/>
      <c r="K2508" s="29"/>
      <c r="L2508" s="29"/>
      <c r="M2508" s="29"/>
      <c r="N2508" s="29"/>
      <c r="O2508" s="29"/>
      <c r="P2508" s="29"/>
      <c r="Q2508" s="29"/>
      <c r="R2508" s="29"/>
      <c r="S2508" s="29"/>
      <c r="T2508" s="29"/>
      <c r="U2508" s="29"/>
      <c r="V2508" s="29"/>
      <c r="W2508" s="29"/>
      <c r="X2508" s="29"/>
      <c r="Y2508" s="29"/>
      <c r="Z2508" s="29"/>
      <c r="AA2508" s="29"/>
      <c r="AB2508" s="29"/>
      <c r="AC2508" s="29"/>
      <c r="AD2508" s="29"/>
      <c r="AE2508" s="29"/>
      <c r="AF2508" s="29"/>
    </row>
    <row r="2509" spans="2:32">
      <c r="B2509" s="289"/>
      <c r="C2509" s="289"/>
      <c r="D2509" s="289"/>
      <c r="E2509" s="289"/>
      <c r="F2509" s="289"/>
      <c r="G2509" s="289"/>
      <c r="H2509" s="289"/>
      <c r="I2509" s="289"/>
      <c r="J2509" s="289"/>
      <c r="K2509" s="289"/>
      <c r="L2509" s="289"/>
      <c r="M2509" s="289"/>
      <c r="N2509" s="289"/>
      <c r="O2509" s="289"/>
      <c r="P2509" s="289"/>
      <c r="Q2509" s="289"/>
      <c r="R2509" s="289"/>
      <c r="S2509" s="289"/>
      <c r="T2509" s="289"/>
      <c r="U2509" s="289"/>
      <c r="V2509" s="289"/>
      <c r="W2509" s="289"/>
      <c r="X2509" s="289"/>
      <c r="Y2509" s="289"/>
      <c r="Z2509" s="289"/>
      <c r="AA2509" s="289"/>
      <c r="AB2509" s="289"/>
      <c r="AC2509" s="289"/>
      <c r="AD2509" s="289"/>
      <c r="AE2509" s="289"/>
      <c r="AF2509" s="289"/>
    </row>
    <row r="2594" spans="2:32">
      <c r="B2594" s="29"/>
      <c r="C2594" s="29"/>
      <c r="D2594" s="29"/>
      <c r="E2594" s="29"/>
      <c r="F2594" s="29"/>
      <c r="G2594" s="29"/>
      <c r="H2594" s="29"/>
      <c r="I2594" s="29"/>
      <c r="J2594" s="29"/>
      <c r="K2594" s="29"/>
      <c r="L2594" s="29"/>
      <c r="M2594" s="29"/>
      <c r="N2594" s="29"/>
      <c r="O2594" s="29"/>
      <c r="P2594" s="29"/>
      <c r="Q2594" s="29"/>
      <c r="R2594" s="29"/>
      <c r="S2594" s="29"/>
      <c r="T2594" s="29"/>
      <c r="U2594" s="29"/>
      <c r="V2594" s="29"/>
      <c r="W2594" s="29"/>
      <c r="X2594" s="29"/>
      <c r="Y2594" s="29"/>
      <c r="Z2594" s="29"/>
      <c r="AA2594" s="29"/>
      <c r="AB2594" s="29"/>
      <c r="AC2594" s="29"/>
      <c r="AD2594" s="29"/>
      <c r="AE2594" s="29"/>
      <c r="AF2594" s="29"/>
    </row>
    <row r="2597" spans="2:32">
      <c r="B2597" s="29"/>
      <c r="C2597" s="29"/>
      <c r="D2597" s="29"/>
      <c r="E2597" s="29"/>
      <c r="F2597" s="29"/>
      <c r="G2597" s="29"/>
      <c r="H2597" s="29"/>
      <c r="I2597" s="29"/>
      <c r="J2597" s="29"/>
      <c r="K2597" s="29"/>
      <c r="L2597" s="29"/>
      <c r="M2597" s="29"/>
      <c r="N2597" s="29"/>
      <c r="O2597" s="29"/>
      <c r="P2597" s="29"/>
      <c r="Q2597" s="29"/>
      <c r="R2597" s="29"/>
      <c r="S2597" s="29"/>
      <c r="T2597" s="29"/>
      <c r="U2597" s="29"/>
      <c r="V2597" s="29"/>
      <c r="W2597" s="29"/>
      <c r="X2597" s="29"/>
      <c r="Y2597" s="29"/>
      <c r="Z2597" s="29"/>
      <c r="AA2597" s="29"/>
      <c r="AB2597" s="29"/>
      <c r="AC2597" s="29"/>
      <c r="AD2597" s="29"/>
      <c r="AE2597" s="29"/>
      <c r="AF2597" s="29"/>
    </row>
    <row r="2598" spans="2:32">
      <c r="B2598" s="289"/>
      <c r="C2598" s="289"/>
      <c r="D2598" s="289"/>
      <c r="E2598" s="289"/>
      <c r="F2598" s="289"/>
      <c r="G2598" s="289"/>
      <c r="H2598" s="289"/>
      <c r="I2598" s="289"/>
      <c r="J2598" s="289"/>
      <c r="K2598" s="289"/>
      <c r="L2598" s="289"/>
      <c r="M2598" s="289"/>
      <c r="N2598" s="289"/>
      <c r="O2598" s="289"/>
      <c r="P2598" s="289"/>
      <c r="Q2598" s="289"/>
      <c r="R2598" s="289"/>
      <c r="S2598" s="289"/>
      <c r="T2598" s="289"/>
      <c r="U2598" s="289"/>
      <c r="V2598" s="289"/>
      <c r="W2598" s="289"/>
      <c r="X2598" s="289"/>
      <c r="Y2598" s="289"/>
      <c r="Z2598" s="289"/>
      <c r="AA2598" s="289"/>
      <c r="AB2598" s="289"/>
      <c r="AC2598" s="289"/>
      <c r="AD2598" s="289"/>
      <c r="AE2598" s="289"/>
      <c r="AF2598" s="289"/>
    </row>
    <row r="2705" spans="2:32">
      <c r="B2705" s="29"/>
      <c r="C2705" s="29"/>
      <c r="D2705" s="29"/>
      <c r="E2705" s="29"/>
      <c r="F2705" s="29"/>
      <c r="G2705" s="29"/>
      <c r="H2705" s="29"/>
      <c r="I2705" s="29"/>
      <c r="J2705" s="29"/>
      <c r="K2705" s="29"/>
      <c r="L2705" s="29"/>
      <c r="M2705" s="29"/>
      <c r="N2705" s="29"/>
      <c r="O2705" s="29"/>
      <c r="P2705" s="29"/>
      <c r="Q2705" s="29"/>
      <c r="R2705" s="29"/>
      <c r="S2705" s="29"/>
      <c r="T2705" s="29"/>
      <c r="U2705" s="29"/>
      <c r="V2705" s="29"/>
      <c r="W2705" s="29"/>
      <c r="X2705" s="29"/>
      <c r="Y2705" s="29"/>
      <c r="Z2705" s="29"/>
      <c r="AA2705" s="29"/>
      <c r="AB2705" s="29"/>
      <c r="AC2705" s="29"/>
      <c r="AD2705" s="29"/>
      <c r="AE2705" s="29"/>
      <c r="AF2705" s="29"/>
    </row>
    <row r="2706" spans="2:32">
      <c r="B2706" s="29"/>
      <c r="C2706" s="29"/>
      <c r="D2706" s="29"/>
      <c r="E2706" s="29"/>
      <c r="F2706" s="29"/>
      <c r="G2706" s="29"/>
      <c r="H2706" s="29"/>
      <c r="I2706" s="29"/>
      <c r="J2706" s="29"/>
      <c r="K2706" s="29"/>
      <c r="L2706" s="29"/>
      <c r="M2706" s="29"/>
      <c r="N2706" s="29"/>
      <c r="O2706" s="29"/>
      <c r="P2706" s="29"/>
      <c r="Q2706" s="29"/>
      <c r="R2706" s="29"/>
      <c r="S2706" s="29"/>
      <c r="T2706" s="29"/>
      <c r="U2706" s="29"/>
      <c r="V2706" s="29"/>
      <c r="W2706" s="29"/>
      <c r="X2706" s="29"/>
      <c r="Y2706" s="29"/>
      <c r="Z2706" s="29"/>
      <c r="AA2706" s="29"/>
      <c r="AB2706" s="29"/>
      <c r="AC2706" s="29"/>
      <c r="AD2706" s="29"/>
      <c r="AE2706" s="29"/>
      <c r="AF2706" s="29"/>
    </row>
    <row r="2718" spans="2:32">
      <c r="B2718" s="29"/>
      <c r="C2718" s="29"/>
      <c r="D2718" s="29"/>
      <c r="E2718" s="29"/>
      <c r="F2718" s="29"/>
      <c r="G2718" s="29"/>
      <c r="H2718" s="29"/>
      <c r="I2718" s="29"/>
      <c r="J2718" s="29"/>
      <c r="K2718" s="29"/>
      <c r="L2718" s="29"/>
      <c r="M2718" s="29"/>
      <c r="N2718" s="29"/>
      <c r="O2718" s="29"/>
      <c r="P2718" s="29"/>
      <c r="Q2718" s="29"/>
      <c r="R2718" s="29"/>
      <c r="S2718" s="29"/>
      <c r="T2718" s="29"/>
      <c r="U2718" s="29"/>
      <c r="V2718" s="29"/>
      <c r="W2718" s="29"/>
      <c r="X2718" s="29"/>
      <c r="Y2718" s="29"/>
      <c r="Z2718" s="29"/>
      <c r="AA2718" s="29"/>
      <c r="AB2718" s="29"/>
      <c r="AC2718" s="29"/>
      <c r="AD2718" s="29"/>
      <c r="AE2718" s="29"/>
      <c r="AF2718" s="29"/>
    </row>
    <row r="2719" spans="2:32">
      <c r="B2719" s="289"/>
      <c r="C2719" s="289"/>
      <c r="D2719" s="289"/>
      <c r="E2719" s="289"/>
      <c r="F2719" s="289"/>
      <c r="G2719" s="289"/>
      <c r="H2719" s="289"/>
      <c r="I2719" s="289"/>
      <c r="J2719" s="289"/>
      <c r="K2719" s="289"/>
      <c r="L2719" s="289"/>
      <c r="M2719" s="289"/>
      <c r="N2719" s="289"/>
      <c r="O2719" s="289"/>
      <c r="P2719" s="289"/>
      <c r="Q2719" s="289"/>
      <c r="R2719" s="289"/>
      <c r="S2719" s="289"/>
      <c r="T2719" s="289"/>
      <c r="U2719" s="289"/>
      <c r="V2719" s="289"/>
      <c r="W2719" s="289"/>
      <c r="X2719" s="289"/>
      <c r="Y2719" s="289"/>
      <c r="Z2719" s="289"/>
      <c r="AA2719" s="289"/>
      <c r="AB2719" s="289"/>
      <c r="AC2719" s="289"/>
      <c r="AD2719" s="289"/>
      <c r="AE2719" s="289"/>
      <c r="AF2719" s="289"/>
    </row>
    <row r="2836" spans="2:32">
      <c r="B2836" s="29"/>
      <c r="C2836" s="29"/>
      <c r="D2836" s="29"/>
      <c r="E2836" s="29"/>
      <c r="F2836" s="29"/>
      <c r="G2836" s="29"/>
      <c r="H2836" s="29"/>
      <c r="I2836" s="29"/>
      <c r="J2836" s="29"/>
      <c r="K2836" s="29"/>
      <c r="L2836" s="29"/>
      <c r="M2836" s="29"/>
      <c r="N2836" s="29"/>
      <c r="O2836" s="29"/>
      <c r="P2836" s="29"/>
      <c r="Q2836" s="29"/>
      <c r="R2836" s="29"/>
      <c r="S2836" s="29"/>
      <c r="T2836" s="29"/>
      <c r="U2836" s="29"/>
      <c r="V2836" s="29"/>
      <c r="W2836" s="29"/>
      <c r="X2836" s="29"/>
      <c r="Y2836" s="29"/>
      <c r="Z2836" s="29"/>
      <c r="AA2836" s="29"/>
      <c r="AB2836" s="29"/>
      <c r="AC2836" s="29"/>
      <c r="AD2836" s="29"/>
      <c r="AE2836" s="29"/>
      <c r="AF2836" s="29"/>
    </row>
    <row r="2837" spans="2:32">
      <c r="B2837" s="289"/>
      <c r="C2837" s="289"/>
      <c r="D2837" s="289"/>
      <c r="E2837" s="289"/>
      <c r="F2837" s="289"/>
      <c r="G2837" s="289"/>
      <c r="H2837" s="289"/>
      <c r="I2837" s="289"/>
      <c r="J2837" s="289"/>
      <c r="K2837" s="289"/>
      <c r="L2837" s="289"/>
      <c r="M2837" s="289"/>
      <c r="N2837" s="289"/>
      <c r="O2837" s="289"/>
      <c r="P2837" s="289"/>
      <c r="Q2837" s="289"/>
      <c r="R2837" s="289"/>
      <c r="S2837" s="289"/>
      <c r="T2837" s="289"/>
      <c r="U2837" s="289"/>
      <c r="V2837" s="289"/>
      <c r="W2837" s="289"/>
      <c r="X2837" s="289"/>
      <c r="Y2837" s="289"/>
      <c r="Z2837" s="289"/>
      <c r="AA2837" s="289"/>
      <c r="AB2837" s="289"/>
      <c r="AC2837" s="289"/>
      <c r="AD2837" s="289"/>
      <c r="AE2837" s="289"/>
      <c r="AF2837" s="289"/>
    </row>
  </sheetData>
  <mergeCells count="21">
    <mergeCell ref="B1229:AF1229"/>
    <mergeCell ref="B1390:AF1390"/>
    <mergeCell ref="B1502:AF1502"/>
    <mergeCell ref="B1604:AF1604"/>
    <mergeCell ref="B1699:AF1699"/>
    <mergeCell ref="B89:AG89"/>
    <mergeCell ref="B2719:AF2719"/>
    <mergeCell ref="B2837:AF2837"/>
    <mergeCell ref="B2031:AF2031"/>
    <mergeCell ref="B2153:AF2153"/>
    <mergeCell ref="B2317:AF2317"/>
    <mergeCell ref="B2419:AF2419"/>
    <mergeCell ref="B2509:AF2509"/>
    <mergeCell ref="B2598:AF2598"/>
    <mergeCell ref="B1945:AF1945"/>
    <mergeCell ref="B112:AF112"/>
    <mergeCell ref="B308:AF308"/>
    <mergeCell ref="B511:AF511"/>
    <mergeCell ref="B712:AF712"/>
    <mergeCell ref="B887:AF887"/>
    <mergeCell ref="B1101:AF1101"/>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D429E-DEBA-48DA-9BC1-3328D5317436}">
  <dimension ref="A1:AH4502"/>
  <sheetViews>
    <sheetView workbookViewId="0"/>
    <sheetView workbookViewId="1"/>
  </sheetViews>
  <sheetFormatPr defaultRowHeight="14.75"/>
  <cols>
    <col min="2" max="2" width="37" customWidth="1"/>
  </cols>
  <sheetData>
    <row r="1" spans="1:33" ht="15.5" thickBot="1">
      <c r="A1" s="29"/>
      <c r="B1" s="34" t="s">
        <v>649</v>
      </c>
      <c r="C1" s="207">
        <v>2022</v>
      </c>
      <c r="D1" s="207">
        <v>2023</v>
      </c>
      <c r="E1" s="207">
        <v>2024</v>
      </c>
      <c r="F1" s="207">
        <v>2025</v>
      </c>
      <c r="G1" s="207">
        <v>2026</v>
      </c>
      <c r="H1" s="207">
        <v>2027</v>
      </c>
      <c r="I1" s="207">
        <v>2028</v>
      </c>
      <c r="J1" s="207">
        <v>2029</v>
      </c>
      <c r="K1" s="207">
        <v>2030</v>
      </c>
      <c r="L1" s="207">
        <v>2031</v>
      </c>
      <c r="M1" s="207">
        <v>2032</v>
      </c>
      <c r="N1" s="207">
        <v>2033</v>
      </c>
      <c r="O1" s="207">
        <v>2034</v>
      </c>
      <c r="P1" s="207">
        <v>2035</v>
      </c>
      <c r="Q1" s="207">
        <v>2036</v>
      </c>
      <c r="R1" s="207">
        <v>2037</v>
      </c>
      <c r="S1" s="207">
        <v>2038</v>
      </c>
      <c r="T1" s="207">
        <v>2039</v>
      </c>
      <c r="U1" s="207">
        <v>2040</v>
      </c>
      <c r="V1" s="207">
        <v>2041</v>
      </c>
      <c r="W1" s="207">
        <v>2042</v>
      </c>
      <c r="X1" s="207">
        <v>2043</v>
      </c>
      <c r="Y1" s="207">
        <v>2044</v>
      </c>
      <c r="Z1" s="207">
        <v>2045</v>
      </c>
      <c r="AA1" s="207">
        <v>2046</v>
      </c>
      <c r="AB1" s="207">
        <v>2047</v>
      </c>
      <c r="AC1" s="207">
        <v>2048</v>
      </c>
      <c r="AD1" s="207">
        <v>2049</v>
      </c>
      <c r="AE1" s="207">
        <v>2050</v>
      </c>
      <c r="AF1" s="29"/>
      <c r="AG1" s="29"/>
    </row>
    <row r="2" spans="1:33" ht="15.5" thickTop="1">
      <c r="A2" s="29"/>
      <c r="B2" s="29"/>
      <c r="C2" s="29"/>
      <c r="D2" s="29"/>
      <c r="E2" s="29"/>
      <c r="F2" s="29"/>
      <c r="G2" s="29"/>
      <c r="H2" s="29"/>
      <c r="I2" s="29"/>
      <c r="J2" s="29"/>
      <c r="K2" s="29"/>
      <c r="L2" s="29"/>
      <c r="M2" s="29"/>
      <c r="N2" s="29"/>
      <c r="O2" s="29"/>
      <c r="P2" s="29"/>
      <c r="Q2" s="29"/>
      <c r="R2" s="29"/>
      <c r="S2" s="29"/>
      <c r="T2" s="29"/>
      <c r="U2" s="29"/>
      <c r="V2" s="29"/>
      <c r="W2" s="29"/>
      <c r="X2" s="29"/>
      <c r="Y2" s="29"/>
      <c r="Z2" s="29"/>
      <c r="AA2" s="29"/>
      <c r="AB2" s="29"/>
      <c r="AC2" s="29"/>
      <c r="AD2" s="29"/>
      <c r="AE2" s="29"/>
      <c r="AF2" s="29"/>
      <c r="AG2" s="29"/>
    </row>
    <row r="3" spans="1:33">
      <c r="A3" s="29"/>
      <c r="B3" s="29"/>
      <c r="C3" s="40" t="s">
        <v>265</v>
      </c>
      <c r="D3" s="40" t="s">
        <v>650</v>
      </c>
      <c r="E3" s="36"/>
      <c r="F3" s="36"/>
      <c r="G3" s="36"/>
      <c r="H3" s="29"/>
      <c r="I3" s="29"/>
      <c r="J3" s="29"/>
      <c r="K3" s="29"/>
      <c r="L3" s="29"/>
      <c r="M3" s="29"/>
      <c r="N3" s="29"/>
      <c r="O3" s="29"/>
      <c r="P3" s="29"/>
      <c r="Q3" s="29"/>
      <c r="R3" s="29"/>
      <c r="S3" s="29"/>
      <c r="T3" s="29"/>
      <c r="U3" s="29"/>
      <c r="V3" s="29"/>
      <c r="W3" s="29"/>
      <c r="X3" s="29"/>
      <c r="Y3" s="29"/>
      <c r="Z3" s="29"/>
      <c r="AA3" s="29"/>
      <c r="AB3" s="29"/>
      <c r="AC3" s="29"/>
      <c r="AD3" s="29"/>
      <c r="AE3" s="29"/>
      <c r="AF3" s="29"/>
      <c r="AG3" s="29"/>
    </row>
    <row r="4" spans="1:33">
      <c r="A4" s="29"/>
      <c r="B4" s="29"/>
      <c r="C4" s="40" t="s">
        <v>266</v>
      </c>
      <c r="D4" s="40" t="s">
        <v>651</v>
      </c>
      <c r="E4" s="36"/>
      <c r="F4" s="36"/>
      <c r="G4" s="40" t="s">
        <v>652</v>
      </c>
      <c r="H4" s="29"/>
      <c r="I4" s="29"/>
      <c r="J4" s="29"/>
      <c r="K4" s="29"/>
      <c r="L4" s="29"/>
      <c r="M4" s="29"/>
      <c r="N4" s="29"/>
      <c r="O4" s="29"/>
      <c r="P4" s="29"/>
      <c r="Q4" s="29"/>
      <c r="R4" s="29"/>
      <c r="S4" s="29"/>
      <c r="T4" s="29"/>
      <c r="U4" s="29"/>
      <c r="V4" s="29"/>
      <c r="W4" s="29"/>
      <c r="X4" s="29"/>
      <c r="Y4" s="29"/>
      <c r="Z4" s="29"/>
      <c r="AA4" s="29"/>
      <c r="AB4" s="29"/>
      <c r="AC4" s="29"/>
      <c r="AD4" s="29"/>
      <c r="AE4" s="29"/>
      <c r="AF4" s="29"/>
      <c r="AG4" s="29"/>
    </row>
    <row r="5" spans="1:33">
      <c r="A5" s="29"/>
      <c r="B5" s="29"/>
      <c r="C5" s="40" t="s">
        <v>267</v>
      </c>
      <c r="D5" s="40" t="s">
        <v>653</v>
      </c>
      <c r="E5" s="36"/>
      <c r="F5" s="36"/>
      <c r="G5" s="36"/>
      <c r="H5" s="29"/>
      <c r="I5" s="29"/>
      <c r="J5" s="29"/>
      <c r="K5" s="29"/>
      <c r="L5" s="29"/>
      <c r="M5" s="29"/>
      <c r="N5" s="29"/>
      <c r="O5" s="29"/>
      <c r="P5" s="29"/>
      <c r="Q5" s="29"/>
      <c r="R5" s="29"/>
      <c r="S5" s="29"/>
      <c r="T5" s="29"/>
      <c r="U5" s="29"/>
      <c r="V5" s="29"/>
      <c r="W5" s="29"/>
      <c r="X5" s="29"/>
      <c r="Y5" s="29"/>
      <c r="Z5" s="29"/>
      <c r="AA5" s="29"/>
      <c r="AB5" s="29"/>
      <c r="AC5" s="29"/>
      <c r="AD5" s="29"/>
      <c r="AE5" s="29"/>
      <c r="AF5" s="29"/>
      <c r="AG5" s="29"/>
    </row>
    <row r="6" spans="1:33">
      <c r="A6" s="29"/>
      <c r="B6" s="29"/>
      <c r="C6" s="40" t="s">
        <v>268</v>
      </c>
      <c r="D6" s="36"/>
      <c r="E6" s="40" t="s">
        <v>654</v>
      </c>
      <c r="F6" s="36"/>
      <c r="G6" s="36"/>
      <c r="H6" s="29"/>
      <c r="I6" s="29"/>
      <c r="J6" s="29"/>
      <c r="K6" s="29"/>
      <c r="L6" s="29"/>
      <c r="M6" s="29"/>
      <c r="N6" s="29"/>
      <c r="O6" s="29"/>
      <c r="P6" s="29"/>
      <c r="Q6" s="29"/>
      <c r="R6" s="29"/>
      <c r="S6" s="29"/>
      <c r="T6" s="29"/>
      <c r="U6" s="29"/>
      <c r="V6" s="29"/>
      <c r="W6" s="29"/>
      <c r="X6" s="29"/>
      <c r="Y6" s="29"/>
      <c r="Z6" s="29"/>
      <c r="AA6" s="29"/>
      <c r="AB6" s="29"/>
      <c r="AC6" s="29"/>
      <c r="AD6" s="29"/>
      <c r="AE6" s="29"/>
      <c r="AF6" s="29"/>
      <c r="AG6" s="29"/>
    </row>
    <row r="7" spans="1:33">
      <c r="A7" s="29"/>
      <c r="B7" s="29"/>
      <c r="C7" s="29"/>
      <c r="D7" s="29"/>
      <c r="E7" s="29"/>
      <c r="F7" s="29"/>
      <c r="G7" s="29"/>
      <c r="H7" s="29"/>
      <c r="I7" s="29"/>
      <c r="J7" s="29"/>
      <c r="K7" s="29"/>
      <c r="L7" s="29"/>
      <c r="M7" s="29"/>
      <c r="N7" s="29"/>
      <c r="O7" s="29"/>
      <c r="P7" s="29"/>
      <c r="Q7" s="29"/>
      <c r="R7" s="29"/>
      <c r="S7" s="29"/>
      <c r="T7" s="29"/>
      <c r="U7" s="29"/>
      <c r="V7" s="29"/>
      <c r="W7" s="29"/>
      <c r="X7" s="29"/>
      <c r="Y7" s="29"/>
      <c r="Z7" s="29"/>
      <c r="AA7" s="29"/>
      <c r="AB7" s="29"/>
      <c r="AC7" s="29"/>
      <c r="AD7" s="29"/>
      <c r="AE7" s="29"/>
      <c r="AF7" s="29"/>
      <c r="AG7" s="29"/>
    </row>
    <row r="8" spans="1:33">
      <c r="A8" s="29"/>
      <c r="B8" s="29"/>
      <c r="C8" s="29"/>
      <c r="D8" s="29"/>
      <c r="E8" s="29"/>
      <c r="F8" s="29"/>
      <c r="G8" s="29"/>
      <c r="H8" s="29"/>
      <c r="I8" s="29"/>
      <c r="J8" s="29"/>
      <c r="K8" s="29"/>
      <c r="L8" s="29"/>
      <c r="M8" s="29"/>
      <c r="N8" s="29"/>
      <c r="O8" s="29"/>
      <c r="P8" s="29"/>
      <c r="Q8" s="29"/>
      <c r="R8" s="29"/>
      <c r="S8" s="29"/>
      <c r="T8" s="29"/>
      <c r="U8" s="29"/>
      <c r="V8" s="29"/>
      <c r="W8" s="29"/>
      <c r="X8" s="29"/>
      <c r="Y8" s="29"/>
      <c r="Z8" s="29"/>
      <c r="AA8" s="29"/>
      <c r="AB8" s="29"/>
      <c r="AC8" s="29"/>
      <c r="AD8" s="29"/>
      <c r="AE8" s="29"/>
      <c r="AF8" s="29"/>
      <c r="AG8" s="29"/>
    </row>
    <row r="9" spans="1:33">
      <c r="A9" s="29"/>
      <c r="B9" s="29"/>
      <c r="C9" s="29"/>
      <c r="D9" s="29"/>
      <c r="E9" s="29"/>
      <c r="F9" s="29"/>
      <c r="G9" s="29"/>
      <c r="H9" s="29"/>
      <c r="I9" s="29"/>
      <c r="J9" s="29"/>
      <c r="K9" s="29"/>
      <c r="L9" s="29"/>
      <c r="M9" s="29"/>
      <c r="N9" s="29"/>
      <c r="O9" s="29"/>
      <c r="P9" s="29"/>
      <c r="Q9" s="29"/>
      <c r="R9" s="29"/>
      <c r="S9" s="29"/>
      <c r="T9" s="29"/>
      <c r="U9" s="29"/>
      <c r="V9" s="29"/>
      <c r="W9" s="29"/>
      <c r="X9" s="29"/>
      <c r="Y9" s="29"/>
      <c r="Z9" s="29"/>
      <c r="AA9" s="29"/>
      <c r="AB9" s="29"/>
      <c r="AC9" s="29"/>
      <c r="AD9" s="29"/>
      <c r="AE9" s="29"/>
      <c r="AF9" s="29"/>
      <c r="AG9" s="29"/>
    </row>
    <row r="10" spans="1:33" ht="16">
      <c r="A10" s="30" t="s">
        <v>667</v>
      </c>
      <c r="B10" s="45" t="s">
        <v>668</v>
      </c>
      <c r="C10" s="31"/>
      <c r="D10" s="31"/>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7" t="s">
        <v>656</v>
      </c>
      <c r="AG10" s="31"/>
    </row>
    <row r="11" spans="1:33">
      <c r="A11" s="29"/>
      <c r="B11" s="46" t="s">
        <v>669</v>
      </c>
      <c r="C11" s="31"/>
      <c r="D11" s="31"/>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7" t="s">
        <v>657</v>
      </c>
      <c r="AG11" s="31"/>
    </row>
    <row r="12" spans="1:33">
      <c r="A12" s="29"/>
      <c r="B12" s="46"/>
      <c r="C12" s="38"/>
      <c r="D12" s="38"/>
      <c r="E12" s="38"/>
      <c r="F12" s="38"/>
      <c r="G12" s="38"/>
      <c r="H12" s="38"/>
      <c r="I12" s="38"/>
      <c r="J12" s="38"/>
      <c r="K12" s="38"/>
      <c r="L12" s="38"/>
      <c r="M12" s="38"/>
      <c r="N12" s="38"/>
      <c r="O12" s="38"/>
      <c r="P12" s="38"/>
      <c r="Q12" s="38"/>
      <c r="R12" s="38"/>
      <c r="S12" s="38"/>
      <c r="T12" s="38"/>
      <c r="U12" s="38"/>
      <c r="V12" s="38"/>
      <c r="W12" s="38"/>
      <c r="X12" s="38"/>
      <c r="Y12" s="38"/>
      <c r="Z12" s="38"/>
      <c r="AA12" s="38"/>
      <c r="AB12" s="38"/>
      <c r="AC12" s="38"/>
      <c r="AD12" s="38"/>
      <c r="AE12" s="38"/>
      <c r="AF12" s="37" t="s">
        <v>658</v>
      </c>
      <c r="AG12" s="31"/>
    </row>
    <row r="13" spans="1:33" ht="15.5" thickBot="1">
      <c r="A13" s="29"/>
      <c r="B13" s="208" t="s">
        <v>333</v>
      </c>
      <c r="C13" s="208">
        <v>2022</v>
      </c>
      <c r="D13" s="208">
        <v>2023</v>
      </c>
      <c r="E13" s="208">
        <v>2024</v>
      </c>
      <c r="F13" s="208">
        <v>2025</v>
      </c>
      <c r="G13" s="208">
        <v>2026</v>
      </c>
      <c r="H13" s="208">
        <v>2027</v>
      </c>
      <c r="I13" s="208">
        <v>2028</v>
      </c>
      <c r="J13" s="208">
        <v>2029</v>
      </c>
      <c r="K13" s="208">
        <v>2030</v>
      </c>
      <c r="L13" s="208">
        <v>2031</v>
      </c>
      <c r="M13" s="208">
        <v>2032</v>
      </c>
      <c r="N13" s="208">
        <v>2033</v>
      </c>
      <c r="O13" s="208">
        <v>2034</v>
      </c>
      <c r="P13" s="208">
        <v>2035</v>
      </c>
      <c r="Q13" s="208">
        <v>2036</v>
      </c>
      <c r="R13" s="208">
        <v>2037</v>
      </c>
      <c r="S13" s="208">
        <v>2038</v>
      </c>
      <c r="T13" s="208">
        <v>2039</v>
      </c>
      <c r="U13" s="208">
        <v>2040</v>
      </c>
      <c r="V13" s="208">
        <v>2041</v>
      </c>
      <c r="W13" s="208">
        <v>2042</v>
      </c>
      <c r="X13" s="208">
        <v>2043</v>
      </c>
      <c r="Y13" s="208">
        <v>2044</v>
      </c>
      <c r="Z13" s="208">
        <v>2045</v>
      </c>
      <c r="AA13" s="208">
        <v>2046</v>
      </c>
      <c r="AB13" s="208">
        <v>2047</v>
      </c>
      <c r="AC13" s="208">
        <v>2048</v>
      </c>
      <c r="AD13" s="208">
        <v>2049</v>
      </c>
      <c r="AE13" s="208">
        <v>2050</v>
      </c>
      <c r="AF13" s="48">
        <v>2050</v>
      </c>
      <c r="AG13" s="31"/>
    </row>
    <row r="14" spans="1:33" ht="15.5" thickTop="1">
      <c r="A14" s="29"/>
      <c r="B14" s="31"/>
      <c r="C14" s="31"/>
      <c r="D14" s="31"/>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row>
    <row r="15" spans="1:33">
      <c r="A15" s="29"/>
      <c r="B15" s="209" t="s">
        <v>670</v>
      </c>
      <c r="C15" s="31"/>
      <c r="D15" s="31"/>
      <c r="E15" s="31"/>
      <c r="F15" s="31"/>
      <c r="G15" s="31"/>
      <c r="H15" s="31"/>
      <c r="I15" s="31"/>
      <c r="J15" s="31"/>
      <c r="K15" s="31"/>
      <c r="L15" s="31"/>
      <c r="M15" s="31"/>
      <c r="N15" s="31"/>
      <c r="O15" s="31"/>
      <c r="P15" s="31"/>
      <c r="Q15" s="31"/>
      <c r="R15" s="31"/>
      <c r="S15" s="31"/>
      <c r="T15" s="31"/>
      <c r="U15" s="31"/>
      <c r="V15" s="31"/>
      <c r="W15" s="31"/>
      <c r="X15" s="31"/>
      <c r="Y15" s="31"/>
      <c r="Z15" s="31"/>
      <c r="AA15" s="31"/>
      <c r="AB15" s="31"/>
      <c r="AC15" s="31"/>
      <c r="AD15" s="31"/>
      <c r="AE15" s="31"/>
      <c r="AF15" s="31"/>
      <c r="AG15" s="31"/>
    </row>
    <row r="16" spans="1:33">
      <c r="A16" s="29"/>
      <c r="B16" s="209" t="s">
        <v>335</v>
      </c>
      <c r="C16" s="31"/>
      <c r="D16" s="31"/>
      <c r="E16" s="31"/>
      <c r="F16" s="31"/>
      <c r="G16" s="31"/>
      <c r="H16" s="31"/>
      <c r="I16" s="31"/>
      <c r="J16" s="31"/>
      <c r="K16" s="31"/>
      <c r="L16" s="31"/>
      <c r="M16" s="31"/>
      <c r="N16" s="31"/>
      <c r="O16" s="31"/>
      <c r="P16" s="31"/>
      <c r="Q16" s="31"/>
      <c r="R16" s="31"/>
      <c r="S16" s="31"/>
      <c r="T16" s="31"/>
      <c r="U16" s="31"/>
      <c r="V16" s="31"/>
      <c r="W16" s="31"/>
      <c r="X16" s="31"/>
      <c r="Y16" s="31"/>
      <c r="Z16" s="31"/>
      <c r="AA16" s="31"/>
      <c r="AB16" s="31"/>
      <c r="AC16" s="31"/>
      <c r="AD16" s="31"/>
      <c r="AE16" s="31"/>
      <c r="AF16" s="31"/>
      <c r="AG16" s="31"/>
    </row>
    <row r="17" spans="1:33">
      <c r="A17" s="30" t="s">
        <v>671</v>
      </c>
      <c r="B17" s="210" t="s">
        <v>672</v>
      </c>
      <c r="C17" s="217">
        <v>113.485703</v>
      </c>
      <c r="D17" s="217">
        <v>110.469795</v>
      </c>
      <c r="E17" s="217">
        <v>107.590355</v>
      </c>
      <c r="F17" s="217">
        <v>104.598671</v>
      </c>
      <c r="G17" s="217">
        <v>101.54632599999999</v>
      </c>
      <c r="H17" s="217">
        <v>98.408339999999995</v>
      </c>
      <c r="I17" s="217">
        <v>95.150108000000003</v>
      </c>
      <c r="J17" s="217">
        <v>91.853133999999997</v>
      </c>
      <c r="K17" s="217">
        <v>88.524780000000007</v>
      </c>
      <c r="L17" s="217">
        <v>85.212502000000001</v>
      </c>
      <c r="M17" s="217">
        <v>81.955994000000004</v>
      </c>
      <c r="N17" s="217">
        <v>78.782409999999999</v>
      </c>
      <c r="O17" s="217">
        <v>75.732285000000005</v>
      </c>
      <c r="P17" s="217">
        <v>72.854027000000002</v>
      </c>
      <c r="Q17" s="217">
        <v>70.216042000000002</v>
      </c>
      <c r="R17" s="217">
        <v>67.840073000000004</v>
      </c>
      <c r="S17" s="217">
        <v>65.743545999999995</v>
      </c>
      <c r="T17" s="217">
        <v>63.900756999999999</v>
      </c>
      <c r="U17" s="217">
        <v>62.316142999999997</v>
      </c>
      <c r="V17" s="217">
        <v>60.931694</v>
      </c>
      <c r="W17" s="217">
        <v>59.724350000000001</v>
      </c>
      <c r="X17" s="217">
        <v>58.648266</v>
      </c>
      <c r="Y17" s="217">
        <v>57.695877000000003</v>
      </c>
      <c r="Z17" s="217">
        <v>56.850062999999999</v>
      </c>
      <c r="AA17" s="217">
        <v>56.082008000000002</v>
      </c>
      <c r="AB17" s="217">
        <v>55.377018</v>
      </c>
      <c r="AC17" s="217">
        <v>54.739337999999996</v>
      </c>
      <c r="AD17" s="217">
        <v>54.1511</v>
      </c>
      <c r="AE17" s="217">
        <v>53.633910999999998</v>
      </c>
      <c r="AF17" s="212">
        <v>-2.6412999999999999E-2</v>
      </c>
      <c r="AG17" s="31"/>
    </row>
    <row r="18" spans="1:33">
      <c r="A18" s="30" t="s">
        <v>673</v>
      </c>
      <c r="B18" s="210" t="s">
        <v>674</v>
      </c>
      <c r="C18" s="217">
        <v>0.52865200000000001</v>
      </c>
      <c r="D18" s="217">
        <v>0.49542399999999998</v>
      </c>
      <c r="E18" s="217">
        <v>0.46307599999999999</v>
      </c>
      <c r="F18" s="217">
        <v>0.431282</v>
      </c>
      <c r="G18" s="217">
        <v>0.39990199999999998</v>
      </c>
      <c r="H18" s="217">
        <v>0.368815</v>
      </c>
      <c r="I18" s="217">
        <v>0.33779199999999998</v>
      </c>
      <c r="J18" s="217">
        <v>0.30686200000000002</v>
      </c>
      <c r="K18" s="217">
        <v>0.27654099999999998</v>
      </c>
      <c r="L18" s="217">
        <v>0.24757699999999999</v>
      </c>
      <c r="M18" s="217">
        <v>0.21978300000000001</v>
      </c>
      <c r="N18" s="217">
        <v>0.19367000000000001</v>
      </c>
      <c r="O18" s="217">
        <v>0.16977500000000001</v>
      </c>
      <c r="P18" s="217">
        <v>0.14865900000000001</v>
      </c>
      <c r="Q18" s="217">
        <v>0.130743</v>
      </c>
      <c r="R18" s="217">
        <v>0.11596099999999999</v>
      </c>
      <c r="S18" s="217">
        <v>0.104272</v>
      </c>
      <c r="T18" s="217">
        <v>9.5627000000000004E-2</v>
      </c>
      <c r="U18" s="217">
        <v>8.9082999999999996E-2</v>
      </c>
      <c r="V18" s="217">
        <v>8.3143999999999996E-2</v>
      </c>
      <c r="W18" s="217">
        <v>7.7796000000000004E-2</v>
      </c>
      <c r="X18" s="217">
        <v>7.2952000000000003E-2</v>
      </c>
      <c r="Y18" s="217">
        <v>6.8448999999999996E-2</v>
      </c>
      <c r="Z18" s="217">
        <v>6.4240000000000005E-2</v>
      </c>
      <c r="AA18" s="217">
        <v>6.0305999999999998E-2</v>
      </c>
      <c r="AB18" s="217">
        <v>5.6628999999999999E-2</v>
      </c>
      <c r="AC18" s="217">
        <v>5.3191000000000002E-2</v>
      </c>
      <c r="AD18" s="217">
        <v>4.9974999999999999E-2</v>
      </c>
      <c r="AE18" s="217">
        <v>4.6968999999999997E-2</v>
      </c>
      <c r="AF18" s="212">
        <v>-8.2826999999999998E-2</v>
      </c>
      <c r="AG18" s="31"/>
    </row>
    <row r="19" spans="1:33">
      <c r="A19" s="30" t="s">
        <v>675</v>
      </c>
      <c r="B19" s="210" t="s">
        <v>676</v>
      </c>
      <c r="C19" s="217">
        <v>114.014359</v>
      </c>
      <c r="D19" s="217">
        <v>110.96521799999999</v>
      </c>
      <c r="E19" s="217">
        <v>108.05342899999999</v>
      </c>
      <c r="F19" s="217">
        <v>105.02995300000001</v>
      </c>
      <c r="G19" s="217">
        <v>101.946228</v>
      </c>
      <c r="H19" s="217">
        <v>98.777152999999998</v>
      </c>
      <c r="I19" s="217">
        <v>95.487899999999996</v>
      </c>
      <c r="J19" s="217">
        <v>92.159996000000007</v>
      </c>
      <c r="K19" s="217">
        <v>88.801322999999996</v>
      </c>
      <c r="L19" s="217">
        <v>85.460075000000003</v>
      </c>
      <c r="M19" s="217">
        <v>82.175774000000004</v>
      </c>
      <c r="N19" s="217">
        <v>78.976082000000005</v>
      </c>
      <c r="O19" s="217">
        <v>75.902061000000003</v>
      </c>
      <c r="P19" s="217">
        <v>73.002685999999997</v>
      </c>
      <c r="Q19" s="217">
        <v>70.346785999999994</v>
      </c>
      <c r="R19" s="217">
        <v>67.956031999999993</v>
      </c>
      <c r="S19" s="217">
        <v>65.847815999999995</v>
      </c>
      <c r="T19" s="217">
        <v>63.996383999999999</v>
      </c>
      <c r="U19" s="217">
        <v>62.405228000000001</v>
      </c>
      <c r="V19" s="217">
        <v>61.014839000000002</v>
      </c>
      <c r="W19" s="217">
        <v>59.802146999999998</v>
      </c>
      <c r="X19" s="217">
        <v>58.721218</v>
      </c>
      <c r="Y19" s="217">
        <v>57.764324000000002</v>
      </c>
      <c r="Z19" s="217">
        <v>56.914302999999997</v>
      </c>
      <c r="AA19" s="217">
        <v>56.142315000000004</v>
      </c>
      <c r="AB19" s="217">
        <v>55.433647000000001</v>
      </c>
      <c r="AC19" s="217">
        <v>54.792529999999999</v>
      </c>
      <c r="AD19" s="217">
        <v>54.201076999999998</v>
      </c>
      <c r="AE19" s="217">
        <v>53.680881999999997</v>
      </c>
      <c r="AF19" s="212">
        <v>-2.6544000000000002E-2</v>
      </c>
      <c r="AG19" s="31"/>
    </row>
    <row r="20" spans="1:33">
      <c r="A20" s="29"/>
      <c r="B20" s="31"/>
      <c r="C20" s="31"/>
      <c r="D20" s="31"/>
      <c r="E20" s="31"/>
      <c r="F20" s="31"/>
      <c r="G20" s="31"/>
      <c r="H20" s="31"/>
      <c r="I20" s="31"/>
      <c r="J20" s="31"/>
      <c r="K20" s="31"/>
      <c r="L20" s="31"/>
      <c r="M20" s="31"/>
      <c r="N20" s="31"/>
      <c r="O20" s="31"/>
      <c r="P20" s="31"/>
      <c r="Q20" s="31"/>
      <c r="R20" s="31"/>
      <c r="S20" s="31"/>
      <c r="T20" s="31"/>
      <c r="U20" s="31"/>
      <c r="V20" s="31"/>
      <c r="W20" s="31"/>
      <c r="X20" s="31"/>
      <c r="Y20" s="31"/>
      <c r="Z20" s="31"/>
      <c r="AA20" s="31"/>
      <c r="AB20" s="31"/>
      <c r="AC20" s="31"/>
      <c r="AD20" s="31"/>
      <c r="AE20" s="31"/>
      <c r="AF20" s="31"/>
      <c r="AG20" s="31"/>
    </row>
    <row r="21" spans="1:33">
      <c r="A21" s="29"/>
      <c r="B21" s="209" t="s">
        <v>342</v>
      </c>
      <c r="C21" s="31"/>
      <c r="D21" s="31"/>
      <c r="E21" s="31"/>
      <c r="F21" s="31"/>
      <c r="G21" s="31"/>
      <c r="H21" s="31"/>
      <c r="I21" s="31"/>
      <c r="J21" s="31"/>
      <c r="K21" s="31"/>
      <c r="L21" s="31"/>
      <c r="M21" s="31"/>
      <c r="N21" s="31"/>
      <c r="O21" s="31"/>
      <c r="P21" s="31"/>
      <c r="Q21" s="31"/>
      <c r="R21" s="31"/>
      <c r="S21" s="31"/>
      <c r="T21" s="31"/>
      <c r="U21" s="31"/>
      <c r="V21" s="31"/>
      <c r="W21" s="31"/>
      <c r="X21" s="31"/>
      <c r="Y21" s="31"/>
      <c r="Z21" s="31"/>
      <c r="AA21" s="31"/>
      <c r="AB21" s="31"/>
      <c r="AC21" s="31"/>
      <c r="AD21" s="31"/>
      <c r="AE21" s="31"/>
      <c r="AF21" s="31"/>
      <c r="AG21" s="31"/>
    </row>
    <row r="22" spans="1:33">
      <c r="A22" s="30" t="s">
        <v>677</v>
      </c>
      <c r="B22" s="210" t="s">
        <v>678</v>
      </c>
      <c r="C22" s="217">
        <v>4.3995579999999999</v>
      </c>
      <c r="D22" s="217">
        <v>4.223617</v>
      </c>
      <c r="E22" s="217">
        <v>4.0314620000000003</v>
      </c>
      <c r="F22" s="217">
        <v>3.8203649999999998</v>
      </c>
      <c r="G22" s="217">
        <v>3.5931419999999998</v>
      </c>
      <c r="H22" s="217">
        <v>3.351429</v>
      </c>
      <c r="I22" s="217">
        <v>3.0995810000000001</v>
      </c>
      <c r="J22" s="217">
        <v>2.8436919999999999</v>
      </c>
      <c r="K22" s="217">
        <v>2.5891630000000001</v>
      </c>
      <c r="L22" s="217">
        <v>2.3438599999999998</v>
      </c>
      <c r="M22" s="217">
        <v>2.1135619999999999</v>
      </c>
      <c r="N22" s="217">
        <v>1.903087</v>
      </c>
      <c r="O22" s="217">
        <v>1.7133989999999999</v>
      </c>
      <c r="P22" s="217">
        <v>1.5472919999999999</v>
      </c>
      <c r="Q22" s="217">
        <v>1.4091210000000001</v>
      </c>
      <c r="R22" s="217">
        <v>1.298546</v>
      </c>
      <c r="S22" s="217">
        <v>1.208709</v>
      </c>
      <c r="T22" s="217">
        <v>1.13846</v>
      </c>
      <c r="U22" s="217">
        <v>1.0840080000000001</v>
      </c>
      <c r="V22" s="217">
        <v>1.038195</v>
      </c>
      <c r="W22" s="217">
        <v>0.99842299999999995</v>
      </c>
      <c r="X22" s="217">
        <v>0.96319100000000002</v>
      </c>
      <c r="Y22" s="217">
        <v>0.93233200000000005</v>
      </c>
      <c r="Z22" s="217">
        <v>0.90430900000000003</v>
      </c>
      <c r="AA22" s="217">
        <v>0.87903699999999996</v>
      </c>
      <c r="AB22" s="217">
        <v>0.85550899999999996</v>
      </c>
      <c r="AC22" s="217">
        <v>0.83366399999999996</v>
      </c>
      <c r="AD22" s="217">
        <v>0.81331299999999995</v>
      </c>
      <c r="AE22" s="217">
        <v>0.794485</v>
      </c>
      <c r="AF22" s="212">
        <v>-5.9297000000000002E-2</v>
      </c>
      <c r="AG22" s="31"/>
    </row>
    <row r="23" spans="1:33">
      <c r="A23" s="30" t="s">
        <v>679</v>
      </c>
      <c r="B23" s="210" t="s">
        <v>680</v>
      </c>
      <c r="C23" s="217">
        <v>0.180953</v>
      </c>
      <c r="D23" s="217">
        <v>0.17660899999999999</v>
      </c>
      <c r="E23" s="217">
        <v>0.17205300000000001</v>
      </c>
      <c r="F23" s="217">
        <v>0.16697899999999999</v>
      </c>
      <c r="G23" s="217">
        <v>0.16118299999999999</v>
      </c>
      <c r="H23" s="217">
        <v>0.15470900000000001</v>
      </c>
      <c r="I23" s="217">
        <v>0.147397</v>
      </c>
      <c r="J23" s="217">
        <v>0.13920399999999999</v>
      </c>
      <c r="K23" s="217">
        <v>0.13022400000000001</v>
      </c>
      <c r="L23" s="217">
        <v>0.12062299999999999</v>
      </c>
      <c r="M23" s="217">
        <v>0.11053300000000001</v>
      </c>
      <c r="N23" s="217">
        <v>0.100353</v>
      </c>
      <c r="O23" s="217">
        <v>9.0386999999999995E-2</v>
      </c>
      <c r="P23" s="217">
        <v>8.0902000000000002E-2</v>
      </c>
      <c r="Q23" s="217">
        <v>7.2352E-2</v>
      </c>
      <c r="R23" s="217">
        <v>6.4808000000000004E-2</v>
      </c>
      <c r="S23" s="217">
        <v>5.8779999999999999E-2</v>
      </c>
      <c r="T23" s="217">
        <v>5.3841E-2</v>
      </c>
      <c r="U23" s="217">
        <v>5.0194999999999997E-2</v>
      </c>
      <c r="V23" s="217">
        <v>4.7490999999999998E-2</v>
      </c>
      <c r="W23" s="217">
        <v>4.5529E-2</v>
      </c>
      <c r="X23" s="217">
        <v>4.4081000000000002E-2</v>
      </c>
      <c r="Y23" s="217">
        <v>4.2951999999999997E-2</v>
      </c>
      <c r="Z23" s="217">
        <v>4.1998000000000001E-2</v>
      </c>
      <c r="AA23" s="217">
        <v>4.1274999999999999E-2</v>
      </c>
      <c r="AB23" s="217">
        <v>4.0637E-2</v>
      </c>
      <c r="AC23" s="217">
        <v>4.0087999999999999E-2</v>
      </c>
      <c r="AD23" s="217">
        <v>3.9634000000000003E-2</v>
      </c>
      <c r="AE23" s="217">
        <v>3.9296999999999999E-2</v>
      </c>
      <c r="AF23" s="212">
        <v>-5.3078E-2</v>
      </c>
      <c r="AG23" s="31"/>
    </row>
    <row r="24" spans="1:33">
      <c r="A24" s="30" t="s">
        <v>681</v>
      </c>
      <c r="B24" s="210" t="s">
        <v>682</v>
      </c>
      <c r="C24" s="217">
        <v>0.32210800000000001</v>
      </c>
      <c r="D24" s="217">
        <v>0.40770600000000001</v>
      </c>
      <c r="E24" s="217">
        <v>0.51406099999999999</v>
      </c>
      <c r="F24" s="217">
        <v>0.63432699999999997</v>
      </c>
      <c r="G24" s="217">
        <v>0.79471400000000003</v>
      </c>
      <c r="H24" s="217">
        <v>0.98567099999999996</v>
      </c>
      <c r="I24" s="217">
        <v>1.2017880000000001</v>
      </c>
      <c r="J24" s="217">
        <v>1.4738899999999999</v>
      </c>
      <c r="K24" s="217">
        <v>1.7933429999999999</v>
      </c>
      <c r="L24" s="217">
        <v>2.1217220000000001</v>
      </c>
      <c r="M24" s="217">
        <v>2.457182</v>
      </c>
      <c r="N24" s="217">
        <v>2.7879230000000002</v>
      </c>
      <c r="O24" s="217">
        <v>3.114671</v>
      </c>
      <c r="P24" s="217">
        <v>3.4381629999999999</v>
      </c>
      <c r="Q24" s="217">
        <v>3.7588360000000001</v>
      </c>
      <c r="R24" s="217">
        <v>4.0671910000000002</v>
      </c>
      <c r="S24" s="217">
        <v>4.3615440000000003</v>
      </c>
      <c r="T24" s="217">
        <v>4.6410280000000004</v>
      </c>
      <c r="U24" s="217">
        <v>4.8995300000000004</v>
      </c>
      <c r="V24" s="217">
        <v>5.1375679999999999</v>
      </c>
      <c r="W24" s="217">
        <v>5.354914</v>
      </c>
      <c r="X24" s="217">
        <v>5.5449299999999999</v>
      </c>
      <c r="Y24" s="217">
        <v>5.7110669999999999</v>
      </c>
      <c r="Z24" s="217">
        <v>5.8508820000000004</v>
      </c>
      <c r="AA24" s="217">
        <v>5.9843849999999996</v>
      </c>
      <c r="AB24" s="217">
        <v>6.0834989999999998</v>
      </c>
      <c r="AC24" s="217">
        <v>6.1565050000000001</v>
      </c>
      <c r="AD24" s="217">
        <v>6.2058119999999999</v>
      </c>
      <c r="AE24" s="217">
        <v>6.2323339999999998</v>
      </c>
      <c r="AF24" s="212">
        <v>0.111608</v>
      </c>
      <c r="AG24" s="31"/>
    </row>
    <row r="25" spans="1:33">
      <c r="A25" s="30" t="s">
        <v>683</v>
      </c>
      <c r="B25" s="210" t="s">
        <v>684</v>
      </c>
      <c r="C25" s="217">
        <v>1.397494</v>
      </c>
      <c r="D25" s="217">
        <v>1.924952</v>
      </c>
      <c r="E25" s="217">
        <v>2.4512200000000002</v>
      </c>
      <c r="F25" s="217">
        <v>3.012089</v>
      </c>
      <c r="G25" s="217">
        <v>3.5857239999999999</v>
      </c>
      <c r="H25" s="217">
        <v>4.1813029999999998</v>
      </c>
      <c r="I25" s="217">
        <v>4.7999049999999999</v>
      </c>
      <c r="J25" s="217">
        <v>5.4268130000000001</v>
      </c>
      <c r="K25" s="217">
        <v>6.0425930000000001</v>
      </c>
      <c r="L25" s="217">
        <v>6.6459169999999999</v>
      </c>
      <c r="M25" s="217">
        <v>7.250267</v>
      </c>
      <c r="N25" s="217">
        <v>7.8393519999999999</v>
      </c>
      <c r="O25" s="217">
        <v>8.4123110000000008</v>
      </c>
      <c r="P25" s="217">
        <v>8.9672780000000003</v>
      </c>
      <c r="Q25" s="217">
        <v>9.502402</v>
      </c>
      <c r="R25" s="217">
        <v>10.004804999999999</v>
      </c>
      <c r="S25" s="217">
        <v>10.473606999999999</v>
      </c>
      <c r="T25" s="217">
        <v>10.908110000000001</v>
      </c>
      <c r="U25" s="217">
        <v>11.302820000000001</v>
      </c>
      <c r="V25" s="217">
        <v>11.662145000000001</v>
      </c>
      <c r="W25" s="217">
        <v>11.989678</v>
      </c>
      <c r="X25" s="217">
        <v>12.284489000000001</v>
      </c>
      <c r="Y25" s="217">
        <v>12.551564000000001</v>
      </c>
      <c r="Z25" s="217">
        <v>12.798245</v>
      </c>
      <c r="AA25" s="217">
        <v>13.068667</v>
      </c>
      <c r="AB25" s="217">
        <v>13.323066000000001</v>
      </c>
      <c r="AC25" s="217">
        <v>13.568265999999999</v>
      </c>
      <c r="AD25" s="217">
        <v>13.810585</v>
      </c>
      <c r="AE25" s="217">
        <v>14.0556</v>
      </c>
      <c r="AF25" s="212">
        <v>8.5933999999999996E-2</v>
      </c>
      <c r="AG25" s="31"/>
    </row>
    <row r="26" spans="1:33">
      <c r="A26" s="30" t="s">
        <v>685</v>
      </c>
      <c r="B26" s="210" t="s">
        <v>686</v>
      </c>
      <c r="C26" s="217">
        <v>0.36481799999999998</v>
      </c>
      <c r="D26" s="217">
        <v>0.39685399999999998</v>
      </c>
      <c r="E26" s="217">
        <v>0.440523</v>
      </c>
      <c r="F26" s="217">
        <v>0.49807400000000002</v>
      </c>
      <c r="G26" s="217">
        <v>0.56507499999999999</v>
      </c>
      <c r="H26" s="217">
        <v>0.636266</v>
      </c>
      <c r="I26" s="217">
        <v>0.71179899999999996</v>
      </c>
      <c r="J26" s="217">
        <v>0.78975200000000001</v>
      </c>
      <c r="K26" s="217">
        <v>0.86580000000000001</v>
      </c>
      <c r="L26" s="217">
        <v>0.94000700000000004</v>
      </c>
      <c r="M26" s="217">
        <v>1.012591</v>
      </c>
      <c r="N26" s="217">
        <v>1.0836399999999999</v>
      </c>
      <c r="O26" s="217">
        <v>1.15425</v>
      </c>
      <c r="P26" s="217">
        <v>1.224977</v>
      </c>
      <c r="Q26" s="217">
        <v>1.2941879999999999</v>
      </c>
      <c r="R26" s="217">
        <v>1.360819</v>
      </c>
      <c r="S26" s="217">
        <v>1.4249400000000001</v>
      </c>
      <c r="T26" s="217">
        <v>1.485957</v>
      </c>
      <c r="U26" s="217">
        <v>1.542327</v>
      </c>
      <c r="V26" s="217">
        <v>1.5966009999999999</v>
      </c>
      <c r="W26" s="217">
        <v>1.649411</v>
      </c>
      <c r="X26" s="217">
        <v>1.7000040000000001</v>
      </c>
      <c r="Y26" s="217">
        <v>1.7481960000000001</v>
      </c>
      <c r="Z26" s="217">
        <v>1.794386</v>
      </c>
      <c r="AA26" s="217">
        <v>1.841316</v>
      </c>
      <c r="AB26" s="217">
        <v>1.886765</v>
      </c>
      <c r="AC26" s="217">
        <v>1.930704</v>
      </c>
      <c r="AD26" s="217">
        <v>1.973792</v>
      </c>
      <c r="AE26" s="217">
        <v>2.0174110000000001</v>
      </c>
      <c r="AF26" s="212">
        <v>6.2980999999999995E-2</v>
      </c>
      <c r="AG26" s="31"/>
    </row>
    <row r="27" spans="1:33">
      <c r="A27" s="30" t="s">
        <v>687</v>
      </c>
      <c r="B27" s="210" t="s">
        <v>688</v>
      </c>
      <c r="C27" s="217">
        <v>0.20380000000000001</v>
      </c>
      <c r="D27" s="217">
        <v>0.198907</v>
      </c>
      <c r="E27" s="217">
        <v>0.19409899999999999</v>
      </c>
      <c r="F27" s="217">
        <v>0.188969</v>
      </c>
      <c r="G27" s="217">
        <v>0.183365</v>
      </c>
      <c r="H27" s="217">
        <v>0.177172</v>
      </c>
      <c r="I27" s="217">
        <v>0.17025299999999999</v>
      </c>
      <c r="J27" s="217">
        <v>0.16253100000000001</v>
      </c>
      <c r="K27" s="217">
        <v>0.15404499999999999</v>
      </c>
      <c r="L27" s="217">
        <v>0.144848</v>
      </c>
      <c r="M27" s="217">
        <v>0.13513900000000001</v>
      </c>
      <c r="N27" s="217">
        <v>0.12506999999999999</v>
      </c>
      <c r="O27" s="217">
        <v>0.115033</v>
      </c>
      <c r="P27" s="217">
        <v>0.105492</v>
      </c>
      <c r="Q27" s="217">
        <v>9.6682000000000004E-2</v>
      </c>
      <c r="R27" s="217">
        <v>8.8872000000000007E-2</v>
      </c>
      <c r="S27" s="217">
        <v>8.2436999999999996E-2</v>
      </c>
      <c r="T27" s="217">
        <v>7.7460000000000001E-2</v>
      </c>
      <c r="U27" s="217">
        <v>7.3616000000000001E-2</v>
      </c>
      <c r="V27" s="217">
        <v>7.0371000000000003E-2</v>
      </c>
      <c r="W27" s="217">
        <v>6.8429000000000004E-2</v>
      </c>
      <c r="X27" s="217">
        <v>6.7599000000000006E-2</v>
      </c>
      <c r="Y27" s="217">
        <v>6.7237000000000005E-2</v>
      </c>
      <c r="Z27" s="217">
        <v>6.7141000000000006E-2</v>
      </c>
      <c r="AA27" s="217">
        <v>6.7418000000000006E-2</v>
      </c>
      <c r="AB27" s="217">
        <v>6.7787E-2</v>
      </c>
      <c r="AC27" s="217">
        <v>6.8248000000000003E-2</v>
      </c>
      <c r="AD27" s="217">
        <v>6.8819000000000005E-2</v>
      </c>
      <c r="AE27" s="217">
        <v>6.9533999999999999E-2</v>
      </c>
      <c r="AF27" s="212">
        <v>-3.7676000000000001E-2</v>
      </c>
      <c r="AG27" s="31"/>
    </row>
    <row r="28" spans="1:33">
      <c r="A28" s="30" t="s">
        <v>689</v>
      </c>
      <c r="B28" s="210" t="s">
        <v>690</v>
      </c>
      <c r="C28" s="217">
        <v>0</v>
      </c>
      <c r="D28" s="217">
        <v>0</v>
      </c>
      <c r="E28" s="217">
        <v>0</v>
      </c>
      <c r="F28" s="217">
        <v>0</v>
      </c>
      <c r="G28" s="217">
        <v>0</v>
      </c>
      <c r="H28" s="217">
        <v>0</v>
      </c>
      <c r="I28" s="217">
        <v>0</v>
      </c>
      <c r="J28" s="217">
        <v>0</v>
      </c>
      <c r="K28" s="217">
        <v>0</v>
      </c>
      <c r="L28" s="217">
        <v>0</v>
      </c>
      <c r="M28" s="217">
        <v>0</v>
      </c>
      <c r="N28" s="217">
        <v>0</v>
      </c>
      <c r="O28" s="217">
        <v>0</v>
      </c>
      <c r="P28" s="217">
        <v>0</v>
      </c>
      <c r="Q28" s="217">
        <v>0</v>
      </c>
      <c r="R28" s="217">
        <v>0</v>
      </c>
      <c r="S28" s="217">
        <v>0</v>
      </c>
      <c r="T28" s="217">
        <v>0</v>
      </c>
      <c r="U28" s="217">
        <v>0</v>
      </c>
      <c r="V28" s="217">
        <v>0</v>
      </c>
      <c r="W28" s="217">
        <v>0</v>
      </c>
      <c r="X28" s="217">
        <v>0</v>
      </c>
      <c r="Y28" s="217">
        <v>0</v>
      </c>
      <c r="Z28" s="217">
        <v>0</v>
      </c>
      <c r="AA28" s="217">
        <v>0</v>
      </c>
      <c r="AB28" s="217">
        <v>0</v>
      </c>
      <c r="AC28" s="217">
        <v>0</v>
      </c>
      <c r="AD28" s="217">
        <v>0</v>
      </c>
      <c r="AE28" s="217">
        <v>0</v>
      </c>
      <c r="AF28" s="212" t="s">
        <v>340</v>
      </c>
      <c r="AG28" s="31"/>
    </row>
    <row r="29" spans="1:33">
      <c r="A29" s="30" t="s">
        <v>691</v>
      </c>
      <c r="B29" s="210" t="s">
        <v>692</v>
      </c>
      <c r="C29" s="217">
        <v>4.0432810000000003</v>
      </c>
      <c r="D29" s="217">
        <v>4.1357140000000001</v>
      </c>
      <c r="E29" s="217">
        <v>4.2333239999999996</v>
      </c>
      <c r="F29" s="217">
        <v>4.315175</v>
      </c>
      <c r="G29" s="217">
        <v>4.3889820000000004</v>
      </c>
      <c r="H29" s="217">
        <v>4.4505220000000003</v>
      </c>
      <c r="I29" s="217">
        <v>4.5010570000000003</v>
      </c>
      <c r="J29" s="217">
        <v>4.545293</v>
      </c>
      <c r="K29" s="217">
        <v>4.5855490000000003</v>
      </c>
      <c r="L29" s="217">
        <v>4.6257010000000003</v>
      </c>
      <c r="M29" s="217">
        <v>4.6667420000000002</v>
      </c>
      <c r="N29" s="217">
        <v>4.7116889999999998</v>
      </c>
      <c r="O29" s="217">
        <v>4.7619199999999999</v>
      </c>
      <c r="P29" s="217">
        <v>4.8228499999999999</v>
      </c>
      <c r="Q29" s="217">
        <v>4.8934340000000001</v>
      </c>
      <c r="R29" s="217">
        <v>4.9740549999999999</v>
      </c>
      <c r="S29" s="217">
        <v>5.0655799999999997</v>
      </c>
      <c r="T29" s="217">
        <v>5.1648009999999998</v>
      </c>
      <c r="U29" s="217">
        <v>5.2715829999999997</v>
      </c>
      <c r="V29" s="217">
        <v>5.3775019999999998</v>
      </c>
      <c r="W29" s="217">
        <v>5.4799689999999996</v>
      </c>
      <c r="X29" s="217">
        <v>5.5760059999999996</v>
      </c>
      <c r="Y29" s="217">
        <v>5.6691219999999998</v>
      </c>
      <c r="Z29" s="217">
        <v>5.7604259999999998</v>
      </c>
      <c r="AA29" s="217">
        <v>5.8574469999999996</v>
      </c>
      <c r="AB29" s="217">
        <v>5.9517239999999996</v>
      </c>
      <c r="AC29" s="217">
        <v>6.0448500000000003</v>
      </c>
      <c r="AD29" s="217">
        <v>6.1363029999999998</v>
      </c>
      <c r="AE29" s="217">
        <v>6.2290400000000004</v>
      </c>
      <c r="AF29" s="212">
        <v>1.5554E-2</v>
      </c>
      <c r="AG29" s="31"/>
    </row>
    <row r="30" spans="1:33">
      <c r="A30" s="30" t="s">
        <v>693</v>
      </c>
      <c r="B30" s="210" t="s">
        <v>694</v>
      </c>
      <c r="C30" s="217">
        <v>1.167E-2</v>
      </c>
      <c r="D30" s="217">
        <v>1.1011E-2</v>
      </c>
      <c r="E30" s="217">
        <v>1.0319999999999999E-2</v>
      </c>
      <c r="F30" s="217">
        <v>9.6080000000000002E-3</v>
      </c>
      <c r="G30" s="217">
        <v>8.8850000000000005E-3</v>
      </c>
      <c r="H30" s="217">
        <v>8.1499999999999993E-3</v>
      </c>
      <c r="I30" s="217">
        <v>7.4130000000000003E-3</v>
      </c>
      <c r="J30" s="217">
        <v>6.7200000000000003E-3</v>
      </c>
      <c r="K30" s="217">
        <v>6.1549999999999999E-3</v>
      </c>
      <c r="L30" s="217">
        <v>5.6230000000000004E-3</v>
      </c>
      <c r="M30" s="217">
        <v>5.1599999999999997E-3</v>
      </c>
      <c r="N30" s="217">
        <v>4.7710000000000001E-3</v>
      </c>
      <c r="O30" s="217">
        <v>4.4600000000000004E-3</v>
      </c>
      <c r="P30" s="217">
        <v>4.2059999999999997E-3</v>
      </c>
      <c r="Q30" s="217">
        <v>4.0049999999999999E-3</v>
      </c>
      <c r="R30" s="217">
        <v>3.8869999999999998E-3</v>
      </c>
      <c r="S30" s="217">
        <v>3.784E-3</v>
      </c>
      <c r="T30" s="217">
        <v>3.6979999999999999E-3</v>
      </c>
      <c r="U30" s="217">
        <v>3.6180000000000001E-3</v>
      </c>
      <c r="V30" s="217">
        <v>3.5360000000000001E-3</v>
      </c>
      <c r="W30" s="217">
        <v>3.4520000000000002E-3</v>
      </c>
      <c r="X30" s="217">
        <v>3.3679999999999999E-3</v>
      </c>
      <c r="Y30" s="217">
        <v>3.2859999999999999E-3</v>
      </c>
      <c r="Z30" s="217">
        <v>3.2070000000000002E-3</v>
      </c>
      <c r="AA30" s="217">
        <v>3.13E-3</v>
      </c>
      <c r="AB30" s="217">
        <v>3.0599999999999998E-3</v>
      </c>
      <c r="AC30" s="217">
        <v>2.9970000000000001E-3</v>
      </c>
      <c r="AD30" s="217">
        <v>2.9390000000000002E-3</v>
      </c>
      <c r="AE30" s="217">
        <v>2.8890000000000001E-3</v>
      </c>
      <c r="AF30" s="212">
        <v>-4.8645000000000001E-2</v>
      </c>
      <c r="AG30" s="31"/>
    </row>
    <row r="31" spans="1:33">
      <c r="A31" s="30" t="s">
        <v>695</v>
      </c>
      <c r="B31" s="210" t="s">
        <v>696</v>
      </c>
      <c r="C31" s="217">
        <v>3.9599999999999998E-4</v>
      </c>
      <c r="D31" s="217">
        <v>4.4799999999999999E-4</v>
      </c>
      <c r="E31" s="217">
        <v>5.1500000000000005E-4</v>
      </c>
      <c r="F31" s="217">
        <v>5.8299999999999997E-4</v>
      </c>
      <c r="G31" s="217">
        <v>6.4199999999999999E-4</v>
      </c>
      <c r="H31" s="217">
        <v>6.9800000000000005E-4</v>
      </c>
      <c r="I31" s="217">
        <v>7.4700000000000005E-4</v>
      </c>
      <c r="J31" s="217">
        <v>7.94E-4</v>
      </c>
      <c r="K31" s="217">
        <v>8.3699999999999996E-4</v>
      </c>
      <c r="L31" s="217">
        <v>8.7799999999999998E-4</v>
      </c>
      <c r="M31" s="217">
        <v>9.1699999999999995E-4</v>
      </c>
      <c r="N31" s="217">
        <v>9.5200000000000005E-4</v>
      </c>
      <c r="O31" s="217">
        <v>9.8499999999999998E-4</v>
      </c>
      <c r="P31" s="217">
        <v>1.0150000000000001E-3</v>
      </c>
      <c r="Q31" s="217">
        <v>1.042E-3</v>
      </c>
      <c r="R31" s="217">
        <v>1.067E-3</v>
      </c>
      <c r="S31" s="217">
        <v>1.0870000000000001E-3</v>
      </c>
      <c r="T31" s="217">
        <v>1.103E-3</v>
      </c>
      <c r="U31" s="217">
        <v>1.1169999999999999E-3</v>
      </c>
      <c r="V31" s="217">
        <v>1.127E-3</v>
      </c>
      <c r="W31" s="217">
        <v>1.134E-3</v>
      </c>
      <c r="X31" s="217">
        <v>1.139E-3</v>
      </c>
      <c r="Y31" s="217">
        <v>1.142E-3</v>
      </c>
      <c r="Z31" s="217">
        <v>1.145E-3</v>
      </c>
      <c r="AA31" s="217">
        <v>1.1460000000000001E-3</v>
      </c>
      <c r="AB31" s="217">
        <v>1.15E-3</v>
      </c>
      <c r="AC31" s="217">
        <v>1.1559999999999999E-3</v>
      </c>
      <c r="AD31" s="217">
        <v>1.163E-3</v>
      </c>
      <c r="AE31" s="217">
        <v>1.1720000000000001E-3</v>
      </c>
      <c r="AF31" s="212">
        <v>3.9551999999999997E-2</v>
      </c>
      <c r="AG31" s="31"/>
    </row>
    <row r="32" spans="1:33">
      <c r="A32" s="30" t="s">
        <v>697</v>
      </c>
      <c r="B32" s="210" t="s">
        <v>698</v>
      </c>
      <c r="C32" s="217">
        <v>2.127E-3</v>
      </c>
      <c r="D32" s="217">
        <v>1.895E-3</v>
      </c>
      <c r="E32" s="217">
        <v>1.7210000000000001E-3</v>
      </c>
      <c r="F32" s="217">
        <v>1.5950000000000001E-3</v>
      </c>
      <c r="G32" s="217">
        <v>1.539E-3</v>
      </c>
      <c r="H32" s="217">
        <v>1.5280000000000001E-3</v>
      </c>
      <c r="I32" s="217">
        <v>1.5200000000000001E-3</v>
      </c>
      <c r="J32" s="217">
        <v>1.516E-3</v>
      </c>
      <c r="K32" s="217">
        <v>1.513E-3</v>
      </c>
      <c r="L32" s="217">
        <v>1.513E-3</v>
      </c>
      <c r="M32" s="217">
        <v>1.513E-3</v>
      </c>
      <c r="N32" s="217">
        <v>1.5150000000000001E-3</v>
      </c>
      <c r="O32" s="217">
        <v>1.5169999999999999E-3</v>
      </c>
      <c r="P32" s="217">
        <v>1.521E-3</v>
      </c>
      <c r="Q32" s="217">
        <v>1.526E-3</v>
      </c>
      <c r="R32" s="217">
        <v>1.5319999999999999E-3</v>
      </c>
      <c r="S32" s="217">
        <v>1.539E-3</v>
      </c>
      <c r="T32" s="217">
        <v>1.5449999999999999E-3</v>
      </c>
      <c r="U32" s="217">
        <v>1.552E-3</v>
      </c>
      <c r="V32" s="217">
        <v>1.5590000000000001E-3</v>
      </c>
      <c r="W32" s="217">
        <v>1.565E-3</v>
      </c>
      <c r="X32" s="217">
        <v>1.572E-3</v>
      </c>
      <c r="Y32" s="217">
        <v>1.5790000000000001E-3</v>
      </c>
      <c r="Z32" s="217">
        <v>1.5889999999999999E-3</v>
      </c>
      <c r="AA32" s="217">
        <v>1.601E-3</v>
      </c>
      <c r="AB32" s="217">
        <v>1.6199999999999999E-3</v>
      </c>
      <c r="AC32" s="217">
        <v>1.6429999999999999E-3</v>
      </c>
      <c r="AD32" s="217">
        <v>1.6689999999999999E-3</v>
      </c>
      <c r="AE32" s="217">
        <v>1.701E-3</v>
      </c>
      <c r="AF32" s="212">
        <v>-7.9450000000000007E-3</v>
      </c>
      <c r="AG32" s="31"/>
    </row>
    <row r="33" spans="1:33">
      <c r="A33" s="30" t="s">
        <v>699</v>
      </c>
      <c r="B33" s="210" t="s">
        <v>700</v>
      </c>
      <c r="C33" s="217">
        <v>4.1110000000000001E-3</v>
      </c>
      <c r="D33" s="217">
        <v>3.5379999999999999E-3</v>
      </c>
      <c r="E33" s="217">
        <v>3.065E-3</v>
      </c>
      <c r="F33" s="217">
        <v>2.679E-3</v>
      </c>
      <c r="G33" s="217">
        <v>2.4239999999999999E-3</v>
      </c>
      <c r="H33" s="217">
        <v>2.2720000000000001E-3</v>
      </c>
      <c r="I33" s="217">
        <v>2.1450000000000002E-3</v>
      </c>
      <c r="J33" s="217">
        <v>2.0409999999999998E-3</v>
      </c>
      <c r="K33" s="217">
        <v>1.9430000000000001E-3</v>
      </c>
      <c r="L33" s="217">
        <v>1.8519999999999999E-3</v>
      </c>
      <c r="M33" s="217">
        <v>1.766E-3</v>
      </c>
      <c r="N33" s="217">
        <v>1.6850000000000001E-3</v>
      </c>
      <c r="O33" s="217">
        <v>1.609E-3</v>
      </c>
      <c r="P33" s="217">
        <v>1.5380000000000001E-3</v>
      </c>
      <c r="Q33" s="217">
        <v>1.4710000000000001E-3</v>
      </c>
      <c r="R33" s="217">
        <v>1.407E-3</v>
      </c>
      <c r="S33" s="217">
        <v>1.3470000000000001E-3</v>
      </c>
      <c r="T33" s="217">
        <v>1.2899999999999999E-3</v>
      </c>
      <c r="U33" s="217">
        <v>1.2359999999999999E-3</v>
      </c>
      <c r="V33" s="217">
        <v>1.1839999999999999E-3</v>
      </c>
      <c r="W33" s="217">
        <v>1.134E-3</v>
      </c>
      <c r="X33" s="217">
        <v>1.0870000000000001E-3</v>
      </c>
      <c r="Y33" s="217">
        <v>1.0430000000000001E-3</v>
      </c>
      <c r="Z33" s="217">
        <v>1.0009999999999999E-3</v>
      </c>
      <c r="AA33" s="217">
        <v>9.6199999999999996E-4</v>
      </c>
      <c r="AB33" s="217">
        <v>9.2599999999999996E-4</v>
      </c>
      <c r="AC33" s="217">
        <v>8.9300000000000002E-4</v>
      </c>
      <c r="AD33" s="217">
        <v>8.6300000000000005E-4</v>
      </c>
      <c r="AE33" s="217">
        <v>8.3500000000000002E-4</v>
      </c>
      <c r="AF33" s="212">
        <v>-5.5320000000000001E-2</v>
      </c>
      <c r="AG33" s="31"/>
    </row>
    <row r="34" spans="1:33">
      <c r="A34" s="30" t="s">
        <v>701</v>
      </c>
      <c r="B34" s="210" t="s">
        <v>702</v>
      </c>
      <c r="C34" s="217">
        <v>0</v>
      </c>
      <c r="D34" s="217">
        <v>0</v>
      </c>
      <c r="E34" s="217">
        <v>0</v>
      </c>
      <c r="F34" s="217">
        <v>0</v>
      </c>
      <c r="G34" s="217">
        <v>0</v>
      </c>
      <c r="H34" s="217">
        <v>0</v>
      </c>
      <c r="I34" s="217">
        <v>0</v>
      </c>
      <c r="J34" s="217">
        <v>0</v>
      </c>
      <c r="K34" s="217">
        <v>0</v>
      </c>
      <c r="L34" s="217">
        <v>0</v>
      </c>
      <c r="M34" s="217">
        <v>0</v>
      </c>
      <c r="N34" s="217">
        <v>0</v>
      </c>
      <c r="O34" s="217">
        <v>0</v>
      </c>
      <c r="P34" s="217">
        <v>0</v>
      </c>
      <c r="Q34" s="217">
        <v>0</v>
      </c>
      <c r="R34" s="217">
        <v>0</v>
      </c>
      <c r="S34" s="217">
        <v>0</v>
      </c>
      <c r="T34" s="217">
        <v>0</v>
      </c>
      <c r="U34" s="217">
        <v>0</v>
      </c>
      <c r="V34" s="217">
        <v>0</v>
      </c>
      <c r="W34" s="217">
        <v>0</v>
      </c>
      <c r="X34" s="217">
        <v>0</v>
      </c>
      <c r="Y34" s="217">
        <v>0</v>
      </c>
      <c r="Z34" s="217">
        <v>0</v>
      </c>
      <c r="AA34" s="217">
        <v>0</v>
      </c>
      <c r="AB34" s="217">
        <v>0</v>
      </c>
      <c r="AC34" s="217">
        <v>0</v>
      </c>
      <c r="AD34" s="217">
        <v>0</v>
      </c>
      <c r="AE34" s="217">
        <v>0</v>
      </c>
      <c r="AF34" s="212" t="s">
        <v>340</v>
      </c>
      <c r="AG34" s="31"/>
    </row>
    <row r="35" spans="1:33">
      <c r="A35" s="30" t="s">
        <v>703</v>
      </c>
      <c r="B35" s="210" t="s">
        <v>704</v>
      </c>
      <c r="C35" s="217">
        <v>1.3587E-2</v>
      </c>
      <c r="D35" s="217">
        <v>1.5803000000000001E-2</v>
      </c>
      <c r="E35" s="217">
        <v>1.763E-2</v>
      </c>
      <c r="F35" s="217">
        <v>1.9188E-2</v>
      </c>
      <c r="G35" s="217">
        <v>2.0792999999999999E-2</v>
      </c>
      <c r="H35" s="217">
        <v>2.2505000000000001E-2</v>
      </c>
      <c r="I35" s="217">
        <v>2.4455999999999999E-2</v>
      </c>
      <c r="J35" s="217">
        <v>2.6512999999999998E-2</v>
      </c>
      <c r="K35" s="217">
        <v>2.8653000000000001E-2</v>
      </c>
      <c r="L35" s="217">
        <v>3.0816E-2</v>
      </c>
      <c r="M35" s="217">
        <v>3.2957E-2</v>
      </c>
      <c r="N35" s="217">
        <v>3.5047000000000002E-2</v>
      </c>
      <c r="O35" s="217">
        <v>3.7092E-2</v>
      </c>
      <c r="P35" s="217">
        <v>3.9097E-2</v>
      </c>
      <c r="Q35" s="217">
        <v>4.1031999999999999E-2</v>
      </c>
      <c r="R35" s="217">
        <v>4.2877999999999999E-2</v>
      </c>
      <c r="S35" s="217">
        <v>4.4512000000000003E-2</v>
      </c>
      <c r="T35" s="217">
        <v>4.5955000000000003E-2</v>
      </c>
      <c r="U35" s="217">
        <v>4.7208E-2</v>
      </c>
      <c r="V35" s="217">
        <v>4.8261999999999999E-2</v>
      </c>
      <c r="W35" s="217">
        <v>4.9187000000000002E-2</v>
      </c>
      <c r="X35" s="217">
        <v>4.9936000000000001E-2</v>
      </c>
      <c r="Y35" s="217">
        <v>5.0540000000000002E-2</v>
      </c>
      <c r="Z35" s="217">
        <v>5.1006999999999997E-2</v>
      </c>
      <c r="AA35" s="217">
        <v>5.1504000000000001E-2</v>
      </c>
      <c r="AB35" s="217">
        <v>5.2042999999999999E-2</v>
      </c>
      <c r="AC35" s="217">
        <v>5.2475000000000001E-2</v>
      </c>
      <c r="AD35" s="217">
        <v>5.2817000000000003E-2</v>
      </c>
      <c r="AE35" s="217">
        <v>5.3061999999999998E-2</v>
      </c>
      <c r="AF35" s="212">
        <v>4.9858E-2</v>
      </c>
      <c r="AG35" s="31"/>
    </row>
    <row r="36" spans="1:33">
      <c r="A36" s="30" t="s">
        <v>705</v>
      </c>
      <c r="B36" s="210" t="s">
        <v>706</v>
      </c>
      <c r="C36" s="217">
        <v>10.943903000000001</v>
      </c>
      <c r="D36" s="217">
        <v>11.497054</v>
      </c>
      <c r="E36" s="217">
        <v>12.069993</v>
      </c>
      <c r="F36" s="217">
        <v>12.669632</v>
      </c>
      <c r="G36" s="217">
        <v>13.306467</v>
      </c>
      <c r="H36" s="217">
        <v>13.972225</v>
      </c>
      <c r="I36" s="217">
        <v>14.668062000000001</v>
      </c>
      <c r="J36" s="217">
        <v>15.418756999999999</v>
      </c>
      <c r="K36" s="217">
        <v>16.199821</v>
      </c>
      <c r="L36" s="217">
        <v>16.983360000000001</v>
      </c>
      <c r="M36" s="217">
        <v>17.788328</v>
      </c>
      <c r="N36" s="217">
        <v>18.595082999999999</v>
      </c>
      <c r="O36" s="217">
        <v>19.407637000000001</v>
      </c>
      <c r="P36" s="217">
        <v>20.234331000000001</v>
      </c>
      <c r="Q36" s="217">
        <v>21.076091999999999</v>
      </c>
      <c r="R36" s="217">
        <v>21.909863999999999</v>
      </c>
      <c r="S36" s="217">
        <v>22.727868999999998</v>
      </c>
      <c r="T36" s="217">
        <v>23.523249</v>
      </c>
      <c r="U36" s="217">
        <v>24.278811999999999</v>
      </c>
      <c r="V36" s="217">
        <v>24.98554</v>
      </c>
      <c r="W36" s="217">
        <v>25.642825999999999</v>
      </c>
      <c r="X36" s="217">
        <v>26.237400000000001</v>
      </c>
      <c r="Y36" s="217">
        <v>26.780058</v>
      </c>
      <c r="Z36" s="217">
        <v>27.275333</v>
      </c>
      <c r="AA36" s="217">
        <v>27.797888</v>
      </c>
      <c r="AB36" s="217">
        <v>28.267787999999999</v>
      </c>
      <c r="AC36" s="217">
        <v>28.701488000000001</v>
      </c>
      <c r="AD36" s="217">
        <v>29.107707999999999</v>
      </c>
      <c r="AE36" s="217">
        <v>29.49736</v>
      </c>
      <c r="AF36" s="212">
        <v>3.6046000000000002E-2</v>
      </c>
      <c r="AG36" s="31"/>
    </row>
    <row r="37" spans="1:33">
      <c r="A37" s="29"/>
      <c r="B37" s="31"/>
      <c r="C37" s="31"/>
      <c r="D37" s="31"/>
      <c r="E37" s="31"/>
      <c r="F37" s="31"/>
      <c r="G37" s="31"/>
      <c r="H37" s="31"/>
      <c r="I37" s="31"/>
      <c r="J37" s="31"/>
      <c r="K37" s="31"/>
      <c r="L37" s="31"/>
      <c r="M37" s="31"/>
      <c r="N37" s="31"/>
      <c r="O37" s="31"/>
      <c r="P37" s="31"/>
      <c r="Q37" s="31"/>
      <c r="R37" s="31"/>
      <c r="S37" s="31"/>
      <c r="T37" s="31"/>
      <c r="U37" s="31"/>
      <c r="V37" s="31"/>
      <c r="W37" s="31"/>
      <c r="X37" s="31"/>
      <c r="Y37" s="31"/>
      <c r="Z37" s="31"/>
      <c r="AA37" s="31"/>
      <c r="AB37" s="31"/>
      <c r="AC37" s="31"/>
      <c r="AD37" s="31"/>
      <c r="AE37" s="31"/>
      <c r="AF37" s="31"/>
      <c r="AG37" s="31"/>
    </row>
    <row r="38" spans="1:33">
      <c r="A38" s="30" t="s">
        <v>707</v>
      </c>
      <c r="B38" s="209" t="s">
        <v>708</v>
      </c>
      <c r="C38" s="218">
        <v>124.95826</v>
      </c>
      <c r="D38" s="218">
        <v>122.462273</v>
      </c>
      <c r="E38" s="218">
        <v>120.12342099999999</v>
      </c>
      <c r="F38" s="218">
        <v>117.699585</v>
      </c>
      <c r="G38" s="218">
        <v>115.25269299999999</v>
      </c>
      <c r="H38" s="218">
        <v>112.749374</v>
      </c>
      <c r="I38" s="218">
        <v>110.15595999999999</v>
      </c>
      <c r="J38" s="218">
        <v>107.578751</v>
      </c>
      <c r="K38" s="218">
        <v>105.001144</v>
      </c>
      <c r="L38" s="218">
        <v>102.44343600000001</v>
      </c>
      <c r="M38" s="218">
        <v>99.964104000000006</v>
      </c>
      <c r="N38" s="218">
        <v>97.571167000000003</v>
      </c>
      <c r="O38" s="218">
        <v>95.309700000000007</v>
      </c>
      <c r="P38" s="218">
        <v>93.237015</v>
      </c>
      <c r="Q38" s="218">
        <v>91.422882000000001</v>
      </c>
      <c r="R38" s="218">
        <v>89.865898000000001</v>
      </c>
      <c r="S38" s="218">
        <v>88.575683999999995</v>
      </c>
      <c r="T38" s="218">
        <v>87.519630000000006</v>
      </c>
      <c r="U38" s="218">
        <v>86.684036000000006</v>
      </c>
      <c r="V38" s="218">
        <v>86.000381000000004</v>
      </c>
      <c r="W38" s="218">
        <v>85.444976999999994</v>
      </c>
      <c r="X38" s="218">
        <v>84.958618000000001</v>
      </c>
      <c r="Y38" s="218">
        <v>84.544380000000004</v>
      </c>
      <c r="Z38" s="218">
        <v>84.189635999999993</v>
      </c>
      <c r="AA38" s="218">
        <v>83.940201000000002</v>
      </c>
      <c r="AB38" s="218">
        <v>83.701430999999999</v>
      </c>
      <c r="AC38" s="218">
        <v>83.494018999999994</v>
      </c>
      <c r="AD38" s="218">
        <v>83.308784000000003</v>
      </c>
      <c r="AE38" s="218">
        <v>83.178237999999993</v>
      </c>
      <c r="AF38" s="214">
        <v>-1.443E-2</v>
      </c>
      <c r="AG38" s="31"/>
    </row>
    <row r="39" spans="1:33">
      <c r="A39" s="29"/>
      <c r="B39" s="31"/>
      <c r="C39" s="31"/>
      <c r="D39" s="31"/>
      <c r="E39" s="31"/>
      <c r="F39" s="31"/>
      <c r="G39" s="31"/>
      <c r="H39" s="31"/>
      <c r="I39" s="31"/>
      <c r="J39" s="31"/>
      <c r="K39" s="31"/>
      <c r="L39" s="31"/>
      <c r="M39" s="31"/>
      <c r="N39" s="31"/>
      <c r="O39" s="31"/>
      <c r="P39" s="31"/>
      <c r="Q39" s="31"/>
      <c r="R39" s="31"/>
      <c r="S39" s="31"/>
      <c r="T39" s="31"/>
      <c r="U39" s="31"/>
      <c r="V39" s="31"/>
      <c r="W39" s="31"/>
      <c r="X39" s="31"/>
      <c r="Y39" s="31"/>
      <c r="Z39" s="31"/>
      <c r="AA39" s="31"/>
      <c r="AB39" s="31"/>
      <c r="AC39" s="31"/>
      <c r="AD39" s="31"/>
      <c r="AE39" s="31"/>
      <c r="AF39" s="31"/>
      <c r="AG39" s="31"/>
    </row>
    <row r="40" spans="1:33">
      <c r="A40" s="29"/>
      <c r="B40" s="209" t="s">
        <v>709</v>
      </c>
      <c r="C40" s="31"/>
      <c r="D40" s="31"/>
      <c r="E40" s="31"/>
      <c r="F40" s="31"/>
      <c r="G40" s="31"/>
      <c r="H40" s="31"/>
      <c r="I40" s="31"/>
      <c r="J40" s="31"/>
      <c r="K40" s="31"/>
      <c r="L40" s="31"/>
      <c r="M40" s="31"/>
      <c r="N40" s="31"/>
      <c r="O40" s="31"/>
      <c r="P40" s="31"/>
      <c r="Q40" s="31"/>
      <c r="R40" s="31"/>
      <c r="S40" s="31"/>
      <c r="T40" s="31"/>
      <c r="U40" s="31"/>
      <c r="V40" s="31"/>
      <c r="W40" s="31"/>
      <c r="X40" s="31"/>
      <c r="Y40" s="31"/>
      <c r="Z40" s="31"/>
      <c r="AA40" s="31"/>
      <c r="AB40" s="31"/>
      <c r="AC40" s="31"/>
      <c r="AD40" s="31"/>
      <c r="AE40" s="31"/>
      <c r="AF40" s="31"/>
      <c r="AG40" s="31"/>
    </row>
    <row r="41" spans="1:33">
      <c r="A41" s="29"/>
      <c r="B41" s="209" t="s">
        <v>370</v>
      </c>
      <c r="C41" s="31"/>
      <c r="D41" s="31"/>
      <c r="E41" s="31"/>
      <c r="F41" s="31"/>
      <c r="G41" s="31"/>
      <c r="H41" s="31"/>
      <c r="I41" s="31"/>
      <c r="J41" s="31"/>
      <c r="K41" s="31"/>
      <c r="L41" s="31"/>
      <c r="M41" s="31"/>
      <c r="N41" s="31"/>
      <c r="O41" s="31"/>
      <c r="P41" s="31"/>
      <c r="Q41" s="31"/>
      <c r="R41" s="31"/>
      <c r="S41" s="31"/>
      <c r="T41" s="31"/>
      <c r="U41" s="31"/>
      <c r="V41" s="31"/>
      <c r="W41" s="31"/>
      <c r="X41" s="31"/>
      <c r="Y41" s="31"/>
      <c r="Z41" s="31"/>
      <c r="AA41" s="31"/>
      <c r="AB41" s="31"/>
      <c r="AC41" s="31"/>
      <c r="AD41" s="31"/>
      <c r="AE41" s="31"/>
      <c r="AF41" s="31"/>
      <c r="AG41" s="31"/>
    </row>
    <row r="42" spans="1:33">
      <c r="A42" s="30" t="s">
        <v>710</v>
      </c>
      <c r="B42" s="210" t="s">
        <v>672</v>
      </c>
      <c r="C42" s="217">
        <v>117.886787</v>
      </c>
      <c r="D42" s="217">
        <v>120.284012</v>
      </c>
      <c r="E42" s="217">
        <v>122.892776</v>
      </c>
      <c r="F42" s="217">
        <v>125.63027200000001</v>
      </c>
      <c r="G42" s="217">
        <v>128.34510800000001</v>
      </c>
      <c r="H42" s="217">
        <v>130.92907700000001</v>
      </c>
      <c r="I42" s="217">
        <v>133.32522599999999</v>
      </c>
      <c r="J42" s="217">
        <v>135.63404800000001</v>
      </c>
      <c r="K42" s="217">
        <v>137.76855499999999</v>
      </c>
      <c r="L42" s="217">
        <v>139.750305</v>
      </c>
      <c r="M42" s="217">
        <v>141.53533899999999</v>
      </c>
      <c r="N42" s="217">
        <v>143.134064</v>
      </c>
      <c r="O42" s="217">
        <v>144.51812699999999</v>
      </c>
      <c r="P42" s="217">
        <v>145.76585399999999</v>
      </c>
      <c r="Q42" s="217">
        <v>146.887451</v>
      </c>
      <c r="R42" s="217">
        <v>147.90013099999999</v>
      </c>
      <c r="S42" s="217">
        <v>148.83334400000001</v>
      </c>
      <c r="T42" s="217">
        <v>149.705566</v>
      </c>
      <c r="U42" s="217">
        <v>150.58839399999999</v>
      </c>
      <c r="V42" s="217">
        <v>151.434967</v>
      </c>
      <c r="W42" s="217">
        <v>152.26075700000001</v>
      </c>
      <c r="X42" s="217">
        <v>153.095032</v>
      </c>
      <c r="Y42" s="217">
        <v>153.94648699999999</v>
      </c>
      <c r="Z42" s="217">
        <v>154.83892800000001</v>
      </c>
      <c r="AA42" s="217">
        <v>155.685699</v>
      </c>
      <c r="AB42" s="217">
        <v>156.568253</v>
      </c>
      <c r="AC42" s="217">
        <v>157.45515399999999</v>
      </c>
      <c r="AD42" s="217">
        <v>158.39172400000001</v>
      </c>
      <c r="AE42" s="217">
        <v>159.39154099999999</v>
      </c>
      <c r="AF42" s="212">
        <v>1.0831E-2</v>
      </c>
      <c r="AG42" s="31"/>
    </row>
    <row r="43" spans="1:33">
      <c r="A43" s="30" t="s">
        <v>711</v>
      </c>
      <c r="B43" s="210" t="s">
        <v>674</v>
      </c>
      <c r="C43" s="217">
        <v>0.77402099999999996</v>
      </c>
      <c r="D43" s="217">
        <v>0.85321100000000005</v>
      </c>
      <c r="E43" s="217">
        <v>0.94013999999999998</v>
      </c>
      <c r="F43" s="217">
        <v>1.0323040000000001</v>
      </c>
      <c r="G43" s="217">
        <v>1.1262620000000001</v>
      </c>
      <c r="H43" s="217">
        <v>1.2212540000000001</v>
      </c>
      <c r="I43" s="217">
        <v>1.320392</v>
      </c>
      <c r="J43" s="217">
        <v>1.413743</v>
      </c>
      <c r="K43" s="217">
        <v>1.5011969999999999</v>
      </c>
      <c r="L43" s="217">
        <v>1.5822290000000001</v>
      </c>
      <c r="M43" s="217">
        <v>1.658838</v>
      </c>
      <c r="N43" s="217">
        <v>1.730669</v>
      </c>
      <c r="O43" s="217">
        <v>1.799566</v>
      </c>
      <c r="P43" s="217">
        <v>1.864895</v>
      </c>
      <c r="Q43" s="217">
        <v>1.929767</v>
      </c>
      <c r="R43" s="217">
        <v>1.9921169999999999</v>
      </c>
      <c r="S43" s="217">
        <v>2.0521129999999999</v>
      </c>
      <c r="T43" s="217">
        <v>2.1114459999999999</v>
      </c>
      <c r="U43" s="217">
        <v>2.1692300000000002</v>
      </c>
      <c r="V43" s="217">
        <v>2.2242329999999999</v>
      </c>
      <c r="W43" s="217">
        <v>2.2767569999999999</v>
      </c>
      <c r="X43" s="217">
        <v>2.325599</v>
      </c>
      <c r="Y43" s="217">
        <v>2.372668</v>
      </c>
      <c r="Z43" s="217">
        <v>2.4181569999999999</v>
      </c>
      <c r="AA43" s="217">
        <v>2.4645570000000001</v>
      </c>
      <c r="AB43" s="217">
        <v>2.509754</v>
      </c>
      <c r="AC43" s="217">
        <v>2.5557530000000002</v>
      </c>
      <c r="AD43" s="217">
        <v>2.6019429999999999</v>
      </c>
      <c r="AE43" s="217">
        <v>2.6506690000000002</v>
      </c>
      <c r="AF43" s="212">
        <v>4.4943999999999998E-2</v>
      </c>
      <c r="AG43" s="31"/>
    </row>
    <row r="44" spans="1:33">
      <c r="A44" s="30" t="s">
        <v>712</v>
      </c>
      <c r="B44" s="210" t="s">
        <v>713</v>
      </c>
      <c r="C44" s="217">
        <v>118.66081200000001</v>
      </c>
      <c r="D44" s="217">
        <v>121.13722199999999</v>
      </c>
      <c r="E44" s="217">
        <v>123.832916</v>
      </c>
      <c r="F44" s="217">
        <v>126.662575</v>
      </c>
      <c r="G44" s="217">
        <v>129.47137499999999</v>
      </c>
      <c r="H44" s="217">
        <v>132.15033</v>
      </c>
      <c r="I44" s="217">
        <v>134.64561499999999</v>
      </c>
      <c r="J44" s="217">
        <v>137.04779099999999</v>
      </c>
      <c r="K44" s="217">
        <v>139.269745</v>
      </c>
      <c r="L44" s="217">
        <v>141.33253500000001</v>
      </c>
      <c r="M44" s="217">
        <v>143.19418300000001</v>
      </c>
      <c r="N44" s="217">
        <v>144.86473100000001</v>
      </c>
      <c r="O44" s="217">
        <v>146.317688</v>
      </c>
      <c r="P44" s="217">
        <v>147.630753</v>
      </c>
      <c r="Q44" s="217">
        <v>148.817215</v>
      </c>
      <c r="R44" s="217">
        <v>149.89224200000001</v>
      </c>
      <c r="S44" s="217">
        <v>150.88545199999999</v>
      </c>
      <c r="T44" s="217">
        <v>151.81701699999999</v>
      </c>
      <c r="U44" s="217">
        <v>152.75762900000001</v>
      </c>
      <c r="V44" s="217">
        <v>153.65919500000001</v>
      </c>
      <c r="W44" s="217">
        <v>154.537521</v>
      </c>
      <c r="X44" s="217">
        <v>155.420624</v>
      </c>
      <c r="Y44" s="217">
        <v>156.319153</v>
      </c>
      <c r="Z44" s="217">
        <v>157.25708</v>
      </c>
      <c r="AA44" s="217">
        <v>158.15025299999999</v>
      </c>
      <c r="AB44" s="217">
        <v>159.078003</v>
      </c>
      <c r="AC44" s="217">
        <v>160.01091</v>
      </c>
      <c r="AD44" s="217">
        <v>160.99366800000001</v>
      </c>
      <c r="AE44" s="217">
        <v>162.04220599999999</v>
      </c>
      <c r="AF44" s="212">
        <v>1.119E-2</v>
      </c>
      <c r="AG44" s="31"/>
    </row>
    <row r="45" spans="1:33">
      <c r="A45" s="29"/>
      <c r="B45" s="31"/>
      <c r="C45" s="31"/>
      <c r="D45" s="31"/>
      <c r="E45" s="31"/>
      <c r="F45" s="31"/>
      <c r="G45" s="31"/>
      <c r="H45" s="31"/>
      <c r="I45" s="31"/>
      <c r="J45" s="31"/>
      <c r="K45" s="31"/>
      <c r="L45" s="31"/>
      <c r="M45" s="31"/>
      <c r="N45" s="31"/>
      <c r="O45" s="31"/>
      <c r="P45" s="31"/>
      <c r="Q45" s="31"/>
      <c r="R45" s="31"/>
      <c r="S45" s="31"/>
      <c r="T45" s="31"/>
      <c r="U45" s="31"/>
      <c r="V45" s="31"/>
      <c r="W45" s="31"/>
      <c r="X45" s="31"/>
      <c r="Y45" s="31"/>
      <c r="Z45" s="31"/>
      <c r="AA45" s="31"/>
      <c r="AB45" s="31"/>
      <c r="AC45" s="31"/>
      <c r="AD45" s="31"/>
      <c r="AE45" s="31"/>
      <c r="AF45" s="31"/>
      <c r="AG45" s="31"/>
    </row>
    <row r="46" spans="1:33">
      <c r="A46" s="29"/>
      <c r="B46" s="209" t="s">
        <v>374</v>
      </c>
      <c r="C46" s="31"/>
      <c r="D46" s="31"/>
      <c r="E46" s="31"/>
      <c r="F46" s="31"/>
      <c r="G46" s="31"/>
      <c r="H46" s="31"/>
      <c r="I46" s="31"/>
      <c r="J46" s="31"/>
      <c r="K46" s="31"/>
      <c r="L46" s="31"/>
      <c r="M46" s="31"/>
      <c r="N46" s="31"/>
      <c r="O46" s="31"/>
      <c r="P46" s="31"/>
      <c r="Q46" s="31"/>
      <c r="R46" s="31"/>
      <c r="S46" s="31"/>
      <c r="T46" s="31"/>
      <c r="U46" s="31"/>
      <c r="V46" s="31"/>
      <c r="W46" s="31"/>
      <c r="X46" s="31"/>
      <c r="Y46" s="31"/>
      <c r="Z46" s="31"/>
      <c r="AA46" s="31"/>
      <c r="AB46" s="31"/>
      <c r="AC46" s="31"/>
      <c r="AD46" s="31"/>
      <c r="AE46" s="31"/>
      <c r="AF46" s="31"/>
      <c r="AG46" s="31"/>
    </row>
    <row r="47" spans="1:33">
      <c r="A47" s="30" t="s">
        <v>714</v>
      </c>
      <c r="B47" s="210" t="s">
        <v>678</v>
      </c>
      <c r="C47" s="217">
        <v>15.713393999999999</v>
      </c>
      <c r="D47" s="217">
        <v>15.58339</v>
      </c>
      <c r="E47" s="217">
        <v>15.429836</v>
      </c>
      <c r="F47" s="217">
        <v>15.238759999999999</v>
      </c>
      <c r="G47" s="217">
        <v>15.003667999999999</v>
      </c>
      <c r="H47" s="217">
        <v>14.729768</v>
      </c>
      <c r="I47" s="217">
        <v>14.418824000000001</v>
      </c>
      <c r="J47" s="217">
        <v>14.077964</v>
      </c>
      <c r="K47" s="217">
        <v>13.711219</v>
      </c>
      <c r="L47" s="217">
        <v>13.327301</v>
      </c>
      <c r="M47" s="217">
        <v>12.94807</v>
      </c>
      <c r="N47" s="217">
        <v>12.575521</v>
      </c>
      <c r="O47" s="217">
        <v>12.217373</v>
      </c>
      <c r="P47" s="217">
        <v>11.890112</v>
      </c>
      <c r="Q47" s="217">
        <v>11.602482</v>
      </c>
      <c r="R47" s="217">
        <v>11.354369999999999</v>
      </c>
      <c r="S47" s="217">
        <v>11.152258</v>
      </c>
      <c r="T47" s="217">
        <v>10.991949</v>
      </c>
      <c r="U47" s="217">
        <v>10.863999</v>
      </c>
      <c r="V47" s="217">
        <v>10.755198999999999</v>
      </c>
      <c r="W47" s="217">
        <v>10.669739</v>
      </c>
      <c r="X47" s="217">
        <v>10.600984</v>
      </c>
      <c r="Y47" s="217">
        <v>10.545685000000001</v>
      </c>
      <c r="Z47" s="217">
        <v>10.500133999999999</v>
      </c>
      <c r="AA47" s="217">
        <v>10.457166000000001</v>
      </c>
      <c r="AB47" s="217">
        <v>10.422086999999999</v>
      </c>
      <c r="AC47" s="217">
        <v>10.392211</v>
      </c>
      <c r="AD47" s="217">
        <v>10.370437000000001</v>
      </c>
      <c r="AE47" s="217">
        <v>10.357177</v>
      </c>
      <c r="AF47" s="212">
        <v>-1.4777E-2</v>
      </c>
      <c r="AG47" s="31"/>
    </row>
    <row r="48" spans="1:33">
      <c r="A48" s="30" t="s">
        <v>715</v>
      </c>
      <c r="B48" s="210" t="s">
        <v>680</v>
      </c>
      <c r="C48" s="217">
        <v>6.2500000000000001E-4</v>
      </c>
      <c r="D48" s="217">
        <v>6.2799999999999998E-4</v>
      </c>
      <c r="E48" s="217">
        <v>6.3699999999999998E-4</v>
      </c>
      <c r="F48" s="217">
        <v>6.4700000000000001E-4</v>
      </c>
      <c r="G48" s="217">
        <v>6.5300000000000004E-4</v>
      </c>
      <c r="H48" s="217">
        <v>6.5899999999999997E-4</v>
      </c>
      <c r="I48" s="217">
        <v>6.6200000000000005E-4</v>
      </c>
      <c r="J48" s="217">
        <v>6.6100000000000002E-4</v>
      </c>
      <c r="K48" s="217">
        <v>6.5799999999999995E-4</v>
      </c>
      <c r="L48" s="217">
        <v>6.5200000000000002E-4</v>
      </c>
      <c r="M48" s="217">
        <v>6.4400000000000004E-4</v>
      </c>
      <c r="N48" s="217">
        <v>6.3299999999999999E-4</v>
      </c>
      <c r="O48" s="217">
        <v>6.2100000000000002E-4</v>
      </c>
      <c r="P48" s="217">
        <v>6.0599999999999998E-4</v>
      </c>
      <c r="Q48" s="217">
        <v>5.9000000000000003E-4</v>
      </c>
      <c r="R48" s="217">
        <v>5.7200000000000003E-4</v>
      </c>
      <c r="S48" s="217">
        <v>5.53E-4</v>
      </c>
      <c r="T48" s="217">
        <v>5.31E-4</v>
      </c>
      <c r="U48" s="217">
        <v>5.0699999999999996E-4</v>
      </c>
      <c r="V48" s="217">
        <v>4.8200000000000001E-4</v>
      </c>
      <c r="W48" s="217">
        <v>4.5600000000000003E-4</v>
      </c>
      <c r="X48" s="217">
        <v>4.28E-4</v>
      </c>
      <c r="Y48" s="217">
        <v>4.0000000000000002E-4</v>
      </c>
      <c r="Z48" s="217">
        <v>3.7199999999999999E-4</v>
      </c>
      <c r="AA48" s="217">
        <v>3.4299999999999999E-4</v>
      </c>
      <c r="AB48" s="217">
        <v>3.1399999999999999E-4</v>
      </c>
      <c r="AC48" s="217">
        <v>2.8400000000000002E-4</v>
      </c>
      <c r="AD48" s="217">
        <v>2.5500000000000002E-4</v>
      </c>
      <c r="AE48" s="217">
        <v>2.2499999999999999E-4</v>
      </c>
      <c r="AF48" s="212">
        <v>-3.5817000000000002E-2</v>
      </c>
      <c r="AG48" s="31"/>
    </row>
    <row r="49" spans="1:33">
      <c r="A49" s="30" t="s">
        <v>716</v>
      </c>
      <c r="B49" s="210" t="s">
        <v>682</v>
      </c>
      <c r="C49" s="217">
        <v>5.3358000000000003E-2</v>
      </c>
      <c r="D49" s="217">
        <v>7.6868000000000006E-2</v>
      </c>
      <c r="E49" s="217">
        <v>0.10803400000000001</v>
      </c>
      <c r="F49" s="217">
        <v>0.14524599999999999</v>
      </c>
      <c r="G49" s="217">
        <v>0.18510199999999999</v>
      </c>
      <c r="H49" s="217">
        <v>0.22530800000000001</v>
      </c>
      <c r="I49" s="217">
        <v>0.26521600000000001</v>
      </c>
      <c r="J49" s="217">
        <v>0.30553799999999998</v>
      </c>
      <c r="K49" s="217">
        <v>0.34304800000000002</v>
      </c>
      <c r="L49" s="217">
        <v>0.376162</v>
      </c>
      <c r="M49" s="217">
        <v>0.40619699999999997</v>
      </c>
      <c r="N49" s="217">
        <v>0.43337300000000001</v>
      </c>
      <c r="O49" s="217">
        <v>0.45835300000000001</v>
      </c>
      <c r="P49" s="217">
        <v>0.48177799999999998</v>
      </c>
      <c r="Q49" s="217">
        <v>0.503332</v>
      </c>
      <c r="R49" s="217">
        <v>0.52344800000000002</v>
      </c>
      <c r="S49" s="217">
        <v>0.542543</v>
      </c>
      <c r="T49" s="217">
        <v>0.56076499999999996</v>
      </c>
      <c r="U49" s="217">
        <v>0.57839200000000002</v>
      </c>
      <c r="V49" s="217">
        <v>0.59515700000000005</v>
      </c>
      <c r="W49" s="217">
        <v>0.61138199999999998</v>
      </c>
      <c r="X49" s="217">
        <v>0.62727299999999997</v>
      </c>
      <c r="Y49" s="217">
        <v>0.643042</v>
      </c>
      <c r="Z49" s="217">
        <v>0.65921099999999999</v>
      </c>
      <c r="AA49" s="217">
        <v>0.67565200000000003</v>
      </c>
      <c r="AB49" s="217">
        <v>0.69272999999999996</v>
      </c>
      <c r="AC49" s="217">
        <v>0.71026500000000004</v>
      </c>
      <c r="AD49" s="217">
        <v>0.72919199999999995</v>
      </c>
      <c r="AE49" s="217">
        <v>0.74979099999999999</v>
      </c>
      <c r="AF49" s="212">
        <v>9.8982000000000001E-2</v>
      </c>
      <c r="AG49" s="31"/>
    </row>
    <row r="50" spans="1:33">
      <c r="A50" s="30" t="s">
        <v>717</v>
      </c>
      <c r="B50" s="210" t="s">
        <v>684</v>
      </c>
      <c r="C50" s="217">
        <v>0.11713899999999999</v>
      </c>
      <c r="D50" s="217">
        <v>0.212451</v>
      </c>
      <c r="E50" s="217">
        <v>0.34578999999999999</v>
      </c>
      <c r="F50" s="217">
        <v>0.54533399999999999</v>
      </c>
      <c r="G50" s="217">
        <v>0.81651499999999999</v>
      </c>
      <c r="H50" s="217">
        <v>1.158399</v>
      </c>
      <c r="I50" s="217">
        <v>1.5794570000000001</v>
      </c>
      <c r="J50" s="217">
        <v>2.0827010000000001</v>
      </c>
      <c r="K50" s="217">
        <v>2.6440739999999998</v>
      </c>
      <c r="L50" s="217">
        <v>3.228691</v>
      </c>
      <c r="M50" s="217">
        <v>3.8400919999999998</v>
      </c>
      <c r="N50" s="217">
        <v>4.4654889999999998</v>
      </c>
      <c r="O50" s="217">
        <v>5.1036250000000001</v>
      </c>
      <c r="P50" s="217">
        <v>5.7552599999999998</v>
      </c>
      <c r="Q50" s="217">
        <v>6.415781</v>
      </c>
      <c r="R50" s="217">
        <v>7.0737870000000003</v>
      </c>
      <c r="S50" s="217">
        <v>7.7255890000000003</v>
      </c>
      <c r="T50" s="217">
        <v>8.3677700000000002</v>
      </c>
      <c r="U50" s="217">
        <v>8.9911150000000006</v>
      </c>
      <c r="V50" s="217">
        <v>9.59619</v>
      </c>
      <c r="W50" s="217">
        <v>10.183934000000001</v>
      </c>
      <c r="X50" s="217">
        <v>10.747344999999999</v>
      </c>
      <c r="Y50" s="217">
        <v>11.284158</v>
      </c>
      <c r="Z50" s="217">
        <v>11.795484999999999</v>
      </c>
      <c r="AA50" s="217">
        <v>12.30078</v>
      </c>
      <c r="AB50" s="217">
        <v>12.777334</v>
      </c>
      <c r="AC50" s="217">
        <v>13.223928000000001</v>
      </c>
      <c r="AD50" s="217">
        <v>13.650435</v>
      </c>
      <c r="AE50" s="217">
        <v>14.059476999999999</v>
      </c>
      <c r="AF50" s="212">
        <v>0.186478</v>
      </c>
      <c r="AG50" s="31"/>
    </row>
    <row r="51" spans="1:33">
      <c r="A51" s="30" t="s">
        <v>718</v>
      </c>
      <c r="B51" s="210" t="s">
        <v>686</v>
      </c>
      <c r="C51" s="217">
        <v>0.25728299999999998</v>
      </c>
      <c r="D51" s="217">
        <v>0.35872500000000002</v>
      </c>
      <c r="E51" s="217">
        <v>0.48028500000000002</v>
      </c>
      <c r="F51" s="217">
        <v>0.61610600000000004</v>
      </c>
      <c r="G51" s="217">
        <v>0.76191900000000001</v>
      </c>
      <c r="H51" s="217">
        <v>0.90988400000000003</v>
      </c>
      <c r="I51" s="217">
        <v>1.0597300000000001</v>
      </c>
      <c r="J51" s="217">
        <v>1.2099310000000001</v>
      </c>
      <c r="K51" s="217">
        <v>1.3555870000000001</v>
      </c>
      <c r="L51" s="217">
        <v>1.4998469999999999</v>
      </c>
      <c r="M51" s="217">
        <v>1.641178</v>
      </c>
      <c r="N51" s="217">
        <v>1.778902</v>
      </c>
      <c r="O51" s="217">
        <v>1.913405</v>
      </c>
      <c r="P51" s="217">
        <v>2.0450089999999999</v>
      </c>
      <c r="Q51" s="217">
        <v>2.1710440000000002</v>
      </c>
      <c r="R51" s="217">
        <v>2.2905150000000001</v>
      </c>
      <c r="S51" s="217">
        <v>2.4035160000000002</v>
      </c>
      <c r="T51" s="217">
        <v>2.5091890000000001</v>
      </c>
      <c r="U51" s="217">
        <v>2.6066310000000001</v>
      </c>
      <c r="V51" s="217">
        <v>2.6968969999999999</v>
      </c>
      <c r="W51" s="217">
        <v>2.7801589999999998</v>
      </c>
      <c r="X51" s="217">
        <v>2.8570709999999999</v>
      </c>
      <c r="Y51" s="217">
        <v>2.9271449999999999</v>
      </c>
      <c r="Z51" s="217">
        <v>2.991511</v>
      </c>
      <c r="AA51" s="217">
        <v>3.0508890000000002</v>
      </c>
      <c r="AB51" s="217">
        <v>3.105642</v>
      </c>
      <c r="AC51" s="217">
        <v>3.156174</v>
      </c>
      <c r="AD51" s="217">
        <v>3.2035719999999999</v>
      </c>
      <c r="AE51" s="217">
        <v>3.2491970000000001</v>
      </c>
      <c r="AF51" s="212">
        <v>9.4798999999999994E-2</v>
      </c>
      <c r="AG51" s="31"/>
    </row>
    <row r="52" spans="1:33">
      <c r="A52" s="30" t="s">
        <v>719</v>
      </c>
      <c r="B52" s="210" t="s">
        <v>688</v>
      </c>
      <c r="C52" s="217">
        <v>9.7989999999999994E-2</v>
      </c>
      <c r="D52" s="217">
        <v>0.175986</v>
      </c>
      <c r="E52" s="217">
        <v>0.28397699999999998</v>
      </c>
      <c r="F52" s="217">
        <v>0.42488700000000001</v>
      </c>
      <c r="G52" s="217">
        <v>0.591252</v>
      </c>
      <c r="H52" s="217">
        <v>0.777891</v>
      </c>
      <c r="I52" s="217">
        <v>0.98496099999999998</v>
      </c>
      <c r="J52" s="217">
        <v>1.2083930000000001</v>
      </c>
      <c r="K52" s="217">
        <v>1.444842</v>
      </c>
      <c r="L52" s="217">
        <v>1.685235</v>
      </c>
      <c r="M52" s="217">
        <v>1.931497</v>
      </c>
      <c r="N52" s="217">
        <v>2.1843919999999999</v>
      </c>
      <c r="O52" s="217">
        <v>2.4446110000000001</v>
      </c>
      <c r="P52" s="217">
        <v>2.7123940000000002</v>
      </c>
      <c r="Q52" s="217">
        <v>2.9830909999999999</v>
      </c>
      <c r="R52" s="217">
        <v>3.2527659999999998</v>
      </c>
      <c r="S52" s="217">
        <v>3.5197509999999999</v>
      </c>
      <c r="T52" s="217">
        <v>3.7818879999999999</v>
      </c>
      <c r="U52" s="217">
        <v>4.034904</v>
      </c>
      <c r="V52" s="217">
        <v>4.2790169999999996</v>
      </c>
      <c r="W52" s="217">
        <v>4.5142030000000002</v>
      </c>
      <c r="X52" s="217">
        <v>4.7387709999999998</v>
      </c>
      <c r="Y52" s="217">
        <v>4.9512409999999996</v>
      </c>
      <c r="Z52" s="217">
        <v>5.152997</v>
      </c>
      <c r="AA52" s="217">
        <v>5.3477399999999999</v>
      </c>
      <c r="AB52" s="217">
        <v>5.5320640000000001</v>
      </c>
      <c r="AC52" s="217">
        <v>5.7046029999999996</v>
      </c>
      <c r="AD52" s="217">
        <v>5.8681559999999999</v>
      </c>
      <c r="AE52" s="217">
        <v>6.024699</v>
      </c>
      <c r="AF52" s="212">
        <v>0.158468</v>
      </c>
      <c r="AG52" s="31"/>
    </row>
    <row r="53" spans="1:33">
      <c r="A53" s="30" t="s">
        <v>720</v>
      </c>
      <c r="B53" s="210" t="s">
        <v>690</v>
      </c>
      <c r="C53" s="217">
        <v>0</v>
      </c>
      <c r="D53" s="217">
        <v>0</v>
      </c>
      <c r="E53" s="217">
        <v>0</v>
      </c>
      <c r="F53" s="217">
        <v>0</v>
      </c>
      <c r="G53" s="217">
        <v>0</v>
      </c>
      <c r="H53" s="217">
        <v>0</v>
      </c>
      <c r="I53" s="217">
        <v>0</v>
      </c>
      <c r="J53" s="217">
        <v>0</v>
      </c>
      <c r="K53" s="217">
        <v>0</v>
      </c>
      <c r="L53" s="217">
        <v>0</v>
      </c>
      <c r="M53" s="217">
        <v>0</v>
      </c>
      <c r="N53" s="217">
        <v>0</v>
      </c>
      <c r="O53" s="217">
        <v>0</v>
      </c>
      <c r="P53" s="217">
        <v>0</v>
      </c>
      <c r="Q53" s="217">
        <v>0</v>
      </c>
      <c r="R53" s="217">
        <v>0</v>
      </c>
      <c r="S53" s="217">
        <v>0</v>
      </c>
      <c r="T53" s="217">
        <v>0</v>
      </c>
      <c r="U53" s="217">
        <v>0</v>
      </c>
      <c r="V53" s="217">
        <v>0</v>
      </c>
      <c r="W53" s="217">
        <v>0</v>
      </c>
      <c r="X53" s="217">
        <v>0</v>
      </c>
      <c r="Y53" s="217">
        <v>0</v>
      </c>
      <c r="Z53" s="217">
        <v>0</v>
      </c>
      <c r="AA53" s="217">
        <v>0</v>
      </c>
      <c r="AB53" s="217">
        <v>0</v>
      </c>
      <c r="AC53" s="217">
        <v>0</v>
      </c>
      <c r="AD53" s="217">
        <v>0</v>
      </c>
      <c r="AE53" s="217">
        <v>0</v>
      </c>
      <c r="AF53" s="212" t="s">
        <v>340</v>
      </c>
      <c r="AG53" s="31"/>
    </row>
    <row r="54" spans="1:33">
      <c r="A54" s="30" t="s">
        <v>721</v>
      </c>
      <c r="B54" s="210" t="s">
        <v>692</v>
      </c>
      <c r="C54" s="217">
        <v>1.7051270000000001</v>
      </c>
      <c r="D54" s="217">
        <v>2.1234500000000001</v>
      </c>
      <c r="E54" s="217">
        <v>2.5921080000000001</v>
      </c>
      <c r="F54" s="217">
        <v>3.0982020000000001</v>
      </c>
      <c r="G54" s="217">
        <v>3.6282619999999999</v>
      </c>
      <c r="H54" s="217">
        <v>4.1710669999999999</v>
      </c>
      <c r="I54" s="217">
        <v>4.7284579999999998</v>
      </c>
      <c r="J54" s="217">
        <v>5.2948459999999997</v>
      </c>
      <c r="K54" s="217">
        <v>5.859623</v>
      </c>
      <c r="L54" s="217">
        <v>6.4205509999999997</v>
      </c>
      <c r="M54" s="217">
        <v>6.973732</v>
      </c>
      <c r="N54" s="217">
        <v>7.5206670000000004</v>
      </c>
      <c r="O54" s="217">
        <v>8.0622849999999993</v>
      </c>
      <c r="P54" s="217">
        <v>8.5996640000000006</v>
      </c>
      <c r="Q54" s="217">
        <v>9.1249529999999996</v>
      </c>
      <c r="R54" s="217">
        <v>9.6330919999999995</v>
      </c>
      <c r="S54" s="217">
        <v>10.123214000000001</v>
      </c>
      <c r="T54" s="217">
        <v>10.592503000000001</v>
      </c>
      <c r="U54" s="217">
        <v>11.037089999999999</v>
      </c>
      <c r="V54" s="217">
        <v>11.457216000000001</v>
      </c>
      <c r="W54" s="217">
        <v>11.854656</v>
      </c>
      <c r="X54" s="217">
        <v>12.228994</v>
      </c>
      <c r="Y54" s="217">
        <v>12.579977</v>
      </c>
      <c r="Z54" s="217">
        <v>12.913245999999999</v>
      </c>
      <c r="AA54" s="217">
        <v>13.235011999999999</v>
      </c>
      <c r="AB54" s="217">
        <v>13.541435999999999</v>
      </c>
      <c r="AC54" s="217">
        <v>13.831206</v>
      </c>
      <c r="AD54" s="217">
        <v>14.109266999999999</v>
      </c>
      <c r="AE54" s="217">
        <v>14.379716999999999</v>
      </c>
      <c r="AF54" s="212">
        <v>7.9124E-2</v>
      </c>
      <c r="AG54" s="31"/>
    </row>
    <row r="55" spans="1:33">
      <c r="A55" s="30" t="s">
        <v>722</v>
      </c>
      <c r="B55" s="210" t="s">
        <v>694</v>
      </c>
      <c r="C55" s="217">
        <v>3.055E-3</v>
      </c>
      <c r="D55" s="217">
        <v>3.1080000000000001E-3</v>
      </c>
      <c r="E55" s="217">
        <v>3.2450000000000001E-3</v>
      </c>
      <c r="F55" s="217">
        <v>3.3890000000000001E-3</v>
      </c>
      <c r="G55" s="217">
        <v>3.5200000000000001E-3</v>
      </c>
      <c r="H55" s="217">
        <v>3.6350000000000002E-3</v>
      </c>
      <c r="I55" s="217">
        <v>3.735E-3</v>
      </c>
      <c r="J55" s="217">
        <v>3.8440000000000002E-3</v>
      </c>
      <c r="K55" s="217">
        <v>3.947E-3</v>
      </c>
      <c r="L55" s="217">
        <v>4.0410000000000003E-3</v>
      </c>
      <c r="M55" s="217">
        <v>4.1320000000000003E-3</v>
      </c>
      <c r="N55" s="217">
        <v>4.2160000000000001E-3</v>
      </c>
      <c r="O55" s="217">
        <v>4.2989999999999999E-3</v>
      </c>
      <c r="P55" s="217">
        <v>4.3779999999999999E-3</v>
      </c>
      <c r="Q55" s="217">
        <v>4.4559999999999999E-3</v>
      </c>
      <c r="R55" s="217">
        <v>4.5399999999999998E-3</v>
      </c>
      <c r="S55" s="217">
        <v>4.6129999999999999E-3</v>
      </c>
      <c r="T55" s="217">
        <v>4.6820000000000004E-3</v>
      </c>
      <c r="U55" s="217">
        <v>4.7419999999999997E-3</v>
      </c>
      <c r="V55" s="217">
        <v>4.79E-3</v>
      </c>
      <c r="W55" s="217">
        <v>4.8269999999999997E-3</v>
      </c>
      <c r="X55" s="217">
        <v>4.8539999999999998E-3</v>
      </c>
      <c r="Y55" s="217">
        <v>4.8780000000000004E-3</v>
      </c>
      <c r="Z55" s="217">
        <v>4.8960000000000002E-3</v>
      </c>
      <c r="AA55" s="217">
        <v>4.914E-3</v>
      </c>
      <c r="AB55" s="217">
        <v>4.9329999999999999E-3</v>
      </c>
      <c r="AC55" s="217">
        <v>4.9560000000000003E-3</v>
      </c>
      <c r="AD55" s="217">
        <v>4.9800000000000001E-3</v>
      </c>
      <c r="AE55" s="217">
        <v>5.0090000000000004E-3</v>
      </c>
      <c r="AF55" s="212">
        <v>1.7821E-2</v>
      </c>
      <c r="AG55" s="31"/>
    </row>
    <row r="56" spans="1:33">
      <c r="A56" s="30" t="s">
        <v>723</v>
      </c>
      <c r="B56" s="210" t="s">
        <v>696</v>
      </c>
      <c r="C56" s="217">
        <v>2.2200000000000002E-3</v>
      </c>
      <c r="D56" s="217">
        <v>2.081E-3</v>
      </c>
      <c r="E56" s="217">
        <v>2.0040000000000001E-3</v>
      </c>
      <c r="F56" s="217">
        <v>1.931E-3</v>
      </c>
      <c r="G56" s="217">
        <v>1.8630000000000001E-3</v>
      </c>
      <c r="H56" s="217">
        <v>1.8010000000000001E-3</v>
      </c>
      <c r="I56" s="217">
        <v>1.745E-3</v>
      </c>
      <c r="J56" s="217">
        <v>1.6930000000000001E-3</v>
      </c>
      <c r="K56" s="217">
        <v>1.645E-3</v>
      </c>
      <c r="L56" s="217">
        <v>1.6019999999999999E-3</v>
      </c>
      <c r="M56" s="217">
        <v>1.562E-3</v>
      </c>
      <c r="N56" s="217">
        <v>1.5250000000000001E-3</v>
      </c>
      <c r="O56" s="217">
        <v>1.4909999999999999E-3</v>
      </c>
      <c r="P56" s="217">
        <v>1.4599999999999999E-3</v>
      </c>
      <c r="Q56" s="217">
        <v>1.433E-3</v>
      </c>
      <c r="R56" s="217">
        <v>1.407E-3</v>
      </c>
      <c r="S56" s="217">
        <v>1.384E-3</v>
      </c>
      <c r="T56" s="217">
        <v>1.3619999999999999E-3</v>
      </c>
      <c r="U56" s="217">
        <v>1.3420000000000001E-3</v>
      </c>
      <c r="V56" s="217">
        <v>1.323E-3</v>
      </c>
      <c r="W56" s="217">
        <v>1.3060000000000001E-3</v>
      </c>
      <c r="X56" s="217">
        <v>1.2899999999999999E-3</v>
      </c>
      <c r="Y56" s="217">
        <v>1.2750000000000001E-3</v>
      </c>
      <c r="Z56" s="217">
        <v>1.263E-3</v>
      </c>
      <c r="AA56" s="217">
        <v>1.2520000000000001E-3</v>
      </c>
      <c r="AB56" s="217">
        <v>1.243E-3</v>
      </c>
      <c r="AC56" s="217">
        <v>1.237E-3</v>
      </c>
      <c r="AD56" s="217">
        <v>1.2329999999999999E-3</v>
      </c>
      <c r="AE56" s="217">
        <v>1.232E-3</v>
      </c>
      <c r="AF56" s="212">
        <v>-2.0794E-2</v>
      </c>
      <c r="AG56" s="31"/>
    </row>
    <row r="57" spans="1:33">
      <c r="A57" s="30" t="s">
        <v>724</v>
      </c>
      <c r="B57" s="210" t="s">
        <v>698</v>
      </c>
      <c r="C57" s="217">
        <v>6.1710000000000003E-3</v>
      </c>
      <c r="D57" s="217">
        <v>6.2119999999999996E-3</v>
      </c>
      <c r="E57" s="217">
        <v>6.3860000000000002E-3</v>
      </c>
      <c r="F57" s="217">
        <v>6.6889999999999996E-3</v>
      </c>
      <c r="G57" s="217">
        <v>7.1320000000000003E-3</v>
      </c>
      <c r="H57" s="217">
        <v>7.6959999999999997E-3</v>
      </c>
      <c r="I57" s="217">
        <v>8.2900000000000005E-3</v>
      </c>
      <c r="J57" s="217">
        <v>8.9180000000000006E-3</v>
      </c>
      <c r="K57" s="217">
        <v>9.5569999999999995E-3</v>
      </c>
      <c r="L57" s="217">
        <v>1.0204E-2</v>
      </c>
      <c r="M57" s="217">
        <v>1.0855999999999999E-2</v>
      </c>
      <c r="N57" s="217">
        <v>1.1506000000000001E-2</v>
      </c>
      <c r="O57" s="217">
        <v>1.2161999999999999E-2</v>
      </c>
      <c r="P57" s="217">
        <v>1.2827E-2</v>
      </c>
      <c r="Q57" s="217">
        <v>1.3511E-2</v>
      </c>
      <c r="R57" s="217">
        <v>1.4201999999999999E-2</v>
      </c>
      <c r="S57" s="217">
        <v>1.4893999999999999E-2</v>
      </c>
      <c r="T57" s="217">
        <v>1.5594E-2</v>
      </c>
      <c r="U57" s="217">
        <v>1.6296999999999999E-2</v>
      </c>
      <c r="V57" s="217">
        <v>1.6993000000000001E-2</v>
      </c>
      <c r="W57" s="217">
        <v>1.7689E-2</v>
      </c>
      <c r="X57" s="217">
        <v>1.8388999999999999E-2</v>
      </c>
      <c r="Y57" s="217">
        <v>1.9109999999999999E-2</v>
      </c>
      <c r="Z57" s="217">
        <v>1.9855999999999999E-2</v>
      </c>
      <c r="AA57" s="217">
        <v>2.0650999999999999E-2</v>
      </c>
      <c r="AB57" s="217">
        <v>2.1482999999999999E-2</v>
      </c>
      <c r="AC57" s="217">
        <v>2.2362E-2</v>
      </c>
      <c r="AD57" s="217">
        <v>2.3290000000000002E-2</v>
      </c>
      <c r="AE57" s="217">
        <v>2.4303999999999999E-2</v>
      </c>
      <c r="AF57" s="212">
        <v>5.0172000000000001E-2</v>
      </c>
      <c r="AG57" s="31"/>
    </row>
    <row r="58" spans="1:33">
      <c r="A58" s="30" t="s">
        <v>725</v>
      </c>
      <c r="B58" s="210" t="s">
        <v>700</v>
      </c>
      <c r="C58" s="217">
        <v>5.1320000000000003E-3</v>
      </c>
      <c r="D58" s="217">
        <v>4.7390000000000002E-3</v>
      </c>
      <c r="E58" s="217">
        <v>4.4869999999999997E-3</v>
      </c>
      <c r="F58" s="217">
        <v>4.2490000000000002E-3</v>
      </c>
      <c r="G58" s="217">
        <v>4.0239999999999998E-3</v>
      </c>
      <c r="H58" s="217">
        <v>3.813E-3</v>
      </c>
      <c r="I58" s="217">
        <v>3.6129999999999999E-3</v>
      </c>
      <c r="J58" s="217">
        <v>3.4250000000000001E-3</v>
      </c>
      <c r="K58" s="217">
        <v>3.2469999999999999E-3</v>
      </c>
      <c r="L58" s="217">
        <v>3.0790000000000001E-3</v>
      </c>
      <c r="M58" s="217">
        <v>2.9199999999999999E-3</v>
      </c>
      <c r="N58" s="217">
        <v>2.7699999999999999E-3</v>
      </c>
      <c r="O58" s="217">
        <v>2.6280000000000001E-3</v>
      </c>
      <c r="P58" s="217">
        <v>2.4940000000000001E-3</v>
      </c>
      <c r="Q58" s="217">
        <v>2.3679999999999999E-3</v>
      </c>
      <c r="R58" s="217">
        <v>2.248E-3</v>
      </c>
      <c r="S58" s="217">
        <v>2.1350000000000002E-3</v>
      </c>
      <c r="T58" s="217">
        <v>2.029E-3</v>
      </c>
      <c r="U58" s="217">
        <v>1.928E-3</v>
      </c>
      <c r="V58" s="217">
        <v>1.8320000000000001E-3</v>
      </c>
      <c r="W58" s="217">
        <v>1.7420000000000001E-3</v>
      </c>
      <c r="X58" s="217">
        <v>1.6559999999999999E-3</v>
      </c>
      <c r="Y58" s="217">
        <v>1.575E-3</v>
      </c>
      <c r="Z58" s="217">
        <v>1.4989999999999999E-3</v>
      </c>
      <c r="AA58" s="217">
        <v>1.4270000000000001E-3</v>
      </c>
      <c r="AB58" s="217">
        <v>1.3600000000000001E-3</v>
      </c>
      <c r="AC58" s="217">
        <v>1.2960000000000001E-3</v>
      </c>
      <c r="AD58" s="217">
        <v>1.2359999999999999E-3</v>
      </c>
      <c r="AE58" s="217">
        <v>1.1800000000000001E-3</v>
      </c>
      <c r="AF58" s="212">
        <v>-5.1159999999999997E-2</v>
      </c>
      <c r="AG58" s="31"/>
    </row>
    <row r="59" spans="1:33">
      <c r="A59" s="30" t="s">
        <v>726</v>
      </c>
      <c r="B59" s="210" t="s">
        <v>702</v>
      </c>
      <c r="C59" s="217">
        <v>0</v>
      </c>
      <c r="D59" s="217">
        <v>0</v>
      </c>
      <c r="E59" s="217">
        <v>0</v>
      </c>
      <c r="F59" s="217">
        <v>0</v>
      </c>
      <c r="G59" s="217">
        <v>0</v>
      </c>
      <c r="H59" s="217">
        <v>0</v>
      </c>
      <c r="I59" s="217">
        <v>0</v>
      </c>
      <c r="J59" s="217">
        <v>0</v>
      </c>
      <c r="K59" s="217">
        <v>0</v>
      </c>
      <c r="L59" s="217">
        <v>0</v>
      </c>
      <c r="M59" s="217">
        <v>0</v>
      </c>
      <c r="N59" s="217">
        <v>0</v>
      </c>
      <c r="O59" s="217">
        <v>0</v>
      </c>
      <c r="P59" s="217">
        <v>0</v>
      </c>
      <c r="Q59" s="217">
        <v>0</v>
      </c>
      <c r="R59" s="217">
        <v>0</v>
      </c>
      <c r="S59" s="217">
        <v>0</v>
      </c>
      <c r="T59" s="217">
        <v>0</v>
      </c>
      <c r="U59" s="217">
        <v>0</v>
      </c>
      <c r="V59" s="217">
        <v>0</v>
      </c>
      <c r="W59" s="217">
        <v>0</v>
      </c>
      <c r="X59" s="217">
        <v>0</v>
      </c>
      <c r="Y59" s="217">
        <v>0</v>
      </c>
      <c r="Z59" s="217">
        <v>0</v>
      </c>
      <c r="AA59" s="217">
        <v>0</v>
      </c>
      <c r="AB59" s="217">
        <v>0</v>
      </c>
      <c r="AC59" s="217">
        <v>0</v>
      </c>
      <c r="AD59" s="217">
        <v>0</v>
      </c>
      <c r="AE59" s="217">
        <v>0</v>
      </c>
      <c r="AF59" s="212" t="s">
        <v>340</v>
      </c>
      <c r="AG59" s="31"/>
    </row>
    <row r="60" spans="1:33">
      <c r="A60" s="30" t="s">
        <v>727</v>
      </c>
      <c r="B60" s="210" t="s">
        <v>704</v>
      </c>
      <c r="C60" s="217">
        <v>1.9999999999999999E-6</v>
      </c>
      <c r="D60" s="217">
        <v>6.0000000000000002E-6</v>
      </c>
      <c r="E60" s="217">
        <v>1.2999999999999999E-5</v>
      </c>
      <c r="F60" s="217">
        <v>2.1999999999999999E-5</v>
      </c>
      <c r="G60" s="217">
        <v>3.3000000000000003E-5</v>
      </c>
      <c r="H60" s="217">
        <v>4.6E-5</v>
      </c>
      <c r="I60" s="217">
        <v>6.2000000000000003E-5</v>
      </c>
      <c r="J60" s="217">
        <v>7.8999999999999996E-5</v>
      </c>
      <c r="K60" s="217">
        <v>9.7999999999999997E-5</v>
      </c>
      <c r="L60" s="217">
        <v>1.1900000000000001E-4</v>
      </c>
      <c r="M60" s="217">
        <v>1.4100000000000001E-4</v>
      </c>
      <c r="N60" s="217">
        <v>1.64E-4</v>
      </c>
      <c r="O60" s="217">
        <v>1.8900000000000001E-4</v>
      </c>
      <c r="P60" s="217">
        <v>2.14E-4</v>
      </c>
      <c r="Q60" s="217">
        <v>2.41E-4</v>
      </c>
      <c r="R60" s="217">
        <v>2.6899999999999998E-4</v>
      </c>
      <c r="S60" s="217">
        <v>2.9799999999999998E-4</v>
      </c>
      <c r="T60" s="217">
        <v>3.28E-4</v>
      </c>
      <c r="U60" s="217">
        <v>3.59E-4</v>
      </c>
      <c r="V60" s="217">
        <v>3.9100000000000002E-4</v>
      </c>
      <c r="W60" s="217">
        <v>4.2400000000000001E-4</v>
      </c>
      <c r="X60" s="217">
        <v>4.5800000000000002E-4</v>
      </c>
      <c r="Y60" s="217">
        <v>4.9200000000000003E-4</v>
      </c>
      <c r="Z60" s="217">
        <v>5.2700000000000002E-4</v>
      </c>
      <c r="AA60" s="217">
        <v>5.62E-4</v>
      </c>
      <c r="AB60" s="217">
        <v>5.9900000000000003E-4</v>
      </c>
      <c r="AC60" s="217">
        <v>6.3599999999999996E-4</v>
      </c>
      <c r="AD60" s="217">
        <v>6.7299999999999999E-4</v>
      </c>
      <c r="AE60" s="217">
        <v>7.1199999999999996E-4</v>
      </c>
      <c r="AF60" s="212">
        <v>0.23269400000000001</v>
      </c>
      <c r="AG60" s="31"/>
    </row>
    <row r="61" spans="1:33">
      <c r="A61" s="30" t="s">
        <v>728</v>
      </c>
      <c r="B61" s="210" t="s">
        <v>729</v>
      </c>
      <c r="C61" s="217">
        <v>17.961500000000001</v>
      </c>
      <c r="D61" s="217">
        <v>18.547642</v>
      </c>
      <c r="E61" s="217">
        <v>19.256799999999998</v>
      </c>
      <c r="F61" s="217">
        <v>20.085459</v>
      </c>
      <c r="G61" s="217">
        <v>21.003944000000001</v>
      </c>
      <c r="H61" s="217">
        <v>21.989965000000002</v>
      </c>
      <c r="I61" s="217">
        <v>23.054752000000001</v>
      </c>
      <c r="J61" s="217">
        <v>24.197991999999999</v>
      </c>
      <c r="K61" s="217">
        <v>25.377545999999999</v>
      </c>
      <c r="L61" s="217">
        <v>26.557483999999999</v>
      </c>
      <c r="M61" s="217">
        <v>27.761019000000001</v>
      </c>
      <c r="N61" s="217">
        <v>28.97916</v>
      </c>
      <c r="O61" s="217">
        <v>30.221045</v>
      </c>
      <c r="P61" s="217">
        <v>31.506198999999999</v>
      </c>
      <c r="Q61" s="217">
        <v>32.823279999999997</v>
      </c>
      <c r="R61" s="217">
        <v>34.151218</v>
      </c>
      <c r="S61" s="217">
        <v>35.490746000000001</v>
      </c>
      <c r="T61" s="217">
        <v>36.828594000000002</v>
      </c>
      <c r="U61" s="217">
        <v>38.137306000000002</v>
      </c>
      <c r="V61" s="217">
        <v>39.405490999999998</v>
      </c>
      <c r="W61" s="217">
        <v>40.640514000000003</v>
      </c>
      <c r="X61" s="217">
        <v>41.827514999999998</v>
      </c>
      <c r="Y61" s="217">
        <v>42.958976999999997</v>
      </c>
      <c r="Z61" s="217">
        <v>44.040993</v>
      </c>
      <c r="AA61" s="217">
        <v>45.096386000000003</v>
      </c>
      <c r="AB61" s="217">
        <v>46.101222999999997</v>
      </c>
      <c r="AC61" s="217">
        <v>47.049160000000001</v>
      </c>
      <c r="AD61" s="217">
        <v>47.962722999999997</v>
      </c>
      <c r="AE61" s="217">
        <v>48.852718000000003</v>
      </c>
      <c r="AF61" s="212">
        <v>3.6380999999999997E-2</v>
      </c>
      <c r="AG61" s="31"/>
    </row>
    <row r="62" spans="1:33">
      <c r="A62" s="29"/>
      <c r="B62" s="31"/>
      <c r="C62" s="31"/>
      <c r="D62" s="31"/>
      <c r="E62" s="31"/>
      <c r="F62" s="31"/>
      <c r="G62" s="31"/>
      <c r="H62" s="31"/>
      <c r="I62" s="31"/>
      <c r="J62" s="31"/>
      <c r="K62" s="31"/>
      <c r="L62" s="31"/>
      <c r="M62" s="31"/>
      <c r="N62" s="31"/>
      <c r="O62" s="31"/>
      <c r="P62" s="31"/>
      <c r="Q62" s="31"/>
      <c r="R62" s="31"/>
      <c r="S62" s="31"/>
      <c r="T62" s="31"/>
      <c r="U62" s="31"/>
      <c r="V62" s="31"/>
      <c r="W62" s="31"/>
      <c r="X62" s="31"/>
      <c r="Y62" s="31"/>
      <c r="Z62" s="31"/>
      <c r="AA62" s="31"/>
      <c r="AB62" s="31"/>
      <c r="AC62" s="31"/>
      <c r="AD62" s="31"/>
      <c r="AE62" s="31"/>
      <c r="AF62" s="31"/>
      <c r="AG62" s="31"/>
    </row>
    <row r="63" spans="1:33">
      <c r="A63" s="30" t="s">
        <v>730</v>
      </c>
      <c r="B63" s="209" t="s">
        <v>731</v>
      </c>
      <c r="C63" s="218">
        <v>136.62231399999999</v>
      </c>
      <c r="D63" s="218">
        <v>139.68485999999999</v>
      </c>
      <c r="E63" s="218">
        <v>143.08972199999999</v>
      </c>
      <c r="F63" s="218">
        <v>146.74803199999999</v>
      </c>
      <c r="G63" s="218">
        <v>150.475311</v>
      </c>
      <c r="H63" s="218">
        <v>154.140289</v>
      </c>
      <c r="I63" s="218">
        <v>157.70036300000001</v>
      </c>
      <c r="J63" s="218">
        <v>161.245789</v>
      </c>
      <c r="K63" s="218">
        <v>164.64729299999999</v>
      </c>
      <c r="L63" s="218">
        <v>167.89001500000001</v>
      </c>
      <c r="M63" s="218">
        <v>170.95519999999999</v>
      </c>
      <c r="N63" s="218">
        <v>173.843887</v>
      </c>
      <c r="O63" s="218">
        <v>176.53872699999999</v>
      </c>
      <c r="P63" s="218">
        <v>179.13694799999999</v>
      </c>
      <c r="Q63" s="218">
        <v>181.640503</v>
      </c>
      <c r="R63" s="218">
        <v>184.04345699999999</v>
      </c>
      <c r="S63" s="218">
        <v>186.37619000000001</v>
      </c>
      <c r="T63" s="218">
        <v>188.64561499999999</v>
      </c>
      <c r="U63" s="218">
        <v>190.89492799999999</v>
      </c>
      <c r="V63" s="218">
        <v>193.064682</v>
      </c>
      <c r="W63" s="218">
        <v>195.17804000000001</v>
      </c>
      <c r="X63" s="218">
        <v>197.24813800000001</v>
      </c>
      <c r="Y63" s="218">
        <v>199.27813699999999</v>
      </c>
      <c r="Z63" s="218">
        <v>201.29806500000001</v>
      </c>
      <c r="AA63" s="218">
        <v>203.24664300000001</v>
      </c>
      <c r="AB63" s="218">
        <v>205.17922999999999</v>
      </c>
      <c r="AC63" s="218">
        <v>207.06007399999999</v>
      </c>
      <c r="AD63" s="218">
        <v>208.95639</v>
      </c>
      <c r="AE63" s="218">
        <v>210.89492799999999</v>
      </c>
      <c r="AF63" s="214">
        <v>1.5626000000000001E-2</v>
      </c>
      <c r="AG63" s="31"/>
    </row>
    <row r="64" spans="1:33">
      <c r="A64" s="29"/>
      <c r="B64" s="31"/>
      <c r="C64" s="31"/>
      <c r="D64" s="31"/>
      <c r="E64" s="31"/>
      <c r="F64" s="31"/>
      <c r="G64" s="31"/>
      <c r="H64" s="31"/>
      <c r="I64" s="31"/>
      <c r="J64" s="31"/>
      <c r="K64" s="31"/>
      <c r="L64" s="31"/>
      <c r="M64" s="31"/>
      <c r="N64" s="31"/>
      <c r="O64" s="31"/>
      <c r="P64" s="31"/>
      <c r="Q64" s="31"/>
      <c r="R64" s="31"/>
      <c r="S64" s="31"/>
      <c r="T64" s="31"/>
      <c r="U64" s="31"/>
      <c r="V64" s="31"/>
      <c r="W64" s="31"/>
      <c r="X64" s="31"/>
      <c r="Y64" s="31"/>
      <c r="Z64" s="31"/>
      <c r="AA64" s="31"/>
      <c r="AB64" s="31"/>
      <c r="AC64" s="31"/>
      <c r="AD64" s="31"/>
      <c r="AE64" s="31"/>
      <c r="AF64" s="31"/>
      <c r="AG64" s="31"/>
    </row>
    <row r="65" spans="1:34" s="237" customFormat="1">
      <c r="A65" s="232" t="s">
        <v>732</v>
      </c>
      <c r="B65" s="238" t="s">
        <v>733</v>
      </c>
      <c r="C65" s="239">
        <v>261.58056599999998</v>
      </c>
      <c r="D65" s="239">
        <v>262.14712500000002</v>
      </c>
      <c r="E65" s="239">
        <v>263.21313500000002</v>
      </c>
      <c r="F65" s="239">
        <v>264.447632</v>
      </c>
      <c r="G65" s="239">
        <v>265.72799700000002</v>
      </c>
      <c r="H65" s="239">
        <v>266.88964800000002</v>
      </c>
      <c r="I65" s="239">
        <v>267.85632299999997</v>
      </c>
      <c r="J65" s="239">
        <v>268.824524</v>
      </c>
      <c r="K65" s="239">
        <v>269.648438</v>
      </c>
      <c r="L65" s="239">
        <v>270.33343500000001</v>
      </c>
      <c r="M65" s="239">
        <v>270.91931199999999</v>
      </c>
      <c r="N65" s="239">
        <v>271.41503899999998</v>
      </c>
      <c r="O65" s="239">
        <v>271.84841899999998</v>
      </c>
      <c r="P65" s="239">
        <v>272.37396200000001</v>
      </c>
      <c r="Q65" s="239">
        <v>273.06338499999998</v>
      </c>
      <c r="R65" s="239">
        <v>273.90936299999998</v>
      </c>
      <c r="S65" s="239">
        <v>274.95187399999998</v>
      </c>
      <c r="T65" s="239">
        <v>276.16525300000001</v>
      </c>
      <c r="U65" s="239">
        <v>277.578979</v>
      </c>
      <c r="V65" s="239">
        <v>279.06506300000001</v>
      </c>
      <c r="W65" s="239">
        <v>280.62301600000001</v>
      </c>
      <c r="X65" s="239">
        <v>282.20675699999998</v>
      </c>
      <c r="Y65" s="239">
        <v>283.82251000000002</v>
      </c>
      <c r="Z65" s="239">
        <v>285.48770100000002</v>
      </c>
      <c r="AA65" s="239">
        <v>287.18682899999999</v>
      </c>
      <c r="AB65" s="239">
        <v>288.88067599999999</v>
      </c>
      <c r="AC65" s="239">
        <v>290.55407700000001</v>
      </c>
      <c r="AD65" s="239">
        <v>292.26516700000002</v>
      </c>
      <c r="AE65" s="239">
        <v>294.07318099999998</v>
      </c>
      <c r="AF65" s="240">
        <v>4.1900000000000001E-3</v>
      </c>
      <c r="AG65" s="236"/>
      <c r="AH65" s="241"/>
    </row>
    <row r="66" spans="1:34">
      <c r="A66" s="30" t="s">
        <v>734</v>
      </c>
      <c r="B66" s="210" t="s">
        <v>735</v>
      </c>
      <c r="C66" s="217">
        <v>231.37249800000001</v>
      </c>
      <c r="D66" s="217">
        <v>230.753815</v>
      </c>
      <c r="E66" s="217">
        <v>230.483124</v>
      </c>
      <c r="F66" s="217">
        <v>230.22894299999999</v>
      </c>
      <c r="G66" s="217">
        <v>229.891434</v>
      </c>
      <c r="H66" s="217">
        <v>229.33741800000001</v>
      </c>
      <c r="I66" s="217">
        <v>228.47534200000001</v>
      </c>
      <c r="J66" s="217">
        <v>227.48718299999999</v>
      </c>
      <c r="K66" s="217">
        <v>226.29333500000001</v>
      </c>
      <c r="L66" s="217">
        <v>224.96279899999999</v>
      </c>
      <c r="M66" s="217">
        <v>223.491333</v>
      </c>
      <c r="N66" s="217">
        <v>221.916473</v>
      </c>
      <c r="O66" s="217">
        <v>220.25041200000001</v>
      </c>
      <c r="P66" s="217">
        <v>218.61987300000001</v>
      </c>
      <c r="Q66" s="217">
        <v>217.10348500000001</v>
      </c>
      <c r="R66" s="217">
        <v>215.74020400000001</v>
      </c>
      <c r="S66" s="217">
        <v>214.57688899999999</v>
      </c>
      <c r="T66" s="217">
        <v>213.606323</v>
      </c>
      <c r="U66" s="217">
        <v>212.90454099999999</v>
      </c>
      <c r="V66" s="217">
        <v>212.366669</v>
      </c>
      <c r="W66" s="217">
        <v>211.985107</v>
      </c>
      <c r="X66" s="217">
        <v>211.743301</v>
      </c>
      <c r="Y66" s="217">
        <v>211.64236500000001</v>
      </c>
      <c r="Z66" s="217">
        <v>211.68899500000001</v>
      </c>
      <c r="AA66" s="217">
        <v>211.76769999999999</v>
      </c>
      <c r="AB66" s="217">
        <v>211.945267</v>
      </c>
      <c r="AC66" s="217">
        <v>212.194489</v>
      </c>
      <c r="AD66" s="217">
        <v>212.54281599999999</v>
      </c>
      <c r="AE66" s="217">
        <v>213.025452</v>
      </c>
      <c r="AF66" s="212">
        <v>-2.9459999999999998E-3</v>
      </c>
      <c r="AG66" s="31"/>
      <c r="AH66" s="29"/>
    </row>
    <row r="67" spans="1:34">
      <c r="A67" s="30" t="s">
        <v>736</v>
      </c>
      <c r="B67" s="210" t="s">
        <v>737</v>
      </c>
      <c r="C67" s="217">
        <v>1.3026740000000001</v>
      </c>
      <c r="D67" s="217">
        <v>1.348635</v>
      </c>
      <c r="E67" s="217">
        <v>1.403216</v>
      </c>
      <c r="F67" s="217">
        <v>1.463587</v>
      </c>
      <c r="G67" s="217">
        <v>1.5261629999999999</v>
      </c>
      <c r="H67" s="217">
        <v>1.5900700000000001</v>
      </c>
      <c r="I67" s="217">
        <v>1.6581840000000001</v>
      </c>
      <c r="J67" s="217">
        <v>1.7206049999999999</v>
      </c>
      <c r="K67" s="217">
        <v>1.7777369999999999</v>
      </c>
      <c r="L67" s="217">
        <v>1.829806</v>
      </c>
      <c r="M67" s="217">
        <v>1.8786210000000001</v>
      </c>
      <c r="N67" s="217">
        <v>1.924339</v>
      </c>
      <c r="O67" s="217">
        <v>1.969341</v>
      </c>
      <c r="P67" s="217">
        <v>2.0135550000000002</v>
      </c>
      <c r="Q67" s="217">
        <v>2.0605090000000001</v>
      </c>
      <c r="R67" s="217">
        <v>2.1080779999999999</v>
      </c>
      <c r="S67" s="217">
        <v>2.1563850000000002</v>
      </c>
      <c r="T67" s="217">
        <v>2.2070729999999998</v>
      </c>
      <c r="U67" s="217">
        <v>2.2583129999999998</v>
      </c>
      <c r="V67" s="217">
        <v>2.3073769999999998</v>
      </c>
      <c r="W67" s="217">
        <v>2.3545530000000001</v>
      </c>
      <c r="X67" s="217">
        <v>2.3985509999999999</v>
      </c>
      <c r="Y67" s="217">
        <v>2.4411170000000002</v>
      </c>
      <c r="Z67" s="217">
        <v>2.4823970000000002</v>
      </c>
      <c r="AA67" s="217">
        <v>2.5248629999999999</v>
      </c>
      <c r="AB67" s="217">
        <v>2.5663830000000001</v>
      </c>
      <c r="AC67" s="217">
        <v>2.608943</v>
      </c>
      <c r="AD67" s="217">
        <v>2.6519180000000002</v>
      </c>
      <c r="AE67" s="217">
        <v>2.697638</v>
      </c>
      <c r="AF67" s="212">
        <v>2.6339000000000001E-2</v>
      </c>
      <c r="AG67" s="31"/>
      <c r="AH67" s="29"/>
    </row>
    <row r="68" spans="1:34">
      <c r="A68" s="30" t="s">
        <v>738</v>
      </c>
      <c r="B68" s="210" t="s">
        <v>739</v>
      </c>
      <c r="C68" s="217">
        <v>20.112950999999999</v>
      </c>
      <c r="D68" s="217">
        <v>19.807006999999999</v>
      </c>
      <c r="E68" s="217">
        <v>19.461297999999999</v>
      </c>
      <c r="F68" s="217">
        <v>19.059124000000001</v>
      </c>
      <c r="G68" s="217">
        <v>18.596809</v>
      </c>
      <c r="H68" s="217">
        <v>18.081195999999998</v>
      </c>
      <c r="I68" s="217">
        <v>17.518405999999999</v>
      </c>
      <c r="J68" s="217">
        <v>16.921655999999999</v>
      </c>
      <c r="K68" s="217">
        <v>16.300381000000002</v>
      </c>
      <c r="L68" s="217">
        <v>15.671162000000001</v>
      </c>
      <c r="M68" s="217">
        <v>15.061631999999999</v>
      </c>
      <c r="N68" s="217">
        <v>14.478609000000001</v>
      </c>
      <c r="O68" s="217">
        <v>13.930773</v>
      </c>
      <c r="P68" s="217">
        <v>13.437405</v>
      </c>
      <c r="Q68" s="217">
        <v>13.011602</v>
      </c>
      <c r="R68" s="217">
        <v>12.652915999999999</v>
      </c>
      <c r="S68" s="217">
        <v>12.360968</v>
      </c>
      <c r="T68" s="217">
        <v>12.130409</v>
      </c>
      <c r="U68" s="217">
        <v>11.948007</v>
      </c>
      <c r="V68" s="217">
        <v>11.793393999999999</v>
      </c>
      <c r="W68" s="217">
        <v>11.668161</v>
      </c>
      <c r="X68" s="217">
        <v>11.564175000000001</v>
      </c>
      <c r="Y68" s="217">
        <v>11.478016999999999</v>
      </c>
      <c r="Z68" s="217">
        <v>11.404443000000001</v>
      </c>
      <c r="AA68" s="217">
        <v>11.336202999999999</v>
      </c>
      <c r="AB68" s="217">
        <v>11.277596000000001</v>
      </c>
      <c r="AC68" s="217">
        <v>11.225875</v>
      </c>
      <c r="AD68" s="217">
        <v>11.183749000000001</v>
      </c>
      <c r="AE68" s="217">
        <v>11.151662</v>
      </c>
      <c r="AF68" s="212">
        <v>-2.0843E-2</v>
      </c>
      <c r="AG68" s="31"/>
      <c r="AH68" s="29"/>
    </row>
    <row r="69" spans="1:34">
      <c r="A69" s="30" t="s">
        <v>740</v>
      </c>
      <c r="B69" s="210" t="s">
        <v>741</v>
      </c>
      <c r="C69" s="217">
        <v>2.0716770000000002</v>
      </c>
      <c r="D69" s="217">
        <v>2.799213</v>
      </c>
      <c r="E69" s="217">
        <v>3.5917940000000002</v>
      </c>
      <c r="F69" s="217">
        <v>4.5046220000000003</v>
      </c>
      <c r="G69" s="217">
        <v>5.5438919999999996</v>
      </c>
      <c r="H69" s="217">
        <v>6.7060490000000001</v>
      </c>
      <c r="I69" s="217">
        <v>7.9944240000000004</v>
      </c>
      <c r="J69" s="217">
        <v>9.4288059999999998</v>
      </c>
      <c r="K69" s="217">
        <v>10.953939</v>
      </c>
      <c r="L69" s="217">
        <v>12.493767</v>
      </c>
      <c r="M69" s="217">
        <v>14.064914</v>
      </c>
      <c r="N69" s="217">
        <v>15.627122999999999</v>
      </c>
      <c r="O69" s="217">
        <v>17.179966</v>
      </c>
      <c r="P69" s="217">
        <v>18.723986</v>
      </c>
      <c r="Q69" s="217">
        <v>20.253291999999998</v>
      </c>
      <c r="R69" s="217">
        <v>21.734611999999998</v>
      </c>
      <c r="S69" s="217">
        <v>23.162617000000001</v>
      </c>
      <c r="T69" s="217">
        <v>24.532043000000002</v>
      </c>
      <c r="U69" s="217">
        <v>25.822558999999998</v>
      </c>
      <c r="V69" s="217">
        <v>27.039031999999999</v>
      </c>
      <c r="W69" s="217">
        <v>28.185894000000001</v>
      </c>
      <c r="X69" s="217">
        <v>29.248545</v>
      </c>
      <c r="Y69" s="217">
        <v>30.233184999999999</v>
      </c>
      <c r="Z69" s="217">
        <v>31.146191000000002</v>
      </c>
      <c r="AA69" s="217">
        <v>32.071102000000003</v>
      </c>
      <c r="AB69" s="217">
        <v>32.917580000000001</v>
      </c>
      <c r="AC69" s="217">
        <v>33.699337</v>
      </c>
      <c r="AD69" s="217">
        <v>34.435912999999999</v>
      </c>
      <c r="AE69" s="217">
        <v>35.136723000000003</v>
      </c>
      <c r="AF69" s="212">
        <v>0.106391</v>
      </c>
      <c r="AG69" s="31"/>
      <c r="AH69" s="29"/>
    </row>
    <row r="70" spans="1:34">
      <c r="A70" s="30" t="s">
        <v>742</v>
      </c>
      <c r="B70" s="210" t="s">
        <v>743</v>
      </c>
      <c r="C70" s="217">
        <v>0.92389100000000002</v>
      </c>
      <c r="D70" s="217">
        <v>1.130471</v>
      </c>
      <c r="E70" s="217">
        <v>1.398884</v>
      </c>
      <c r="F70" s="217">
        <v>1.728037</v>
      </c>
      <c r="G70" s="217">
        <v>2.1016110000000001</v>
      </c>
      <c r="H70" s="217">
        <v>2.5012120000000002</v>
      </c>
      <c r="I70" s="217">
        <v>2.926742</v>
      </c>
      <c r="J70" s="217">
        <v>3.3706070000000001</v>
      </c>
      <c r="K70" s="217">
        <v>3.8202739999999999</v>
      </c>
      <c r="L70" s="217">
        <v>4.2699369999999996</v>
      </c>
      <c r="M70" s="217">
        <v>4.7204050000000004</v>
      </c>
      <c r="N70" s="217">
        <v>5.1720040000000003</v>
      </c>
      <c r="O70" s="217">
        <v>5.6272989999999998</v>
      </c>
      <c r="P70" s="217">
        <v>6.0878730000000001</v>
      </c>
      <c r="Q70" s="217">
        <v>6.5450049999999997</v>
      </c>
      <c r="R70" s="217">
        <v>6.9929730000000001</v>
      </c>
      <c r="S70" s="217">
        <v>7.430644</v>
      </c>
      <c r="T70" s="217">
        <v>7.854495</v>
      </c>
      <c r="U70" s="217">
        <v>8.2574780000000008</v>
      </c>
      <c r="V70" s="217">
        <v>8.6428860000000007</v>
      </c>
      <c r="W70" s="217">
        <v>9.0122020000000003</v>
      </c>
      <c r="X70" s="217">
        <v>9.3634430000000002</v>
      </c>
      <c r="Y70" s="217">
        <v>9.6938189999999995</v>
      </c>
      <c r="Z70" s="217">
        <v>10.006036</v>
      </c>
      <c r="AA70" s="217">
        <v>10.307363</v>
      </c>
      <c r="AB70" s="217">
        <v>10.592257999999999</v>
      </c>
      <c r="AC70" s="217">
        <v>10.859729</v>
      </c>
      <c r="AD70" s="217">
        <v>11.11434</v>
      </c>
      <c r="AE70" s="217">
        <v>11.360841000000001</v>
      </c>
      <c r="AF70" s="212">
        <v>9.3757999999999994E-2</v>
      </c>
      <c r="AG70" s="31"/>
      <c r="AH70" s="29"/>
    </row>
    <row r="71" spans="1:34">
      <c r="A71" s="30" t="s">
        <v>744</v>
      </c>
      <c r="B71" s="210" t="s">
        <v>745</v>
      </c>
      <c r="C71" s="217">
        <v>5.7484080000000004</v>
      </c>
      <c r="D71" s="217">
        <v>6.2591640000000002</v>
      </c>
      <c r="E71" s="217">
        <v>6.8254320000000002</v>
      </c>
      <c r="F71" s="217">
        <v>7.4133769999999997</v>
      </c>
      <c r="G71" s="217">
        <v>8.0172439999999998</v>
      </c>
      <c r="H71" s="217">
        <v>8.6215899999999994</v>
      </c>
      <c r="I71" s="217">
        <v>9.2295149999999992</v>
      </c>
      <c r="J71" s="217">
        <v>9.8401390000000006</v>
      </c>
      <c r="K71" s="217">
        <v>10.445171999999999</v>
      </c>
      <c r="L71" s="217">
        <v>11.046252000000001</v>
      </c>
      <c r="M71" s="217">
        <v>11.640473999999999</v>
      </c>
      <c r="N71" s="217">
        <v>12.232355</v>
      </c>
      <c r="O71" s="217">
        <v>12.824204999999999</v>
      </c>
      <c r="P71" s="217">
        <v>13.422514</v>
      </c>
      <c r="Q71" s="217">
        <v>14.018387000000001</v>
      </c>
      <c r="R71" s="217">
        <v>14.607146999999999</v>
      </c>
      <c r="S71" s="217">
        <v>15.188794</v>
      </c>
      <c r="T71" s="217">
        <v>15.757303</v>
      </c>
      <c r="U71" s="217">
        <v>16.308674</v>
      </c>
      <c r="V71" s="217">
        <v>16.834719</v>
      </c>
      <c r="W71" s="217">
        <v>17.334624999999999</v>
      </c>
      <c r="X71" s="217">
        <v>17.805</v>
      </c>
      <c r="Y71" s="217">
        <v>18.249099999999999</v>
      </c>
      <c r="Z71" s="217">
        <v>18.673672</v>
      </c>
      <c r="AA71" s="217">
        <v>19.092459000000002</v>
      </c>
      <c r="AB71" s="217">
        <v>19.49316</v>
      </c>
      <c r="AC71" s="217">
        <v>19.876056999999999</v>
      </c>
      <c r="AD71" s="217">
        <v>20.245571000000002</v>
      </c>
      <c r="AE71" s="217">
        <v>20.608757000000001</v>
      </c>
      <c r="AF71" s="212">
        <v>4.6655000000000002E-2</v>
      </c>
      <c r="AG71" s="31"/>
      <c r="AH71" s="29"/>
    </row>
    <row r="72" spans="1:34">
      <c r="A72" s="30" t="s">
        <v>746</v>
      </c>
      <c r="B72" s="210" t="s">
        <v>747</v>
      </c>
      <c r="C72" s="217">
        <v>3.4882000000000003E-2</v>
      </c>
      <c r="D72" s="217">
        <v>3.3030999999999998E-2</v>
      </c>
      <c r="E72" s="217">
        <v>3.1743E-2</v>
      </c>
      <c r="F72" s="217">
        <v>3.0721999999999999E-2</v>
      </c>
      <c r="G72" s="217">
        <v>3.0030000000000001E-2</v>
      </c>
      <c r="H72" s="217">
        <v>2.9593999999999999E-2</v>
      </c>
      <c r="I72" s="217">
        <v>2.9208000000000001E-2</v>
      </c>
      <c r="J72" s="217">
        <v>2.8948999999999999E-2</v>
      </c>
      <c r="K72" s="217">
        <v>2.8844999999999999E-2</v>
      </c>
      <c r="L72" s="217">
        <v>2.8791000000000001E-2</v>
      </c>
      <c r="M72" s="217">
        <v>2.8825E-2</v>
      </c>
      <c r="N72" s="217">
        <v>2.894E-2</v>
      </c>
      <c r="O72" s="217">
        <v>2.9152999999999998E-2</v>
      </c>
      <c r="P72" s="217">
        <v>2.9439E-2</v>
      </c>
      <c r="Q72" s="217">
        <v>2.9812000000000002E-2</v>
      </c>
      <c r="R72" s="217">
        <v>3.0290999999999998E-2</v>
      </c>
      <c r="S72" s="217">
        <v>3.0783000000000001E-2</v>
      </c>
      <c r="T72" s="217">
        <v>3.1303999999999998E-2</v>
      </c>
      <c r="U72" s="217">
        <v>3.1833E-2</v>
      </c>
      <c r="V72" s="217">
        <v>3.2343999999999998E-2</v>
      </c>
      <c r="W72" s="217">
        <v>3.2849999999999997E-2</v>
      </c>
      <c r="X72" s="217">
        <v>3.3355000000000003E-2</v>
      </c>
      <c r="Y72" s="217">
        <v>3.3889000000000002E-2</v>
      </c>
      <c r="Z72" s="217">
        <v>3.4455E-2</v>
      </c>
      <c r="AA72" s="217">
        <v>3.5082000000000002E-2</v>
      </c>
      <c r="AB72" s="217">
        <v>3.5774E-2</v>
      </c>
      <c r="AC72" s="217">
        <v>3.6539000000000002E-2</v>
      </c>
      <c r="AD72" s="217">
        <v>3.7373999999999998E-2</v>
      </c>
      <c r="AE72" s="217">
        <v>3.8323000000000003E-2</v>
      </c>
      <c r="AF72" s="212">
        <v>3.3649999999999999E-3</v>
      </c>
      <c r="AG72" s="31"/>
      <c r="AH72" s="29"/>
    </row>
    <row r="73" spans="1:34">
      <c r="A73" s="30" t="s">
        <v>748</v>
      </c>
      <c r="B73" s="210" t="s">
        <v>749</v>
      </c>
      <c r="C73" s="217">
        <v>1.3589E-2</v>
      </c>
      <c r="D73" s="217">
        <v>1.5809E-2</v>
      </c>
      <c r="E73" s="217">
        <v>1.7642999999999999E-2</v>
      </c>
      <c r="F73" s="217">
        <v>1.9210000000000001E-2</v>
      </c>
      <c r="G73" s="217">
        <v>2.0826000000000001E-2</v>
      </c>
      <c r="H73" s="217">
        <v>2.2551000000000002E-2</v>
      </c>
      <c r="I73" s="217">
        <v>2.4518000000000002E-2</v>
      </c>
      <c r="J73" s="217">
        <v>2.6592000000000001E-2</v>
      </c>
      <c r="K73" s="217">
        <v>2.8752E-2</v>
      </c>
      <c r="L73" s="217">
        <v>3.0935000000000001E-2</v>
      </c>
      <c r="M73" s="217">
        <v>3.3098000000000002E-2</v>
      </c>
      <c r="N73" s="217">
        <v>3.5210999999999999E-2</v>
      </c>
      <c r="O73" s="217">
        <v>3.7281000000000002E-2</v>
      </c>
      <c r="P73" s="217">
        <v>3.9312E-2</v>
      </c>
      <c r="Q73" s="217">
        <v>4.1272999999999997E-2</v>
      </c>
      <c r="R73" s="217">
        <v>4.3146999999999998E-2</v>
      </c>
      <c r="S73" s="217">
        <v>4.4810000000000003E-2</v>
      </c>
      <c r="T73" s="217">
        <v>4.6282999999999998E-2</v>
      </c>
      <c r="U73" s="217">
        <v>4.7567999999999999E-2</v>
      </c>
      <c r="V73" s="217">
        <v>4.8653000000000002E-2</v>
      </c>
      <c r="W73" s="217">
        <v>4.9611000000000002E-2</v>
      </c>
      <c r="X73" s="217">
        <v>5.0394000000000001E-2</v>
      </c>
      <c r="Y73" s="217">
        <v>5.1031E-2</v>
      </c>
      <c r="Z73" s="217">
        <v>5.1534000000000003E-2</v>
      </c>
      <c r="AA73" s="217">
        <v>5.2067000000000002E-2</v>
      </c>
      <c r="AB73" s="217">
        <v>5.2642000000000001E-2</v>
      </c>
      <c r="AC73" s="217">
        <v>5.3110999999999998E-2</v>
      </c>
      <c r="AD73" s="217">
        <v>5.3490000000000003E-2</v>
      </c>
      <c r="AE73" s="217">
        <v>5.3773000000000001E-2</v>
      </c>
      <c r="AF73" s="212">
        <v>5.0352000000000001E-2</v>
      </c>
      <c r="AG73" s="31"/>
      <c r="AH73" s="29"/>
    </row>
    <row r="74" spans="1:34" ht="15.5" thickBot="1">
      <c r="A74" s="29"/>
      <c r="B74" s="31"/>
      <c r="C74" s="31"/>
      <c r="D74" s="31"/>
      <c r="E74" s="31"/>
      <c r="F74" s="31"/>
      <c r="G74" s="31"/>
      <c r="H74" s="31"/>
      <c r="I74" s="31"/>
      <c r="J74" s="31"/>
      <c r="K74" s="31"/>
      <c r="L74" s="31"/>
      <c r="M74" s="31"/>
      <c r="N74" s="31"/>
      <c r="O74" s="31"/>
      <c r="P74" s="31"/>
      <c r="Q74" s="31"/>
      <c r="R74" s="31"/>
      <c r="S74" s="31"/>
      <c r="T74" s="31"/>
      <c r="U74" s="31"/>
      <c r="V74" s="31"/>
      <c r="W74" s="31"/>
      <c r="X74" s="31"/>
      <c r="Y74" s="31"/>
      <c r="Z74" s="31"/>
      <c r="AA74" s="31"/>
      <c r="AB74" s="31"/>
      <c r="AC74" s="31"/>
      <c r="AD74" s="31"/>
      <c r="AE74" s="31"/>
      <c r="AF74" s="31"/>
      <c r="AG74" s="31"/>
      <c r="AH74" s="29"/>
    </row>
    <row r="75" spans="1:34" ht="15" customHeight="1">
      <c r="A75" s="29"/>
      <c r="B75" s="220" t="s">
        <v>750</v>
      </c>
      <c r="C75" s="32"/>
      <c r="D75" s="32"/>
      <c r="E75" s="32"/>
      <c r="F75" s="32"/>
      <c r="G75" s="32"/>
      <c r="H75" s="32"/>
      <c r="I75" s="32"/>
      <c r="J75" s="32"/>
      <c r="K75" s="32"/>
      <c r="L75" s="32"/>
      <c r="M75" s="32"/>
      <c r="N75" s="32"/>
      <c r="O75" s="32"/>
      <c r="P75" s="32"/>
      <c r="Q75" s="32"/>
      <c r="R75" s="32"/>
      <c r="S75" s="32"/>
      <c r="T75" s="32"/>
      <c r="U75" s="32"/>
      <c r="V75" s="32"/>
      <c r="W75" s="32"/>
      <c r="X75" s="32"/>
      <c r="Y75" s="32"/>
      <c r="Z75" s="32"/>
      <c r="AA75" s="32"/>
      <c r="AB75" s="32"/>
      <c r="AC75" s="32"/>
      <c r="AD75" s="32"/>
      <c r="AE75" s="32"/>
      <c r="AF75" s="32"/>
      <c r="AG75" s="32"/>
      <c r="AH75" s="32"/>
    </row>
    <row r="76" spans="1:34">
      <c r="A76" s="29"/>
      <c r="B76" s="31" t="s">
        <v>408</v>
      </c>
      <c r="C76" s="31"/>
      <c r="D76" s="31"/>
      <c r="E76" s="31"/>
      <c r="F76" s="31"/>
      <c r="G76" s="31"/>
      <c r="H76" s="31"/>
      <c r="I76" s="31"/>
      <c r="J76" s="31"/>
      <c r="K76" s="31"/>
      <c r="L76" s="31"/>
      <c r="M76" s="31"/>
      <c r="N76" s="31"/>
      <c r="O76" s="31"/>
      <c r="P76" s="31"/>
      <c r="Q76" s="31"/>
      <c r="R76" s="31"/>
      <c r="S76" s="31"/>
      <c r="T76" s="31"/>
      <c r="U76" s="31"/>
      <c r="V76" s="31"/>
      <c r="W76" s="31"/>
      <c r="X76" s="31"/>
      <c r="Y76" s="31"/>
      <c r="Z76" s="31"/>
      <c r="AA76" s="31"/>
      <c r="AB76" s="31"/>
      <c r="AC76" s="31"/>
      <c r="AD76" s="31"/>
      <c r="AE76" s="31"/>
      <c r="AF76" s="31"/>
      <c r="AG76" s="31"/>
      <c r="AH76" s="29"/>
    </row>
    <row r="77" spans="1:34">
      <c r="A77" s="29"/>
      <c r="B77" s="31" t="s">
        <v>751</v>
      </c>
      <c r="C77" s="31"/>
      <c r="D77" s="31"/>
      <c r="E77" s="31"/>
      <c r="F77" s="31"/>
      <c r="G77" s="31"/>
      <c r="H77" s="31"/>
      <c r="I77" s="31"/>
      <c r="J77" s="31"/>
      <c r="K77" s="31"/>
      <c r="L77" s="31"/>
      <c r="M77" s="31"/>
      <c r="N77" s="31"/>
      <c r="O77" s="31"/>
      <c r="P77" s="31"/>
      <c r="Q77" s="31"/>
      <c r="R77" s="31"/>
      <c r="S77" s="31"/>
      <c r="T77" s="31"/>
      <c r="U77" s="31"/>
      <c r="V77" s="31"/>
      <c r="W77" s="31"/>
      <c r="X77" s="31"/>
      <c r="Y77" s="31"/>
      <c r="Z77" s="31"/>
      <c r="AA77" s="31"/>
      <c r="AB77" s="31"/>
      <c r="AC77" s="31"/>
      <c r="AD77" s="31"/>
      <c r="AE77" s="31"/>
      <c r="AF77" s="31"/>
      <c r="AG77" s="31"/>
      <c r="AH77" s="29"/>
    </row>
    <row r="78" spans="1:34">
      <c r="A78" s="29"/>
      <c r="B78" s="31" t="s">
        <v>409</v>
      </c>
      <c r="C78" s="31"/>
      <c r="D78" s="31"/>
      <c r="E78" s="31"/>
      <c r="F78" s="31"/>
      <c r="G78" s="31"/>
      <c r="H78" s="31"/>
      <c r="I78" s="31"/>
      <c r="J78" s="31"/>
      <c r="K78" s="31"/>
      <c r="L78" s="31"/>
      <c r="M78" s="31"/>
      <c r="N78" s="31"/>
      <c r="O78" s="31"/>
      <c r="P78" s="31"/>
      <c r="Q78" s="31"/>
      <c r="R78" s="31"/>
      <c r="S78" s="31"/>
      <c r="T78" s="31"/>
      <c r="U78" s="31"/>
      <c r="V78" s="31"/>
      <c r="W78" s="31"/>
      <c r="X78" s="31"/>
      <c r="Y78" s="31"/>
      <c r="Z78" s="31"/>
      <c r="AA78" s="31"/>
      <c r="AB78" s="31"/>
      <c r="AC78" s="31"/>
      <c r="AD78" s="31"/>
      <c r="AE78" s="31"/>
      <c r="AF78" s="31"/>
      <c r="AG78" s="31"/>
      <c r="AH78" s="29"/>
    </row>
    <row r="79" spans="1:34">
      <c r="A79" s="29"/>
      <c r="B79" s="31" t="s">
        <v>329</v>
      </c>
      <c r="C79" s="31"/>
      <c r="D79" s="31"/>
      <c r="E79" s="31"/>
      <c r="F79" s="31"/>
      <c r="G79" s="31"/>
      <c r="H79" s="31"/>
      <c r="I79" s="31"/>
      <c r="J79" s="31"/>
      <c r="K79" s="31"/>
      <c r="L79" s="31"/>
      <c r="M79" s="31"/>
      <c r="N79" s="31"/>
      <c r="O79" s="31"/>
      <c r="P79" s="31"/>
      <c r="Q79" s="31"/>
      <c r="R79" s="31"/>
      <c r="S79" s="31"/>
      <c r="T79" s="31"/>
      <c r="U79" s="31"/>
      <c r="V79" s="31"/>
      <c r="W79" s="31"/>
      <c r="X79" s="31"/>
      <c r="Y79" s="31"/>
      <c r="Z79" s="31"/>
      <c r="AA79" s="31"/>
      <c r="AB79" s="31"/>
      <c r="AC79" s="31"/>
      <c r="AD79" s="31"/>
      <c r="AE79" s="31"/>
      <c r="AF79" s="31"/>
      <c r="AG79" s="31"/>
      <c r="AH79" s="29"/>
    </row>
    <row r="80" spans="1:34">
      <c r="A80" s="29"/>
      <c r="B80" s="31" t="s">
        <v>752</v>
      </c>
      <c r="C80" s="31"/>
      <c r="D80" s="31"/>
      <c r="E80" s="31"/>
      <c r="F80" s="31"/>
      <c r="G80" s="31"/>
      <c r="H80" s="31"/>
      <c r="I80" s="31"/>
      <c r="J80" s="31"/>
      <c r="K80" s="31"/>
      <c r="L80" s="31"/>
      <c r="M80" s="31"/>
      <c r="N80" s="31"/>
      <c r="O80" s="31"/>
      <c r="P80" s="31"/>
      <c r="Q80" s="31"/>
      <c r="R80" s="31"/>
      <c r="S80" s="31"/>
      <c r="T80" s="31"/>
      <c r="U80" s="31"/>
      <c r="V80" s="31"/>
      <c r="W80" s="31"/>
      <c r="X80" s="31"/>
      <c r="Y80" s="31"/>
      <c r="Z80" s="31"/>
      <c r="AA80" s="31"/>
      <c r="AB80" s="31"/>
      <c r="AC80" s="31"/>
      <c r="AD80" s="31"/>
      <c r="AE80" s="31"/>
      <c r="AF80" s="31"/>
      <c r="AG80" s="31"/>
      <c r="AH80" s="29"/>
    </row>
    <row r="81" spans="2:33">
      <c r="B81" s="31"/>
      <c r="C81" s="31"/>
      <c r="D81" s="31"/>
      <c r="E81" s="31"/>
      <c r="F81" s="31"/>
      <c r="G81" s="31"/>
      <c r="H81" s="31"/>
      <c r="I81" s="31"/>
      <c r="J81" s="31"/>
      <c r="K81" s="31"/>
      <c r="L81" s="31"/>
      <c r="M81" s="31"/>
      <c r="N81" s="31"/>
      <c r="O81" s="31"/>
      <c r="P81" s="31"/>
      <c r="Q81" s="31"/>
      <c r="R81" s="31"/>
      <c r="S81" s="31"/>
      <c r="T81" s="31"/>
      <c r="U81" s="31"/>
      <c r="V81" s="31"/>
      <c r="W81" s="31"/>
      <c r="X81" s="31"/>
      <c r="Y81" s="31"/>
      <c r="Z81" s="31"/>
      <c r="AA81" s="31"/>
      <c r="AB81" s="31"/>
      <c r="AC81" s="31"/>
      <c r="AD81" s="31"/>
      <c r="AE81" s="31"/>
      <c r="AF81" s="31"/>
      <c r="AG81" s="31"/>
    </row>
    <row r="82" spans="2:33">
      <c r="B82" s="31"/>
      <c r="C82" s="31"/>
      <c r="D82" s="31"/>
      <c r="E82" s="31"/>
      <c r="F82" s="31"/>
      <c r="G82" s="31"/>
      <c r="H82" s="31"/>
      <c r="I82" s="31"/>
      <c r="J82" s="31"/>
      <c r="K82" s="31"/>
      <c r="L82" s="31"/>
      <c r="M82" s="31"/>
      <c r="N82" s="31"/>
      <c r="O82" s="31"/>
      <c r="P82" s="31"/>
      <c r="Q82" s="31"/>
      <c r="R82" s="31"/>
      <c r="S82" s="31"/>
      <c r="T82" s="31"/>
      <c r="U82" s="31"/>
      <c r="V82" s="31"/>
      <c r="W82" s="31"/>
      <c r="X82" s="31"/>
      <c r="Y82" s="31"/>
      <c r="Z82" s="31"/>
      <c r="AA82" s="31"/>
      <c r="AB82" s="31"/>
      <c r="AC82" s="31"/>
      <c r="AD82" s="31"/>
      <c r="AE82" s="31"/>
      <c r="AF82" s="31"/>
      <c r="AG82" s="31"/>
    </row>
    <row r="83" spans="2:33">
      <c r="B83" s="31"/>
      <c r="C83" s="31"/>
      <c r="D83" s="31"/>
      <c r="E83" s="31"/>
      <c r="F83" s="31"/>
      <c r="G83" s="31"/>
      <c r="H83" s="31"/>
      <c r="I83" s="31"/>
      <c r="J83" s="31"/>
      <c r="K83" s="31"/>
      <c r="L83" s="31"/>
      <c r="M83" s="31"/>
      <c r="N83" s="31"/>
      <c r="O83" s="31"/>
      <c r="P83" s="31"/>
      <c r="Q83" s="31"/>
      <c r="R83" s="31"/>
      <c r="S83" s="31"/>
      <c r="T83" s="31"/>
      <c r="U83" s="31"/>
      <c r="V83" s="31"/>
      <c r="W83" s="31"/>
      <c r="X83" s="31"/>
      <c r="Y83" s="31"/>
      <c r="Z83" s="31"/>
      <c r="AA83" s="31"/>
      <c r="AB83" s="31"/>
      <c r="AC83" s="31"/>
      <c r="AD83" s="31"/>
      <c r="AE83" s="31"/>
      <c r="AF83" s="31"/>
      <c r="AG83" s="31"/>
    </row>
    <row r="84" spans="2:33">
      <c r="B84" s="31"/>
      <c r="C84" s="31"/>
      <c r="D84" s="31"/>
      <c r="E84" s="31"/>
      <c r="F84" s="31"/>
      <c r="G84" s="31"/>
      <c r="H84" s="31"/>
      <c r="I84" s="31"/>
      <c r="J84" s="31"/>
      <c r="K84" s="31"/>
      <c r="L84" s="31"/>
      <c r="M84" s="31"/>
      <c r="N84" s="31"/>
      <c r="O84" s="31"/>
      <c r="P84" s="31"/>
      <c r="Q84" s="31"/>
      <c r="R84" s="31"/>
      <c r="S84" s="31"/>
      <c r="T84" s="31"/>
      <c r="U84" s="31"/>
      <c r="V84" s="31"/>
      <c r="W84" s="31"/>
      <c r="X84" s="31"/>
      <c r="Y84" s="31"/>
      <c r="Z84" s="31"/>
      <c r="AA84" s="31"/>
      <c r="AB84" s="31"/>
      <c r="AC84" s="31"/>
      <c r="AD84" s="31"/>
      <c r="AE84" s="31"/>
      <c r="AF84" s="31"/>
      <c r="AG84" s="31"/>
    </row>
    <row r="85" spans="2:33">
      <c r="B85" s="31"/>
      <c r="C85" s="31"/>
      <c r="D85" s="31"/>
      <c r="E85" s="31"/>
      <c r="F85" s="31"/>
      <c r="G85" s="31"/>
      <c r="H85" s="31"/>
      <c r="I85" s="31"/>
      <c r="J85" s="31"/>
      <c r="K85" s="31"/>
      <c r="L85" s="31"/>
      <c r="M85" s="31"/>
      <c r="N85" s="31"/>
      <c r="O85" s="31"/>
      <c r="P85" s="31"/>
      <c r="Q85" s="31"/>
      <c r="R85" s="31"/>
      <c r="S85" s="31"/>
      <c r="T85" s="31"/>
      <c r="U85" s="31"/>
      <c r="V85" s="31"/>
      <c r="W85" s="31"/>
      <c r="X85" s="31"/>
      <c r="Y85" s="31"/>
      <c r="Z85" s="31"/>
      <c r="AA85" s="31"/>
      <c r="AB85" s="31"/>
      <c r="AC85" s="31"/>
      <c r="AD85" s="31"/>
      <c r="AE85" s="31"/>
      <c r="AF85" s="31"/>
      <c r="AG85" s="31"/>
    </row>
    <row r="86" spans="2:33">
      <c r="B86" s="31"/>
      <c r="C86" s="31"/>
      <c r="D86" s="31"/>
      <c r="E86" s="31"/>
      <c r="F86" s="31"/>
      <c r="G86" s="31"/>
      <c r="H86" s="31"/>
      <c r="I86" s="31"/>
      <c r="J86" s="31"/>
      <c r="K86" s="31"/>
      <c r="L86" s="31"/>
      <c r="M86" s="31"/>
      <c r="N86" s="31"/>
      <c r="O86" s="31"/>
      <c r="P86" s="31"/>
      <c r="Q86" s="31"/>
      <c r="R86" s="31"/>
      <c r="S86" s="31"/>
      <c r="T86" s="31"/>
      <c r="U86" s="31"/>
      <c r="V86" s="31"/>
      <c r="W86" s="31"/>
      <c r="X86" s="31"/>
      <c r="Y86" s="31"/>
      <c r="Z86" s="31"/>
      <c r="AA86" s="31"/>
      <c r="AB86" s="31"/>
      <c r="AC86" s="31"/>
      <c r="AD86" s="31"/>
      <c r="AE86" s="31"/>
      <c r="AF86" s="31"/>
      <c r="AG86" s="31"/>
    </row>
    <row r="87" spans="2:33">
      <c r="B87" s="31"/>
      <c r="C87" s="31"/>
      <c r="D87" s="31"/>
      <c r="E87" s="31"/>
      <c r="F87" s="31"/>
      <c r="G87" s="31"/>
      <c r="H87" s="31"/>
      <c r="I87" s="31"/>
      <c r="J87" s="31"/>
      <c r="K87" s="31"/>
      <c r="L87" s="31"/>
      <c r="M87" s="31"/>
      <c r="N87" s="31"/>
      <c r="O87" s="31"/>
      <c r="P87" s="31"/>
      <c r="Q87" s="31"/>
      <c r="R87" s="31"/>
      <c r="S87" s="31"/>
      <c r="T87" s="31"/>
      <c r="U87" s="31"/>
      <c r="V87" s="31"/>
      <c r="W87" s="31"/>
      <c r="X87" s="31"/>
      <c r="Y87" s="31"/>
      <c r="Z87" s="31"/>
      <c r="AA87" s="31"/>
      <c r="AB87" s="31"/>
      <c r="AC87" s="31"/>
      <c r="AD87" s="31"/>
      <c r="AE87" s="31"/>
      <c r="AF87" s="31"/>
      <c r="AG87" s="31"/>
    </row>
    <row r="88" spans="2:33">
      <c r="B88" s="31"/>
      <c r="C88" s="31"/>
      <c r="D88" s="31"/>
      <c r="E88" s="31"/>
      <c r="F88" s="31"/>
      <c r="G88" s="31"/>
      <c r="H88" s="31"/>
      <c r="I88" s="31"/>
      <c r="J88" s="31"/>
      <c r="K88" s="31"/>
      <c r="L88" s="31"/>
      <c r="M88" s="31"/>
      <c r="N88" s="31"/>
      <c r="O88" s="31"/>
      <c r="P88" s="31"/>
      <c r="Q88" s="31"/>
      <c r="R88" s="31"/>
      <c r="S88" s="31"/>
      <c r="T88" s="31"/>
      <c r="U88" s="31"/>
      <c r="V88" s="31"/>
      <c r="W88" s="31"/>
      <c r="X88" s="31"/>
      <c r="Y88" s="31"/>
      <c r="Z88" s="31"/>
      <c r="AA88" s="31"/>
      <c r="AB88" s="31"/>
      <c r="AC88" s="31"/>
      <c r="AD88" s="31"/>
      <c r="AE88" s="31"/>
      <c r="AF88" s="31"/>
      <c r="AG88" s="31"/>
    </row>
    <row r="89" spans="2:33">
      <c r="B89" s="31"/>
      <c r="C89" s="31"/>
      <c r="D89" s="31"/>
      <c r="E89" s="31"/>
      <c r="F89" s="31"/>
      <c r="G89" s="31"/>
      <c r="H89" s="31"/>
      <c r="I89" s="31"/>
      <c r="J89" s="31"/>
      <c r="K89" s="31"/>
      <c r="L89" s="31"/>
      <c r="M89" s="31"/>
      <c r="N89" s="31"/>
      <c r="O89" s="31"/>
      <c r="P89" s="31"/>
      <c r="Q89" s="31"/>
      <c r="R89" s="31"/>
      <c r="S89" s="31"/>
      <c r="T89" s="31"/>
      <c r="U89" s="31"/>
      <c r="V89" s="31"/>
      <c r="W89" s="31"/>
      <c r="X89" s="31"/>
      <c r="Y89" s="31"/>
      <c r="Z89" s="31"/>
      <c r="AA89" s="31"/>
      <c r="AB89" s="31"/>
      <c r="AC89" s="31"/>
      <c r="AD89" s="31"/>
      <c r="AE89" s="31"/>
      <c r="AF89" s="31"/>
      <c r="AG89" s="31"/>
    </row>
    <row r="90" spans="2:33">
      <c r="B90" s="31"/>
      <c r="C90" s="31"/>
      <c r="D90" s="31"/>
      <c r="E90" s="31"/>
      <c r="F90" s="31"/>
      <c r="G90" s="31"/>
      <c r="H90" s="31"/>
      <c r="I90" s="31"/>
      <c r="J90" s="31"/>
      <c r="K90" s="31"/>
      <c r="L90" s="31"/>
      <c r="M90" s="31"/>
      <c r="N90" s="31"/>
      <c r="O90" s="31"/>
      <c r="P90" s="31"/>
      <c r="Q90" s="31"/>
      <c r="R90" s="31"/>
      <c r="S90" s="31"/>
      <c r="T90" s="31"/>
      <c r="U90" s="31"/>
      <c r="V90" s="31"/>
      <c r="W90" s="31"/>
      <c r="X90" s="31"/>
      <c r="Y90" s="31"/>
      <c r="Z90" s="31"/>
      <c r="AA90" s="31"/>
      <c r="AB90" s="31"/>
      <c r="AC90" s="31"/>
      <c r="AD90" s="31"/>
      <c r="AE90" s="31"/>
      <c r="AF90" s="31"/>
      <c r="AG90" s="31"/>
    </row>
    <row r="91" spans="2:33">
      <c r="B91" s="31"/>
      <c r="C91" s="31"/>
      <c r="D91" s="31"/>
      <c r="E91" s="31"/>
      <c r="F91" s="31"/>
      <c r="G91" s="31"/>
      <c r="H91" s="31"/>
      <c r="I91" s="31"/>
      <c r="J91" s="31"/>
      <c r="K91" s="31"/>
      <c r="L91" s="31"/>
      <c r="M91" s="31"/>
      <c r="N91" s="31"/>
      <c r="O91" s="31"/>
      <c r="P91" s="31"/>
      <c r="Q91" s="31"/>
      <c r="R91" s="31"/>
      <c r="S91" s="31"/>
      <c r="T91" s="31"/>
      <c r="U91" s="31"/>
      <c r="V91" s="31"/>
      <c r="W91" s="31"/>
      <c r="X91" s="31"/>
      <c r="Y91" s="31"/>
      <c r="Z91" s="31"/>
      <c r="AA91" s="31"/>
      <c r="AB91" s="31"/>
      <c r="AC91" s="31"/>
      <c r="AD91" s="31"/>
      <c r="AE91" s="31"/>
      <c r="AF91" s="31"/>
      <c r="AG91" s="31"/>
    </row>
    <row r="92" spans="2:33">
      <c r="B92" s="31"/>
      <c r="C92" s="31"/>
      <c r="D92" s="31"/>
      <c r="E92" s="31"/>
      <c r="F92" s="31"/>
      <c r="G92" s="31"/>
      <c r="H92" s="31"/>
      <c r="I92" s="31"/>
      <c r="J92" s="31"/>
      <c r="K92" s="31"/>
      <c r="L92" s="31"/>
      <c r="M92" s="31"/>
      <c r="N92" s="31"/>
      <c r="O92" s="31"/>
      <c r="P92" s="31"/>
      <c r="Q92" s="31"/>
      <c r="R92" s="31"/>
      <c r="S92" s="31"/>
      <c r="T92" s="31"/>
      <c r="U92" s="31"/>
      <c r="V92" s="31"/>
      <c r="W92" s="31"/>
      <c r="X92" s="31"/>
      <c r="Y92" s="31"/>
      <c r="Z92" s="31"/>
      <c r="AA92" s="31"/>
      <c r="AB92" s="31"/>
      <c r="AC92" s="31"/>
      <c r="AD92" s="31"/>
      <c r="AE92" s="31"/>
      <c r="AF92" s="31"/>
      <c r="AG92" s="31"/>
    </row>
    <row r="93" spans="2:33">
      <c r="B93" s="31"/>
      <c r="C93" s="31"/>
      <c r="D93" s="31"/>
      <c r="E93" s="31"/>
      <c r="F93" s="31"/>
      <c r="G93" s="31"/>
      <c r="H93" s="31"/>
      <c r="I93" s="31"/>
      <c r="J93" s="31"/>
      <c r="K93" s="31"/>
      <c r="L93" s="31"/>
      <c r="M93" s="31"/>
      <c r="N93" s="31"/>
      <c r="O93" s="31"/>
      <c r="P93" s="31"/>
      <c r="Q93" s="31"/>
      <c r="R93" s="31"/>
      <c r="S93" s="31"/>
      <c r="T93" s="31"/>
      <c r="U93" s="31"/>
      <c r="V93" s="31"/>
      <c r="W93" s="31"/>
      <c r="X93" s="31"/>
      <c r="Y93" s="31"/>
      <c r="Z93" s="31"/>
      <c r="AA93" s="31"/>
      <c r="AB93" s="31"/>
      <c r="AC93" s="31"/>
      <c r="AD93" s="31"/>
      <c r="AE93" s="31"/>
      <c r="AF93" s="31"/>
      <c r="AG93" s="31"/>
    </row>
    <row r="94" spans="2:33">
      <c r="B94" s="31"/>
      <c r="C94" s="31"/>
      <c r="D94" s="31"/>
      <c r="E94" s="31"/>
      <c r="F94" s="31"/>
      <c r="G94" s="31"/>
      <c r="H94" s="31"/>
      <c r="I94" s="31"/>
      <c r="J94" s="31"/>
      <c r="K94" s="31"/>
      <c r="L94" s="31"/>
      <c r="M94" s="31"/>
      <c r="N94" s="31"/>
      <c r="O94" s="31"/>
      <c r="P94" s="31"/>
      <c r="Q94" s="31"/>
      <c r="R94" s="31"/>
      <c r="S94" s="31"/>
      <c r="T94" s="31"/>
      <c r="U94" s="31"/>
      <c r="V94" s="31"/>
      <c r="W94" s="31"/>
      <c r="X94" s="31"/>
      <c r="Y94" s="31"/>
      <c r="Z94" s="31"/>
      <c r="AA94" s="31"/>
      <c r="AB94" s="31"/>
      <c r="AC94" s="31"/>
      <c r="AD94" s="31"/>
      <c r="AE94" s="31"/>
      <c r="AF94" s="31"/>
      <c r="AG94" s="31"/>
    </row>
    <row r="95" spans="2:33">
      <c r="B95" s="31"/>
      <c r="C95" s="31"/>
      <c r="D95" s="31"/>
      <c r="E95" s="31"/>
      <c r="F95" s="31"/>
      <c r="G95" s="31"/>
      <c r="H95" s="31"/>
      <c r="I95" s="31"/>
      <c r="J95" s="31"/>
      <c r="K95" s="31"/>
      <c r="L95" s="31"/>
      <c r="M95" s="31"/>
      <c r="N95" s="31"/>
      <c r="O95" s="31"/>
      <c r="P95" s="31"/>
      <c r="Q95" s="31"/>
      <c r="R95" s="31"/>
      <c r="S95" s="31"/>
      <c r="T95" s="31"/>
      <c r="U95" s="31"/>
      <c r="V95" s="31"/>
      <c r="W95" s="31"/>
      <c r="X95" s="31"/>
      <c r="Y95" s="31"/>
      <c r="Z95" s="31"/>
      <c r="AA95" s="31"/>
      <c r="AB95" s="31"/>
      <c r="AC95" s="31"/>
      <c r="AD95" s="31"/>
      <c r="AE95" s="31"/>
      <c r="AF95" s="31"/>
      <c r="AG95" s="31"/>
    </row>
    <row r="96" spans="2:33">
      <c r="B96" s="31"/>
      <c r="C96" s="31"/>
      <c r="D96" s="31"/>
      <c r="E96" s="31"/>
      <c r="F96" s="31"/>
      <c r="G96" s="31"/>
      <c r="H96" s="31"/>
      <c r="I96" s="31"/>
      <c r="J96" s="31"/>
      <c r="K96" s="31"/>
      <c r="L96" s="31"/>
      <c r="M96" s="31"/>
      <c r="N96" s="31"/>
      <c r="O96" s="31"/>
      <c r="P96" s="31"/>
      <c r="Q96" s="31"/>
      <c r="R96" s="31"/>
      <c r="S96" s="31"/>
      <c r="T96" s="31"/>
      <c r="U96" s="31"/>
      <c r="V96" s="31"/>
      <c r="W96" s="31"/>
      <c r="X96" s="31"/>
      <c r="Y96" s="31"/>
      <c r="Z96" s="31"/>
      <c r="AA96" s="31"/>
      <c r="AB96" s="31"/>
      <c r="AC96" s="31"/>
      <c r="AD96" s="31"/>
      <c r="AE96" s="31"/>
      <c r="AF96" s="31"/>
      <c r="AG96" s="31"/>
    </row>
    <row r="97" spans="2:33">
      <c r="B97" s="31"/>
      <c r="C97" s="31"/>
      <c r="D97" s="31"/>
      <c r="E97" s="31"/>
      <c r="F97" s="31"/>
      <c r="G97" s="31"/>
      <c r="H97" s="31"/>
      <c r="I97" s="31"/>
      <c r="J97" s="31"/>
      <c r="K97" s="31"/>
      <c r="L97" s="31"/>
      <c r="M97" s="31"/>
      <c r="N97" s="31"/>
      <c r="O97" s="31"/>
      <c r="P97" s="31"/>
      <c r="Q97" s="31"/>
      <c r="R97" s="31"/>
      <c r="S97" s="31"/>
      <c r="T97" s="31"/>
      <c r="U97" s="31"/>
      <c r="V97" s="31"/>
      <c r="W97" s="31"/>
      <c r="X97" s="31"/>
      <c r="Y97" s="31"/>
      <c r="Z97" s="31"/>
      <c r="AA97" s="31"/>
      <c r="AB97" s="31"/>
      <c r="AC97" s="31"/>
      <c r="AD97" s="31"/>
      <c r="AE97" s="31"/>
      <c r="AF97" s="31"/>
      <c r="AG97" s="31"/>
    </row>
    <row r="98" spans="2:33">
      <c r="B98" s="31"/>
      <c r="C98" s="31"/>
      <c r="D98" s="31"/>
      <c r="E98" s="31"/>
      <c r="F98" s="31"/>
      <c r="G98" s="31"/>
      <c r="H98" s="31"/>
      <c r="I98" s="31"/>
      <c r="J98" s="31"/>
      <c r="K98" s="31"/>
      <c r="L98" s="31"/>
      <c r="M98" s="31"/>
      <c r="N98" s="31"/>
      <c r="O98" s="31"/>
      <c r="P98" s="31"/>
      <c r="Q98" s="31"/>
      <c r="R98" s="31"/>
      <c r="S98" s="31"/>
      <c r="T98" s="31"/>
      <c r="U98" s="31"/>
      <c r="V98" s="31"/>
      <c r="W98" s="31"/>
      <c r="X98" s="31"/>
      <c r="Y98" s="31"/>
      <c r="Z98" s="31"/>
      <c r="AA98" s="31"/>
      <c r="AB98" s="31"/>
      <c r="AC98" s="31"/>
      <c r="AD98" s="31"/>
      <c r="AE98" s="31"/>
      <c r="AF98" s="31"/>
      <c r="AG98" s="31"/>
    </row>
    <row r="99" spans="2:33">
      <c r="B99" s="31"/>
      <c r="C99" s="31"/>
      <c r="D99" s="31"/>
      <c r="E99" s="31"/>
      <c r="F99" s="31"/>
      <c r="G99" s="31"/>
      <c r="H99" s="31"/>
      <c r="I99" s="31"/>
      <c r="J99" s="31"/>
      <c r="K99" s="31"/>
      <c r="L99" s="31"/>
      <c r="M99" s="31"/>
      <c r="N99" s="31"/>
      <c r="O99" s="31"/>
      <c r="P99" s="31"/>
      <c r="Q99" s="31"/>
      <c r="R99" s="31"/>
      <c r="S99" s="31"/>
      <c r="T99" s="31"/>
      <c r="U99" s="31"/>
      <c r="V99" s="31"/>
      <c r="W99" s="31"/>
      <c r="X99" s="31"/>
      <c r="Y99" s="31"/>
      <c r="Z99" s="31"/>
      <c r="AA99" s="31"/>
      <c r="AB99" s="31"/>
      <c r="AC99" s="31"/>
      <c r="AD99" s="31"/>
      <c r="AE99" s="31"/>
      <c r="AF99" s="31"/>
      <c r="AG99" s="31"/>
    </row>
    <row r="100" spans="2:33">
      <c r="B100" s="31"/>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1"/>
      <c r="AB100" s="31"/>
      <c r="AC100" s="31"/>
      <c r="AD100" s="31"/>
      <c r="AE100" s="31"/>
      <c r="AF100" s="31"/>
      <c r="AG100" s="31"/>
    </row>
    <row r="101" spans="2:33">
      <c r="B101" s="31"/>
      <c r="C101" s="31"/>
      <c r="D101" s="31"/>
      <c r="E101" s="31"/>
      <c r="F101" s="31"/>
      <c r="G101" s="31"/>
      <c r="H101" s="31"/>
      <c r="I101" s="31"/>
      <c r="J101" s="31"/>
      <c r="K101" s="31"/>
      <c r="L101" s="31"/>
      <c r="M101" s="31"/>
      <c r="N101" s="31"/>
      <c r="O101" s="31"/>
      <c r="P101" s="31"/>
      <c r="Q101" s="31"/>
      <c r="R101" s="31"/>
      <c r="S101" s="31"/>
      <c r="T101" s="31"/>
      <c r="U101" s="31"/>
      <c r="V101" s="31"/>
      <c r="W101" s="31"/>
      <c r="X101" s="31"/>
      <c r="Y101" s="31"/>
      <c r="Z101" s="31"/>
      <c r="AA101" s="31"/>
      <c r="AB101" s="31"/>
      <c r="AC101" s="31"/>
      <c r="AD101" s="31"/>
      <c r="AE101" s="31"/>
      <c r="AF101" s="31"/>
      <c r="AG101" s="31"/>
    </row>
    <row r="102" spans="2:33">
      <c r="B102" s="31"/>
      <c r="C102" s="31"/>
      <c r="D102" s="31"/>
      <c r="E102" s="31"/>
      <c r="F102" s="31"/>
      <c r="G102" s="31"/>
      <c r="H102" s="31"/>
      <c r="I102" s="31"/>
      <c r="J102" s="31"/>
      <c r="K102" s="31"/>
      <c r="L102" s="31"/>
      <c r="M102" s="31"/>
      <c r="N102" s="31"/>
      <c r="O102" s="31"/>
      <c r="P102" s="31"/>
      <c r="Q102" s="31"/>
      <c r="R102" s="31"/>
      <c r="S102" s="31"/>
      <c r="T102" s="31"/>
      <c r="U102" s="31"/>
      <c r="V102" s="31"/>
      <c r="W102" s="31"/>
      <c r="X102" s="31"/>
      <c r="Y102" s="31"/>
      <c r="Z102" s="31"/>
      <c r="AA102" s="31"/>
      <c r="AB102" s="31"/>
      <c r="AC102" s="31"/>
      <c r="AD102" s="31"/>
      <c r="AE102" s="31"/>
      <c r="AF102" s="31"/>
      <c r="AG102" s="31"/>
    </row>
    <row r="103" spans="2:33">
      <c r="B103" s="31"/>
      <c r="C103" s="31"/>
      <c r="D103" s="31"/>
      <c r="E103" s="31"/>
      <c r="F103" s="31"/>
      <c r="G103" s="31"/>
      <c r="H103" s="31"/>
      <c r="I103" s="31"/>
      <c r="J103" s="31"/>
      <c r="K103" s="31"/>
      <c r="L103" s="31"/>
      <c r="M103" s="31"/>
      <c r="N103" s="31"/>
      <c r="O103" s="31"/>
      <c r="P103" s="31"/>
      <c r="Q103" s="31"/>
      <c r="R103" s="31"/>
      <c r="S103" s="31"/>
      <c r="T103" s="31"/>
      <c r="U103" s="31"/>
      <c r="V103" s="31"/>
      <c r="W103" s="31"/>
      <c r="X103" s="31"/>
      <c r="Y103" s="31"/>
      <c r="Z103" s="31"/>
      <c r="AA103" s="31"/>
      <c r="AB103" s="31"/>
      <c r="AC103" s="31"/>
      <c r="AD103" s="31"/>
      <c r="AE103" s="31"/>
      <c r="AF103" s="31"/>
      <c r="AG103" s="31"/>
    </row>
    <row r="104" spans="2:33">
      <c r="B104" s="31"/>
      <c r="C104" s="31"/>
      <c r="D104" s="31"/>
      <c r="E104" s="31"/>
      <c r="F104" s="31"/>
      <c r="G104" s="31"/>
      <c r="H104" s="31"/>
      <c r="I104" s="31"/>
      <c r="J104" s="31"/>
      <c r="K104" s="31"/>
      <c r="L104" s="31"/>
      <c r="M104" s="31"/>
      <c r="N104" s="31"/>
      <c r="O104" s="31"/>
      <c r="P104" s="31"/>
      <c r="Q104" s="31"/>
      <c r="R104" s="31"/>
      <c r="S104" s="31"/>
      <c r="T104" s="31"/>
      <c r="U104" s="31"/>
      <c r="V104" s="31"/>
      <c r="W104" s="31"/>
      <c r="X104" s="31"/>
      <c r="Y104" s="31"/>
      <c r="Z104" s="31"/>
      <c r="AA104" s="31"/>
      <c r="AB104" s="31"/>
      <c r="AC104" s="31"/>
      <c r="AD104" s="31"/>
      <c r="AE104" s="31"/>
      <c r="AF104" s="31"/>
      <c r="AG104" s="31"/>
    </row>
    <row r="105" spans="2:33">
      <c r="B105" s="31"/>
      <c r="C105" s="31"/>
      <c r="D105" s="31"/>
      <c r="E105" s="31"/>
      <c r="F105" s="31"/>
      <c r="G105" s="31"/>
      <c r="H105" s="31"/>
      <c r="I105" s="31"/>
      <c r="J105" s="31"/>
      <c r="K105" s="31"/>
      <c r="L105" s="31"/>
      <c r="M105" s="31"/>
      <c r="N105" s="31"/>
      <c r="O105" s="31"/>
      <c r="P105" s="31"/>
      <c r="Q105" s="31"/>
      <c r="R105" s="31"/>
      <c r="S105" s="31"/>
      <c r="T105" s="31"/>
      <c r="U105" s="31"/>
      <c r="V105" s="31"/>
      <c r="W105" s="31"/>
      <c r="X105" s="31"/>
      <c r="Y105" s="31"/>
      <c r="Z105" s="31"/>
      <c r="AA105" s="31"/>
      <c r="AB105" s="31"/>
      <c r="AC105" s="31"/>
      <c r="AD105" s="31"/>
      <c r="AE105" s="31"/>
      <c r="AF105" s="31"/>
      <c r="AG105" s="31"/>
    </row>
    <row r="106" spans="2:33">
      <c r="B106" s="31"/>
      <c r="C106" s="31"/>
      <c r="D106" s="31"/>
      <c r="E106" s="31"/>
      <c r="F106" s="31"/>
      <c r="G106" s="31"/>
      <c r="H106" s="31"/>
      <c r="I106" s="31"/>
      <c r="J106" s="31"/>
      <c r="K106" s="31"/>
      <c r="L106" s="31"/>
      <c r="M106" s="31"/>
      <c r="N106" s="31"/>
      <c r="O106" s="31"/>
      <c r="P106" s="31"/>
      <c r="Q106" s="31"/>
      <c r="R106" s="31"/>
      <c r="S106" s="31"/>
      <c r="T106" s="31"/>
      <c r="U106" s="31"/>
      <c r="V106" s="31"/>
      <c r="W106" s="31"/>
      <c r="X106" s="31"/>
      <c r="Y106" s="31"/>
      <c r="Z106" s="31"/>
      <c r="AA106" s="31"/>
      <c r="AB106" s="31"/>
      <c r="AC106" s="31"/>
      <c r="AD106" s="31"/>
      <c r="AE106" s="31"/>
      <c r="AF106" s="31"/>
      <c r="AG106" s="31"/>
    </row>
    <row r="107" spans="2:33">
      <c r="B107" s="31"/>
      <c r="C107" s="31"/>
      <c r="D107" s="31"/>
      <c r="E107" s="31"/>
      <c r="F107" s="31"/>
      <c r="G107" s="31"/>
      <c r="H107" s="31"/>
      <c r="I107" s="31"/>
      <c r="J107" s="31"/>
      <c r="K107" s="31"/>
      <c r="L107" s="31"/>
      <c r="M107" s="31"/>
      <c r="N107" s="31"/>
      <c r="O107" s="31"/>
      <c r="P107" s="31"/>
      <c r="Q107" s="31"/>
      <c r="R107" s="31"/>
      <c r="S107" s="31"/>
      <c r="T107" s="31"/>
      <c r="U107" s="31"/>
      <c r="V107" s="31"/>
      <c r="W107" s="31"/>
      <c r="X107" s="31"/>
      <c r="Y107" s="31"/>
      <c r="Z107" s="31"/>
      <c r="AA107" s="31"/>
      <c r="AB107" s="31"/>
      <c r="AC107" s="31"/>
      <c r="AD107" s="31"/>
      <c r="AE107" s="31"/>
      <c r="AF107" s="31"/>
      <c r="AG107" s="31"/>
    </row>
    <row r="108" spans="2:33">
      <c r="B108" s="31"/>
      <c r="C108" s="31"/>
      <c r="D108" s="31"/>
      <c r="E108" s="31"/>
      <c r="F108" s="31"/>
      <c r="G108" s="31"/>
      <c r="H108" s="31"/>
      <c r="I108" s="31"/>
      <c r="J108" s="31"/>
      <c r="K108" s="31"/>
      <c r="L108" s="31"/>
      <c r="M108" s="31"/>
      <c r="N108" s="31"/>
      <c r="O108" s="31"/>
      <c r="P108" s="31"/>
      <c r="Q108" s="31"/>
      <c r="R108" s="31"/>
      <c r="S108" s="31"/>
      <c r="T108" s="31"/>
      <c r="U108" s="31"/>
      <c r="V108" s="31"/>
      <c r="W108" s="31"/>
      <c r="X108" s="31"/>
      <c r="Y108" s="31"/>
      <c r="Z108" s="31"/>
      <c r="AA108" s="31"/>
      <c r="AB108" s="31"/>
      <c r="AC108" s="31"/>
      <c r="AD108" s="31"/>
      <c r="AE108" s="31"/>
      <c r="AF108" s="31"/>
      <c r="AG108" s="31"/>
    </row>
    <row r="109" spans="2:33">
      <c r="B109" s="31"/>
      <c r="C109" s="31"/>
      <c r="D109" s="31"/>
      <c r="E109" s="31"/>
      <c r="F109" s="31"/>
      <c r="G109" s="31"/>
      <c r="H109" s="31"/>
      <c r="I109" s="31"/>
      <c r="J109" s="31"/>
      <c r="K109" s="31"/>
      <c r="L109" s="31"/>
      <c r="M109" s="31"/>
      <c r="N109" s="31"/>
      <c r="O109" s="31"/>
      <c r="P109" s="31"/>
      <c r="Q109" s="31"/>
      <c r="R109" s="31"/>
      <c r="S109" s="31"/>
      <c r="T109" s="31"/>
      <c r="U109" s="31"/>
      <c r="V109" s="31"/>
      <c r="W109" s="31"/>
      <c r="X109" s="31"/>
      <c r="Y109" s="31"/>
      <c r="Z109" s="31"/>
      <c r="AA109" s="31"/>
      <c r="AB109" s="31"/>
      <c r="AC109" s="31"/>
      <c r="AD109" s="31"/>
      <c r="AE109" s="31"/>
      <c r="AF109" s="31" t="s">
        <v>655</v>
      </c>
      <c r="AG109" s="31"/>
    </row>
    <row r="114" spans="2:32">
      <c r="B114" s="29"/>
      <c r="C114" s="29"/>
      <c r="D114" s="29"/>
      <c r="E114" s="29"/>
      <c r="F114" s="29"/>
      <c r="G114" s="29"/>
      <c r="H114" s="29"/>
      <c r="I114" s="29"/>
      <c r="J114" s="29"/>
      <c r="K114" s="29"/>
      <c r="L114" s="29"/>
      <c r="M114" s="29"/>
      <c r="N114" s="29"/>
      <c r="O114" s="29"/>
      <c r="P114" s="29"/>
      <c r="Q114" s="29"/>
      <c r="R114" s="29"/>
      <c r="S114" s="29"/>
      <c r="T114" s="29"/>
      <c r="U114" s="29"/>
      <c r="V114" s="29"/>
      <c r="W114" s="29"/>
      <c r="X114" s="29"/>
      <c r="Y114" s="29"/>
      <c r="Z114" s="29"/>
      <c r="AA114" s="29"/>
      <c r="AB114" s="29"/>
      <c r="AC114" s="29"/>
      <c r="AD114" s="29"/>
      <c r="AE114" s="29"/>
      <c r="AF114" s="29"/>
    </row>
    <row r="116" spans="2:32">
      <c r="B116" s="29"/>
      <c r="C116" s="29"/>
      <c r="D116" s="29"/>
      <c r="E116" s="29"/>
      <c r="F116" s="29"/>
      <c r="G116" s="29"/>
      <c r="H116" s="29"/>
      <c r="I116" s="29"/>
      <c r="J116" s="29"/>
      <c r="K116" s="29"/>
      <c r="L116" s="29"/>
      <c r="M116" s="29"/>
      <c r="N116" s="29"/>
      <c r="O116" s="29"/>
      <c r="P116" s="29"/>
      <c r="Q116" s="29"/>
      <c r="R116" s="29"/>
      <c r="S116" s="29"/>
      <c r="T116" s="29"/>
      <c r="U116" s="29"/>
      <c r="V116" s="29"/>
      <c r="W116" s="29"/>
      <c r="X116" s="29"/>
      <c r="Y116" s="29"/>
      <c r="Z116" s="29"/>
      <c r="AA116" s="29"/>
      <c r="AB116" s="29"/>
      <c r="AC116" s="29"/>
      <c r="AD116" s="29"/>
      <c r="AE116" s="29"/>
      <c r="AF116" s="29"/>
    </row>
    <row r="117" spans="2:32">
      <c r="B117" s="29"/>
      <c r="C117" s="29"/>
      <c r="D117" s="29"/>
      <c r="E117" s="29"/>
      <c r="F117" s="29"/>
      <c r="G117" s="29"/>
      <c r="H117" s="29"/>
      <c r="I117" s="29"/>
      <c r="J117" s="29"/>
      <c r="K117" s="29"/>
      <c r="L117" s="29"/>
      <c r="M117" s="29"/>
      <c r="N117" s="29"/>
      <c r="O117" s="29"/>
      <c r="P117" s="29"/>
      <c r="Q117" s="29"/>
      <c r="R117" s="29"/>
      <c r="S117" s="29"/>
      <c r="T117" s="29"/>
      <c r="U117" s="29"/>
      <c r="V117" s="29"/>
      <c r="W117" s="29"/>
      <c r="X117" s="29"/>
      <c r="Y117" s="29"/>
      <c r="Z117" s="29"/>
      <c r="AA117" s="29"/>
      <c r="AB117" s="29"/>
      <c r="AC117" s="29"/>
      <c r="AD117" s="29"/>
      <c r="AE117" s="29"/>
      <c r="AF117" s="29"/>
    </row>
    <row r="258" spans="2:32">
      <c r="B258" s="29"/>
      <c r="C258" s="29"/>
      <c r="D258" s="29"/>
      <c r="E258" s="29"/>
      <c r="F258" s="29"/>
      <c r="G258" s="29"/>
      <c r="H258" s="29"/>
      <c r="I258" s="29"/>
      <c r="J258" s="29"/>
      <c r="K258" s="29"/>
      <c r="L258" s="29"/>
      <c r="M258" s="29"/>
      <c r="N258" s="29"/>
      <c r="O258" s="29"/>
      <c r="P258" s="29"/>
      <c r="Q258" s="29"/>
      <c r="R258" s="29"/>
      <c r="S258" s="29"/>
      <c r="T258" s="29"/>
      <c r="U258" s="29"/>
      <c r="V258" s="29"/>
      <c r="W258" s="29"/>
      <c r="X258" s="29"/>
      <c r="Y258" s="29"/>
      <c r="Z258" s="29"/>
      <c r="AA258" s="29"/>
      <c r="AB258" s="29"/>
      <c r="AC258" s="29"/>
      <c r="AD258" s="29"/>
      <c r="AE258" s="29"/>
      <c r="AF258" s="29"/>
    </row>
    <row r="259" spans="2:32">
      <c r="B259" s="29"/>
      <c r="C259" s="29"/>
      <c r="D259" s="29"/>
      <c r="E259" s="29"/>
      <c r="F259" s="29"/>
      <c r="G259" s="29"/>
      <c r="H259" s="29"/>
      <c r="I259" s="29"/>
      <c r="J259" s="29"/>
      <c r="K259" s="29"/>
      <c r="L259" s="29"/>
      <c r="M259" s="29"/>
      <c r="N259" s="29"/>
      <c r="O259" s="29"/>
      <c r="P259" s="29"/>
      <c r="Q259" s="29"/>
      <c r="R259" s="29"/>
      <c r="S259" s="29"/>
      <c r="T259" s="29"/>
      <c r="U259" s="29"/>
      <c r="V259" s="29"/>
      <c r="W259" s="29"/>
      <c r="X259" s="29"/>
      <c r="Y259" s="29"/>
      <c r="Z259" s="29"/>
      <c r="AA259" s="29"/>
      <c r="AB259" s="29"/>
      <c r="AC259" s="29"/>
      <c r="AD259" s="29"/>
      <c r="AE259" s="29"/>
      <c r="AF259" s="29"/>
    </row>
    <row r="268" spans="2:32">
      <c r="B268" s="29"/>
      <c r="C268" s="29"/>
      <c r="D268" s="29"/>
      <c r="E268" s="29"/>
      <c r="F268" s="29"/>
      <c r="G268" s="29"/>
      <c r="H268" s="29"/>
      <c r="I268" s="29"/>
      <c r="J268" s="29"/>
      <c r="K268" s="29"/>
      <c r="L268" s="29"/>
      <c r="M268" s="29"/>
      <c r="N268" s="29"/>
      <c r="O268" s="29"/>
      <c r="P268" s="29"/>
      <c r="Q268" s="29"/>
      <c r="R268" s="29"/>
      <c r="S268" s="29"/>
      <c r="T268" s="29"/>
      <c r="U268" s="29"/>
      <c r="V268" s="29"/>
      <c r="W268" s="29"/>
      <c r="X268" s="29"/>
      <c r="Y268" s="29"/>
      <c r="Z268" s="29"/>
      <c r="AA268" s="29"/>
      <c r="AB268" s="29"/>
      <c r="AC268" s="29"/>
      <c r="AD268" s="29"/>
      <c r="AE268" s="29"/>
      <c r="AF268" s="29"/>
    </row>
    <row r="269" spans="2:32">
      <c r="B269" s="29"/>
      <c r="C269" s="29"/>
      <c r="D269" s="29"/>
      <c r="E269" s="29"/>
      <c r="F269" s="29"/>
      <c r="G269" s="29"/>
      <c r="H269" s="29"/>
      <c r="I269" s="29"/>
      <c r="J269" s="29"/>
      <c r="K269" s="29"/>
      <c r="L269" s="29"/>
      <c r="M269" s="29"/>
      <c r="N269" s="29"/>
      <c r="O269" s="29"/>
      <c r="P269" s="29"/>
      <c r="Q269" s="29"/>
      <c r="R269" s="29"/>
      <c r="S269" s="29"/>
      <c r="T269" s="29"/>
      <c r="U269" s="29"/>
      <c r="V269" s="29"/>
      <c r="W269" s="29"/>
      <c r="X269" s="29"/>
      <c r="Y269" s="29"/>
      <c r="Z269" s="29"/>
      <c r="AA269" s="29"/>
      <c r="AB269" s="29"/>
      <c r="AC269" s="29"/>
      <c r="AD269" s="29"/>
      <c r="AE269" s="29"/>
      <c r="AF269" s="29"/>
    </row>
    <row r="270" spans="2:32">
      <c r="B270" s="29"/>
      <c r="C270" s="29"/>
      <c r="D270" s="29"/>
      <c r="E270" s="29"/>
      <c r="F270" s="29"/>
      <c r="G270" s="29"/>
      <c r="H270" s="29"/>
      <c r="I270" s="29"/>
      <c r="J270" s="29"/>
      <c r="K270" s="29"/>
      <c r="L270" s="29"/>
      <c r="M270" s="29"/>
      <c r="N270" s="29"/>
      <c r="O270" s="29"/>
      <c r="P270" s="29"/>
      <c r="Q270" s="29"/>
      <c r="R270" s="29"/>
      <c r="S270" s="29"/>
      <c r="T270" s="29"/>
      <c r="U270" s="29"/>
      <c r="V270" s="29"/>
      <c r="W270" s="29"/>
      <c r="X270" s="29"/>
      <c r="Y270" s="29"/>
      <c r="Z270" s="29"/>
      <c r="AA270" s="29"/>
      <c r="AB270" s="29"/>
      <c r="AC270" s="29"/>
      <c r="AD270" s="29"/>
      <c r="AE270" s="29"/>
      <c r="AF270" s="29"/>
    </row>
    <row r="271" spans="2:32">
      <c r="B271" s="29"/>
      <c r="C271" s="29"/>
      <c r="D271" s="29"/>
      <c r="E271" s="29"/>
      <c r="F271" s="29"/>
      <c r="G271" s="29"/>
      <c r="H271" s="29"/>
      <c r="I271" s="29"/>
      <c r="J271" s="29"/>
      <c r="K271" s="29"/>
      <c r="L271" s="29"/>
      <c r="M271" s="29"/>
      <c r="N271" s="29"/>
      <c r="O271" s="29"/>
      <c r="P271" s="29"/>
      <c r="Q271" s="29"/>
      <c r="R271" s="29"/>
      <c r="S271" s="29"/>
      <c r="T271" s="29"/>
      <c r="U271" s="29"/>
      <c r="V271" s="29"/>
      <c r="W271" s="29"/>
      <c r="X271" s="29"/>
      <c r="Y271" s="29"/>
      <c r="Z271" s="29"/>
      <c r="AA271" s="29"/>
      <c r="AB271" s="29"/>
      <c r="AC271" s="29"/>
      <c r="AD271" s="29"/>
      <c r="AE271" s="29"/>
      <c r="AF271" s="29"/>
    </row>
    <row r="272" spans="2:32">
      <c r="B272" s="29"/>
      <c r="C272" s="29"/>
      <c r="D272" s="29"/>
      <c r="E272" s="29"/>
      <c r="F272" s="29"/>
      <c r="G272" s="29"/>
      <c r="H272" s="29"/>
      <c r="I272" s="29"/>
      <c r="J272" s="29"/>
      <c r="K272" s="29"/>
      <c r="L272" s="29"/>
      <c r="M272" s="29"/>
      <c r="N272" s="29"/>
      <c r="O272" s="29"/>
      <c r="P272" s="29"/>
      <c r="Q272" s="29"/>
      <c r="R272" s="29"/>
      <c r="S272" s="29"/>
      <c r="T272" s="29"/>
      <c r="U272" s="29"/>
      <c r="V272" s="29"/>
      <c r="W272" s="29"/>
      <c r="X272" s="29"/>
      <c r="Y272" s="29"/>
      <c r="Z272" s="29"/>
      <c r="AA272" s="29"/>
      <c r="AB272" s="29"/>
      <c r="AC272" s="29"/>
      <c r="AD272" s="29"/>
      <c r="AE272" s="29"/>
      <c r="AF272" s="29"/>
    </row>
    <row r="338" spans="2:32">
      <c r="B338" s="29"/>
      <c r="C338" s="29"/>
      <c r="D338" s="29"/>
      <c r="E338" s="29"/>
      <c r="F338" s="29"/>
      <c r="G338" s="29"/>
      <c r="H338" s="29"/>
      <c r="I338" s="29"/>
      <c r="J338" s="29"/>
      <c r="K338" s="29"/>
      <c r="L338" s="29"/>
      <c r="M338" s="29"/>
      <c r="N338" s="29"/>
      <c r="O338" s="29"/>
      <c r="P338" s="29"/>
      <c r="Q338" s="29"/>
      <c r="R338" s="29"/>
      <c r="S338" s="29"/>
      <c r="T338" s="29"/>
      <c r="U338" s="29"/>
      <c r="V338" s="29"/>
      <c r="W338" s="29"/>
      <c r="X338" s="29"/>
      <c r="Y338" s="29"/>
      <c r="Z338" s="29"/>
      <c r="AA338" s="29"/>
      <c r="AB338" s="29"/>
      <c r="AC338" s="29"/>
      <c r="AD338" s="29"/>
      <c r="AE338" s="29"/>
      <c r="AF338" s="29"/>
    </row>
    <row r="339" spans="2:32">
      <c r="B339" s="29"/>
      <c r="C339" s="29"/>
      <c r="D339" s="29"/>
      <c r="E339" s="29"/>
      <c r="F339" s="29"/>
      <c r="G339" s="29"/>
      <c r="H339" s="29"/>
      <c r="I339" s="29"/>
      <c r="J339" s="29"/>
      <c r="K339" s="29"/>
      <c r="L339" s="29"/>
      <c r="M339" s="29"/>
      <c r="N339" s="29"/>
      <c r="O339" s="29"/>
      <c r="P339" s="29"/>
      <c r="Q339" s="29"/>
      <c r="R339" s="29"/>
      <c r="S339" s="29"/>
      <c r="T339" s="29"/>
      <c r="U339" s="29"/>
      <c r="V339" s="29"/>
      <c r="W339" s="29"/>
      <c r="X339" s="29"/>
      <c r="Y339" s="29"/>
      <c r="Z339" s="29"/>
      <c r="AA339" s="29"/>
      <c r="AB339" s="29"/>
      <c r="AC339" s="29"/>
      <c r="AD339" s="29"/>
      <c r="AE339" s="29"/>
      <c r="AF339" s="29"/>
    </row>
    <row r="348" spans="2:32">
      <c r="B348" s="29"/>
      <c r="C348" s="29"/>
      <c r="D348" s="29"/>
      <c r="E348" s="29"/>
      <c r="F348" s="29"/>
      <c r="G348" s="29"/>
      <c r="H348" s="29"/>
      <c r="I348" s="29"/>
      <c r="J348" s="29"/>
      <c r="K348" s="29"/>
      <c r="L348" s="29"/>
      <c r="M348" s="29"/>
      <c r="N348" s="29"/>
      <c r="O348" s="29"/>
      <c r="P348" s="29"/>
      <c r="Q348" s="29"/>
      <c r="R348" s="29"/>
      <c r="S348" s="29"/>
      <c r="T348" s="29"/>
      <c r="U348" s="29"/>
      <c r="V348" s="29"/>
      <c r="W348" s="29"/>
      <c r="X348" s="29"/>
      <c r="Y348" s="29"/>
      <c r="Z348" s="29"/>
      <c r="AA348" s="29"/>
      <c r="AB348" s="29"/>
      <c r="AC348" s="29"/>
      <c r="AD348" s="29"/>
      <c r="AE348" s="29"/>
      <c r="AF348" s="29"/>
    </row>
    <row r="349" spans="2:32">
      <c r="B349" s="29"/>
      <c r="C349" s="29"/>
      <c r="D349" s="29"/>
      <c r="E349" s="29"/>
      <c r="F349" s="29"/>
      <c r="G349" s="29"/>
      <c r="H349" s="29"/>
      <c r="I349" s="29"/>
      <c r="J349" s="29"/>
      <c r="K349" s="29"/>
      <c r="L349" s="29"/>
      <c r="M349" s="29"/>
      <c r="N349" s="29"/>
      <c r="O349" s="29"/>
      <c r="P349" s="29"/>
      <c r="Q349" s="29"/>
      <c r="R349" s="29"/>
      <c r="S349" s="29"/>
      <c r="T349" s="29"/>
      <c r="U349" s="29"/>
      <c r="V349" s="29"/>
      <c r="W349" s="29"/>
      <c r="X349" s="29"/>
      <c r="Y349" s="29"/>
      <c r="Z349" s="29"/>
      <c r="AA349" s="29"/>
      <c r="AB349" s="29"/>
      <c r="AC349" s="29"/>
      <c r="AD349" s="29"/>
      <c r="AE349" s="29"/>
      <c r="AF349" s="29"/>
    </row>
    <row r="350" spans="2:32">
      <c r="B350" s="29"/>
      <c r="C350" s="29"/>
      <c r="D350" s="29"/>
      <c r="E350" s="29"/>
      <c r="F350" s="29"/>
      <c r="G350" s="29"/>
      <c r="H350" s="29"/>
      <c r="I350" s="29"/>
      <c r="J350" s="29"/>
      <c r="K350" s="29"/>
      <c r="L350" s="29"/>
      <c r="M350" s="29"/>
      <c r="N350" s="29"/>
      <c r="O350" s="29"/>
      <c r="P350" s="29"/>
      <c r="Q350" s="29"/>
      <c r="R350" s="29"/>
      <c r="S350" s="29"/>
      <c r="T350" s="29"/>
      <c r="U350" s="29"/>
      <c r="V350" s="29"/>
      <c r="W350" s="29"/>
      <c r="X350" s="29"/>
      <c r="Y350" s="29"/>
      <c r="Z350" s="29"/>
      <c r="AA350" s="29"/>
      <c r="AB350" s="29"/>
      <c r="AC350" s="29"/>
      <c r="AD350" s="29"/>
      <c r="AE350" s="29"/>
      <c r="AF350" s="29"/>
    </row>
    <row r="351" spans="2:32">
      <c r="B351" s="29"/>
      <c r="C351" s="29"/>
      <c r="D351" s="29"/>
      <c r="E351" s="29"/>
      <c r="F351" s="29"/>
      <c r="G351" s="29"/>
      <c r="H351" s="29"/>
      <c r="I351" s="29"/>
      <c r="J351" s="29"/>
      <c r="K351" s="29"/>
      <c r="L351" s="29"/>
      <c r="M351" s="29"/>
      <c r="N351" s="29"/>
      <c r="O351" s="29"/>
      <c r="P351" s="29"/>
      <c r="Q351" s="29"/>
      <c r="R351" s="29"/>
      <c r="S351" s="29"/>
      <c r="T351" s="29"/>
      <c r="U351" s="29"/>
      <c r="V351" s="29"/>
      <c r="W351" s="29"/>
      <c r="X351" s="29"/>
      <c r="Y351" s="29"/>
      <c r="Z351" s="29"/>
      <c r="AA351" s="29"/>
      <c r="AB351" s="29"/>
      <c r="AC351" s="29"/>
      <c r="AD351" s="29"/>
      <c r="AE351" s="29"/>
      <c r="AF351" s="29"/>
    </row>
    <row r="352" spans="2:32">
      <c r="B352" s="29"/>
      <c r="C352" s="29"/>
      <c r="D352" s="29"/>
      <c r="E352" s="29"/>
      <c r="F352" s="29"/>
      <c r="G352" s="29"/>
      <c r="H352" s="29"/>
      <c r="I352" s="29"/>
      <c r="J352" s="29"/>
      <c r="K352" s="29"/>
      <c r="L352" s="29"/>
      <c r="M352" s="29"/>
      <c r="N352" s="29"/>
      <c r="O352" s="29"/>
      <c r="P352" s="29"/>
      <c r="Q352" s="29"/>
      <c r="R352" s="29"/>
      <c r="S352" s="29"/>
      <c r="T352" s="29"/>
      <c r="U352" s="29"/>
      <c r="V352" s="29"/>
      <c r="W352" s="29"/>
      <c r="X352" s="29"/>
      <c r="Y352" s="29"/>
      <c r="Z352" s="29"/>
      <c r="AA352" s="29"/>
      <c r="AB352" s="29"/>
      <c r="AC352" s="29"/>
      <c r="AD352" s="29"/>
      <c r="AE352" s="29"/>
      <c r="AF352" s="29"/>
    </row>
    <row r="449" spans="2:32">
      <c r="B449" s="29"/>
      <c r="C449" s="29"/>
      <c r="D449" s="29"/>
      <c r="E449" s="29"/>
      <c r="F449" s="29"/>
      <c r="G449" s="29"/>
      <c r="H449" s="29"/>
      <c r="I449" s="29"/>
      <c r="J449" s="29"/>
      <c r="K449" s="29"/>
      <c r="L449" s="29"/>
      <c r="M449" s="29"/>
      <c r="N449" s="29"/>
      <c r="O449" s="29"/>
      <c r="P449" s="29"/>
      <c r="Q449" s="29"/>
      <c r="R449" s="29"/>
      <c r="S449" s="29"/>
      <c r="T449" s="29"/>
      <c r="U449" s="29"/>
      <c r="V449" s="29"/>
      <c r="W449" s="29"/>
      <c r="X449" s="29"/>
      <c r="Y449" s="29"/>
      <c r="Z449" s="29"/>
      <c r="AA449" s="29"/>
      <c r="AB449" s="29"/>
      <c r="AC449" s="29"/>
      <c r="AD449" s="29"/>
      <c r="AE449" s="29"/>
      <c r="AF449" s="29"/>
    </row>
    <row r="451" spans="2:32">
      <c r="B451" s="29"/>
      <c r="C451" s="29"/>
      <c r="D451" s="29"/>
      <c r="E451" s="29"/>
      <c r="F451" s="29"/>
      <c r="G451" s="29"/>
      <c r="H451" s="29"/>
      <c r="I451" s="29"/>
      <c r="J451" s="29"/>
      <c r="K451" s="29"/>
      <c r="L451" s="29"/>
      <c r="M451" s="29"/>
      <c r="N451" s="29"/>
      <c r="O451" s="29"/>
      <c r="P451" s="29"/>
      <c r="Q451" s="29"/>
      <c r="R451" s="29"/>
      <c r="S451" s="29"/>
      <c r="T451" s="29"/>
      <c r="U451" s="29"/>
      <c r="V451" s="29"/>
      <c r="W451" s="29"/>
      <c r="X451" s="29"/>
      <c r="Y451" s="29"/>
      <c r="Z451" s="29"/>
      <c r="AA451" s="29"/>
      <c r="AB451" s="29"/>
      <c r="AC451" s="29"/>
      <c r="AD451" s="29"/>
      <c r="AE451" s="29"/>
      <c r="AF451" s="29"/>
    </row>
    <row r="452" spans="2:32">
      <c r="B452" s="29"/>
      <c r="C452" s="29"/>
      <c r="D452" s="29"/>
      <c r="E452" s="29"/>
      <c r="F452" s="29"/>
      <c r="G452" s="29"/>
      <c r="H452" s="29"/>
      <c r="I452" s="29"/>
      <c r="J452" s="29"/>
      <c r="K452" s="29"/>
      <c r="L452" s="29"/>
      <c r="M452" s="29"/>
      <c r="N452" s="29"/>
      <c r="O452" s="29"/>
      <c r="P452" s="29"/>
      <c r="Q452" s="29"/>
      <c r="R452" s="29"/>
      <c r="S452" s="29"/>
      <c r="T452" s="29"/>
      <c r="U452" s="29"/>
      <c r="V452" s="29"/>
      <c r="W452" s="29"/>
      <c r="X452" s="29"/>
      <c r="Y452" s="29"/>
      <c r="Z452" s="29"/>
      <c r="AA452" s="29"/>
      <c r="AB452" s="29"/>
      <c r="AC452" s="29"/>
      <c r="AD452" s="29"/>
      <c r="AE452" s="29"/>
      <c r="AF452" s="29"/>
    </row>
    <row r="461" spans="2:32">
      <c r="B461" s="29"/>
      <c r="C461" s="29"/>
      <c r="D461" s="29"/>
      <c r="E461" s="29"/>
      <c r="F461" s="29"/>
      <c r="G461" s="29"/>
      <c r="H461" s="29"/>
      <c r="I461" s="29"/>
      <c r="J461" s="29"/>
      <c r="K461" s="29"/>
      <c r="L461" s="29"/>
      <c r="M461" s="29"/>
      <c r="N461" s="29"/>
      <c r="O461" s="29"/>
      <c r="P461" s="29"/>
      <c r="Q461" s="29"/>
      <c r="R461" s="29"/>
      <c r="S461" s="29"/>
      <c r="T461" s="29"/>
      <c r="U461" s="29"/>
      <c r="V461" s="29"/>
      <c r="W461" s="29"/>
      <c r="X461" s="29"/>
      <c r="Y461" s="29"/>
      <c r="Z461" s="29"/>
      <c r="AA461" s="29"/>
      <c r="AB461" s="29"/>
      <c r="AC461" s="29"/>
      <c r="AD461" s="29"/>
      <c r="AE461" s="29"/>
      <c r="AF461" s="29"/>
    </row>
    <row r="462" spans="2:32">
      <c r="B462" s="29"/>
      <c r="C462" s="29"/>
      <c r="D462" s="29"/>
      <c r="E462" s="29"/>
      <c r="F462" s="29"/>
      <c r="G462" s="29"/>
      <c r="H462" s="29"/>
      <c r="I462" s="29"/>
      <c r="J462" s="29"/>
      <c r="K462" s="29"/>
      <c r="L462" s="29"/>
      <c r="M462" s="29"/>
      <c r="N462" s="29"/>
      <c r="O462" s="29"/>
      <c r="P462" s="29"/>
      <c r="Q462" s="29"/>
      <c r="R462" s="29"/>
      <c r="S462" s="29"/>
      <c r="T462" s="29"/>
      <c r="U462" s="29"/>
      <c r="V462" s="29"/>
      <c r="W462" s="29"/>
      <c r="X462" s="29"/>
      <c r="Y462" s="29"/>
      <c r="Z462" s="29"/>
      <c r="AA462" s="29"/>
      <c r="AB462" s="29"/>
      <c r="AC462" s="29"/>
      <c r="AD462" s="29"/>
      <c r="AE462" s="29"/>
      <c r="AF462" s="29"/>
    </row>
    <row r="463" spans="2:32">
      <c r="B463" s="29"/>
      <c r="C463" s="29"/>
      <c r="D463" s="29"/>
      <c r="E463" s="29"/>
      <c r="F463" s="29"/>
      <c r="G463" s="29"/>
      <c r="H463" s="29"/>
      <c r="I463" s="29"/>
      <c r="J463" s="29"/>
      <c r="K463" s="29"/>
      <c r="L463" s="29"/>
      <c r="M463" s="29"/>
      <c r="N463" s="29"/>
      <c r="O463" s="29"/>
      <c r="P463" s="29"/>
      <c r="Q463" s="29"/>
      <c r="R463" s="29"/>
      <c r="S463" s="29"/>
      <c r="T463" s="29"/>
      <c r="U463" s="29"/>
      <c r="V463" s="29"/>
      <c r="W463" s="29"/>
      <c r="X463" s="29"/>
      <c r="Y463" s="29"/>
      <c r="Z463" s="29"/>
      <c r="AA463" s="29"/>
      <c r="AB463" s="29"/>
      <c r="AC463" s="29"/>
      <c r="AD463" s="29"/>
      <c r="AE463" s="29"/>
      <c r="AF463" s="29"/>
    </row>
    <row r="464" spans="2:32">
      <c r="B464" s="29"/>
      <c r="C464" s="29"/>
      <c r="D464" s="29"/>
      <c r="E464" s="29"/>
      <c r="F464" s="29"/>
      <c r="G464" s="29"/>
      <c r="H464" s="29"/>
      <c r="I464" s="29"/>
      <c r="J464" s="29"/>
      <c r="K464" s="29"/>
      <c r="L464" s="29"/>
      <c r="M464" s="29"/>
      <c r="N464" s="29"/>
      <c r="O464" s="29"/>
      <c r="P464" s="29"/>
      <c r="Q464" s="29"/>
      <c r="R464" s="29"/>
      <c r="S464" s="29"/>
      <c r="T464" s="29"/>
      <c r="U464" s="29"/>
      <c r="V464" s="29"/>
      <c r="W464" s="29"/>
      <c r="X464" s="29"/>
      <c r="Y464" s="29"/>
      <c r="Z464" s="29"/>
      <c r="AA464" s="29"/>
      <c r="AB464" s="29"/>
      <c r="AC464" s="29"/>
      <c r="AD464" s="29"/>
      <c r="AE464" s="29"/>
      <c r="AF464" s="29"/>
    </row>
    <row r="564" spans="2:32">
      <c r="B564" s="29"/>
      <c r="C564" s="29"/>
      <c r="D564" s="29"/>
      <c r="E564" s="29"/>
      <c r="F564" s="29"/>
      <c r="G564" s="29"/>
      <c r="H564" s="29"/>
      <c r="I564" s="29"/>
      <c r="J564" s="29"/>
      <c r="K564" s="29"/>
      <c r="L564" s="29"/>
      <c r="M564" s="29"/>
      <c r="N564" s="29"/>
      <c r="O564" s="29"/>
      <c r="P564" s="29"/>
      <c r="Q564" s="29"/>
      <c r="R564" s="29"/>
      <c r="S564" s="29"/>
      <c r="T564" s="29"/>
      <c r="U564" s="29"/>
      <c r="V564" s="29"/>
      <c r="W564" s="29"/>
      <c r="X564" s="29"/>
      <c r="Y564" s="29"/>
      <c r="Z564" s="29"/>
      <c r="AA564" s="29"/>
      <c r="AB564" s="29"/>
      <c r="AC564" s="29"/>
      <c r="AD564" s="29"/>
      <c r="AE564" s="29"/>
      <c r="AF564" s="29"/>
    </row>
    <row r="565" spans="2:32">
      <c r="B565" s="29"/>
      <c r="C565" s="29"/>
      <c r="D565" s="29"/>
      <c r="E565" s="29"/>
      <c r="F565" s="29"/>
      <c r="G565" s="29"/>
      <c r="H565" s="29"/>
      <c r="I565" s="29"/>
      <c r="J565" s="29"/>
      <c r="K565" s="29"/>
      <c r="L565" s="29"/>
      <c r="M565" s="29"/>
      <c r="N565" s="29"/>
      <c r="O565" s="29"/>
      <c r="P565" s="29"/>
      <c r="Q565" s="29"/>
      <c r="R565" s="29"/>
      <c r="S565" s="29"/>
      <c r="T565" s="29"/>
      <c r="U565" s="29"/>
      <c r="V565" s="29"/>
      <c r="W565" s="29"/>
      <c r="X565" s="29"/>
      <c r="Y565" s="29"/>
      <c r="Z565" s="29"/>
      <c r="AA565" s="29"/>
      <c r="AB565" s="29"/>
      <c r="AC565" s="29"/>
      <c r="AD565" s="29"/>
      <c r="AE565" s="29"/>
      <c r="AF565" s="29"/>
    </row>
    <row r="571" spans="2:32">
      <c r="B571" s="29"/>
      <c r="C571" s="29"/>
      <c r="D571" s="29"/>
      <c r="E571" s="29"/>
      <c r="F571" s="29"/>
      <c r="G571" s="29"/>
      <c r="H571" s="29"/>
      <c r="I571" s="29"/>
      <c r="J571" s="29"/>
      <c r="K571" s="29"/>
      <c r="L571" s="29"/>
      <c r="M571" s="29"/>
      <c r="N571" s="29"/>
      <c r="O571" s="29"/>
      <c r="P571" s="29"/>
      <c r="Q571" s="29"/>
      <c r="R571" s="29"/>
      <c r="S571" s="29"/>
      <c r="T571" s="29"/>
      <c r="U571" s="29"/>
      <c r="V571" s="29"/>
      <c r="W571" s="29"/>
      <c r="X571" s="29"/>
      <c r="Y571" s="29"/>
      <c r="Z571" s="29"/>
      <c r="AA571" s="29"/>
      <c r="AB571" s="29"/>
      <c r="AC571" s="29"/>
      <c r="AD571" s="29"/>
      <c r="AE571" s="29"/>
      <c r="AF571" s="29"/>
    </row>
    <row r="572" spans="2:32">
      <c r="B572" s="29"/>
      <c r="C572" s="29"/>
      <c r="D572" s="29"/>
      <c r="E572" s="29"/>
      <c r="F572" s="29"/>
      <c r="G572" s="29"/>
      <c r="H572" s="29"/>
      <c r="I572" s="29"/>
      <c r="J572" s="29"/>
      <c r="K572" s="29"/>
      <c r="L572" s="29"/>
      <c r="M572" s="29"/>
      <c r="N572" s="29"/>
      <c r="O572" s="29"/>
      <c r="P572" s="29"/>
      <c r="Q572" s="29"/>
      <c r="R572" s="29"/>
      <c r="S572" s="29"/>
      <c r="T572" s="29"/>
      <c r="U572" s="29"/>
      <c r="V572" s="29"/>
      <c r="W572" s="29"/>
      <c r="X572" s="29"/>
      <c r="Y572" s="29"/>
      <c r="Z572" s="29"/>
      <c r="AA572" s="29"/>
      <c r="AB572" s="29"/>
      <c r="AC572" s="29"/>
      <c r="AD572" s="29"/>
      <c r="AE572" s="29"/>
      <c r="AF572" s="29"/>
    </row>
    <row r="573" spans="2:32">
      <c r="B573" s="29"/>
      <c r="C573" s="29"/>
      <c r="D573" s="29"/>
      <c r="E573" s="29"/>
      <c r="F573" s="29"/>
      <c r="G573" s="29"/>
      <c r="H573" s="29"/>
      <c r="I573" s="29"/>
      <c r="J573" s="29"/>
      <c r="K573" s="29"/>
      <c r="L573" s="29"/>
      <c r="M573" s="29"/>
      <c r="N573" s="29"/>
      <c r="O573" s="29"/>
      <c r="P573" s="29"/>
      <c r="Q573" s="29"/>
      <c r="R573" s="29"/>
      <c r="S573" s="29"/>
      <c r="T573" s="29"/>
      <c r="U573" s="29"/>
      <c r="V573" s="29"/>
      <c r="W573" s="29"/>
      <c r="X573" s="29"/>
      <c r="Y573" s="29"/>
      <c r="Z573" s="29"/>
      <c r="AA573" s="29"/>
      <c r="AB573" s="29"/>
      <c r="AC573" s="29"/>
      <c r="AD573" s="29"/>
      <c r="AE573" s="29"/>
      <c r="AF573" s="29"/>
    </row>
    <row r="574" spans="2:32">
      <c r="B574" s="29"/>
      <c r="C574" s="29"/>
      <c r="D574" s="29"/>
      <c r="E574" s="29"/>
      <c r="F574" s="29"/>
      <c r="G574" s="29"/>
      <c r="H574" s="29"/>
      <c r="I574" s="29"/>
      <c r="J574" s="29"/>
      <c r="K574" s="29"/>
      <c r="L574" s="29"/>
      <c r="M574" s="29"/>
      <c r="N574" s="29"/>
      <c r="O574" s="29"/>
      <c r="P574" s="29"/>
      <c r="Q574" s="29"/>
      <c r="R574" s="29"/>
      <c r="S574" s="29"/>
      <c r="T574" s="29"/>
      <c r="U574" s="29"/>
      <c r="V574" s="29"/>
      <c r="W574" s="29"/>
      <c r="X574" s="29"/>
      <c r="Y574" s="29"/>
      <c r="Z574" s="29"/>
      <c r="AA574" s="29"/>
      <c r="AB574" s="29"/>
      <c r="AC574" s="29"/>
      <c r="AD574" s="29"/>
      <c r="AE574" s="29"/>
      <c r="AF574" s="29"/>
    </row>
    <row r="575" spans="2:32">
      <c r="B575" s="29"/>
      <c r="C575" s="29"/>
      <c r="D575" s="29"/>
      <c r="E575" s="29"/>
      <c r="F575" s="29"/>
      <c r="G575" s="29"/>
      <c r="H575" s="29"/>
      <c r="I575" s="29"/>
      <c r="J575" s="29"/>
      <c r="K575" s="29"/>
      <c r="L575" s="29"/>
      <c r="M575" s="29"/>
      <c r="N575" s="29"/>
      <c r="O575" s="29"/>
      <c r="P575" s="29"/>
      <c r="Q575" s="29"/>
      <c r="R575" s="29"/>
      <c r="S575" s="29"/>
      <c r="T575" s="29"/>
      <c r="U575" s="29"/>
      <c r="V575" s="29"/>
      <c r="W575" s="29"/>
      <c r="X575" s="29"/>
      <c r="Y575" s="29"/>
      <c r="Z575" s="29"/>
      <c r="AA575" s="29"/>
      <c r="AB575" s="29"/>
      <c r="AC575" s="29"/>
      <c r="AD575" s="29"/>
      <c r="AE575" s="29"/>
      <c r="AF575" s="29"/>
    </row>
    <row r="576" spans="2:32">
      <c r="B576" s="29"/>
      <c r="C576" s="29"/>
      <c r="D576" s="29"/>
      <c r="E576" s="29"/>
      <c r="F576" s="29"/>
      <c r="G576" s="29"/>
      <c r="H576" s="29"/>
      <c r="I576" s="29"/>
      <c r="J576" s="29"/>
      <c r="K576" s="29"/>
      <c r="L576" s="29"/>
      <c r="M576" s="29"/>
      <c r="N576" s="29"/>
      <c r="O576" s="29"/>
      <c r="P576" s="29"/>
      <c r="Q576" s="29"/>
      <c r="R576" s="29"/>
      <c r="S576" s="29"/>
      <c r="T576" s="29"/>
      <c r="U576" s="29"/>
      <c r="V576" s="29"/>
      <c r="W576" s="29"/>
      <c r="X576" s="29"/>
      <c r="Y576" s="29"/>
      <c r="Z576" s="29"/>
      <c r="AA576" s="29"/>
      <c r="AB576" s="29"/>
      <c r="AC576" s="29"/>
      <c r="AD576" s="29"/>
      <c r="AE576" s="29"/>
      <c r="AF576" s="29"/>
    </row>
    <row r="657" spans="2:32">
      <c r="B657" s="29"/>
      <c r="C657" s="29"/>
      <c r="D657" s="29"/>
      <c r="E657" s="29"/>
      <c r="F657" s="29"/>
      <c r="G657" s="29"/>
      <c r="H657" s="29"/>
      <c r="I657" s="29"/>
      <c r="J657" s="29"/>
      <c r="K657" s="29"/>
      <c r="L657" s="29"/>
      <c r="M657" s="29"/>
      <c r="N657" s="29"/>
      <c r="O657" s="29"/>
      <c r="P657" s="29"/>
      <c r="Q657" s="29"/>
      <c r="R657" s="29"/>
      <c r="S657" s="29"/>
      <c r="T657" s="29"/>
      <c r="U657" s="29"/>
      <c r="V657" s="29"/>
      <c r="W657" s="29"/>
      <c r="X657" s="29"/>
      <c r="Y657" s="29"/>
      <c r="Z657" s="29"/>
      <c r="AA657" s="29"/>
      <c r="AB657" s="29"/>
      <c r="AC657" s="29"/>
      <c r="AD657" s="29"/>
      <c r="AE657" s="29"/>
      <c r="AF657" s="29"/>
    </row>
    <row r="658" spans="2:32">
      <c r="B658" s="29"/>
      <c r="C658" s="29"/>
      <c r="D658" s="29"/>
      <c r="E658" s="29"/>
      <c r="F658" s="29"/>
      <c r="G658" s="29"/>
      <c r="H658" s="29"/>
      <c r="I658" s="29"/>
      <c r="J658" s="29"/>
      <c r="K658" s="29"/>
      <c r="L658" s="29"/>
      <c r="M658" s="29"/>
      <c r="N658" s="29"/>
      <c r="O658" s="29"/>
      <c r="P658" s="29"/>
      <c r="Q658" s="29"/>
      <c r="R658" s="29"/>
      <c r="S658" s="29"/>
      <c r="T658" s="29"/>
      <c r="U658" s="29"/>
      <c r="V658" s="29"/>
      <c r="W658" s="29"/>
      <c r="X658" s="29"/>
      <c r="Y658" s="29"/>
      <c r="Z658" s="29"/>
      <c r="AA658" s="29"/>
      <c r="AB658" s="29"/>
      <c r="AC658" s="29"/>
      <c r="AD658" s="29"/>
      <c r="AE658" s="29"/>
      <c r="AF658" s="29"/>
    </row>
    <row r="660" spans="2:32">
      <c r="B660" s="29"/>
      <c r="C660" s="29"/>
      <c r="D660" s="29"/>
      <c r="E660" s="29"/>
      <c r="F660" s="29"/>
      <c r="G660" s="29"/>
      <c r="H660" s="29"/>
      <c r="I660" s="29"/>
      <c r="J660" s="29"/>
      <c r="K660" s="29"/>
      <c r="L660" s="29"/>
      <c r="M660" s="29"/>
      <c r="N660" s="29"/>
      <c r="O660" s="29"/>
      <c r="P660" s="29"/>
      <c r="Q660" s="29"/>
      <c r="R660" s="29"/>
      <c r="S660" s="29"/>
      <c r="T660" s="29"/>
      <c r="U660" s="29"/>
      <c r="V660" s="29"/>
      <c r="W660" s="29"/>
      <c r="X660" s="29"/>
      <c r="Y660" s="29"/>
      <c r="Z660" s="29"/>
      <c r="AA660" s="29"/>
      <c r="AB660" s="29"/>
      <c r="AC660" s="29"/>
      <c r="AD660" s="29"/>
      <c r="AE660" s="29"/>
      <c r="AF660" s="29"/>
    </row>
    <row r="662" spans="2:32">
      <c r="B662" s="29"/>
      <c r="C662" s="29"/>
      <c r="D662" s="29"/>
      <c r="E662" s="29"/>
      <c r="F662" s="29"/>
      <c r="G662" s="29"/>
      <c r="H662" s="29"/>
      <c r="I662" s="29"/>
      <c r="J662" s="29"/>
      <c r="K662" s="29"/>
      <c r="L662" s="29"/>
      <c r="M662" s="29"/>
      <c r="N662" s="29"/>
      <c r="O662" s="29"/>
      <c r="P662" s="29"/>
      <c r="Q662" s="29"/>
      <c r="R662" s="29"/>
      <c r="S662" s="29"/>
      <c r="T662" s="29"/>
      <c r="U662" s="29"/>
      <c r="V662" s="29"/>
      <c r="W662" s="29"/>
      <c r="X662" s="29"/>
      <c r="Y662" s="29"/>
      <c r="Z662" s="29"/>
      <c r="AA662" s="29"/>
      <c r="AB662" s="29"/>
      <c r="AC662" s="29"/>
      <c r="AD662" s="29"/>
      <c r="AE662" s="29"/>
      <c r="AF662" s="29"/>
    </row>
    <row r="663" spans="2:32">
      <c r="B663" s="29"/>
      <c r="C663" s="29"/>
      <c r="D663" s="29"/>
      <c r="E663" s="29"/>
      <c r="F663" s="29"/>
      <c r="G663" s="29"/>
      <c r="H663" s="29"/>
      <c r="I663" s="29"/>
      <c r="J663" s="29"/>
      <c r="K663" s="29"/>
      <c r="L663" s="29"/>
      <c r="M663" s="29"/>
      <c r="N663" s="29"/>
      <c r="O663" s="29"/>
      <c r="P663" s="29"/>
      <c r="Q663" s="29"/>
      <c r="R663" s="29"/>
      <c r="S663" s="29"/>
      <c r="T663" s="29"/>
      <c r="U663" s="29"/>
      <c r="V663" s="29"/>
      <c r="W663" s="29"/>
      <c r="X663" s="29"/>
      <c r="Y663" s="29"/>
      <c r="Z663" s="29"/>
      <c r="AA663" s="29"/>
      <c r="AB663" s="29"/>
      <c r="AC663" s="29"/>
      <c r="AD663" s="29"/>
      <c r="AE663" s="29"/>
      <c r="AF663" s="29"/>
    </row>
    <row r="669" spans="2:32">
      <c r="B669" s="29"/>
      <c r="C669" s="29"/>
      <c r="D669" s="29"/>
      <c r="E669" s="29"/>
      <c r="F669" s="29"/>
      <c r="G669" s="29"/>
      <c r="H669" s="29"/>
      <c r="I669" s="29"/>
      <c r="J669" s="29"/>
      <c r="K669" s="29"/>
      <c r="L669" s="29"/>
      <c r="M669" s="29"/>
      <c r="N669" s="29"/>
      <c r="O669" s="29"/>
      <c r="P669" s="29"/>
      <c r="Q669" s="29"/>
      <c r="R669" s="29"/>
      <c r="S669" s="29"/>
      <c r="T669" s="29"/>
      <c r="U669" s="29"/>
      <c r="V669" s="29"/>
      <c r="W669" s="29"/>
      <c r="X669" s="29"/>
      <c r="Y669" s="29"/>
      <c r="Z669" s="29"/>
      <c r="AA669" s="29"/>
      <c r="AB669" s="29"/>
      <c r="AC669" s="29"/>
      <c r="AD669" s="29"/>
      <c r="AE669" s="29"/>
      <c r="AF669" s="29"/>
    </row>
    <row r="670" spans="2:32">
      <c r="B670" s="29"/>
      <c r="C670" s="29"/>
      <c r="D670" s="29"/>
      <c r="E670" s="29"/>
      <c r="F670" s="29"/>
      <c r="G670" s="29"/>
      <c r="H670" s="29"/>
      <c r="I670" s="29"/>
      <c r="J670" s="29"/>
      <c r="K670" s="29"/>
      <c r="L670" s="29"/>
      <c r="M670" s="29"/>
      <c r="N670" s="29"/>
      <c r="O670" s="29"/>
      <c r="P670" s="29"/>
      <c r="Q670" s="29"/>
      <c r="R670" s="29"/>
      <c r="S670" s="29"/>
      <c r="T670" s="29"/>
      <c r="U670" s="29"/>
      <c r="V670" s="29"/>
      <c r="W670" s="29"/>
      <c r="X670" s="29"/>
      <c r="Y670" s="29"/>
      <c r="Z670" s="29"/>
      <c r="AA670" s="29"/>
      <c r="AB670" s="29"/>
      <c r="AC670" s="29"/>
      <c r="AD670" s="29"/>
      <c r="AE670" s="29"/>
      <c r="AF670" s="29"/>
    </row>
    <row r="671" spans="2:32">
      <c r="B671" s="29"/>
      <c r="C671" s="29"/>
      <c r="D671" s="29"/>
      <c r="E671" s="29"/>
      <c r="F671" s="29"/>
      <c r="G671" s="29"/>
      <c r="H671" s="29"/>
      <c r="I671" s="29"/>
      <c r="J671" s="29"/>
      <c r="K671" s="29"/>
      <c r="L671" s="29"/>
      <c r="M671" s="29"/>
      <c r="N671" s="29"/>
      <c r="O671" s="29"/>
      <c r="P671" s="29"/>
      <c r="Q671" s="29"/>
      <c r="R671" s="29"/>
      <c r="S671" s="29"/>
      <c r="T671" s="29"/>
      <c r="U671" s="29"/>
      <c r="V671" s="29"/>
      <c r="W671" s="29"/>
      <c r="X671" s="29"/>
      <c r="Y671" s="29"/>
      <c r="Z671" s="29"/>
      <c r="AA671" s="29"/>
      <c r="AB671" s="29"/>
      <c r="AC671" s="29"/>
      <c r="AD671" s="29"/>
      <c r="AE671" s="29"/>
      <c r="AF671" s="29"/>
    </row>
    <row r="672" spans="2:32">
      <c r="B672" s="29"/>
      <c r="C672" s="29"/>
      <c r="D672" s="29"/>
      <c r="E672" s="29"/>
      <c r="F672" s="29"/>
      <c r="G672" s="29"/>
      <c r="H672" s="29"/>
      <c r="I672" s="29"/>
      <c r="J672" s="29"/>
      <c r="K672" s="29"/>
      <c r="L672" s="29"/>
      <c r="M672" s="29"/>
      <c r="N672" s="29"/>
      <c r="O672" s="29"/>
      <c r="P672" s="29"/>
      <c r="Q672" s="29"/>
      <c r="R672" s="29"/>
      <c r="S672" s="29"/>
      <c r="T672" s="29"/>
      <c r="U672" s="29"/>
      <c r="V672" s="29"/>
      <c r="W672" s="29"/>
      <c r="X672" s="29"/>
      <c r="Y672" s="29"/>
      <c r="Z672" s="29"/>
      <c r="AA672" s="29"/>
      <c r="AB672" s="29"/>
      <c r="AC672" s="29"/>
      <c r="AD672" s="29"/>
      <c r="AE672" s="29"/>
      <c r="AF672" s="29"/>
    </row>
    <row r="723" spans="2:32">
      <c r="B723" s="29"/>
      <c r="C723" s="29"/>
      <c r="D723" s="29"/>
      <c r="E723" s="29"/>
      <c r="F723" s="29"/>
      <c r="G723" s="29"/>
      <c r="H723" s="29"/>
      <c r="I723" s="29"/>
      <c r="J723" s="29"/>
      <c r="K723" s="29"/>
      <c r="L723" s="29"/>
      <c r="M723" s="29"/>
      <c r="N723" s="29"/>
      <c r="O723" s="29"/>
      <c r="P723" s="29"/>
      <c r="Q723" s="29"/>
      <c r="R723" s="29"/>
      <c r="S723" s="29"/>
      <c r="T723" s="29"/>
      <c r="U723" s="29"/>
      <c r="V723" s="29"/>
      <c r="W723" s="29"/>
      <c r="X723" s="29"/>
      <c r="Y723" s="29"/>
      <c r="Z723" s="29"/>
      <c r="AA723" s="29"/>
      <c r="AB723" s="29"/>
      <c r="AC723" s="29"/>
      <c r="AD723" s="29"/>
      <c r="AE723" s="29"/>
      <c r="AF723" s="29"/>
    </row>
    <row r="728" spans="2:32">
      <c r="B728" s="29"/>
      <c r="C728" s="29"/>
      <c r="D728" s="29"/>
      <c r="E728" s="29"/>
      <c r="F728" s="29"/>
      <c r="G728" s="29"/>
      <c r="H728" s="29"/>
      <c r="I728" s="29"/>
      <c r="J728" s="29"/>
      <c r="K728" s="29"/>
      <c r="L728" s="29"/>
      <c r="M728" s="29"/>
      <c r="N728" s="29"/>
      <c r="O728" s="29"/>
      <c r="P728" s="29"/>
      <c r="Q728" s="29"/>
      <c r="R728" s="29"/>
      <c r="S728" s="29"/>
      <c r="T728" s="29"/>
      <c r="U728" s="29"/>
      <c r="V728" s="29"/>
      <c r="W728" s="29"/>
      <c r="X728" s="29"/>
      <c r="Y728" s="29"/>
      <c r="Z728" s="29"/>
      <c r="AA728" s="29"/>
      <c r="AB728" s="29"/>
      <c r="AC728" s="29"/>
      <c r="AD728" s="29"/>
      <c r="AE728" s="29"/>
      <c r="AF728" s="29"/>
    </row>
    <row r="734" spans="2:32">
      <c r="B734" s="29"/>
      <c r="C734" s="29"/>
      <c r="D734" s="29"/>
      <c r="E734" s="29"/>
      <c r="F734" s="29"/>
      <c r="G734" s="29"/>
      <c r="H734" s="29"/>
      <c r="I734" s="29"/>
      <c r="J734" s="29"/>
      <c r="K734" s="29"/>
      <c r="L734" s="29"/>
      <c r="M734" s="29"/>
      <c r="N734" s="29"/>
      <c r="O734" s="29"/>
      <c r="P734" s="29"/>
      <c r="Q734" s="29"/>
      <c r="R734" s="29"/>
      <c r="S734" s="29"/>
      <c r="T734" s="29"/>
      <c r="U734" s="29"/>
      <c r="V734" s="29"/>
      <c r="W734" s="29"/>
      <c r="X734" s="29"/>
      <c r="Y734" s="29"/>
      <c r="Z734" s="29"/>
      <c r="AA734" s="29"/>
      <c r="AB734" s="29"/>
      <c r="AC734" s="29"/>
      <c r="AD734" s="29"/>
      <c r="AE734" s="29"/>
      <c r="AF734" s="29"/>
    </row>
    <row r="735" spans="2:32">
      <c r="B735" s="29"/>
      <c r="C735" s="29"/>
      <c r="D735" s="29"/>
      <c r="E735" s="29"/>
      <c r="F735" s="29"/>
      <c r="G735" s="29"/>
      <c r="H735" s="29"/>
      <c r="I735" s="29"/>
      <c r="J735" s="29"/>
      <c r="K735" s="29"/>
      <c r="L735" s="29"/>
      <c r="M735" s="29"/>
      <c r="N735" s="29"/>
      <c r="O735" s="29"/>
      <c r="P735" s="29"/>
      <c r="Q735" s="29"/>
      <c r="R735" s="29"/>
      <c r="S735" s="29"/>
      <c r="T735" s="29"/>
      <c r="U735" s="29"/>
      <c r="V735" s="29"/>
      <c r="W735" s="29"/>
      <c r="X735" s="29"/>
      <c r="Y735" s="29"/>
      <c r="Z735" s="29"/>
      <c r="AA735" s="29"/>
      <c r="AB735" s="29"/>
      <c r="AC735" s="29"/>
      <c r="AD735" s="29"/>
      <c r="AE735" s="29"/>
      <c r="AF735" s="29"/>
    </row>
    <row r="906" spans="2:32">
      <c r="B906" s="29"/>
      <c r="C906" s="29"/>
      <c r="D906" s="29"/>
      <c r="E906" s="29"/>
      <c r="F906" s="29"/>
      <c r="G906" s="29"/>
      <c r="H906" s="29"/>
      <c r="I906" s="29"/>
      <c r="J906" s="29"/>
      <c r="K906" s="29"/>
      <c r="L906" s="29"/>
      <c r="M906" s="29"/>
      <c r="N906" s="29"/>
      <c r="O906" s="29"/>
      <c r="P906" s="29"/>
      <c r="Q906" s="29"/>
      <c r="R906" s="29"/>
      <c r="S906" s="29"/>
      <c r="T906" s="29"/>
      <c r="U906" s="29"/>
      <c r="V906" s="29"/>
      <c r="W906" s="29"/>
      <c r="X906" s="29"/>
      <c r="Y906" s="29"/>
      <c r="Z906" s="29"/>
      <c r="AA906" s="29"/>
      <c r="AB906" s="29"/>
      <c r="AC906" s="29"/>
      <c r="AD906" s="29"/>
      <c r="AE906" s="29"/>
      <c r="AF906" s="29"/>
    </row>
    <row r="910" spans="2:32">
      <c r="B910" s="29"/>
      <c r="C910" s="29"/>
      <c r="D910" s="29"/>
      <c r="E910" s="29"/>
      <c r="F910" s="29"/>
      <c r="G910" s="29"/>
      <c r="H910" s="29"/>
      <c r="I910" s="29"/>
      <c r="J910" s="29"/>
      <c r="K910" s="29"/>
      <c r="L910" s="29"/>
      <c r="M910" s="29"/>
      <c r="N910" s="29"/>
      <c r="O910" s="29"/>
      <c r="P910" s="29"/>
      <c r="Q910" s="29"/>
      <c r="R910" s="29"/>
      <c r="S910" s="29"/>
      <c r="T910" s="29"/>
      <c r="U910" s="29"/>
      <c r="V910" s="29"/>
      <c r="W910" s="29"/>
      <c r="X910" s="29"/>
      <c r="Y910" s="29"/>
      <c r="Z910" s="29"/>
      <c r="AA910" s="29"/>
      <c r="AB910" s="29"/>
      <c r="AC910" s="29"/>
      <c r="AD910" s="29"/>
      <c r="AE910" s="29"/>
      <c r="AF910" s="29"/>
    </row>
    <row r="911" spans="2:32">
      <c r="B911" s="29"/>
      <c r="C911" s="29"/>
      <c r="D911" s="29"/>
      <c r="E911" s="29"/>
      <c r="F911" s="29"/>
      <c r="G911" s="29"/>
      <c r="H911" s="29"/>
      <c r="I911" s="29"/>
      <c r="J911" s="29"/>
      <c r="K911" s="29"/>
      <c r="L911" s="29"/>
      <c r="M911" s="29"/>
      <c r="N911" s="29"/>
      <c r="O911" s="29"/>
      <c r="P911" s="29"/>
      <c r="Q911" s="29"/>
      <c r="R911" s="29"/>
      <c r="S911" s="29"/>
      <c r="T911" s="29"/>
      <c r="U911" s="29"/>
      <c r="V911" s="29"/>
      <c r="W911" s="29"/>
      <c r="X911" s="29"/>
      <c r="Y911" s="29"/>
      <c r="Z911" s="29"/>
      <c r="AA911" s="29"/>
      <c r="AB911" s="29"/>
      <c r="AC911" s="29"/>
      <c r="AD911" s="29"/>
      <c r="AE911" s="29"/>
      <c r="AF911" s="29"/>
    </row>
    <row r="993" spans="2:32">
      <c r="B993" s="29"/>
      <c r="C993" s="29"/>
      <c r="D993" s="29"/>
      <c r="E993" s="29"/>
      <c r="F993" s="29"/>
      <c r="G993" s="29"/>
      <c r="H993" s="29"/>
      <c r="I993" s="29"/>
      <c r="J993" s="29"/>
      <c r="K993" s="29"/>
      <c r="L993" s="29"/>
      <c r="M993" s="29"/>
      <c r="N993" s="29"/>
      <c r="O993" s="29"/>
      <c r="P993" s="29"/>
      <c r="Q993" s="29"/>
      <c r="R993" s="29"/>
      <c r="S993" s="29"/>
      <c r="T993" s="29"/>
      <c r="U993" s="29"/>
      <c r="V993" s="29"/>
      <c r="W993" s="29"/>
      <c r="X993" s="29"/>
      <c r="Y993" s="29"/>
      <c r="Z993" s="29"/>
      <c r="AA993" s="29"/>
      <c r="AB993" s="29"/>
      <c r="AC993" s="29"/>
      <c r="AD993" s="29"/>
      <c r="AE993" s="29"/>
      <c r="AF993" s="29"/>
    </row>
    <row r="994" spans="2:32">
      <c r="B994" s="29"/>
      <c r="C994" s="29"/>
      <c r="D994" s="29"/>
      <c r="E994" s="29"/>
      <c r="F994" s="29"/>
      <c r="G994" s="29"/>
      <c r="H994" s="29"/>
      <c r="I994" s="29"/>
      <c r="J994" s="29"/>
      <c r="K994" s="29"/>
      <c r="L994" s="29"/>
      <c r="M994" s="29"/>
      <c r="N994" s="29"/>
      <c r="O994" s="29"/>
      <c r="P994" s="29"/>
      <c r="Q994" s="29"/>
      <c r="R994" s="29"/>
      <c r="S994" s="29"/>
      <c r="T994" s="29"/>
      <c r="U994" s="29"/>
      <c r="V994" s="29"/>
      <c r="W994" s="29"/>
      <c r="X994" s="29"/>
      <c r="Y994" s="29"/>
      <c r="Z994" s="29"/>
      <c r="AA994" s="29"/>
      <c r="AB994" s="29"/>
      <c r="AC994" s="29"/>
      <c r="AD994" s="29"/>
      <c r="AE994" s="29"/>
      <c r="AF994" s="29"/>
    </row>
    <row r="1001" spans="2:32">
      <c r="B1001" s="29"/>
      <c r="C1001" s="29"/>
      <c r="D1001" s="29"/>
      <c r="E1001" s="29"/>
      <c r="F1001" s="29"/>
      <c r="G1001" s="29"/>
      <c r="H1001" s="29"/>
      <c r="I1001" s="29"/>
      <c r="J1001" s="29"/>
      <c r="K1001" s="29"/>
      <c r="L1001" s="29"/>
      <c r="M1001" s="29"/>
      <c r="N1001" s="29"/>
      <c r="O1001" s="29"/>
      <c r="P1001" s="29"/>
      <c r="Q1001" s="29"/>
      <c r="R1001" s="29"/>
      <c r="S1001" s="29"/>
      <c r="T1001" s="29"/>
      <c r="U1001" s="29"/>
      <c r="V1001" s="29"/>
      <c r="W1001" s="29"/>
      <c r="X1001" s="29"/>
      <c r="Y1001" s="29"/>
      <c r="Z1001" s="29"/>
      <c r="AA1001" s="29"/>
      <c r="AB1001" s="29"/>
      <c r="AC1001" s="29"/>
      <c r="AD1001" s="29"/>
      <c r="AE1001" s="29"/>
      <c r="AF1001" s="29"/>
    </row>
    <row r="1002" spans="2:32">
      <c r="B1002" s="29"/>
      <c r="C1002" s="29"/>
      <c r="D1002" s="29"/>
      <c r="E1002" s="29"/>
      <c r="F1002" s="29"/>
      <c r="G1002" s="29"/>
      <c r="H1002" s="29"/>
      <c r="I1002" s="29"/>
      <c r="J1002" s="29"/>
      <c r="K1002" s="29"/>
      <c r="L1002" s="29"/>
      <c r="M1002" s="29"/>
      <c r="N1002" s="29"/>
      <c r="O1002" s="29"/>
      <c r="P1002" s="29"/>
      <c r="Q1002" s="29"/>
      <c r="R1002" s="29"/>
      <c r="S1002" s="29"/>
      <c r="T1002" s="29"/>
      <c r="U1002" s="29"/>
      <c r="V1002" s="29"/>
      <c r="W1002" s="29"/>
      <c r="X1002" s="29"/>
      <c r="Y1002" s="29"/>
      <c r="Z1002" s="29"/>
      <c r="AA1002" s="29"/>
      <c r="AB1002" s="29"/>
      <c r="AC1002" s="29"/>
      <c r="AD1002" s="29"/>
      <c r="AE1002" s="29"/>
      <c r="AF1002" s="29"/>
    </row>
    <row r="1003" spans="2:32">
      <c r="B1003" s="29"/>
      <c r="C1003" s="29"/>
      <c r="D1003" s="29"/>
      <c r="E1003" s="29"/>
      <c r="F1003" s="29"/>
      <c r="G1003" s="29"/>
      <c r="H1003" s="29"/>
      <c r="I1003" s="29"/>
      <c r="J1003" s="29"/>
      <c r="K1003" s="29"/>
      <c r="L1003" s="29"/>
      <c r="M1003" s="29"/>
      <c r="N1003" s="29"/>
      <c r="O1003" s="29"/>
      <c r="P1003" s="29"/>
      <c r="Q1003" s="29"/>
      <c r="R1003" s="29"/>
      <c r="S1003" s="29"/>
      <c r="T1003" s="29"/>
      <c r="U1003" s="29"/>
      <c r="V1003" s="29"/>
      <c r="W1003" s="29"/>
      <c r="X1003" s="29"/>
      <c r="Y1003" s="29"/>
      <c r="Z1003" s="29"/>
      <c r="AA1003" s="29"/>
      <c r="AB1003" s="29"/>
      <c r="AC1003" s="29"/>
      <c r="AD1003" s="29"/>
      <c r="AE1003" s="29"/>
      <c r="AF1003" s="29"/>
    </row>
    <row r="1004" spans="2:32">
      <c r="B1004" s="29"/>
      <c r="C1004" s="29"/>
      <c r="D1004" s="29"/>
      <c r="E1004" s="29"/>
      <c r="F1004" s="29"/>
      <c r="G1004" s="29"/>
      <c r="H1004" s="29"/>
      <c r="I1004" s="29"/>
      <c r="J1004" s="29"/>
      <c r="K1004" s="29"/>
      <c r="L1004" s="29"/>
      <c r="M1004" s="29"/>
      <c r="N1004" s="29"/>
      <c r="O1004" s="29"/>
      <c r="P1004" s="29"/>
      <c r="Q1004" s="29"/>
      <c r="R1004" s="29"/>
      <c r="S1004" s="29"/>
      <c r="T1004" s="29"/>
      <c r="U1004" s="29"/>
      <c r="V1004" s="29"/>
      <c r="W1004" s="29"/>
      <c r="X1004" s="29"/>
      <c r="Y1004" s="29"/>
      <c r="Z1004" s="29"/>
      <c r="AA1004" s="29"/>
      <c r="AB1004" s="29"/>
      <c r="AC1004" s="29"/>
      <c r="AD1004" s="29"/>
      <c r="AE1004" s="29"/>
      <c r="AF1004" s="29"/>
    </row>
    <row r="1005" spans="2:32">
      <c r="B1005" s="29"/>
      <c r="C1005" s="29"/>
      <c r="D1005" s="29"/>
      <c r="E1005" s="29"/>
      <c r="F1005" s="29"/>
      <c r="G1005" s="29"/>
      <c r="H1005" s="29"/>
      <c r="I1005" s="29"/>
      <c r="J1005" s="29"/>
      <c r="K1005" s="29"/>
      <c r="L1005" s="29"/>
      <c r="M1005" s="29"/>
      <c r="N1005" s="29"/>
      <c r="O1005" s="29"/>
      <c r="P1005" s="29"/>
      <c r="Q1005" s="29"/>
      <c r="R1005" s="29"/>
      <c r="S1005" s="29"/>
      <c r="T1005" s="29"/>
      <c r="U1005" s="29"/>
      <c r="V1005" s="29"/>
      <c r="W1005" s="29"/>
      <c r="X1005" s="29"/>
      <c r="Y1005" s="29"/>
      <c r="Z1005" s="29"/>
      <c r="AA1005" s="29"/>
      <c r="AB1005" s="29"/>
      <c r="AC1005" s="29"/>
      <c r="AD1005" s="29"/>
      <c r="AE1005" s="29"/>
      <c r="AF1005" s="29"/>
    </row>
    <row r="1006" spans="2:32">
      <c r="B1006" s="29"/>
      <c r="C1006" s="29"/>
      <c r="D1006" s="29"/>
      <c r="E1006" s="29"/>
      <c r="F1006" s="29"/>
      <c r="G1006" s="29"/>
      <c r="H1006" s="29"/>
      <c r="I1006" s="29"/>
      <c r="J1006" s="29"/>
      <c r="K1006" s="29"/>
      <c r="L1006" s="29"/>
      <c r="M1006" s="29"/>
      <c r="N1006" s="29"/>
      <c r="O1006" s="29"/>
      <c r="P1006" s="29"/>
      <c r="Q1006" s="29"/>
      <c r="R1006" s="29"/>
      <c r="S1006" s="29"/>
      <c r="T1006" s="29"/>
      <c r="U1006" s="29"/>
      <c r="V1006" s="29"/>
      <c r="W1006" s="29"/>
      <c r="X1006" s="29"/>
      <c r="Y1006" s="29"/>
      <c r="Z1006" s="29"/>
      <c r="AA1006" s="29"/>
      <c r="AB1006" s="29"/>
      <c r="AC1006" s="29"/>
      <c r="AD1006" s="29"/>
      <c r="AE1006" s="29"/>
      <c r="AF1006" s="29"/>
    </row>
    <row r="1007" spans="2:32">
      <c r="B1007" s="29"/>
      <c r="C1007" s="29"/>
      <c r="D1007" s="29"/>
      <c r="E1007" s="29"/>
      <c r="F1007" s="29"/>
      <c r="G1007" s="29"/>
      <c r="H1007" s="29"/>
      <c r="I1007" s="29"/>
      <c r="J1007" s="29"/>
      <c r="K1007" s="29"/>
      <c r="L1007" s="29"/>
      <c r="M1007" s="29"/>
      <c r="N1007" s="29"/>
      <c r="O1007" s="29"/>
      <c r="P1007" s="29"/>
      <c r="Q1007" s="29"/>
      <c r="R1007" s="29"/>
      <c r="S1007" s="29"/>
      <c r="T1007" s="29"/>
      <c r="U1007" s="29"/>
      <c r="V1007" s="29"/>
      <c r="W1007" s="29"/>
      <c r="X1007" s="29"/>
      <c r="Y1007" s="29"/>
      <c r="Z1007" s="29"/>
      <c r="AA1007" s="29"/>
      <c r="AB1007" s="29"/>
      <c r="AC1007" s="29"/>
      <c r="AD1007" s="29"/>
      <c r="AE1007" s="29"/>
      <c r="AF1007" s="29"/>
    </row>
    <row r="1008" spans="2:32">
      <c r="B1008" s="29"/>
      <c r="C1008" s="29"/>
      <c r="D1008" s="29"/>
      <c r="E1008" s="29"/>
      <c r="F1008" s="29"/>
      <c r="G1008" s="29"/>
      <c r="H1008" s="29"/>
      <c r="I1008" s="29"/>
      <c r="J1008" s="29"/>
      <c r="K1008" s="29"/>
      <c r="L1008" s="29"/>
      <c r="M1008" s="29"/>
      <c r="N1008" s="29"/>
      <c r="O1008" s="29"/>
      <c r="P1008" s="29"/>
      <c r="Q1008" s="29"/>
      <c r="R1008" s="29"/>
      <c r="S1008" s="29"/>
      <c r="T1008" s="29"/>
      <c r="U1008" s="29"/>
      <c r="V1008" s="29"/>
      <c r="W1008" s="29"/>
      <c r="X1008" s="29"/>
      <c r="Y1008" s="29"/>
      <c r="Z1008" s="29"/>
      <c r="AA1008" s="29"/>
      <c r="AB1008" s="29"/>
      <c r="AC1008" s="29"/>
      <c r="AD1008" s="29"/>
      <c r="AE1008" s="29"/>
      <c r="AF1008" s="29"/>
    </row>
    <row r="1095" spans="2:32">
      <c r="B1095" s="29"/>
      <c r="C1095" s="29"/>
      <c r="D1095" s="29"/>
      <c r="E1095" s="29"/>
      <c r="F1095" s="29"/>
      <c r="G1095" s="29"/>
      <c r="H1095" s="29"/>
      <c r="I1095" s="29"/>
      <c r="J1095" s="29"/>
      <c r="K1095" s="29"/>
      <c r="L1095" s="29"/>
      <c r="M1095" s="29"/>
      <c r="N1095" s="29"/>
      <c r="O1095" s="29"/>
      <c r="P1095" s="29"/>
      <c r="Q1095" s="29"/>
      <c r="R1095" s="29"/>
      <c r="S1095" s="29"/>
      <c r="T1095" s="29"/>
      <c r="U1095" s="29"/>
      <c r="V1095" s="29"/>
      <c r="W1095" s="29"/>
      <c r="X1095" s="29"/>
      <c r="Y1095" s="29"/>
      <c r="Z1095" s="29"/>
      <c r="AA1095" s="29"/>
      <c r="AB1095" s="29"/>
      <c r="AC1095" s="29"/>
      <c r="AD1095" s="29"/>
      <c r="AE1095" s="29"/>
      <c r="AF1095" s="29"/>
    </row>
    <row r="1096" spans="2:32">
      <c r="B1096" s="29"/>
      <c r="C1096" s="29"/>
      <c r="D1096" s="29"/>
      <c r="E1096" s="29"/>
      <c r="F1096" s="29"/>
      <c r="G1096" s="29"/>
      <c r="H1096" s="29"/>
      <c r="I1096" s="29"/>
      <c r="J1096" s="29"/>
      <c r="K1096" s="29"/>
      <c r="L1096" s="29"/>
      <c r="M1096" s="29"/>
      <c r="N1096" s="29"/>
      <c r="O1096" s="29"/>
      <c r="P1096" s="29"/>
      <c r="Q1096" s="29"/>
      <c r="R1096" s="29"/>
      <c r="S1096" s="29"/>
      <c r="T1096" s="29"/>
      <c r="U1096" s="29"/>
      <c r="V1096" s="29"/>
      <c r="W1096" s="29"/>
      <c r="X1096" s="29"/>
      <c r="Y1096" s="29"/>
      <c r="Z1096" s="29"/>
      <c r="AA1096" s="29"/>
      <c r="AB1096" s="29"/>
      <c r="AC1096" s="29"/>
      <c r="AD1096" s="29"/>
      <c r="AE1096" s="29"/>
      <c r="AF1096" s="29"/>
    </row>
    <row r="1103" spans="2:32">
      <c r="B1103" s="29"/>
      <c r="C1103" s="29"/>
      <c r="D1103" s="29"/>
      <c r="E1103" s="29"/>
      <c r="F1103" s="29"/>
      <c r="G1103" s="29"/>
      <c r="H1103" s="29"/>
      <c r="I1103" s="29"/>
      <c r="J1103" s="29"/>
      <c r="K1103" s="29"/>
      <c r="L1103" s="29"/>
      <c r="M1103" s="29"/>
      <c r="N1103" s="29"/>
      <c r="O1103" s="29"/>
      <c r="P1103" s="29"/>
      <c r="Q1103" s="29"/>
      <c r="R1103" s="29"/>
      <c r="S1103" s="29"/>
      <c r="T1103" s="29"/>
      <c r="U1103" s="29"/>
      <c r="V1103" s="29"/>
      <c r="W1103" s="29"/>
      <c r="X1103" s="29"/>
      <c r="Y1103" s="29"/>
      <c r="Z1103" s="29"/>
      <c r="AA1103" s="29"/>
      <c r="AB1103" s="29"/>
      <c r="AC1103" s="29"/>
      <c r="AD1103" s="29"/>
      <c r="AE1103" s="29"/>
      <c r="AF1103" s="29"/>
    </row>
    <row r="1104" spans="2:32">
      <c r="B1104" s="29"/>
      <c r="C1104" s="29"/>
      <c r="D1104" s="29"/>
      <c r="E1104" s="29"/>
      <c r="F1104" s="29"/>
      <c r="G1104" s="29"/>
      <c r="H1104" s="29"/>
      <c r="I1104" s="29"/>
      <c r="J1104" s="29"/>
      <c r="K1104" s="29"/>
      <c r="L1104" s="29"/>
      <c r="M1104" s="29"/>
      <c r="N1104" s="29"/>
      <c r="O1104" s="29"/>
      <c r="P1104" s="29"/>
      <c r="Q1104" s="29"/>
      <c r="R1104" s="29"/>
      <c r="S1104" s="29"/>
      <c r="T1104" s="29"/>
      <c r="U1104" s="29"/>
      <c r="V1104" s="29"/>
      <c r="W1104" s="29"/>
      <c r="X1104" s="29"/>
      <c r="Y1104" s="29"/>
      <c r="Z1104" s="29"/>
      <c r="AA1104" s="29"/>
      <c r="AB1104" s="29"/>
      <c r="AC1104" s="29"/>
      <c r="AD1104" s="29"/>
      <c r="AE1104" s="29"/>
      <c r="AF1104" s="29"/>
    </row>
    <row r="1193" spans="2:32">
      <c r="B1193" s="29"/>
      <c r="C1193" s="29"/>
      <c r="D1193" s="29"/>
      <c r="E1193" s="29"/>
      <c r="F1193" s="29"/>
      <c r="G1193" s="29"/>
      <c r="H1193" s="29"/>
      <c r="I1193" s="29"/>
      <c r="J1193" s="29"/>
      <c r="K1193" s="29"/>
      <c r="L1193" s="29"/>
      <c r="M1193" s="29"/>
      <c r="N1193" s="29"/>
      <c r="O1193" s="29"/>
      <c r="P1193" s="29"/>
      <c r="Q1193" s="29"/>
      <c r="R1193" s="29"/>
      <c r="S1193" s="29"/>
      <c r="T1193" s="29"/>
      <c r="U1193" s="29"/>
      <c r="V1193" s="29"/>
      <c r="W1193" s="29"/>
      <c r="X1193" s="29"/>
      <c r="Y1193" s="29"/>
      <c r="Z1193" s="29"/>
      <c r="AA1193" s="29"/>
      <c r="AB1193" s="29"/>
      <c r="AC1193" s="29"/>
      <c r="AD1193" s="29"/>
      <c r="AE1193" s="29"/>
      <c r="AF1193" s="29"/>
    </row>
    <row r="1194" spans="2:32">
      <c r="B1194" s="29"/>
      <c r="C1194" s="29"/>
      <c r="D1194" s="29"/>
      <c r="E1194" s="29"/>
      <c r="F1194" s="29"/>
      <c r="G1194" s="29"/>
      <c r="H1194" s="29"/>
      <c r="I1194" s="29"/>
      <c r="J1194" s="29"/>
      <c r="K1194" s="29"/>
      <c r="L1194" s="29"/>
      <c r="M1194" s="29"/>
      <c r="N1194" s="29"/>
      <c r="O1194" s="29"/>
      <c r="P1194" s="29"/>
      <c r="Q1194" s="29"/>
      <c r="R1194" s="29"/>
      <c r="S1194" s="29"/>
      <c r="T1194" s="29"/>
      <c r="U1194" s="29"/>
      <c r="V1194" s="29"/>
      <c r="W1194" s="29"/>
      <c r="X1194" s="29"/>
      <c r="Y1194" s="29"/>
      <c r="Z1194" s="29"/>
      <c r="AA1194" s="29"/>
      <c r="AB1194" s="29"/>
      <c r="AC1194" s="29"/>
      <c r="AD1194" s="29"/>
      <c r="AE1194" s="29"/>
      <c r="AF1194" s="29"/>
    </row>
    <row r="1281" spans="2:32">
      <c r="B1281" s="29"/>
      <c r="C1281" s="29"/>
      <c r="D1281" s="29"/>
      <c r="E1281" s="29"/>
      <c r="F1281" s="29"/>
      <c r="G1281" s="29"/>
      <c r="H1281" s="29"/>
      <c r="I1281" s="29"/>
      <c r="J1281" s="29"/>
      <c r="K1281" s="29"/>
      <c r="L1281" s="29"/>
      <c r="M1281" s="29"/>
      <c r="N1281" s="29"/>
      <c r="O1281" s="29"/>
      <c r="P1281" s="29"/>
      <c r="Q1281" s="29"/>
      <c r="R1281" s="29"/>
      <c r="S1281" s="29"/>
      <c r="T1281" s="29"/>
      <c r="U1281" s="29"/>
      <c r="V1281" s="29"/>
      <c r="W1281" s="29"/>
      <c r="X1281" s="29"/>
      <c r="Y1281" s="29"/>
      <c r="Z1281" s="29"/>
      <c r="AA1281" s="29"/>
      <c r="AB1281" s="29"/>
      <c r="AC1281" s="29"/>
      <c r="AD1281" s="29"/>
      <c r="AE1281" s="29"/>
      <c r="AF1281" s="29"/>
    </row>
    <row r="1293" spans="2:32">
      <c r="B1293" s="29"/>
      <c r="C1293" s="29"/>
      <c r="D1293" s="29"/>
      <c r="E1293" s="29"/>
      <c r="F1293" s="29"/>
      <c r="G1293" s="29"/>
      <c r="H1293" s="29"/>
      <c r="I1293" s="29"/>
      <c r="J1293" s="29"/>
      <c r="K1293" s="29"/>
      <c r="L1293" s="29"/>
      <c r="M1293" s="29"/>
      <c r="N1293" s="29"/>
      <c r="O1293" s="29"/>
      <c r="P1293" s="29"/>
      <c r="Q1293" s="29"/>
      <c r="R1293" s="29"/>
      <c r="S1293" s="29"/>
      <c r="T1293" s="29"/>
      <c r="U1293" s="29"/>
      <c r="V1293" s="29"/>
      <c r="W1293" s="29"/>
      <c r="X1293" s="29"/>
      <c r="Y1293" s="29"/>
      <c r="Z1293" s="29"/>
      <c r="AA1293" s="29"/>
      <c r="AB1293" s="29"/>
      <c r="AC1293" s="29"/>
      <c r="AD1293" s="29"/>
      <c r="AE1293" s="29"/>
      <c r="AF1293" s="29"/>
    </row>
    <row r="1294" spans="2:32">
      <c r="B1294" s="29"/>
      <c r="C1294" s="29"/>
      <c r="D1294" s="29"/>
      <c r="E1294" s="29"/>
      <c r="F1294" s="29"/>
      <c r="G1294" s="29"/>
      <c r="H1294" s="29"/>
      <c r="I1294" s="29"/>
      <c r="J1294" s="29"/>
      <c r="K1294" s="29"/>
      <c r="L1294" s="29"/>
      <c r="M1294" s="29"/>
      <c r="N1294" s="29"/>
      <c r="O1294" s="29"/>
      <c r="P1294" s="29"/>
      <c r="Q1294" s="29"/>
      <c r="R1294" s="29"/>
      <c r="S1294" s="29"/>
      <c r="T1294" s="29"/>
      <c r="U1294" s="29"/>
      <c r="V1294" s="29"/>
      <c r="W1294" s="29"/>
      <c r="X1294" s="29"/>
      <c r="Y1294" s="29"/>
      <c r="Z1294" s="29"/>
      <c r="AA1294" s="29"/>
      <c r="AB1294" s="29"/>
      <c r="AC1294" s="29"/>
      <c r="AD1294" s="29"/>
      <c r="AE1294" s="29"/>
      <c r="AF1294" s="29"/>
    </row>
    <row r="1589" spans="2:32">
      <c r="B1589" s="29"/>
      <c r="C1589" s="29"/>
      <c r="D1589" s="29"/>
      <c r="E1589" s="29"/>
      <c r="F1589" s="29"/>
      <c r="G1589" s="29"/>
      <c r="H1589" s="29"/>
      <c r="I1589" s="29"/>
      <c r="J1589" s="29"/>
      <c r="K1589" s="29"/>
      <c r="L1589" s="29"/>
      <c r="M1589" s="29"/>
      <c r="N1589" s="29"/>
      <c r="O1589" s="29"/>
      <c r="P1589" s="29"/>
      <c r="Q1589" s="29"/>
      <c r="R1589" s="29"/>
      <c r="S1589" s="29"/>
      <c r="T1589" s="29"/>
      <c r="U1589" s="29"/>
      <c r="V1589" s="29"/>
      <c r="W1589" s="29"/>
      <c r="X1589" s="29"/>
      <c r="Y1589" s="29"/>
      <c r="Z1589" s="29"/>
      <c r="AA1589" s="29"/>
      <c r="AB1589" s="29"/>
      <c r="AC1589" s="29"/>
      <c r="AD1589" s="29"/>
      <c r="AE1589" s="29"/>
      <c r="AF1589" s="29"/>
    </row>
    <row r="1590" spans="2:32">
      <c r="B1590" s="29"/>
      <c r="C1590" s="29"/>
      <c r="D1590" s="29"/>
      <c r="E1590" s="29"/>
      <c r="F1590" s="29"/>
      <c r="G1590" s="29"/>
      <c r="H1590" s="29"/>
      <c r="I1590" s="29"/>
      <c r="J1590" s="29"/>
      <c r="K1590" s="29"/>
      <c r="L1590" s="29"/>
      <c r="M1590" s="29"/>
      <c r="N1590" s="29"/>
      <c r="O1590" s="29"/>
      <c r="P1590" s="29"/>
      <c r="Q1590" s="29"/>
      <c r="R1590" s="29"/>
      <c r="S1590" s="29"/>
      <c r="T1590" s="29"/>
      <c r="U1590" s="29"/>
      <c r="V1590" s="29"/>
      <c r="W1590" s="29"/>
      <c r="X1590" s="29"/>
      <c r="Y1590" s="29"/>
      <c r="Z1590" s="29"/>
      <c r="AA1590" s="29"/>
      <c r="AB1590" s="29"/>
      <c r="AC1590" s="29"/>
      <c r="AD1590" s="29"/>
      <c r="AE1590" s="29"/>
      <c r="AF1590" s="29"/>
    </row>
    <row r="1599" spans="2:32">
      <c r="B1599" s="29"/>
      <c r="C1599" s="29"/>
      <c r="D1599" s="29"/>
      <c r="E1599" s="29"/>
      <c r="F1599" s="29"/>
      <c r="G1599" s="29"/>
      <c r="H1599" s="29"/>
      <c r="I1599" s="29"/>
      <c r="J1599" s="29"/>
      <c r="K1599" s="29"/>
      <c r="L1599" s="29"/>
      <c r="M1599" s="29"/>
      <c r="N1599" s="29"/>
      <c r="O1599" s="29"/>
      <c r="P1599" s="29"/>
      <c r="Q1599" s="29"/>
      <c r="R1599" s="29"/>
      <c r="S1599" s="29"/>
      <c r="T1599" s="29"/>
      <c r="U1599" s="29"/>
      <c r="V1599" s="29"/>
      <c r="W1599" s="29"/>
      <c r="X1599" s="29"/>
      <c r="Y1599" s="29"/>
      <c r="Z1599" s="29"/>
      <c r="AA1599" s="29"/>
      <c r="AB1599" s="29"/>
      <c r="AC1599" s="29"/>
      <c r="AD1599" s="29"/>
      <c r="AE1599" s="29"/>
      <c r="AF1599" s="29"/>
    </row>
    <row r="1600" spans="2:32">
      <c r="B1600" s="29"/>
      <c r="C1600" s="29"/>
      <c r="D1600" s="29"/>
      <c r="E1600" s="29"/>
      <c r="F1600" s="29"/>
      <c r="G1600" s="29"/>
      <c r="H1600" s="29"/>
      <c r="I1600" s="29"/>
      <c r="J1600" s="29"/>
      <c r="K1600" s="29"/>
      <c r="L1600" s="29"/>
      <c r="M1600" s="29"/>
      <c r="N1600" s="29"/>
      <c r="O1600" s="29"/>
      <c r="P1600" s="29"/>
      <c r="Q1600" s="29"/>
      <c r="R1600" s="29"/>
      <c r="S1600" s="29"/>
      <c r="T1600" s="29"/>
      <c r="U1600" s="29"/>
      <c r="V1600" s="29"/>
      <c r="W1600" s="29"/>
      <c r="X1600" s="29"/>
      <c r="Y1600" s="29"/>
      <c r="Z1600" s="29"/>
      <c r="AA1600" s="29"/>
      <c r="AB1600" s="29"/>
      <c r="AC1600" s="29"/>
      <c r="AD1600" s="29"/>
      <c r="AE1600" s="29"/>
      <c r="AF1600" s="29"/>
    </row>
    <row r="1812" spans="2:32">
      <c r="B1812" s="29"/>
      <c r="C1812" s="29"/>
      <c r="D1812" s="29"/>
      <c r="E1812" s="29"/>
      <c r="F1812" s="29"/>
      <c r="G1812" s="29"/>
      <c r="H1812" s="29"/>
      <c r="I1812" s="29"/>
      <c r="J1812" s="29"/>
      <c r="K1812" s="29"/>
      <c r="L1812" s="29"/>
      <c r="M1812" s="29"/>
      <c r="N1812" s="29"/>
      <c r="O1812" s="29"/>
      <c r="P1812" s="29"/>
      <c r="Q1812" s="29"/>
      <c r="R1812" s="29"/>
      <c r="S1812" s="29"/>
      <c r="T1812" s="29"/>
      <c r="U1812" s="29"/>
      <c r="V1812" s="29"/>
      <c r="W1812" s="29"/>
      <c r="X1812" s="29"/>
      <c r="Y1812" s="29"/>
      <c r="Z1812" s="29"/>
      <c r="AA1812" s="29"/>
      <c r="AB1812" s="29"/>
      <c r="AC1812" s="29"/>
      <c r="AD1812" s="29"/>
      <c r="AE1812" s="29"/>
      <c r="AF1812" s="29"/>
    </row>
    <row r="1813" spans="2:32">
      <c r="B1813" s="29"/>
      <c r="C1813" s="29"/>
      <c r="D1813" s="29"/>
      <c r="E1813" s="29"/>
      <c r="F1813" s="29"/>
      <c r="G1813" s="29"/>
      <c r="H1813" s="29"/>
      <c r="I1813" s="29"/>
      <c r="J1813" s="29"/>
      <c r="K1813" s="29"/>
      <c r="L1813" s="29"/>
      <c r="M1813" s="29"/>
      <c r="N1813" s="29"/>
      <c r="O1813" s="29"/>
      <c r="P1813" s="29"/>
      <c r="Q1813" s="29"/>
      <c r="R1813" s="29"/>
      <c r="S1813" s="29"/>
      <c r="T1813" s="29"/>
      <c r="U1813" s="29"/>
      <c r="V1813" s="29"/>
      <c r="W1813" s="29"/>
      <c r="X1813" s="29"/>
      <c r="Y1813" s="29"/>
      <c r="Z1813" s="29"/>
      <c r="AA1813" s="29"/>
      <c r="AB1813" s="29"/>
      <c r="AC1813" s="29"/>
      <c r="AD1813" s="29"/>
      <c r="AE1813" s="29"/>
      <c r="AF1813" s="29"/>
    </row>
    <row r="1814" spans="2:32">
      <c r="B1814" s="29"/>
      <c r="C1814" s="29"/>
      <c r="D1814" s="29"/>
      <c r="E1814" s="29"/>
      <c r="F1814" s="29"/>
      <c r="G1814" s="29"/>
      <c r="H1814" s="29"/>
      <c r="I1814" s="29"/>
      <c r="J1814" s="29"/>
      <c r="K1814" s="29"/>
      <c r="L1814" s="29"/>
      <c r="M1814" s="29"/>
      <c r="N1814" s="29"/>
      <c r="O1814" s="29"/>
      <c r="P1814" s="29"/>
      <c r="Q1814" s="29"/>
      <c r="R1814" s="29"/>
      <c r="S1814" s="29"/>
      <c r="T1814" s="29"/>
      <c r="U1814" s="29"/>
      <c r="V1814" s="29"/>
      <c r="W1814" s="29"/>
      <c r="X1814" s="29"/>
      <c r="Y1814" s="29"/>
      <c r="Z1814" s="29"/>
      <c r="AA1814" s="29"/>
      <c r="AB1814" s="29"/>
      <c r="AC1814" s="29"/>
      <c r="AD1814" s="29"/>
      <c r="AE1814" s="29"/>
      <c r="AF1814" s="29"/>
    </row>
    <row r="1815" spans="2:32">
      <c r="B1815" s="29"/>
      <c r="C1815" s="29"/>
      <c r="D1815" s="29"/>
      <c r="E1815" s="29"/>
      <c r="F1815" s="29"/>
      <c r="G1815" s="29"/>
      <c r="H1815" s="29"/>
      <c r="I1815" s="29"/>
      <c r="J1815" s="29"/>
      <c r="K1815" s="29"/>
      <c r="L1815" s="29"/>
      <c r="M1815" s="29"/>
      <c r="N1815" s="29"/>
      <c r="O1815" s="29"/>
      <c r="P1815" s="29"/>
      <c r="Q1815" s="29"/>
      <c r="R1815" s="29"/>
      <c r="S1815" s="29"/>
      <c r="T1815" s="29"/>
      <c r="U1815" s="29"/>
      <c r="V1815" s="29"/>
      <c r="W1815" s="29"/>
      <c r="X1815" s="29"/>
      <c r="Y1815" s="29"/>
      <c r="Z1815" s="29"/>
      <c r="AA1815" s="29"/>
      <c r="AB1815" s="29"/>
      <c r="AC1815" s="29"/>
      <c r="AD1815" s="29"/>
      <c r="AE1815" s="29"/>
      <c r="AF1815" s="29"/>
    </row>
    <row r="1816" spans="2:32">
      <c r="B1816" s="29"/>
      <c r="C1816" s="29"/>
      <c r="D1816" s="29"/>
      <c r="E1816" s="29"/>
      <c r="F1816" s="29"/>
      <c r="G1816" s="29"/>
      <c r="H1816" s="29"/>
      <c r="I1816" s="29"/>
      <c r="J1816" s="29"/>
      <c r="K1816" s="29"/>
      <c r="L1816" s="29"/>
      <c r="M1816" s="29"/>
      <c r="N1816" s="29"/>
      <c r="O1816" s="29"/>
      <c r="P1816" s="29"/>
      <c r="Q1816" s="29"/>
      <c r="R1816" s="29"/>
      <c r="S1816" s="29"/>
      <c r="T1816" s="29"/>
      <c r="U1816" s="29"/>
      <c r="V1816" s="29"/>
      <c r="W1816" s="29"/>
      <c r="X1816" s="29"/>
      <c r="Y1816" s="29"/>
      <c r="Z1816" s="29"/>
      <c r="AA1816" s="29"/>
      <c r="AB1816" s="29"/>
      <c r="AC1816" s="29"/>
      <c r="AD1816" s="29"/>
      <c r="AE1816" s="29"/>
      <c r="AF1816" s="29"/>
    </row>
    <row r="1817" spans="2:32">
      <c r="B1817" s="29"/>
      <c r="C1817" s="29"/>
      <c r="D1817" s="29"/>
      <c r="E1817" s="29"/>
      <c r="F1817" s="29"/>
      <c r="G1817" s="29"/>
      <c r="H1817" s="29"/>
      <c r="I1817" s="29"/>
      <c r="J1817" s="29"/>
      <c r="K1817" s="29"/>
      <c r="L1817" s="29"/>
      <c r="M1817" s="29"/>
      <c r="N1817" s="29"/>
      <c r="O1817" s="29"/>
      <c r="P1817" s="29"/>
      <c r="Q1817" s="29"/>
      <c r="R1817" s="29"/>
      <c r="S1817" s="29"/>
      <c r="T1817" s="29"/>
      <c r="U1817" s="29"/>
      <c r="V1817" s="29"/>
      <c r="W1817" s="29"/>
      <c r="X1817" s="29"/>
      <c r="Y1817" s="29"/>
      <c r="Z1817" s="29"/>
      <c r="AA1817" s="29"/>
      <c r="AB1817" s="29"/>
      <c r="AC1817" s="29"/>
      <c r="AD1817" s="29"/>
      <c r="AE1817" s="29"/>
      <c r="AF1817" s="29"/>
    </row>
    <row r="1818" spans="2:32">
      <c r="B1818" s="29"/>
      <c r="C1818" s="29"/>
      <c r="D1818" s="29"/>
      <c r="E1818" s="29"/>
      <c r="F1818" s="29"/>
      <c r="G1818" s="29"/>
      <c r="H1818" s="29"/>
      <c r="I1818" s="29"/>
      <c r="J1818" s="29"/>
      <c r="K1818" s="29"/>
      <c r="L1818" s="29"/>
      <c r="M1818" s="29"/>
      <c r="N1818" s="29"/>
      <c r="O1818" s="29"/>
      <c r="P1818" s="29"/>
      <c r="Q1818" s="29"/>
      <c r="R1818" s="29"/>
      <c r="S1818" s="29"/>
      <c r="T1818" s="29"/>
      <c r="U1818" s="29"/>
      <c r="V1818" s="29"/>
      <c r="W1818" s="29"/>
      <c r="X1818" s="29"/>
      <c r="Y1818" s="29"/>
      <c r="Z1818" s="29"/>
      <c r="AA1818" s="29"/>
      <c r="AB1818" s="29"/>
      <c r="AC1818" s="29"/>
      <c r="AD1818" s="29"/>
      <c r="AE1818" s="29"/>
      <c r="AF1818" s="29"/>
    </row>
    <row r="1819" spans="2:32">
      <c r="B1819" s="29"/>
      <c r="C1819" s="29"/>
      <c r="D1819" s="29"/>
      <c r="E1819" s="29"/>
      <c r="F1819" s="29"/>
      <c r="G1819" s="29"/>
      <c r="H1819" s="29"/>
      <c r="I1819" s="29"/>
      <c r="J1819" s="29"/>
      <c r="K1819" s="29"/>
      <c r="L1819" s="29"/>
      <c r="M1819" s="29"/>
      <c r="N1819" s="29"/>
      <c r="O1819" s="29"/>
      <c r="P1819" s="29"/>
      <c r="Q1819" s="29"/>
      <c r="R1819" s="29"/>
      <c r="S1819" s="29"/>
      <c r="T1819" s="29"/>
      <c r="U1819" s="29"/>
      <c r="V1819" s="29"/>
      <c r="W1819" s="29"/>
      <c r="X1819" s="29"/>
      <c r="Y1819" s="29"/>
      <c r="Z1819" s="29"/>
      <c r="AA1819" s="29"/>
      <c r="AB1819" s="29"/>
      <c r="AC1819" s="29"/>
      <c r="AD1819" s="29"/>
      <c r="AE1819" s="29"/>
      <c r="AF1819" s="29"/>
    </row>
    <row r="1820" spans="2:32">
      <c r="B1820" s="29"/>
      <c r="C1820" s="29"/>
      <c r="D1820" s="29"/>
      <c r="E1820" s="29"/>
      <c r="F1820" s="29"/>
      <c r="G1820" s="29"/>
      <c r="H1820" s="29"/>
      <c r="I1820" s="29"/>
      <c r="J1820" s="29"/>
      <c r="K1820" s="29"/>
      <c r="L1820" s="29"/>
      <c r="M1820" s="29"/>
      <c r="N1820" s="29"/>
      <c r="O1820" s="29"/>
      <c r="P1820" s="29"/>
      <c r="Q1820" s="29"/>
      <c r="R1820" s="29"/>
      <c r="S1820" s="29"/>
      <c r="T1820" s="29"/>
      <c r="U1820" s="29"/>
      <c r="V1820" s="29"/>
      <c r="W1820" s="29"/>
      <c r="X1820" s="29"/>
      <c r="Y1820" s="29"/>
      <c r="Z1820" s="29"/>
      <c r="AA1820" s="29"/>
      <c r="AB1820" s="29"/>
      <c r="AC1820" s="29"/>
      <c r="AD1820" s="29"/>
      <c r="AE1820" s="29"/>
      <c r="AF1820" s="29"/>
    </row>
    <row r="1821" spans="2:32">
      <c r="B1821" s="29"/>
      <c r="C1821" s="29"/>
      <c r="D1821" s="29"/>
      <c r="E1821" s="29"/>
      <c r="F1821" s="29"/>
      <c r="G1821" s="29"/>
      <c r="H1821" s="29"/>
      <c r="I1821" s="29"/>
      <c r="J1821" s="29"/>
      <c r="K1821" s="29"/>
      <c r="L1821" s="29"/>
      <c r="M1821" s="29"/>
      <c r="N1821" s="29"/>
      <c r="O1821" s="29"/>
      <c r="P1821" s="29"/>
      <c r="Q1821" s="29"/>
      <c r="R1821" s="29"/>
      <c r="S1821" s="29"/>
      <c r="T1821" s="29"/>
      <c r="U1821" s="29"/>
      <c r="V1821" s="29"/>
      <c r="W1821" s="29"/>
      <c r="X1821" s="29"/>
      <c r="Y1821" s="29"/>
      <c r="Z1821" s="29"/>
      <c r="AA1821" s="29"/>
      <c r="AB1821" s="29"/>
      <c r="AC1821" s="29"/>
      <c r="AD1821" s="29"/>
      <c r="AE1821" s="29"/>
      <c r="AF1821" s="29"/>
    </row>
    <row r="1822" spans="2:32">
      <c r="B1822" s="29"/>
      <c r="C1822" s="29"/>
      <c r="D1822" s="29"/>
      <c r="E1822" s="29"/>
      <c r="F1822" s="29"/>
      <c r="G1822" s="29"/>
      <c r="H1822" s="29"/>
      <c r="I1822" s="29"/>
      <c r="J1822" s="29"/>
      <c r="K1822" s="29"/>
      <c r="L1822" s="29"/>
      <c r="M1822" s="29"/>
      <c r="N1822" s="29"/>
      <c r="O1822" s="29"/>
      <c r="P1822" s="29"/>
      <c r="Q1822" s="29"/>
      <c r="R1822" s="29"/>
      <c r="S1822" s="29"/>
      <c r="T1822" s="29"/>
      <c r="U1822" s="29"/>
      <c r="V1822" s="29"/>
      <c r="W1822" s="29"/>
      <c r="X1822" s="29"/>
      <c r="Y1822" s="29"/>
      <c r="Z1822" s="29"/>
      <c r="AA1822" s="29"/>
      <c r="AB1822" s="29"/>
      <c r="AC1822" s="29"/>
      <c r="AD1822" s="29"/>
      <c r="AE1822" s="29"/>
      <c r="AF1822" s="29"/>
    </row>
    <row r="1823" spans="2:32">
      <c r="B1823" s="29"/>
      <c r="C1823" s="29"/>
      <c r="D1823" s="29"/>
      <c r="E1823" s="29"/>
      <c r="F1823" s="29"/>
      <c r="G1823" s="29"/>
      <c r="H1823" s="29"/>
      <c r="I1823" s="29"/>
      <c r="J1823" s="29"/>
      <c r="K1823" s="29"/>
      <c r="L1823" s="29"/>
      <c r="M1823" s="29"/>
      <c r="N1823" s="29"/>
      <c r="O1823" s="29"/>
      <c r="P1823" s="29"/>
      <c r="Q1823" s="29"/>
      <c r="R1823" s="29"/>
      <c r="S1823" s="29"/>
      <c r="T1823" s="29"/>
      <c r="U1823" s="29"/>
      <c r="V1823" s="29"/>
      <c r="W1823" s="29"/>
      <c r="X1823" s="29"/>
      <c r="Y1823" s="29"/>
      <c r="Z1823" s="29"/>
      <c r="AA1823" s="29"/>
      <c r="AB1823" s="29"/>
      <c r="AC1823" s="29"/>
      <c r="AD1823" s="29"/>
      <c r="AE1823" s="29"/>
      <c r="AF1823" s="29"/>
    </row>
    <row r="1824" spans="2:32">
      <c r="B1824" s="29"/>
      <c r="C1824" s="29"/>
      <c r="D1824" s="29"/>
      <c r="E1824" s="29"/>
      <c r="F1824" s="29"/>
      <c r="G1824" s="29"/>
      <c r="H1824" s="29"/>
      <c r="I1824" s="29"/>
      <c r="J1824" s="29"/>
      <c r="K1824" s="29"/>
      <c r="L1824" s="29"/>
      <c r="M1824" s="29"/>
      <c r="N1824" s="29"/>
      <c r="O1824" s="29"/>
      <c r="P1824" s="29"/>
      <c r="Q1824" s="29"/>
      <c r="R1824" s="29"/>
      <c r="S1824" s="29"/>
      <c r="T1824" s="29"/>
      <c r="U1824" s="29"/>
      <c r="V1824" s="29"/>
      <c r="W1824" s="29"/>
      <c r="X1824" s="29"/>
      <c r="Y1824" s="29"/>
      <c r="Z1824" s="29"/>
      <c r="AA1824" s="29"/>
      <c r="AB1824" s="29"/>
      <c r="AC1824" s="29"/>
      <c r="AD1824" s="29"/>
      <c r="AE1824" s="29"/>
      <c r="AF1824" s="29"/>
    </row>
    <row r="2089" spans="2:32">
      <c r="B2089" s="29"/>
      <c r="C2089" s="29"/>
      <c r="D2089" s="29"/>
      <c r="E2089" s="29"/>
      <c r="F2089" s="29"/>
      <c r="G2089" s="29"/>
      <c r="H2089" s="29"/>
      <c r="I2089" s="29"/>
      <c r="J2089" s="29"/>
      <c r="K2089" s="29"/>
      <c r="L2089" s="29"/>
      <c r="M2089" s="29"/>
      <c r="N2089" s="29"/>
      <c r="O2089" s="29"/>
      <c r="P2089" s="29"/>
      <c r="Q2089" s="29"/>
      <c r="R2089" s="29"/>
      <c r="S2089" s="29"/>
      <c r="T2089" s="29"/>
      <c r="U2089" s="29"/>
      <c r="V2089" s="29"/>
      <c r="W2089" s="29"/>
      <c r="X2089" s="29"/>
      <c r="Y2089" s="29"/>
      <c r="Z2089" s="29"/>
      <c r="AA2089" s="29"/>
      <c r="AB2089" s="29"/>
      <c r="AC2089" s="29"/>
      <c r="AD2089" s="29"/>
      <c r="AE2089" s="29"/>
      <c r="AF2089" s="29"/>
    </row>
    <row r="2090" spans="2:32">
      <c r="B2090" s="29"/>
      <c r="C2090" s="29"/>
      <c r="D2090" s="29"/>
      <c r="E2090" s="29"/>
      <c r="F2090" s="29"/>
      <c r="G2090" s="29"/>
      <c r="H2090" s="29"/>
      <c r="I2090" s="29"/>
      <c r="J2090" s="29"/>
      <c r="K2090" s="29"/>
      <c r="L2090" s="29"/>
      <c r="M2090" s="29"/>
      <c r="N2090" s="29"/>
      <c r="O2090" s="29"/>
      <c r="P2090" s="29"/>
      <c r="Q2090" s="29"/>
      <c r="R2090" s="29"/>
      <c r="S2090" s="29"/>
      <c r="T2090" s="29"/>
      <c r="U2090" s="29"/>
      <c r="V2090" s="29"/>
      <c r="W2090" s="29"/>
      <c r="X2090" s="29"/>
      <c r="Y2090" s="29"/>
      <c r="Z2090" s="29"/>
      <c r="AA2090" s="29"/>
      <c r="AB2090" s="29"/>
      <c r="AC2090" s="29"/>
      <c r="AD2090" s="29"/>
      <c r="AE2090" s="29"/>
      <c r="AF2090" s="29"/>
    </row>
    <row r="2424" spans="2:32">
      <c r="B2424" s="29"/>
      <c r="C2424" s="29"/>
      <c r="D2424" s="29"/>
      <c r="E2424" s="29"/>
      <c r="F2424" s="29"/>
      <c r="G2424" s="29"/>
      <c r="H2424" s="29"/>
      <c r="I2424" s="29"/>
      <c r="J2424" s="29"/>
      <c r="K2424" s="29"/>
      <c r="L2424" s="29"/>
      <c r="M2424" s="29"/>
      <c r="N2424" s="29"/>
      <c r="O2424" s="29"/>
      <c r="P2424" s="29"/>
      <c r="Q2424" s="29"/>
      <c r="R2424" s="29"/>
      <c r="S2424" s="29"/>
      <c r="T2424" s="29"/>
      <c r="U2424" s="29"/>
      <c r="V2424" s="29"/>
      <c r="W2424" s="29"/>
      <c r="X2424" s="29"/>
      <c r="Y2424" s="29"/>
      <c r="Z2424" s="29"/>
      <c r="AA2424" s="29"/>
      <c r="AB2424" s="29"/>
      <c r="AC2424" s="29"/>
      <c r="AD2424" s="29"/>
      <c r="AE2424" s="29"/>
      <c r="AF2424" s="29"/>
    </row>
    <row r="2425" spans="2:32">
      <c r="B2425" s="29"/>
      <c r="C2425" s="29"/>
      <c r="D2425" s="29"/>
      <c r="E2425" s="29"/>
      <c r="F2425" s="29"/>
      <c r="G2425" s="29"/>
      <c r="H2425" s="29"/>
      <c r="I2425" s="29"/>
      <c r="J2425" s="29"/>
      <c r="K2425" s="29"/>
      <c r="L2425" s="29"/>
      <c r="M2425" s="29"/>
      <c r="N2425" s="29"/>
      <c r="O2425" s="29"/>
      <c r="P2425" s="29"/>
      <c r="Q2425" s="29"/>
      <c r="R2425" s="29"/>
      <c r="S2425" s="29"/>
      <c r="T2425" s="29"/>
      <c r="U2425" s="29"/>
      <c r="V2425" s="29"/>
      <c r="W2425" s="29"/>
      <c r="X2425" s="29"/>
      <c r="Y2425" s="29"/>
      <c r="Z2425" s="29"/>
      <c r="AA2425" s="29"/>
      <c r="AB2425" s="29"/>
      <c r="AC2425" s="29"/>
      <c r="AD2425" s="29"/>
      <c r="AE2425" s="29"/>
      <c r="AF2425" s="29"/>
    </row>
    <row r="2744" spans="2:32">
      <c r="B2744" s="29"/>
      <c r="C2744" s="29"/>
      <c r="D2744" s="29"/>
      <c r="E2744" s="29"/>
      <c r="F2744" s="29"/>
      <c r="G2744" s="29"/>
      <c r="H2744" s="29"/>
      <c r="I2744" s="29"/>
      <c r="J2744" s="29"/>
      <c r="K2744" s="29"/>
      <c r="L2744" s="29"/>
      <c r="M2744" s="29"/>
      <c r="N2744" s="29"/>
      <c r="O2744" s="29"/>
      <c r="P2744" s="29"/>
      <c r="Q2744" s="29"/>
      <c r="R2744" s="29"/>
      <c r="S2744" s="29"/>
      <c r="T2744" s="29"/>
      <c r="U2744" s="29"/>
      <c r="V2744" s="29"/>
      <c r="W2744" s="29"/>
      <c r="X2744" s="29"/>
      <c r="Y2744" s="29"/>
      <c r="Z2744" s="29"/>
      <c r="AA2744" s="29"/>
      <c r="AB2744" s="29"/>
      <c r="AC2744" s="29"/>
      <c r="AD2744" s="29"/>
      <c r="AE2744" s="29"/>
      <c r="AF2744" s="29"/>
    </row>
    <row r="2745" spans="2:32">
      <c r="B2745" s="29"/>
      <c r="C2745" s="29"/>
      <c r="D2745" s="29"/>
      <c r="E2745" s="29"/>
      <c r="F2745" s="29"/>
      <c r="G2745" s="29"/>
      <c r="H2745" s="29"/>
      <c r="I2745" s="29"/>
      <c r="J2745" s="29"/>
      <c r="K2745" s="29"/>
      <c r="L2745" s="29"/>
      <c r="M2745" s="29"/>
      <c r="N2745" s="29"/>
      <c r="O2745" s="29"/>
      <c r="P2745" s="29"/>
      <c r="Q2745" s="29"/>
      <c r="R2745" s="29"/>
      <c r="S2745" s="29"/>
      <c r="T2745" s="29"/>
      <c r="U2745" s="29"/>
      <c r="V2745" s="29"/>
      <c r="W2745" s="29"/>
      <c r="X2745" s="29"/>
      <c r="Y2745" s="29"/>
      <c r="Z2745" s="29"/>
      <c r="AA2745" s="29"/>
      <c r="AB2745" s="29"/>
      <c r="AC2745" s="29"/>
      <c r="AD2745" s="29"/>
      <c r="AE2745" s="29"/>
      <c r="AF2745" s="29"/>
    </row>
    <row r="2747" spans="2:32">
      <c r="B2747" s="29"/>
      <c r="C2747" s="29"/>
      <c r="D2747" s="29"/>
      <c r="E2747" s="29"/>
      <c r="F2747" s="29"/>
      <c r="G2747" s="29"/>
      <c r="H2747" s="29"/>
      <c r="I2747" s="29"/>
      <c r="J2747" s="29"/>
      <c r="K2747" s="29"/>
      <c r="L2747" s="29"/>
      <c r="M2747" s="29"/>
      <c r="N2747" s="29"/>
      <c r="O2747" s="29"/>
      <c r="P2747" s="29"/>
      <c r="Q2747" s="29"/>
      <c r="R2747" s="29"/>
      <c r="S2747" s="29"/>
      <c r="T2747" s="29"/>
      <c r="U2747" s="29"/>
      <c r="V2747" s="29"/>
      <c r="W2747" s="29"/>
      <c r="X2747" s="29"/>
      <c r="Y2747" s="29"/>
      <c r="Z2747" s="29"/>
      <c r="AA2747" s="29"/>
      <c r="AB2747" s="29"/>
      <c r="AC2747" s="29"/>
      <c r="AD2747" s="29"/>
      <c r="AE2747" s="29"/>
      <c r="AF2747" s="29"/>
    </row>
    <row r="2748" spans="2:32">
      <c r="B2748" s="29"/>
      <c r="C2748" s="29"/>
      <c r="D2748" s="29"/>
      <c r="E2748" s="29"/>
      <c r="F2748" s="29"/>
      <c r="G2748" s="29"/>
      <c r="H2748" s="29"/>
      <c r="I2748" s="29"/>
      <c r="J2748" s="29"/>
      <c r="K2748" s="29"/>
      <c r="L2748" s="29"/>
      <c r="M2748" s="29"/>
      <c r="N2748" s="29"/>
      <c r="O2748" s="29"/>
      <c r="P2748" s="29"/>
      <c r="Q2748" s="29"/>
      <c r="R2748" s="29"/>
      <c r="S2748" s="29"/>
      <c r="T2748" s="29"/>
      <c r="U2748" s="29"/>
      <c r="V2748" s="29"/>
      <c r="W2748" s="29"/>
      <c r="X2748" s="29"/>
      <c r="Y2748" s="29"/>
      <c r="Z2748" s="29"/>
      <c r="AA2748" s="29"/>
      <c r="AB2748" s="29"/>
      <c r="AC2748" s="29"/>
      <c r="AD2748" s="29"/>
      <c r="AE2748" s="29"/>
      <c r="AF2748" s="29"/>
    </row>
    <row r="2749" spans="2:32">
      <c r="B2749" s="29"/>
      <c r="C2749" s="29"/>
      <c r="D2749" s="29"/>
      <c r="E2749" s="29"/>
      <c r="F2749" s="29"/>
      <c r="G2749" s="29"/>
      <c r="H2749" s="29"/>
      <c r="I2749" s="29"/>
      <c r="J2749" s="29"/>
      <c r="K2749" s="29"/>
      <c r="L2749" s="29"/>
      <c r="M2749" s="29"/>
      <c r="N2749" s="29"/>
      <c r="O2749" s="29"/>
      <c r="P2749" s="29"/>
      <c r="Q2749" s="29"/>
      <c r="R2749" s="29"/>
      <c r="S2749" s="29"/>
      <c r="T2749" s="29"/>
      <c r="U2749" s="29"/>
      <c r="V2749" s="29"/>
      <c r="W2749" s="29"/>
      <c r="X2749" s="29"/>
      <c r="Y2749" s="29"/>
      <c r="Z2749" s="29"/>
      <c r="AA2749" s="29"/>
      <c r="AB2749" s="29"/>
      <c r="AC2749" s="29"/>
      <c r="AD2749" s="29"/>
      <c r="AE2749" s="29"/>
      <c r="AF2749" s="29"/>
    </row>
    <row r="2750" spans="2:32">
      <c r="B2750" s="29"/>
      <c r="C2750" s="29"/>
      <c r="D2750" s="29"/>
      <c r="E2750" s="29"/>
      <c r="F2750" s="29"/>
      <c r="G2750" s="29"/>
      <c r="H2750" s="29"/>
      <c r="I2750" s="29"/>
      <c r="J2750" s="29"/>
      <c r="K2750" s="29"/>
      <c r="L2750" s="29"/>
      <c r="M2750" s="29"/>
      <c r="N2750" s="29"/>
      <c r="O2750" s="29"/>
      <c r="P2750" s="29"/>
      <c r="Q2750" s="29"/>
      <c r="R2750" s="29"/>
      <c r="S2750" s="29"/>
      <c r="T2750" s="29"/>
      <c r="U2750" s="29"/>
      <c r="V2750" s="29"/>
      <c r="W2750" s="29"/>
      <c r="X2750" s="29"/>
      <c r="Y2750" s="29"/>
      <c r="Z2750" s="29"/>
      <c r="AA2750" s="29"/>
      <c r="AB2750" s="29"/>
      <c r="AC2750" s="29"/>
      <c r="AD2750" s="29"/>
      <c r="AE2750" s="29"/>
      <c r="AF2750" s="29"/>
    </row>
    <row r="2751" spans="2:32">
      <c r="B2751" s="29"/>
      <c r="C2751" s="29"/>
      <c r="D2751" s="29"/>
      <c r="E2751" s="29"/>
      <c r="F2751" s="29"/>
      <c r="G2751" s="29"/>
      <c r="H2751" s="29"/>
      <c r="I2751" s="29"/>
      <c r="J2751" s="29"/>
      <c r="K2751" s="29"/>
      <c r="L2751" s="29"/>
      <c r="M2751" s="29"/>
      <c r="N2751" s="29"/>
      <c r="O2751" s="29"/>
      <c r="P2751" s="29"/>
      <c r="Q2751" s="29"/>
      <c r="R2751" s="29"/>
      <c r="S2751" s="29"/>
      <c r="T2751" s="29"/>
      <c r="U2751" s="29"/>
      <c r="V2751" s="29"/>
      <c r="W2751" s="29"/>
      <c r="X2751" s="29"/>
      <c r="Y2751" s="29"/>
      <c r="Z2751" s="29"/>
      <c r="AA2751" s="29"/>
      <c r="AB2751" s="29"/>
      <c r="AC2751" s="29"/>
      <c r="AD2751" s="29"/>
      <c r="AE2751" s="29"/>
      <c r="AF2751" s="29"/>
    </row>
    <row r="2752" spans="2:32">
      <c r="B2752" s="29"/>
      <c r="C2752" s="29"/>
      <c r="D2752" s="29"/>
      <c r="E2752" s="29"/>
      <c r="F2752" s="29"/>
      <c r="G2752" s="29"/>
      <c r="H2752" s="29"/>
      <c r="I2752" s="29"/>
      <c r="J2752" s="29"/>
      <c r="K2752" s="29"/>
      <c r="L2752" s="29"/>
      <c r="M2752" s="29"/>
      <c r="N2752" s="29"/>
      <c r="O2752" s="29"/>
      <c r="P2752" s="29"/>
      <c r="Q2752" s="29"/>
      <c r="R2752" s="29"/>
      <c r="S2752" s="29"/>
      <c r="T2752" s="29"/>
      <c r="U2752" s="29"/>
      <c r="V2752" s="29"/>
      <c r="W2752" s="29"/>
      <c r="X2752" s="29"/>
      <c r="Y2752" s="29"/>
      <c r="Z2752" s="29"/>
      <c r="AA2752" s="29"/>
      <c r="AB2752" s="29"/>
      <c r="AC2752" s="29"/>
      <c r="AD2752" s="29"/>
      <c r="AE2752" s="29"/>
      <c r="AF2752" s="29"/>
    </row>
    <row r="3075" spans="2:32">
      <c r="B3075" s="29"/>
      <c r="C3075" s="29"/>
      <c r="D3075" s="29"/>
      <c r="E3075" s="29"/>
      <c r="F3075" s="29"/>
      <c r="G3075" s="29"/>
      <c r="H3075" s="29"/>
      <c r="I3075" s="29"/>
      <c r="J3075" s="29"/>
      <c r="K3075" s="29"/>
      <c r="L3075" s="29"/>
      <c r="M3075" s="29"/>
      <c r="N3075" s="29"/>
      <c r="O3075" s="29"/>
      <c r="P3075" s="29"/>
      <c r="Q3075" s="29"/>
      <c r="R3075" s="29"/>
      <c r="S3075" s="29"/>
      <c r="T3075" s="29"/>
      <c r="U3075" s="29"/>
      <c r="V3075" s="29"/>
      <c r="W3075" s="29"/>
      <c r="X3075" s="29"/>
      <c r="Y3075" s="29"/>
      <c r="Z3075" s="29"/>
      <c r="AA3075" s="29"/>
      <c r="AB3075" s="29"/>
      <c r="AC3075" s="29"/>
      <c r="AD3075" s="29"/>
      <c r="AE3075" s="29"/>
      <c r="AF3075" s="29"/>
    </row>
    <row r="3076" spans="2:32">
      <c r="B3076" s="29"/>
      <c r="C3076" s="29"/>
      <c r="D3076" s="29"/>
      <c r="E3076" s="29"/>
      <c r="F3076" s="29"/>
      <c r="G3076" s="29"/>
      <c r="H3076" s="29"/>
      <c r="I3076" s="29"/>
      <c r="J3076" s="29"/>
      <c r="K3076" s="29"/>
      <c r="L3076" s="29"/>
      <c r="M3076" s="29"/>
      <c r="N3076" s="29"/>
      <c r="O3076" s="29"/>
      <c r="P3076" s="29"/>
      <c r="Q3076" s="29"/>
      <c r="R3076" s="29"/>
      <c r="S3076" s="29"/>
      <c r="T3076" s="29"/>
      <c r="U3076" s="29"/>
      <c r="V3076" s="29"/>
      <c r="W3076" s="29"/>
      <c r="X3076" s="29"/>
      <c r="Y3076" s="29"/>
      <c r="Z3076" s="29"/>
      <c r="AA3076" s="29"/>
      <c r="AB3076" s="29"/>
      <c r="AC3076" s="29"/>
      <c r="AD3076" s="29"/>
      <c r="AE3076" s="29"/>
      <c r="AF3076" s="29"/>
    </row>
    <row r="3079" spans="2:32">
      <c r="B3079" s="29"/>
      <c r="C3079" s="29"/>
      <c r="D3079" s="29"/>
      <c r="E3079" s="29"/>
      <c r="F3079" s="29"/>
      <c r="G3079" s="29"/>
      <c r="H3079" s="29"/>
      <c r="I3079" s="29"/>
      <c r="J3079" s="29"/>
      <c r="K3079" s="29"/>
      <c r="L3079" s="29"/>
      <c r="M3079" s="29"/>
      <c r="N3079" s="29"/>
      <c r="O3079" s="29"/>
      <c r="P3079" s="29"/>
      <c r="Q3079" s="29"/>
      <c r="R3079" s="29"/>
      <c r="S3079" s="29"/>
      <c r="T3079" s="29"/>
      <c r="U3079" s="29"/>
      <c r="V3079" s="29"/>
      <c r="W3079" s="29"/>
      <c r="X3079" s="29"/>
      <c r="Y3079" s="29"/>
      <c r="Z3079" s="29"/>
      <c r="AA3079" s="29"/>
      <c r="AB3079" s="29"/>
      <c r="AC3079" s="29"/>
      <c r="AD3079" s="29"/>
      <c r="AE3079" s="29"/>
      <c r="AF3079" s="29"/>
    </row>
    <row r="3080" spans="2:32">
      <c r="B3080" s="29"/>
      <c r="C3080" s="29"/>
      <c r="D3080" s="29"/>
      <c r="E3080" s="29"/>
      <c r="F3080" s="29"/>
      <c r="G3080" s="29"/>
      <c r="H3080" s="29"/>
      <c r="I3080" s="29"/>
      <c r="J3080" s="29"/>
      <c r="K3080" s="29"/>
      <c r="L3080" s="29"/>
      <c r="M3080" s="29"/>
      <c r="N3080" s="29"/>
      <c r="O3080" s="29"/>
      <c r="P3080" s="29"/>
      <c r="Q3080" s="29"/>
      <c r="R3080" s="29"/>
      <c r="S3080" s="29"/>
      <c r="T3080" s="29"/>
      <c r="U3080" s="29"/>
      <c r="V3080" s="29"/>
      <c r="W3080" s="29"/>
      <c r="X3080" s="29"/>
      <c r="Y3080" s="29"/>
      <c r="Z3080" s="29"/>
      <c r="AA3080" s="29"/>
      <c r="AB3080" s="29"/>
      <c r="AC3080" s="29"/>
      <c r="AD3080" s="29"/>
      <c r="AE3080" s="29"/>
      <c r="AF3080" s="29"/>
    </row>
    <row r="3081" spans="2:32">
      <c r="B3081" s="29"/>
      <c r="C3081" s="29"/>
      <c r="D3081" s="29"/>
      <c r="E3081" s="29"/>
      <c r="F3081" s="29"/>
      <c r="G3081" s="29"/>
      <c r="H3081" s="29"/>
      <c r="I3081" s="29"/>
      <c r="J3081" s="29"/>
      <c r="K3081" s="29"/>
      <c r="L3081" s="29"/>
      <c r="M3081" s="29"/>
      <c r="N3081" s="29"/>
      <c r="O3081" s="29"/>
      <c r="P3081" s="29"/>
      <c r="Q3081" s="29"/>
      <c r="R3081" s="29"/>
      <c r="S3081" s="29"/>
      <c r="T3081" s="29"/>
      <c r="U3081" s="29"/>
      <c r="V3081" s="29"/>
      <c r="W3081" s="29"/>
      <c r="X3081" s="29"/>
      <c r="Y3081" s="29"/>
      <c r="Z3081" s="29"/>
      <c r="AA3081" s="29"/>
      <c r="AB3081" s="29"/>
      <c r="AC3081" s="29"/>
      <c r="AD3081" s="29"/>
      <c r="AE3081" s="29"/>
      <c r="AF3081" s="29"/>
    </row>
    <row r="3082" spans="2:32">
      <c r="B3082" s="29"/>
      <c r="C3082" s="29"/>
      <c r="D3082" s="29"/>
      <c r="E3082" s="29"/>
      <c r="F3082" s="29"/>
      <c r="G3082" s="29"/>
      <c r="H3082" s="29"/>
      <c r="I3082" s="29"/>
      <c r="J3082" s="29"/>
      <c r="K3082" s="29"/>
      <c r="L3082" s="29"/>
      <c r="M3082" s="29"/>
      <c r="N3082" s="29"/>
      <c r="O3082" s="29"/>
      <c r="P3082" s="29"/>
      <c r="Q3082" s="29"/>
      <c r="R3082" s="29"/>
      <c r="S3082" s="29"/>
      <c r="T3082" s="29"/>
      <c r="U3082" s="29"/>
      <c r="V3082" s="29"/>
      <c r="W3082" s="29"/>
      <c r="X3082" s="29"/>
      <c r="Y3082" s="29"/>
      <c r="Z3082" s="29"/>
      <c r="AA3082" s="29"/>
      <c r="AB3082" s="29"/>
      <c r="AC3082" s="29"/>
      <c r="AD3082" s="29"/>
      <c r="AE3082" s="29"/>
      <c r="AF3082" s="29"/>
    </row>
    <row r="3083" spans="2:32">
      <c r="B3083" s="29"/>
      <c r="C3083" s="29"/>
      <c r="D3083" s="29"/>
      <c r="E3083" s="29"/>
      <c r="F3083" s="29"/>
      <c r="G3083" s="29"/>
      <c r="H3083" s="29"/>
      <c r="I3083" s="29"/>
      <c r="J3083" s="29"/>
      <c r="K3083" s="29"/>
      <c r="L3083" s="29"/>
      <c r="M3083" s="29"/>
      <c r="N3083" s="29"/>
      <c r="O3083" s="29"/>
      <c r="P3083" s="29"/>
      <c r="Q3083" s="29"/>
      <c r="R3083" s="29"/>
      <c r="S3083" s="29"/>
      <c r="T3083" s="29"/>
      <c r="U3083" s="29"/>
      <c r="V3083" s="29"/>
      <c r="W3083" s="29"/>
      <c r="X3083" s="29"/>
      <c r="Y3083" s="29"/>
      <c r="Z3083" s="29"/>
      <c r="AA3083" s="29"/>
      <c r="AB3083" s="29"/>
      <c r="AC3083" s="29"/>
      <c r="AD3083" s="29"/>
      <c r="AE3083" s="29"/>
      <c r="AF3083" s="29"/>
    </row>
    <row r="3084" spans="2:32">
      <c r="B3084" s="29"/>
      <c r="C3084" s="29"/>
      <c r="D3084" s="29"/>
      <c r="E3084" s="29"/>
      <c r="F3084" s="29"/>
      <c r="G3084" s="29"/>
      <c r="H3084" s="29"/>
      <c r="I3084" s="29"/>
      <c r="J3084" s="29"/>
      <c r="K3084" s="29"/>
      <c r="L3084" s="29"/>
      <c r="M3084" s="29"/>
      <c r="N3084" s="29"/>
      <c r="O3084" s="29"/>
      <c r="P3084" s="29"/>
      <c r="Q3084" s="29"/>
      <c r="R3084" s="29"/>
      <c r="S3084" s="29"/>
      <c r="T3084" s="29"/>
      <c r="U3084" s="29"/>
      <c r="V3084" s="29"/>
      <c r="W3084" s="29"/>
      <c r="X3084" s="29"/>
      <c r="Y3084" s="29"/>
      <c r="Z3084" s="29"/>
      <c r="AA3084" s="29"/>
      <c r="AB3084" s="29"/>
      <c r="AC3084" s="29"/>
      <c r="AD3084" s="29"/>
      <c r="AE3084" s="29"/>
      <c r="AF3084" s="29"/>
    </row>
    <row r="3085" spans="2:32">
      <c r="B3085" s="29"/>
      <c r="C3085" s="29"/>
      <c r="D3085" s="29"/>
      <c r="E3085" s="29"/>
      <c r="F3085" s="29"/>
      <c r="G3085" s="29"/>
      <c r="H3085" s="29"/>
      <c r="I3085" s="29"/>
      <c r="J3085" s="29"/>
      <c r="K3085" s="29"/>
      <c r="L3085" s="29"/>
      <c r="M3085" s="29"/>
      <c r="N3085" s="29"/>
      <c r="O3085" s="29"/>
      <c r="P3085" s="29"/>
      <c r="Q3085" s="29"/>
      <c r="R3085" s="29"/>
      <c r="S3085" s="29"/>
      <c r="T3085" s="29"/>
      <c r="U3085" s="29"/>
      <c r="V3085" s="29"/>
      <c r="W3085" s="29"/>
      <c r="X3085" s="29"/>
      <c r="Y3085" s="29"/>
      <c r="Z3085" s="29"/>
      <c r="AA3085" s="29"/>
      <c r="AB3085" s="29"/>
      <c r="AC3085" s="29"/>
      <c r="AD3085" s="29"/>
      <c r="AE3085" s="29"/>
      <c r="AF3085" s="29"/>
    </row>
    <row r="3086" spans="2:32">
      <c r="B3086" s="29"/>
      <c r="C3086" s="29"/>
      <c r="D3086" s="29"/>
      <c r="E3086" s="29"/>
      <c r="F3086" s="29"/>
      <c r="G3086" s="29"/>
      <c r="H3086" s="29"/>
      <c r="I3086" s="29"/>
      <c r="J3086" s="29"/>
      <c r="K3086" s="29"/>
      <c r="L3086" s="29"/>
      <c r="M3086" s="29"/>
      <c r="N3086" s="29"/>
      <c r="O3086" s="29"/>
      <c r="P3086" s="29"/>
      <c r="Q3086" s="29"/>
      <c r="R3086" s="29"/>
      <c r="S3086" s="29"/>
      <c r="T3086" s="29"/>
      <c r="U3086" s="29"/>
      <c r="V3086" s="29"/>
      <c r="W3086" s="29"/>
      <c r="X3086" s="29"/>
      <c r="Y3086" s="29"/>
      <c r="Z3086" s="29"/>
      <c r="AA3086" s="29"/>
      <c r="AB3086" s="29"/>
      <c r="AC3086" s="29"/>
      <c r="AD3086" s="29"/>
      <c r="AE3086" s="29"/>
      <c r="AF3086" s="29"/>
    </row>
    <row r="3087" spans="2:32">
      <c r="B3087" s="29"/>
      <c r="C3087" s="29"/>
      <c r="D3087" s="29"/>
      <c r="E3087" s="29"/>
      <c r="F3087" s="29"/>
      <c r="G3087" s="29"/>
      <c r="H3087" s="29"/>
      <c r="I3087" s="29"/>
      <c r="J3087" s="29"/>
      <c r="K3087" s="29"/>
      <c r="L3087" s="29"/>
      <c r="M3087" s="29"/>
      <c r="N3087" s="29"/>
      <c r="O3087" s="29"/>
      <c r="P3087" s="29"/>
      <c r="Q3087" s="29"/>
      <c r="R3087" s="29"/>
      <c r="S3087" s="29"/>
      <c r="T3087" s="29"/>
      <c r="U3087" s="29"/>
      <c r="V3087" s="29"/>
      <c r="W3087" s="29"/>
      <c r="X3087" s="29"/>
      <c r="Y3087" s="29"/>
      <c r="Z3087" s="29"/>
      <c r="AA3087" s="29"/>
      <c r="AB3087" s="29"/>
      <c r="AC3087" s="29"/>
      <c r="AD3087" s="29"/>
      <c r="AE3087" s="29"/>
      <c r="AF3087" s="29"/>
    </row>
    <row r="3088" spans="2:32">
      <c r="B3088" s="29"/>
      <c r="C3088" s="29"/>
      <c r="D3088" s="29"/>
      <c r="E3088" s="29"/>
      <c r="F3088" s="29"/>
      <c r="G3088" s="29"/>
      <c r="H3088" s="29"/>
      <c r="I3088" s="29"/>
      <c r="J3088" s="29"/>
      <c r="K3088" s="29"/>
      <c r="L3088" s="29"/>
      <c r="M3088" s="29"/>
      <c r="N3088" s="29"/>
      <c r="O3088" s="29"/>
      <c r="P3088" s="29"/>
      <c r="Q3088" s="29"/>
      <c r="R3088" s="29"/>
      <c r="S3088" s="29"/>
      <c r="T3088" s="29"/>
      <c r="U3088" s="29"/>
      <c r="V3088" s="29"/>
      <c r="W3088" s="29"/>
      <c r="X3088" s="29"/>
      <c r="Y3088" s="29"/>
      <c r="Z3088" s="29"/>
      <c r="AA3088" s="29"/>
      <c r="AB3088" s="29"/>
      <c r="AC3088" s="29"/>
      <c r="AD3088" s="29"/>
      <c r="AE3088" s="29"/>
      <c r="AF3088" s="29"/>
    </row>
    <row r="3393" spans="2:32">
      <c r="B3393" s="29"/>
      <c r="C3393" s="29"/>
      <c r="D3393" s="29"/>
      <c r="E3393" s="29"/>
      <c r="F3393" s="29"/>
      <c r="G3393" s="29"/>
      <c r="H3393" s="29"/>
      <c r="I3393" s="29"/>
      <c r="J3393" s="29"/>
      <c r="K3393" s="29"/>
      <c r="L3393" s="29"/>
      <c r="M3393" s="29"/>
      <c r="N3393" s="29"/>
      <c r="O3393" s="29"/>
      <c r="P3393" s="29"/>
      <c r="Q3393" s="29"/>
      <c r="R3393" s="29"/>
      <c r="S3393" s="29"/>
      <c r="T3393" s="29"/>
      <c r="U3393" s="29"/>
      <c r="V3393" s="29"/>
      <c r="W3393" s="29"/>
      <c r="X3393" s="29"/>
      <c r="Y3393" s="29"/>
      <c r="Z3393" s="29"/>
      <c r="AA3393" s="29"/>
      <c r="AB3393" s="29"/>
      <c r="AC3393" s="29"/>
      <c r="AD3393" s="29"/>
      <c r="AE3393" s="29"/>
      <c r="AF3393" s="29"/>
    </row>
    <row r="3394" spans="2:32">
      <c r="B3394" s="29"/>
      <c r="C3394" s="29"/>
      <c r="D3394" s="29"/>
      <c r="E3394" s="29"/>
      <c r="F3394" s="29"/>
      <c r="G3394" s="29"/>
      <c r="H3394" s="29"/>
      <c r="I3394" s="29"/>
      <c r="J3394" s="29"/>
      <c r="K3394" s="29"/>
      <c r="L3394" s="29"/>
      <c r="M3394" s="29"/>
      <c r="N3394" s="29"/>
      <c r="O3394" s="29"/>
      <c r="P3394" s="29"/>
      <c r="Q3394" s="29"/>
      <c r="R3394" s="29"/>
      <c r="S3394" s="29"/>
      <c r="T3394" s="29"/>
      <c r="U3394" s="29"/>
      <c r="V3394" s="29"/>
      <c r="W3394" s="29"/>
      <c r="X3394" s="29"/>
      <c r="Y3394" s="29"/>
      <c r="Z3394" s="29"/>
      <c r="AA3394" s="29"/>
      <c r="AB3394" s="29"/>
      <c r="AC3394" s="29"/>
      <c r="AD3394" s="29"/>
      <c r="AE3394" s="29"/>
      <c r="AF3394" s="29"/>
    </row>
    <row r="3395" spans="2:32">
      <c r="B3395" s="29"/>
      <c r="C3395" s="29"/>
      <c r="D3395" s="29"/>
      <c r="E3395" s="29"/>
      <c r="F3395" s="29"/>
      <c r="G3395" s="29"/>
      <c r="H3395" s="29"/>
      <c r="I3395" s="29"/>
      <c r="J3395" s="29"/>
      <c r="K3395" s="29"/>
      <c r="L3395" s="29"/>
      <c r="M3395" s="29"/>
      <c r="N3395" s="29"/>
      <c r="O3395" s="29"/>
      <c r="P3395" s="29"/>
      <c r="Q3395" s="29"/>
      <c r="R3395" s="29"/>
      <c r="S3395" s="29"/>
      <c r="T3395" s="29"/>
      <c r="U3395" s="29"/>
      <c r="V3395" s="29"/>
      <c r="W3395" s="29"/>
      <c r="X3395" s="29"/>
      <c r="Y3395" s="29"/>
      <c r="Z3395" s="29"/>
      <c r="AA3395" s="29"/>
      <c r="AB3395" s="29"/>
      <c r="AC3395" s="29"/>
      <c r="AD3395" s="29"/>
      <c r="AE3395" s="29"/>
      <c r="AF3395" s="29"/>
    </row>
    <row r="3396" spans="2:32">
      <c r="B3396" s="29"/>
      <c r="C3396" s="29"/>
      <c r="D3396" s="29"/>
      <c r="E3396" s="29"/>
      <c r="F3396" s="29"/>
      <c r="G3396" s="29"/>
      <c r="H3396" s="29"/>
      <c r="I3396" s="29"/>
      <c r="J3396" s="29"/>
      <c r="K3396" s="29"/>
      <c r="L3396" s="29"/>
      <c r="M3396" s="29"/>
      <c r="N3396" s="29"/>
      <c r="O3396" s="29"/>
      <c r="P3396" s="29"/>
      <c r="Q3396" s="29"/>
      <c r="R3396" s="29"/>
      <c r="S3396" s="29"/>
      <c r="T3396" s="29"/>
      <c r="U3396" s="29"/>
      <c r="V3396" s="29"/>
      <c r="W3396" s="29"/>
      <c r="X3396" s="29"/>
      <c r="Y3396" s="29"/>
      <c r="Z3396" s="29"/>
      <c r="AA3396" s="29"/>
      <c r="AB3396" s="29"/>
      <c r="AC3396" s="29"/>
      <c r="AD3396" s="29"/>
      <c r="AE3396" s="29"/>
      <c r="AF3396" s="29"/>
    </row>
    <row r="3397" spans="2:32">
      <c r="B3397" s="29"/>
      <c r="C3397" s="29"/>
      <c r="D3397" s="29"/>
      <c r="E3397" s="29"/>
      <c r="F3397" s="29"/>
      <c r="G3397" s="29"/>
      <c r="H3397" s="29"/>
      <c r="I3397" s="29"/>
      <c r="J3397" s="29"/>
      <c r="K3397" s="29"/>
      <c r="L3397" s="29"/>
      <c r="M3397" s="29"/>
      <c r="N3397" s="29"/>
      <c r="O3397" s="29"/>
      <c r="P3397" s="29"/>
      <c r="Q3397" s="29"/>
      <c r="R3397" s="29"/>
      <c r="S3397" s="29"/>
      <c r="T3397" s="29"/>
      <c r="U3397" s="29"/>
      <c r="V3397" s="29"/>
      <c r="W3397" s="29"/>
      <c r="X3397" s="29"/>
      <c r="Y3397" s="29"/>
      <c r="Z3397" s="29"/>
      <c r="AA3397" s="29"/>
      <c r="AB3397" s="29"/>
      <c r="AC3397" s="29"/>
      <c r="AD3397" s="29"/>
      <c r="AE3397" s="29"/>
      <c r="AF3397" s="29"/>
    </row>
    <row r="3398" spans="2:32">
      <c r="B3398" s="29"/>
      <c r="C3398" s="29"/>
      <c r="D3398" s="29"/>
      <c r="E3398" s="29"/>
      <c r="F3398" s="29"/>
      <c r="G3398" s="29"/>
      <c r="H3398" s="29"/>
      <c r="I3398" s="29"/>
      <c r="J3398" s="29"/>
      <c r="K3398" s="29"/>
      <c r="L3398" s="29"/>
      <c r="M3398" s="29"/>
      <c r="N3398" s="29"/>
      <c r="O3398" s="29"/>
      <c r="P3398" s="29"/>
      <c r="Q3398" s="29"/>
      <c r="R3398" s="29"/>
      <c r="S3398" s="29"/>
      <c r="T3398" s="29"/>
      <c r="U3398" s="29"/>
      <c r="V3398" s="29"/>
      <c r="W3398" s="29"/>
      <c r="X3398" s="29"/>
      <c r="Y3398" s="29"/>
      <c r="Z3398" s="29"/>
      <c r="AA3398" s="29"/>
      <c r="AB3398" s="29"/>
      <c r="AC3398" s="29"/>
      <c r="AD3398" s="29"/>
      <c r="AE3398" s="29"/>
      <c r="AF3398" s="29"/>
    </row>
    <row r="3399" spans="2:32">
      <c r="B3399" s="29"/>
      <c r="C3399" s="29"/>
      <c r="D3399" s="29"/>
      <c r="E3399" s="29"/>
      <c r="F3399" s="29"/>
      <c r="G3399" s="29"/>
      <c r="H3399" s="29"/>
      <c r="I3399" s="29"/>
      <c r="J3399" s="29"/>
      <c r="K3399" s="29"/>
      <c r="L3399" s="29"/>
      <c r="M3399" s="29"/>
      <c r="N3399" s="29"/>
      <c r="O3399" s="29"/>
      <c r="P3399" s="29"/>
      <c r="Q3399" s="29"/>
      <c r="R3399" s="29"/>
      <c r="S3399" s="29"/>
      <c r="T3399" s="29"/>
      <c r="U3399" s="29"/>
      <c r="V3399" s="29"/>
      <c r="W3399" s="29"/>
      <c r="X3399" s="29"/>
      <c r="Y3399" s="29"/>
      <c r="Z3399" s="29"/>
      <c r="AA3399" s="29"/>
      <c r="AB3399" s="29"/>
      <c r="AC3399" s="29"/>
      <c r="AD3399" s="29"/>
      <c r="AE3399" s="29"/>
      <c r="AF3399" s="29"/>
    </row>
    <row r="3400" spans="2:32">
      <c r="B3400" s="29"/>
      <c r="C3400" s="29"/>
      <c r="D3400" s="29"/>
      <c r="E3400" s="29"/>
      <c r="F3400" s="29"/>
      <c r="G3400" s="29"/>
      <c r="H3400" s="29"/>
      <c r="I3400" s="29"/>
      <c r="J3400" s="29"/>
      <c r="K3400" s="29"/>
      <c r="L3400" s="29"/>
      <c r="M3400" s="29"/>
      <c r="N3400" s="29"/>
      <c r="O3400" s="29"/>
      <c r="P3400" s="29"/>
      <c r="Q3400" s="29"/>
      <c r="R3400" s="29"/>
      <c r="S3400" s="29"/>
      <c r="T3400" s="29"/>
      <c r="U3400" s="29"/>
      <c r="V3400" s="29"/>
      <c r="W3400" s="29"/>
      <c r="X3400" s="29"/>
      <c r="Y3400" s="29"/>
      <c r="Z3400" s="29"/>
      <c r="AA3400" s="29"/>
      <c r="AB3400" s="29"/>
      <c r="AC3400" s="29"/>
      <c r="AD3400" s="29"/>
      <c r="AE3400" s="29"/>
      <c r="AF3400" s="29"/>
    </row>
    <row r="3401" spans="2:32">
      <c r="B3401" s="29"/>
      <c r="C3401" s="29"/>
      <c r="D3401" s="29"/>
      <c r="E3401" s="29"/>
      <c r="F3401" s="29"/>
      <c r="G3401" s="29"/>
      <c r="H3401" s="29"/>
      <c r="I3401" s="29"/>
      <c r="J3401" s="29"/>
      <c r="K3401" s="29"/>
      <c r="L3401" s="29"/>
      <c r="M3401" s="29"/>
      <c r="N3401" s="29"/>
      <c r="O3401" s="29"/>
      <c r="P3401" s="29"/>
      <c r="Q3401" s="29"/>
      <c r="R3401" s="29"/>
      <c r="S3401" s="29"/>
      <c r="T3401" s="29"/>
      <c r="U3401" s="29"/>
      <c r="V3401" s="29"/>
      <c r="W3401" s="29"/>
      <c r="X3401" s="29"/>
      <c r="Y3401" s="29"/>
      <c r="Z3401" s="29"/>
      <c r="AA3401" s="29"/>
      <c r="AB3401" s="29"/>
      <c r="AC3401" s="29"/>
      <c r="AD3401" s="29"/>
      <c r="AE3401" s="29"/>
      <c r="AF3401" s="29"/>
    </row>
    <row r="3402" spans="2:32">
      <c r="B3402" s="29"/>
      <c r="C3402" s="29"/>
      <c r="D3402" s="29"/>
      <c r="E3402" s="29"/>
      <c r="F3402" s="29"/>
      <c r="G3402" s="29"/>
      <c r="H3402" s="29"/>
      <c r="I3402" s="29"/>
      <c r="J3402" s="29"/>
      <c r="K3402" s="29"/>
      <c r="L3402" s="29"/>
      <c r="M3402" s="29"/>
      <c r="N3402" s="29"/>
      <c r="O3402" s="29"/>
      <c r="P3402" s="29"/>
      <c r="Q3402" s="29"/>
      <c r="R3402" s="29"/>
      <c r="S3402" s="29"/>
      <c r="T3402" s="29"/>
      <c r="U3402" s="29"/>
      <c r="V3402" s="29"/>
      <c r="W3402" s="29"/>
      <c r="X3402" s="29"/>
      <c r="Y3402" s="29"/>
      <c r="Z3402" s="29"/>
      <c r="AA3402" s="29"/>
      <c r="AB3402" s="29"/>
      <c r="AC3402" s="29"/>
      <c r="AD3402" s="29"/>
      <c r="AE3402" s="29"/>
      <c r="AF3402" s="29"/>
    </row>
    <row r="3403" spans="2:32">
      <c r="B3403" s="29"/>
      <c r="C3403" s="29"/>
      <c r="D3403" s="29"/>
      <c r="E3403" s="29"/>
      <c r="F3403" s="29"/>
      <c r="G3403" s="29"/>
      <c r="H3403" s="29"/>
      <c r="I3403" s="29"/>
      <c r="J3403" s="29"/>
      <c r="K3403" s="29"/>
      <c r="L3403" s="29"/>
      <c r="M3403" s="29"/>
      <c r="N3403" s="29"/>
      <c r="O3403" s="29"/>
      <c r="P3403" s="29"/>
      <c r="Q3403" s="29"/>
      <c r="R3403" s="29"/>
      <c r="S3403" s="29"/>
      <c r="T3403" s="29"/>
      <c r="U3403" s="29"/>
      <c r="V3403" s="29"/>
      <c r="W3403" s="29"/>
      <c r="X3403" s="29"/>
      <c r="Y3403" s="29"/>
      <c r="Z3403" s="29"/>
      <c r="AA3403" s="29"/>
      <c r="AB3403" s="29"/>
      <c r="AC3403" s="29"/>
      <c r="AD3403" s="29"/>
      <c r="AE3403" s="29"/>
      <c r="AF3403" s="29"/>
    </row>
    <row r="3404" spans="2:32">
      <c r="B3404" s="29"/>
      <c r="C3404" s="29"/>
      <c r="D3404" s="29"/>
      <c r="E3404" s="29"/>
      <c r="F3404" s="29"/>
      <c r="G3404" s="29"/>
      <c r="H3404" s="29"/>
      <c r="I3404" s="29"/>
      <c r="J3404" s="29"/>
      <c r="K3404" s="29"/>
      <c r="L3404" s="29"/>
      <c r="M3404" s="29"/>
      <c r="N3404" s="29"/>
      <c r="O3404" s="29"/>
      <c r="P3404" s="29"/>
      <c r="Q3404" s="29"/>
      <c r="R3404" s="29"/>
      <c r="S3404" s="29"/>
      <c r="T3404" s="29"/>
      <c r="U3404" s="29"/>
      <c r="V3404" s="29"/>
      <c r="W3404" s="29"/>
      <c r="X3404" s="29"/>
      <c r="Y3404" s="29"/>
      <c r="Z3404" s="29"/>
      <c r="AA3404" s="29"/>
      <c r="AB3404" s="29"/>
      <c r="AC3404" s="29"/>
      <c r="AD3404" s="29"/>
      <c r="AE3404" s="29"/>
      <c r="AF3404" s="29"/>
    </row>
    <row r="3405" spans="2:32">
      <c r="B3405" s="29"/>
      <c r="C3405" s="29"/>
      <c r="D3405" s="29"/>
      <c r="E3405" s="29"/>
      <c r="F3405" s="29"/>
      <c r="G3405" s="29"/>
      <c r="H3405" s="29"/>
      <c r="I3405" s="29"/>
      <c r="J3405" s="29"/>
      <c r="K3405" s="29"/>
      <c r="L3405" s="29"/>
      <c r="M3405" s="29"/>
      <c r="N3405" s="29"/>
      <c r="O3405" s="29"/>
      <c r="P3405" s="29"/>
      <c r="Q3405" s="29"/>
      <c r="R3405" s="29"/>
      <c r="S3405" s="29"/>
      <c r="T3405" s="29"/>
      <c r="U3405" s="29"/>
      <c r="V3405" s="29"/>
      <c r="W3405" s="29"/>
      <c r="X3405" s="29"/>
      <c r="Y3405" s="29"/>
      <c r="Z3405" s="29"/>
      <c r="AA3405" s="29"/>
      <c r="AB3405" s="29"/>
      <c r="AC3405" s="29"/>
      <c r="AD3405" s="29"/>
      <c r="AE3405" s="29"/>
      <c r="AF3405" s="29"/>
    </row>
    <row r="3406" spans="2:32">
      <c r="B3406" s="29"/>
      <c r="C3406" s="29"/>
      <c r="D3406" s="29"/>
      <c r="E3406" s="29"/>
      <c r="F3406" s="29"/>
      <c r="G3406" s="29"/>
      <c r="H3406" s="29"/>
      <c r="I3406" s="29"/>
      <c r="J3406" s="29"/>
      <c r="K3406" s="29"/>
      <c r="L3406" s="29"/>
      <c r="M3406" s="29"/>
      <c r="N3406" s="29"/>
      <c r="O3406" s="29"/>
      <c r="P3406" s="29"/>
      <c r="Q3406" s="29"/>
      <c r="R3406" s="29"/>
      <c r="S3406" s="29"/>
      <c r="T3406" s="29"/>
      <c r="U3406" s="29"/>
      <c r="V3406" s="29"/>
      <c r="W3406" s="29"/>
      <c r="X3406" s="29"/>
      <c r="Y3406" s="29"/>
      <c r="Z3406" s="29"/>
      <c r="AA3406" s="29"/>
      <c r="AB3406" s="29"/>
      <c r="AC3406" s="29"/>
      <c r="AD3406" s="29"/>
      <c r="AE3406" s="29"/>
      <c r="AF3406" s="29"/>
    </row>
    <row r="3407" spans="2:32">
      <c r="B3407" s="29"/>
      <c r="C3407" s="29"/>
      <c r="D3407" s="29"/>
      <c r="E3407" s="29"/>
      <c r="F3407" s="29"/>
      <c r="G3407" s="29"/>
      <c r="H3407" s="29"/>
      <c r="I3407" s="29"/>
      <c r="J3407" s="29"/>
      <c r="K3407" s="29"/>
      <c r="L3407" s="29"/>
      <c r="M3407" s="29"/>
      <c r="N3407" s="29"/>
      <c r="O3407" s="29"/>
      <c r="P3407" s="29"/>
      <c r="Q3407" s="29"/>
      <c r="R3407" s="29"/>
      <c r="S3407" s="29"/>
      <c r="T3407" s="29"/>
      <c r="U3407" s="29"/>
      <c r="V3407" s="29"/>
      <c r="W3407" s="29"/>
      <c r="X3407" s="29"/>
      <c r="Y3407" s="29"/>
      <c r="Z3407" s="29"/>
      <c r="AA3407" s="29"/>
      <c r="AB3407" s="29"/>
      <c r="AC3407" s="29"/>
      <c r="AD3407" s="29"/>
      <c r="AE3407" s="29"/>
      <c r="AF3407" s="29"/>
    </row>
    <row r="3408" spans="2:32">
      <c r="B3408" s="29"/>
      <c r="C3408" s="29"/>
      <c r="D3408" s="29"/>
      <c r="E3408" s="29"/>
      <c r="F3408" s="29"/>
      <c r="G3408" s="29"/>
      <c r="H3408" s="29"/>
      <c r="I3408" s="29"/>
      <c r="J3408" s="29"/>
      <c r="K3408" s="29"/>
      <c r="L3408" s="29"/>
      <c r="M3408" s="29"/>
      <c r="N3408" s="29"/>
      <c r="O3408" s="29"/>
      <c r="P3408" s="29"/>
      <c r="Q3408" s="29"/>
      <c r="R3408" s="29"/>
      <c r="S3408" s="29"/>
      <c r="T3408" s="29"/>
      <c r="U3408" s="29"/>
      <c r="V3408" s="29"/>
      <c r="W3408" s="29"/>
      <c r="X3408" s="29"/>
      <c r="Y3408" s="29"/>
      <c r="Z3408" s="29"/>
      <c r="AA3408" s="29"/>
      <c r="AB3408" s="29"/>
      <c r="AC3408" s="29"/>
      <c r="AD3408" s="29"/>
      <c r="AE3408" s="29"/>
      <c r="AF3408" s="29"/>
    </row>
    <row r="3496" spans="2:32">
      <c r="B3496" s="29"/>
      <c r="C3496" s="29"/>
      <c r="D3496" s="29"/>
      <c r="E3496" s="29"/>
      <c r="F3496" s="29"/>
      <c r="G3496" s="29"/>
      <c r="H3496" s="29"/>
      <c r="I3496" s="29"/>
      <c r="J3496" s="29"/>
      <c r="K3496" s="29"/>
      <c r="L3496" s="29"/>
      <c r="M3496" s="29"/>
      <c r="N3496" s="29"/>
      <c r="O3496" s="29"/>
      <c r="P3496" s="29"/>
      <c r="Q3496" s="29"/>
      <c r="R3496" s="29"/>
      <c r="S3496" s="29"/>
      <c r="T3496" s="29"/>
      <c r="U3496" s="29"/>
      <c r="V3496" s="29"/>
      <c r="W3496" s="29"/>
      <c r="X3496" s="29"/>
      <c r="Y3496" s="29"/>
      <c r="Z3496" s="29"/>
      <c r="AA3496" s="29"/>
      <c r="AB3496" s="29"/>
      <c r="AC3496" s="29"/>
      <c r="AD3496" s="29"/>
      <c r="AE3496" s="29"/>
      <c r="AF3496" s="29"/>
    </row>
    <row r="3499" spans="2:32">
      <c r="B3499" s="29"/>
      <c r="C3499" s="29"/>
      <c r="D3499" s="29"/>
      <c r="E3499" s="29"/>
      <c r="F3499" s="29"/>
      <c r="G3499" s="29"/>
      <c r="H3499" s="29"/>
      <c r="I3499" s="29"/>
      <c r="J3499" s="29"/>
      <c r="K3499" s="29"/>
      <c r="L3499" s="29"/>
      <c r="M3499" s="29"/>
      <c r="N3499" s="29"/>
      <c r="O3499" s="29"/>
      <c r="P3499" s="29"/>
      <c r="Q3499" s="29"/>
      <c r="R3499" s="29"/>
      <c r="S3499" s="29"/>
      <c r="T3499" s="29"/>
      <c r="U3499" s="29"/>
      <c r="V3499" s="29"/>
      <c r="W3499" s="29"/>
      <c r="X3499" s="29"/>
      <c r="Y3499" s="29"/>
      <c r="Z3499" s="29"/>
      <c r="AA3499" s="29"/>
      <c r="AB3499" s="29"/>
      <c r="AC3499" s="29"/>
      <c r="AD3499" s="29"/>
      <c r="AE3499" s="29"/>
      <c r="AF3499" s="29"/>
    </row>
    <row r="3501" spans="2:32">
      <c r="B3501" s="29"/>
      <c r="C3501" s="29"/>
      <c r="D3501" s="29"/>
      <c r="E3501" s="29"/>
      <c r="F3501" s="29"/>
      <c r="G3501" s="29"/>
      <c r="H3501" s="29"/>
      <c r="I3501" s="29"/>
      <c r="J3501" s="29"/>
      <c r="K3501" s="29"/>
      <c r="L3501" s="29"/>
      <c r="M3501" s="29"/>
      <c r="N3501" s="29"/>
      <c r="O3501" s="29"/>
      <c r="P3501" s="29"/>
      <c r="Q3501" s="29"/>
      <c r="R3501" s="29"/>
      <c r="S3501" s="29"/>
      <c r="T3501" s="29"/>
      <c r="U3501" s="29"/>
      <c r="V3501" s="29"/>
      <c r="W3501" s="29"/>
      <c r="X3501" s="29"/>
      <c r="Y3501" s="29"/>
      <c r="Z3501" s="29"/>
      <c r="AA3501" s="29"/>
      <c r="AB3501" s="29"/>
      <c r="AC3501" s="29"/>
      <c r="AD3501" s="29"/>
      <c r="AE3501" s="29"/>
      <c r="AF3501" s="29"/>
    </row>
    <row r="3502" spans="2:32">
      <c r="B3502" s="29"/>
      <c r="C3502" s="29"/>
      <c r="D3502" s="29"/>
      <c r="E3502" s="29"/>
      <c r="F3502" s="29"/>
      <c r="G3502" s="29"/>
      <c r="H3502" s="29"/>
      <c r="I3502" s="29"/>
      <c r="J3502" s="29"/>
      <c r="K3502" s="29"/>
      <c r="L3502" s="29"/>
      <c r="M3502" s="29"/>
      <c r="N3502" s="29"/>
      <c r="O3502" s="29"/>
      <c r="P3502" s="29"/>
      <c r="Q3502" s="29"/>
      <c r="R3502" s="29"/>
      <c r="S3502" s="29"/>
      <c r="T3502" s="29"/>
      <c r="U3502" s="29"/>
      <c r="V3502" s="29"/>
      <c r="W3502" s="29"/>
      <c r="X3502" s="29"/>
      <c r="Y3502" s="29"/>
      <c r="Z3502" s="29"/>
      <c r="AA3502" s="29"/>
      <c r="AB3502" s="29"/>
      <c r="AC3502" s="29"/>
      <c r="AD3502" s="29"/>
      <c r="AE3502" s="29"/>
      <c r="AF3502" s="29"/>
    </row>
    <row r="3621" spans="2:32">
      <c r="B3621" s="29"/>
      <c r="C3621" s="29"/>
      <c r="D3621" s="29"/>
      <c r="E3621" s="29"/>
      <c r="F3621" s="29"/>
      <c r="G3621" s="29"/>
      <c r="H3621" s="29"/>
      <c r="I3621" s="29"/>
      <c r="J3621" s="29"/>
      <c r="K3621" s="29"/>
      <c r="L3621" s="29"/>
      <c r="M3621" s="29"/>
      <c r="N3621" s="29"/>
      <c r="O3621" s="29"/>
      <c r="P3621" s="29"/>
      <c r="Q3621" s="29"/>
      <c r="R3621" s="29"/>
      <c r="S3621" s="29"/>
      <c r="T3621" s="29"/>
      <c r="U3621" s="29"/>
      <c r="V3621" s="29"/>
      <c r="W3621" s="29"/>
      <c r="X3621" s="29"/>
      <c r="Y3621" s="29"/>
      <c r="Z3621" s="29"/>
      <c r="AA3621" s="29"/>
      <c r="AB3621" s="29"/>
      <c r="AC3621" s="29"/>
      <c r="AD3621" s="29"/>
      <c r="AE3621" s="29"/>
      <c r="AF3621" s="29"/>
    </row>
    <row r="3624" spans="2:32">
      <c r="B3624" s="29"/>
      <c r="C3624" s="29"/>
      <c r="D3624" s="29"/>
      <c r="E3624" s="29"/>
      <c r="F3624" s="29"/>
      <c r="G3624" s="29"/>
      <c r="H3624" s="29"/>
      <c r="I3624" s="29"/>
      <c r="J3624" s="29"/>
      <c r="K3624" s="29"/>
      <c r="L3624" s="29"/>
      <c r="M3624" s="29"/>
      <c r="N3624" s="29"/>
      <c r="O3624" s="29"/>
      <c r="P3624" s="29"/>
      <c r="Q3624" s="29"/>
      <c r="R3624" s="29"/>
      <c r="S3624" s="29"/>
      <c r="T3624" s="29"/>
      <c r="U3624" s="29"/>
      <c r="V3624" s="29"/>
      <c r="W3624" s="29"/>
      <c r="X3624" s="29"/>
      <c r="Y3624" s="29"/>
      <c r="Z3624" s="29"/>
      <c r="AA3624" s="29"/>
      <c r="AB3624" s="29"/>
      <c r="AC3624" s="29"/>
      <c r="AD3624" s="29"/>
      <c r="AE3624" s="29"/>
      <c r="AF3624" s="29"/>
    </row>
    <row r="3626" spans="2:32">
      <c r="B3626" s="29"/>
      <c r="C3626" s="29"/>
      <c r="D3626" s="29"/>
      <c r="E3626" s="29"/>
      <c r="F3626" s="29"/>
      <c r="G3626" s="29"/>
      <c r="H3626" s="29"/>
      <c r="I3626" s="29"/>
      <c r="J3626" s="29"/>
      <c r="K3626" s="29"/>
      <c r="L3626" s="29"/>
      <c r="M3626" s="29"/>
      <c r="N3626" s="29"/>
      <c r="O3626" s="29"/>
      <c r="P3626" s="29"/>
      <c r="Q3626" s="29"/>
      <c r="R3626" s="29"/>
      <c r="S3626" s="29"/>
      <c r="T3626" s="29"/>
      <c r="U3626" s="29"/>
      <c r="V3626" s="29"/>
      <c r="W3626" s="29"/>
      <c r="X3626" s="29"/>
      <c r="Y3626" s="29"/>
      <c r="Z3626" s="29"/>
      <c r="AA3626" s="29"/>
      <c r="AB3626" s="29"/>
      <c r="AC3626" s="29"/>
      <c r="AD3626" s="29"/>
      <c r="AE3626" s="29"/>
      <c r="AF3626" s="29"/>
    </row>
    <row r="3627" spans="2:32">
      <c r="B3627" s="29"/>
      <c r="C3627" s="29"/>
      <c r="D3627" s="29"/>
      <c r="E3627" s="29"/>
      <c r="F3627" s="29"/>
      <c r="G3627" s="29"/>
      <c r="H3627" s="29"/>
      <c r="I3627" s="29"/>
      <c r="J3627" s="29"/>
      <c r="K3627" s="29"/>
      <c r="L3627" s="29"/>
      <c r="M3627" s="29"/>
      <c r="N3627" s="29"/>
      <c r="O3627" s="29"/>
      <c r="P3627" s="29"/>
      <c r="Q3627" s="29"/>
      <c r="R3627" s="29"/>
      <c r="S3627" s="29"/>
      <c r="T3627" s="29"/>
      <c r="U3627" s="29"/>
      <c r="V3627" s="29"/>
      <c r="W3627" s="29"/>
      <c r="X3627" s="29"/>
      <c r="Y3627" s="29"/>
      <c r="Z3627" s="29"/>
      <c r="AA3627" s="29"/>
      <c r="AB3627" s="29"/>
      <c r="AC3627" s="29"/>
      <c r="AD3627" s="29"/>
      <c r="AE3627" s="29"/>
      <c r="AF3627" s="29"/>
    </row>
    <row r="3746" spans="2:32">
      <c r="B3746" s="29"/>
      <c r="C3746" s="29"/>
      <c r="D3746" s="29"/>
      <c r="E3746" s="29"/>
      <c r="F3746" s="29"/>
      <c r="G3746" s="29"/>
      <c r="H3746" s="29"/>
      <c r="I3746" s="29"/>
      <c r="J3746" s="29"/>
      <c r="K3746" s="29"/>
      <c r="L3746" s="29"/>
      <c r="M3746" s="29"/>
      <c r="N3746" s="29"/>
      <c r="O3746" s="29"/>
      <c r="P3746" s="29"/>
      <c r="Q3746" s="29"/>
      <c r="R3746" s="29"/>
      <c r="S3746" s="29"/>
      <c r="T3746" s="29"/>
      <c r="U3746" s="29"/>
      <c r="V3746" s="29"/>
      <c r="W3746" s="29"/>
      <c r="X3746" s="29"/>
      <c r="Y3746" s="29"/>
      <c r="Z3746" s="29"/>
      <c r="AA3746" s="29"/>
      <c r="AB3746" s="29"/>
      <c r="AC3746" s="29"/>
      <c r="AD3746" s="29"/>
      <c r="AE3746" s="29"/>
      <c r="AF3746" s="29"/>
    </row>
    <row r="3749" spans="2:32">
      <c r="B3749" s="29"/>
      <c r="C3749" s="29"/>
      <c r="D3749" s="29"/>
      <c r="E3749" s="29"/>
      <c r="F3749" s="29"/>
      <c r="G3749" s="29"/>
      <c r="H3749" s="29"/>
      <c r="I3749" s="29"/>
      <c r="J3749" s="29"/>
      <c r="K3749" s="29"/>
      <c r="L3749" s="29"/>
      <c r="M3749" s="29"/>
      <c r="N3749" s="29"/>
      <c r="O3749" s="29"/>
      <c r="P3749" s="29"/>
      <c r="Q3749" s="29"/>
      <c r="R3749" s="29"/>
      <c r="S3749" s="29"/>
      <c r="T3749" s="29"/>
      <c r="U3749" s="29"/>
      <c r="V3749" s="29"/>
      <c r="W3749" s="29"/>
      <c r="X3749" s="29"/>
      <c r="Y3749" s="29"/>
      <c r="Z3749" s="29"/>
      <c r="AA3749" s="29"/>
      <c r="AB3749" s="29"/>
      <c r="AC3749" s="29"/>
      <c r="AD3749" s="29"/>
      <c r="AE3749" s="29"/>
      <c r="AF3749" s="29"/>
    </row>
    <row r="3751" spans="2:32">
      <c r="B3751" s="29"/>
      <c r="C3751" s="29"/>
      <c r="D3751" s="29"/>
      <c r="E3751" s="29"/>
      <c r="F3751" s="29"/>
      <c r="G3751" s="29"/>
      <c r="H3751" s="29"/>
      <c r="I3751" s="29"/>
      <c r="J3751" s="29"/>
      <c r="K3751" s="29"/>
      <c r="L3751" s="29"/>
      <c r="M3751" s="29"/>
      <c r="N3751" s="29"/>
      <c r="O3751" s="29"/>
      <c r="P3751" s="29"/>
      <c r="Q3751" s="29"/>
      <c r="R3751" s="29"/>
      <c r="S3751" s="29"/>
      <c r="T3751" s="29"/>
      <c r="U3751" s="29"/>
      <c r="V3751" s="29"/>
      <c r="W3751" s="29"/>
      <c r="X3751" s="29"/>
      <c r="Y3751" s="29"/>
      <c r="Z3751" s="29"/>
      <c r="AA3751" s="29"/>
      <c r="AB3751" s="29"/>
      <c r="AC3751" s="29"/>
      <c r="AD3751" s="29"/>
      <c r="AE3751" s="29"/>
      <c r="AF3751" s="29"/>
    </row>
    <row r="3752" spans="2:32">
      <c r="B3752" s="29"/>
      <c r="C3752" s="29"/>
      <c r="D3752" s="29"/>
      <c r="E3752" s="29"/>
      <c r="F3752" s="29"/>
      <c r="G3752" s="29"/>
      <c r="H3752" s="29"/>
      <c r="I3752" s="29"/>
      <c r="J3752" s="29"/>
      <c r="K3752" s="29"/>
      <c r="L3752" s="29"/>
      <c r="M3752" s="29"/>
      <c r="N3752" s="29"/>
      <c r="O3752" s="29"/>
      <c r="P3752" s="29"/>
      <c r="Q3752" s="29"/>
      <c r="R3752" s="29"/>
      <c r="S3752" s="29"/>
      <c r="T3752" s="29"/>
      <c r="U3752" s="29"/>
      <c r="V3752" s="29"/>
      <c r="W3752" s="29"/>
      <c r="X3752" s="29"/>
      <c r="Y3752" s="29"/>
      <c r="Z3752" s="29"/>
      <c r="AA3752" s="29"/>
      <c r="AB3752" s="29"/>
      <c r="AC3752" s="29"/>
      <c r="AD3752" s="29"/>
      <c r="AE3752" s="29"/>
      <c r="AF3752" s="29"/>
    </row>
    <row r="3874" spans="2:32">
      <c r="B3874" s="29"/>
      <c r="C3874" s="29"/>
      <c r="D3874" s="29"/>
      <c r="E3874" s="29"/>
      <c r="F3874" s="29"/>
      <c r="G3874" s="29"/>
      <c r="H3874" s="29"/>
      <c r="I3874" s="29"/>
      <c r="J3874" s="29"/>
      <c r="K3874" s="29"/>
      <c r="L3874" s="29"/>
      <c r="M3874" s="29"/>
      <c r="N3874" s="29"/>
      <c r="O3874" s="29"/>
      <c r="P3874" s="29"/>
      <c r="Q3874" s="29"/>
      <c r="R3874" s="29"/>
      <c r="S3874" s="29"/>
      <c r="T3874" s="29"/>
      <c r="U3874" s="29"/>
      <c r="V3874" s="29"/>
      <c r="W3874" s="29"/>
      <c r="X3874" s="29"/>
      <c r="Y3874" s="29"/>
      <c r="Z3874" s="29"/>
      <c r="AA3874" s="29"/>
      <c r="AB3874" s="29"/>
      <c r="AC3874" s="29"/>
      <c r="AD3874" s="29"/>
      <c r="AE3874" s="29"/>
      <c r="AF3874" s="29"/>
    </row>
    <row r="3876" spans="2:32">
      <c r="B3876" s="29"/>
      <c r="C3876" s="29"/>
      <c r="D3876" s="29"/>
      <c r="E3876" s="29"/>
      <c r="F3876" s="29"/>
      <c r="G3876" s="29"/>
      <c r="H3876" s="29"/>
      <c r="I3876" s="29"/>
      <c r="J3876" s="29"/>
      <c r="K3876" s="29"/>
      <c r="L3876" s="29"/>
      <c r="M3876" s="29"/>
      <c r="N3876" s="29"/>
      <c r="O3876" s="29"/>
      <c r="P3876" s="29"/>
      <c r="Q3876" s="29"/>
      <c r="R3876" s="29"/>
      <c r="S3876" s="29"/>
      <c r="T3876" s="29"/>
      <c r="U3876" s="29"/>
      <c r="V3876" s="29"/>
      <c r="W3876" s="29"/>
      <c r="X3876" s="29"/>
      <c r="Y3876" s="29"/>
      <c r="Z3876" s="29"/>
      <c r="AA3876" s="29"/>
      <c r="AB3876" s="29"/>
      <c r="AC3876" s="29"/>
      <c r="AD3876" s="29"/>
      <c r="AE3876" s="29"/>
      <c r="AF3876" s="29"/>
    </row>
    <row r="3877" spans="2:32">
      <c r="B3877" s="29"/>
      <c r="C3877" s="29"/>
      <c r="D3877" s="29"/>
      <c r="E3877" s="29"/>
      <c r="F3877" s="29"/>
      <c r="G3877" s="29"/>
      <c r="H3877" s="29"/>
      <c r="I3877" s="29"/>
      <c r="J3877" s="29"/>
      <c r="K3877" s="29"/>
      <c r="L3877" s="29"/>
      <c r="M3877" s="29"/>
      <c r="N3877" s="29"/>
      <c r="O3877" s="29"/>
      <c r="P3877" s="29"/>
      <c r="Q3877" s="29"/>
      <c r="R3877" s="29"/>
      <c r="S3877" s="29"/>
      <c r="T3877" s="29"/>
      <c r="U3877" s="29"/>
      <c r="V3877" s="29"/>
      <c r="W3877" s="29"/>
      <c r="X3877" s="29"/>
      <c r="Y3877" s="29"/>
      <c r="Z3877" s="29"/>
      <c r="AA3877" s="29"/>
      <c r="AB3877" s="29"/>
      <c r="AC3877" s="29"/>
      <c r="AD3877" s="29"/>
      <c r="AE3877" s="29"/>
      <c r="AF3877" s="29"/>
    </row>
    <row r="3886" spans="2:32">
      <c r="B3886" s="29"/>
      <c r="C3886" s="29"/>
      <c r="D3886" s="29"/>
      <c r="E3886" s="29"/>
      <c r="F3886" s="29"/>
      <c r="G3886" s="29"/>
      <c r="H3886" s="29"/>
      <c r="I3886" s="29"/>
      <c r="J3886" s="29"/>
      <c r="K3886" s="29"/>
      <c r="L3886" s="29"/>
      <c r="M3886" s="29"/>
      <c r="N3886" s="29"/>
      <c r="O3886" s="29"/>
      <c r="P3886" s="29"/>
      <c r="Q3886" s="29"/>
      <c r="R3886" s="29"/>
      <c r="S3886" s="29"/>
      <c r="T3886" s="29"/>
      <c r="U3886" s="29"/>
      <c r="V3886" s="29"/>
      <c r="W3886" s="29"/>
      <c r="X3886" s="29"/>
      <c r="Y3886" s="29"/>
      <c r="Z3886" s="29"/>
      <c r="AA3886" s="29"/>
      <c r="AB3886" s="29"/>
      <c r="AC3886" s="29"/>
      <c r="AD3886" s="29"/>
      <c r="AE3886" s="29"/>
      <c r="AF3886" s="29"/>
    </row>
    <row r="3887" spans="2:32">
      <c r="B3887" s="29"/>
      <c r="C3887" s="29"/>
      <c r="D3887" s="29"/>
      <c r="E3887" s="29"/>
      <c r="F3887" s="29"/>
      <c r="G3887" s="29"/>
      <c r="H3887" s="29"/>
      <c r="I3887" s="29"/>
      <c r="J3887" s="29"/>
      <c r="K3887" s="29"/>
      <c r="L3887" s="29"/>
      <c r="M3887" s="29"/>
      <c r="N3887" s="29"/>
      <c r="O3887" s="29"/>
      <c r="P3887" s="29"/>
      <c r="Q3887" s="29"/>
      <c r="R3887" s="29"/>
      <c r="S3887" s="29"/>
      <c r="T3887" s="29"/>
      <c r="U3887" s="29"/>
      <c r="V3887" s="29"/>
      <c r="W3887" s="29"/>
      <c r="X3887" s="29"/>
      <c r="Y3887" s="29"/>
      <c r="Z3887" s="29"/>
      <c r="AA3887" s="29"/>
      <c r="AB3887" s="29"/>
      <c r="AC3887" s="29"/>
      <c r="AD3887" s="29"/>
      <c r="AE3887" s="29"/>
      <c r="AF3887" s="29"/>
    </row>
    <row r="3888" spans="2:32">
      <c r="B3888" s="29"/>
      <c r="C3888" s="29"/>
      <c r="D3888" s="29"/>
      <c r="E3888" s="29"/>
      <c r="F3888" s="29"/>
      <c r="G3888" s="29"/>
      <c r="H3888" s="29"/>
      <c r="I3888" s="29"/>
      <c r="J3888" s="29"/>
      <c r="K3888" s="29"/>
      <c r="L3888" s="29"/>
      <c r="M3888" s="29"/>
      <c r="N3888" s="29"/>
      <c r="O3888" s="29"/>
      <c r="P3888" s="29"/>
      <c r="Q3888" s="29"/>
      <c r="R3888" s="29"/>
      <c r="S3888" s="29"/>
      <c r="T3888" s="29"/>
      <c r="U3888" s="29"/>
      <c r="V3888" s="29"/>
      <c r="W3888" s="29"/>
      <c r="X3888" s="29"/>
      <c r="Y3888" s="29"/>
      <c r="Z3888" s="29"/>
      <c r="AA3888" s="29"/>
      <c r="AB3888" s="29"/>
      <c r="AC3888" s="29"/>
      <c r="AD3888" s="29"/>
      <c r="AE3888" s="29"/>
      <c r="AF3888" s="29"/>
    </row>
    <row r="4001" spans="2:32">
      <c r="B4001" s="29"/>
      <c r="C4001" s="29"/>
      <c r="D4001" s="29"/>
      <c r="E4001" s="29"/>
      <c r="F4001" s="29"/>
      <c r="G4001" s="29"/>
      <c r="H4001" s="29"/>
      <c r="I4001" s="29"/>
      <c r="J4001" s="29"/>
      <c r="K4001" s="29"/>
      <c r="L4001" s="29"/>
      <c r="M4001" s="29"/>
      <c r="N4001" s="29"/>
      <c r="O4001" s="29"/>
      <c r="P4001" s="29"/>
      <c r="Q4001" s="29"/>
      <c r="R4001" s="29"/>
      <c r="S4001" s="29"/>
      <c r="T4001" s="29"/>
      <c r="U4001" s="29"/>
      <c r="V4001" s="29"/>
      <c r="W4001" s="29"/>
      <c r="X4001" s="29"/>
      <c r="Y4001" s="29"/>
      <c r="Z4001" s="29"/>
      <c r="AA4001" s="29"/>
      <c r="AB4001" s="29"/>
      <c r="AC4001" s="29"/>
      <c r="AD4001" s="29"/>
      <c r="AE4001" s="29"/>
      <c r="AF4001" s="29"/>
    </row>
    <row r="4002" spans="2:32">
      <c r="B4002" s="29"/>
      <c r="C4002" s="29"/>
      <c r="D4002" s="29"/>
      <c r="E4002" s="29"/>
      <c r="F4002" s="29"/>
      <c r="G4002" s="29"/>
      <c r="H4002" s="29"/>
      <c r="I4002" s="29"/>
      <c r="J4002" s="29"/>
      <c r="K4002" s="29"/>
      <c r="L4002" s="29"/>
      <c r="M4002" s="29"/>
      <c r="N4002" s="29"/>
      <c r="O4002" s="29"/>
      <c r="P4002" s="29"/>
      <c r="Q4002" s="29"/>
      <c r="R4002" s="29"/>
      <c r="S4002" s="29"/>
      <c r="T4002" s="29"/>
      <c r="U4002" s="29"/>
      <c r="V4002" s="29"/>
      <c r="W4002" s="29"/>
      <c r="X4002" s="29"/>
      <c r="Y4002" s="29"/>
      <c r="Z4002" s="29"/>
      <c r="AA4002" s="29"/>
      <c r="AB4002" s="29"/>
      <c r="AC4002" s="29"/>
      <c r="AD4002" s="29"/>
      <c r="AE4002" s="29"/>
      <c r="AF4002" s="29"/>
    </row>
    <row r="4011" spans="2:32">
      <c r="B4011" s="29"/>
      <c r="C4011" s="29"/>
      <c r="D4011" s="29"/>
      <c r="E4011" s="29"/>
      <c r="F4011" s="29"/>
      <c r="G4011" s="29"/>
      <c r="H4011" s="29"/>
      <c r="I4011" s="29"/>
      <c r="J4011" s="29"/>
      <c r="K4011" s="29"/>
      <c r="L4011" s="29"/>
      <c r="M4011" s="29"/>
      <c r="N4011" s="29"/>
      <c r="O4011" s="29"/>
      <c r="P4011" s="29"/>
      <c r="Q4011" s="29"/>
      <c r="R4011" s="29"/>
      <c r="S4011" s="29"/>
      <c r="T4011" s="29"/>
      <c r="U4011" s="29"/>
      <c r="V4011" s="29"/>
      <c r="W4011" s="29"/>
      <c r="X4011" s="29"/>
      <c r="Y4011" s="29"/>
      <c r="Z4011" s="29"/>
      <c r="AA4011" s="29"/>
      <c r="AB4011" s="29"/>
      <c r="AC4011" s="29"/>
      <c r="AD4011" s="29"/>
      <c r="AE4011" s="29"/>
      <c r="AF4011" s="29"/>
    </row>
    <row r="4012" spans="2:32">
      <c r="B4012" s="29"/>
      <c r="C4012" s="29"/>
      <c r="D4012" s="29"/>
      <c r="E4012" s="29"/>
      <c r="F4012" s="29"/>
      <c r="G4012" s="29"/>
      <c r="H4012" s="29"/>
      <c r="I4012" s="29"/>
      <c r="J4012" s="29"/>
      <c r="K4012" s="29"/>
      <c r="L4012" s="29"/>
      <c r="M4012" s="29"/>
      <c r="N4012" s="29"/>
      <c r="O4012" s="29"/>
      <c r="P4012" s="29"/>
      <c r="Q4012" s="29"/>
      <c r="R4012" s="29"/>
      <c r="S4012" s="29"/>
      <c r="T4012" s="29"/>
      <c r="U4012" s="29"/>
      <c r="V4012" s="29"/>
      <c r="W4012" s="29"/>
      <c r="X4012" s="29"/>
      <c r="Y4012" s="29"/>
      <c r="Z4012" s="29"/>
      <c r="AA4012" s="29"/>
      <c r="AB4012" s="29"/>
      <c r="AC4012" s="29"/>
      <c r="AD4012" s="29"/>
      <c r="AE4012" s="29"/>
      <c r="AF4012" s="29"/>
    </row>
    <row r="4013" spans="2:32">
      <c r="B4013" s="29"/>
      <c r="C4013" s="29"/>
      <c r="D4013" s="29"/>
      <c r="E4013" s="29"/>
      <c r="F4013" s="29"/>
      <c r="G4013" s="29"/>
      <c r="H4013" s="29"/>
      <c r="I4013" s="29"/>
      <c r="J4013" s="29"/>
      <c r="K4013" s="29"/>
      <c r="L4013" s="29"/>
      <c r="M4013" s="29"/>
      <c r="N4013" s="29"/>
      <c r="O4013" s="29"/>
      <c r="P4013" s="29"/>
      <c r="Q4013" s="29"/>
      <c r="R4013" s="29"/>
      <c r="S4013" s="29"/>
      <c r="T4013" s="29"/>
      <c r="U4013" s="29"/>
      <c r="V4013" s="29"/>
      <c r="W4013" s="29"/>
      <c r="X4013" s="29"/>
      <c r="Y4013" s="29"/>
      <c r="Z4013" s="29"/>
      <c r="AA4013" s="29"/>
      <c r="AB4013" s="29"/>
      <c r="AC4013" s="29"/>
      <c r="AD4013" s="29"/>
      <c r="AE4013" s="29"/>
      <c r="AF4013" s="29"/>
    </row>
    <row r="4014" spans="2:32">
      <c r="B4014" s="29"/>
      <c r="C4014" s="29"/>
      <c r="D4014" s="29"/>
      <c r="E4014" s="29"/>
      <c r="F4014" s="29"/>
      <c r="G4014" s="29"/>
      <c r="H4014" s="29"/>
      <c r="I4014" s="29"/>
      <c r="J4014" s="29"/>
      <c r="K4014" s="29"/>
      <c r="L4014" s="29"/>
      <c r="M4014" s="29"/>
      <c r="N4014" s="29"/>
      <c r="O4014" s="29"/>
      <c r="P4014" s="29"/>
      <c r="Q4014" s="29"/>
      <c r="R4014" s="29"/>
      <c r="S4014" s="29"/>
      <c r="T4014" s="29"/>
      <c r="U4014" s="29"/>
      <c r="V4014" s="29"/>
      <c r="W4014" s="29"/>
      <c r="X4014" s="29"/>
      <c r="Y4014" s="29"/>
      <c r="Z4014" s="29"/>
      <c r="AA4014" s="29"/>
      <c r="AB4014" s="29"/>
      <c r="AC4014" s="29"/>
      <c r="AD4014" s="29"/>
      <c r="AE4014" s="29"/>
      <c r="AF4014" s="29"/>
    </row>
    <row r="4015" spans="2:32">
      <c r="B4015" s="29"/>
      <c r="C4015" s="29"/>
      <c r="D4015" s="29"/>
      <c r="E4015" s="29"/>
      <c r="F4015" s="29"/>
      <c r="G4015" s="29"/>
      <c r="H4015" s="29"/>
      <c r="I4015" s="29"/>
      <c r="J4015" s="29"/>
      <c r="K4015" s="29"/>
      <c r="L4015" s="29"/>
      <c r="M4015" s="29"/>
      <c r="N4015" s="29"/>
      <c r="O4015" s="29"/>
      <c r="P4015" s="29"/>
      <c r="Q4015" s="29"/>
      <c r="R4015" s="29"/>
      <c r="S4015" s="29"/>
      <c r="T4015" s="29"/>
      <c r="U4015" s="29"/>
      <c r="V4015" s="29"/>
      <c r="W4015" s="29"/>
      <c r="X4015" s="29"/>
      <c r="Y4015" s="29"/>
      <c r="Z4015" s="29"/>
      <c r="AA4015" s="29"/>
      <c r="AB4015" s="29"/>
      <c r="AC4015" s="29"/>
      <c r="AD4015" s="29"/>
      <c r="AE4015" s="29"/>
      <c r="AF4015" s="29"/>
    </row>
    <row r="4016" spans="2:32">
      <c r="B4016" s="29"/>
      <c r="C4016" s="29"/>
      <c r="D4016" s="29"/>
      <c r="E4016" s="29"/>
      <c r="F4016" s="29"/>
      <c r="G4016" s="29"/>
      <c r="H4016" s="29"/>
      <c r="I4016" s="29"/>
      <c r="J4016" s="29"/>
      <c r="K4016" s="29"/>
      <c r="L4016" s="29"/>
      <c r="M4016" s="29"/>
      <c r="N4016" s="29"/>
      <c r="O4016" s="29"/>
      <c r="P4016" s="29"/>
      <c r="Q4016" s="29"/>
      <c r="R4016" s="29"/>
      <c r="S4016" s="29"/>
      <c r="T4016" s="29"/>
      <c r="U4016" s="29"/>
      <c r="V4016" s="29"/>
      <c r="W4016" s="29"/>
      <c r="X4016" s="29"/>
      <c r="Y4016" s="29"/>
      <c r="Z4016" s="29"/>
      <c r="AA4016" s="29"/>
      <c r="AB4016" s="29"/>
      <c r="AC4016" s="29"/>
      <c r="AD4016" s="29"/>
      <c r="AE4016" s="29"/>
      <c r="AF4016" s="29"/>
    </row>
    <row r="4121" spans="2:32">
      <c r="B4121" s="29"/>
      <c r="C4121" s="29"/>
      <c r="D4121" s="29"/>
      <c r="E4121" s="29"/>
      <c r="F4121" s="29"/>
      <c r="G4121" s="29"/>
      <c r="H4121" s="29"/>
      <c r="I4121" s="29"/>
      <c r="J4121" s="29"/>
      <c r="K4121" s="29"/>
      <c r="L4121" s="29"/>
      <c r="M4121" s="29"/>
      <c r="N4121" s="29"/>
      <c r="O4121" s="29"/>
      <c r="P4121" s="29"/>
      <c r="Q4121" s="29"/>
      <c r="R4121" s="29"/>
      <c r="S4121" s="29"/>
      <c r="T4121" s="29"/>
      <c r="U4121" s="29"/>
      <c r="V4121" s="29"/>
      <c r="W4121" s="29"/>
      <c r="X4121" s="29"/>
      <c r="Y4121" s="29"/>
      <c r="Z4121" s="29"/>
      <c r="AA4121" s="29"/>
      <c r="AB4121" s="29"/>
      <c r="AC4121" s="29"/>
      <c r="AD4121" s="29"/>
      <c r="AE4121" s="29"/>
      <c r="AF4121" s="29"/>
    </row>
    <row r="4124" spans="2:32">
      <c r="B4124" s="29"/>
      <c r="C4124" s="29"/>
      <c r="D4124" s="29"/>
      <c r="E4124" s="29"/>
      <c r="F4124" s="29"/>
      <c r="G4124" s="29"/>
      <c r="H4124" s="29"/>
      <c r="I4124" s="29"/>
      <c r="J4124" s="29"/>
      <c r="K4124" s="29"/>
      <c r="L4124" s="29"/>
      <c r="M4124" s="29"/>
      <c r="N4124" s="29"/>
      <c r="O4124" s="29"/>
      <c r="P4124" s="29"/>
      <c r="Q4124" s="29"/>
      <c r="R4124" s="29"/>
      <c r="S4124" s="29"/>
      <c r="T4124" s="29"/>
      <c r="U4124" s="29"/>
      <c r="V4124" s="29"/>
      <c r="W4124" s="29"/>
      <c r="X4124" s="29"/>
      <c r="Y4124" s="29"/>
      <c r="Z4124" s="29"/>
      <c r="AA4124" s="29"/>
      <c r="AB4124" s="29"/>
      <c r="AC4124" s="29"/>
      <c r="AD4124" s="29"/>
      <c r="AE4124" s="29"/>
      <c r="AF4124" s="29"/>
    </row>
    <row r="4126" spans="2:32">
      <c r="B4126" s="29"/>
      <c r="C4126" s="29"/>
      <c r="D4126" s="29"/>
      <c r="E4126" s="29"/>
      <c r="F4126" s="29"/>
      <c r="G4126" s="29"/>
      <c r="H4126" s="29"/>
      <c r="I4126" s="29"/>
      <c r="J4126" s="29"/>
      <c r="K4126" s="29"/>
      <c r="L4126" s="29"/>
      <c r="M4126" s="29"/>
      <c r="N4126" s="29"/>
      <c r="O4126" s="29"/>
      <c r="P4126" s="29"/>
      <c r="Q4126" s="29"/>
      <c r="R4126" s="29"/>
      <c r="S4126" s="29"/>
      <c r="T4126" s="29"/>
      <c r="U4126" s="29"/>
      <c r="V4126" s="29"/>
      <c r="W4126" s="29"/>
      <c r="X4126" s="29"/>
      <c r="Y4126" s="29"/>
      <c r="Z4126" s="29"/>
      <c r="AA4126" s="29"/>
      <c r="AB4126" s="29"/>
      <c r="AC4126" s="29"/>
      <c r="AD4126" s="29"/>
      <c r="AE4126" s="29"/>
      <c r="AF4126" s="29"/>
    </row>
    <row r="4127" spans="2:32">
      <c r="B4127" s="29"/>
      <c r="C4127" s="29"/>
      <c r="D4127" s="29"/>
      <c r="E4127" s="29"/>
      <c r="F4127" s="29"/>
      <c r="G4127" s="29"/>
      <c r="H4127" s="29"/>
      <c r="I4127" s="29"/>
      <c r="J4127" s="29"/>
      <c r="K4127" s="29"/>
      <c r="L4127" s="29"/>
      <c r="M4127" s="29"/>
      <c r="N4127" s="29"/>
      <c r="O4127" s="29"/>
      <c r="P4127" s="29"/>
      <c r="Q4127" s="29"/>
      <c r="R4127" s="29"/>
      <c r="S4127" s="29"/>
      <c r="T4127" s="29"/>
      <c r="U4127" s="29"/>
      <c r="V4127" s="29"/>
      <c r="W4127" s="29"/>
      <c r="X4127" s="29"/>
      <c r="Y4127" s="29"/>
      <c r="Z4127" s="29"/>
      <c r="AA4127" s="29"/>
      <c r="AB4127" s="29"/>
      <c r="AC4127" s="29"/>
      <c r="AD4127" s="29"/>
      <c r="AE4127" s="29"/>
      <c r="AF4127" s="29"/>
    </row>
    <row r="4246" spans="2:32">
      <c r="B4246" s="29"/>
      <c r="C4246" s="29"/>
      <c r="D4246" s="29"/>
      <c r="E4246" s="29"/>
      <c r="F4246" s="29"/>
      <c r="G4246" s="29"/>
      <c r="H4246" s="29"/>
      <c r="I4246" s="29"/>
      <c r="J4246" s="29"/>
      <c r="K4246" s="29"/>
      <c r="L4246" s="29"/>
      <c r="M4246" s="29"/>
      <c r="N4246" s="29"/>
      <c r="O4246" s="29"/>
      <c r="P4246" s="29"/>
      <c r="Q4246" s="29"/>
      <c r="R4246" s="29"/>
      <c r="S4246" s="29"/>
      <c r="T4246" s="29"/>
      <c r="U4246" s="29"/>
      <c r="V4246" s="29"/>
      <c r="W4246" s="29"/>
      <c r="X4246" s="29"/>
      <c r="Y4246" s="29"/>
      <c r="Z4246" s="29"/>
      <c r="AA4246" s="29"/>
      <c r="AB4246" s="29"/>
      <c r="AC4246" s="29"/>
      <c r="AD4246" s="29"/>
      <c r="AE4246" s="29"/>
      <c r="AF4246" s="29"/>
    </row>
    <row r="4249" spans="2:32">
      <c r="B4249" s="29"/>
      <c r="C4249" s="29"/>
      <c r="D4249" s="29"/>
      <c r="E4249" s="29"/>
      <c r="F4249" s="29"/>
      <c r="G4249" s="29"/>
      <c r="H4249" s="29"/>
      <c r="I4249" s="29"/>
      <c r="J4249" s="29"/>
      <c r="K4249" s="29"/>
      <c r="L4249" s="29"/>
      <c r="M4249" s="29"/>
      <c r="N4249" s="29"/>
      <c r="O4249" s="29"/>
      <c r="P4249" s="29"/>
      <c r="Q4249" s="29"/>
      <c r="R4249" s="29"/>
      <c r="S4249" s="29"/>
      <c r="T4249" s="29"/>
      <c r="U4249" s="29"/>
      <c r="V4249" s="29"/>
      <c r="W4249" s="29"/>
      <c r="X4249" s="29"/>
      <c r="Y4249" s="29"/>
      <c r="Z4249" s="29"/>
      <c r="AA4249" s="29"/>
      <c r="AB4249" s="29"/>
      <c r="AC4249" s="29"/>
      <c r="AD4249" s="29"/>
      <c r="AE4249" s="29"/>
      <c r="AF4249" s="29"/>
    </row>
    <row r="4251" spans="2:32">
      <c r="B4251" s="29"/>
      <c r="C4251" s="29"/>
      <c r="D4251" s="29"/>
      <c r="E4251" s="29"/>
      <c r="F4251" s="29"/>
      <c r="G4251" s="29"/>
      <c r="H4251" s="29"/>
      <c r="I4251" s="29"/>
      <c r="J4251" s="29"/>
      <c r="K4251" s="29"/>
      <c r="L4251" s="29"/>
      <c r="M4251" s="29"/>
      <c r="N4251" s="29"/>
      <c r="O4251" s="29"/>
      <c r="P4251" s="29"/>
      <c r="Q4251" s="29"/>
      <c r="R4251" s="29"/>
      <c r="S4251" s="29"/>
      <c r="T4251" s="29"/>
      <c r="U4251" s="29"/>
      <c r="V4251" s="29"/>
      <c r="W4251" s="29"/>
      <c r="X4251" s="29"/>
      <c r="Y4251" s="29"/>
      <c r="Z4251" s="29"/>
      <c r="AA4251" s="29"/>
      <c r="AB4251" s="29"/>
      <c r="AC4251" s="29"/>
      <c r="AD4251" s="29"/>
      <c r="AE4251" s="29"/>
      <c r="AF4251" s="29"/>
    </row>
    <row r="4252" spans="2:32">
      <c r="B4252" s="29"/>
      <c r="C4252" s="29"/>
      <c r="D4252" s="29"/>
      <c r="E4252" s="29"/>
      <c r="F4252" s="29"/>
      <c r="G4252" s="29"/>
      <c r="H4252" s="29"/>
      <c r="I4252" s="29"/>
      <c r="J4252" s="29"/>
      <c r="K4252" s="29"/>
      <c r="L4252" s="29"/>
      <c r="M4252" s="29"/>
      <c r="N4252" s="29"/>
      <c r="O4252" s="29"/>
      <c r="P4252" s="29"/>
      <c r="Q4252" s="29"/>
      <c r="R4252" s="29"/>
      <c r="S4252" s="29"/>
      <c r="T4252" s="29"/>
      <c r="U4252" s="29"/>
      <c r="V4252" s="29"/>
      <c r="W4252" s="29"/>
      <c r="X4252" s="29"/>
      <c r="Y4252" s="29"/>
      <c r="Z4252" s="29"/>
      <c r="AA4252" s="29"/>
      <c r="AB4252" s="29"/>
      <c r="AC4252" s="29"/>
      <c r="AD4252" s="29"/>
      <c r="AE4252" s="29"/>
      <c r="AF4252" s="29"/>
    </row>
    <row r="4371" spans="2:32">
      <c r="B4371" s="29"/>
      <c r="C4371" s="29"/>
      <c r="D4371" s="29"/>
      <c r="E4371" s="29"/>
      <c r="F4371" s="29"/>
      <c r="G4371" s="29"/>
      <c r="H4371" s="29"/>
      <c r="I4371" s="29"/>
      <c r="J4371" s="29"/>
      <c r="K4371" s="29"/>
      <c r="L4371" s="29"/>
      <c r="M4371" s="29"/>
      <c r="N4371" s="29"/>
      <c r="O4371" s="29"/>
      <c r="P4371" s="29"/>
      <c r="Q4371" s="29"/>
      <c r="R4371" s="29"/>
      <c r="S4371" s="29"/>
      <c r="T4371" s="29"/>
      <c r="U4371" s="29"/>
      <c r="V4371" s="29"/>
      <c r="W4371" s="29"/>
      <c r="X4371" s="29"/>
      <c r="Y4371" s="29"/>
      <c r="Z4371" s="29"/>
      <c r="AA4371" s="29"/>
      <c r="AB4371" s="29"/>
      <c r="AC4371" s="29"/>
      <c r="AD4371" s="29"/>
      <c r="AE4371" s="29"/>
      <c r="AF4371" s="29"/>
    </row>
    <row r="4374" spans="2:32">
      <c r="B4374" s="29"/>
      <c r="C4374" s="29"/>
      <c r="D4374" s="29"/>
      <c r="E4374" s="29"/>
      <c r="F4374" s="29"/>
      <c r="G4374" s="29"/>
      <c r="H4374" s="29"/>
      <c r="I4374" s="29"/>
      <c r="J4374" s="29"/>
      <c r="K4374" s="29"/>
      <c r="L4374" s="29"/>
      <c r="M4374" s="29"/>
      <c r="N4374" s="29"/>
      <c r="O4374" s="29"/>
      <c r="P4374" s="29"/>
      <c r="Q4374" s="29"/>
      <c r="R4374" s="29"/>
      <c r="S4374" s="29"/>
      <c r="T4374" s="29"/>
      <c r="U4374" s="29"/>
      <c r="V4374" s="29"/>
      <c r="W4374" s="29"/>
      <c r="X4374" s="29"/>
      <c r="Y4374" s="29"/>
      <c r="Z4374" s="29"/>
      <c r="AA4374" s="29"/>
      <c r="AB4374" s="29"/>
      <c r="AC4374" s="29"/>
      <c r="AD4374" s="29"/>
      <c r="AE4374" s="29"/>
      <c r="AF4374" s="29"/>
    </row>
    <row r="4376" spans="2:32">
      <c r="B4376" s="29"/>
      <c r="C4376" s="29"/>
      <c r="D4376" s="29"/>
      <c r="E4376" s="29"/>
      <c r="F4376" s="29"/>
      <c r="G4376" s="29"/>
      <c r="H4376" s="29"/>
      <c r="I4376" s="29"/>
      <c r="J4376" s="29"/>
      <c r="K4376" s="29"/>
      <c r="L4376" s="29"/>
      <c r="M4376" s="29"/>
      <c r="N4376" s="29"/>
      <c r="O4376" s="29"/>
      <c r="P4376" s="29"/>
      <c r="Q4376" s="29"/>
      <c r="R4376" s="29"/>
      <c r="S4376" s="29"/>
      <c r="T4376" s="29"/>
      <c r="U4376" s="29"/>
      <c r="V4376" s="29"/>
      <c r="W4376" s="29"/>
      <c r="X4376" s="29"/>
      <c r="Y4376" s="29"/>
      <c r="Z4376" s="29"/>
      <c r="AA4376" s="29"/>
      <c r="AB4376" s="29"/>
      <c r="AC4376" s="29"/>
      <c r="AD4376" s="29"/>
      <c r="AE4376" s="29"/>
      <c r="AF4376" s="29"/>
    </row>
    <row r="4377" spans="2:32">
      <c r="B4377" s="29"/>
      <c r="C4377" s="29"/>
      <c r="D4377" s="29"/>
      <c r="E4377" s="29"/>
      <c r="F4377" s="29"/>
      <c r="G4377" s="29"/>
      <c r="H4377" s="29"/>
      <c r="I4377" s="29"/>
      <c r="J4377" s="29"/>
      <c r="K4377" s="29"/>
      <c r="L4377" s="29"/>
      <c r="M4377" s="29"/>
      <c r="N4377" s="29"/>
      <c r="O4377" s="29"/>
      <c r="P4377" s="29"/>
      <c r="Q4377" s="29"/>
      <c r="R4377" s="29"/>
      <c r="S4377" s="29"/>
      <c r="T4377" s="29"/>
      <c r="U4377" s="29"/>
      <c r="V4377" s="29"/>
      <c r="W4377" s="29"/>
      <c r="X4377" s="29"/>
      <c r="Y4377" s="29"/>
      <c r="Z4377" s="29"/>
      <c r="AA4377" s="29"/>
      <c r="AB4377" s="29"/>
      <c r="AC4377" s="29"/>
      <c r="AD4377" s="29"/>
      <c r="AE4377" s="29"/>
      <c r="AF4377" s="29"/>
    </row>
    <row r="4499" spans="2:32">
      <c r="B4499" s="29"/>
      <c r="C4499" s="29"/>
      <c r="D4499" s="29"/>
      <c r="E4499" s="29"/>
      <c r="F4499" s="29"/>
      <c r="G4499" s="29"/>
      <c r="H4499" s="29"/>
      <c r="I4499" s="29"/>
      <c r="J4499" s="29"/>
      <c r="K4499" s="29"/>
      <c r="L4499" s="29"/>
      <c r="M4499" s="29"/>
      <c r="N4499" s="29"/>
      <c r="O4499" s="29"/>
      <c r="P4499" s="29"/>
      <c r="Q4499" s="29"/>
      <c r="R4499" s="29"/>
      <c r="S4499" s="29"/>
      <c r="T4499" s="29"/>
      <c r="U4499" s="29"/>
      <c r="V4499" s="29"/>
      <c r="W4499" s="29"/>
      <c r="X4499" s="29"/>
      <c r="Y4499" s="29"/>
      <c r="Z4499" s="29"/>
      <c r="AA4499" s="29"/>
      <c r="AB4499" s="29"/>
      <c r="AC4499" s="29"/>
      <c r="AD4499" s="29"/>
      <c r="AE4499" s="29"/>
      <c r="AF4499" s="29"/>
    </row>
    <row r="4501" spans="2:32">
      <c r="B4501" s="29"/>
      <c r="C4501" s="29"/>
      <c r="D4501" s="29"/>
      <c r="E4501" s="29"/>
      <c r="F4501" s="29"/>
      <c r="G4501" s="29"/>
      <c r="H4501" s="29"/>
      <c r="I4501" s="29"/>
      <c r="J4501" s="29"/>
      <c r="K4501" s="29"/>
      <c r="L4501" s="29"/>
      <c r="M4501" s="29"/>
      <c r="N4501" s="29"/>
      <c r="O4501" s="29"/>
      <c r="P4501" s="29"/>
      <c r="Q4501" s="29"/>
      <c r="R4501" s="29"/>
      <c r="S4501" s="29"/>
      <c r="T4501" s="29"/>
      <c r="U4501" s="29"/>
      <c r="V4501" s="29"/>
      <c r="W4501" s="29"/>
      <c r="X4501" s="29"/>
      <c r="Y4501" s="29"/>
      <c r="Z4501" s="29"/>
      <c r="AA4501" s="29"/>
      <c r="AB4501" s="29"/>
      <c r="AC4501" s="29"/>
      <c r="AD4501" s="29"/>
      <c r="AE4501" s="29"/>
      <c r="AF4501" s="29"/>
    </row>
    <row r="4502" spans="2:32">
      <c r="B4502" s="29"/>
      <c r="C4502" s="29"/>
      <c r="D4502" s="29"/>
      <c r="E4502" s="29"/>
      <c r="F4502" s="29"/>
      <c r="G4502" s="29"/>
      <c r="H4502" s="29"/>
      <c r="I4502" s="29"/>
      <c r="J4502" s="29"/>
      <c r="K4502" s="29"/>
      <c r="L4502" s="29"/>
      <c r="M4502" s="29"/>
      <c r="N4502" s="29"/>
      <c r="O4502" s="29"/>
      <c r="P4502" s="29"/>
      <c r="Q4502" s="29"/>
      <c r="R4502" s="29"/>
      <c r="S4502" s="29"/>
      <c r="T4502" s="29"/>
      <c r="U4502" s="29"/>
      <c r="V4502" s="29"/>
      <c r="W4502" s="29"/>
      <c r="X4502" s="29"/>
      <c r="Y4502" s="29"/>
      <c r="Z4502" s="29"/>
      <c r="AA4502" s="29"/>
      <c r="AB4502" s="29"/>
      <c r="AC4502" s="29"/>
      <c r="AD4502" s="29"/>
      <c r="AE4502" s="29"/>
      <c r="AF4502" s="29"/>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877962-4995-4471-BA2F-5AD6B902A0DD}">
  <dimension ref="A1:AH4510"/>
  <sheetViews>
    <sheetView topLeftCell="B1" workbookViewId="0"/>
    <sheetView topLeftCell="B1" workbookViewId="1"/>
  </sheetViews>
  <sheetFormatPr defaultRowHeight="14.75"/>
  <cols>
    <col min="1" max="1" width="20.86328125" hidden="1" customWidth="1"/>
    <col min="2" max="2" width="45.7265625" customWidth="1"/>
  </cols>
  <sheetData>
    <row r="1" spans="1:33" ht="15" customHeight="1" thickBot="1">
      <c r="B1" s="34" t="s">
        <v>649</v>
      </c>
      <c r="C1" s="35">
        <v>2022</v>
      </c>
      <c r="D1" s="35">
        <v>2023</v>
      </c>
      <c r="E1" s="35">
        <v>2024</v>
      </c>
      <c r="F1" s="35">
        <v>2025</v>
      </c>
      <c r="G1" s="35">
        <v>2026</v>
      </c>
      <c r="H1" s="35">
        <v>2027</v>
      </c>
      <c r="I1" s="35">
        <v>2028</v>
      </c>
      <c r="J1" s="35">
        <v>2029</v>
      </c>
      <c r="K1" s="35">
        <v>2030</v>
      </c>
      <c r="L1" s="35">
        <v>2031</v>
      </c>
      <c r="M1" s="35">
        <v>2032</v>
      </c>
      <c r="N1" s="35">
        <v>2033</v>
      </c>
      <c r="O1" s="35">
        <v>2034</v>
      </c>
      <c r="P1" s="35">
        <v>2035</v>
      </c>
      <c r="Q1" s="35">
        <v>2036</v>
      </c>
      <c r="R1" s="35">
        <v>2037</v>
      </c>
      <c r="S1" s="35">
        <v>2038</v>
      </c>
      <c r="T1" s="35">
        <v>2039</v>
      </c>
      <c r="U1" s="35">
        <v>2040</v>
      </c>
      <c r="V1" s="35">
        <v>2041</v>
      </c>
      <c r="W1" s="35">
        <v>2042</v>
      </c>
      <c r="X1" s="35">
        <v>2043</v>
      </c>
      <c r="Y1" s="35">
        <v>2044</v>
      </c>
      <c r="Z1" s="35">
        <v>2045</v>
      </c>
      <c r="AA1" s="35">
        <v>2046</v>
      </c>
      <c r="AB1" s="35">
        <v>2047</v>
      </c>
      <c r="AC1" s="35">
        <v>2048</v>
      </c>
      <c r="AD1" s="35">
        <v>2049</v>
      </c>
      <c r="AE1" s="35">
        <v>2050</v>
      </c>
    </row>
    <row r="2" spans="1:33" ht="15" customHeight="1" thickTop="1"/>
    <row r="3" spans="1:33" ht="15" customHeight="1">
      <c r="C3" s="40" t="s">
        <v>265</v>
      </c>
      <c r="D3" s="40" t="s">
        <v>650</v>
      </c>
      <c r="E3" s="36"/>
      <c r="F3" s="36"/>
      <c r="G3" s="36"/>
    </row>
    <row r="4" spans="1:33" ht="15" customHeight="1">
      <c r="C4" s="40" t="s">
        <v>266</v>
      </c>
      <c r="D4" s="40" t="s">
        <v>651</v>
      </c>
      <c r="E4" s="36"/>
      <c r="F4" s="36"/>
      <c r="G4" s="40" t="s">
        <v>652</v>
      </c>
    </row>
    <row r="5" spans="1:33" ht="15" customHeight="1">
      <c r="C5" s="40" t="s">
        <v>267</v>
      </c>
      <c r="D5" s="40" t="s">
        <v>653</v>
      </c>
      <c r="E5" s="36"/>
      <c r="F5" s="36"/>
      <c r="G5" s="36"/>
    </row>
    <row r="6" spans="1:33" ht="15" customHeight="1">
      <c r="C6" s="40" t="s">
        <v>268</v>
      </c>
      <c r="D6" s="36"/>
      <c r="E6" s="40" t="s">
        <v>654</v>
      </c>
      <c r="F6" s="36"/>
      <c r="G6" s="36"/>
    </row>
    <row r="7" spans="1:33" ht="12" customHeight="1"/>
    <row r="8" spans="1:33" ht="12" customHeight="1"/>
    <row r="9" spans="1:33" ht="12" customHeight="1"/>
    <row r="10" spans="1:33" ht="15" customHeight="1">
      <c r="A10" s="11" t="s">
        <v>1319</v>
      </c>
      <c r="B10" s="45" t="s">
        <v>1320</v>
      </c>
      <c r="C10" s="12"/>
      <c r="D10" s="12"/>
      <c r="E10" s="12"/>
      <c r="F10" s="12"/>
      <c r="G10" s="12"/>
      <c r="H10" s="12"/>
      <c r="I10" s="12"/>
      <c r="J10" s="12"/>
      <c r="K10" s="12"/>
      <c r="L10" s="12"/>
      <c r="M10" s="12"/>
      <c r="N10" s="12"/>
      <c r="O10" s="12"/>
      <c r="P10" s="12"/>
      <c r="Q10" s="12"/>
      <c r="R10" s="12"/>
      <c r="S10" s="12"/>
      <c r="T10" s="12"/>
      <c r="U10" s="12"/>
      <c r="V10" s="12"/>
      <c r="W10" s="12"/>
      <c r="X10" s="12"/>
      <c r="Y10" s="12"/>
      <c r="Z10" s="12"/>
      <c r="AA10" s="12"/>
      <c r="AB10" s="12"/>
      <c r="AC10" s="12"/>
      <c r="AD10" s="12"/>
      <c r="AE10" s="12"/>
      <c r="AF10" s="80" t="s">
        <v>656</v>
      </c>
      <c r="AG10" s="12"/>
    </row>
    <row r="11" spans="1:33" ht="15" customHeight="1">
      <c r="B11" s="46" t="s">
        <v>1321</v>
      </c>
      <c r="C11" s="12"/>
      <c r="D11" s="12"/>
      <c r="E11" s="12"/>
      <c r="F11" s="12"/>
      <c r="G11" s="12"/>
      <c r="H11" s="12"/>
      <c r="I11" s="12"/>
      <c r="J11" s="12"/>
      <c r="K11" s="12"/>
      <c r="L11" s="12"/>
      <c r="M11" s="12"/>
      <c r="N11" s="12"/>
      <c r="O11" s="12"/>
      <c r="P11" s="12"/>
      <c r="Q11" s="12"/>
      <c r="R11" s="12"/>
      <c r="S11" s="12"/>
      <c r="T11" s="12"/>
      <c r="U11" s="12"/>
      <c r="V11" s="12"/>
      <c r="W11" s="12"/>
      <c r="X11" s="12"/>
      <c r="Y11" s="12"/>
      <c r="Z11" s="12"/>
      <c r="AA11" s="12"/>
      <c r="AB11" s="12"/>
      <c r="AC11" s="12"/>
      <c r="AD11" s="12"/>
      <c r="AE11" s="12"/>
      <c r="AF11" s="80" t="s">
        <v>657</v>
      </c>
      <c r="AG11" s="12"/>
    </row>
    <row r="12" spans="1:33" ht="15" customHeight="1">
      <c r="B12" s="46"/>
      <c r="C12" s="78"/>
      <c r="D12" s="78"/>
      <c r="E12" s="78"/>
      <c r="F12" s="78"/>
      <c r="G12" s="78"/>
      <c r="H12" s="78"/>
      <c r="I12" s="78"/>
      <c r="J12" s="78"/>
      <c r="K12" s="78"/>
      <c r="L12" s="78"/>
      <c r="M12" s="78"/>
      <c r="N12" s="78"/>
      <c r="O12" s="78"/>
      <c r="P12" s="78"/>
      <c r="Q12" s="78"/>
      <c r="R12" s="78"/>
      <c r="S12" s="78"/>
      <c r="T12" s="78"/>
      <c r="U12" s="78"/>
      <c r="V12" s="78"/>
      <c r="W12" s="78"/>
      <c r="X12" s="78"/>
      <c r="Y12" s="78"/>
      <c r="Z12" s="78"/>
      <c r="AA12" s="78"/>
      <c r="AB12" s="78"/>
      <c r="AC12" s="78"/>
      <c r="AD12" s="78"/>
      <c r="AE12" s="78"/>
      <c r="AF12" s="80" t="s">
        <v>658</v>
      </c>
      <c r="AG12" s="12"/>
    </row>
    <row r="13" spans="1:33" ht="15" customHeight="1" thickBot="1">
      <c r="B13" s="47" t="s">
        <v>333</v>
      </c>
      <c r="C13" s="47">
        <v>2022</v>
      </c>
      <c r="D13" s="47">
        <v>2023</v>
      </c>
      <c r="E13" s="47">
        <v>2024</v>
      </c>
      <c r="F13" s="47">
        <v>2025</v>
      </c>
      <c r="G13" s="47">
        <v>2026</v>
      </c>
      <c r="H13" s="47">
        <v>2027</v>
      </c>
      <c r="I13" s="47">
        <v>2028</v>
      </c>
      <c r="J13" s="47">
        <v>2029</v>
      </c>
      <c r="K13" s="47">
        <v>2030</v>
      </c>
      <c r="L13" s="47">
        <v>2031</v>
      </c>
      <c r="M13" s="47">
        <v>2032</v>
      </c>
      <c r="N13" s="47">
        <v>2033</v>
      </c>
      <c r="O13" s="47">
        <v>2034</v>
      </c>
      <c r="P13" s="47">
        <v>2035</v>
      </c>
      <c r="Q13" s="47">
        <v>2036</v>
      </c>
      <c r="R13" s="47">
        <v>2037</v>
      </c>
      <c r="S13" s="47">
        <v>2038</v>
      </c>
      <c r="T13" s="47">
        <v>2039</v>
      </c>
      <c r="U13" s="47">
        <v>2040</v>
      </c>
      <c r="V13" s="47">
        <v>2041</v>
      </c>
      <c r="W13" s="47">
        <v>2042</v>
      </c>
      <c r="X13" s="47">
        <v>2043</v>
      </c>
      <c r="Y13" s="47">
        <v>2044</v>
      </c>
      <c r="Z13" s="47">
        <v>2045</v>
      </c>
      <c r="AA13" s="47">
        <v>2046</v>
      </c>
      <c r="AB13" s="47">
        <v>2047</v>
      </c>
      <c r="AC13" s="47">
        <v>2048</v>
      </c>
      <c r="AD13" s="47">
        <v>2049</v>
      </c>
      <c r="AE13" s="47">
        <v>2050</v>
      </c>
      <c r="AF13" s="48">
        <v>2050</v>
      </c>
      <c r="AG13" s="12"/>
    </row>
    <row r="14" spans="1:33" ht="15" customHeight="1" thickTop="1">
      <c r="B14" s="12"/>
      <c r="C14" s="12"/>
      <c r="D14" s="12"/>
      <c r="E14" s="12"/>
      <c r="F14" s="12"/>
      <c r="G14" s="12"/>
      <c r="H14" s="12"/>
      <c r="I14" s="12"/>
      <c r="J14" s="12"/>
      <c r="K14" s="12"/>
      <c r="L14" s="12"/>
      <c r="M14" s="12"/>
      <c r="N14" s="12"/>
      <c r="O14" s="12"/>
      <c r="P14" s="12"/>
      <c r="Q14" s="12"/>
      <c r="R14" s="12"/>
      <c r="S14" s="12"/>
      <c r="T14" s="12"/>
      <c r="U14" s="12"/>
      <c r="V14" s="12"/>
      <c r="W14" s="12"/>
      <c r="X14" s="12"/>
      <c r="Y14" s="12"/>
      <c r="Z14" s="12"/>
      <c r="AA14" s="12"/>
      <c r="AB14" s="12"/>
      <c r="AC14" s="12"/>
      <c r="AD14" s="12"/>
      <c r="AE14" s="12"/>
      <c r="AF14" s="12"/>
      <c r="AG14" s="12"/>
    </row>
    <row r="15" spans="1:33" ht="15" customHeight="1">
      <c r="B15" s="49" t="s">
        <v>670</v>
      </c>
      <c r="C15" s="12"/>
      <c r="D15" s="12"/>
      <c r="E15" s="12"/>
      <c r="F15" s="12"/>
      <c r="G15" s="12"/>
      <c r="H15" s="12"/>
      <c r="I15" s="12"/>
      <c r="J15" s="12"/>
      <c r="K15" s="12"/>
      <c r="L15" s="12"/>
      <c r="M15" s="12"/>
      <c r="N15" s="12"/>
      <c r="O15" s="12"/>
      <c r="P15" s="12"/>
      <c r="Q15" s="12"/>
      <c r="R15" s="12"/>
      <c r="S15" s="12"/>
      <c r="T15" s="12"/>
      <c r="U15" s="12"/>
      <c r="V15" s="12"/>
      <c r="W15" s="12"/>
      <c r="X15" s="12"/>
      <c r="Y15" s="12"/>
      <c r="Z15" s="12"/>
      <c r="AA15" s="12"/>
      <c r="AB15" s="12"/>
      <c r="AC15" s="12"/>
      <c r="AD15" s="12"/>
      <c r="AE15" s="12"/>
      <c r="AF15" s="12"/>
      <c r="AG15" s="12"/>
    </row>
    <row r="16" spans="1:33" ht="15" customHeight="1">
      <c r="B16" s="49" t="s">
        <v>335</v>
      </c>
      <c r="C16" s="12"/>
      <c r="D16" s="12"/>
      <c r="E16" s="12"/>
      <c r="F16" s="12"/>
      <c r="G16" s="12"/>
      <c r="H16" s="12"/>
      <c r="I16" s="12"/>
      <c r="J16" s="12"/>
      <c r="K16" s="12"/>
      <c r="L16" s="12"/>
      <c r="M16" s="12"/>
      <c r="N16" s="12"/>
      <c r="O16" s="12"/>
      <c r="P16" s="12"/>
      <c r="Q16" s="12"/>
      <c r="R16" s="12"/>
      <c r="S16" s="12"/>
      <c r="T16" s="12"/>
      <c r="U16" s="12"/>
      <c r="V16" s="12"/>
      <c r="W16" s="12"/>
      <c r="X16" s="12"/>
      <c r="Y16" s="12"/>
      <c r="Z16" s="12"/>
      <c r="AA16" s="12"/>
      <c r="AB16" s="12"/>
      <c r="AC16" s="12"/>
      <c r="AD16" s="12"/>
      <c r="AE16" s="12"/>
      <c r="AF16" s="12"/>
      <c r="AG16" s="12"/>
    </row>
    <row r="17" spans="1:33" ht="15" customHeight="1">
      <c r="A17" s="11" t="s">
        <v>1322</v>
      </c>
      <c r="B17" s="43" t="s">
        <v>672</v>
      </c>
      <c r="C17" s="44">
        <v>5006.548828</v>
      </c>
      <c r="D17" s="44">
        <v>4623.4965819999998</v>
      </c>
      <c r="E17" s="44">
        <v>4322.0991210000002</v>
      </c>
      <c r="F17" s="44">
        <v>4050.3803710000002</v>
      </c>
      <c r="G17" s="44">
        <v>3798.4448240000002</v>
      </c>
      <c r="H17" s="44">
        <v>3573.9875489999999</v>
      </c>
      <c r="I17" s="44">
        <v>3375.2902829999998</v>
      </c>
      <c r="J17" s="44">
        <v>3201.9536130000001</v>
      </c>
      <c r="K17" s="44">
        <v>3049.9338379999999</v>
      </c>
      <c r="L17" s="44">
        <v>2915.8713379999999</v>
      </c>
      <c r="M17" s="44">
        <v>2799.1982419999999</v>
      </c>
      <c r="N17" s="44">
        <v>2695.3247070000002</v>
      </c>
      <c r="O17" s="44">
        <v>2605.9509280000002</v>
      </c>
      <c r="P17" s="44">
        <v>2531.272461</v>
      </c>
      <c r="Q17" s="44">
        <v>2471.8771969999998</v>
      </c>
      <c r="R17" s="44">
        <v>2420.798828</v>
      </c>
      <c r="S17" s="44">
        <v>2375.9213869999999</v>
      </c>
      <c r="T17" s="44">
        <v>2335.8723140000002</v>
      </c>
      <c r="U17" s="44">
        <v>2299.6142580000001</v>
      </c>
      <c r="V17" s="44">
        <v>2263.0639649999998</v>
      </c>
      <c r="W17" s="44">
        <v>2226.7246089999999</v>
      </c>
      <c r="X17" s="44">
        <v>2188.9047850000002</v>
      </c>
      <c r="Y17" s="44">
        <v>2153.0827640000002</v>
      </c>
      <c r="Z17" s="44">
        <v>2121.883057</v>
      </c>
      <c r="AA17" s="44">
        <v>2098.4035640000002</v>
      </c>
      <c r="AB17" s="44">
        <v>2073.5654300000001</v>
      </c>
      <c r="AC17" s="44">
        <v>2048.201172</v>
      </c>
      <c r="AD17" s="44">
        <v>2023.400879</v>
      </c>
      <c r="AE17" s="44">
        <v>2001.2680660000001</v>
      </c>
      <c r="AF17" s="41">
        <v>-3.2217999999999997E-2</v>
      </c>
      <c r="AG17" s="12"/>
    </row>
    <row r="18" spans="1:33" ht="15" customHeight="1">
      <c r="A18" s="11" t="s">
        <v>1323</v>
      </c>
      <c r="B18" s="43" t="s">
        <v>674</v>
      </c>
      <c r="C18" s="44">
        <v>16.267254000000001</v>
      </c>
      <c r="D18" s="44">
        <v>14.041601</v>
      </c>
      <c r="E18" s="44">
        <v>12.078984</v>
      </c>
      <c r="F18" s="44">
        <v>10.340630000000001</v>
      </c>
      <c r="G18" s="44">
        <v>8.8101280000000006</v>
      </c>
      <c r="H18" s="44">
        <v>7.4528740000000004</v>
      </c>
      <c r="I18" s="44">
        <v>6.2475370000000003</v>
      </c>
      <c r="J18" s="44">
        <v>5.194445</v>
      </c>
      <c r="K18" s="44">
        <v>4.2915020000000004</v>
      </c>
      <c r="L18" s="44">
        <v>3.5278659999999999</v>
      </c>
      <c r="M18" s="44">
        <v>2.8928690000000001</v>
      </c>
      <c r="N18" s="44">
        <v>2.3767160000000001</v>
      </c>
      <c r="O18" s="44">
        <v>1.9656169999999999</v>
      </c>
      <c r="P18" s="44">
        <v>1.6437999999999999</v>
      </c>
      <c r="Q18" s="44">
        <v>1.3933960000000001</v>
      </c>
      <c r="R18" s="44">
        <v>1.1985239999999999</v>
      </c>
      <c r="S18" s="44">
        <v>1.0473939999999999</v>
      </c>
      <c r="T18" s="44">
        <v>0.92833699999999997</v>
      </c>
      <c r="U18" s="44">
        <v>0.82880399999999999</v>
      </c>
      <c r="V18" s="44">
        <v>0.74240799999999996</v>
      </c>
      <c r="W18" s="44">
        <v>0.66700499999999996</v>
      </c>
      <c r="X18" s="44">
        <v>0.60045899999999996</v>
      </c>
      <c r="Y18" s="44">
        <v>0.54111399999999998</v>
      </c>
      <c r="Z18" s="44">
        <v>0.48800300000000002</v>
      </c>
      <c r="AA18" s="44">
        <v>0.44044299999999997</v>
      </c>
      <c r="AB18" s="44">
        <v>0.39783000000000002</v>
      </c>
      <c r="AC18" s="44">
        <v>0.359624</v>
      </c>
      <c r="AD18" s="44">
        <v>0.32534800000000003</v>
      </c>
      <c r="AE18" s="44">
        <v>0.29457699999999998</v>
      </c>
      <c r="AF18" s="41">
        <v>-0.13347400000000001</v>
      </c>
      <c r="AG18" s="12"/>
    </row>
    <row r="19" spans="1:33" ht="15" customHeight="1">
      <c r="A19" s="11" t="s">
        <v>1324</v>
      </c>
      <c r="B19" s="43" t="s">
        <v>676</v>
      </c>
      <c r="C19" s="44">
        <v>5022.8159180000002</v>
      </c>
      <c r="D19" s="44">
        <v>4637.5380859999996</v>
      </c>
      <c r="E19" s="44">
        <v>4334.1782229999999</v>
      </c>
      <c r="F19" s="44">
        <v>4060.7209469999998</v>
      </c>
      <c r="G19" s="44">
        <v>3807.2548830000001</v>
      </c>
      <c r="H19" s="44">
        <v>3581.4404300000001</v>
      </c>
      <c r="I19" s="44">
        <v>3381.5378420000002</v>
      </c>
      <c r="J19" s="44">
        <v>3207.1479490000002</v>
      </c>
      <c r="K19" s="44">
        <v>3054.2253420000002</v>
      </c>
      <c r="L19" s="44">
        <v>2919.3991700000001</v>
      </c>
      <c r="M19" s="44">
        <v>2802.0910640000002</v>
      </c>
      <c r="N19" s="44">
        <v>2697.7014159999999</v>
      </c>
      <c r="O19" s="44">
        <v>2607.9165039999998</v>
      </c>
      <c r="P19" s="44">
        <v>2532.91626</v>
      </c>
      <c r="Q19" s="44">
        <v>2473.2705080000001</v>
      </c>
      <c r="R19" s="44">
        <v>2421.9973140000002</v>
      </c>
      <c r="S19" s="44">
        <v>2376.96875</v>
      </c>
      <c r="T19" s="44">
        <v>2336.8005370000001</v>
      </c>
      <c r="U19" s="44">
        <v>2300.443115</v>
      </c>
      <c r="V19" s="44">
        <v>2263.8063959999999</v>
      </c>
      <c r="W19" s="44">
        <v>2227.3916020000001</v>
      </c>
      <c r="X19" s="44">
        <v>2189.5051269999999</v>
      </c>
      <c r="Y19" s="44">
        <v>2153.623779</v>
      </c>
      <c r="Z19" s="44">
        <v>2122.3710940000001</v>
      </c>
      <c r="AA19" s="44">
        <v>2098.8439939999998</v>
      </c>
      <c r="AB19" s="44">
        <v>2073.9633789999998</v>
      </c>
      <c r="AC19" s="44">
        <v>2048.5607909999999</v>
      </c>
      <c r="AD19" s="44">
        <v>2023.7261960000001</v>
      </c>
      <c r="AE19" s="44">
        <v>2001.5626219999999</v>
      </c>
      <c r="AF19" s="41">
        <v>-3.2325E-2</v>
      </c>
      <c r="AG19" s="12"/>
    </row>
    <row r="20" spans="1:33" ht="15" customHeight="1">
      <c r="B20" s="12"/>
      <c r="C20" s="12"/>
      <c r="D20" s="12"/>
      <c r="E20" s="12"/>
      <c r="F20" s="12"/>
      <c r="G20" s="12"/>
      <c r="H20" s="12"/>
      <c r="I20" s="12"/>
      <c r="J20" s="12"/>
      <c r="K20" s="12"/>
      <c r="L20" s="12"/>
      <c r="M20" s="12"/>
      <c r="N20" s="12"/>
      <c r="O20" s="12"/>
      <c r="P20" s="12"/>
      <c r="Q20" s="12"/>
      <c r="R20" s="12"/>
      <c r="S20" s="12"/>
      <c r="T20" s="12"/>
      <c r="U20" s="12"/>
      <c r="V20" s="12"/>
      <c r="W20" s="12"/>
      <c r="X20" s="12"/>
      <c r="Y20" s="12"/>
      <c r="Z20" s="12"/>
      <c r="AA20" s="12"/>
      <c r="AB20" s="12"/>
      <c r="AC20" s="12"/>
      <c r="AD20" s="12"/>
      <c r="AE20" s="12"/>
      <c r="AF20" s="12"/>
      <c r="AG20" s="12"/>
    </row>
    <row r="21" spans="1:33" ht="15" customHeight="1">
      <c r="B21" s="49" t="s">
        <v>342</v>
      </c>
      <c r="C21" s="12"/>
      <c r="D21" s="12"/>
      <c r="E21" s="12"/>
      <c r="F21" s="12"/>
      <c r="G21" s="12"/>
      <c r="H21" s="12"/>
      <c r="I21" s="12"/>
      <c r="J21" s="12"/>
      <c r="K21" s="12"/>
      <c r="L21" s="12"/>
      <c r="M21" s="12"/>
      <c r="N21" s="12"/>
      <c r="O21" s="12"/>
      <c r="P21" s="12"/>
      <c r="Q21" s="12"/>
      <c r="R21" s="12"/>
      <c r="S21" s="12"/>
      <c r="T21" s="12"/>
      <c r="U21" s="12"/>
      <c r="V21" s="12"/>
      <c r="W21" s="12"/>
      <c r="X21" s="12"/>
      <c r="Y21" s="12"/>
      <c r="Z21" s="12"/>
      <c r="AA21" s="12"/>
      <c r="AB21" s="12"/>
      <c r="AC21" s="12"/>
      <c r="AD21" s="12"/>
      <c r="AE21" s="12"/>
      <c r="AF21" s="12"/>
      <c r="AG21" s="12"/>
    </row>
    <row r="22" spans="1:33" ht="15" customHeight="1">
      <c r="A22" s="11" t="s">
        <v>1325</v>
      </c>
      <c r="B22" s="43" t="s">
        <v>678</v>
      </c>
      <c r="C22" s="44">
        <v>260.40920999999997</v>
      </c>
      <c r="D22" s="44">
        <v>233.988113</v>
      </c>
      <c r="E22" s="44">
        <v>209.63816800000001</v>
      </c>
      <c r="F22" s="44">
        <v>186.641312</v>
      </c>
      <c r="G22" s="44">
        <v>165.97789</v>
      </c>
      <c r="H22" s="44">
        <v>147.821091</v>
      </c>
      <c r="I22" s="44">
        <v>132.07270800000001</v>
      </c>
      <c r="J22" s="44">
        <v>118.785217</v>
      </c>
      <c r="K22" s="44">
        <v>107.733772</v>
      </c>
      <c r="L22" s="44">
        <v>98.722213999999994</v>
      </c>
      <c r="M22" s="44">
        <v>91.63073</v>
      </c>
      <c r="N22" s="44">
        <v>86.220878999999996</v>
      </c>
      <c r="O22" s="44">
        <v>82.223006999999996</v>
      </c>
      <c r="P22" s="44">
        <v>79.438202000000004</v>
      </c>
      <c r="Q22" s="44">
        <v>77.735916000000003</v>
      </c>
      <c r="R22" s="44">
        <v>76.541740000000004</v>
      </c>
      <c r="S22" s="44">
        <v>75.666542000000007</v>
      </c>
      <c r="T22" s="44">
        <v>75.034683000000001</v>
      </c>
      <c r="U22" s="44">
        <v>74.555442999999997</v>
      </c>
      <c r="V22" s="44">
        <v>74.032272000000006</v>
      </c>
      <c r="W22" s="44">
        <v>73.489875999999995</v>
      </c>
      <c r="X22" s="44">
        <v>72.862831</v>
      </c>
      <c r="Y22" s="44">
        <v>72.320983999999996</v>
      </c>
      <c r="Z22" s="44">
        <v>71.990898000000001</v>
      </c>
      <c r="AA22" s="44">
        <v>72.008469000000005</v>
      </c>
      <c r="AB22" s="44">
        <v>71.941269000000005</v>
      </c>
      <c r="AC22" s="44">
        <v>71.822685000000007</v>
      </c>
      <c r="AD22" s="44">
        <v>71.715027000000006</v>
      </c>
      <c r="AE22" s="44">
        <v>71.534599</v>
      </c>
      <c r="AF22" s="41">
        <v>-4.5096999999999998E-2</v>
      </c>
      <c r="AG22" s="12"/>
    </row>
    <row r="23" spans="1:33" ht="15" customHeight="1">
      <c r="A23" s="11" t="s">
        <v>1326</v>
      </c>
      <c r="B23" s="43" t="s">
        <v>680</v>
      </c>
      <c r="C23" s="44">
        <v>11.328023999999999</v>
      </c>
      <c r="D23" s="44">
        <v>11.751799</v>
      </c>
      <c r="E23" s="44">
        <v>12.242355999999999</v>
      </c>
      <c r="F23" s="44">
        <v>12.619923999999999</v>
      </c>
      <c r="G23" s="44">
        <v>12.897100999999999</v>
      </c>
      <c r="H23" s="44">
        <v>13.181957000000001</v>
      </c>
      <c r="I23" s="44">
        <v>13.471306999999999</v>
      </c>
      <c r="J23" s="44">
        <v>13.783559</v>
      </c>
      <c r="K23" s="44">
        <v>14.123207000000001</v>
      </c>
      <c r="L23" s="44">
        <v>14.488545999999999</v>
      </c>
      <c r="M23" s="44">
        <v>14.888897999999999</v>
      </c>
      <c r="N23" s="44">
        <v>15.317131</v>
      </c>
      <c r="O23" s="44">
        <v>15.792070000000001</v>
      </c>
      <c r="P23" s="44">
        <v>16.327549000000001</v>
      </c>
      <c r="Q23" s="44">
        <v>16.936695</v>
      </c>
      <c r="R23" s="44">
        <v>17.576630000000002</v>
      </c>
      <c r="S23" s="44">
        <v>18.235157000000001</v>
      </c>
      <c r="T23" s="44">
        <v>18.903063</v>
      </c>
      <c r="U23" s="44">
        <v>19.57601</v>
      </c>
      <c r="V23" s="44">
        <v>20.217279000000001</v>
      </c>
      <c r="W23" s="44">
        <v>20.833856999999998</v>
      </c>
      <c r="X23" s="44">
        <v>21.407917000000001</v>
      </c>
      <c r="Y23" s="44">
        <v>21.978210000000001</v>
      </c>
      <c r="Z23" s="44">
        <v>22.581918999999999</v>
      </c>
      <c r="AA23" s="44">
        <v>23.266811000000001</v>
      </c>
      <c r="AB23" s="44">
        <v>23.926888000000002</v>
      </c>
      <c r="AC23" s="44">
        <v>24.574036</v>
      </c>
      <c r="AD23" s="44">
        <v>25.223347</v>
      </c>
      <c r="AE23" s="44">
        <v>25.902096</v>
      </c>
      <c r="AF23" s="41">
        <v>2.9978000000000001E-2</v>
      </c>
      <c r="AG23" s="12"/>
    </row>
    <row r="24" spans="1:33" ht="15" customHeight="1">
      <c r="A24" s="11" t="s">
        <v>1327</v>
      </c>
      <c r="B24" s="43" t="s">
        <v>682</v>
      </c>
      <c r="C24" s="44">
        <v>17.462101000000001</v>
      </c>
      <c r="D24" s="44">
        <v>18.744710999999999</v>
      </c>
      <c r="E24" s="44">
        <v>21.541321</v>
      </c>
      <c r="F24" s="44">
        <v>25.222059000000002</v>
      </c>
      <c r="G24" s="44">
        <v>29.118895999999999</v>
      </c>
      <c r="H24" s="44">
        <v>33.205460000000002</v>
      </c>
      <c r="I24" s="44">
        <v>37.426132000000003</v>
      </c>
      <c r="J24" s="44">
        <v>41.846263999999998</v>
      </c>
      <c r="K24" s="44">
        <v>46.466693999999997</v>
      </c>
      <c r="L24" s="44">
        <v>51.259414999999997</v>
      </c>
      <c r="M24" s="44">
        <v>56.274909999999998</v>
      </c>
      <c r="N24" s="44">
        <v>61.416988000000003</v>
      </c>
      <c r="O24" s="44">
        <v>66.797652999999997</v>
      </c>
      <c r="P24" s="44">
        <v>72.494193999999993</v>
      </c>
      <c r="Q24" s="44">
        <v>78.615684999999999</v>
      </c>
      <c r="R24" s="44">
        <v>84.929885999999996</v>
      </c>
      <c r="S24" s="44">
        <v>91.387435999999994</v>
      </c>
      <c r="T24" s="44">
        <v>97.968834000000001</v>
      </c>
      <c r="U24" s="44">
        <v>104.64284499999999</v>
      </c>
      <c r="V24" s="44">
        <v>111.18373099999999</v>
      </c>
      <c r="W24" s="44">
        <v>117.624878</v>
      </c>
      <c r="X24" s="44">
        <v>123.84116400000001</v>
      </c>
      <c r="Y24" s="44">
        <v>130.079071</v>
      </c>
      <c r="Z24" s="44">
        <v>136.56813</v>
      </c>
      <c r="AA24" s="44">
        <v>143.622345</v>
      </c>
      <c r="AB24" s="44">
        <v>150.508972</v>
      </c>
      <c r="AC24" s="44">
        <v>157.309113</v>
      </c>
      <c r="AD24" s="44">
        <v>164.12808200000001</v>
      </c>
      <c r="AE24" s="44">
        <v>171.15566999999999</v>
      </c>
      <c r="AF24" s="41">
        <v>8.4933999999999996E-2</v>
      </c>
      <c r="AG24" s="12"/>
    </row>
    <row r="25" spans="1:33" ht="15" customHeight="1">
      <c r="A25" s="11" t="s">
        <v>1328</v>
      </c>
      <c r="B25" s="43" t="s">
        <v>684</v>
      </c>
      <c r="C25" s="44">
        <v>55.467815000000002</v>
      </c>
      <c r="D25" s="44">
        <v>63.862431000000001</v>
      </c>
      <c r="E25" s="44">
        <v>72.749718000000001</v>
      </c>
      <c r="F25" s="44">
        <v>81.883339000000007</v>
      </c>
      <c r="G25" s="44">
        <v>90.405708000000004</v>
      </c>
      <c r="H25" s="44">
        <v>98.471451000000002</v>
      </c>
      <c r="I25" s="44">
        <v>106.067009</v>
      </c>
      <c r="J25" s="44">
        <v>113.402885</v>
      </c>
      <c r="K25" s="44">
        <v>120.48434399999999</v>
      </c>
      <c r="L25" s="44">
        <v>127.294693</v>
      </c>
      <c r="M25" s="44">
        <v>133.98381000000001</v>
      </c>
      <c r="N25" s="44">
        <v>140.44589199999999</v>
      </c>
      <c r="O25" s="44">
        <v>146.910034</v>
      </c>
      <c r="P25" s="44">
        <v>153.54129</v>
      </c>
      <c r="Q25" s="44">
        <v>160.56230199999999</v>
      </c>
      <c r="R25" s="44">
        <v>167.61523399999999</v>
      </c>
      <c r="S25" s="44">
        <v>174.68606600000001</v>
      </c>
      <c r="T25" s="44">
        <v>181.77105700000001</v>
      </c>
      <c r="U25" s="44">
        <v>188.86759900000001</v>
      </c>
      <c r="V25" s="44">
        <v>195.655945</v>
      </c>
      <c r="W25" s="44">
        <v>202.22496000000001</v>
      </c>
      <c r="X25" s="44">
        <v>208.409515</v>
      </c>
      <c r="Y25" s="44">
        <v>214.599075</v>
      </c>
      <c r="Z25" s="44">
        <v>221.16119399999999</v>
      </c>
      <c r="AA25" s="44">
        <v>228.55313100000001</v>
      </c>
      <c r="AB25" s="44">
        <v>235.692307</v>
      </c>
      <c r="AC25" s="44">
        <v>242.69841</v>
      </c>
      <c r="AD25" s="44">
        <v>249.723175</v>
      </c>
      <c r="AE25" s="44">
        <v>257.04064899999997</v>
      </c>
      <c r="AF25" s="41">
        <v>5.6293000000000003E-2</v>
      </c>
      <c r="AG25" s="12"/>
    </row>
    <row r="26" spans="1:33" ht="15" customHeight="1">
      <c r="A26" s="11" t="s">
        <v>1329</v>
      </c>
      <c r="B26" s="43" t="s">
        <v>686</v>
      </c>
      <c r="C26" s="44">
        <v>18.620896999999999</v>
      </c>
      <c r="D26" s="44">
        <v>18.742386</v>
      </c>
      <c r="E26" s="44">
        <v>19.225785999999999</v>
      </c>
      <c r="F26" s="44">
        <v>19.769812000000002</v>
      </c>
      <c r="G26" s="44">
        <v>20.255057999999998</v>
      </c>
      <c r="H26" s="44">
        <v>20.684639000000001</v>
      </c>
      <c r="I26" s="44">
        <v>21.07461</v>
      </c>
      <c r="J26" s="44">
        <v>21.458030999999998</v>
      </c>
      <c r="K26" s="44">
        <v>21.848562000000001</v>
      </c>
      <c r="L26" s="44">
        <v>22.249832000000001</v>
      </c>
      <c r="M26" s="44">
        <v>22.686924000000001</v>
      </c>
      <c r="N26" s="44">
        <v>23.151102000000002</v>
      </c>
      <c r="O26" s="44">
        <v>23.674931000000001</v>
      </c>
      <c r="P26" s="44">
        <v>24.288008000000001</v>
      </c>
      <c r="Q26" s="44">
        <v>25.015554000000002</v>
      </c>
      <c r="R26" s="44">
        <v>25.810991000000001</v>
      </c>
      <c r="S26" s="44">
        <v>26.663719</v>
      </c>
      <c r="T26" s="44">
        <v>27.561453</v>
      </c>
      <c r="U26" s="44">
        <v>28.491934000000001</v>
      </c>
      <c r="V26" s="44">
        <v>29.406262999999999</v>
      </c>
      <c r="W26" s="44">
        <v>30.308496000000002</v>
      </c>
      <c r="X26" s="44">
        <v>31.167662</v>
      </c>
      <c r="Y26" s="44">
        <v>32.028728000000001</v>
      </c>
      <c r="Z26" s="44">
        <v>32.935436000000003</v>
      </c>
      <c r="AA26" s="44">
        <v>33.948967000000003</v>
      </c>
      <c r="AB26" s="44">
        <v>34.930641000000001</v>
      </c>
      <c r="AC26" s="44">
        <v>35.897713000000003</v>
      </c>
      <c r="AD26" s="44">
        <v>36.868178999999998</v>
      </c>
      <c r="AE26" s="44">
        <v>37.873576999999997</v>
      </c>
      <c r="AF26" s="41">
        <v>2.5680000000000001E-2</v>
      </c>
      <c r="AG26" s="12"/>
    </row>
    <row r="27" spans="1:33" ht="15" customHeight="1">
      <c r="A27" s="11" t="s">
        <v>1330</v>
      </c>
      <c r="B27" s="43" t="s">
        <v>688</v>
      </c>
      <c r="C27" s="44">
        <v>9.1898499999999999</v>
      </c>
      <c r="D27" s="44">
        <v>9.2321910000000003</v>
      </c>
      <c r="E27" s="44">
        <v>9.5130649999999992</v>
      </c>
      <c r="F27" s="44">
        <v>9.8905469999999998</v>
      </c>
      <c r="G27" s="44">
        <v>10.297814000000001</v>
      </c>
      <c r="H27" s="44">
        <v>10.742392000000001</v>
      </c>
      <c r="I27" s="44">
        <v>11.226654999999999</v>
      </c>
      <c r="J27" s="44">
        <v>11.782159</v>
      </c>
      <c r="K27" s="44">
        <v>12.412929999999999</v>
      </c>
      <c r="L27" s="44">
        <v>13.113447000000001</v>
      </c>
      <c r="M27" s="44">
        <v>13.8957</v>
      </c>
      <c r="N27" s="44">
        <v>14.741248000000001</v>
      </c>
      <c r="O27" s="44">
        <v>15.667826</v>
      </c>
      <c r="P27" s="44">
        <v>16.685068000000001</v>
      </c>
      <c r="Q27" s="44">
        <v>17.809175</v>
      </c>
      <c r="R27" s="44">
        <v>18.991947</v>
      </c>
      <c r="S27" s="44">
        <v>20.221149</v>
      </c>
      <c r="T27" s="44">
        <v>21.486172</v>
      </c>
      <c r="U27" s="44">
        <v>22.775742000000001</v>
      </c>
      <c r="V27" s="44">
        <v>24.045905999999999</v>
      </c>
      <c r="W27" s="44">
        <v>25.302800999999999</v>
      </c>
      <c r="X27" s="44">
        <v>26.519762</v>
      </c>
      <c r="Y27" s="44">
        <v>27.738803999999998</v>
      </c>
      <c r="Z27" s="44">
        <v>29.003209999999999</v>
      </c>
      <c r="AA27" s="44">
        <v>30.374689</v>
      </c>
      <c r="AB27" s="44">
        <v>31.715917999999999</v>
      </c>
      <c r="AC27" s="44">
        <v>33.043564000000003</v>
      </c>
      <c r="AD27" s="44">
        <v>34.375633000000001</v>
      </c>
      <c r="AE27" s="44">
        <v>35.743800999999998</v>
      </c>
      <c r="AF27" s="41">
        <v>4.9706E-2</v>
      </c>
      <c r="AG27" s="12"/>
    </row>
    <row r="28" spans="1:33" ht="15" customHeight="1">
      <c r="A28" s="11" t="s">
        <v>1331</v>
      </c>
      <c r="B28" s="43" t="s">
        <v>690</v>
      </c>
      <c r="C28" s="44">
        <v>0</v>
      </c>
      <c r="D28" s="44">
        <v>0</v>
      </c>
      <c r="E28" s="44">
        <v>0</v>
      </c>
      <c r="F28" s="44">
        <v>0</v>
      </c>
      <c r="G28" s="44">
        <v>0</v>
      </c>
      <c r="H28" s="44">
        <v>0</v>
      </c>
      <c r="I28" s="44">
        <v>0</v>
      </c>
      <c r="J28" s="44">
        <v>0</v>
      </c>
      <c r="K28" s="44">
        <v>0</v>
      </c>
      <c r="L28" s="44">
        <v>0</v>
      </c>
      <c r="M28" s="44">
        <v>0</v>
      </c>
      <c r="N28" s="44">
        <v>0</v>
      </c>
      <c r="O28" s="44">
        <v>0</v>
      </c>
      <c r="P28" s="44">
        <v>0</v>
      </c>
      <c r="Q28" s="44">
        <v>0</v>
      </c>
      <c r="R28" s="44">
        <v>0</v>
      </c>
      <c r="S28" s="44">
        <v>0</v>
      </c>
      <c r="T28" s="44">
        <v>0</v>
      </c>
      <c r="U28" s="44">
        <v>0</v>
      </c>
      <c r="V28" s="44">
        <v>0</v>
      </c>
      <c r="W28" s="44">
        <v>0</v>
      </c>
      <c r="X28" s="44">
        <v>0</v>
      </c>
      <c r="Y28" s="44">
        <v>0</v>
      </c>
      <c r="Z28" s="44">
        <v>0</v>
      </c>
      <c r="AA28" s="44">
        <v>0</v>
      </c>
      <c r="AB28" s="44">
        <v>0</v>
      </c>
      <c r="AC28" s="44">
        <v>0</v>
      </c>
      <c r="AD28" s="44">
        <v>0</v>
      </c>
      <c r="AE28" s="44">
        <v>0</v>
      </c>
      <c r="AF28" s="41" t="s">
        <v>340</v>
      </c>
      <c r="AG28" s="12"/>
    </row>
    <row r="29" spans="1:33" ht="15" customHeight="1">
      <c r="A29" s="11" t="s">
        <v>1332</v>
      </c>
      <c r="B29" s="43" t="s">
        <v>692</v>
      </c>
      <c r="C29" s="44">
        <v>223.61549400000001</v>
      </c>
      <c r="D29" s="44">
        <v>216.07962000000001</v>
      </c>
      <c r="E29" s="44">
        <v>210.169006</v>
      </c>
      <c r="F29" s="44">
        <v>203.94279499999999</v>
      </c>
      <c r="G29" s="44">
        <v>198.13800000000001</v>
      </c>
      <c r="H29" s="44">
        <v>193.12855500000001</v>
      </c>
      <c r="I29" s="44">
        <v>188.948227</v>
      </c>
      <c r="J29" s="44">
        <v>185.78183000000001</v>
      </c>
      <c r="K29" s="44">
        <v>183.58956900000001</v>
      </c>
      <c r="L29" s="44">
        <v>182.24688699999999</v>
      </c>
      <c r="M29" s="44">
        <v>181.81208799999999</v>
      </c>
      <c r="N29" s="44">
        <v>182.02372700000001</v>
      </c>
      <c r="O29" s="44">
        <v>183.034592</v>
      </c>
      <c r="P29" s="44">
        <v>184.915085</v>
      </c>
      <c r="Q29" s="44">
        <v>187.750809</v>
      </c>
      <c r="R29" s="44">
        <v>191.071381</v>
      </c>
      <c r="S29" s="44">
        <v>194.74928299999999</v>
      </c>
      <c r="T29" s="44">
        <v>198.695999</v>
      </c>
      <c r="U29" s="44">
        <v>202.83294699999999</v>
      </c>
      <c r="V29" s="44">
        <v>206.79274000000001</v>
      </c>
      <c r="W29" s="44">
        <v>210.62626599999999</v>
      </c>
      <c r="X29" s="44">
        <v>214.15209999999999</v>
      </c>
      <c r="Y29" s="44">
        <v>217.717209</v>
      </c>
      <c r="Z29" s="44">
        <v>221.63664199999999</v>
      </c>
      <c r="AA29" s="44">
        <v>226.31954999999999</v>
      </c>
      <c r="AB29" s="44">
        <v>230.77928199999999</v>
      </c>
      <c r="AC29" s="44">
        <v>235.12669399999999</v>
      </c>
      <c r="AD29" s="44">
        <v>239.49491900000001</v>
      </c>
      <c r="AE29" s="44">
        <v>244.11679100000001</v>
      </c>
      <c r="AF29" s="41">
        <v>3.1380000000000002E-3</v>
      </c>
      <c r="AG29" s="12"/>
    </row>
    <row r="30" spans="1:33" ht="15" customHeight="1">
      <c r="A30" s="11" t="s">
        <v>1333</v>
      </c>
      <c r="B30" s="43" t="s">
        <v>694</v>
      </c>
      <c r="C30" s="44">
        <v>11.524046999999999</v>
      </c>
      <c r="D30" s="44">
        <v>10.680966</v>
      </c>
      <c r="E30" s="44">
        <v>9.7907329999999995</v>
      </c>
      <c r="F30" s="44">
        <v>8.885427</v>
      </c>
      <c r="G30" s="44">
        <v>7.9903449999999996</v>
      </c>
      <c r="H30" s="44">
        <v>7.1033359999999997</v>
      </c>
      <c r="I30" s="44">
        <v>6.2375930000000004</v>
      </c>
      <c r="J30" s="44">
        <v>5.4280480000000004</v>
      </c>
      <c r="K30" s="44">
        <v>4.7586219999999999</v>
      </c>
      <c r="L30" s="44">
        <v>4.1292390000000001</v>
      </c>
      <c r="M30" s="44">
        <v>3.577585</v>
      </c>
      <c r="N30" s="44">
        <v>3.1073620000000002</v>
      </c>
      <c r="O30" s="44">
        <v>2.7210860000000001</v>
      </c>
      <c r="P30" s="44">
        <v>2.3994659999999999</v>
      </c>
      <c r="Q30" s="44">
        <v>2.1384289999999999</v>
      </c>
      <c r="R30" s="44">
        <v>1.9661150000000001</v>
      </c>
      <c r="S30" s="44">
        <v>1.819323</v>
      </c>
      <c r="T30" s="44">
        <v>1.697581</v>
      </c>
      <c r="U30" s="44">
        <v>1.589439</v>
      </c>
      <c r="V30" s="44">
        <v>1.488186</v>
      </c>
      <c r="W30" s="44">
        <v>1.393384</v>
      </c>
      <c r="X30" s="44">
        <v>1.3046199999999999</v>
      </c>
      <c r="Y30" s="44">
        <v>1.221511</v>
      </c>
      <c r="Z30" s="44">
        <v>1.143696</v>
      </c>
      <c r="AA30" s="44">
        <v>1.0708390000000001</v>
      </c>
      <c r="AB30" s="44">
        <v>1.0026219999999999</v>
      </c>
      <c r="AC30" s="44">
        <v>0.93875200000000003</v>
      </c>
      <c r="AD30" s="44">
        <v>0.87895000000000001</v>
      </c>
      <c r="AE30" s="44">
        <v>0.82295799999999997</v>
      </c>
      <c r="AF30" s="41">
        <v>-8.9954000000000006E-2</v>
      </c>
      <c r="AG30" s="12"/>
    </row>
    <row r="31" spans="1:33" ht="15" customHeight="1">
      <c r="A31" s="11" t="s">
        <v>1334</v>
      </c>
      <c r="B31" s="43" t="s">
        <v>696</v>
      </c>
      <c r="C31" s="44">
        <v>0.307861</v>
      </c>
      <c r="D31" s="44">
        <v>0.26491900000000002</v>
      </c>
      <c r="E31" s="44">
        <v>0.23980199999999999</v>
      </c>
      <c r="F31" s="44">
        <v>0.224525</v>
      </c>
      <c r="G31" s="44">
        <v>0.21022199999999999</v>
      </c>
      <c r="H31" s="44">
        <v>0.19683</v>
      </c>
      <c r="I31" s="44">
        <v>0.18429200000000001</v>
      </c>
      <c r="J31" s="44">
        <v>0.17255100000000001</v>
      </c>
      <c r="K31" s="44">
        <v>0.16155900000000001</v>
      </c>
      <c r="L31" s="44">
        <v>0.15126700000000001</v>
      </c>
      <c r="M31" s="44">
        <v>0.14163100000000001</v>
      </c>
      <c r="N31" s="44">
        <v>0.132609</v>
      </c>
      <c r="O31" s="44">
        <v>0.12416099999999999</v>
      </c>
      <c r="P31" s="44">
        <v>0.11625199999999999</v>
      </c>
      <c r="Q31" s="44">
        <v>0.108846</v>
      </c>
      <c r="R31" s="44">
        <v>0.101912</v>
      </c>
      <c r="S31" s="44">
        <v>9.5420000000000005E-2</v>
      </c>
      <c r="T31" s="44">
        <v>8.9341000000000004E-2</v>
      </c>
      <c r="U31" s="44">
        <v>8.3650000000000002E-2</v>
      </c>
      <c r="V31" s="44">
        <v>7.8321000000000002E-2</v>
      </c>
      <c r="W31" s="44">
        <v>7.3331999999999994E-2</v>
      </c>
      <c r="X31" s="44">
        <v>6.8659999999999999E-2</v>
      </c>
      <c r="Y31" s="44">
        <v>6.4285999999999996E-2</v>
      </c>
      <c r="Z31" s="44">
        <v>6.0191000000000001E-2</v>
      </c>
      <c r="AA31" s="44">
        <v>5.6356999999999997E-2</v>
      </c>
      <c r="AB31" s="44">
        <v>5.2767000000000001E-2</v>
      </c>
      <c r="AC31" s="44">
        <v>4.9404999999999998E-2</v>
      </c>
      <c r="AD31" s="44">
        <v>4.6258000000000001E-2</v>
      </c>
      <c r="AE31" s="44">
        <v>4.3311000000000002E-2</v>
      </c>
      <c r="AF31" s="41">
        <v>-6.7646999999999999E-2</v>
      </c>
      <c r="AG31" s="12"/>
    </row>
    <row r="32" spans="1:33" ht="15" customHeight="1">
      <c r="A32" s="11" t="s">
        <v>1335</v>
      </c>
      <c r="B32" s="43" t="s">
        <v>698</v>
      </c>
      <c r="C32" s="44">
        <v>2.0879910000000002</v>
      </c>
      <c r="D32" s="44">
        <v>1.7846089999999999</v>
      </c>
      <c r="E32" s="44">
        <v>1.535312</v>
      </c>
      <c r="F32" s="44">
        <v>1.3333470000000001</v>
      </c>
      <c r="G32" s="44">
        <v>1.206512</v>
      </c>
      <c r="H32" s="44">
        <v>1.127065</v>
      </c>
      <c r="I32" s="44">
        <v>1.055267</v>
      </c>
      <c r="J32" s="44">
        <v>0.988043</v>
      </c>
      <c r="K32" s="44">
        <v>0.92510099999999995</v>
      </c>
      <c r="L32" s="44">
        <v>0.86616800000000005</v>
      </c>
      <c r="M32" s="44">
        <v>0.81099100000000002</v>
      </c>
      <c r="N32" s="44">
        <v>0.759328</v>
      </c>
      <c r="O32" s="44">
        <v>0.71095600000000003</v>
      </c>
      <c r="P32" s="44">
        <v>0.66566499999999995</v>
      </c>
      <c r="Q32" s="44">
        <v>0.62326000000000004</v>
      </c>
      <c r="R32" s="44">
        <v>0.58355599999999996</v>
      </c>
      <c r="S32" s="44">
        <v>0.54638100000000001</v>
      </c>
      <c r="T32" s="44">
        <v>0.511575</v>
      </c>
      <c r="U32" s="44">
        <v>0.47898600000000002</v>
      </c>
      <c r="V32" s="44">
        <v>0.44847300000000001</v>
      </c>
      <c r="W32" s="44">
        <v>0.41990300000000003</v>
      </c>
      <c r="X32" s="44">
        <v>0.393154</v>
      </c>
      <c r="Y32" s="44">
        <v>0.36810900000000002</v>
      </c>
      <c r="Z32" s="44">
        <v>0.34465899999999999</v>
      </c>
      <c r="AA32" s="44">
        <v>0.32270300000000002</v>
      </c>
      <c r="AB32" s="44">
        <v>0.302145</v>
      </c>
      <c r="AC32" s="44">
        <v>0.28289799999999998</v>
      </c>
      <c r="AD32" s="44">
        <v>0.264876</v>
      </c>
      <c r="AE32" s="44">
        <v>0.248003</v>
      </c>
      <c r="AF32" s="41">
        <v>-7.3266999999999999E-2</v>
      </c>
      <c r="AG32" s="12"/>
    </row>
    <row r="33" spans="1:33" ht="15" customHeight="1">
      <c r="A33" s="11" t="s">
        <v>1336</v>
      </c>
      <c r="B33" s="43" t="s">
        <v>700</v>
      </c>
      <c r="C33" s="44">
        <v>4.0826789999999997</v>
      </c>
      <c r="D33" s="44">
        <v>3.4803980000000001</v>
      </c>
      <c r="E33" s="44">
        <v>2.9777900000000002</v>
      </c>
      <c r="F33" s="44">
        <v>2.5650409999999999</v>
      </c>
      <c r="G33" s="44">
        <v>2.2838059999999998</v>
      </c>
      <c r="H33" s="44">
        <v>2.1086070000000001</v>
      </c>
      <c r="I33" s="44">
        <v>1.959856</v>
      </c>
      <c r="J33" s="44">
        <v>1.8350059999999999</v>
      </c>
      <c r="K33" s="44">
        <v>1.7181090000000001</v>
      </c>
      <c r="L33" s="44">
        <v>1.60866</v>
      </c>
      <c r="M33" s="44">
        <v>1.5061819999999999</v>
      </c>
      <c r="N33" s="44">
        <v>1.4102330000000001</v>
      </c>
      <c r="O33" s="44">
        <v>1.3203959999999999</v>
      </c>
      <c r="P33" s="44">
        <v>1.2362820000000001</v>
      </c>
      <c r="Q33" s="44">
        <v>1.1575260000000001</v>
      </c>
      <c r="R33" s="44">
        <v>1.083788</v>
      </c>
      <c r="S33" s="44">
        <v>1.0147470000000001</v>
      </c>
      <c r="T33" s="44">
        <v>0.95010399999999995</v>
      </c>
      <c r="U33" s="44">
        <v>0.88957900000000001</v>
      </c>
      <c r="V33" s="44">
        <v>0.83290900000000001</v>
      </c>
      <c r="W33" s="44">
        <v>0.77985000000000004</v>
      </c>
      <c r="X33" s="44">
        <v>0.73017100000000001</v>
      </c>
      <c r="Y33" s="44">
        <v>0.68365600000000004</v>
      </c>
      <c r="Z33" s="44">
        <v>0.64010500000000004</v>
      </c>
      <c r="AA33" s="44">
        <v>0.59932799999999997</v>
      </c>
      <c r="AB33" s="44">
        <v>0.56114900000000001</v>
      </c>
      <c r="AC33" s="44">
        <v>0.52540100000000001</v>
      </c>
      <c r="AD33" s="44">
        <v>0.49193100000000001</v>
      </c>
      <c r="AE33" s="44">
        <v>0.460594</v>
      </c>
      <c r="AF33" s="41">
        <v>-7.4968999999999994E-2</v>
      </c>
      <c r="AG33" s="12"/>
    </row>
    <row r="34" spans="1:33" ht="15" customHeight="1">
      <c r="A34" s="11" t="s">
        <v>1337</v>
      </c>
      <c r="B34" s="43" t="s">
        <v>702</v>
      </c>
      <c r="C34" s="44">
        <v>0</v>
      </c>
      <c r="D34" s="44">
        <v>0</v>
      </c>
      <c r="E34" s="44">
        <v>0</v>
      </c>
      <c r="F34" s="44">
        <v>0</v>
      </c>
      <c r="G34" s="44">
        <v>0</v>
      </c>
      <c r="H34" s="44">
        <v>0</v>
      </c>
      <c r="I34" s="44">
        <v>0</v>
      </c>
      <c r="J34" s="44">
        <v>0</v>
      </c>
      <c r="K34" s="44">
        <v>0</v>
      </c>
      <c r="L34" s="44">
        <v>0</v>
      </c>
      <c r="M34" s="44">
        <v>0</v>
      </c>
      <c r="N34" s="44">
        <v>0</v>
      </c>
      <c r="O34" s="44">
        <v>0</v>
      </c>
      <c r="P34" s="44">
        <v>0</v>
      </c>
      <c r="Q34" s="44">
        <v>0</v>
      </c>
      <c r="R34" s="44">
        <v>0</v>
      </c>
      <c r="S34" s="44">
        <v>0</v>
      </c>
      <c r="T34" s="44">
        <v>0</v>
      </c>
      <c r="U34" s="44">
        <v>0</v>
      </c>
      <c r="V34" s="44">
        <v>0</v>
      </c>
      <c r="W34" s="44">
        <v>0</v>
      </c>
      <c r="X34" s="44">
        <v>0</v>
      </c>
      <c r="Y34" s="44">
        <v>0</v>
      </c>
      <c r="Z34" s="44">
        <v>0</v>
      </c>
      <c r="AA34" s="44">
        <v>0</v>
      </c>
      <c r="AB34" s="44">
        <v>0</v>
      </c>
      <c r="AC34" s="44">
        <v>0</v>
      </c>
      <c r="AD34" s="44">
        <v>0</v>
      </c>
      <c r="AE34" s="44">
        <v>0</v>
      </c>
      <c r="AF34" s="41" t="s">
        <v>340</v>
      </c>
      <c r="AG34" s="12"/>
    </row>
    <row r="35" spans="1:33" ht="15" customHeight="1">
      <c r="A35" s="11" t="s">
        <v>1338</v>
      </c>
      <c r="B35" s="43" t="s">
        <v>704</v>
      </c>
      <c r="C35" s="44">
        <v>0.695658</v>
      </c>
      <c r="D35" s="44">
        <v>0.69352499999999995</v>
      </c>
      <c r="E35" s="44">
        <v>0.730931</v>
      </c>
      <c r="F35" s="44">
        <v>0.79698999999999998</v>
      </c>
      <c r="G35" s="44">
        <v>0.88553999999999999</v>
      </c>
      <c r="H35" s="44">
        <v>0.98939999999999995</v>
      </c>
      <c r="I35" s="44">
        <v>1.10531</v>
      </c>
      <c r="J35" s="44">
        <v>1.234237</v>
      </c>
      <c r="K35" s="44">
        <v>1.3744749999999999</v>
      </c>
      <c r="L35" s="44">
        <v>1.5244759999999999</v>
      </c>
      <c r="M35" s="44">
        <v>1.6852279999999999</v>
      </c>
      <c r="N35" s="44">
        <v>1.8541810000000001</v>
      </c>
      <c r="O35" s="44">
        <v>2.033293</v>
      </c>
      <c r="P35" s="44">
        <v>2.2237119999999999</v>
      </c>
      <c r="Q35" s="44">
        <v>2.4270939999999999</v>
      </c>
      <c r="R35" s="44">
        <v>2.6390389999999999</v>
      </c>
      <c r="S35" s="44">
        <v>2.8586079999999998</v>
      </c>
      <c r="T35" s="44">
        <v>3.0842800000000001</v>
      </c>
      <c r="U35" s="44">
        <v>3.3144110000000002</v>
      </c>
      <c r="V35" s="44">
        <v>3.5441980000000002</v>
      </c>
      <c r="W35" s="44">
        <v>3.773129</v>
      </c>
      <c r="X35" s="44">
        <v>3.9972880000000002</v>
      </c>
      <c r="Y35" s="44">
        <v>4.2207540000000003</v>
      </c>
      <c r="Z35" s="44">
        <v>4.4483009999999998</v>
      </c>
      <c r="AA35" s="44">
        <v>4.6884439999999996</v>
      </c>
      <c r="AB35" s="44">
        <v>4.9254730000000002</v>
      </c>
      <c r="AC35" s="44">
        <v>5.1619760000000001</v>
      </c>
      <c r="AD35" s="44">
        <v>5.3994140000000002</v>
      </c>
      <c r="AE35" s="44">
        <v>5.6399559999999997</v>
      </c>
      <c r="AF35" s="41">
        <v>7.7605999999999994E-2</v>
      </c>
      <c r="AG35" s="12"/>
    </row>
    <row r="36" spans="1:33" ht="15" customHeight="1">
      <c r="A36" s="11" t="s">
        <v>1339</v>
      </c>
      <c r="B36" s="43" t="s">
        <v>706</v>
      </c>
      <c r="C36" s="44">
        <v>614.79174799999998</v>
      </c>
      <c r="D36" s="44">
        <v>589.30566399999998</v>
      </c>
      <c r="E36" s="44">
        <v>570.35400400000003</v>
      </c>
      <c r="F36" s="44">
        <v>553.77508499999999</v>
      </c>
      <c r="G36" s="44">
        <v>539.66693099999998</v>
      </c>
      <c r="H36" s="44">
        <v>528.76080300000001</v>
      </c>
      <c r="I36" s="44">
        <v>520.828979</v>
      </c>
      <c r="J36" s="44">
        <v>516.49780299999998</v>
      </c>
      <c r="K36" s="44">
        <v>515.59692399999994</v>
      </c>
      <c r="L36" s="44">
        <v>517.65484600000002</v>
      </c>
      <c r="M36" s="44">
        <v>522.89471400000002</v>
      </c>
      <c r="N36" s="44">
        <v>530.58074999999997</v>
      </c>
      <c r="O36" s="44">
        <v>541.01000999999997</v>
      </c>
      <c r="P36" s="44">
        <v>554.33074999999997</v>
      </c>
      <c r="Q36" s="44">
        <v>570.881348</v>
      </c>
      <c r="R36" s="44">
        <v>588.91223100000002</v>
      </c>
      <c r="S36" s="44">
        <v>607.94378700000004</v>
      </c>
      <c r="T36" s="44">
        <v>627.75414999999998</v>
      </c>
      <c r="U36" s="44">
        <v>648.09857199999999</v>
      </c>
      <c r="V36" s="44">
        <v>667.72619599999996</v>
      </c>
      <c r="W36" s="44">
        <v>686.85070800000005</v>
      </c>
      <c r="X36" s="44">
        <v>704.85485800000004</v>
      </c>
      <c r="Y36" s="44">
        <v>723.02038600000003</v>
      </c>
      <c r="Z36" s="44">
        <v>742.51434300000005</v>
      </c>
      <c r="AA36" s="44">
        <v>764.83160399999997</v>
      </c>
      <c r="AB36" s="44">
        <v>786.33947799999999</v>
      </c>
      <c r="AC36" s="44">
        <v>807.43066399999998</v>
      </c>
      <c r="AD36" s="44">
        <v>828.60986300000002</v>
      </c>
      <c r="AE36" s="44">
        <v>850.58196999999996</v>
      </c>
      <c r="AF36" s="41">
        <v>1.1662E-2</v>
      </c>
      <c r="AG36" s="12"/>
    </row>
    <row r="37" spans="1:33" ht="15" customHeight="1">
      <c r="B37" s="12"/>
      <c r="C37" s="12"/>
      <c r="D37" s="12"/>
      <c r="E37" s="12"/>
      <c r="F37" s="12"/>
      <c r="G37" s="12"/>
      <c r="H37" s="12"/>
      <c r="I37" s="12"/>
      <c r="J37" s="12"/>
      <c r="K37" s="12"/>
      <c r="L37" s="12"/>
      <c r="M37" s="12"/>
      <c r="N37" s="12"/>
      <c r="O37" s="12"/>
      <c r="P37" s="12"/>
      <c r="Q37" s="12"/>
      <c r="R37" s="12"/>
      <c r="S37" s="12"/>
      <c r="T37" s="12"/>
      <c r="U37" s="12"/>
      <c r="V37" s="12"/>
      <c r="W37" s="12"/>
      <c r="X37" s="12"/>
      <c r="Y37" s="12"/>
      <c r="Z37" s="12"/>
      <c r="AA37" s="12"/>
      <c r="AB37" s="12"/>
      <c r="AC37" s="12"/>
      <c r="AD37" s="12"/>
      <c r="AE37" s="12"/>
      <c r="AF37" s="12"/>
      <c r="AG37" s="12"/>
    </row>
    <row r="38" spans="1:33" ht="15" customHeight="1">
      <c r="A38" s="11" t="s">
        <v>1340</v>
      </c>
      <c r="B38" s="43" t="s">
        <v>1341</v>
      </c>
      <c r="C38" s="44">
        <v>5637.607422</v>
      </c>
      <c r="D38" s="44">
        <v>5226.84375</v>
      </c>
      <c r="E38" s="44">
        <v>4904.5322269999997</v>
      </c>
      <c r="F38" s="44">
        <v>4614.4960940000001</v>
      </c>
      <c r="G38" s="44">
        <v>4346.921875</v>
      </c>
      <c r="H38" s="44">
        <v>4110.201172</v>
      </c>
      <c r="I38" s="44">
        <v>3902.3666990000002</v>
      </c>
      <c r="J38" s="44">
        <v>3723.6457519999999</v>
      </c>
      <c r="K38" s="44">
        <v>3569.8222660000001</v>
      </c>
      <c r="L38" s="44">
        <v>3437.0539549999999</v>
      </c>
      <c r="M38" s="44">
        <v>3324.9858399999998</v>
      </c>
      <c r="N38" s="44">
        <v>3228.2822270000001</v>
      </c>
      <c r="O38" s="44">
        <v>3148.9265140000002</v>
      </c>
      <c r="P38" s="44">
        <v>3087.2470699999999</v>
      </c>
      <c r="Q38" s="44">
        <v>3044.1518550000001</v>
      </c>
      <c r="R38" s="44">
        <v>3010.9096679999998</v>
      </c>
      <c r="S38" s="44">
        <v>2984.9125979999999</v>
      </c>
      <c r="T38" s="44">
        <v>2964.5546880000002</v>
      </c>
      <c r="U38" s="44">
        <v>2948.5417480000001</v>
      </c>
      <c r="V38" s="44">
        <v>2931.5327149999998</v>
      </c>
      <c r="W38" s="44">
        <v>2914.2421880000002</v>
      </c>
      <c r="X38" s="44">
        <v>2894.3598630000001</v>
      </c>
      <c r="Y38" s="44">
        <v>2876.6440429999998</v>
      </c>
      <c r="Z38" s="44">
        <v>2864.8854980000001</v>
      </c>
      <c r="AA38" s="44">
        <v>2863.6755370000001</v>
      </c>
      <c r="AB38" s="44">
        <v>2860.3027339999999</v>
      </c>
      <c r="AC38" s="44">
        <v>2855.9914549999999</v>
      </c>
      <c r="AD38" s="44">
        <v>2852.3359380000002</v>
      </c>
      <c r="AE38" s="44">
        <v>2852.1445309999999</v>
      </c>
      <c r="AF38" s="41">
        <v>-2.4042000000000001E-2</v>
      </c>
      <c r="AG38" s="12"/>
    </row>
    <row r="39" spans="1:33" ht="12" customHeight="1">
      <c r="B39" s="12"/>
      <c r="C39" s="12"/>
      <c r="D39" s="12"/>
      <c r="E39" s="12"/>
      <c r="F39" s="12"/>
      <c r="G39" s="12"/>
      <c r="H39" s="12"/>
      <c r="I39" s="12"/>
      <c r="J39" s="12"/>
      <c r="K39" s="12"/>
      <c r="L39" s="12"/>
      <c r="M39" s="12"/>
      <c r="N39" s="12"/>
      <c r="O39" s="12"/>
      <c r="P39" s="12"/>
      <c r="Q39" s="12"/>
      <c r="R39" s="12"/>
      <c r="S39" s="12"/>
      <c r="T39" s="12"/>
      <c r="U39" s="12"/>
      <c r="V39" s="12"/>
      <c r="W39" s="12"/>
      <c r="X39" s="12"/>
      <c r="Y39" s="12"/>
      <c r="Z39" s="12"/>
      <c r="AA39" s="12"/>
      <c r="AB39" s="12"/>
      <c r="AC39" s="12"/>
      <c r="AD39" s="12"/>
      <c r="AE39" s="12"/>
      <c r="AF39" s="12"/>
      <c r="AG39" s="12"/>
    </row>
    <row r="40" spans="1:33" ht="12" customHeight="1">
      <c r="B40" s="49" t="s">
        <v>709</v>
      </c>
      <c r="C40" s="12"/>
      <c r="D40" s="12"/>
      <c r="E40" s="12"/>
      <c r="F40" s="12"/>
      <c r="G40" s="12"/>
      <c r="H40" s="12"/>
      <c r="I40" s="12"/>
      <c r="J40" s="12"/>
      <c r="K40" s="12"/>
      <c r="L40" s="12"/>
      <c r="M40" s="12"/>
      <c r="N40" s="12"/>
      <c r="O40" s="12"/>
      <c r="P40" s="12"/>
      <c r="Q40" s="12"/>
      <c r="R40" s="12"/>
      <c r="S40" s="12"/>
      <c r="T40" s="12"/>
      <c r="U40" s="12"/>
      <c r="V40" s="12"/>
      <c r="W40" s="12"/>
      <c r="X40" s="12"/>
      <c r="Y40" s="12"/>
      <c r="Z40" s="12"/>
      <c r="AA40" s="12"/>
      <c r="AB40" s="12"/>
      <c r="AC40" s="12"/>
      <c r="AD40" s="12"/>
      <c r="AE40" s="12"/>
      <c r="AF40" s="12"/>
      <c r="AG40" s="12"/>
    </row>
    <row r="41" spans="1:33" ht="12" customHeight="1">
      <c r="B41" s="49" t="s">
        <v>370</v>
      </c>
      <c r="C41" s="12"/>
      <c r="D41" s="12"/>
      <c r="E41" s="12"/>
      <c r="F41" s="12"/>
      <c r="G41" s="12"/>
      <c r="H41" s="12"/>
      <c r="I41" s="12"/>
      <c r="J41" s="12"/>
      <c r="K41" s="12"/>
      <c r="L41" s="12"/>
      <c r="M41" s="12"/>
      <c r="N41" s="12"/>
      <c r="O41" s="12"/>
      <c r="P41" s="12"/>
      <c r="Q41" s="12"/>
      <c r="R41" s="12"/>
      <c r="S41" s="12"/>
      <c r="T41" s="12"/>
      <c r="U41" s="12"/>
      <c r="V41" s="12"/>
      <c r="W41" s="12"/>
      <c r="X41" s="12"/>
      <c r="Y41" s="12"/>
      <c r="Z41" s="12"/>
      <c r="AA41" s="12"/>
      <c r="AB41" s="12"/>
      <c r="AC41" s="12"/>
      <c r="AD41" s="12"/>
      <c r="AE41" s="12"/>
      <c r="AF41" s="12"/>
      <c r="AG41" s="12"/>
    </row>
    <row r="42" spans="1:33" ht="12" customHeight="1">
      <c r="A42" s="11" t="s">
        <v>1342</v>
      </c>
      <c r="B42" s="43" t="s">
        <v>672</v>
      </c>
      <c r="C42" s="44">
        <v>7639.0830079999996</v>
      </c>
      <c r="D42" s="44">
        <v>7655.0961909999996</v>
      </c>
      <c r="E42" s="44">
        <v>7760.3139650000003</v>
      </c>
      <c r="F42" s="44">
        <v>7895.3627930000002</v>
      </c>
      <c r="G42" s="44">
        <v>8023.1142579999996</v>
      </c>
      <c r="H42" s="44">
        <v>8127.6328119999998</v>
      </c>
      <c r="I42" s="44">
        <v>8212.9814449999994</v>
      </c>
      <c r="J42" s="44">
        <v>8290.5888670000004</v>
      </c>
      <c r="K42" s="44">
        <v>8349.9736329999996</v>
      </c>
      <c r="L42" s="44">
        <v>8394.4511719999991</v>
      </c>
      <c r="M42" s="44">
        <v>8423.9824219999991</v>
      </c>
      <c r="N42" s="44">
        <v>8440.4257809999999</v>
      </c>
      <c r="O42" s="44">
        <v>8451.6865230000003</v>
      </c>
      <c r="P42" s="44">
        <v>8465.3476559999999</v>
      </c>
      <c r="Q42" s="44">
        <v>8480.6542969999991</v>
      </c>
      <c r="R42" s="44">
        <v>8497.1035159999992</v>
      </c>
      <c r="S42" s="44">
        <v>8516.1015619999998</v>
      </c>
      <c r="T42" s="44">
        <v>8536.0273440000001</v>
      </c>
      <c r="U42" s="44">
        <v>8559.6494139999995</v>
      </c>
      <c r="V42" s="44">
        <v>8580.203125</v>
      </c>
      <c r="W42" s="44">
        <v>8599.4804690000001</v>
      </c>
      <c r="X42" s="44">
        <v>8618.3642579999996</v>
      </c>
      <c r="Y42" s="44">
        <v>8635.5253909999992</v>
      </c>
      <c r="Z42" s="44">
        <v>8659.0556639999995</v>
      </c>
      <c r="AA42" s="44">
        <v>8680.4677730000003</v>
      </c>
      <c r="AB42" s="44">
        <v>8702.9228519999997</v>
      </c>
      <c r="AC42" s="44">
        <v>8720.7890619999998</v>
      </c>
      <c r="AD42" s="44">
        <v>8742.2802730000003</v>
      </c>
      <c r="AE42" s="44">
        <v>8768.0771480000003</v>
      </c>
      <c r="AF42" s="41">
        <v>4.9350000000000002E-3</v>
      </c>
      <c r="AG42" s="12"/>
    </row>
    <row r="43" spans="1:33" ht="12" customHeight="1">
      <c r="A43" s="11" t="s">
        <v>1343</v>
      </c>
      <c r="B43" s="43" t="s">
        <v>674</v>
      </c>
      <c r="C43" s="44">
        <v>60.554519999999997</v>
      </c>
      <c r="D43" s="44">
        <v>54.813412</v>
      </c>
      <c r="E43" s="44">
        <v>48.998947000000001</v>
      </c>
      <c r="F43" s="44">
        <v>43.883667000000003</v>
      </c>
      <c r="G43" s="44">
        <v>39.715415999999998</v>
      </c>
      <c r="H43" s="44">
        <v>35.790714000000001</v>
      </c>
      <c r="I43" s="44">
        <v>32.023296000000002</v>
      </c>
      <c r="J43" s="44">
        <v>28.420086000000001</v>
      </c>
      <c r="K43" s="44">
        <v>24.994423000000001</v>
      </c>
      <c r="L43" s="44">
        <v>21.770368999999999</v>
      </c>
      <c r="M43" s="44">
        <v>18.758324000000002</v>
      </c>
      <c r="N43" s="44">
        <v>15.995414</v>
      </c>
      <c r="O43" s="44">
        <v>13.487584999999999</v>
      </c>
      <c r="P43" s="44">
        <v>11.270678999999999</v>
      </c>
      <c r="Q43" s="44">
        <v>9.3356399999999997</v>
      </c>
      <c r="R43" s="44">
        <v>7.6824560000000002</v>
      </c>
      <c r="S43" s="44">
        <v>6.3136010000000002</v>
      </c>
      <c r="T43" s="44">
        <v>5.1956619999999996</v>
      </c>
      <c r="U43" s="44">
        <v>4.3157319999999997</v>
      </c>
      <c r="V43" s="44">
        <v>3.6364559999999999</v>
      </c>
      <c r="W43" s="44">
        <v>3.103021</v>
      </c>
      <c r="X43" s="44">
        <v>2.68296</v>
      </c>
      <c r="Y43" s="44">
        <v>2.3479139999999998</v>
      </c>
      <c r="Z43" s="44">
        <v>2.093235</v>
      </c>
      <c r="AA43" s="44">
        <v>1.8931100000000001</v>
      </c>
      <c r="AB43" s="44">
        <v>1.714415</v>
      </c>
      <c r="AC43" s="44">
        <v>1.55453</v>
      </c>
      <c r="AD43" s="44">
        <v>1.411821</v>
      </c>
      <c r="AE43" s="44">
        <v>1.2844409999999999</v>
      </c>
      <c r="AF43" s="41">
        <v>-0.12856600000000001</v>
      </c>
      <c r="AG43" s="12"/>
    </row>
    <row r="44" spans="1:33" ht="12" customHeight="1">
      <c r="A44" s="11" t="s">
        <v>1344</v>
      </c>
      <c r="B44" s="43" t="s">
        <v>713</v>
      </c>
      <c r="C44" s="44">
        <v>7699.6376950000003</v>
      </c>
      <c r="D44" s="44">
        <v>7709.9096680000002</v>
      </c>
      <c r="E44" s="44">
        <v>7809.3129879999997</v>
      </c>
      <c r="F44" s="44">
        <v>7939.2465819999998</v>
      </c>
      <c r="G44" s="44">
        <v>8062.8295900000003</v>
      </c>
      <c r="H44" s="44">
        <v>8163.4233400000003</v>
      </c>
      <c r="I44" s="44">
        <v>8245.0048829999996</v>
      </c>
      <c r="J44" s="44">
        <v>8319.0087889999995</v>
      </c>
      <c r="K44" s="44">
        <v>8374.9677730000003</v>
      </c>
      <c r="L44" s="44">
        <v>8416.2216800000006</v>
      </c>
      <c r="M44" s="44">
        <v>8442.7412110000005</v>
      </c>
      <c r="N44" s="44">
        <v>8456.4208980000003</v>
      </c>
      <c r="O44" s="44">
        <v>8465.1738280000009</v>
      </c>
      <c r="P44" s="44">
        <v>8476.6181639999995</v>
      </c>
      <c r="Q44" s="44">
        <v>8489.9902340000008</v>
      </c>
      <c r="R44" s="44">
        <v>8504.7861329999996</v>
      </c>
      <c r="S44" s="44">
        <v>8522.4150389999995</v>
      </c>
      <c r="T44" s="44">
        <v>8541.2226559999999</v>
      </c>
      <c r="U44" s="44">
        <v>8563.9648440000001</v>
      </c>
      <c r="V44" s="44">
        <v>8583.8398440000001</v>
      </c>
      <c r="W44" s="44">
        <v>8602.5830079999996</v>
      </c>
      <c r="X44" s="44">
        <v>8621.046875</v>
      </c>
      <c r="Y44" s="44">
        <v>8637.8730469999991</v>
      </c>
      <c r="Z44" s="44">
        <v>8661.1484380000002</v>
      </c>
      <c r="AA44" s="44">
        <v>8682.3613280000009</v>
      </c>
      <c r="AB44" s="44">
        <v>8704.6376949999994</v>
      </c>
      <c r="AC44" s="44">
        <v>8722.34375</v>
      </c>
      <c r="AD44" s="44">
        <v>8743.6923829999996</v>
      </c>
      <c r="AE44" s="44">
        <v>8769.3613280000009</v>
      </c>
      <c r="AF44" s="41">
        <v>4.6569999999999997E-3</v>
      </c>
      <c r="AG44" s="12"/>
    </row>
    <row r="45" spans="1:33" ht="12" customHeight="1">
      <c r="B45" s="12"/>
      <c r="C45" s="12"/>
      <c r="D45" s="12"/>
      <c r="E45" s="12"/>
      <c r="F45" s="12"/>
      <c r="G45" s="12"/>
      <c r="H45" s="12"/>
      <c r="I45" s="12"/>
      <c r="J45" s="12"/>
      <c r="K45" s="12"/>
      <c r="L45" s="12"/>
      <c r="M45" s="12"/>
      <c r="N45" s="12"/>
      <c r="O45" s="12"/>
      <c r="P45" s="12"/>
      <c r="Q45" s="12"/>
      <c r="R45" s="12"/>
      <c r="S45" s="12"/>
      <c r="T45" s="12"/>
      <c r="U45" s="12"/>
      <c r="V45" s="12"/>
      <c r="W45" s="12"/>
      <c r="X45" s="12"/>
      <c r="Y45" s="12"/>
      <c r="Z45" s="12"/>
      <c r="AA45" s="12"/>
      <c r="AB45" s="12"/>
      <c r="AC45" s="12"/>
      <c r="AD45" s="12"/>
      <c r="AE45" s="12"/>
      <c r="AF45" s="12"/>
      <c r="AG45" s="12"/>
    </row>
    <row r="46" spans="1:33" ht="12" customHeight="1">
      <c r="B46" s="49" t="s">
        <v>374</v>
      </c>
      <c r="C46" s="12"/>
      <c r="D46" s="12"/>
      <c r="E46" s="12"/>
      <c r="F46" s="12"/>
      <c r="G46" s="12"/>
      <c r="H46" s="12"/>
      <c r="I46" s="12"/>
      <c r="J46" s="12"/>
      <c r="K46" s="12"/>
      <c r="L46" s="12"/>
      <c r="M46" s="12"/>
      <c r="N46" s="12"/>
      <c r="O46" s="12"/>
      <c r="P46" s="12"/>
      <c r="Q46" s="12"/>
      <c r="R46" s="12"/>
      <c r="S46" s="12"/>
      <c r="T46" s="12"/>
      <c r="U46" s="12"/>
      <c r="V46" s="12"/>
      <c r="W46" s="12"/>
      <c r="X46" s="12"/>
      <c r="Y46" s="12"/>
      <c r="Z46" s="12"/>
      <c r="AA46" s="12"/>
      <c r="AB46" s="12"/>
      <c r="AC46" s="12"/>
      <c r="AD46" s="12"/>
      <c r="AE46" s="12"/>
      <c r="AF46" s="12"/>
      <c r="AG46" s="12"/>
    </row>
    <row r="47" spans="1:33" ht="12" customHeight="1">
      <c r="A47" s="11" t="s">
        <v>1345</v>
      </c>
      <c r="B47" s="43" t="s">
        <v>678</v>
      </c>
      <c r="C47" s="44">
        <v>1218.5097659999999</v>
      </c>
      <c r="D47" s="44">
        <v>1120.8608400000001</v>
      </c>
      <c r="E47" s="44">
        <v>1037.922607</v>
      </c>
      <c r="F47" s="44">
        <v>953.25146500000005</v>
      </c>
      <c r="G47" s="44">
        <v>874.385132</v>
      </c>
      <c r="H47" s="44">
        <v>799.14770499999997</v>
      </c>
      <c r="I47" s="44">
        <v>728.95617700000003</v>
      </c>
      <c r="J47" s="44">
        <v>665.63317900000004</v>
      </c>
      <c r="K47" s="44">
        <v>608.78552200000001</v>
      </c>
      <c r="L47" s="44">
        <v>558.96545400000002</v>
      </c>
      <c r="M47" s="44">
        <v>515.91949499999998</v>
      </c>
      <c r="N47" s="44">
        <v>479.58041400000002</v>
      </c>
      <c r="O47" s="44">
        <v>449.99478099999999</v>
      </c>
      <c r="P47" s="44">
        <v>427.03121900000002</v>
      </c>
      <c r="Q47" s="44">
        <v>409.60955799999999</v>
      </c>
      <c r="R47" s="44">
        <v>396.73980699999998</v>
      </c>
      <c r="S47" s="44">
        <v>387.82333399999999</v>
      </c>
      <c r="T47" s="44">
        <v>381.65939300000002</v>
      </c>
      <c r="U47" s="44">
        <v>377.57605000000001</v>
      </c>
      <c r="V47" s="44">
        <v>374.55401599999999</v>
      </c>
      <c r="W47" s="44">
        <v>372.48345899999998</v>
      </c>
      <c r="X47" s="44">
        <v>371.24044800000001</v>
      </c>
      <c r="Y47" s="44">
        <v>370.602936</v>
      </c>
      <c r="Z47" s="44">
        <v>371.138733</v>
      </c>
      <c r="AA47" s="44">
        <v>371.85049400000003</v>
      </c>
      <c r="AB47" s="44">
        <v>372.85183699999999</v>
      </c>
      <c r="AC47" s="44">
        <v>373.50030500000003</v>
      </c>
      <c r="AD47" s="44">
        <v>374.77465799999999</v>
      </c>
      <c r="AE47" s="44">
        <v>376.67770400000001</v>
      </c>
      <c r="AF47" s="41">
        <v>-4.1062000000000001E-2</v>
      </c>
      <c r="AG47" s="12"/>
    </row>
    <row r="48" spans="1:33" ht="12" customHeight="1">
      <c r="A48" s="11" t="s">
        <v>1346</v>
      </c>
      <c r="B48" s="43" t="s">
        <v>680</v>
      </c>
      <c r="C48" s="44">
        <v>0.40278399999999998</v>
      </c>
      <c r="D48" s="44">
        <v>0.42450199999999999</v>
      </c>
      <c r="E48" s="44">
        <v>0.45090000000000002</v>
      </c>
      <c r="F48" s="44">
        <v>0.47550700000000001</v>
      </c>
      <c r="G48" s="44">
        <v>0.49552499999999999</v>
      </c>
      <c r="H48" s="44">
        <v>0.51174399999999998</v>
      </c>
      <c r="I48" s="44">
        <v>0.52413100000000001</v>
      </c>
      <c r="J48" s="44">
        <v>0.53337500000000004</v>
      </c>
      <c r="K48" s="44">
        <v>0.53922700000000001</v>
      </c>
      <c r="L48" s="44">
        <v>0.542153</v>
      </c>
      <c r="M48" s="44">
        <v>0.54225900000000005</v>
      </c>
      <c r="N48" s="44">
        <v>0.53948099999999999</v>
      </c>
      <c r="O48" s="44">
        <v>0.53401699999999996</v>
      </c>
      <c r="P48" s="44">
        <v>0.52622400000000003</v>
      </c>
      <c r="Q48" s="44">
        <v>0.516212</v>
      </c>
      <c r="R48" s="44">
        <v>0.50370999999999999</v>
      </c>
      <c r="S48" s="44">
        <v>0.48858099999999999</v>
      </c>
      <c r="T48" s="44">
        <v>0.471082</v>
      </c>
      <c r="U48" s="44">
        <v>0.45154100000000003</v>
      </c>
      <c r="V48" s="44">
        <v>0.430114</v>
      </c>
      <c r="W48" s="44">
        <v>0.40718300000000002</v>
      </c>
      <c r="X48" s="44">
        <v>0.38306600000000002</v>
      </c>
      <c r="Y48" s="44">
        <v>0.35797499999999999</v>
      </c>
      <c r="Z48" s="44">
        <v>0.33221000000000001</v>
      </c>
      <c r="AA48" s="44">
        <v>0.30586600000000003</v>
      </c>
      <c r="AB48" s="44">
        <v>0.27916400000000002</v>
      </c>
      <c r="AC48" s="44">
        <v>0.25207499999999999</v>
      </c>
      <c r="AD48" s="44">
        <v>0.22464600000000001</v>
      </c>
      <c r="AE48" s="44">
        <v>0.196857</v>
      </c>
      <c r="AF48" s="41">
        <v>-2.5243999999999999E-2</v>
      </c>
      <c r="AG48" s="12"/>
    </row>
    <row r="49" spans="1:33" ht="12" customHeight="1">
      <c r="A49" s="11" t="s">
        <v>1347</v>
      </c>
      <c r="B49" s="43" t="s">
        <v>682</v>
      </c>
      <c r="C49" s="44">
        <v>7.4126669999999999</v>
      </c>
      <c r="D49" s="44">
        <v>13.531482</v>
      </c>
      <c r="E49" s="44">
        <v>22.335041</v>
      </c>
      <c r="F49" s="44">
        <v>33.406112999999998</v>
      </c>
      <c r="G49" s="44">
        <v>46.353321000000001</v>
      </c>
      <c r="H49" s="44">
        <v>60.676521000000001</v>
      </c>
      <c r="I49" s="44">
        <v>76.242644999999996</v>
      </c>
      <c r="J49" s="44">
        <v>93.138985000000005</v>
      </c>
      <c r="K49" s="44">
        <v>110.994789</v>
      </c>
      <c r="L49" s="44">
        <v>129.774933</v>
      </c>
      <c r="M49" s="44">
        <v>149.34217799999999</v>
      </c>
      <c r="N49" s="44">
        <v>169.62480199999999</v>
      </c>
      <c r="O49" s="44">
        <v>190.79437300000001</v>
      </c>
      <c r="P49" s="44">
        <v>213.05165099999999</v>
      </c>
      <c r="Q49" s="44">
        <v>236.29544100000001</v>
      </c>
      <c r="R49" s="44">
        <v>260.44390900000002</v>
      </c>
      <c r="S49" s="44">
        <v>285.51135299999999</v>
      </c>
      <c r="T49" s="44">
        <v>311.33316000000002</v>
      </c>
      <c r="U49" s="44">
        <v>338.007385</v>
      </c>
      <c r="V49" s="44">
        <v>365.09576399999997</v>
      </c>
      <c r="W49" s="44">
        <v>392.64248700000002</v>
      </c>
      <c r="X49" s="44">
        <v>420.65603599999997</v>
      </c>
      <c r="Y49" s="44">
        <v>449.01431300000002</v>
      </c>
      <c r="Z49" s="44">
        <v>478.30361900000003</v>
      </c>
      <c r="AA49" s="44">
        <v>507.88632200000001</v>
      </c>
      <c r="AB49" s="44">
        <v>537.97442599999999</v>
      </c>
      <c r="AC49" s="44">
        <v>568.08892800000001</v>
      </c>
      <c r="AD49" s="44">
        <v>598.928223</v>
      </c>
      <c r="AE49" s="44">
        <v>630.58471699999996</v>
      </c>
      <c r="AF49" s="41">
        <v>0.17197999999999999</v>
      </c>
      <c r="AG49" s="12"/>
    </row>
    <row r="50" spans="1:33" ht="15" customHeight="1">
      <c r="A50" s="11" t="s">
        <v>1348</v>
      </c>
      <c r="B50" s="43" t="s">
        <v>684</v>
      </c>
      <c r="C50" s="44">
        <v>4.682086</v>
      </c>
      <c r="D50" s="44">
        <v>6.2229380000000001</v>
      </c>
      <c r="E50" s="44">
        <v>8.1345430000000007</v>
      </c>
      <c r="F50" s="44">
        <v>10.340325</v>
      </c>
      <c r="G50" s="44">
        <v>12.714148</v>
      </c>
      <c r="H50" s="44">
        <v>15.219875</v>
      </c>
      <c r="I50" s="44">
        <v>17.849283</v>
      </c>
      <c r="J50" s="44">
        <v>20.622627000000001</v>
      </c>
      <c r="K50" s="44">
        <v>23.482182000000002</v>
      </c>
      <c r="L50" s="44">
        <v>26.428581000000001</v>
      </c>
      <c r="M50" s="44">
        <v>29.444866000000001</v>
      </c>
      <c r="N50" s="44">
        <v>32.522841999999997</v>
      </c>
      <c r="O50" s="44">
        <v>35.698284000000001</v>
      </c>
      <c r="P50" s="44">
        <v>39.007182999999998</v>
      </c>
      <c r="Q50" s="44">
        <v>42.437012000000003</v>
      </c>
      <c r="R50" s="44">
        <v>45.980494999999998</v>
      </c>
      <c r="S50" s="44">
        <v>49.641651000000003</v>
      </c>
      <c r="T50" s="44">
        <v>53.398612999999997</v>
      </c>
      <c r="U50" s="44">
        <v>57.268452000000003</v>
      </c>
      <c r="V50" s="44">
        <v>61.188079999999999</v>
      </c>
      <c r="W50" s="44">
        <v>65.168548999999999</v>
      </c>
      <c r="X50" s="44">
        <v>69.211051999999995</v>
      </c>
      <c r="Y50" s="44">
        <v>73.297386000000003</v>
      </c>
      <c r="Z50" s="44">
        <v>77.517409999999998</v>
      </c>
      <c r="AA50" s="44">
        <v>81.776482000000001</v>
      </c>
      <c r="AB50" s="44">
        <v>86.108940000000004</v>
      </c>
      <c r="AC50" s="44">
        <v>90.443427999999997</v>
      </c>
      <c r="AD50" s="44">
        <v>94.884017999999998</v>
      </c>
      <c r="AE50" s="44">
        <v>99.444466000000006</v>
      </c>
      <c r="AF50" s="41">
        <v>0.115316</v>
      </c>
      <c r="AG50" s="12"/>
    </row>
    <row r="51" spans="1:33" ht="15" customHeight="1">
      <c r="A51" s="11" t="s">
        <v>1349</v>
      </c>
      <c r="B51" s="43" t="s">
        <v>686</v>
      </c>
      <c r="C51" s="44">
        <v>19.925865000000002</v>
      </c>
      <c r="D51" s="44">
        <v>21.544412999999999</v>
      </c>
      <c r="E51" s="44">
        <v>23.247982</v>
      </c>
      <c r="F51" s="44">
        <v>26.570222999999999</v>
      </c>
      <c r="G51" s="44">
        <v>29.872574</v>
      </c>
      <c r="H51" s="44">
        <v>33.027237</v>
      </c>
      <c r="I51" s="44">
        <v>36.027607000000003</v>
      </c>
      <c r="J51" s="44">
        <v>38.916355000000003</v>
      </c>
      <c r="K51" s="44">
        <v>41.642071000000001</v>
      </c>
      <c r="L51" s="44">
        <v>44.229751999999998</v>
      </c>
      <c r="M51" s="44">
        <v>46.675167000000002</v>
      </c>
      <c r="N51" s="44">
        <v>48.983440000000002</v>
      </c>
      <c r="O51" s="44">
        <v>51.200951000000003</v>
      </c>
      <c r="P51" s="44">
        <v>53.372917000000001</v>
      </c>
      <c r="Q51" s="44">
        <v>55.503917999999999</v>
      </c>
      <c r="R51" s="44">
        <v>57.604095000000001</v>
      </c>
      <c r="S51" s="44">
        <v>59.697902999999997</v>
      </c>
      <c r="T51" s="44">
        <v>61.780059999999999</v>
      </c>
      <c r="U51" s="44">
        <v>63.879299000000003</v>
      </c>
      <c r="V51" s="44">
        <v>65.963065999999998</v>
      </c>
      <c r="W51" s="44">
        <v>68.048286000000004</v>
      </c>
      <c r="X51" s="44">
        <v>70.142859999999999</v>
      </c>
      <c r="Y51" s="44">
        <v>72.239493999999993</v>
      </c>
      <c r="Z51" s="44">
        <v>74.405258000000003</v>
      </c>
      <c r="AA51" s="44">
        <v>76.580680999999998</v>
      </c>
      <c r="AB51" s="44">
        <v>78.79007</v>
      </c>
      <c r="AC51" s="44">
        <v>80.991341000000006</v>
      </c>
      <c r="AD51" s="44">
        <v>83.242904999999993</v>
      </c>
      <c r="AE51" s="44">
        <v>85.554489000000004</v>
      </c>
      <c r="AF51" s="41">
        <v>5.3418E-2</v>
      </c>
      <c r="AG51" s="12"/>
    </row>
    <row r="52" spans="1:33" ht="15" customHeight="1">
      <c r="A52" s="11" t="s">
        <v>1350</v>
      </c>
      <c r="B52" s="43" t="s">
        <v>688</v>
      </c>
      <c r="C52" s="44">
        <v>1.216323</v>
      </c>
      <c r="D52" s="44">
        <v>1.8004869999999999</v>
      </c>
      <c r="E52" s="44">
        <v>2.6621299999999999</v>
      </c>
      <c r="F52" s="44">
        <v>3.8157960000000002</v>
      </c>
      <c r="G52" s="44">
        <v>5.2756109999999996</v>
      </c>
      <c r="H52" s="44">
        <v>6.9585080000000001</v>
      </c>
      <c r="I52" s="44">
        <v>8.8427710000000008</v>
      </c>
      <c r="J52" s="44">
        <v>10.92844</v>
      </c>
      <c r="K52" s="44">
        <v>13.17403</v>
      </c>
      <c r="L52" s="44">
        <v>15.571790999999999</v>
      </c>
      <c r="M52" s="44">
        <v>18.100981000000001</v>
      </c>
      <c r="N52" s="44">
        <v>20.747391</v>
      </c>
      <c r="O52" s="44">
        <v>23.521432999999998</v>
      </c>
      <c r="P52" s="44">
        <v>26.438811999999999</v>
      </c>
      <c r="Q52" s="44">
        <v>29.488754</v>
      </c>
      <c r="R52" s="44">
        <v>32.663853000000003</v>
      </c>
      <c r="S52" s="44">
        <v>35.966309000000003</v>
      </c>
      <c r="T52" s="44">
        <v>39.377879999999998</v>
      </c>
      <c r="U52" s="44">
        <v>42.906146999999997</v>
      </c>
      <c r="V52" s="44">
        <v>46.508395999999998</v>
      </c>
      <c r="W52" s="44">
        <v>50.184578000000002</v>
      </c>
      <c r="X52" s="44">
        <v>53.931499000000002</v>
      </c>
      <c r="Y52" s="44">
        <v>57.733252999999998</v>
      </c>
      <c r="Z52" s="44">
        <v>61.644629999999999</v>
      </c>
      <c r="AA52" s="44">
        <v>65.605125000000001</v>
      </c>
      <c r="AB52" s="44">
        <v>69.635688999999999</v>
      </c>
      <c r="AC52" s="44">
        <v>73.692322000000004</v>
      </c>
      <c r="AD52" s="44">
        <v>77.833954000000006</v>
      </c>
      <c r="AE52" s="44">
        <v>82.071624999999997</v>
      </c>
      <c r="AF52" s="41">
        <v>0.16232199999999999</v>
      </c>
      <c r="AG52" s="12"/>
    </row>
    <row r="53" spans="1:33" ht="15" customHeight="1">
      <c r="A53" s="11" t="s">
        <v>1351</v>
      </c>
      <c r="B53" s="43" t="s">
        <v>690</v>
      </c>
      <c r="C53" s="44">
        <v>0</v>
      </c>
      <c r="D53" s="44">
        <v>0</v>
      </c>
      <c r="E53" s="44">
        <v>0</v>
      </c>
      <c r="F53" s="44">
        <v>0</v>
      </c>
      <c r="G53" s="44">
        <v>0</v>
      </c>
      <c r="H53" s="44">
        <v>0</v>
      </c>
      <c r="I53" s="44">
        <v>0</v>
      </c>
      <c r="J53" s="44">
        <v>0</v>
      </c>
      <c r="K53" s="44">
        <v>0</v>
      </c>
      <c r="L53" s="44">
        <v>0</v>
      </c>
      <c r="M53" s="44">
        <v>0</v>
      </c>
      <c r="N53" s="44">
        <v>0</v>
      </c>
      <c r="O53" s="44">
        <v>0</v>
      </c>
      <c r="P53" s="44">
        <v>0</v>
      </c>
      <c r="Q53" s="44">
        <v>0</v>
      </c>
      <c r="R53" s="44">
        <v>0</v>
      </c>
      <c r="S53" s="44">
        <v>0</v>
      </c>
      <c r="T53" s="44">
        <v>0</v>
      </c>
      <c r="U53" s="44">
        <v>0</v>
      </c>
      <c r="V53" s="44">
        <v>0</v>
      </c>
      <c r="W53" s="44">
        <v>0</v>
      </c>
      <c r="X53" s="44">
        <v>0</v>
      </c>
      <c r="Y53" s="44">
        <v>0</v>
      </c>
      <c r="Z53" s="44">
        <v>0</v>
      </c>
      <c r="AA53" s="44">
        <v>0</v>
      </c>
      <c r="AB53" s="44">
        <v>0</v>
      </c>
      <c r="AC53" s="44">
        <v>0</v>
      </c>
      <c r="AD53" s="44">
        <v>0</v>
      </c>
      <c r="AE53" s="44">
        <v>0</v>
      </c>
      <c r="AF53" s="41" t="s">
        <v>340</v>
      </c>
      <c r="AG53" s="12"/>
    </row>
    <row r="54" spans="1:33" ht="15" customHeight="1">
      <c r="A54" s="11" t="s">
        <v>1352</v>
      </c>
      <c r="B54" s="43" t="s">
        <v>692</v>
      </c>
      <c r="C54" s="44">
        <v>135.86802700000001</v>
      </c>
      <c r="D54" s="44">
        <v>160.33596800000001</v>
      </c>
      <c r="E54" s="44">
        <v>184.473557</v>
      </c>
      <c r="F54" s="44">
        <v>209.81907699999999</v>
      </c>
      <c r="G54" s="44">
        <v>234.51753199999999</v>
      </c>
      <c r="H54" s="44">
        <v>257.46469100000002</v>
      </c>
      <c r="I54" s="44">
        <v>278.54953</v>
      </c>
      <c r="J54" s="44">
        <v>298.11563100000001</v>
      </c>
      <c r="K54" s="44">
        <v>315.834991</v>
      </c>
      <c r="L54" s="44">
        <v>331.873718</v>
      </c>
      <c r="M54" s="44">
        <v>346.20721400000002</v>
      </c>
      <c r="N54" s="44">
        <v>358.901276</v>
      </c>
      <c r="O54" s="44">
        <v>370.31750499999998</v>
      </c>
      <c r="P54" s="44">
        <v>380.79077100000001</v>
      </c>
      <c r="Q54" s="44">
        <v>390.40115400000002</v>
      </c>
      <c r="R54" s="44">
        <v>399.24508700000001</v>
      </c>
      <c r="S54" s="44">
        <v>407.54202299999997</v>
      </c>
      <c r="T54" s="44">
        <v>415.30740400000002</v>
      </c>
      <c r="U54" s="44">
        <v>422.79144300000002</v>
      </c>
      <c r="V54" s="44">
        <v>429.82556199999999</v>
      </c>
      <c r="W54" s="44">
        <v>436.565155</v>
      </c>
      <c r="X54" s="44">
        <v>443.109467</v>
      </c>
      <c r="Y54" s="44">
        <v>449.46087599999998</v>
      </c>
      <c r="Z54" s="44">
        <v>456.09204099999999</v>
      </c>
      <c r="AA54" s="44">
        <v>462.64462300000002</v>
      </c>
      <c r="AB54" s="44">
        <v>469.25631700000002</v>
      </c>
      <c r="AC54" s="44">
        <v>475.66360500000002</v>
      </c>
      <c r="AD54" s="44">
        <v>482.26095600000002</v>
      </c>
      <c r="AE54" s="44">
        <v>489.10043300000001</v>
      </c>
      <c r="AF54" s="41">
        <v>4.6808000000000002E-2</v>
      </c>
      <c r="AG54" s="12"/>
    </row>
    <row r="55" spans="1:33" ht="15" customHeight="1">
      <c r="A55" s="11" t="s">
        <v>1353</v>
      </c>
      <c r="B55" s="43" t="s">
        <v>694</v>
      </c>
      <c r="C55" s="44">
        <v>2.8394689999999998</v>
      </c>
      <c r="D55" s="44">
        <v>2.6402389999999998</v>
      </c>
      <c r="E55" s="44">
        <v>2.4714209999999999</v>
      </c>
      <c r="F55" s="44">
        <v>2.307671</v>
      </c>
      <c r="G55" s="44">
        <v>2.1489020000000001</v>
      </c>
      <c r="H55" s="44">
        <v>1.9944459999999999</v>
      </c>
      <c r="I55" s="44">
        <v>1.8519239999999999</v>
      </c>
      <c r="J55" s="44">
        <v>1.735058</v>
      </c>
      <c r="K55" s="44">
        <v>1.626692</v>
      </c>
      <c r="L55" s="44">
        <v>1.521126</v>
      </c>
      <c r="M55" s="44">
        <v>1.4203939999999999</v>
      </c>
      <c r="N55" s="44">
        <v>1.3247119999999999</v>
      </c>
      <c r="O55" s="44">
        <v>1.23502</v>
      </c>
      <c r="P55" s="44">
        <v>1.1505069999999999</v>
      </c>
      <c r="Q55" s="44">
        <v>1.0719479999999999</v>
      </c>
      <c r="R55" s="44">
        <v>1.010057</v>
      </c>
      <c r="S55" s="44">
        <v>0.95058600000000004</v>
      </c>
      <c r="T55" s="44">
        <v>0.89879100000000001</v>
      </c>
      <c r="U55" s="44">
        <v>0.84982899999999995</v>
      </c>
      <c r="V55" s="44">
        <v>0.80354300000000001</v>
      </c>
      <c r="W55" s="44">
        <v>0.75978599999999996</v>
      </c>
      <c r="X55" s="44">
        <v>0.71842099999999998</v>
      </c>
      <c r="Y55" s="44">
        <v>0.679315</v>
      </c>
      <c r="Z55" s="44">
        <v>0.64234599999999997</v>
      </c>
      <c r="AA55" s="44">
        <v>0.60739500000000002</v>
      </c>
      <c r="AB55" s="44">
        <v>0.57435199999999997</v>
      </c>
      <c r="AC55" s="44">
        <v>0.54311299999999996</v>
      </c>
      <c r="AD55" s="44">
        <v>0.51357900000000001</v>
      </c>
      <c r="AE55" s="44">
        <v>0.48565700000000001</v>
      </c>
      <c r="AF55" s="41">
        <v>-6.1119E-2</v>
      </c>
      <c r="AG55" s="12"/>
    </row>
    <row r="56" spans="1:33" ht="15" customHeight="1">
      <c r="A56" s="11" t="s">
        <v>1354</v>
      </c>
      <c r="B56" s="43" t="s">
        <v>696</v>
      </c>
      <c r="C56" s="44">
        <v>2.1852510000000001</v>
      </c>
      <c r="D56" s="44">
        <v>2.0150779999999999</v>
      </c>
      <c r="E56" s="44">
        <v>1.9048449999999999</v>
      </c>
      <c r="F56" s="44">
        <v>1.8006629999999999</v>
      </c>
      <c r="G56" s="44">
        <v>1.702199</v>
      </c>
      <c r="H56" s="44">
        <v>1.609138</v>
      </c>
      <c r="I56" s="44">
        <v>1.521183</v>
      </c>
      <c r="J56" s="44">
        <v>1.4380520000000001</v>
      </c>
      <c r="K56" s="44">
        <v>1.35948</v>
      </c>
      <c r="L56" s="44">
        <v>1.2852170000000001</v>
      </c>
      <c r="M56" s="44">
        <v>1.2150240000000001</v>
      </c>
      <c r="N56" s="44">
        <v>1.1486780000000001</v>
      </c>
      <c r="O56" s="44">
        <v>1.085968</v>
      </c>
      <c r="P56" s="44">
        <v>1.0266930000000001</v>
      </c>
      <c r="Q56" s="44">
        <v>0.970665</v>
      </c>
      <c r="R56" s="44">
        <v>0.91770499999999999</v>
      </c>
      <c r="S56" s="44">
        <v>0.867645</v>
      </c>
      <c r="T56" s="44">
        <v>0.82032499999999997</v>
      </c>
      <c r="U56" s="44">
        <v>0.77559500000000003</v>
      </c>
      <c r="V56" s="44">
        <v>0.73331199999999996</v>
      </c>
      <c r="W56" s="44">
        <v>0.69334200000000001</v>
      </c>
      <c r="X56" s="44">
        <v>0.655559</v>
      </c>
      <c r="Y56" s="44">
        <v>0.619842</v>
      </c>
      <c r="Z56" s="44">
        <v>0.58607699999999996</v>
      </c>
      <c r="AA56" s="44">
        <v>0.55415800000000004</v>
      </c>
      <c r="AB56" s="44">
        <v>0.52398299999999998</v>
      </c>
      <c r="AC56" s="44">
        <v>0.49545699999999998</v>
      </c>
      <c r="AD56" s="44">
        <v>0.46848899999999999</v>
      </c>
      <c r="AE56" s="44">
        <v>0.44299500000000003</v>
      </c>
      <c r="AF56" s="41">
        <v>-5.5404000000000002E-2</v>
      </c>
      <c r="AG56" s="12"/>
    </row>
    <row r="57" spans="1:33" ht="15" customHeight="1">
      <c r="A57" s="11" t="s">
        <v>1355</v>
      </c>
      <c r="B57" s="43" t="s">
        <v>698</v>
      </c>
      <c r="C57" s="44">
        <v>5.7546530000000002</v>
      </c>
      <c r="D57" s="44">
        <v>5.1709949999999996</v>
      </c>
      <c r="E57" s="44">
        <v>4.6336570000000004</v>
      </c>
      <c r="F57" s="44">
        <v>4.2048030000000001</v>
      </c>
      <c r="G57" s="44">
        <v>3.890476</v>
      </c>
      <c r="H57" s="44">
        <v>3.6618270000000002</v>
      </c>
      <c r="I57" s="44">
        <v>3.461627</v>
      </c>
      <c r="J57" s="44">
        <v>3.272411</v>
      </c>
      <c r="K57" s="44">
        <v>3.0935739999999998</v>
      </c>
      <c r="L57" s="44">
        <v>2.924544</v>
      </c>
      <c r="M57" s="44">
        <v>2.764783</v>
      </c>
      <c r="N57" s="44">
        <v>2.6137800000000002</v>
      </c>
      <c r="O57" s="44">
        <v>2.4710519999999998</v>
      </c>
      <c r="P57" s="44">
        <v>2.3361459999999998</v>
      </c>
      <c r="Q57" s="44">
        <v>2.208631</v>
      </c>
      <c r="R57" s="44">
        <v>2.0880999999999998</v>
      </c>
      <c r="S57" s="44">
        <v>1.97417</v>
      </c>
      <c r="T57" s="44">
        <v>1.8664780000000001</v>
      </c>
      <c r="U57" s="44">
        <v>1.7646809999999999</v>
      </c>
      <c r="V57" s="44">
        <v>1.668455</v>
      </c>
      <c r="W57" s="44">
        <v>1.577494</v>
      </c>
      <c r="X57" s="44">
        <v>1.4915099999999999</v>
      </c>
      <c r="Y57" s="44">
        <v>1.410229</v>
      </c>
      <c r="Z57" s="44">
        <v>1.3333919999999999</v>
      </c>
      <c r="AA57" s="44">
        <v>1.2607569999999999</v>
      </c>
      <c r="AB57" s="44">
        <v>1.192091</v>
      </c>
      <c r="AC57" s="44">
        <v>1.1271789999999999</v>
      </c>
      <c r="AD57" s="44">
        <v>1.0658129999999999</v>
      </c>
      <c r="AE57" s="44">
        <v>1.0078</v>
      </c>
      <c r="AF57" s="41">
        <v>-6.0326999999999999E-2</v>
      </c>
      <c r="AG57" s="12"/>
    </row>
    <row r="58" spans="1:33" ht="15" customHeight="1">
      <c r="A58" s="11" t="s">
        <v>1356</v>
      </c>
      <c r="B58" s="43" t="s">
        <v>700</v>
      </c>
      <c r="C58" s="44">
        <v>5.1262449999999999</v>
      </c>
      <c r="D58" s="44">
        <v>4.7267590000000004</v>
      </c>
      <c r="E58" s="44">
        <v>4.4681829999999998</v>
      </c>
      <c r="F58" s="44">
        <v>4.2238020000000001</v>
      </c>
      <c r="G58" s="44">
        <v>3.9928349999999999</v>
      </c>
      <c r="H58" s="44">
        <v>3.7745419999999998</v>
      </c>
      <c r="I58" s="44">
        <v>3.568225</v>
      </c>
      <c r="J58" s="44">
        <v>3.373224</v>
      </c>
      <c r="K58" s="44">
        <v>3.1889189999999998</v>
      </c>
      <c r="L58" s="44">
        <v>3.0147189999999999</v>
      </c>
      <c r="M58" s="44">
        <v>2.8500670000000001</v>
      </c>
      <c r="N58" s="44">
        <v>2.6944400000000002</v>
      </c>
      <c r="O58" s="44">
        <v>2.5473409999999999</v>
      </c>
      <c r="P58" s="44">
        <v>2.4083000000000001</v>
      </c>
      <c r="Q58" s="44">
        <v>2.276875</v>
      </c>
      <c r="R58" s="44">
        <v>2.152647</v>
      </c>
      <c r="S58" s="44">
        <v>2.0352209999999999</v>
      </c>
      <c r="T58" s="44">
        <v>1.924223</v>
      </c>
      <c r="U58" s="44">
        <v>1.819299</v>
      </c>
      <c r="V58" s="44">
        <v>1.7201169999999999</v>
      </c>
      <c r="W58" s="44">
        <v>1.62636</v>
      </c>
      <c r="X58" s="44">
        <v>1.5377320000000001</v>
      </c>
      <c r="Y58" s="44">
        <v>1.4539500000000001</v>
      </c>
      <c r="Z58" s="44">
        <v>1.3747480000000001</v>
      </c>
      <c r="AA58" s="44">
        <v>1.299876</v>
      </c>
      <c r="AB58" s="44">
        <v>1.229095</v>
      </c>
      <c r="AC58" s="44">
        <v>1.162182</v>
      </c>
      <c r="AD58" s="44">
        <v>1.0989249999999999</v>
      </c>
      <c r="AE58" s="44">
        <v>1.0391220000000001</v>
      </c>
      <c r="AF58" s="41">
        <v>-5.5405999999999997E-2</v>
      </c>
      <c r="AG58" s="12"/>
    </row>
    <row r="59" spans="1:33" ht="15" customHeight="1">
      <c r="A59" s="11" t="s">
        <v>1357</v>
      </c>
      <c r="B59" s="43" t="s">
        <v>702</v>
      </c>
      <c r="C59" s="44">
        <v>0</v>
      </c>
      <c r="D59" s="44">
        <v>0</v>
      </c>
      <c r="E59" s="44">
        <v>0</v>
      </c>
      <c r="F59" s="44">
        <v>0</v>
      </c>
      <c r="G59" s="44">
        <v>0</v>
      </c>
      <c r="H59" s="44">
        <v>0</v>
      </c>
      <c r="I59" s="44">
        <v>0</v>
      </c>
      <c r="J59" s="44">
        <v>0</v>
      </c>
      <c r="K59" s="44">
        <v>0</v>
      </c>
      <c r="L59" s="44">
        <v>0</v>
      </c>
      <c r="M59" s="44">
        <v>0</v>
      </c>
      <c r="N59" s="44">
        <v>0</v>
      </c>
      <c r="O59" s="44">
        <v>0</v>
      </c>
      <c r="P59" s="44">
        <v>0</v>
      </c>
      <c r="Q59" s="44">
        <v>0</v>
      </c>
      <c r="R59" s="44">
        <v>0</v>
      </c>
      <c r="S59" s="44">
        <v>0</v>
      </c>
      <c r="T59" s="44">
        <v>0</v>
      </c>
      <c r="U59" s="44">
        <v>0</v>
      </c>
      <c r="V59" s="44">
        <v>0</v>
      </c>
      <c r="W59" s="44">
        <v>0</v>
      </c>
      <c r="X59" s="44">
        <v>0</v>
      </c>
      <c r="Y59" s="44">
        <v>0</v>
      </c>
      <c r="Z59" s="44">
        <v>0</v>
      </c>
      <c r="AA59" s="44">
        <v>0</v>
      </c>
      <c r="AB59" s="44">
        <v>0</v>
      </c>
      <c r="AC59" s="44">
        <v>0</v>
      </c>
      <c r="AD59" s="44">
        <v>0</v>
      </c>
      <c r="AE59" s="44">
        <v>0</v>
      </c>
      <c r="AF59" s="41" t="s">
        <v>340</v>
      </c>
      <c r="AG59" s="12"/>
    </row>
    <row r="60" spans="1:33" ht="15" customHeight="1">
      <c r="A60" s="11" t="s">
        <v>1358</v>
      </c>
      <c r="B60" s="43" t="s">
        <v>704</v>
      </c>
      <c r="C60" s="44">
        <v>2.0339999999999998E-3</v>
      </c>
      <c r="D60" s="44">
        <v>6.2049999999999996E-3</v>
      </c>
      <c r="E60" s="44">
        <v>1.2722000000000001E-2</v>
      </c>
      <c r="F60" s="44">
        <v>2.1700000000000001E-2</v>
      </c>
      <c r="G60" s="44">
        <v>3.3008999999999997E-2</v>
      </c>
      <c r="H60" s="44">
        <v>4.6428999999999998E-2</v>
      </c>
      <c r="I60" s="44">
        <v>6.1843000000000002E-2</v>
      </c>
      <c r="J60" s="44">
        <v>7.9235E-2</v>
      </c>
      <c r="K60" s="44">
        <v>9.8308999999999994E-2</v>
      </c>
      <c r="L60" s="44">
        <v>0.118946</v>
      </c>
      <c r="M60" s="44">
        <v>0.140962</v>
      </c>
      <c r="N60" s="44">
        <v>0.164185</v>
      </c>
      <c r="O60" s="44">
        <v>0.188612</v>
      </c>
      <c r="P60" s="44">
        <v>0.214285</v>
      </c>
      <c r="Q60" s="44">
        <v>0.241124</v>
      </c>
      <c r="R60" s="44">
        <v>0.26907399999999998</v>
      </c>
      <c r="S60" s="44">
        <v>0.298147</v>
      </c>
      <c r="T60" s="44">
        <v>0.328241</v>
      </c>
      <c r="U60" s="44">
        <v>0.359404</v>
      </c>
      <c r="V60" s="44">
        <v>0.39135799999999998</v>
      </c>
      <c r="W60" s="44">
        <v>0.42408899999999999</v>
      </c>
      <c r="X60" s="44">
        <v>0.45756999999999998</v>
      </c>
      <c r="Y60" s="44">
        <v>0.49168200000000001</v>
      </c>
      <c r="Z60" s="44">
        <v>0.52675700000000003</v>
      </c>
      <c r="AA60" s="44">
        <v>0.56241099999999999</v>
      </c>
      <c r="AB60" s="44">
        <v>0.598777</v>
      </c>
      <c r="AC60" s="44">
        <v>0.63556699999999999</v>
      </c>
      <c r="AD60" s="44">
        <v>0.67315000000000003</v>
      </c>
      <c r="AE60" s="44">
        <v>0.71160800000000002</v>
      </c>
      <c r="AF60" s="41">
        <v>0.23269400000000001</v>
      </c>
      <c r="AG60" s="12"/>
    </row>
    <row r="61" spans="1:33" ht="15" customHeight="1">
      <c r="A61" s="11" t="s">
        <v>1359</v>
      </c>
      <c r="B61" s="43" t="s">
        <v>729</v>
      </c>
      <c r="C61" s="44">
        <v>1403.9254149999999</v>
      </c>
      <c r="D61" s="44">
        <v>1339.2801509999999</v>
      </c>
      <c r="E61" s="44">
        <v>1292.7174070000001</v>
      </c>
      <c r="F61" s="44">
        <v>1250.237183</v>
      </c>
      <c r="G61" s="44">
        <v>1215.381226</v>
      </c>
      <c r="H61" s="44">
        <v>1184.0926509999999</v>
      </c>
      <c r="I61" s="44">
        <v>1157.4570309999999</v>
      </c>
      <c r="J61" s="44">
        <v>1137.7867429999999</v>
      </c>
      <c r="K61" s="44">
        <v>1123.8199460000001</v>
      </c>
      <c r="L61" s="44">
        <v>1116.2508539999999</v>
      </c>
      <c r="M61" s="44">
        <v>1114.6232910000001</v>
      </c>
      <c r="N61" s="44">
        <v>1118.8454589999999</v>
      </c>
      <c r="O61" s="44">
        <v>1129.5892329999999</v>
      </c>
      <c r="P61" s="44">
        <v>1147.3548579999999</v>
      </c>
      <c r="Q61" s="44">
        <v>1171.02124</v>
      </c>
      <c r="R61" s="44">
        <v>1199.61853</v>
      </c>
      <c r="S61" s="44">
        <v>1232.7967530000001</v>
      </c>
      <c r="T61" s="44">
        <v>1269.1655270000001</v>
      </c>
      <c r="U61" s="44">
        <v>1308.4490969999999</v>
      </c>
      <c r="V61" s="44">
        <v>1348.881836</v>
      </c>
      <c r="W61" s="44">
        <v>1390.580811</v>
      </c>
      <c r="X61" s="44">
        <v>1433.535034</v>
      </c>
      <c r="Y61" s="44">
        <v>1477.3614500000001</v>
      </c>
      <c r="Z61" s="44">
        <v>1523.897217</v>
      </c>
      <c r="AA61" s="44">
        <v>1570.9343260000001</v>
      </c>
      <c r="AB61" s="44">
        <v>1619.0146480000001</v>
      </c>
      <c r="AC61" s="44">
        <v>1666.595703</v>
      </c>
      <c r="AD61" s="44">
        <v>1715.9692379999999</v>
      </c>
      <c r="AE61" s="44">
        <v>1767.3173830000001</v>
      </c>
      <c r="AF61" s="41">
        <v>8.2550000000000002E-3</v>
      </c>
      <c r="AG61" s="12"/>
    </row>
    <row r="62" spans="1:33" ht="15" customHeight="1">
      <c r="B62" s="12"/>
      <c r="C62" s="12"/>
      <c r="D62" s="12"/>
      <c r="E62" s="12"/>
      <c r="F62" s="12"/>
      <c r="G62" s="12"/>
      <c r="H62" s="12"/>
      <c r="I62" s="12"/>
      <c r="J62" s="12"/>
      <c r="K62" s="12"/>
      <c r="L62" s="12"/>
      <c r="M62" s="12"/>
      <c r="N62" s="12"/>
      <c r="O62" s="12"/>
      <c r="P62" s="12"/>
      <c r="Q62" s="12"/>
      <c r="R62" s="12"/>
      <c r="S62" s="12"/>
      <c r="T62" s="12"/>
      <c r="U62" s="12"/>
      <c r="V62" s="12"/>
      <c r="W62" s="12"/>
      <c r="X62" s="12"/>
      <c r="Y62" s="12"/>
      <c r="Z62" s="12"/>
      <c r="AA62" s="12"/>
      <c r="AB62" s="12"/>
      <c r="AC62" s="12"/>
      <c r="AD62" s="12"/>
      <c r="AE62" s="12"/>
      <c r="AF62" s="12"/>
      <c r="AG62" s="12"/>
    </row>
    <row r="63" spans="1:33" ht="15" customHeight="1">
      <c r="A63" s="11" t="s">
        <v>1360</v>
      </c>
      <c r="B63" s="43" t="s">
        <v>1361</v>
      </c>
      <c r="C63" s="44">
        <v>9103.5634769999997</v>
      </c>
      <c r="D63" s="44">
        <v>9049.1894530000009</v>
      </c>
      <c r="E63" s="44">
        <v>9102.0302730000003</v>
      </c>
      <c r="F63" s="44">
        <v>9189.4833980000003</v>
      </c>
      <c r="G63" s="44">
        <v>9278.2109380000002</v>
      </c>
      <c r="H63" s="44">
        <v>9347.515625</v>
      </c>
      <c r="I63" s="44">
        <v>9402.4619139999995</v>
      </c>
      <c r="J63" s="44">
        <v>9456.7958980000003</v>
      </c>
      <c r="K63" s="44">
        <v>9498.7880860000005</v>
      </c>
      <c r="L63" s="44">
        <v>9532.4726559999999</v>
      </c>
      <c r="M63" s="44">
        <v>9557.3642579999996</v>
      </c>
      <c r="N63" s="44">
        <v>9575.2666019999997</v>
      </c>
      <c r="O63" s="44">
        <v>9594.7626949999994</v>
      </c>
      <c r="P63" s="44">
        <v>9623.9726559999999</v>
      </c>
      <c r="Q63" s="44">
        <v>9661.0117190000001</v>
      </c>
      <c r="R63" s="44">
        <v>9704.4042969999991</v>
      </c>
      <c r="S63" s="44">
        <v>9755.2119139999995</v>
      </c>
      <c r="T63" s="44">
        <v>9810.3886719999991</v>
      </c>
      <c r="U63" s="44">
        <v>9872.4140619999998</v>
      </c>
      <c r="V63" s="44">
        <v>9932.7216800000006</v>
      </c>
      <c r="W63" s="44">
        <v>9993.1640619999998</v>
      </c>
      <c r="X63" s="44">
        <v>10054.582031</v>
      </c>
      <c r="Y63" s="44">
        <v>10115.234375</v>
      </c>
      <c r="Z63" s="44">
        <v>10185.045898</v>
      </c>
      <c r="AA63" s="44">
        <v>10253.295898</v>
      </c>
      <c r="AB63" s="44">
        <v>10323.652344</v>
      </c>
      <c r="AC63" s="44">
        <v>10388.939453000001</v>
      </c>
      <c r="AD63" s="44">
        <v>10459.662109000001</v>
      </c>
      <c r="AE63" s="44">
        <v>10536.678711</v>
      </c>
      <c r="AF63" s="41">
        <v>5.2350000000000001E-3</v>
      </c>
      <c r="AG63" s="12"/>
    </row>
    <row r="64" spans="1:33" ht="15" customHeight="1">
      <c r="B64" s="12"/>
      <c r="C64" s="12"/>
      <c r="D64" s="12"/>
      <c r="E64" s="12"/>
      <c r="F64" s="12"/>
      <c r="G64" s="12"/>
      <c r="H64" s="12"/>
      <c r="I64" s="12"/>
      <c r="J64" s="12"/>
      <c r="K64" s="12"/>
      <c r="L64" s="12"/>
      <c r="M64" s="12"/>
      <c r="N64" s="12"/>
      <c r="O64" s="12"/>
      <c r="P64" s="12"/>
      <c r="Q64" s="12"/>
      <c r="R64" s="12"/>
      <c r="S64" s="12"/>
      <c r="T64" s="12"/>
      <c r="U64" s="12"/>
      <c r="V64" s="12"/>
      <c r="W64" s="12"/>
      <c r="X64" s="12"/>
      <c r="Y64" s="12"/>
      <c r="Z64" s="12"/>
      <c r="AA64" s="12"/>
      <c r="AB64" s="12"/>
      <c r="AC64" s="12"/>
      <c r="AD64" s="12"/>
      <c r="AE64" s="12"/>
      <c r="AF64" s="12"/>
      <c r="AG64" s="12"/>
    </row>
    <row r="65" spans="1:34" ht="15" customHeight="1">
      <c r="A65" s="11" t="s">
        <v>1362</v>
      </c>
      <c r="B65" s="49" t="s">
        <v>393</v>
      </c>
      <c r="C65" s="53">
        <v>14741.170898</v>
      </c>
      <c r="D65" s="53">
        <v>14276.033203000001</v>
      </c>
      <c r="E65" s="53">
        <v>14006.5625</v>
      </c>
      <c r="F65" s="53">
        <v>13803.979492</v>
      </c>
      <c r="G65" s="53">
        <v>13625.132812</v>
      </c>
      <c r="H65" s="53">
        <v>13457.716796999999</v>
      </c>
      <c r="I65" s="53">
        <v>13304.828125</v>
      </c>
      <c r="J65" s="53">
        <v>13180.441406</v>
      </c>
      <c r="K65" s="53">
        <v>13068.610352</v>
      </c>
      <c r="L65" s="53">
        <v>12969.526367</v>
      </c>
      <c r="M65" s="53">
        <v>12882.349609000001</v>
      </c>
      <c r="N65" s="53">
        <v>12803.548828000001</v>
      </c>
      <c r="O65" s="53">
        <v>12743.689453000001</v>
      </c>
      <c r="P65" s="53">
        <v>12711.219727</v>
      </c>
      <c r="Q65" s="53">
        <v>12705.164062</v>
      </c>
      <c r="R65" s="53">
        <v>12715.314453000001</v>
      </c>
      <c r="S65" s="53">
        <v>12740.125</v>
      </c>
      <c r="T65" s="53">
        <v>12774.943359000001</v>
      </c>
      <c r="U65" s="53">
        <v>12820.956055000001</v>
      </c>
      <c r="V65" s="53">
        <v>12864.253906</v>
      </c>
      <c r="W65" s="53">
        <v>12907.40625</v>
      </c>
      <c r="X65" s="53">
        <v>12948.941406</v>
      </c>
      <c r="Y65" s="53">
        <v>12991.878906</v>
      </c>
      <c r="Z65" s="53">
        <v>13049.931640999999</v>
      </c>
      <c r="AA65" s="53">
        <v>13116.971680000001</v>
      </c>
      <c r="AB65" s="53">
        <v>13183.955078000001</v>
      </c>
      <c r="AC65" s="53">
        <v>13244.930664</v>
      </c>
      <c r="AD65" s="53">
        <v>13311.998046999999</v>
      </c>
      <c r="AE65" s="53">
        <v>13388.823242</v>
      </c>
      <c r="AF65" s="50">
        <v>-3.431E-3</v>
      </c>
      <c r="AG65" s="12"/>
    </row>
    <row r="66" spans="1:34" ht="15" customHeight="1">
      <c r="B66" s="12"/>
      <c r="C66" s="12"/>
      <c r="D66" s="12"/>
      <c r="E66" s="12"/>
      <c r="F66" s="12"/>
      <c r="G66" s="12"/>
      <c r="H66" s="12"/>
      <c r="I66" s="12"/>
      <c r="J66" s="12"/>
      <c r="K66" s="12"/>
      <c r="L66" s="12"/>
      <c r="M66" s="12"/>
      <c r="N66" s="12"/>
      <c r="O66" s="12"/>
      <c r="P66" s="12"/>
      <c r="Q66" s="12"/>
      <c r="R66" s="12"/>
      <c r="S66" s="12"/>
      <c r="T66" s="12"/>
      <c r="U66" s="12"/>
      <c r="V66" s="12"/>
      <c r="W66" s="12"/>
      <c r="X66" s="12"/>
      <c r="Y66" s="12"/>
      <c r="Z66" s="12"/>
      <c r="AA66" s="12"/>
      <c r="AB66" s="12"/>
      <c r="AC66" s="12"/>
      <c r="AD66" s="12"/>
      <c r="AE66" s="12"/>
      <c r="AF66" s="12"/>
      <c r="AG66" s="12"/>
    </row>
    <row r="67" spans="1:34" ht="15" customHeight="1">
      <c r="B67" s="49" t="s">
        <v>1363</v>
      </c>
      <c r="C67" s="12"/>
      <c r="D67" s="12"/>
      <c r="E67" s="12"/>
      <c r="F67" s="12"/>
      <c r="G67" s="12"/>
      <c r="H67" s="12"/>
      <c r="I67" s="12"/>
      <c r="J67" s="12"/>
      <c r="K67" s="12"/>
      <c r="L67" s="12"/>
      <c r="M67" s="12"/>
      <c r="N67" s="12"/>
      <c r="O67" s="12"/>
      <c r="P67" s="12"/>
      <c r="Q67" s="12"/>
      <c r="R67" s="12"/>
      <c r="S67" s="12"/>
      <c r="T67" s="12"/>
      <c r="U67" s="12"/>
      <c r="V67" s="12"/>
      <c r="W67" s="12"/>
      <c r="X67" s="12"/>
      <c r="Y67" s="12"/>
      <c r="Z67" s="12"/>
      <c r="AA67" s="12"/>
      <c r="AB67" s="12"/>
      <c r="AC67" s="12"/>
      <c r="AD67" s="12"/>
      <c r="AE67" s="12"/>
      <c r="AF67" s="12"/>
      <c r="AG67" s="12"/>
    </row>
    <row r="68" spans="1:34" ht="15" customHeight="1">
      <c r="A68" s="11" t="s">
        <v>1364</v>
      </c>
      <c r="B68" s="43" t="s">
        <v>753</v>
      </c>
      <c r="C68" s="44">
        <v>8031.3188479999999</v>
      </c>
      <c r="D68" s="44">
        <v>7940.3720700000003</v>
      </c>
      <c r="E68" s="44">
        <v>7903.7353519999997</v>
      </c>
      <c r="F68" s="44">
        <v>7909.8017579999996</v>
      </c>
      <c r="G68" s="44">
        <v>7940.830078</v>
      </c>
      <c r="H68" s="44">
        <v>7987.8505859999996</v>
      </c>
      <c r="I68" s="44">
        <v>8042.6831050000001</v>
      </c>
      <c r="J68" s="44">
        <v>8101.8808589999999</v>
      </c>
      <c r="K68" s="44">
        <v>8168.1220700000003</v>
      </c>
      <c r="L68" s="44">
        <v>8235.2177730000003</v>
      </c>
      <c r="M68" s="44">
        <v>8306.8525389999995</v>
      </c>
      <c r="N68" s="44">
        <v>8373.7109380000002</v>
      </c>
      <c r="O68" s="44">
        <v>8435.4941409999992</v>
      </c>
      <c r="P68" s="44">
        <v>8494.0546880000002</v>
      </c>
      <c r="Q68" s="44">
        <v>8552.7587889999995</v>
      </c>
      <c r="R68" s="44">
        <v>8606.1826170000004</v>
      </c>
      <c r="S68" s="44">
        <v>8658.1015619999998</v>
      </c>
      <c r="T68" s="44">
        <v>8711.0576170000004</v>
      </c>
      <c r="U68" s="44">
        <v>8762.5673829999996</v>
      </c>
      <c r="V68" s="44">
        <v>8814.5947269999997</v>
      </c>
      <c r="W68" s="44">
        <v>8864.6865230000003</v>
      </c>
      <c r="X68" s="44">
        <v>8916.5878909999992</v>
      </c>
      <c r="Y68" s="44">
        <v>8972.7021480000003</v>
      </c>
      <c r="Z68" s="44">
        <v>9027.6074219999991</v>
      </c>
      <c r="AA68" s="44">
        <v>9080.1376949999994</v>
      </c>
      <c r="AB68" s="44">
        <v>9132.8710940000001</v>
      </c>
      <c r="AC68" s="44">
        <v>9182.9980469999991</v>
      </c>
      <c r="AD68" s="44">
        <v>9228.2011719999991</v>
      </c>
      <c r="AE68" s="44">
        <v>9269.6210940000001</v>
      </c>
      <c r="AF68" s="41">
        <v>5.1339999999999997E-3</v>
      </c>
      <c r="AG68" s="12"/>
    </row>
    <row r="69" spans="1:34" ht="15" customHeight="1">
      <c r="A69" s="11" t="s">
        <v>1365</v>
      </c>
      <c r="B69" s="43" t="s">
        <v>754</v>
      </c>
      <c r="C69" s="44">
        <v>5201.8085940000001</v>
      </c>
      <c r="D69" s="44">
        <v>5250.8969729999999</v>
      </c>
      <c r="E69" s="44">
        <v>5302.2626950000003</v>
      </c>
      <c r="F69" s="44">
        <v>5353.2270509999998</v>
      </c>
      <c r="G69" s="44">
        <v>5399.2612300000001</v>
      </c>
      <c r="H69" s="44">
        <v>5437.2954099999997</v>
      </c>
      <c r="I69" s="44">
        <v>5468.6098629999997</v>
      </c>
      <c r="J69" s="44">
        <v>5492.0893550000001</v>
      </c>
      <c r="K69" s="44">
        <v>5507.6777339999999</v>
      </c>
      <c r="L69" s="44">
        <v>5512.2534180000002</v>
      </c>
      <c r="M69" s="44">
        <v>5521.1801759999998</v>
      </c>
      <c r="N69" s="44">
        <v>5519.0473629999997</v>
      </c>
      <c r="O69" s="44">
        <v>5513.2485349999997</v>
      </c>
      <c r="P69" s="44">
        <v>5500.6274409999996</v>
      </c>
      <c r="Q69" s="44">
        <v>5486.0024409999996</v>
      </c>
      <c r="R69" s="44">
        <v>5469.0234380000002</v>
      </c>
      <c r="S69" s="44">
        <v>5449.0185549999997</v>
      </c>
      <c r="T69" s="44">
        <v>5431.8198240000002</v>
      </c>
      <c r="U69" s="44">
        <v>5414.2065430000002</v>
      </c>
      <c r="V69" s="44">
        <v>5406.3969729999999</v>
      </c>
      <c r="W69" s="44">
        <v>5405.3071289999998</v>
      </c>
      <c r="X69" s="44">
        <v>5420.1103519999997</v>
      </c>
      <c r="Y69" s="44">
        <v>5445.6806640000004</v>
      </c>
      <c r="Z69" s="44">
        <v>5472.6030270000001</v>
      </c>
      <c r="AA69" s="44">
        <v>5500.2749020000001</v>
      </c>
      <c r="AB69" s="44">
        <v>5530.6381840000004</v>
      </c>
      <c r="AC69" s="44">
        <v>5561.6923829999996</v>
      </c>
      <c r="AD69" s="44">
        <v>5585.7548829999996</v>
      </c>
      <c r="AE69" s="44">
        <v>5608.0507809999999</v>
      </c>
      <c r="AF69" s="41">
        <v>2.689E-3</v>
      </c>
      <c r="AG69" s="12"/>
    </row>
    <row r="70" spans="1:34" ht="12" customHeight="1">
      <c r="A70" s="11" t="s">
        <v>1366</v>
      </c>
      <c r="B70" s="43" t="s">
        <v>755</v>
      </c>
      <c r="C70" s="44">
        <v>2.7199999999999998E-2</v>
      </c>
      <c r="D70" s="44">
        <v>0.446405</v>
      </c>
      <c r="E70" s="44">
        <v>0.88520500000000002</v>
      </c>
      <c r="F70" s="44">
        <v>1.334503</v>
      </c>
      <c r="G70" s="44">
        <v>1.8046040000000001</v>
      </c>
      <c r="H70" s="44">
        <v>2.2977280000000002</v>
      </c>
      <c r="I70" s="44">
        <v>2.8189009999999999</v>
      </c>
      <c r="J70" s="44">
        <v>3.3765900000000002</v>
      </c>
      <c r="K70" s="44">
        <v>3.9795349999999998</v>
      </c>
      <c r="L70" s="44">
        <v>4.6397399999999998</v>
      </c>
      <c r="M70" s="44">
        <v>5.3691800000000001</v>
      </c>
      <c r="N70" s="44">
        <v>6.1793230000000001</v>
      </c>
      <c r="O70" s="44">
        <v>7.0851259999999998</v>
      </c>
      <c r="P70" s="44">
        <v>8.1084790000000009</v>
      </c>
      <c r="Q70" s="44">
        <v>9.2763559999999998</v>
      </c>
      <c r="R70" s="44">
        <v>10.613517999999999</v>
      </c>
      <c r="S70" s="44">
        <v>12.144465</v>
      </c>
      <c r="T70" s="44">
        <v>13.896808999999999</v>
      </c>
      <c r="U70" s="44">
        <v>15.894682</v>
      </c>
      <c r="V70" s="44">
        <v>18.155231000000001</v>
      </c>
      <c r="W70" s="44">
        <v>20.693428000000001</v>
      </c>
      <c r="X70" s="44">
        <v>23.531113000000001</v>
      </c>
      <c r="Y70" s="44">
        <v>26.681090999999999</v>
      </c>
      <c r="Z70" s="44">
        <v>30.170033</v>
      </c>
      <c r="AA70" s="44">
        <v>33.996665999999998</v>
      </c>
      <c r="AB70" s="44">
        <v>38.143760999999998</v>
      </c>
      <c r="AC70" s="44">
        <v>42.573020999999997</v>
      </c>
      <c r="AD70" s="44">
        <v>47.273494999999997</v>
      </c>
      <c r="AE70" s="44">
        <v>52.222855000000003</v>
      </c>
      <c r="AF70" s="41">
        <v>0.30996800000000002</v>
      </c>
      <c r="AG70" s="12"/>
    </row>
    <row r="71" spans="1:34" ht="15" customHeight="1">
      <c r="A71" s="11" t="s">
        <v>1367</v>
      </c>
      <c r="B71" s="43" t="s">
        <v>756</v>
      </c>
      <c r="C71" s="44">
        <v>12.657215000000001</v>
      </c>
      <c r="D71" s="44">
        <v>12.253945999999999</v>
      </c>
      <c r="E71" s="44">
        <v>11.837052999999999</v>
      </c>
      <c r="F71" s="44">
        <v>11.405747</v>
      </c>
      <c r="G71" s="44">
        <v>10.958615999999999</v>
      </c>
      <c r="H71" s="44">
        <v>10.497102999999999</v>
      </c>
      <c r="I71" s="44">
        <v>10.004996999999999</v>
      </c>
      <c r="J71" s="44">
        <v>9.5020070000000008</v>
      </c>
      <c r="K71" s="44">
        <v>8.9698100000000007</v>
      </c>
      <c r="L71" s="44">
        <v>8.4179040000000001</v>
      </c>
      <c r="M71" s="44">
        <v>7.8272069999999996</v>
      </c>
      <c r="N71" s="44">
        <v>7.1769290000000003</v>
      </c>
      <c r="O71" s="44">
        <v>6.5703300000000002</v>
      </c>
      <c r="P71" s="44">
        <v>6.0011219999999996</v>
      </c>
      <c r="Q71" s="44">
        <v>5.4681610000000003</v>
      </c>
      <c r="R71" s="44">
        <v>4.9728019999999997</v>
      </c>
      <c r="S71" s="44">
        <v>4.5123030000000002</v>
      </c>
      <c r="T71" s="44">
        <v>4.0931480000000002</v>
      </c>
      <c r="U71" s="44">
        <v>3.7105700000000001</v>
      </c>
      <c r="V71" s="44">
        <v>3.3614989999999998</v>
      </c>
      <c r="W71" s="44">
        <v>3.0438139999999998</v>
      </c>
      <c r="X71" s="44">
        <v>2.7556120000000002</v>
      </c>
      <c r="Y71" s="44">
        <v>2.4947569999999999</v>
      </c>
      <c r="Z71" s="44">
        <v>2.2507510000000002</v>
      </c>
      <c r="AA71" s="44">
        <v>1.9678009999999999</v>
      </c>
      <c r="AB71" s="44">
        <v>1.629623</v>
      </c>
      <c r="AC71" s="44">
        <v>1.333248</v>
      </c>
      <c r="AD71" s="44">
        <v>1.052214</v>
      </c>
      <c r="AE71" s="44">
        <v>0.83661700000000006</v>
      </c>
      <c r="AF71" s="41">
        <v>-9.2464000000000005E-2</v>
      </c>
      <c r="AG71" s="12"/>
    </row>
    <row r="72" spans="1:34" ht="15" customHeight="1">
      <c r="A72" s="11" t="s">
        <v>1368</v>
      </c>
      <c r="B72" s="43" t="s">
        <v>757</v>
      </c>
      <c r="C72" s="44">
        <v>1568.900635</v>
      </c>
      <c r="D72" s="44">
        <v>1592.0656739999999</v>
      </c>
      <c r="E72" s="44">
        <v>1617.6141359999999</v>
      </c>
      <c r="F72" s="44">
        <v>1642.889404</v>
      </c>
      <c r="G72" s="44">
        <v>1666.8477780000001</v>
      </c>
      <c r="H72" s="44">
        <v>1689.6022949999999</v>
      </c>
      <c r="I72" s="44">
        <v>1709.506836</v>
      </c>
      <c r="J72" s="44">
        <v>1727.1770019999999</v>
      </c>
      <c r="K72" s="44">
        <v>1742.9711910000001</v>
      </c>
      <c r="L72" s="44">
        <v>1757.8314210000001</v>
      </c>
      <c r="M72" s="44">
        <v>1771.9936520000001</v>
      </c>
      <c r="N72" s="44">
        <v>1785.9129640000001</v>
      </c>
      <c r="O72" s="44">
        <v>1799.8901370000001</v>
      </c>
      <c r="P72" s="44">
        <v>1814.896606</v>
      </c>
      <c r="Q72" s="44">
        <v>1830.9842530000001</v>
      </c>
      <c r="R72" s="44">
        <v>1848.5692140000001</v>
      </c>
      <c r="S72" s="44">
        <v>1867.8732910000001</v>
      </c>
      <c r="T72" s="44">
        <v>1889.3264160000001</v>
      </c>
      <c r="U72" s="44">
        <v>1913.0802000000001</v>
      </c>
      <c r="V72" s="44">
        <v>1938.9139399999999</v>
      </c>
      <c r="W72" s="44">
        <v>1966.8549800000001</v>
      </c>
      <c r="X72" s="44">
        <v>1997.009155</v>
      </c>
      <c r="Y72" s="44">
        <v>2025.797241</v>
      </c>
      <c r="Z72" s="44">
        <v>2053.891846</v>
      </c>
      <c r="AA72" s="44">
        <v>2081.9648440000001</v>
      </c>
      <c r="AB72" s="44">
        <v>2106.8190920000002</v>
      </c>
      <c r="AC72" s="44">
        <v>2130.8447270000001</v>
      </c>
      <c r="AD72" s="44">
        <v>2151.36499</v>
      </c>
      <c r="AE72" s="44">
        <v>2171.7822270000001</v>
      </c>
      <c r="AF72" s="41">
        <v>1.1681E-2</v>
      </c>
      <c r="AG72" s="12"/>
    </row>
    <row r="73" spans="1:34" ht="15" customHeight="1">
      <c r="A73" s="11" t="s">
        <v>1369</v>
      </c>
      <c r="B73" s="43" t="s">
        <v>741</v>
      </c>
      <c r="C73" s="44">
        <v>0</v>
      </c>
      <c r="D73" s="44">
        <v>0</v>
      </c>
      <c r="E73" s="44">
        <v>0</v>
      </c>
      <c r="F73" s="44">
        <v>0</v>
      </c>
      <c r="G73" s="44">
        <v>0</v>
      </c>
      <c r="H73" s="44">
        <v>0</v>
      </c>
      <c r="I73" s="44">
        <v>0</v>
      </c>
      <c r="J73" s="44">
        <v>0</v>
      </c>
      <c r="K73" s="44">
        <v>0</v>
      </c>
      <c r="L73" s="44">
        <v>0</v>
      </c>
      <c r="M73" s="44">
        <v>0</v>
      </c>
      <c r="N73" s="44">
        <v>0</v>
      </c>
      <c r="O73" s="44">
        <v>0</v>
      </c>
      <c r="P73" s="44">
        <v>0</v>
      </c>
      <c r="Q73" s="44">
        <v>0</v>
      </c>
      <c r="R73" s="44">
        <v>0</v>
      </c>
      <c r="S73" s="44">
        <v>0</v>
      </c>
      <c r="T73" s="44">
        <v>0</v>
      </c>
      <c r="U73" s="44">
        <v>0</v>
      </c>
      <c r="V73" s="44">
        <v>0</v>
      </c>
      <c r="W73" s="44">
        <v>0</v>
      </c>
      <c r="X73" s="44">
        <v>0</v>
      </c>
      <c r="Y73" s="44">
        <v>0</v>
      </c>
      <c r="Z73" s="44">
        <v>0</v>
      </c>
      <c r="AA73" s="44">
        <v>0</v>
      </c>
      <c r="AB73" s="44">
        <v>0</v>
      </c>
      <c r="AC73" s="44">
        <v>0</v>
      </c>
      <c r="AD73" s="44">
        <v>0</v>
      </c>
      <c r="AE73" s="44">
        <v>0</v>
      </c>
      <c r="AF73" s="41" t="s">
        <v>340</v>
      </c>
      <c r="AG73" s="12"/>
    </row>
    <row r="74" spans="1:34" ht="15" customHeight="1">
      <c r="A74" s="11" t="s">
        <v>1370</v>
      </c>
      <c r="B74" s="43" t="s">
        <v>758</v>
      </c>
      <c r="C74" s="44">
        <v>0</v>
      </c>
      <c r="D74" s="44">
        <v>0.787767</v>
      </c>
      <c r="E74" s="44">
        <v>1.5879289999999999</v>
      </c>
      <c r="F74" s="44">
        <v>2.3966599999999998</v>
      </c>
      <c r="G74" s="44">
        <v>3.208523</v>
      </c>
      <c r="H74" s="44">
        <v>4.0274260000000002</v>
      </c>
      <c r="I74" s="44">
        <v>4.8601450000000002</v>
      </c>
      <c r="J74" s="44">
        <v>5.7169280000000002</v>
      </c>
      <c r="K74" s="44">
        <v>6.6017650000000003</v>
      </c>
      <c r="L74" s="44">
        <v>7.5191460000000001</v>
      </c>
      <c r="M74" s="44">
        <v>8.4768489999999996</v>
      </c>
      <c r="N74" s="44">
        <v>9.4802370000000007</v>
      </c>
      <c r="O74" s="44">
        <v>10.536694000000001</v>
      </c>
      <c r="P74" s="44">
        <v>11.657214</v>
      </c>
      <c r="Q74" s="44">
        <v>12.856301999999999</v>
      </c>
      <c r="R74" s="44">
        <v>14.143478</v>
      </c>
      <c r="S74" s="44">
        <v>15.531952</v>
      </c>
      <c r="T74" s="44">
        <v>17.031109000000001</v>
      </c>
      <c r="U74" s="44">
        <v>18.651724000000002</v>
      </c>
      <c r="V74" s="44">
        <v>20.389593000000001</v>
      </c>
      <c r="W74" s="44">
        <v>22.245595999999999</v>
      </c>
      <c r="X74" s="44">
        <v>24.213246999999999</v>
      </c>
      <c r="Y74" s="44">
        <v>26.284991999999999</v>
      </c>
      <c r="Z74" s="44">
        <v>28.463531</v>
      </c>
      <c r="AA74" s="44">
        <v>30.733688000000001</v>
      </c>
      <c r="AB74" s="44">
        <v>33.074711000000001</v>
      </c>
      <c r="AC74" s="44">
        <v>35.461925999999998</v>
      </c>
      <c r="AD74" s="44">
        <v>37.891818999999998</v>
      </c>
      <c r="AE74" s="44">
        <v>40.35284</v>
      </c>
      <c r="AF74" s="41" t="s">
        <v>340</v>
      </c>
      <c r="AG74" s="12"/>
    </row>
    <row r="75" spans="1:34" ht="15" customHeight="1">
      <c r="A75" s="11" t="s">
        <v>1371</v>
      </c>
      <c r="B75" s="43" t="s">
        <v>759</v>
      </c>
      <c r="C75" s="44">
        <v>0</v>
      </c>
      <c r="D75" s="44">
        <v>0.855433</v>
      </c>
      <c r="E75" s="44">
        <v>1.733762</v>
      </c>
      <c r="F75" s="44">
        <v>2.6065299999999998</v>
      </c>
      <c r="G75" s="44">
        <v>3.4725510000000002</v>
      </c>
      <c r="H75" s="44">
        <v>4.3335290000000004</v>
      </c>
      <c r="I75" s="44">
        <v>5.1927940000000001</v>
      </c>
      <c r="J75" s="44">
        <v>6.0617429999999999</v>
      </c>
      <c r="K75" s="44">
        <v>6.9501559999999998</v>
      </c>
      <c r="L75" s="44">
        <v>7.8712400000000002</v>
      </c>
      <c r="M75" s="44">
        <v>8.836157</v>
      </c>
      <c r="N75" s="44">
        <v>9.8554539999999999</v>
      </c>
      <c r="O75" s="44">
        <v>10.940022000000001</v>
      </c>
      <c r="P75" s="44">
        <v>12.10994</v>
      </c>
      <c r="Q75" s="44">
        <v>13.379708000000001</v>
      </c>
      <c r="R75" s="44">
        <v>14.764685</v>
      </c>
      <c r="S75" s="44">
        <v>16.280159000000001</v>
      </c>
      <c r="T75" s="44">
        <v>17.941573999999999</v>
      </c>
      <c r="U75" s="44">
        <v>19.761744</v>
      </c>
      <c r="V75" s="44">
        <v>21.739498000000001</v>
      </c>
      <c r="W75" s="44">
        <v>23.876650000000001</v>
      </c>
      <c r="X75" s="44">
        <v>26.169352</v>
      </c>
      <c r="Y75" s="44">
        <v>28.600905999999998</v>
      </c>
      <c r="Z75" s="44">
        <v>31.175287000000001</v>
      </c>
      <c r="AA75" s="44">
        <v>33.863022000000001</v>
      </c>
      <c r="AB75" s="44">
        <v>36.644165000000001</v>
      </c>
      <c r="AC75" s="44">
        <v>39.482059</v>
      </c>
      <c r="AD75" s="44">
        <v>42.376590999999998</v>
      </c>
      <c r="AE75" s="44">
        <v>45.306109999999997</v>
      </c>
      <c r="AF75" s="41" t="s">
        <v>340</v>
      </c>
      <c r="AG75" s="12"/>
    </row>
    <row r="76" spans="1:34" ht="15" customHeight="1">
      <c r="A76" s="11" t="s">
        <v>1372</v>
      </c>
      <c r="B76" s="43" t="s">
        <v>749</v>
      </c>
      <c r="C76" s="44">
        <v>0</v>
      </c>
      <c r="D76" s="44">
        <v>0</v>
      </c>
      <c r="E76" s="44">
        <v>0</v>
      </c>
      <c r="F76" s="44">
        <v>0</v>
      </c>
      <c r="G76" s="44">
        <v>0</v>
      </c>
      <c r="H76" s="44">
        <v>0</v>
      </c>
      <c r="I76" s="44">
        <v>0</v>
      </c>
      <c r="J76" s="44">
        <v>0</v>
      </c>
      <c r="K76" s="44">
        <v>0</v>
      </c>
      <c r="L76" s="44">
        <v>0</v>
      </c>
      <c r="M76" s="44">
        <v>0</v>
      </c>
      <c r="N76" s="44">
        <v>0</v>
      </c>
      <c r="O76" s="44">
        <v>0</v>
      </c>
      <c r="P76" s="44">
        <v>0</v>
      </c>
      <c r="Q76" s="44">
        <v>0</v>
      </c>
      <c r="R76" s="44">
        <v>0</v>
      </c>
      <c r="S76" s="44">
        <v>0</v>
      </c>
      <c r="T76" s="44">
        <v>0</v>
      </c>
      <c r="U76" s="44">
        <v>0</v>
      </c>
      <c r="V76" s="44">
        <v>0</v>
      </c>
      <c r="W76" s="44">
        <v>0</v>
      </c>
      <c r="X76" s="44">
        <v>0</v>
      </c>
      <c r="Y76" s="44">
        <v>0</v>
      </c>
      <c r="Z76" s="44">
        <v>0</v>
      </c>
      <c r="AA76" s="44">
        <v>0</v>
      </c>
      <c r="AB76" s="44">
        <v>0</v>
      </c>
      <c r="AC76" s="44">
        <v>0</v>
      </c>
      <c r="AD76" s="44">
        <v>0</v>
      </c>
      <c r="AE76" s="44">
        <v>0</v>
      </c>
      <c r="AF76" s="41" t="s">
        <v>340</v>
      </c>
      <c r="AG76" s="12"/>
    </row>
    <row r="77" spans="1:34" s="260" customFormat="1" ht="15" customHeight="1">
      <c r="A77" s="262" t="s">
        <v>1373</v>
      </c>
      <c r="B77" s="263" t="s">
        <v>1374</v>
      </c>
      <c r="C77" s="264">
        <v>14814.711914</v>
      </c>
      <c r="D77" s="264">
        <v>14797.678711</v>
      </c>
      <c r="E77" s="264">
        <v>14839.655273</v>
      </c>
      <c r="F77" s="264">
        <v>14923.662109000001</v>
      </c>
      <c r="G77" s="264">
        <v>15026.384765999999</v>
      </c>
      <c r="H77" s="264">
        <v>15135.905273</v>
      </c>
      <c r="I77" s="264">
        <v>15243.676758</v>
      </c>
      <c r="J77" s="264">
        <v>15345.804688</v>
      </c>
      <c r="K77" s="264">
        <v>15445.272461</v>
      </c>
      <c r="L77" s="264">
        <v>15533.75</v>
      </c>
      <c r="M77" s="264">
        <v>15630.535156</v>
      </c>
      <c r="N77" s="264">
        <v>15711.363281</v>
      </c>
      <c r="O77" s="264">
        <v>15783.764648</v>
      </c>
      <c r="P77" s="264">
        <v>15847.455078000001</v>
      </c>
      <c r="Q77" s="264">
        <v>15910.726562</v>
      </c>
      <c r="R77" s="264">
        <v>15968.269531</v>
      </c>
      <c r="S77" s="264">
        <v>16023.462890999999</v>
      </c>
      <c r="T77" s="264">
        <v>16085.165039</v>
      </c>
      <c r="U77" s="264">
        <v>16147.872069999999</v>
      </c>
      <c r="V77" s="264">
        <v>16223.551758</v>
      </c>
      <c r="W77" s="264">
        <v>16306.708008</v>
      </c>
      <c r="X77" s="264">
        <v>16410.376952999999</v>
      </c>
      <c r="Y77" s="264">
        <v>16528.242188</v>
      </c>
      <c r="Z77" s="264">
        <v>16646.162109000001</v>
      </c>
      <c r="AA77" s="264">
        <v>16762.939452999999</v>
      </c>
      <c r="AB77" s="264">
        <v>16879.820312</v>
      </c>
      <c r="AC77" s="264">
        <v>16994.386718999998</v>
      </c>
      <c r="AD77" s="264">
        <v>17093.916015999999</v>
      </c>
      <c r="AE77" s="264">
        <v>17188.173827999999</v>
      </c>
      <c r="AF77" s="265">
        <v>5.3210000000000002E-3</v>
      </c>
      <c r="AG77" s="266"/>
    </row>
    <row r="78" spans="1:34" ht="15" customHeight="1" thickBot="1">
      <c r="B78" s="12"/>
      <c r="C78" s="12"/>
      <c r="D78" s="12"/>
      <c r="E78" s="12"/>
      <c r="F78" s="12"/>
      <c r="G78" s="12"/>
      <c r="H78" s="12"/>
      <c r="I78" s="12"/>
      <c r="J78" s="12"/>
      <c r="K78" s="12"/>
      <c r="L78" s="12"/>
      <c r="M78" s="12"/>
      <c r="N78" s="12"/>
      <c r="O78" s="12"/>
      <c r="P78" s="12"/>
      <c r="Q78" s="12"/>
      <c r="R78" s="12"/>
      <c r="S78" s="12"/>
      <c r="T78" s="12"/>
      <c r="U78" s="12"/>
      <c r="V78" s="12"/>
      <c r="W78" s="12"/>
      <c r="X78" s="12"/>
      <c r="Y78" s="12"/>
      <c r="Z78" s="12"/>
      <c r="AA78" s="12"/>
      <c r="AB78" s="12"/>
      <c r="AC78" s="12"/>
      <c r="AD78" s="12"/>
      <c r="AE78" s="12"/>
      <c r="AF78" s="12"/>
      <c r="AG78" s="12"/>
    </row>
    <row r="79" spans="1:34" ht="15" customHeight="1">
      <c r="B79" s="292" t="s">
        <v>406</v>
      </c>
      <c r="C79" s="293"/>
      <c r="D79" s="293"/>
      <c r="E79" s="293"/>
      <c r="F79" s="293"/>
      <c r="G79" s="293"/>
      <c r="H79" s="293"/>
      <c r="I79" s="293"/>
      <c r="J79" s="293"/>
      <c r="K79" s="293"/>
      <c r="L79" s="293"/>
      <c r="M79" s="293"/>
      <c r="N79" s="293"/>
      <c r="O79" s="293"/>
      <c r="P79" s="293"/>
      <c r="Q79" s="293"/>
      <c r="R79" s="293"/>
      <c r="S79" s="293"/>
      <c r="T79" s="293"/>
      <c r="U79" s="293"/>
      <c r="V79" s="293"/>
      <c r="W79" s="293"/>
      <c r="X79" s="293"/>
      <c r="Y79" s="293"/>
      <c r="Z79" s="293"/>
      <c r="AA79" s="293"/>
      <c r="AB79" s="293"/>
      <c r="AC79" s="293"/>
      <c r="AD79" s="293"/>
      <c r="AE79" s="293"/>
      <c r="AF79" s="293"/>
      <c r="AG79" s="293"/>
      <c r="AH79" s="79"/>
    </row>
    <row r="80" spans="1:34" ht="15" customHeight="1">
      <c r="B80" s="12" t="s">
        <v>407</v>
      </c>
      <c r="C80" s="12"/>
      <c r="D80" s="12"/>
      <c r="E80" s="12"/>
      <c r="F80" s="12"/>
      <c r="G80" s="12"/>
      <c r="H80" s="12"/>
      <c r="I80" s="12"/>
      <c r="J80" s="12"/>
      <c r="K80" s="12"/>
      <c r="L80" s="12"/>
      <c r="M80" s="12"/>
      <c r="N80" s="12"/>
      <c r="O80" s="12"/>
      <c r="P80" s="12"/>
      <c r="Q80" s="12"/>
      <c r="R80" s="12"/>
      <c r="S80" s="12"/>
      <c r="T80" s="12"/>
      <c r="U80" s="12"/>
      <c r="V80" s="12"/>
      <c r="W80" s="12"/>
      <c r="X80" s="12"/>
      <c r="Y80" s="12"/>
      <c r="Z80" s="12"/>
      <c r="AA80" s="12"/>
      <c r="AB80" s="12"/>
      <c r="AC80" s="12"/>
      <c r="AD80" s="12"/>
      <c r="AE80" s="12"/>
      <c r="AF80" s="12"/>
      <c r="AG80" s="12"/>
    </row>
    <row r="81" spans="2:33" ht="15" customHeight="1">
      <c r="B81" s="12" t="s">
        <v>408</v>
      </c>
      <c r="C81" s="12"/>
      <c r="D81" s="12"/>
      <c r="E81" s="12"/>
      <c r="F81" s="12"/>
      <c r="G81" s="12"/>
      <c r="H81" s="12"/>
      <c r="I81" s="12"/>
      <c r="J81" s="12"/>
      <c r="K81" s="12"/>
      <c r="L81" s="12"/>
      <c r="M81" s="12"/>
      <c r="N81" s="12"/>
      <c r="O81" s="12"/>
      <c r="P81" s="12"/>
      <c r="Q81" s="12"/>
      <c r="R81" s="12"/>
      <c r="S81" s="12"/>
      <c r="T81" s="12"/>
      <c r="U81" s="12"/>
      <c r="V81" s="12"/>
      <c r="W81" s="12"/>
      <c r="X81" s="12"/>
      <c r="Y81" s="12"/>
      <c r="Z81" s="12"/>
      <c r="AA81" s="12"/>
      <c r="AB81" s="12"/>
      <c r="AC81" s="12"/>
      <c r="AD81" s="12"/>
      <c r="AE81" s="12"/>
      <c r="AF81" s="12"/>
      <c r="AG81" s="12"/>
    </row>
    <row r="82" spans="2:33" ht="15" customHeight="1">
      <c r="B82" s="12" t="s">
        <v>751</v>
      </c>
      <c r="C82" s="12"/>
      <c r="D82" s="12"/>
      <c r="E82" s="12"/>
      <c r="F82" s="12"/>
      <c r="G82" s="12"/>
      <c r="H82" s="12"/>
      <c r="I82" s="12"/>
      <c r="J82" s="12"/>
      <c r="K82" s="12"/>
      <c r="L82" s="12"/>
      <c r="M82" s="12"/>
      <c r="N82" s="12"/>
      <c r="O82" s="12"/>
      <c r="P82" s="12"/>
      <c r="Q82" s="12"/>
      <c r="R82" s="12"/>
      <c r="S82" s="12"/>
      <c r="T82" s="12"/>
      <c r="U82" s="12"/>
      <c r="V82" s="12"/>
      <c r="W82" s="12"/>
      <c r="X82" s="12"/>
      <c r="Y82" s="12"/>
      <c r="Z82" s="12"/>
      <c r="AA82" s="12"/>
      <c r="AB82" s="12"/>
      <c r="AC82" s="12"/>
      <c r="AD82" s="12"/>
      <c r="AE82" s="12"/>
      <c r="AF82" s="12"/>
      <c r="AG82" s="12"/>
    </row>
    <row r="83" spans="2:33" ht="15" customHeight="1">
      <c r="B83" s="12" t="s">
        <v>409</v>
      </c>
      <c r="C83" s="12"/>
      <c r="D83" s="12"/>
      <c r="E83" s="12"/>
      <c r="F83" s="12"/>
      <c r="G83" s="12"/>
      <c r="H83" s="12"/>
      <c r="I83" s="12"/>
      <c r="J83" s="12"/>
      <c r="K83" s="12"/>
      <c r="L83" s="12"/>
      <c r="M83" s="12"/>
      <c r="N83" s="12"/>
      <c r="O83" s="12"/>
      <c r="P83" s="12"/>
      <c r="Q83" s="12"/>
      <c r="R83" s="12"/>
      <c r="S83" s="12"/>
      <c r="T83" s="12"/>
      <c r="U83" s="12"/>
      <c r="V83" s="12"/>
      <c r="W83" s="12"/>
      <c r="X83" s="12"/>
      <c r="Y83" s="12"/>
      <c r="Z83" s="12"/>
      <c r="AA83" s="12"/>
      <c r="AB83" s="12"/>
      <c r="AC83" s="12"/>
      <c r="AD83" s="12"/>
      <c r="AE83" s="12"/>
      <c r="AF83" s="12"/>
      <c r="AG83" s="12"/>
    </row>
    <row r="84" spans="2:33" ht="15" customHeight="1">
      <c r="B84" s="12" t="s">
        <v>329</v>
      </c>
      <c r="C84" s="12"/>
      <c r="D84" s="12"/>
      <c r="E84" s="12"/>
      <c r="F84" s="12"/>
      <c r="G84" s="12"/>
      <c r="H84" s="12"/>
      <c r="I84" s="12"/>
      <c r="J84" s="12"/>
      <c r="K84" s="12"/>
      <c r="L84" s="12"/>
      <c r="M84" s="12"/>
      <c r="N84" s="12"/>
      <c r="O84" s="12"/>
      <c r="P84" s="12"/>
      <c r="Q84" s="12"/>
      <c r="R84" s="12"/>
      <c r="S84" s="12"/>
      <c r="T84" s="12"/>
      <c r="U84" s="12"/>
      <c r="V84" s="12"/>
      <c r="W84" s="12"/>
      <c r="X84" s="12"/>
      <c r="Y84" s="12"/>
      <c r="Z84" s="12"/>
      <c r="AA84" s="12"/>
      <c r="AB84" s="12"/>
      <c r="AC84" s="12"/>
      <c r="AD84" s="12"/>
      <c r="AE84" s="12"/>
      <c r="AF84" s="12"/>
      <c r="AG84" s="12"/>
    </row>
    <row r="85" spans="2:33" ht="15" customHeight="1">
      <c r="B85" s="12" t="s">
        <v>752</v>
      </c>
      <c r="C85" s="12"/>
      <c r="D85" s="12"/>
      <c r="E85" s="12"/>
      <c r="F85" s="12"/>
      <c r="G85" s="12"/>
      <c r="H85" s="12"/>
      <c r="I85" s="12"/>
      <c r="J85" s="12"/>
      <c r="K85" s="12"/>
      <c r="L85" s="12"/>
      <c r="M85" s="12"/>
      <c r="N85" s="12"/>
      <c r="O85" s="12"/>
      <c r="P85" s="12"/>
      <c r="Q85" s="12"/>
      <c r="R85" s="12"/>
      <c r="S85" s="12"/>
      <c r="T85" s="12"/>
      <c r="U85" s="12"/>
      <c r="V85" s="12"/>
      <c r="W85" s="12"/>
      <c r="X85" s="12"/>
      <c r="Y85" s="12"/>
      <c r="Z85" s="12"/>
      <c r="AA85" s="12"/>
      <c r="AB85" s="12"/>
      <c r="AC85" s="12"/>
      <c r="AD85" s="12"/>
      <c r="AE85" s="12"/>
      <c r="AF85" s="12"/>
      <c r="AG85" s="12"/>
    </row>
    <row r="86" spans="2:33" ht="15" customHeight="1">
      <c r="B86" s="12"/>
      <c r="C86" s="12"/>
      <c r="D86" s="12"/>
      <c r="E86" s="12"/>
      <c r="F86" s="12"/>
      <c r="G86" s="12"/>
      <c r="H86" s="12"/>
      <c r="I86" s="12"/>
      <c r="J86" s="12"/>
      <c r="K86" s="12"/>
      <c r="L86" s="12"/>
      <c r="M86" s="12"/>
      <c r="N86" s="12"/>
      <c r="O86" s="12"/>
      <c r="P86" s="12"/>
      <c r="Q86" s="12"/>
      <c r="R86" s="12"/>
      <c r="S86" s="12"/>
      <c r="T86" s="12"/>
      <c r="U86" s="12"/>
      <c r="V86" s="12"/>
      <c r="W86" s="12"/>
      <c r="X86" s="12"/>
      <c r="Y86" s="12"/>
      <c r="Z86" s="12"/>
      <c r="AA86" s="12"/>
      <c r="AB86" s="12"/>
      <c r="AC86" s="12"/>
      <c r="AD86" s="12"/>
      <c r="AE86" s="12"/>
      <c r="AF86" s="12"/>
      <c r="AG86" s="12"/>
    </row>
    <row r="87" spans="2:33" ht="15" customHeight="1">
      <c r="B87" s="12"/>
      <c r="C87" s="12"/>
      <c r="D87" s="12"/>
      <c r="E87" s="12"/>
      <c r="F87" s="12"/>
      <c r="G87" s="12"/>
      <c r="H87" s="12"/>
      <c r="I87" s="12"/>
      <c r="J87" s="12"/>
      <c r="K87" s="12"/>
      <c r="L87" s="12"/>
      <c r="M87" s="12"/>
      <c r="N87" s="12"/>
      <c r="O87" s="12"/>
      <c r="P87" s="12"/>
      <c r="Q87" s="12"/>
      <c r="R87" s="12"/>
      <c r="S87" s="12"/>
      <c r="T87" s="12"/>
      <c r="U87" s="12"/>
      <c r="V87" s="12"/>
      <c r="W87" s="12"/>
      <c r="X87" s="12"/>
      <c r="Y87" s="12"/>
      <c r="Z87" s="12"/>
      <c r="AA87" s="12"/>
      <c r="AB87" s="12"/>
      <c r="AC87" s="12"/>
      <c r="AD87" s="12"/>
      <c r="AE87" s="12"/>
      <c r="AF87" s="12"/>
      <c r="AG87" s="12"/>
    </row>
    <row r="88" spans="2:33" ht="15" customHeight="1">
      <c r="B88" s="12"/>
      <c r="C88" s="12"/>
      <c r="D88" s="12"/>
      <c r="E88" s="12"/>
      <c r="F88" s="12"/>
      <c r="G88" s="12"/>
      <c r="H88" s="12"/>
      <c r="I88" s="12"/>
      <c r="J88" s="12"/>
      <c r="K88" s="12"/>
      <c r="L88" s="12"/>
      <c r="M88" s="12"/>
      <c r="N88" s="12"/>
      <c r="O88" s="12"/>
      <c r="P88" s="12"/>
      <c r="Q88" s="12"/>
      <c r="R88" s="12"/>
      <c r="S88" s="12"/>
      <c r="T88" s="12"/>
      <c r="U88" s="12"/>
      <c r="V88" s="12"/>
      <c r="W88" s="12"/>
      <c r="X88" s="12"/>
      <c r="Y88" s="12"/>
      <c r="Z88" s="12"/>
      <c r="AA88" s="12"/>
      <c r="AB88" s="12"/>
      <c r="AC88" s="12"/>
      <c r="AD88" s="12"/>
      <c r="AE88" s="12"/>
      <c r="AF88" s="12"/>
      <c r="AG88" s="12"/>
    </row>
    <row r="89" spans="2:33" ht="15" customHeight="1">
      <c r="B89" s="12"/>
      <c r="C89" s="12"/>
      <c r="D89" s="12"/>
      <c r="E89" s="12"/>
      <c r="F89" s="12"/>
      <c r="G89" s="12"/>
      <c r="H89" s="12"/>
      <c r="I89" s="12"/>
      <c r="J89" s="12"/>
      <c r="K89" s="12"/>
      <c r="L89" s="12"/>
      <c r="M89" s="12"/>
      <c r="N89" s="12"/>
      <c r="O89" s="12"/>
      <c r="P89" s="12"/>
      <c r="Q89" s="12"/>
      <c r="R89" s="12"/>
      <c r="S89" s="12"/>
      <c r="T89" s="12"/>
      <c r="U89" s="12"/>
      <c r="V89" s="12"/>
      <c r="W89" s="12"/>
      <c r="X89" s="12"/>
      <c r="Y89" s="12"/>
      <c r="Z89" s="12"/>
      <c r="AA89" s="12"/>
      <c r="AB89" s="12"/>
      <c r="AC89" s="12"/>
      <c r="AD89" s="12"/>
      <c r="AE89" s="12"/>
      <c r="AF89" s="12"/>
      <c r="AG89" s="12"/>
    </row>
    <row r="90" spans="2:33" ht="15" customHeight="1">
      <c r="B90" s="12"/>
      <c r="C90" s="12"/>
      <c r="D90" s="12"/>
      <c r="E90" s="12"/>
      <c r="F90" s="12"/>
      <c r="G90" s="12"/>
      <c r="H90" s="12"/>
      <c r="I90" s="12"/>
      <c r="J90" s="12"/>
      <c r="K90" s="12"/>
      <c r="L90" s="12"/>
      <c r="M90" s="12"/>
      <c r="N90" s="12"/>
      <c r="O90" s="12"/>
      <c r="P90" s="12"/>
      <c r="Q90" s="12"/>
      <c r="R90" s="12"/>
      <c r="S90" s="12"/>
      <c r="T90" s="12"/>
      <c r="U90" s="12"/>
      <c r="V90" s="12"/>
      <c r="W90" s="12"/>
      <c r="X90" s="12"/>
      <c r="Y90" s="12"/>
      <c r="Z90" s="12"/>
      <c r="AA90" s="12"/>
      <c r="AB90" s="12"/>
      <c r="AC90" s="12"/>
      <c r="AD90" s="12"/>
      <c r="AE90" s="12"/>
      <c r="AF90" s="12"/>
      <c r="AG90" s="12"/>
    </row>
    <row r="91" spans="2:33" ht="12" customHeight="1">
      <c r="B91" s="12"/>
      <c r="C91" s="12"/>
      <c r="D91" s="12"/>
      <c r="E91" s="12"/>
      <c r="F91" s="12"/>
      <c r="G91" s="12"/>
      <c r="H91" s="12"/>
      <c r="I91" s="12"/>
      <c r="J91" s="12"/>
      <c r="K91" s="12"/>
      <c r="L91" s="12"/>
      <c r="M91" s="12"/>
      <c r="N91" s="12"/>
      <c r="O91" s="12"/>
      <c r="P91" s="12"/>
      <c r="Q91" s="12"/>
      <c r="R91" s="12"/>
      <c r="S91" s="12"/>
      <c r="T91" s="12"/>
      <c r="U91" s="12"/>
      <c r="V91" s="12"/>
      <c r="W91" s="12"/>
      <c r="X91" s="12"/>
      <c r="Y91" s="12"/>
      <c r="Z91" s="12"/>
      <c r="AA91" s="12"/>
      <c r="AB91" s="12"/>
      <c r="AC91" s="12"/>
      <c r="AD91" s="12"/>
      <c r="AE91" s="12"/>
      <c r="AF91" s="12"/>
      <c r="AG91" s="12"/>
    </row>
    <row r="92" spans="2:33" ht="15" customHeight="1">
      <c r="B92" s="12"/>
      <c r="C92" s="12"/>
      <c r="D92" s="12"/>
      <c r="E92" s="12"/>
      <c r="F92" s="12"/>
      <c r="G92" s="12"/>
      <c r="H92" s="12"/>
      <c r="I92" s="12"/>
      <c r="J92" s="12"/>
      <c r="K92" s="12"/>
      <c r="L92" s="12"/>
      <c r="M92" s="12"/>
      <c r="N92" s="12"/>
      <c r="O92" s="12"/>
      <c r="P92" s="12"/>
      <c r="Q92" s="12"/>
      <c r="R92" s="12"/>
      <c r="S92" s="12"/>
      <c r="T92" s="12"/>
      <c r="U92" s="12"/>
      <c r="V92" s="12"/>
      <c r="W92" s="12"/>
      <c r="X92" s="12"/>
      <c r="Y92" s="12"/>
      <c r="Z92" s="12"/>
      <c r="AA92" s="12"/>
      <c r="AB92" s="12"/>
      <c r="AC92" s="12"/>
      <c r="AD92" s="12"/>
      <c r="AE92" s="12"/>
      <c r="AF92" s="12"/>
      <c r="AG92" s="12"/>
    </row>
    <row r="93" spans="2:33" ht="15" customHeight="1">
      <c r="B93" s="12"/>
      <c r="C93" s="12"/>
      <c r="D93" s="12"/>
      <c r="E93" s="12"/>
      <c r="F93" s="12"/>
      <c r="G93" s="12"/>
      <c r="H93" s="12"/>
      <c r="I93" s="12"/>
      <c r="J93" s="12"/>
      <c r="K93" s="12"/>
      <c r="L93" s="12"/>
      <c r="M93" s="12"/>
      <c r="N93" s="12"/>
      <c r="O93" s="12"/>
      <c r="P93" s="12"/>
      <c r="Q93" s="12"/>
      <c r="R93" s="12"/>
      <c r="S93" s="12"/>
      <c r="T93" s="12"/>
      <c r="U93" s="12"/>
      <c r="V93" s="12"/>
      <c r="W93" s="12"/>
      <c r="X93" s="12"/>
      <c r="Y93" s="12"/>
      <c r="Z93" s="12"/>
      <c r="AA93" s="12"/>
      <c r="AB93" s="12"/>
      <c r="AC93" s="12"/>
      <c r="AD93" s="12"/>
      <c r="AE93" s="12"/>
      <c r="AF93" s="12"/>
      <c r="AG93" s="12"/>
    </row>
    <row r="94" spans="2:33" ht="15" customHeight="1">
      <c r="B94" s="12"/>
      <c r="C94" s="12"/>
      <c r="D94" s="12"/>
      <c r="E94" s="12"/>
      <c r="F94" s="12"/>
      <c r="G94" s="12"/>
      <c r="H94" s="12"/>
      <c r="I94" s="12"/>
      <c r="J94" s="12"/>
      <c r="K94" s="12"/>
      <c r="L94" s="12"/>
      <c r="M94" s="12"/>
      <c r="N94" s="12"/>
      <c r="O94" s="12"/>
      <c r="P94" s="12"/>
      <c r="Q94" s="12"/>
      <c r="R94" s="12"/>
      <c r="S94" s="12"/>
      <c r="T94" s="12"/>
      <c r="U94" s="12"/>
      <c r="V94" s="12"/>
      <c r="W94" s="12"/>
      <c r="X94" s="12"/>
      <c r="Y94" s="12"/>
      <c r="Z94" s="12"/>
      <c r="AA94" s="12"/>
      <c r="AB94" s="12"/>
      <c r="AC94" s="12"/>
      <c r="AD94" s="12"/>
      <c r="AE94" s="12"/>
      <c r="AF94" s="12"/>
      <c r="AG94" s="12"/>
    </row>
    <row r="95" spans="2:33" ht="15" customHeight="1">
      <c r="B95" s="12"/>
      <c r="C95" s="12"/>
      <c r="D95" s="12"/>
      <c r="E95" s="12"/>
      <c r="F95" s="12"/>
      <c r="G95" s="12"/>
      <c r="H95" s="12"/>
      <c r="I95" s="12"/>
      <c r="J95" s="12"/>
      <c r="K95" s="12"/>
      <c r="L95" s="12"/>
      <c r="M95" s="12"/>
      <c r="N95" s="12"/>
      <c r="O95" s="12"/>
      <c r="P95" s="12"/>
      <c r="Q95" s="12"/>
      <c r="R95" s="12"/>
      <c r="S95" s="12"/>
      <c r="T95" s="12"/>
      <c r="U95" s="12"/>
      <c r="V95" s="12"/>
      <c r="W95" s="12"/>
      <c r="X95" s="12"/>
      <c r="Y95" s="12"/>
      <c r="Z95" s="12"/>
      <c r="AA95" s="12"/>
      <c r="AB95" s="12"/>
      <c r="AC95" s="12"/>
      <c r="AD95" s="12"/>
      <c r="AE95" s="12"/>
      <c r="AF95" s="12"/>
      <c r="AG95" s="12"/>
    </row>
    <row r="96" spans="2:33" ht="12" customHeight="1">
      <c r="B96" s="12"/>
      <c r="C96" s="12"/>
      <c r="D96" s="12"/>
      <c r="E96" s="12"/>
      <c r="F96" s="12"/>
      <c r="G96" s="12"/>
      <c r="H96" s="12"/>
      <c r="I96" s="12"/>
      <c r="J96" s="12"/>
      <c r="K96" s="12"/>
      <c r="L96" s="12"/>
      <c r="M96" s="12"/>
      <c r="N96" s="12"/>
      <c r="O96" s="12"/>
      <c r="P96" s="12"/>
      <c r="Q96" s="12"/>
      <c r="R96" s="12"/>
      <c r="S96" s="12"/>
      <c r="T96" s="12"/>
      <c r="U96" s="12"/>
      <c r="V96" s="12"/>
      <c r="W96" s="12"/>
      <c r="X96" s="12"/>
      <c r="Y96" s="12"/>
      <c r="Z96" s="12"/>
      <c r="AA96" s="12"/>
      <c r="AB96" s="12"/>
      <c r="AC96" s="12"/>
      <c r="AD96" s="12"/>
      <c r="AE96" s="12"/>
      <c r="AF96" s="12"/>
      <c r="AG96" s="12"/>
    </row>
    <row r="97" spans="2:33" ht="15" customHeight="1">
      <c r="B97" s="12"/>
      <c r="C97" s="12"/>
      <c r="D97" s="12"/>
      <c r="E97" s="12"/>
      <c r="F97" s="12"/>
      <c r="G97" s="12"/>
      <c r="H97" s="12"/>
      <c r="I97" s="12"/>
      <c r="J97" s="12"/>
      <c r="K97" s="12"/>
      <c r="L97" s="12"/>
      <c r="M97" s="12"/>
      <c r="N97" s="12"/>
      <c r="O97" s="12"/>
      <c r="P97" s="12"/>
      <c r="Q97" s="12"/>
      <c r="R97" s="12"/>
      <c r="S97" s="12"/>
      <c r="T97" s="12"/>
      <c r="U97" s="12"/>
      <c r="V97" s="12"/>
      <c r="W97" s="12"/>
      <c r="X97" s="12"/>
      <c r="Y97" s="12"/>
      <c r="Z97" s="12"/>
      <c r="AA97" s="12"/>
      <c r="AB97" s="12"/>
      <c r="AC97" s="12"/>
      <c r="AD97" s="12"/>
      <c r="AE97" s="12"/>
      <c r="AF97" s="12"/>
      <c r="AG97" s="12"/>
    </row>
    <row r="98" spans="2:33" ht="12" customHeight="1">
      <c r="B98" s="12"/>
      <c r="C98" s="12"/>
      <c r="D98" s="12"/>
      <c r="E98" s="12"/>
      <c r="F98" s="12"/>
      <c r="G98" s="12"/>
      <c r="H98" s="12"/>
      <c r="I98" s="12"/>
      <c r="J98" s="12"/>
      <c r="K98" s="12"/>
      <c r="L98" s="12"/>
      <c r="M98" s="12"/>
      <c r="N98" s="12"/>
      <c r="O98" s="12"/>
      <c r="P98" s="12"/>
      <c r="Q98" s="12"/>
      <c r="R98" s="12"/>
      <c r="S98" s="12"/>
      <c r="T98" s="12"/>
      <c r="U98" s="12"/>
      <c r="V98" s="12"/>
      <c r="W98" s="12"/>
      <c r="X98" s="12"/>
      <c r="Y98" s="12"/>
      <c r="Z98" s="12"/>
      <c r="AA98" s="12"/>
      <c r="AB98" s="12"/>
      <c r="AC98" s="12"/>
      <c r="AD98" s="12"/>
      <c r="AE98" s="12"/>
      <c r="AF98" s="12"/>
      <c r="AG98" s="12"/>
    </row>
    <row r="99" spans="2:33" ht="15" customHeight="1">
      <c r="B99" s="12"/>
      <c r="C99" s="12"/>
      <c r="D99" s="12"/>
      <c r="E99" s="12"/>
      <c r="F99" s="12"/>
      <c r="G99" s="12"/>
      <c r="H99" s="12"/>
      <c r="I99" s="12"/>
      <c r="J99" s="12"/>
      <c r="K99" s="12"/>
      <c r="L99" s="12"/>
      <c r="M99" s="12"/>
      <c r="N99" s="12"/>
      <c r="O99" s="12"/>
      <c r="P99" s="12"/>
      <c r="Q99" s="12"/>
      <c r="R99" s="12"/>
      <c r="S99" s="12"/>
      <c r="T99" s="12"/>
      <c r="U99" s="12"/>
      <c r="V99" s="12"/>
      <c r="W99" s="12"/>
      <c r="X99" s="12"/>
      <c r="Y99" s="12"/>
      <c r="Z99" s="12"/>
      <c r="AA99" s="12"/>
      <c r="AB99" s="12"/>
      <c r="AC99" s="12"/>
      <c r="AD99" s="12"/>
      <c r="AE99" s="12"/>
      <c r="AF99" s="12"/>
      <c r="AG99" s="12"/>
    </row>
    <row r="100" spans="2:33" ht="15" customHeight="1">
      <c r="B100" s="12"/>
      <c r="C100" s="12"/>
      <c r="D100" s="12"/>
      <c r="E100" s="12"/>
      <c r="F100" s="12"/>
      <c r="G100" s="12"/>
      <c r="H100" s="12"/>
      <c r="I100" s="12"/>
      <c r="J100" s="12"/>
      <c r="K100" s="12"/>
      <c r="L100" s="12"/>
      <c r="M100" s="12"/>
      <c r="N100" s="12"/>
      <c r="O100" s="12"/>
      <c r="P100" s="12"/>
      <c r="Q100" s="12"/>
      <c r="R100" s="12"/>
      <c r="S100" s="12"/>
      <c r="T100" s="12"/>
      <c r="U100" s="12"/>
      <c r="V100" s="12"/>
      <c r="W100" s="12"/>
      <c r="X100" s="12"/>
      <c r="Y100" s="12"/>
      <c r="Z100" s="12"/>
      <c r="AA100" s="12"/>
      <c r="AB100" s="12"/>
      <c r="AC100" s="12"/>
      <c r="AD100" s="12"/>
      <c r="AE100" s="12"/>
      <c r="AF100" s="12"/>
      <c r="AG100" s="12"/>
    </row>
    <row r="101" spans="2:33" ht="15" customHeight="1">
      <c r="B101" s="12"/>
      <c r="C101" s="12"/>
      <c r="D101" s="12"/>
      <c r="E101" s="12"/>
      <c r="F101" s="12"/>
      <c r="G101" s="12"/>
      <c r="H101" s="12"/>
      <c r="I101" s="12"/>
      <c r="J101" s="12"/>
      <c r="K101" s="12"/>
      <c r="L101" s="12"/>
      <c r="M101" s="12"/>
      <c r="N101" s="12"/>
      <c r="O101" s="12"/>
      <c r="P101" s="12"/>
      <c r="Q101" s="12"/>
      <c r="R101" s="12"/>
      <c r="S101" s="12"/>
      <c r="T101" s="12"/>
      <c r="U101" s="12"/>
      <c r="V101" s="12"/>
      <c r="W101" s="12"/>
      <c r="X101" s="12"/>
      <c r="Y101" s="12"/>
      <c r="Z101" s="12"/>
      <c r="AA101" s="12"/>
      <c r="AB101" s="12"/>
      <c r="AC101" s="12"/>
      <c r="AD101" s="12"/>
      <c r="AE101" s="12"/>
      <c r="AF101" s="12"/>
      <c r="AG101" s="12"/>
    </row>
    <row r="102" spans="2:33" ht="15" customHeight="1">
      <c r="B102" s="12"/>
      <c r="C102" s="12"/>
      <c r="D102" s="12"/>
      <c r="E102" s="12"/>
      <c r="F102" s="12"/>
      <c r="G102" s="12"/>
      <c r="H102" s="12"/>
      <c r="I102" s="12"/>
      <c r="J102" s="12"/>
      <c r="K102" s="12"/>
      <c r="L102" s="12"/>
      <c r="M102" s="12"/>
      <c r="N102" s="12"/>
      <c r="O102" s="12"/>
      <c r="P102" s="12"/>
      <c r="Q102" s="12"/>
      <c r="R102" s="12"/>
      <c r="S102" s="12"/>
      <c r="T102" s="12"/>
      <c r="U102" s="12"/>
      <c r="V102" s="12"/>
      <c r="W102" s="12"/>
      <c r="X102" s="12"/>
      <c r="Y102" s="12"/>
      <c r="Z102" s="12"/>
      <c r="AA102" s="12"/>
      <c r="AB102" s="12"/>
      <c r="AC102" s="12"/>
      <c r="AD102" s="12"/>
      <c r="AE102" s="12"/>
      <c r="AF102" s="12"/>
      <c r="AG102" s="12"/>
    </row>
    <row r="103" spans="2:33" ht="15" customHeight="1">
      <c r="B103" s="12"/>
      <c r="C103" s="12"/>
      <c r="D103" s="12"/>
      <c r="E103" s="12"/>
      <c r="F103" s="12"/>
      <c r="G103" s="12"/>
      <c r="H103" s="12"/>
      <c r="I103" s="12"/>
      <c r="J103" s="12"/>
      <c r="K103" s="12"/>
      <c r="L103" s="12"/>
      <c r="M103" s="12"/>
      <c r="N103" s="12"/>
      <c r="O103" s="12"/>
      <c r="P103" s="12"/>
      <c r="Q103" s="12"/>
      <c r="R103" s="12"/>
      <c r="S103" s="12"/>
      <c r="T103" s="12"/>
      <c r="U103" s="12"/>
      <c r="V103" s="12"/>
      <c r="W103" s="12"/>
      <c r="X103" s="12"/>
      <c r="Y103" s="12"/>
      <c r="Z103" s="12"/>
      <c r="AA103" s="12"/>
      <c r="AB103" s="12"/>
      <c r="AC103" s="12"/>
      <c r="AD103" s="12"/>
      <c r="AE103" s="12"/>
      <c r="AF103" s="12"/>
      <c r="AG103" s="12"/>
    </row>
    <row r="104" spans="2:33" ht="15" customHeight="1">
      <c r="B104" s="12"/>
      <c r="C104" s="12"/>
      <c r="D104" s="12"/>
      <c r="E104" s="12"/>
      <c r="F104" s="12"/>
      <c r="G104" s="12"/>
      <c r="H104" s="12"/>
      <c r="I104" s="12"/>
      <c r="J104" s="12"/>
      <c r="K104" s="12"/>
      <c r="L104" s="12"/>
      <c r="M104" s="12"/>
      <c r="N104" s="12"/>
      <c r="O104" s="12"/>
      <c r="P104" s="12"/>
      <c r="Q104" s="12"/>
      <c r="R104" s="12"/>
      <c r="S104" s="12"/>
      <c r="T104" s="12"/>
      <c r="U104" s="12"/>
      <c r="V104" s="12"/>
      <c r="W104" s="12"/>
      <c r="X104" s="12"/>
      <c r="Y104" s="12"/>
      <c r="Z104" s="12"/>
      <c r="AA104" s="12"/>
      <c r="AB104" s="12"/>
      <c r="AC104" s="12"/>
      <c r="AD104" s="12"/>
      <c r="AE104" s="12"/>
      <c r="AF104" s="12"/>
      <c r="AG104" s="12"/>
    </row>
    <row r="105" spans="2:33" ht="15" customHeight="1">
      <c r="B105" s="12"/>
      <c r="C105" s="12"/>
      <c r="D105" s="12"/>
      <c r="E105" s="12"/>
      <c r="F105" s="12"/>
      <c r="G105" s="12"/>
      <c r="H105" s="12"/>
      <c r="I105" s="12"/>
      <c r="J105" s="12"/>
      <c r="K105" s="12"/>
      <c r="L105" s="12"/>
      <c r="M105" s="12"/>
      <c r="N105" s="12"/>
      <c r="O105" s="12"/>
      <c r="P105" s="12"/>
      <c r="Q105" s="12"/>
      <c r="R105" s="12"/>
      <c r="S105" s="12"/>
      <c r="T105" s="12"/>
      <c r="U105" s="12"/>
      <c r="V105" s="12"/>
      <c r="W105" s="12"/>
      <c r="X105" s="12"/>
      <c r="Y105" s="12"/>
      <c r="Z105" s="12"/>
      <c r="AA105" s="12"/>
      <c r="AB105" s="12"/>
      <c r="AC105" s="12"/>
      <c r="AD105" s="12"/>
      <c r="AE105" s="12"/>
      <c r="AF105" s="12"/>
      <c r="AG105" s="12"/>
    </row>
    <row r="106" spans="2:33" ht="15" customHeight="1">
      <c r="B106" s="12"/>
      <c r="C106" s="12"/>
      <c r="D106" s="12"/>
      <c r="E106" s="12"/>
      <c r="F106" s="12"/>
      <c r="G106" s="12"/>
      <c r="H106" s="12"/>
      <c r="I106" s="12"/>
      <c r="J106" s="12"/>
      <c r="K106" s="12"/>
      <c r="L106" s="12"/>
      <c r="M106" s="12"/>
      <c r="N106" s="12"/>
      <c r="O106" s="12"/>
      <c r="P106" s="12"/>
      <c r="Q106" s="12"/>
      <c r="R106" s="12"/>
      <c r="S106" s="12"/>
      <c r="T106" s="12"/>
      <c r="U106" s="12"/>
      <c r="V106" s="12"/>
      <c r="W106" s="12"/>
      <c r="X106" s="12"/>
      <c r="Y106" s="12"/>
      <c r="Z106" s="12"/>
      <c r="AA106" s="12"/>
      <c r="AB106" s="12"/>
      <c r="AC106" s="12"/>
      <c r="AD106" s="12"/>
      <c r="AE106" s="12"/>
      <c r="AF106" s="12"/>
      <c r="AG106" s="12"/>
    </row>
    <row r="107" spans="2:33" ht="15" customHeight="1">
      <c r="B107" s="12"/>
      <c r="C107" s="12"/>
      <c r="D107" s="12"/>
      <c r="E107" s="12"/>
      <c r="F107" s="12"/>
      <c r="G107" s="12"/>
      <c r="H107" s="12"/>
      <c r="I107" s="12"/>
      <c r="J107" s="12"/>
      <c r="K107" s="12"/>
      <c r="L107" s="12"/>
      <c r="M107" s="12"/>
      <c r="N107" s="12"/>
      <c r="O107" s="12"/>
      <c r="P107" s="12"/>
      <c r="Q107" s="12"/>
      <c r="R107" s="12"/>
      <c r="S107" s="12"/>
      <c r="T107" s="12"/>
      <c r="U107" s="12"/>
      <c r="V107" s="12"/>
      <c r="W107" s="12"/>
      <c r="X107" s="12"/>
      <c r="Y107" s="12"/>
      <c r="Z107" s="12"/>
      <c r="AA107" s="12"/>
      <c r="AB107" s="12"/>
      <c r="AC107" s="12"/>
      <c r="AD107" s="12"/>
      <c r="AE107" s="12"/>
      <c r="AF107" s="12"/>
      <c r="AG107" s="12"/>
    </row>
    <row r="108" spans="2:33" ht="15" customHeight="1">
      <c r="B108" s="12"/>
      <c r="C108" s="12"/>
      <c r="D108" s="12"/>
      <c r="E108" s="12"/>
      <c r="F108" s="12"/>
      <c r="G108" s="12"/>
      <c r="H108" s="12"/>
      <c r="I108" s="12"/>
      <c r="J108" s="12"/>
      <c r="K108" s="12"/>
      <c r="L108" s="12"/>
      <c r="M108" s="12"/>
      <c r="N108" s="12"/>
      <c r="O108" s="12"/>
      <c r="P108" s="12"/>
      <c r="Q108" s="12"/>
      <c r="R108" s="12"/>
      <c r="S108" s="12"/>
      <c r="T108" s="12"/>
      <c r="U108" s="12"/>
      <c r="V108" s="12"/>
      <c r="W108" s="12"/>
      <c r="X108" s="12"/>
      <c r="Y108" s="12"/>
      <c r="Z108" s="12"/>
      <c r="AA108" s="12"/>
      <c r="AB108" s="12"/>
      <c r="AC108" s="12"/>
      <c r="AD108" s="12"/>
      <c r="AE108" s="12"/>
      <c r="AF108" s="12"/>
      <c r="AG108" s="12"/>
    </row>
    <row r="109" spans="2:33" ht="15" customHeight="1">
      <c r="B109" s="12"/>
      <c r="C109" s="12"/>
      <c r="D109" s="12"/>
      <c r="E109" s="12"/>
      <c r="F109" s="12"/>
      <c r="G109" s="12"/>
      <c r="H109" s="12"/>
      <c r="I109" s="12"/>
      <c r="J109" s="12"/>
      <c r="K109" s="12"/>
      <c r="L109" s="12"/>
      <c r="M109" s="12"/>
      <c r="N109" s="12"/>
      <c r="O109" s="12"/>
      <c r="P109" s="12"/>
      <c r="Q109" s="12"/>
      <c r="R109" s="12"/>
      <c r="S109" s="12"/>
      <c r="T109" s="12"/>
      <c r="U109" s="12"/>
      <c r="V109" s="12"/>
      <c r="W109" s="12"/>
      <c r="X109" s="12"/>
      <c r="Y109" s="12"/>
      <c r="Z109" s="12"/>
      <c r="AA109" s="12"/>
      <c r="AB109" s="12"/>
      <c r="AC109" s="12"/>
      <c r="AD109" s="12"/>
      <c r="AE109" s="12"/>
      <c r="AF109" s="12" t="s">
        <v>655</v>
      </c>
      <c r="AG109" s="12"/>
    </row>
    <row r="110" spans="2:33" ht="15" customHeight="1"/>
    <row r="111" spans="2:33" ht="15" customHeight="1"/>
    <row r="112" spans="2:33" ht="15" customHeight="1"/>
    <row r="113" spans="2:32" ht="15" customHeight="1"/>
    <row r="114" spans="2:32" ht="12" customHeight="1"/>
    <row r="115" spans="2:32" ht="15" customHeight="1"/>
    <row r="116" spans="2:32" ht="15" customHeight="1"/>
    <row r="117" spans="2:32" ht="15" customHeight="1">
      <c r="B117" s="291"/>
      <c r="C117" s="291"/>
      <c r="D117" s="291"/>
      <c r="E117" s="291"/>
      <c r="F117" s="291"/>
      <c r="G117" s="291"/>
      <c r="H117" s="291"/>
      <c r="I117" s="291"/>
      <c r="J117" s="291"/>
      <c r="K117" s="291"/>
      <c r="L117" s="291"/>
      <c r="M117" s="291"/>
      <c r="N117" s="291"/>
      <c r="O117" s="291"/>
      <c r="P117" s="291"/>
      <c r="Q117" s="291"/>
      <c r="R117" s="291"/>
      <c r="S117" s="291"/>
      <c r="T117" s="291"/>
      <c r="U117" s="291"/>
      <c r="V117" s="291"/>
      <c r="W117" s="291"/>
      <c r="X117" s="291"/>
      <c r="Y117" s="291"/>
      <c r="Z117" s="291"/>
      <c r="AA117" s="291"/>
      <c r="AB117" s="291"/>
      <c r="AC117" s="291"/>
      <c r="AD117" s="291"/>
      <c r="AE117" s="291"/>
      <c r="AF117" s="291"/>
    </row>
    <row r="118" spans="2:32" ht="15" customHeight="1"/>
    <row r="119" spans="2:32" ht="15" customHeight="1"/>
    <row r="120" spans="2:32" ht="15" customHeight="1"/>
    <row r="121" spans="2:32" ht="15" customHeight="1"/>
    <row r="122" spans="2:32" ht="15" customHeight="1"/>
    <row r="123" spans="2:32" ht="15" customHeight="1"/>
    <row r="124" spans="2:32" ht="15" customHeight="1"/>
    <row r="125" spans="2:32" ht="15" customHeight="1"/>
    <row r="126" spans="2:32" ht="15" customHeight="1"/>
    <row r="127" spans="2:32" ht="15" customHeight="1"/>
    <row r="128" spans="2:32" ht="15" customHeight="1"/>
    <row r="129" customFormat="1" ht="12" customHeight="1"/>
    <row r="130" customFormat="1" ht="12" customHeight="1"/>
    <row r="131" customFormat="1" ht="12" customHeight="1"/>
    <row r="132" customFormat="1" ht="12" customHeight="1"/>
    <row r="133" customFormat="1" ht="12" customHeight="1"/>
    <row r="134" customFormat="1" ht="12" customHeight="1"/>
    <row r="135" customFormat="1" ht="12" customHeight="1"/>
    <row r="136" customFormat="1" ht="12" customHeight="1"/>
    <row r="137" customFormat="1" ht="12" customHeight="1"/>
    <row r="138" customFormat="1" ht="12" customHeight="1"/>
    <row r="139" customFormat="1" ht="12" customHeight="1"/>
    <row r="140" customFormat="1" ht="12" customHeight="1"/>
    <row r="141" customFormat="1" ht="12" customHeight="1"/>
    <row r="142" customFormat="1" ht="12" customHeight="1"/>
    <row r="143" customFormat="1" ht="12" customHeight="1"/>
    <row r="144" customFormat="1" ht="12" customHeight="1"/>
    <row r="145" customFormat="1" ht="12" customHeight="1"/>
    <row r="146" customFormat="1" ht="12" customHeight="1"/>
    <row r="147" customFormat="1" ht="12" customHeight="1"/>
    <row r="148" customFormat="1" ht="12" customHeight="1"/>
    <row r="149" customFormat="1" ht="12" customHeight="1"/>
    <row r="150" customFormat="1" ht="15" customHeight="1"/>
    <row r="151" customFormat="1" ht="15" customHeight="1"/>
    <row r="152" customFormat="1" ht="15" customHeight="1"/>
    <row r="153" customFormat="1" ht="15" customHeight="1"/>
    <row r="154" customFormat="1" ht="15" customHeight="1"/>
    <row r="155" customFormat="1" ht="15" customHeight="1"/>
    <row r="156" customFormat="1" ht="15" customHeight="1"/>
    <row r="157" customFormat="1" ht="15" customHeight="1"/>
    <row r="158" customFormat="1" ht="15" customHeight="1"/>
    <row r="159" customFormat="1" ht="15" customHeight="1"/>
    <row r="160" customFormat="1" ht="15" customHeight="1"/>
    <row r="161" customFormat="1" ht="15" customHeight="1"/>
    <row r="162" customFormat="1" ht="15" customHeight="1"/>
    <row r="163" customFormat="1" ht="12" customHeight="1"/>
    <row r="164" customFormat="1" ht="15" customHeight="1"/>
    <row r="165" customFormat="1" ht="15" customHeight="1"/>
    <row r="166" customFormat="1" ht="15" customHeight="1"/>
    <row r="167" customFormat="1" ht="15" customHeight="1"/>
    <row r="168" customFormat="1" ht="15" customHeight="1"/>
    <row r="169" customFormat="1" ht="15" customHeight="1"/>
    <row r="170" customFormat="1" ht="15" customHeight="1"/>
    <row r="171" customFormat="1" ht="15" customHeight="1"/>
    <row r="172" customFormat="1" ht="12" customHeight="1"/>
    <row r="173" customFormat="1" ht="15" customHeight="1"/>
    <row r="174" customFormat="1" ht="15" customHeight="1"/>
    <row r="175" customFormat="1" ht="15" customHeight="1"/>
    <row r="176" customFormat="1" ht="15" customHeight="1"/>
    <row r="177" customFormat="1" ht="15" customHeight="1"/>
    <row r="178" customFormat="1" ht="15" customHeight="1"/>
    <row r="179" customFormat="1" ht="15" customHeight="1"/>
    <row r="180" customFormat="1" ht="15" customHeight="1"/>
    <row r="181" customFormat="1" ht="12" customHeight="1"/>
    <row r="182" customFormat="1" ht="12" customHeight="1"/>
    <row r="183" customFormat="1" ht="15" customHeight="1"/>
    <row r="184" customFormat="1" ht="15" customHeight="1"/>
    <row r="185" customFormat="1" ht="15" customHeight="1"/>
    <row r="186" customFormat="1" ht="15" customHeight="1"/>
    <row r="187" customFormat="1" ht="15" customHeight="1"/>
    <row r="188" customFormat="1" ht="12" customHeight="1"/>
    <row r="189" customFormat="1" ht="15" customHeight="1"/>
    <row r="190" customFormat="1" ht="15" customHeight="1"/>
    <row r="191" customFormat="1" ht="15" customHeight="1"/>
    <row r="192" customFormat="1" ht="15" customHeight="1"/>
    <row r="193" customFormat="1" ht="15" customHeight="1"/>
    <row r="194" customFormat="1" ht="12" customHeight="1"/>
    <row r="195" customFormat="1" ht="15" customHeight="1"/>
    <row r="196" customFormat="1" ht="15" customHeight="1"/>
    <row r="197" customFormat="1" ht="15" customHeight="1"/>
    <row r="198" customFormat="1" ht="15" customHeight="1"/>
    <row r="199" customFormat="1" ht="15" customHeight="1"/>
    <row r="200" customFormat="1" ht="12" customHeight="1"/>
    <row r="201" customFormat="1" ht="15" customHeight="1"/>
    <row r="202" customFormat="1" ht="15" customHeight="1"/>
    <row r="203" customFormat="1" ht="15" customHeight="1"/>
    <row r="204" customFormat="1" ht="12" customHeight="1"/>
    <row r="205" customFormat="1" ht="15" customHeight="1"/>
    <row r="206" customFormat="1" ht="15" customHeight="1"/>
    <row r="207" customFormat="1" ht="15" customHeight="1"/>
    <row r="208" customFormat="1" ht="15" customHeight="1"/>
    <row r="209" customFormat="1" ht="12" customHeight="1"/>
    <row r="210" customFormat="1" ht="15" customHeight="1"/>
    <row r="211" customFormat="1" ht="15" customHeight="1"/>
    <row r="212" customFormat="1" ht="15" customHeight="1"/>
    <row r="213" customFormat="1" ht="15" customHeight="1"/>
    <row r="214" customFormat="1" ht="15" customHeight="1"/>
    <row r="215" customFormat="1" ht="15" customHeight="1"/>
    <row r="216" customFormat="1" ht="15" customHeight="1"/>
    <row r="217" customFormat="1" ht="15" customHeight="1"/>
    <row r="218" customFormat="1" ht="15" customHeight="1"/>
    <row r="219" customFormat="1" ht="15" customHeight="1"/>
    <row r="220" customFormat="1" ht="15" customHeight="1"/>
    <row r="221" customFormat="1" ht="15" customHeight="1"/>
    <row r="222" customFormat="1" ht="15" customHeight="1"/>
    <row r="223" customFormat="1" ht="15" customHeight="1"/>
    <row r="224" customFormat="1" ht="15" customHeight="1"/>
    <row r="225" customFormat="1" ht="15" customHeight="1"/>
    <row r="226" customFormat="1" ht="15" customHeight="1"/>
    <row r="227" customFormat="1" ht="15" customHeight="1"/>
    <row r="228" customFormat="1" ht="15" customHeight="1"/>
    <row r="229" customFormat="1" ht="15" customHeight="1"/>
    <row r="230" customFormat="1" ht="15" customHeight="1"/>
    <row r="231" customFormat="1" ht="15" customHeight="1"/>
    <row r="232" customFormat="1" ht="15" customHeight="1"/>
    <row r="233" customFormat="1" ht="15" customHeight="1"/>
    <row r="234" customFormat="1" ht="15" customHeight="1"/>
    <row r="235" customFormat="1" ht="15" customHeight="1"/>
    <row r="236" customFormat="1" ht="15" customHeight="1"/>
    <row r="237" customFormat="1" ht="15" customHeight="1"/>
    <row r="238" customFormat="1" ht="15" customHeight="1"/>
    <row r="239" customFormat="1" ht="15" customHeight="1"/>
    <row r="240" customFormat="1" ht="15" customHeight="1"/>
    <row r="241" customFormat="1" ht="15" customHeight="1"/>
    <row r="242" customFormat="1" ht="15" customHeight="1"/>
    <row r="243" customFormat="1" ht="15" customHeight="1"/>
    <row r="244" customFormat="1" ht="15" customHeight="1"/>
    <row r="245" customFormat="1" ht="15" customHeight="1"/>
    <row r="246" customFormat="1" ht="15" customHeight="1"/>
    <row r="247" customFormat="1" ht="15" customHeight="1"/>
    <row r="248" customFormat="1" ht="12" customHeight="1"/>
    <row r="249" customFormat="1" ht="15" customHeight="1"/>
    <row r="250" customFormat="1" ht="15" customHeight="1"/>
    <row r="251" customFormat="1" ht="15" customHeight="1"/>
    <row r="252" customFormat="1" ht="12" customHeight="1"/>
    <row r="253" customFormat="1" ht="15" customHeight="1"/>
    <row r="254" customFormat="1" ht="15" customHeight="1"/>
    <row r="255" customFormat="1" ht="15" customHeight="1"/>
    <row r="256" customFormat="1" ht="12" customHeight="1"/>
    <row r="257" spans="2:32" ht="15" customHeight="1"/>
    <row r="258" spans="2:32" ht="15" customHeight="1"/>
    <row r="259" spans="2:32" ht="15" customHeight="1">
      <c r="B259" s="291"/>
      <c r="C259" s="291"/>
      <c r="D259" s="291"/>
      <c r="E259" s="291"/>
      <c r="F259" s="291"/>
      <c r="G259" s="291"/>
      <c r="H259" s="291"/>
      <c r="I259" s="291"/>
      <c r="J259" s="291"/>
      <c r="K259" s="291"/>
      <c r="L259" s="291"/>
      <c r="M259" s="291"/>
      <c r="N259" s="291"/>
      <c r="O259" s="291"/>
      <c r="P259" s="291"/>
      <c r="Q259" s="291"/>
      <c r="R259" s="291"/>
      <c r="S259" s="291"/>
      <c r="T259" s="291"/>
      <c r="U259" s="291"/>
      <c r="V259" s="291"/>
      <c r="W259" s="291"/>
      <c r="X259" s="291"/>
      <c r="Y259" s="291"/>
      <c r="Z259" s="291"/>
      <c r="AA259" s="291"/>
      <c r="AB259" s="291"/>
      <c r="AC259" s="291"/>
      <c r="AD259" s="291"/>
      <c r="AE259" s="291"/>
      <c r="AF259" s="291"/>
    </row>
    <row r="260" spans="2:32" ht="15" customHeight="1"/>
    <row r="261" spans="2:32" ht="15" customHeight="1"/>
    <row r="262" spans="2:32" ht="15" customHeight="1"/>
    <row r="263" spans="2:32" ht="15" customHeight="1"/>
    <row r="264" spans="2:32" ht="15" customHeight="1"/>
    <row r="265" spans="2:32" ht="15" customHeight="1"/>
    <row r="266" spans="2:32" ht="15" customHeight="1"/>
    <row r="267" spans="2:32" ht="15" customHeight="1"/>
    <row r="268" spans="2:32" ht="12" customHeight="1"/>
    <row r="269" spans="2:32" ht="12" customHeight="1"/>
    <row r="270" spans="2:32" ht="12" customHeight="1"/>
    <row r="271" spans="2:32" ht="12" customHeight="1"/>
    <row r="272" spans="2:32" ht="12" customHeight="1"/>
    <row r="273" customFormat="1" ht="12" customHeight="1"/>
    <row r="274" customFormat="1" ht="12" customHeight="1"/>
    <row r="275" customFormat="1" ht="12" customHeight="1"/>
    <row r="276" customFormat="1" ht="12" customHeight="1"/>
    <row r="277" customFormat="1" ht="12" customHeight="1"/>
    <row r="278" customFormat="1" ht="12" customHeight="1"/>
    <row r="279" customFormat="1" ht="12" customHeight="1"/>
    <row r="280" customFormat="1" ht="12" customHeight="1"/>
    <row r="281" customFormat="1" ht="12" customHeight="1"/>
    <row r="282" customFormat="1" ht="12" customHeight="1"/>
    <row r="283" customFormat="1" ht="12" customHeight="1"/>
    <row r="284" customFormat="1" ht="12" customHeight="1"/>
    <row r="285" customFormat="1" ht="12" customHeight="1"/>
    <row r="286" customFormat="1" ht="12" customHeight="1"/>
    <row r="287" customFormat="1" ht="12" customHeight="1"/>
    <row r="288" customFormat="1" ht="12" customHeight="1"/>
    <row r="289" customFormat="1" ht="12" customHeight="1"/>
    <row r="290" customFormat="1" ht="12" customHeight="1"/>
    <row r="291" customFormat="1" ht="12" customHeight="1"/>
    <row r="292" customFormat="1" ht="12" customHeight="1"/>
    <row r="293" customFormat="1" ht="12" customHeight="1"/>
    <row r="294" customFormat="1" ht="12" customHeight="1"/>
    <row r="295" customFormat="1" ht="12" customHeight="1"/>
    <row r="296" customFormat="1" ht="12" customHeight="1"/>
    <row r="297" customFormat="1" ht="12" customHeight="1"/>
    <row r="298" customFormat="1" ht="12" customHeight="1"/>
    <row r="299" customFormat="1" ht="12" customHeight="1"/>
    <row r="300" customFormat="1" ht="15" customHeight="1"/>
    <row r="301" customFormat="1" ht="15" customHeight="1"/>
    <row r="302" customFormat="1" ht="15" customHeight="1"/>
    <row r="303" customFormat="1" ht="15" customHeight="1"/>
    <row r="304" customFormat="1" ht="15" customHeight="1"/>
    <row r="305" customFormat="1" ht="15" customHeight="1"/>
    <row r="306" customFormat="1" ht="15" customHeight="1"/>
    <row r="307" customFormat="1" ht="15" customHeight="1"/>
    <row r="308" customFormat="1" ht="15" customHeight="1"/>
    <row r="309" customFormat="1" ht="15" customHeight="1"/>
    <row r="310" customFormat="1" ht="12" customHeight="1"/>
    <row r="311" customFormat="1" ht="15" customHeight="1"/>
    <row r="312" customFormat="1" ht="15" customHeight="1"/>
    <row r="313" customFormat="1" ht="15" customHeight="1"/>
    <row r="314" customFormat="1" ht="15" customHeight="1"/>
    <row r="315" customFormat="1" ht="15" customHeight="1"/>
    <row r="316" customFormat="1" ht="15" customHeight="1"/>
    <row r="317" customFormat="1" ht="15" customHeight="1"/>
    <row r="318" customFormat="1" ht="15" customHeight="1"/>
    <row r="319" customFormat="1" ht="15" customHeight="1"/>
    <row r="320" customFormat="1" ht="15" customHeight="1"/>
    <row r="321" customFormat="1" ht="15" customHeight="1"/>
    <row r="322" customFormat="1" ht="15" customHeight="1"/>
    <row r="323" customFormat="1" ht="15" customHeight="1"/>
    <row r="324" customFormat="1" ht="15" customHeight="1"/>
    <row r="325" customFormat="1" ht="15" customHeight="1"/>
    <row r="326" customFormat="1" ht="15" customHeight="1"/>
    <row r="327" customFormat="1" ht="12" customHeight="1"/>
    <row r="328" customFormat="1" ht="15" customHeight="1"/>
    <row r="329" customFormat="1" ht="12" customHeight="1"/>
    <row r="330" customFormat="1" ht="15" customHeight="1"/>
    <row r="331" customFormat="1" ht="15" customHeight="1"/>
    <row r="332" customFormat="1" ht="15" customHeight="1"/>
    <row r="333" customFormat="1" ht="15" customHeight="1"/>
    <row r="334" customFormat="1" ht="15" customHeight="1"/>
    <row r="335" customFormat="1" ht="15" customHeight="1"/>
    <row r="336" customFormat="1" ht="15" customHeight="1"/>
    <row r="337" spans="2:32" ht="15" customHeight="1"/>
    <row r="338" spans="2:32" ht="15" customHeight="1"/>
    <row r="339" spans="2:32" ht="15" customHeight="1">
      <c r="B339" s="291"/>
      <c r="C339" s="291"/>
      <c r="D339" s="291"/>
      <c r="E339" s="291"/>
      <c r="F339" s="291"/>
      <c r="G339" s="291"/>
      <c r="H339" s="291"/>
      <c r="I339" s="291"/>
      <c r="J339" s="291"/>
      <c r="K339" s="291"/>
      <c r="L339" s="291"/>
      <c r="M339" s="291"/>
      <c r="N339" s="291"/>
      <c r="O339" s="291"/>
      <c r="P339" s="291"/>
      <c r="Q339" s="291"/>
      <c r="R339" s="291"/>
      <c r="S339" s="291"/>
      <c r="T339" s="291"/>
      <c r="U339" s="291"/>
      <c r="V339" s="291"/>
      <c r="W339" s="291"/>
      <c r="X339" s="291"/>
      <c r="Y339" s="291"/>
      <c r="Z339" s="291"/>
      <c r="AA339" s="291"/>
      <c r="AB339" s="291"/>
      <c r="AC339" s="291"/>
      <c r="AD339" s="291"/>
      <c r="AE339" s="291"/>
      <c r="AF339" s="291"/>
    </row>
    <row r="340" spans="2:32" ht="15" customHeight="1"/>
    <row r="341" spans="2:32" ht="15" customHeight="1"/>
    <row r="342" spans="2:32" ht="15" customHeight="1"/>
    <row r="343" spans="2:32" ht="15" customHeight="1"/>
    <row r="344" spans="2:32" ht="15" customHeight="1"/>
    <row r="345" spans="2:32" ht="15" customHeight="1"/>
    <row r="346" spans="2:32" ht="15" customHeight="1"/>
    <row r="347" spans="2:32" ht="15" customHeight="1"/>
    <row r="348" spans="2:32" ht="12" customHeight="1"/>
    <row r="349" spans="2:32" ht="12" customHeight="1"/>
    <row r="350" spans="2:32" ht="12" customHeight="1"/>
    <row r="351" spans="2:32" ht="12" customHeight="1"/>
    <row r="352" spans="2:32" ht="12" customHeight="1"/>
    <row r="353" customFormat="1" ht="12" customHeight="1"/>
    <row r="354" customFormat="1" ht="12" customHeight="1"/>
    <row r="355" customFormat="1" ht="12" customHeight="1"/>
    <row r="356" customFormat="1" ht="12" customHeight="1"/>
    <row r="357" customFormat="1" ht="12" customHeight="1"/>
    <row r="358" customFormat="1" ht="12" customHeight="1"/>
    <row r="359" customFormat="1" ht="12" customHeight="1"/>
    <row r="360" customFormat="1" ht="12" customHeight="1"/>
    <row r="361" customFormat="1" ht="12" customHeight="1"/>
    <row r="362" customFormat="1" ht="12" customHeight="1"/>
    <row r="363" customFormat="1" ht="12" customHeight="1"/>
    <row r="364" customFormat="1" ht="12" customHeight="1"/>
    <row r="365" customFormat="1" ht="12" customHeight="1"/>
    <row r="366" customFormat="1" ht="12" customHeight="1"/>
    <row r="367" customFormat="1" ht="12" customHeight="1"/>
    <row r="368" customFormat="1" ht="12" customHeight="1"/>
    <row r="369" customFormat="1" ht="12" customHeight="1"/>
    <row r="370" customFormat="1" ht="12" customHeight="1"/>
    <row r="371" customFormat="1" ht="12" customHeight="1"/>
    <row r="372" customFormat="1" ht="12" customHeight="1"/>
    <row r="373" customFormat="1" ht="12" customHeight="1"/>
    <row r="374" customFormat="1" ht="12" customHeight="1"/>
    <row r="375" customFormat="1" ht="15" customHeight="1"/>
    <row r="376" customFormat="1" ht="15" customHeight="1"/>
    <row r="377" customFormat="1" ht="15" customHeight="1"/>
    <row r="378" customFormat="1" ht="15" customHeight="1"/>
    <row r="379" customFormat="1" ht="15" customHeight="1"/>
    <row r="380" customFormat="1" ht="15" customHeight="1"/>
    <row r="381" customFormat="1" ht="15" customHeight="1"/>
    <row r="382" customFormat="1" ht="15" customHeight="1"/>
    <row r="383" customFormat="1" ht="15" customHeight="1"/>
    <row r="384" customFormat="1" ht="15" customHeight="1"/>
    <row r="385" customFormat="1" ht="12" customHeight="1"/>
    <row r="386" customFormat="1" ht="15" customHeight="1"/>
    <row r="387" customFormat="1" ht="15" customHeight="1"/>
    <row r="388" customFormat="1" ht="15" customHeight="1"/>
    <row r="389" customFormat="1" ht="15" customHeight="1"/>
    <row r="390" customFormat="1" ht="15" customHeight="1"/>
    <row r="391" customFormat="1" ht="15" customHeight="1"/>
    <row r="392" customFormat="1" ht="15" customHeight="1"/>
    <row r="393" customFormat="1" ht="15" customHeight="1"/>
    <row r="394" customFormat="1" ht="15" customHeight="1"/>
    <row r="395" customFormat="1" ht="15" customHeight="1"/>
    <row r="396" customFormat="1" ht="15" customHeight="1"/>
    <row r="397" customFormat="1" ht="15" customHeight="1"/>
    <row r="398" customFormat="1" ht="15" customHeight="1"/>
    <row r="399" customFormat="1" ht="15" customHeight="1"/>
    <row r="400" customFormat="1" ht="15" customHeight="1"/>
    <row r="401" customFormat="1" ht="15" customHeight="1"/>
    <row r="402" customFormat="1" ht="12" customHeight="1"/>
    <row r="403" customFormat="1" ht="15" customHeight="1"/>
    <row r="404" customFormat="1" ht="15" customHeight="1"/>
    <row r="405" customFormat="1" ht="12" customHeight="1"/>
    <row r="406" customFormat="1" ht="15" customHeight="1"/>
    <row r="407" customFormat="1" ht="15" customHeight="1"/>
    <row r="408" customFormat="1" ht="15" customHeight="1"/>
    <row r="409" customFormat="1" ht="15" customHeight="1"/>
    <row r="410" customFormat="1" ht="15" customHeight="1"/>
    <row r="411" customFormat="1" ht="12" customHeight="1"/>
    <row r="412" customFormat="1" ht="15" customHeight="1"/>
    <row r="413" customFormat="1" ht="15" customHeight="1"/>
    <row r="414" customFormat="1" ht="15" customHeight="1"/>
    <row r="415" customFormat="1" ht="15" customHeight="1"/>
    <row r="416" customFormat="1" ht="15" customHeight="1"/>
    <row r="417" customFormat="1" ht="15" customHeight="1"/>
    <row r="418" customFormat="1" ht="15" customHeight="1"/>
    <row r="419" customFormat="1" ht="15" customHeight="1"/>
    <row r="420" customFormat="1" ht="15" customHeight="1"/>
    <row r="421" customFormat="1" ht="15" customHeight="1"/>
    <row r="422" customFormat="1" ht="15" customHeight="1"/>
    <row r="423" customFormat="1" ht="15" customHeight="1"/>
    <row r="424" customFormat="1" ht="15" customHeight="1"/>
    <row r="425" customFormat="1" ht="15" customHeight="1"/>
    <row r="426" customFormat="1" ht="15" customHeight="1"/>
    <row r="427" customFormat="1" ht="15" customHeight="1"/>
    <row r="428" customFormat="1" ht="12" customHeight="1"/>
    <row r="429" customFormat="1" ht="15" customHeight="1"/>
    <row r="430" customFormat="1" ht="15" customHeight="1"/>
    <row r="431" customFormat="1" ht="12" customHeight="1"/>
    <row r="432" customFormat="1" ht="15" customHeight="1"/>
    <row r="433" customFormat="1" ht="15" customHeight="1"/>
    <row r="434" customFormat="1" ht="15" customHeight="1"/>
    <row r="435" customFormat="1" ht="12" customHeight="1"/>
    <row r="436" customFormat="1" ht="15" customHeight="1"/>
    <row r="437" customFormat="1" ht="15" customHeight="1"/>
    <row r="438" customFormat="1" ht="15" customHeight="1"/>
    <row r="439" customFormat="1" ht="15" customHeight="1"/>
    <row r="440" customFormat="1" ht="15" customHeight="1"/>
    <row r="441" customFormat="1" ht="15" customHeight="1"/>
    <row r="442" customFormat="1" ht="15" customHeight="1"/>
    <row r="443" customFormat="1" ht="15" customHeight="1"/>
    <row r="444" customFormat="1" ht="15" customHeight="1"/>
    <row r="445" customFormat="1" ht="15" customHeight="1"/>
    <row r="446" customFormat="1" ht="12" customHeight="1"/>
    <row r="447" customFormat="1" ht="15" customHeight="1"/>
    <row r="448" customFormat="1" ht="15" customHeight="1"/>
    <row r="449" spans="2:32" ht="12" customHeight="1"/>
    <row r="450" spans="2:32" ht="15" customHeight="1"/>
    <row r="451" spans="2:32" ht="15" customHeight="1"/>
    <row r="452" spans="2:32" ht="15" customHeight="1">
      <c r="B452" s="291"/>
      <c r="C452" s="291"/>
      <c r="D452" s="291"/>
      <c r="E452" s="291"/>
      <c r="F452" s="291"/>
      <c r="G452" s="291"/>
      <c r="H452" s="291"/>
      <c r="I452" s="291"/>
      <c r="J452" s="291"/>
      <c r="K452" s="291"/>
      <c r="L452" s="291"/>
      <c r="M452" s="291"/>
      <c r="N452" s="291"/>
      <c r="O452" s="291"/>
      <c r="P452" s="291"/>
      <c r="Q452" s="291"/>
      <c r="R452" s="291"/>
      <c r="S452" s="291"/>
      <c r="T452" s="291"/>
      <c r="U452" s="291"/>
      <c r="V452" s="291"/>
      <c r="W452" s="291"/>
      <c r="X452" s="291"/>
      <c r="Y452" s="291"/>
      <c r="Z452" s="291"/>
      <c r="AA452" s="291"/>
      <c r="AB452" s="291"/>
      <c r="AC452" s="291"/>
      <c r="AD452" s="291"/>
      <c r="AE452" s="291"/>
      <c r="AF452" s="291"/>
    </row>
    <row r="453" spans="2:32" ht="15" customHeight="1"/>
    <row r="454" spans="2:32" ht="15" customHeight="1"/>
    <row r="455" spans="2:32" ht="15" customHeight="1"/>
    <row r="456" spans="2:32" ht="15" customHeight="1"/>
    <row r="457" spans="2:32" ht="15" customHeight="1"/>
    <row r="458" spans="2:32" ht="15" customHeight="1"/>
    <row r="459" spans="2:32" ht="15" customHeight="1"/>
    <row r="460" spans="2:32" ht="15" customHeight="1"/>
    <row r="461" spans="2:32" ht="12" customHeight="1"/>
    <row r="462" spans="2:32" ht="12" customHeight="1"/>
    <row r="463" spans="2:32" ht="12" customHeight="1"/>
    <row r="464" spans="2:32" ht="12" customHeight="1"/>
    <row r="465" customFormat="1" ht="12" customHeight="1"/>
    <row r="466" customFormat="1" ht="12" customHeight="1"/>
    <row r="467" customFormat="1" ht="12" customHeight="1"/>
    <row r="468" customFormat="1" ht="12" customHeight="1"/>
    <row r="469" customFormat="1" ht="12" customHeight="1"/>
    <row r="470" customFormat="1" ht="12" customHeight="1"/>
    <row r="471" customFormat="1" ht="12" customHeight="1"/>
    <row r="472" customFormat="1" ht="12" customHeight="1"/>
    <row r="473" customFormat="1" ht="12" customHeight="1"/>
    <row r="474" customFormat="1" ht="12" customHeight="1"/>
    <row r="475" customFormat="1" ht="12" customHeight="1"/>
    <row r="476" customFormat="1" ht="12" customHeight="1"/>
    <row r="477" customFormat="1" ht="12" customHeight="1"/>
    <row r="478" customFormat="1" ht="12" customHeight="1"/>
    <row r="479" customFormat="1" ht="12" customHeight="1"/>
    <row r="480" customFormat="1" ht="12" customHeight="1"/>
    <row r="481" customFormat="1" ht="12" customHeight="1"/>
    <row r="482" customFormat="1" ht="12" customHeight="1"/>
    <row r="483" customFormat="1" ht="12" customHeight="1"/>
    <row r="484" customFormat="1" ht="12" customHeight="1"/>
    <row r="485" customFormat="1" ht="12" customHeight="1"/>
    <row r="486" customFormat="1" ht="12" customHeight="1"/>
    <row r="487" customFormat="1" ht="12" customHeight="1"/>
    <row r="488" customFormat="1" ht="12" customHeight="1"/>
    <row r="489" customFormat="1" ht="12" customHeight="1"/>
    <row r="490" customFormat="1" ht="12" customHeight="1"/>
    <row r="491" customFormat="1" ht="12" customHeight="1"/>
    <row r="492" customFormat="1" ht="12" customHeight="1"/>
    <row r="493" customFormat="1" ht="12" customHeight="1"/>
    <row r="494" customFormat="1" ht="12" customHeight="1"/>
    <row r="495" customFormat="1" ht="12" customHeight="1"/>
    <row r="496" customFormat="1" ht="12" customHeight="1"/>
    <row r="497" customFormat="1" ht="12" customHeight="1"/>
    <row r="498" customFormat="1" ht="12" customHeight="1"/>
    <row r="499" customFormat="1" ht="12" customHeight="1"/>
    <row r="500" customFormat="1" ht="15" customHeight="1"/>
    <row r="501" customFormat="1" ht="15" customHeight="1"/>
    <row r="502" customFormat="1" ht="15" customHeight="1"/>
    <row r="503" customFormat="1" ht="15" customHeight="1"/>
    <row r="504" customFormat="1" ht="15" customHeight="1"/>
    <row r="505" customFormat="1" ht="15" customHeight="1"/>
    <row r="506" customFormat="1" ht="15" customHeight="1"/>
    <row r="507" customFormat="1" ht="15" customHeight="1"/>
    <row r="508" customFormat="1" ht="15" customHeight="1"/>
    <row r="509" customFormat="1" ht="15" customHeight="1"/>
    <row r="510" customFormat="1" ht="12" customHeight="1"/>
    <row r="511" customFormat="1" ht="15" customHeight="1"/>
    <row r="512" customFormat="1" ht="15" customHeight="1"/>
    <row r="513" customFormat="1" ht="15" customHeight="1"/>
    <row r="514" customFormat="1" ht="15" customHeight="1"/>
    <row r="515" customFormat="1" ht="15" customHeight="1"/>
    <row r="516" customFormat="1" ht="15" customHeight="1"/>
    <row r="517" customFormat="1" ht="15" customHeight="1"/>
    <row r="518" customFormat="1" ht="15" customHeight="1"/>
    <row r="519" customFormat="1" ht="15" customHeight="1"/>
    <row r="520" customFormat="1" ht="15" customHeight="1"/>
    <row r="521" customFormat="1" ht="15" customHeight="1"/>
    <row r="522" customFormat="1" ht="15" customHeight="1"/>
    <row r="523" customFormat="1" ht="15" customHeight="1"/>
    <row r="524" customFormat="1" ht="15" customHeight="1"/>
    <row r="525" customFormat="1" ht="15" customHeight="1"/>
    <row r="526" customFormat="1" ht="15" customHeight="1"/>
    <row r="527" customFormat="1" ht="12" customHeight="1"/>
    <row r="528" customFormat="1" ht="15" customHeight="1"/>
    <row r="529" customFormat="1" ht="12" customHeight="1"/>
    <row r="530" customFormat="1" ht="15" customHeight="1"/>
    <row r="531" customFormat="1" ht="15" customHeight="1"/>
    <row r="532" customFormat="1" ht="15" customHeight="1"/>
    <row r="533" customFormat="1" ht="15" customHeight="1"/>
    <row r="534" customFormat="1" ht="15" customHeight="1"/>
    <row r="535" customFormat="1" ht="12" customHeight="1"/>
    <row r="536" customFormat="1" ht="15" customHeight="1"/>
    <row r="537" customFormat="1" ht="15" customHeight="1"/>
    <row r="538" customFormat="1" ht="15" customHeight="1"/>
    <row r="539" customFormat="1" ht="15" customHeight="1"/>
    <row r="540" customFormat="1" ht="15" customHeight="1"/>
    <row r="541" customFormat="1" ht="15" customHeight="1"/>
    <row r="542" customFormat="1" ht="15" customHeight="1"/>
    <row r="543" customFormat="1" ht="15" customHeight="1"/>
    <row r="544" customFormat="1" ht="15" customHeight="1"/>
    <row r="545" customFormat="1" ht="15" customHeight="1"/>
    <row r="546" customFormat="1" ht="15" customHeight="1"/>
    <row r="547" customFormat="1" ht="15" customHeight="1"/>
    <row r="548" customFormat="1" ht="15" customHeight="1"/>
    <row r="549" customFormat="1" ht="15" customHeight="1"/>
    <row r="550" customFormat="1" ht="15" customHeight="1"/>
    <row r="551" customFormat="1" ht="15" customHeight="1"/>
    <row r="552" customFormat="1" ht="12" customHeight="1"/>
    <row r="553" customFormat="1" ht="15" customHeight="1"/>
    <row r="554" customFormat="1" ht="12" customHeight="1"/>
    <row r="555" customFormat="1" ht="15" customHeight="1"/>
    <row r="556" customFormat="1" ht="15" customHeight="1"/>
    <row r="557" customFormat="1" ht="15" customHeight="1"/>
    <row r="558" customFormat="1" ht="15" customHeight="1"/>
    <row r="559" customFormat="1" ht="15" customHeight="1"/>
    <row r="560" customFormat="1" ht="15" customHeight="1"/>
    <row r="561" spans="2:32" ht="15" customHeight="1"/>
    <row r="562" spans="2:32" ht="15" customHeight="1"/>
    <row r="563" spans="2:32" ht="15" customHeight="1"/>
    <row r="564" spans="2:32" ht="15" customHeight="1"/>
    <row r="565" spans="2:32" ht="15" customHeight="1">
      <c r="B565" s="291"/>
      <c r="C565" s="291"/>
      <c r="D565" s="291"/>
      <c r="E565" s="291"/>
      <c r="F565" s="291"/>
      <c r="G565" s="291"/>
      <c r="H565" s="291"/>
      <c r="I565" s="291"/>
      <c r="J565" s="291"/>
      <c r="K565" s="291"/>
      <c r="L565" s="291"/>
      <c r="M565" s="291"/>
      <c r="N565" s="291"/>
      <c r="O565" s="291"/>
      <c r="P565" s="291"/>
      <c r="Q565" s="291"/>
      <c r="R565" s="291"/>
      <c r="S565" s="291"/>
      <c r="T565" s="291"/>
      <c r="U565" s="291"/>
      <c r="V565" s="291"/>
      <c r="W565" s="291"/>
      <c r="X565" s="291"/>
      <c r="Y565" s="291"/>
      <c r="Z565" s="291"/>
      <c r="AA565" s="291"/>
      <c r="AB565" s="291"/>
      <c r="AC565" s="291"/>
      <c r="AD565" s="291"/>
      <c r="AE565" s="291"/>
      <c r="AF565" s="291"/>
    </row>
    <row r="566" spans="2:32" ht="15" customHeight="1"/>
    <row r="567" spans="2:32" ht="15" customHeight="1"/>
    <row r="568" spans="2:32" ht="15" customHeight="1"/>
    <row r="569" spans="2:32" ht="15" customHeight="1"/>
    <row r="570" spans="2:32" ht="15" customHeight="1"/>
    <row r="571" spans="2:32" ht="12" customHeight="1"/>
    <row r="572" spans="2:32" ht="12" customHeight="1"/>
    <row r="573" spans="2:32" ht="12" customHeight="1"/>
    <row r="574" spans="2:32" ht="12" customHeight="1"/>
    <row r="575" spans="2:32" ht="12" customHeight="1"/>
    <row r="576" spans="2:32" ht="12" customHeight="1"/>
    <row r="577" customFormat="1" ht="12" customHeight="1"/>
    <row r="578" customFormat="1" ht="12" customHeight="1"/>
    <row r="579" customFormat="1" ht="12" customHeight="1"/>
    <row r="580" customFormat="1" ht="12" customHeight="1"/>
    <row r="581" customFormat="1" ht="12" customHeight="1"/>
    <row r="582" customFormat="1" ht="12" customHeight="1"/>
    <row r="583" customFormat="1" ht="12" customHeight="1"/>
    <row r="584" customFormat="1" ht="12" customHeight="1"/>
    <row r="585" customFormat="1" ht="12" customHeight="1"/>
    <row r="586" customFormat="1" ht="12" customHeight="1"/>
    <row r="587" customFormat="1" ht="12" customHeight="1"/>
    <row r="588" customFormat="1" ht="12" customHeight="1"/>
    <row r="589" customFormat="1" ht="12" customHeight="1"/>
    <row r="590" customFormat="1" ht="12" customHeight="1"/>
    <row r="591" customFormat="1" ht="12" customHeight="1"/>
    <row r="592" customFormat="1" ht="12" customHeight="1"/>
    <row r="593" customFormat="1" ht="12" customHeight="1"/>
    <row r="594" customFormat="1" ht="12" customHeight="1"/>
    <row r="595" customFormat="1" ht="12" customHeight="1"/>
    <row r="596" customFormat="1" ht="12" customHeight="1"/>
    <row r="597" customFormat="1" ht="12" customHeight="1"/>
    <row r="598" customFormat="1" ht="12" customHeight="1"/>
    <row r="599" customFormat="1" ht="12" customHeight="1"/>
    <row r="600" customFormat="1" ht="15" customHeight="1"/>
    <row r="601" customFormat="1" ht="15" customHeight="1"/>
    <row r="602" customFormat="1" ht="15" customHeight="1"/>
    <row r="603" customFormat="1" ht="15" customHeight="1"/>
    <row r="604" customFormat="1" ht="15" customHeight="1"/>
    <row r="605" customFormat="1" ht="15" customHeight="1"/>
    <row r="606" customFormat="1" ht="15" customHeight="1"/>
    <row r="607" customFormat="1" ht="15" customHeight="1"/>
    <row r="608" customFormat="1" ht="15" customHeight="1"/>
    <row r="609" customFormat="1" ht="12" customHeight="1"/>
    <row r="610" customFormat="1" ht="15" customHeight="1"/>
    <row r="611" customFormat="1" ht="15" customHeight="1"/>
    <row r="612" customFormat="1" ht="15" customHeight="1"/>
    <row r="613" customFormat="1" ht="15" customHeight="1"/>
    <row r="614" customFormat="1" ht="15" customHeight="1"/>
    <row r="615" customFormat="1" ht="15" customHeight="1"/>
    <row r="616" customFormat="1" ht="15" customHeight="1"/>
    <row r="617" customFormat="1" ht="15" customHeight="1"/>
    <row r="618" customFormat="1" ht="15" customHeight="1"/>
    <row r="619" customFormat="1" ht="15" customHeight="1"/>
    <row r="620" customFormat="1" ht="15" customHeight="1"/>
    <row r="621" customFormat="1" ht="15" customHeight="1"/>
    <row r="622" customFormat="1" ht="15" customHeight="1"/>
    <row r="623" customFormat="1" ht="15" customHeight="1"/>
    <row r="624" customFormat="1" ht="15" customHeight="1"/>
    <row r="625" customFormat="1" ht="12" customHeight="1"/>
    <row r="626" customFormat="1" ht="15" customHeight="1"/>
    <row r="627" customFormat="1" ht="12" customHeight="1"/>
    <row r="628" customFormat="1" ht="15" customHeight="1"/>
    <row r="629" customFormat="1" ht="15" customHeight="1"/>
    <row r="630" customFormat="1" ht="15" customHeight="1"/>
    <row r="631" customFormat="1" ht="15" customHeight="1"/>
    <row r="632" customFormat="1" ht="12" customHeight="1"/>
    <row r="633" customFormat="1" ht="15" customHeight="1"/>
    <row r="634" customFormat="1" ht="15" customHeight="1"/>
    <row r="635" customFormat="1" ht="15" customHeight="1"/>
    <row r="636" customFormat="1" ht="15" customHeight="1"/>
    <row r="637" customFormat="1" ht="15" customHeight="1"/>
    <row r="638" customFormat="1" ht="15" customHeight="1"/>
    <row r="639" customFormat="1" ht="15" customHeight="1"/>
    <row r="640" customFormat="1" ht="15" customHeight="1"/>
    <row r="641" customFormat="1" ht="15" customHeight="1"/>
    <row r="642" customFormat="1" ht="15" customHeight="1"/>
    <row r="643" customFormat="1" ht="15" customHeight="1"/>
    <row r="644" customFormat="1" ht="15" customHeight="1"/>
    <row r="645" customFormat="1" ht="15" customHeight="1"/>
    <row r="646" customFormat="1" ht="15" customHeight="1"/>
    <row r="647" customFormat="1" ht="15" customHeight="1"/>
    <row r="648" customFormat="1" ht="12" customHeight="1"/>
    <row r="649" customFormat="1" ht="15" customHeight="1"/>
    <row r="650" customFormat="1" ht="12" customHeight="1"/>
    <row r="651" customFormat="1" ht="15" customHeight="1"/>
    <row r="652" customFormat="1" ht="12" customHeight="1"/>
    <row r="653" customFormat="1" ht="15" customHeight="1"/>
    <row r="654" customFormat="1" ht="15" customHeight="1"/>
    <row r="655" customFormat="1" ht="12" customHeight="1"/>
    <row r="656" customFormat="1" ht="15" customHeight="1"/>
    <row r="657" spans="2:32" ht="12" customHeight="1"/>
    <row r="658" spans="2:32" ht="12" customHeight="1"/>
    <row r="659" spans="2:32" ht="15" customHeight="1"/>
    <row r="660" spans="2:32" ht="12" customHeight="1"/>
    <row r="661" spans="2:32" ht="15" customHeight="1"/>
    <row r="662" spans="2:32" ht="15" customHeight="1"/>
    <row r="663" spans="2:32" ht="15" customHeight="1">
      <c r="B663" s="291"/>
      <c r="C663" s="291"/>
      <c r="D663" s="291"/>
      <c r="E663" s="291"/>
      <c r="F663" s="291"/>
      <c r="G663" s="291"/>
      <c r="H663" s="291"/>
      <c r="I663" s="291"/>
      <c r="J663" s="291"/>
      <c r="K663" s="291"/>
      <c r="L663" s="291"/>
      <c r="M663" s="291"/>
      <c r="N663" s="291"/>
      <c r="O663" s="291"/>
      <c r="P663" s="291"/>
      <c r="Q663" s="291"/>
      <c r="R663" s="291"/>
      <c r="S663" s="291"/>
      <c r="T663" s="291"/>
      <c r="U663" s="291"/>
      <c r="V663" s="291"/>
      <c r="W663" s="291"/>
      <c r="X663" s="291"/>
      <c r="Y663" s="291"/>
      <c r="Z663" s="291"/>
      <c r="AA663" s="291"/>
      <c r="AB663" s="291"/>
      <c r="AC663" s="291"/>
      <c r="AD663" s="291"/>
      <c r="AE663" s="291"/>
      <c r="AF663" s="291"/>
    </row>
    <row r="664" spans="2:32" ht="15" customHeight="1"/>
    <row r="665" spans="2:32" ht="15" customHeight="1"/>
    <row r="666" spans="2:32" ht="15" customHeight="1"/>
    <row r="667" spans="2:32" ht="15" customHeight="1"/>
    <row r="668" spans="2:32" ht="15" customHeight="1"/>
    <row r="669" spans="2:32" ht="12" customHeight="1"/>
    <row r="670" spans="2:32" ht="12" customHeight="1"/>
    <row r="671" spans="2:32" ht="12" customHeight="1"/>
    <row r="672" spans="2:32" ht="12" customHeight="1"/>
    <row r="673" customFormat="1" ht="12" customHeight="1"/>
    <row r="674" customFormat="1" ht="12" customHeight="1"/>
    <row r="675" customFormat="1" ht="12" customHeight="1"/>
    <row r="676" customFormat="1" ht="12" customHeight="1"/>
    <row r="677" customFormat="1" ht="12" customHeight="1"/>
    <row r="678" customFormat="1" ht="12" customHeight="1"/>
    <row r="679" customFormat="1" ht="12" customHeight="1"/>
    <row r="680" customFormat="1" ht="12" customHeight="1"/>
    <row r="681" customFormat="1" ht="12" customHeight="1"/>
    <row r="682" customFormat="1" ht="12" customHeight="1"/>
    <row r="683" customFormat="1" ht="12" customHeight="1"/>
    <row r="684" customFormat="1" ht="12" customHeight="1"/>
    <row r="685" customFormat="1" ht="12" customHeight="1"/>
    <row r="686" customFormat="1" ht="12" customHeight="1"/>
    <row r="687" customFormat="1" ht="12" customHeight="1"/>
    <row r="688" customFormat="1" ht="12" customHeight="1"/>
    <row r="689" customFormat="1" ht="12" customHeight="1"/>
    <row r="690" customFormat="1" ht="12" customHeight="1"/>
    <row r="691" customFormat="1" ht="12" customHeight="1"/>
    <row r="692" customFormat="1" ht="12" customHeight="1"/>
    <row r="693" customFormat="1" ht="12" customHeight="1"/>
    <row r="694" customFormat="1" ht="12" customHeight="1"/>
    <row r="695" customFormat="1" ht="12" customHeight="1"/>
    <row r="696" customFormat="1" ht="12" customHeight="1"/>
    <row r="697" customFormat="1" ht="12" customHeight="1"/>
    <row r="698" customFormat="1" ht="12" customHeight="1"/>
    <row r="699" customFormat="1" ht="12" customHeight="1"/>
    <row r="700" customFormat="1" ht="15" customHeight="1"/>
    <row r="701" customFormat="1" ht="15" customHeight="1"/>
    <row r="702" customFormat="1" ht="15" customHeight="1"/>
    <row r="703" customFormat="1" ht="15" customHeight="1"/>
    <row r="704" customFormat="1" ht="15" customHeight="1"/>
    <row r="705" customFormat="1" ht="15" customHeight="1"/>
    <row r="706" customFormat="1" ht="15" customHeight="1"/>
    <row r="707" customFormat="1" ht="12" customHeight="1"/>
    <row r="708" customFormat="1" ht="15" customHeight="1"/>
    <row r="709" customFormat="1" ht="15" customHeight="1"/>
    <row r="710" customFormat="1" ht="15" customHeight="1"/>
    <row r="711" customFormat="1" ht="15" customHeight="1"/>
    <row r="712" customFormat="1" ht="15" customHeight="1"/>
    <row r="713" customFormat="1" ht="15" customHeight="1"/>
    <row r="714" customFormat="1" ht="15" customHeight="1"/>
    <row r="715" customFormat="1" ht="15" customHeight="1"/>
    <row r="716" customFormat="1" ht="15" customHeight="1"/>
    <row r="717" customFormat="1" ht="15" customHeight="1"/>
    <row r="718" customFormat="1" ht="15" customHeight="1"/>
    <row r="719" customFormat="1" ht="15" customHeight="1"/>
    <row r="720" customFormat="1" ht="15" customHeight="1"/>
    <row r="721" spans="2:32" ht="15" customHeight="1"/>
    <row r="722" spans="2:32" ht="15" customHeight="1"/>
    <row r="723" spans="2:32" ht="12" customHeight="1"/>
    <row r="724" spans="2:32" ht="15" customHeight="1"/>
    <row r="725" spans="2:32" ht="15" customHeight="1"/>
    <row r="726" spans="2:32" ht="15" customHeight="1"/>
    <row r="727" spans="2:32" ht="15" customHeight="1"/>
    <row r="728" spans="2:32" ht="12" customHeight="1"/>
    <row r="729" spans="2:32" ht="15" customHeight="1"/>
    <row r="730" spans="2:32" ht="15" customHeight="1"/>
    <row r="731" spans="2:32" ht="15" customHeight="1"/>
    <row r="732" spans="2:32" ht="15" customHeight="1"/>
    <row r="733" spans="2:32" ht="15" customHeight="1"/>
    <row r="734" spans="2:32" ht="15" customHeight="1"/>
    <row r="735" spans="2:32" ht="15" customHeight="1">
      <c r="B735" s="291"/>
      <c r="C735" s="291"/>
      <c r="D735" s="291"/>
      <c r="E735" s="291"/>
      <c r="F735" s="291"/>
      <c r="G735" s="291"/>
      <c r="H735" s="291"/>
      <c r="I735" s="291"/>
      <c r="J735" s="291"/>
      <c r="K735" s="291"/>
      <c r="L735" s="291"/>
      <c r="M735" s="291"/>
      <c r="N735" s="291"/>
      <c r="O735" s="291"/>
      <c r="P735" s="291"/>
      <c r="Q735" s="291"/>
      <c r="R735" s="291"/>
      <c r="S735" s="291"/>
      <c r="T735" s="291"/>
      <c r="U735" s="291"/>
      <c r="V735" s="291"/>
      <c r="W735" s="291"/>
      <c r="X735" s="291"/>
      <c r="Y735" s="291"/>
      <c r="Z735" s="291"/>
      <c r="AA735" s="291"/>
      <c r="AB735" s="291"/>
      <c r="AC735" s="291"/>
      <c r="AD735" s="291"/>
      <c r="AE735" s="291"/>
      <c r="AF735" s="291"/>
    </row>
    <row r="736" spans="2:32" ht="15" customHeight="1"/>
    <row r="737" customFormat="1" ht="15" customHeight="1"/>
    <row r="738" customFormat="1" ht="15" customHeight="1"/>
    <row r="739" customFormat="1" ht="15" customHeight="1"/>
    <row r="740" customFormat="1" ht="15" customHeight="1"/>
    <row r="741" customFormat="1" ht="15" customHeight="1"/>
    <row r="742" customFormat="1" ht="12" customHeight="1"/>
    <row r="743" customFormat="1" ht="12" customHeight="1"/>
    <row r="744" customFormat="1" ht="12" customHeight="1"/>
    <row r="745" customFormat="1" ht="12" customHeight="1"/>
    <row r="746" customFormat="1" ht="12" customHeight="1"/>
    <row r="747" customFormat="1" ht="12" customHeight="1"/>
    <row r="748" customFormat="1" ht="12" customHeight="1"/>
    <row r="749" customFormat="1" ht="12" customHeight="1"/>
    <row r="750" customFormat="1" ht="12" customHeight="1"/>
    <row r="751" customFormat="1" ht="12" customHeight="1"/>
    <row r="752" customFormat="1" ht="12" customHeight="1"/>
    <row r="753" customFormat="1" ht="12" customHeight="1"/>
    <row r="754" customFormat="1" ht="12" customHeight="1"/>
    <row r="755" customFormat="1" ht="12" customHeight="1"/>
    <row r="756" customFormat="1" ht="12" customHeight="1"/>
    <row r="757" customFormat="1" ht="12" customHeight="1"/>
    <row r="758" customFormat="1" ht="12" customHeight="1"/>
    <row r="759" customFormat="1" ht="12" customHeight="1"/>
    <row r="760" customFormat="1" ht="12" customHeight="1"/>
    <row r="761" customFormat="1" ht="12" customHeight="1"/>
    <row r="762" customFormat="1" ht="12" customHeight="1"/>
    <row r="763" customFormat="1" ht="12" customHeight="1"/>
    <row r="764" customFormat="1" ht="12" customHeight="1"/>
    <row r="765" customFormat="1" ht="12" customHeight="1"/>
    <row r="766" customFormat="1" ht="12" customHeight="1"/>
    <row r="767" customFormat="1" ht="12" customHeight="1"/>
    <row r="768" customFormat="1" ht="12" customHeight="1"/>
    <row r="769" customFormat="1" ht="12" customHeight="1"/>
    <row r="770" customFormat="1" ht="12" customHeight="1"/>
    <row r="771" customFormat="1" ht="12" customHeight="1"/>
    <row r="772" customFormat="1" ht="12" customHeight="1"/>
    <row r="773" customFormat="1" ht="12" customHeight="1"/>
    <row r="774" customFormat="1" ht="12" customHeight="1"/>
    <row r="775" customFormat="1" ht="15" customHeight="1"/>
    <row r="776" customFormat="1" ht="15" customHeight="1"/>
    <row r="777" customFormat="1" ht="15" customHeight="1"/>
    <row r="778" customFormat="1" ht="15" customHeight="1"/>
    <row r="779" customFormat="1" ht="15" customHeight="1"/>
    <row r="780" customFormat="1" ht="15" customHeight="1"/>
    <row r="781" customFormat="1" ht="15" customHeight="1"/>
    <row r="782" customFormat="1" ht="15" customHeight="1"/>
    <row r="783" customFormat="1" ht="15" customHeight="1"/>
    <row r="784" customFormat="1" ht="15" customHeight="1"/>
    <row r="785" customFormat="1" ht="15" customHeight="1"/>
    <row r="786" customFormat="1" ht="15" customHeight="1"/>
    <row r="787" customFormat="1" ht="15" customHeight="1"/>
    <row r="788" customFormat="1" ht="15" customHeight="1"/>
    <row r="789" customFormat="1" ht="15" customHeight="1"/>
    <row r="790" customFormat="1" ht="15" customHeight="1"/>
    <row r="791" customFormat="1" ht="15" customHeight="1"/>
    <row r="792" customFormat="1" ht="15" customHeight="1"/>
    <row r="793" customFormat="1" ht="12" customHeight="1"/>
    <row r="794" customFormat="1" ht="15" customHeight="1"/>
    <row r="795" customFormat="1" ht="15" customHeight="1"/>
    <row r="796" customFormat="1" ht="15" customHeight="1"/>
    <row r="797" customFormat="1" ht="15" customHeight="1"/>
    <row r="798" customFormat="1" ht="15" customHeight="1"/>
    <row r="799" customFormat="1" ht="15" customHeight="1"/>
    <row r="800" customFormat="1" ht="15" customHeight="1"/>
    <row r="801" customFormat="1" ht="15" customHeight="1"/>
    <row r="802" customFormat="1" ht="15" customHeight="1"/>
    <row r="803" customFormat="1" ht="15" customHeight="1"/>
    <row r="804" customFormat="1" ht="15" customHeight="1"/>
    <row r="805" customFormat="1" ht="12" customHeight="1"/>
    <row r="806" customFormat="1" ht="15" customHeight="1"/>
    <row r="807" customFormat="1" ht="15" customHeight="1"/>
    <row r="808" customFormat="1" ht="15" customHeight="1"/>
    <row r="809" customFormat="1" ht="12" customHeight="1"/>
    <row r="810" customFormat="1" ht="15" customHeight="1"/>
    <row r="811" customFormat="1" ht="15" customHeight="1"/>
    <row r="812" customFormat="1" ht="15" customHeight="1"/>
    <row r="813" customFormat="1" ht="15" customHeight="1"/>
    <row r="814" customFormat="1" ht="15" customHeight="1"/>
    <row r="815" customFormat="1" ht="15" customHeight="1"/>
    <row r="816" customFormat="1" ht="15" customHeight="1"/>
    <row r="817" customFormat="1" ht="15" customHeight="1"/>
    <row r="818" customFormat="1" ht="15" customHeight="1"/>
    <row r="819" customFormat="1" ht="15" customHeight="1"/>
    <row r="820" customFormat="1" ht="15" customHeight="1"/>
    <row r="821" customFormat="1" ht="12" customHeight="1"/>
    <row r="822" customFormat="1" ht="15" customHeight="1"/>
    <row r="823" customFormat="1" ht="15" customHeight="1"/>
    <row r="824" customFormat="1" ht="15" customHeight="1"/>
    <row r="825" customFormat="1" ht="15" customHeight="1"/>
    <row r="826" customFormat="1" ht="15" customHeight="1"/>
    <row r="827" customFormat="1" ht="15" customHeight="1"/>
    <row r="828" customFormat="1" ht="15" customHeight="1"/>
    <row r="829" customFormat="1" ht="15" customHeight="1"/>
    <row r="830" customFormat="1" ht="15" customHeight="1"/>
    <row r="831" customFormat="1" ht="15" customHeight="1"/>
    <row r="832" customFormat="1" ht="15" customHeight="1"/>
    <row r="833" customFormat="1" ht="15" customHeight="1"/>
    <row r="834" customFormat="1" ht="15" customHeight="1"/>
    <row r="835" customFormat="1" ht="12" customHeight="1"/>
    <row r="836" customFormat="1" ht="15" customHeight="1"/>
    <row r="837" customFormat="1" ht="15" customHeight="1"/>
    <row r="838" customFormat="1" ht="15" customHeight="1"/>
    <row r="839" customFormat="1" ht="12" customHeight="1"/>
    <row r="840" customFormat="1" ht="15" customHeight="1"/>
    <row r="841" customFormat="1" ht="15" customHeight="1"/>
    <row r="842" customFormat="1" ht="15" customHeight="1"/>
    <row r="843" customFormat="1" ht="15" customHeight="1"/>
    <row r="844" customFormat="1" ht="15" customHeight="1"/>
    <row r="845" customFormat="1" ht="15" customHeight="1"/>
    <row r="846" customFormat="1" ht="15" customHeight="1"/>
    <row r="847" customFormat="1" ht="15" customHeight="1"/>
    <row r="848" customFormat="1" ht="15" customHeight="1"/>
    <row r="849" customFormat="1" ht="15" customHeight="1"/>
    <row r="850" customFormat="1" ht="12" customHeight="1"/>
    <row r="851" customFormat="1" ht="15" customHeight="1"/>
    <row r="852" customFormat="1" ht="15" customHeight="1"/>
    <row r="853" customFormat="1" ht="15" customHeight="1"/>
    <row r="854" customFormat="1" ht="15" customHeight="1"/>
    <row r="855" customFormat="1" ht="15" customHeight="1"/>
    <row r="856" customFormat="1" ht="15" customHeight="1"/>
    <row r="857" customFormat="1" ht="15" customHeight="1"/>
    <row r="858" customFormat="1" ht="15" customHeight="1"/>
    <row r="859" customFormat="1" ht="15" customHeight="1"/>
    <row r="860" customFormat="1" ht="12" customHeight="1"/>
    <row r="861" customFormat="1" ht="15" customHeight="1"/>
    <row r="862" customFormat="1" ht="15" customHeight="1"/>
    <row r="863" customFormat="1" ht="15" customHeight="1"/>
    <row r="864" customFormat="1" ht="15" customHeight="1"/>
    <row r="865" customFormat="1" ht="15" customHeight="1"/>
    <row r="866" customFormat="1" ht="15" customHeight="1"/>
    <row r="867" customFormat="1" ht="15" customHeight="1"/>
    <row r="868" customFormat="1" ht="15" customHeight="1"/>
    <row r="869" customFormat="1" ht="15" customHeight="1"/>
    <row r="870" customFormat="1" ht="15" customHeight="1"/>
    <row r="871" customFormat="1" ht="15" customHeight="1"/>
    <row r="872" customFormat="1" ht="12" customHeight="1"/>
    <row r="873" customFormat="1" ht="15" customHeight="1"/>
    <row r="874" customFormat="1" ht="15" customHeight="1"/>
    <row r="875" customFormat="1" ht="15" customHeight="1"/>
    <row r="876" customFormat="1" ht="15" customHeight="1"/>
    <row r="877" customFormat="1" ht="15" customHeight="1"/>
    <row r="878" customFormat="1" ht="15" customHeight="1"/>
    <row r="879" customFormat="1" ht="15" customHeight="1"/>
    <row r="880" customFormat="1" ht="15" customHeight="1"/>
    <row r="881" customFormat="1" ht="15" customHeight="1"/>
    <row r="882" customFormat="1" ht="15" customHeight="1"/>
    <row r="883" customFormat="1" ht="12" customHeight="1"/>
    <row r="884" customFormat="1" ht="15" customHeight="1"/>
    <row r="885" customFormat="1" ht="15" customHeight="1"/>
    <row r="886" customFormat="1" ht="15" customHeight="1"/>
    <row r="887" customFormat="1" ht="15" customHeight="1"/>
    <row r="888" customFormat="1" ht="15" customHeight="1"/>
    <row r="889" customFormat="1" ht="15" customHeight="1"/>
    <row r="890" customFormat="1" ht="15" customHeight="1"/>
    <row r="891" customFormat="1" ht="15" customHeight="1"/>
    <row r="892" customFormat="1" ht="15" customHeight="1"/>
    <row r="893" customFormat="1" ht="15" customHeight="1"/>
    <row r="894" customFormat="1" ht="15" customHeight="1"/>
    <row r="895" customFormat="1" ht="12" customHeight="1"/>
    <row r="896" customFormat="1" ht="15" customHeight="1"/>
    <row r="897" spans="2:32" ht="15" customHeight="1"/>
    <row r="898" spans="2:32" ht="15" customHeight="1"/>
    <row r="899" spans="2:32" ht="15" customHeight="1"/>
    <row r="900" spans="2:32" ht="15" customHeight="1"/>
    <row r="901" spans="2:32" ht="15" customHeight="1"/>
    <row r="902" spans="2:32" ht="15" customHeight="1"/>
    <row r="903" spans="2:32" ht="15" customHeight="1"/>
    <row r="904" spans="2:32" ht="15" customHeight="1"/>
    <row r="905" spans="2:32" ht="15" customHeight="1"/>
    <row r="906" spans="2:32" ht="12" customHeight="1"/>
    <row r="907" spans="2:32" ht="15" customHeight="1"/>
    <row r="908" spans="2:32" ht="15" customHeight="1"/>
    <row r="909" spans="2:32" ht="15" customHeight="1"/>
    <row r="910" spans="2:32" ht="15" customHeight="1"/>
    <row r="911" spans="2:32" ht="15" customHeight="1">
      <c r="B911" s="291"/>
      <c r="C911" s="291"/>
      <c r="D911" s="291"/>
      <c r="E911" s="291"/>
      <c r="F911" s="291"/>
      <c r="G911" s="291"/>
      <c r="H911" s="291"/>
      <c r="I911" s="291"/>
      <c r="J911" s="291"/>
      <c r="K911" s="291"/>
      <c r="L911" s="291"/>
      <c r="M911" s="291"/>
      <c r="N911" s="291"/>
      <c r="O911" s="291"/>
      <c r="P911" s="291"/>
      <c r="Q911" s="291"/>
      <c r="R911" s="291"/>
      <c r="S911" s="291"/>
      <c r="T911" s="291"/>
      <c r="U911" s="291"/>
      <c r="V911" s="291"/>
      <c r="W911" s="291"/>
      <c r="X911" s="291"/>
      <c r="Y911" s="291"/>
      <c r="Z911" s="291"/>
      <c r="AA911" s="291"/>
      <c r="AB911" s="291"/>
      <c r="AC911" s="291"/>
      <c r="AD911" s="291"/>
      <c r="AE911" s="291"/>
      <c r="AF911" s="291"/>
    </row>
    <row r="912" spans="2:32" ht="15" customHeight="1"/>
    <row r="913" customFormat="1" ht="15" customHeight="1"/>
    <row r="914" customFormat="1" ht="12" customHeight="1"/>
    <row r="915" customFormat="1" ht="12" customHeight="1"/>
    <row r="916" customFormat="1" ht="12" customHeight="1"/>
    <row r="917" customFormat="1" ht="12" customHeight="1"/>
    <row r="918" customFormat="1" ht="12" customHeight="1"/>
    <row r="919" customFormat="1" ht="12" customHeight="1"/>
    <row r="920" customFormat="1" ht="12" customHeight="1"/>
    <row r="921" customFormat="1" ht="12" customHeight="1"/>
    <row r="922" customFormat="1" ht="12" customHeight="1"/>
    <row r="923" customFormat="1" ht="12" customHeight="1"/>
    <row r="924" customFormat="1" ht="12" customHeight="1"/>
    <row r="925" customFormat="1" ht="15" customHeight="1"/>
    <row r="926" customFormat="1" ht="15" customHeight="1"/>
    <row r="927" customFormat="1" ht="15" customHeight="1"/>
    <row r="928" customFormat="1" ht="15" customHeight="1"/>
    <row r="929" customFormat="1" ht="15" customHeight="1"/>
    <row r="930" customFormat="1" ht="15" customHeight="1"/>
    <row r="931" customFormat="1" ht="15" customHeight="1"/>
    <row r="932" customFormat="1" ht="15" customHeight="1"/>
    <row r="933" customFormat="1" ht="15" customHeight="1"/>
    <row r="934" customFormat="1" ht="15" customHeight="1"/>
    <row r="935" customFormat="1" ht="12" customHeight="1"/>
    <row r="936" customFormat="1" ht="15" customHeight="1"/>
    <row r="937" customFormat="1" ht="15" customHeight="1"/>
    <row r="938" customFormat="1" ht="15" customHeight="1"/>
    <row r="939" customFormat="1" ht="15" customHeight="1"/>
    <row r="940" customFormat="1" ht="15" customHeight="1"/>
    <row r="941" customFormat="1" ht="15" customHeight="1"/>
    <row r="942" customFormat="1" ht="15" customHeight="1"/>
    <row r="943" customFormat="1" ht="15" customHeight="1"/>
    <row r="944" customFormat="1" ht="15" customHeight="1"/>
    <row r="945" customFormat="1" ht="15" customHeight="1"/>
    <row r="946" customFormat="1" ht="15" customHeight="1"/>
    <row r="947" customFormat="1" ht="15" customHeight="1"/>
    <row r="948" customFormat="1" ht="15" customHeight="1"/>
    <row r="949" customFormat="1" ht="15" customHeight="1"/>
    <row r="950" customFormat="1" ht="15" customHeight="1"/>
    <row r="951" customFormat="1" ht="15" customHeight="1"/>
    <row r="952" customFormat="1" ht="12" customHeight="1"/>
    <row r="953" customFormat="1" ht="15" customHeight="1"/>
    <row r="954" customFormat="1" ht="12" customHeight="1"/>
    <row r="955" customFormat="1" ht="15" customHeight="1"/>
    <row r="956" customFormat="1" ht="15" customHeight="1"/>
    <row r="957" customFormat="1" ht="15" customHeight="1"/>
    <row r="958" customFormat="1" ht="15" customHeight="1"/>
    <row r="959" customFormat="1" ht="15" customHeight="1"/>
    <row r="960" customFormat="1" ht="12" customHeight="1"/>
    <row r="961" customFormat="1" ht="15" customHeight="1"/>
    <row r="962" customFormat="1" ht="15" customHeight="1"/>
    <row r="963" customFormat="1" ht="15" customHeight="1"/>
    <row r="964" customFormat="1" ht="15" customHeight="1"/>
    <row r="965" customFormat="1" ht="15" customHeight="1"/>
    <row r="966" customFormat="1" ht="15" customHeight="1"/>
    <row r="967" customFormat="1" ht="15" customHeight="1"/>
    <row r="968" customFormat="1" ht="15" customHeight="1"/>
    <row r="969" customFormat="1" ht="15" customHeight="1"/>
    <row r="970" customFormat="1" ht="15" customHeight="1"/>
    <row r="971" customFormat="1" ht="15" customHeight="1"/>
    <row r="972" customFormat="1" ht="15" customHeight="1"/>
    <row r="973" customFormat="1" ht="15" customHeight="1"/>
    <row r="974" customFormat="1" ht="15" customHeight="1"/>
    <row r="975" customFormat="1" ht="15" customHeight="1"/>
    <row r="976" customFormat="1" ht="15" customHeight="1"/>
    <row r="977" customFormat="1" ht="12" customHeight="1"/>
    <row r="978" customFormat="1" ht="15" customHeight="1"/>
    <row r="979" customFormat="1" ht="12" customHeight="1"/>
    <row r="980" customFormat="1" ht="15" customHeight="1"/>
    <row r="981" customFormat="1" ht="12" customHeight="1"/>
    <row r="982" customFormat="1" ht="15" customHeight="1"/>
    <row r="983" customFormat="1" ht="15" customHeight="1"/>
    <row r="984" customFormat="1" ht="15" customHeight="1"/>
    <row r="985" customFormat="1" ht="15" customHeight="1"/>
    <row r="986" customFormat="1" ht="15" customHeight="1"/>
    <row r="987" customFormat="1" ht="15" customHeight="1"/>
    <row r="988" customFormat="1" ht="15" customHeight="1"/>
    <row r="989" customFormat="1" ht="15" customHeight="1"/>
    <row r="990" customFormat="1" ht="15" customHeight="1"/>
    <row r="991" customFormat="1" ht="15" customHeight="1"/>
    <row r="992" customFormat="1" ht="15" customHeight="1"/>
    <row r="993" spans="2:32" ht="15" customHeight="1"/>
    <row r="994" spans="2:32" ht="15" customHeight="1">
      <c r="B994" s="291"/>
      <c r="C994" s="291"/>
      <c r="D994" s="291"/>
      <c r="E994" s="291"/>
      <c r="F994" s="291"/>
      <c r="G994" s="291"/>
      <c r="H994" s="291"/>
      <c r="I994" s="291"/>
      <c r="J994" s="291"/>
      <c r="K994" s="291"/>
      <c r="L994" s="291"/>
      <c r="M994" s="291"/>
      <c r="N994" s="291"/>
      <c r="O994" s="291"/>
      <c r="P994" s="291"/>
      <c r="Q994" s="291"/>
      <c r="R994" s="291"/>
      <c r="S994" s="291"/>
      <c r="T994" s="291"/>
      <c r="U994" s="291"/>
      <c r="V994" s="291"/>
      <c r="W994" s="291"/>
      <c r="X994" s="291"/>
      <c r="Y994" s="291"/>
      <c r="Z994" s="291"/>
      <c r="AA994" s="291"/>
      <c r="AB994" s="291"/>
      <c r="AC994" s="291"/>
      <c r="AD994" s="291"/>
      <c r="AE994" s="291"/>
      <c r="AF994" s="291"/>
    </row>
    <row r="995" spans="2:32" ht="15" customHeight="1"/>
    <row r="996" spans="2:32" ht="15" customHeight="1"/>
    <row r="997" spans="2:32" ht="15" customHeight="1"/>
    <row r="998" spans="2:32" ht="15" customHeight="1"/>
    <row r="999" spans="2:32" ht="15" customHeight="1"/>
    <row r="1000" spans="2:32" ht="15" customHeight="1"/>
    <row r="1001" spans="2:32" ht="12" customHeight="1"/>
    <row r="1002" spans="2:32" ht="12" customHeight="1"/>
    <row r="1003" spans="2:32" ht="12" customHeight="1"/>
    <row r="1004" spans="2:32" ht="12" customHeight="1"/>
    <row r="1005" spans="2:32" ht="12" customHeight="1"/>
    <row r="1006" spans="2:32" ht="12" customHeight="1"/>
    <row r="1007" spans="2:32" ht="12" customHeight="1"/>
    <row r="1008" spans="2:32" ht="12" customHeight="1"/>
    <row r="1009" customFormat="1" ht="12" customHeight="1"/>
    <row r="1010" customFormat="1" ht="12" customHeight="1"/>
    <row r="1011" customFormat="1" ht="12" customHeight="1"/>
    <row r="1012" customFormat="1" ht="12" customHeight="1"/>
    <row r="1013" customFormat="1" ht="12" customHeight="1"/>
    <row r="1014" customFormat="1" ht="12" customHeight="1"/>
    <row r="1015" customFormat="1" ht="12" customHeight="1"/>
    <row r="1016" customFormat="1" ht="12" customHeight="1"/>
    <row r="1017" customFormat="1" ht="12" customHeight="1"/>
    <row r="1018" customFormat="1" ht="12" customHeight="1"/>
    <row r="1019" customFormat="1" ht="12" customHeight="1"/>
    <row r="1020" customFormat="1" ht="12" customHeight="1"/>
    <row r="1021" customFormat="1" ht="12" customHeight="1"/>
    <row r="1022" customFormat="1" ht="12" customHeight="1"/>
    <row r="1023" customFormat="1" ht="12" customHeight="1"/>
    <row r="1024" customFormat="1" ht="12" customHeight="1"/>
    <row r="1025" customFormat="1" ht="15" customHeight="1"/>
    <row r="1026" customFormat="1" ht="15" customHeight="1"/>
    <row r="1027" customFormat="1" ht="15" customHeight="1"/>
    <row r="1028" customFormat="1" ht="15" customHeight="1"/>
    <row r="1029" customFormat="1" ht="15" customHeight="1"/>
    <row r="1030" customFormat="1" ht="15" customHeight="1"/>
    <row r="1031" customFormat="1" ht="15" customHeight="1"/>
    <row r="1032" customFormat="1" ht="15" customHeight="1"/>
    <row r="1033" customFormat="1" ht="15" customHeight="1"/>
    <row r="1034" customFormat="1" ht="15" customHeight="1"/>
    <row r="1035" customFormat="1" ht="12" customHeight="1"/>
    <row r="1036" customFormat="1" ht="15" customHeight="1"/>
    <row r="1037" customFormat="1" ht="15" customHeight="1"/>
    <row r="1038" customFormat="1" ht="15" customHeight="1"/>
    <row r="1039" customFormat="1" ht="15" customHeight="1"/>
    <row r="1040" customFormat="1" ht="15" customHeight="1"/>
    <row r="1041" customFormat="1" ht="15" customHeight="1"/>
    <row r="1042" customFormat="1" ht="15" customHeight="1"/>
    <row r="1043" customFormat="1" ht="15" customHeight="1"/>
    <row r="1044" customFormat="1" ht="15" customHeight="1"/>
    <row r="1045" customFormat="1" ht="15" customHeight="1"/>
    <row r="1046" customFormat="1" ht="15" customHeight="1"/>
    <row r="1047" customFormat="1" ht="15" customHeight="1"/>
    <row r="1048" customFormat="1" ht="15" customHeight="1"/>
    <row r="1049" customFormat="1" ht="15" customHeight="1"/>
    <row r="1050" customFormat="1" ht="15" customHeight="1"/>
    <row r="1051" customFormat="1" ht="15" customHeight="1"/>
    <row r="1052" customFormat="1" ht="12" customHeight="1"/>
    <row r="1053" customFormat="1" ht="15" customHeight="1"/>
    <row r="1054" customFormat="1" ht="15" customHeight="1"/>
    <row r="1055" customFormat="1" ht="12" customHeight="1"/>
    <row r="1056" customFormat="1" ht="15" customHeight="1"/>
    <row r="1057" customFormat="1" ht="15" customHeight="1"/>
    <row r="1058" customFormat="1" ht="15" customHeight="1"/>
    <row r="1059" customFormat="1" ht="15" customHeight="1"/>
    <row r="1060" customFormat="1" ht="15" customHeight="1"/>
    <row r="1061" customFormat="1" ht="12" customHeight="1"/>
    <row r="1062" customFormat="1" ht="15" customHeight="1"/>
    <row r="1063" customFormat="1" ht="15" customHeight="1"/>
    <row r="1064" customFormat="1" ht="15" customHeight="1"/>
    <row r="1065" customFormat="1" ht="15" customHeight="1"/>
    <row r="1066" customFormat="1" ht="15" customHeight="1"/>
    <row r="1067" customFormat="1" ht="15" customHeight="1"/>
    <row r="1068" customFormat="1" ht="15" customHeight="1"/>
    <row r="1069" customFormat="1" ht="15" customHeight="1"/>
    <row r="1070" customFormat="1" ht="15" customHeight="1"/>
    <row r="1071" customFormat="1" ht="15" customHeight="1"/>
    <row r="1072" customFormat="1" ht="15" customHeight="1"/>
    <row r="1073" customFormat="1" ht="15" customHeight="1"/>
    <row r="1074" customFormat="1" ht="15" customHeight="1"/>
    <row r="1075" customFormat="1" ht="15" customHeight="1"/>
    <row r="1076" customFormat="1" ht="15" customHeight="1"/>
    <row r="1077" customFormat="1" ht="15" customHeight="1"/>
    <row r="1078" customFormat="1" ht="12" customHeight="1"/>
    <row r="1079" customFormat="1" ht="15" customHeight="1"/>
    <row r="1080" customFormat="1" ht="15" customHeight="1"/>
    <row r="1081" customFormat="1" ht="12" customHeight="1"/>
    <row r="1082" customFormat="1" ht="15" customHeight="1"/>
    <row r="1083" customFormat="1" ht="12" customHeight="1"/>
    <row r="1084" customFormat="1" ht="15" customHeight="1"/>
    <row r="1085" customFormat="1" ht="15" customHeight="1"/>
    <row r="1086" customFormat="1" ht="15" customHeight="1"/>
    <row r="1087" customFormat="1" ht="15" customHeight="1"/>
    <row r="1088" customFormat="1" ht="15" customHeight="1"/>
    <row r="1089" spans="2:32" ht="15" customHeight="1"/>
    <row r="1090" spans="2:32" ht="15" customHeight="1"/>
    <row r="1091" spans="2:32" ht="15" customHeight="1"/>
    <row r="1092" spans="2:32" ht="15" customHeight="1"/>
    <row r="1093" spans="2:32" ht="15" customHeight="1"/>
    <row r="1094" spans="2:32" ht="15" customHeight="1"/>
    <row r="1095" spans="2:32" ht="15" customHeight="1"/>
    <row r="1096" spans="2:32" ht="15" customHeight="1">
      <c r="B1096" s="291"/>
      <c r="C1096" s="291"/>
      <c r="D1096" s="291"/>
      <c r="E1096" s="291"/>
      <c r="F1096" s="291"/>
      <c r="G1096" s="291"/>
      <c r="H1096" s="291"/>
      <c r="I1096" s="291"/>
      <c r="J1096" s="291"/>
      <c r="K1096" s="291"/>
      <c r="L1096" s="291"/>
      <c r="M1096" s="291"/>
      <c r="N1096" s="291"/>
      <c r="O1096" s="291"/>
      <c r="P1096" s="291"/>
      <c r="Q1096" s="291"/>
      <c r="R1096" s="291"/>
      <c r="S1096" s="291"/>
      <c r="T1096" s="291"/>
      <c r="U1096" s="291"/>
      <c r="V1096" s="291"/>
      <c r="W1096" s="291"/>
      <c r="X1096" s="291"/>
      <c r="Y1096" s="291"/>
      <c r="Z1096" s="291"/>
      <c r="AA1096" s="291"/>
      <c r="AB1096" s="291"/>
      <c r="AC1096" s="291"/>
      <c r="AD1096" s="291"/>
      <c r="AE1096" s="291"/>
      <c r="AF1096" s="291"/>
    </row>
    <row r="1097" spans="2:32" ht="15" customHeight="1"/>
    <row r="1098" spans="2:32" ht="15" customHeight="1"/>
    <row r="1099" spans="2:32" ht="15" customHeight="1"/>
    <row r="1100" spans="2:32" ht="15" customHeight="1"/>
    <row r="1101" spans="2:32" ht="15" customHeight="1"/>
    <row r="1102" spans="2:32" ht="15" customHeight="1"/>
    <row r="1103" spans="2:32" ht="12" customHeight="1"/>
    <row r="1104" spans="2:32" ht="12" customHeight="1"/>
    <row r="1105" customFormat="1" ht="12" customHeight="1"/>
    <row r="1106" customFormat="1" ht="12" customHeight="1"/>
    <row r="1107" customFormat="1" ht="12" customHeight="1"/>
    <row r="1108" customFormat="1" ht="12" customHeight="1"/>
    <row r="1109" customFormat="1" ht="12" customHeight="1"/>
    <row r="1110" customFormat="1" ht="12" customHeight="1"/>
    <row r="1111" customFormat="1" ht="12" customHeight="1"/>
    <row r="1112" customFormat="1" ht="12" customHeight="1"/>
    <row r="1113" customFormat="1" ht="12" customHeight="1"/>
    <row r="1114" customFormat="1" ht="12" customHeight="1"/>
    <row r="1115" customFormat="1" ht="12" customHeight="1"/>
    <row r="1116" customFormat="1" ht="12" customHeight="1"/>
    <row r="1117" customFormat="1" ht="12" customHeight="1"/>
    <row r="1118" customFormat="1" ht="12" customHeight="1"/>
    <row r="1119" customFormat="1" ht="12" customHeight="1"/>
    <row r="1120" customFormat="1" ht="12" customHeight="1"/>
    <row r="1121" customFormat="1" ht="12" customHeight="1"/>
    <row r="1122" customFormat="1" ht="12" customHeight="1"/>
    <row r="1123" customFormat="1" ht="12" customHeight="1"/>
    <row r="1124" customFormat="1" ht="12" customHeight="1"/>
    <row r="1125" customFormat="1" ht="15" customHeight="1"/>
    <row r="1126" customFormat="1" ht="15" customHeight="1"/>
    <row r="1127" customFormat="1" ht="15" customHeight="1"/>
    <row r="1128" customFormat="1" ht="15" customHeight="1"/>
    <row r="1129" customFormat="1" ht="15" customHeight="1"/>
    <row r="1130" customFormat="1" ht="15" customHeight="1"/>
    <row r="1131" customFormat="1" ht="15" customHeight="1"/>
    <row r="1132" customFormat="1" ht="15" customHeight="1"/>
    <row r="1133" customFormat="1" ht="15" customHeight="1"/>
    <row r="1134" customFormat="1" ht="15" customHeight="1"/>
    <row r="1135" customFormat="1" ht="12" customHeight="1"/>
    <row r="1136" customFormat="1" ht="15" customHeight="1"/>
    <row r="1137" customFormat="1" ht="15" customHeight="1"/>
    <row r="1138" customFormat="1" ht="15" customHeight="1"/>
    <row r="1139" customFormat="1" ht="15" customHeight="1"/>
    <row r="1140" customFormat="1" ht="15" customHeight="1"/>
    <row r="1141" customFormat="1" ht="15" customHeight="1"/>
    <row r="1142" customFormat="1" ht="15" customHeight="1"/>
    <row r="1143" customFormat="1" ht="15" customHeight="1"/>
    <row r="1144" customFormat="1" ht="15" customHeight="1"/>
    <row r="1145" customFormat="1" ht="15" customHeight="1"/>
    <row r="1146" customFormat="1" ht="15" customHeight="1"/>
    <row r="1147" customFormat="1" ht="15" customHeight="1"/>
    <row r="1148" customFormat="1" ht="15" customHeight="1"/>
    <row r="1149" customFormat="1" ht="15" customHeight="1"/>
    <row r="1150" customFormat="1" ht="15" customHeight="1"/>
    <row r="1151" customFormat="1" ht="15" customHeight="1"/>
    <row r="1152" customFormat="1" ht="12" customHeight="1"/>
    <row r="1153" customFormat="1" ht="15" customHeight="1"/>
    <row r="1154" customFormat="1" ht="12" customHeight="1"/>
    <row r="1155" customFormat="1" ht="15" customHeight="1"/>
    <row r="1156" customFormat="1" ht="15" customHeight="1"/>
    <row r="1157" customFormat="1" ht="15" customHeight="1"/>
    <row r="1158" customFormat="1" ht="15" customHeight="1"/>
    <row r="1159" customFormat="1" ht="15" customHeight="1"/>
    <row r="1160" customFormat="1" ht="12" customHeight="1"/>
    <row r="1161" customFormat="1" ht="15" customHeight="1"/>
    <row r="1162" customFormat="1" ht="15" customHeight="1"/>
    <row r="1163" customFormat="1" ht="15" customHeight="1"/>
    <row r="1164" customFormat="1" ht="15" customHeight="1"/>
    <row r="1165" customFormat="1" ht="15" customHeight="1"/>
    <row r="1166" customFormat="1" ht="15" customHeight="1"/>
    <row r="1167" customFormat="1" ht="15" customHeight="1"/>
    <row r="1168" customFormat="1" ht="15" customHeight="1"/>
    <row r="1169" customFormat="1" ht="15" customHeight="1"/>
    <row r="1170" customFormat="1" ht="15" customHeight="1"/>
    <row r="1171" customFormat="1" ht="15" customHeight="1"/>
    <row r="1172" customFormat="1" ht="15" customHeight="1"/>
    <row r="1173" customFormat="1" ht="15" customHeight="1"/>
    <row r="1174" customFormat="1" ht="15" customHeight="1"/>
    <row r="1175" customFormat="1" ht="15" customHeight="1"/>
    <row r="1176" customFormat="1" ht="15" customHeight="1"/>
    <row r="1177" customFormat="1" ht="12" customHeight="1"/>
    <row r="1178" customFormat="1" ht="15" customHeight="1"/>
    <row r="1179" customFormat="1" ht="12" customHeight="1"/>
    <row r="1180" customFormat="1" ht="15" customHeight="1"/>
    <row r="1181" customFormat="1" ht="12" customHeight="1"/>
    <row r="1182" customFormat="1" ht="15" customHeight="1"/>
    <row r="1183" customFormat="1" ht="15" customHeight="1"/>
    <row r="1184" customFormat="1" ht="15" customHeight="1"/>
    <row r="1185" spans="2:32" ht="15" customHeight="1"/>
    <row r="1186" spans="2:32" ht="15" customHeight="1"/>
    <row r="1187" spans="2:32" ht="15" customHeight="1"/>
    <row r="1188" spans="2:32" ht="15" customHeight="1"/>
    <row r="1189" spans="2:32" ht="15" customHeight="1"/>
    <row r="1190" spans="2:32" ht="15" customHeight="1"/>
    <row r="1191" spans="2:32" ht="15" customHeight="1"/>
    <row r="1192" spans="2:32" ht="15" customHeight="1"/>
    <row r="1193" spans="2:32" ht="15" customHeight="1"/>
    <row r="1194" spans="2:32" ht="15" customHeight="1">
      <c r="B1194" s="291"/>
      <c r="C1194" s="291"/>
      <c r="D1194" s="291"/>
      <c r="E1194" s="291"/>
      <c r="F1194" s="291"/>
      <c r="G1194" s="291"/>
      <c r="H1194" s="291"/>
      <c r="I1194" s="291"/>
      <c r="J1194" s="291"/>
      <c r="K1194" s="291"/>
      <c r="L1194" s="291"/>
      <c r="M1194" s="291"/>
      <c r="N1194" s="291"/>
      <c r="O1194" s="291"/>
      <c r="P1194" s="291"/>
      <c r="Q1194" s="291"/>
      <c r="R1194" s="291"/>
      <c r="S1194" s="291"/>
      <c r="T1194" s="291"/>
      <c r="U1194" s="291"/>
      <c r="V1194" s="291"/>
      <c r="W1194" s="291"/>
      <c r="X1194" s="291"/>
      <c r="Y1194" s="291"/>
      <c r="Z1194" s="291"/>
      <c r="AA1194" s="291"/>
      <c r="AB1194" s="291"/>
      <c r="AC1194" s="291"/>
      <c r="AD1194" s="291"/>
      <c r="AE1194" s="291"/>
      <c r="AF1194" s="291"/>
    </row>
    <row r="1195" spans="2:32" ht="15" customHeight="1"/>
    <row r="1196" spans="2:32" ht="15" customHeight="1"/>
    <row r="1197" spans="2:32" ht="15" customHeight="1"/>
    <row r="1198" spans="2:32" ht="15" customHeight="1"/>
    <row r="1199" spans="2:32" ht="15" customHeight="1"/>
    <row r="1200" spans="2:32" ht="15" customHeight="1"/>
    <row r="1201" customFormat="1" ht="12" customHeight="1"/>
    <row r="1202" customFormat="1" ht="12" customHeight="1"/>
    <row r="1203" customFormat="1" ht="12" customHeight="1"/>
    <row r="1204" customFormat="1" ht="12" customHeight="1"/>
    <row r="1205" customFormat="1" ht="12" customHeight="1"/>
    <row r="1206" customFormat="1" ht="12" customHeight="1"/>
    <row r="1207" customFormat="1" ht="12" customHeight="1"/>
    <row r="1208" customFormat="1" ht="12" customHeight="1"/>
    <row r="1209" customFormat="1" ht="12" customHeight="1"/>
    <row r="1210" customFormat="1" ht="12" customHeight="1"/>
    <row r="1211" customFormat="1" ht="12" customHeight="1"/>
    <row r="1212" customFormat="1" ht="12" customHeight="1"/>
    <row r="1213" customFormat="1" ht="12" customHeight="1"/>
    <row r="1214" customFormat="1" ht="12" customHeight="1"/>
    <row r="1215" customFormat="1" ht="12" customHeight="1"/>
    <row r="1216" customFormat="1" ht="12" customHeight="1"/>
    <row r="1217" customFormat="1" ht="12" customHeight="1"/>
    <row r="1218" customFormat="1" ht="12" customHeight="1"/>
    <row r="1219" customFormat="1" ht="12" customHeight="1"/>
    <row r="1220" customFormat="1" ht="12" customHeight="1"/>
    <row r="1221" customFormat="1" ht="12" customHeight="1"/>
    <row r="1222" customFormat="1" ht="12" customHeight="1"/>
    <row r="1223" customFormat="1" ht="12" customHeight="1"/>
    <row r="1224" customFormat="1" ht="12" customHeight="1"/>
    <row r="1225" customFormat="1" ht="15" customHeight="1"/>
    <row r="1226" customFormat="1" ht="15" customHeight="1"/>
    <row r="1227" customFormat="1" ht="15" customHeight="1"/>
    <row r="1228" customFormat="1" ht="15" customHeight="1"/>
    <row r="1229" customFormat="1" ht="15" customHeight="1"/>
    <row r="1230" customFormat="1" ht="15" customHeight="1"/>
    <row r="1231" customFormat="1" ht="15" customHeight="1"/>
    <row r="1232" customFormat="1" ht="15" customHeight="1"/>
    <row r="1233" customFormat="1" ht="15" customHeight="1"/>
    <row r="1234" customFormat="1" ht="15" customHeight="1"/>
    <row r="1235" customFormat="1" ht="12" customHeight="1"/>
    <row r="1236" customFormat="1" ht="15" customHeight="1"/>
    <row r="1237" customFormat="1" ht="15" customHeight="1"/>
    <row r="1238" customFormat="1" ht="15" customHeight="1"/>
    <row r="1239" customFormat="1" ht="15" customHeight="1"/>
    <row r="1240" customFormat="1" ht="15" customHeight="1"/>
    <row r="1241" customFormat="1" ht="15" customHeight="1"/>
    <row r="1242" customFormat="1" ht="15" customHeight="1"/>
    <row r="1243" customFormat="1" ht="15" customHeight="1"/>
    <row r="1244" customFormat="1" ht="15" customHeight="1"/>
    <row r="1245" customFormat="1" ht="15" customHeight="1"/>
    <row r="1246" customFormat="1" ht="15" customHeight="1"/>
    <row r="1247" customFormat="1" ht="15" customHeight="1"/>
    <row r="1248" customFormat="1" ht="15" customHeight="1"/>
    <row r="1249" customFormat="1" ht="15" customHeight="1"/>
    <row r="1250" customFormat="1" ht="15" customHeight="1"/>
    <row r="1251" customFormat="1" ht="15" customHeight="1"/>
    <row r="1252" customFormat="1" ht="12" customHeight="1"/>
    <row r="1253" customFormat="1" ht="15" customHeight="1"/>
    <row r="1254" customFormat="1" ht="12" customHeight="1"/>
    <row r="1255" customFormat="1" ht="15" customHeight="1"/>
    <row r="1256" customFormat="1" ht="15" customHeight="1"/>
    <row r="1257" customFormat="1" ht="15" customHeight="1"/>
    <row r="1258" customFormat="1" ht="15" customHeight="1"/>
    <row r="1259" customFormat="1" ht="15" customHeight="1"/>
    <row r="1260" customFormat="1" ht="12" customHeight="1"/>
    <row r="1261" customFormat="1" ht="15" customHeight="1"/>
    <row r="1262" customFormat="1" ht="15" customHeight="1"/>
    <row r="1263" customFormat="1" ht="15" customHeight="1"/>
    <row r="1264" customFormat="1" ht="15" customHeight="1"/>
    <row r="1265" customFormat="1" ht="15" customHeight="1"/>
    <row r="1266" customFormat="1" ht="15" customHeight="1"/>
    <row r="1267" customFormat="1" ht="15" customHeight="1"/>
    <row r="1268" customFormat="1" ht="15" customHeight="1"/>
    <row r="1269" customFormat="1" ht="15" customHeight="1"/>
    <row r="1270" customFormat="1" ht="15" customHeight="1"/>
    <row r="1271" customFormat="1" ht="15" customHeight="1"/>
    <row r="1272" customFormat="1" ht="15" customHeight="1"/>
    <row r="1273" customFormat="1" ht="15" customHeight="1"/>
    <row r="1274" customFormat="1" ht="15" customHeight="1"/>
    <row r="1275" customFormat="1" ht="15" customHeight="1"/>
    <row r="1276" customFormat="1" ht="15" customHeight="1"/>
    <row r="1277" customFormat="1" ht="12" customHeight="1"/>
    <row r="1278" customFormat="1" ht="15" customHeight="1"/>
    <row r="1279" customFormat="1" ht="12" customHeight="1"/>
    <row r="1280" customFormat="1" ht="15" customHeight="1"/>
    <row r="1281" spans="2:32" ht="12" customHeight="1"/>
    <row r="1282" spans="2:32" ht="15" customHeight="1"/>
    <row r="1283" spans="2:32" ht="15" customHeight="1"/>
    <row r="1284" spans="2:32" ht="15" customHeight="1"/>
    <row r="1285" spans="2:32" ht="15" customHeight="1"/>
    <row r="1286" spans="2:32" ht="15" customHeight="1"/>
    <row r="1287" spans="2:32" ht="15" customHeight="1"/>
    <row r="1288" spans="2:32" ht="15" customHeight="1"/>
    <row r="1289" spans="2:32" ht="15" customHeight="1"/>
    <row r="1290" spans="2:32" ht="15" customHeight="1"/>
    <row r="1291" spans="2:32" ht="15" customHeight="1"/>
    <row r="1292" spans="2:32" ht="15" customHeight="1"/>
    <row r="1293" spans="2:32" ht="15" customHeight="1"/>
    <row r="1294" spans="2:32" ht="15" customHeight="1">
      <c r="B1294" s="291"/>
      <c r="C1294" s="291"/>
      <c r="D1294" s="291"/>
      <c r="E1294" s="291"/>
      <c r="F1294" s="291"/>
      <c r="G1294" s="291"/>
      <c r="H1294" s="291"/>
      <c r="I1294" s="291"/>
      <c r="J1294" s="291"/>
      <c r="K1294" s="291"/>
      <c r="L1294" s="291"/>
      <c r="M1294" s="291"/>
      <c r="N1294" s="291"/>
      <c r="O1294" s="291"/>
      <c r="P1294" s="291"/>
      <c r="Q1294" s="291"/>
      <c r="R1294" s="291"/>
      <c r="S1294" s="291"/>
      <c r="T1294" s="291"/>
      <c r="U1294" s="291"/>
      <c r="V1294" s="291"/>
      <c r="W1294" s="291"/>
      <c r="X1294" s="291"/>
      <c r="Y1294" s="291"/>
      <c r="Z1294" s="291"/>
      <c r="AA1294" s="291"/>
      <c r="AB1294" s="291"/>
      <c r="AC1294" s="291"/>
      <c r="AD1294" s="291"/>
      <c r="AE1294" s="291"/>
      <c r="AF1294" s="291"/>
    </row>
    <row r="1295" spans="2:32" ht="15" customHeight="1"/>
    <row r="1296" spans="2:32" ht="15" customHeight="1"/>
    <row r="1297" customFormat="1" ht="15" customHeight="1"/>
    <row r="1298" customFormat="1" ht="15" customHeight="1"/>
    <row r="1299" customFormat="1" ht="15" customHeight="1"/>
    <row r="1300" customFormat="1" ht="15" customHeight="1"/>
    <row r="1301" customFormat="1" ht="12" customHeight="1"/>
    <row r="1302" customFormat="1" ht="12" customHeight="1"/>
    <row r="1303" customFormat="1" ht="12" customHeight="1"/>
    <row r="1304" customFormat="1" ht="12" customHeight="1"/>
    <row r="1305" customFormat="1" ht="12" customHeight="1"/>
    <row r="1306" customFormat="1" ht="12" customHeight="1"/>
    <row r="1307" customFormat="1" ht="12" customHeight="1"/>
    <row r="1308" customFormat="1" ht="12" customHeight="1"/>
    <row r="1309" customFormat="1" ht="12" customHeight="1"/>
    <row r="1310" customFormat="1" ht="12" customHeight="1"/>
    <row r="1311" customFormat="1" ht="12" customHeight="1"/>
    <row r="1312" customFormat="1" ht="12" customHeight="1"/>
    <row r="1313" customFormat="1" ht="12" customHeight="1"/>
    <row r="1314" customFormat="1" ht="12" customHeight="1"/>
    <row r="1315" customFormat="1" ht="12" customHeight="1"/>
    <row r="1316" customFormat="1" ht="12" customHeight="1"/>
    <row r="1317" customFormat="1" ht="12" customHeight="1"/>
    <row r="1318" customFormat="1" ht="12" customHeight="1"/>
    <row r="1319" customFormat="1" ht="12" customHeight="1"/>
    <row r="1320" customFormat="1" ht="12" customHeight="1"/>
    <row r="1321" customFormat="1" ht="12" customHeight="1"/>
    <row r="1322" customFormat="1" ht="12" customHeight="1"/>
    <row r="1323" customFormat="1" ht="12" customHeight="1"/>
    <row r="1324" customFormat="1" ht="12" customHeight="1"/>
    <row r="1325" customFormat="1" ht="15" customHeight="1"/>
    <row r="1326" customFormat="1" ht="15" customHeight="1"/>
    <row r="1327" customFormat="1" ht="15" customHeight="1"/>
    <row r="1328" customFormat="1" ht="15" customHeight="1"/>
    <row r="1329" customFormat="1" ht="15" customHeight="1"/>
    <row r="1330" customFormat="1" ht="15" customHeight="1"/>
    <row r="1331" customFormat="1" ht="12" customHeight="1"/>
    <row r="1332" customFormat="1" ht="15" customHeight="1"/>
    <row r="1333" customFormat="1" ht="15" customHeight="1"/>
    <row r="1334" customFormat="1" ht="15" customHeight="1"/>
    <row r="1335" customFormat="1" ht="12" customHeight="1"/>
    <row r="1336" customFormat="1" ht="15" customHeight="1"/>
    <row r="1337" customFormat="1" ht="15" customHeight="1"/>
    <row r="1338" customFormat="1" ht="15" customHeight="1"/>
    <row r="1339" customFormat="1" ht="15" customHeight="1"/>
    <row r="1340" customFormat="1" ht="15" customHeight="1"/>
    <row r="1341" customFormat="1" ht="15" customHeight="1"/>
    <row r="1342" customFormat="1" ht="15" customHeight="1"/>
    <row r="1343" customFormat="1" ht="15" customHeight="1"/>
    <row r="1344" customFormat="1" ht="15" customHeight="1"/>
    <row r="1345" customFormat="1" ht="15" customHeight="1"/>
    <row r="1346" customFormat="1" ht="15" customHeight="1"/>
    <row r="1347" customFormat="1" ht="15" customHeight="1"/>
    <row r="1348" customFormat="1" ht="15" customHeight="1"/>
    <row r="1349" customFormat="1" ht="15" customHeight="1"/>
    <row r="1350" customFormat="1" ht="15" customHeight="1"/>
    <row r="1351" customFormat="1" ht="15" customHeight="1"/>
    <row r="1352" customFormat="1" ht="15" customHeight="1"/>
    <row r="1353" customFormat="1" ht="15" customHeight="1"/>
    <row r="1354" customFormat="1" ht="12" customHeight="1"/>
    <row r="1355" customFormat="1" ht="15" customHeight="1"/>
    <row r="1356" customFormat="1" ht="15" customHeight="1"/>
    <row r="1357" customFormat="1" ht="15" customHeight="1"/>
    <row r="1358" customFormat="1" ht="15" customHeight="1"/>
    <row r="1359" customFormat="1" ht="15" customHeight="1"/>
    <row r="1360" customFormat="1" ht="15" customHeight="1"/>
    <row r="1361" customFormat="1" ht="15" customHeight="1"/>
    <row r="1362" customFormat="1" ht="15" customHeight="1"/>
    <row r="1363" customFormat="1" ht="15" customHeight="1"/>
    <row r="1364" customFormat="1" ht="15" customHeight="1"/>
    <row r="1365" customFormat="1" ht="15" customHeight="1"/>
    <row r="1366" customFormat="1" ht="15" customHeight="1"/>
    <row r="1367" customFormat="1" ht="15" customHeight="1"/>
    <row r="1368" customFormat="1" ht="15" customHeight="1"/>
    <row r="1369" customFormat="1" ht="15" customHeight="1"/>
    <row r="1370" customFormat="1" ht="15" customHeight="1"/>
    <row r="1371" customFormat="1" ht="15" customHeight="1"/>
    <row r="1372" customFormat="1" ht="15" customHeight="1"/>
    <row r="1373" customFormat="1" ht="15" customHeight="1"/>
    <row r="1374" customFormat="1" ht="15" customHeight="1"/>
    <row r="1375" customFormat="1" ht="15" customHeight="1"/>
    <row r="1376" customFormat="1" ht="15" customHeight="1"/>
    <row r="1377" customFormat="1" ht="15" customHeight="1"/>
    <row r="1378" customFormat="1" ht="15" customHeight="1"/>
    <row r="1379" customFormat="1" ht="15" customHeight="1"/>
    <row r="1380" customFormat="1" ht="15" customHeight="1"/>
    <row r="1381" customFormat="1" ht="15" customHeight="1"/>
    <row r="1382" customFormat="1" ht="15" customHeight="1"/>
    <row r="1383" customFormat="1" ht="15" customHeight="1"/>
    <row r="1384" customFormat="1" ht="15" customHeight="1"/>
    <row r="1385" customFormat="1" ht="15" customHeight="1"/>
    <row r="1386" customFormat="1" ht="15" customHeight="1"/>
    <row r="1387" customFormat="1" ht="15" customHeight="1"/>
    <row r="1388" customFormat="1" ht="15" customHeight="1"/>
    <row r="1389" customFormat="1" ht="15" customHeight="1"/>
    <row r="1390" customFormat="1" ht="15" customHeight="1"/>
    <row r="1391" customFormat="1" ht="15" customHeight="1"/>
    <row r="1392" customFormat="1" ht="15" customHeight="1"/>
    <row r="1393" customFormat="1" ht="15" customHeight="1"/>
    <row r="1394" customFormat="1" ht="12" customHeight="1"/>
    <row r="1395" customFormat="1" ht="15" customHeight="1"/>
    <row r="1396" customFormat="1" ht="15" customHeight="1"/>
    <row r="1397" customFormat="1" ht="15" customHeight="1"/>
    <row r="1398" customFormat="1" ht="15" customHeight="1"/>
    <row r="1399" customFormat="1" ht="15" customHeight="1"/>
    <row r="1400" customFormat="1" ht="15" customHeight="1"/>
    <row r="1401" customFormat="1" ht="15" customHeight="1"/>
    <row r="1402" customFormat="1" ht="15" customHeight="1"/>
    <row r="1403" customFormat="1" ht="15" customHeight="1"/>
    <row r="1404" customFormat="1" ht="15" customHeight="1"/>
    <row r="1405" customFormat="1" ht="15" customHeight="1"/>
    <row r="1406" customFormat="1" ht="15" customHeight="1"/>
    <row r="1407" customFormat="1" ht="15" customHeight="1"/>
    <row r="1408" customFormat="1" ht="15" customHeight="1"/>
    <row r="1409" customFormat="1" ht="15" customHeight="1"/>
    <row r="1410" customFormat="1" ht="15" customHeight="1"/>
    <row r="1411" customFormat="1" ht="15" customHeight="1"/>
    <row r="1412" customFormat="1" ht="15" customHeight="1"/>
    <row r="1413" customFormat="1" ht="15" customHeight="1"/>
    <row r="1414" customFormat="1" ht="15" customHeight="1"/>
    <row r="1415" customFormat="1" ht="12" customHeight="1"/>
    <row r="1416" customFormat="1" ht="15" customHeight="1"/>
    <row r="1417" customFormat="1" ht="15" customHeight="1"/>
    <row r="1418" customFormat="1" ht="15" customHeight="1"/>
    <row r="1419" customFormat="1" ht="15" customHeight="1"/>
    <row r="1420" customFormat="1" ht="15" customHeight="1"/>
    <row r="1421" customFormat="1" ht="15" customHeight="1"/>
    <row r="1422" customFormat="1" ht="15" customHeight="1"/>
    <row r="1423" customFormat="1" ht="15" customHeight="1"/>
    <row r="1424" customFormat="1" ht="15" customHeight="1"/>
    <row r="1425" customFormat="1" ht="15" customHeight="1"/>
    <row r="1426" customFormat="1" ht="15" customHeight="1"/>
    <row r="1427" customFormat="1" ht="15" customHeight="1"/>
    <row r="1428" customFormat="1" ht="15" customHeight="1"/>
    <row r="1429" customFormat="1" ht="15" customHeight="1"/>
    <row r="1430" customFormat="1" ht="15" customHeight="1"/>
    <row r="1431" customFormat="1" ht="15" customHeight="1"/>
    <row r="1432" customFormat="1" ht="15" customHeight="1"/>
    <row r="1433" customFormat="1" ht="15" customHeight="1"/>
    <row r="1434" customFormat="1" ht="15" customHeight="1"/>
    <row r="1435" customFormat="1" ht="15" customHeight="1"/>
    <row r="1436" customFormat="1" ht="15" customHeight="1"/>
    <row r="1437" customFormat="1" ht="15" customHeight="1"/>
    <row r="1438" customFormat="1" ht="15" customHeight="1"/>
    <row r="1439" customFormat="1" ht="15" customHeight="1"/>
    <row r="1440" customFormat="1" ht="15" customHeight="1"/>
    <row r="1441" customFormat="1" ht="15" customHeight="1"/>
    <row r="1442" customFormat="1" ht="15" customHeight="1"/>
    <row r="1443" customFormat="1" ht="15" customHeight="1"/>
    <row r="1444" customFormat="1" ht="15" customHeight="1"/>
    <row r="1445" customFormat="1" ht="15" customHeight="1"/>
    <row r="1446" customFormat="1" ht="15" customHeight="1"/>
    <row r="1447" customFormat="1" ht="15" customHeight="1"/>
    <row r="1448" customFormat="1" ht="15" customHeight="1"/>
    <row r="1449" customFormat="1" ht="15" customHeight="1"/>
    <row r="1450" customFormat="1" ht="15" customHeight="1"/>
    <row r="1451" customFormat="1" ht="15" customHeight="1"/>
    <row r="1452" customFormat="1" ht="15" customHeight="1"/>
    <row r="1453" customFormat="1" ht="15" customHeight="1"/>
    <row r="1454" customFormat="1" ht="15" customHeight="1"/>
    <row r="1455" customFormat="1" ht="15" customHeight="1"/>
    <row r="1456" customFormat="1" ht="15" customHeight="1"/>
    <row r="1457" customFormat="1" ht="15" customHeight="1"/>
    <row r="1458" customFormat="1" ht="15" customHeight="1"/>
    <row r="1459" customFormat="1" ht="15" customHeight="1"/>
    <row r="1460" customFormat="1" ht="15" customHeight="1"/>
    <row r="1461" customFormat="1" ht="15" customHeight="1"/>
    <row r="1462" customFormat="1" ht="15" customHeight="1"/>
    <row r="1463" customFormat="1" ht="15" customHeight="1"/>
    <row r="1464" customFormat="1" ht="15" customHeight="1"/>
    <row r="1465" customFormat="1" ht="15" customHeight="1"/>
    <row r="1466" customFormat="1" ht="15" customHeight="1"/>
    <row r="1467" customFormat="1" ht="15" customHeight="1"/>
    <row r="1468" customFormat="1" ht="15" customHeight="1"/>
    <row r="1469" customFormat="1" ht="15" customHeight="1"/>
    <row r="1470" customFormat="1" ht="15" customHeight="1"/>
    <row r="1471" customFormat="1" ht="15" customHeight="1"/>
    <row r="1472" customFormat="1" ht="15" customHeight="1"/>
    <row r="1473" customFormat="1" ht="15" customHeight="1"/>
    <row r="1474" customFormat="1" ht="15" customHeight="1"/>
    <row r="1475" customFormat="1" ht="15" customHeight="1"/>
    <row r="1476" customFormat="1" ht="15" customHeight="1"/>
    <row r="1477" customFormat="1" ht="15" customHeight="1"/>
    <row r="1478" customFormat="1" ht="15" customHeight="1"/>
    <row r="1479" customFormat="1" ht="15" customHeight="1"/>
    <row r="1480" customFormat="1" ht="15" customHeight="1"/>
    <row r="1481" customFormat="1" ht="15" customHeight="1"/>
    <row r="1482" customFormat="1" ht="15" customHeight="1"/>
    <row r="1483" customFormat="1" ht="15" customHeight="1"/>
    <row r="1484" customFormat="1" ht="15" customHeight="1"/>
    <row r="1485" customFormat="1" ht="12" customHeight="1"/>
    <row r="1486" customFormat="1" ht="15" customHeight="1"/>
    <row r="1487" customFormat="1" ht="15" customHeight="1"/>
    <row r="1488" customFormat="1" ht="15" customHeight="1"/>
    <row r="1489" customFormat="1" ht="15" customHeight="1"/>
    <row r="1490" customFormat="1" ht="15" customHeight="1"/>
    <row r="1491" customFormat="1" ht="15" customHeight="1"/>
    <row r="1492" customFormat="1" ht="15" customHeight="1"/>
    <row r="1493" customFormat="1" ht="15" customHeight="1"/>
    <row r="1494" customFormat="1" ht="15" customHeight="1"/>
    <row r="1495" customFormat="1" ht="15" customHeight="1"/>
    <row r="1496" customFormat="1" ht="15" customHeight="1"/>
    <row r="1497" customFormat="1" ht="15" customHeight="1"/>
    <row r="1498" customFormat="1" ht="15" customHeight="1"/>
    <row r="1499" customFormat="1" ht="15" customHeight="1"/>
    <row r="1500" customFormat="1" ht="15" customHeight="1"/>
    <row r="1501" customFormat="1" ht="15" customHeight="1"/>
    <row r="1502" customFormat="1" ht="15" customHeight="1"/>
    <row r="1503" customFormat="1" ht="15" customHeight="1"/>
    <row r="1504" customFormat="1" ht="15" customHeight="1"/>
    <row r="1505" customFormat="1" ht="15" customHeight="1"/>
    <row r="1506" customFormat="1" ht="15" customHeight="1"/>
    <row r="1507" customFormat="1" ht="15" customHeight="1"/>
    <row r="1508" customFormat="1" ht="15" customHeight="1"/>
    <row r="1509" customFormat="1" ht="15" customHeight="1"/>
    <row r="1510" customFormat="1" ht="15" customHeight="1"/>
    <row r="1511" customFormat="1" ht="15" customHeight="1"/>
    <row r="1512" customFormat="1" ht="15" customHeight="1"/>
    <row r="1513" customFormat="1" ht="15" customHeight="1"/>
    <row r="1514" customFormat="1" ht="15" customHeight="1"/>
    <row r="1515" customFormat="1" ht="15" customHeight="1"/>
    <row r="1516" customFormat="1" ht="15" customHeight="1"/>
    <row r="1517" customFormat="1" ht="15" customHeight="1"/>
    <row r="1518" customFormat="1" ht="15" customHeight="1"/>
    <row r="1519" customFormat="1" ht="15" customHeight="1"/>
    <row r="1520" customFormat="1" ht="15" customHeight="1"/>
    <row r="1521" customFormat="1" ht="15" customHeight="1"/>
    <row r="1522" customFormat="1" ht="15" customHeight="1"/>
    <row r="1523" customFormat="1" ht="15" customHeight="1"/>
    <row r="1524" customFormat="1" ht="15" customHeight="1"/>
    <row r="1525" customFormat="1" ht="15" customHeight="1"/>
    <row r="1526" customFormat="1" ht="15" customHeight="1"/>
    <row r="1527" customFormat="1" ht="15" customHeight="1"/>
    <row r="1528" customFormat="1" ht="15" customHeight="1"/>
    <row r="1529" customFormat="1" ht="15" customHeight="1"/>
    <row r="1530" customFormat="1" ht="15" customHeight="1"/>
    <row r="1531" customFormat="1" ht="15" customHeight="1"/>
    <row r="1532" customFormat="1" ht="15" customHeight="1"/>
    <row r="1533" customFormat="1" ht="15" customHeight="1"/>
    <row r="1534" customFormat="1" ht="15" customHeight="1"/>
    <row r="1535" customFormat="1" ht="15" customHeight="1"/>
    <row r="1536" customFormat="1" ht="15" customHeight="1"/>
    <row r="1537" customFormat="1" ht="15" customHeight="1"/>
    <row r="1538" customFormat="1" ht="15" customHeight="1"/>
    <row r="1539" customFormat="1" ht="15" customHeight="1"/>
    <row r="1540" customFormat="1" ht="15" customHeight="1"/>
    <row r="1541" customFormat="1" ht="15" customHeight="1"/>
    <row r="1542" customFormat="1" ht="15" customHeight="1"/>
    <row r="1543" customFormat="1" ht="15" customHeight="1"/>
    <row r="1544" customFormat="1" ht="15" customHeight="1"/>
    <row r="1545" customFormat="1" ht="15" customHeight="1"/>
    <row r="1546" customFormat="1" ht="15" customHeight="1"/>
    <row r="1547" customFormat="1" ht="15" customHeight="1"/>
    <row r="1548" customFormat="1" ht="15" customHeight="1"/>
    <row r="1549" customFormat="1" ht="15" customHeight="1"/>
    <row r="1550" customFormat="1" ht="15" customHeight="1"/>
    <row r="1551" customFormat="1" ht="15" customHeight="1"/>
    <row r="1552" customFormat="1" ht="15" customHeight="1"/>
    <row r="1553" customFormat="1" ht="15" customHeight="1"/>
    <row r="1554" customFormat="1" ht="15" customHeight="1"/>
    <row r="1555" customFormat="1" ht="12" customHeight="1"/>
    <row r="1556" customFormat="1" ht="15" customHeight="1"/>
    <row r="1557" customFormat="1" ht="15" customHeight="1"/>
    <row r="1558" customFormat="1" ht="15" customHeight="1"/>
    <row r="1559" customFormat="1" ht="15" customHeight="1"/>
    <row r="1560" customFormat="1" ht="15" customHeight="1"/>
    <row r="1561" customFormat="1" ht="15" customHeight="1"/>
    <row r="1562" customFormat="1" ht="15" customHeight="1"/>
    <row r="1563" customFormat="1" ht="15" customHeight="1"/>
    <row r="1564" customFormat="1" ht="15" customHeight="1"/>
    <row r="1565" customFormat="1" ht="15" customHeight="1"/>
    <row r="1566" customFormat="1" ht="15" customHeight="1"/>
    <row r="1567" customFormat="1" ht="12" customHeight="1"/>
    <row r="1568" customFormat="1" ht="15" customHeight="1"/>
    <row r="1569" customFormat="1" ht="15" customHeight="1"/>
    <row r="1570" customFormat="1" ht="15" customHeight="1"/>
    <row r="1571" customFormat="1" ht="15" customHeight="1"/>
    <row r="1572" customFormat="1" ht="15" customHeight="1"/>
    <row r="1573" customFormat="1" ht="15" customHeight="1"/>
    <row r="1574" customFormat="1" ht="15" customHeight="1"/>
    <row r="1575" customFormat="1" ht="15" customHeight="1"/>
    <row r="1576" customFormat="1" ht="15" customHeight="1"/>
    <row r="1577" customFormat="1" ht="15" customHeight="1"/>
    <row r="1578" customFormat="1" ht="15" customHeight="1"/>
    <row r="1579" customFormat="1" ht="15" customHeight="1"/>
    <row r="1580" customFormat="1" ht="15" customHeight="1"/>
    <row r="1581" customFormat="1" ht="15" customHeight="1"/>
    <row r="1582" customFormat="1" ht="15" customHeight="1"/>
    <row r="1583" customFormat="1" ht="15" customHeight="1"/>
    <row r="1584" customFormat="1" ht="15" customHeight="1"/>
    <row r="1585" spans="2:32" ht="15" customHeight="1"/>
    <row r="1586" spans="2:32" ht="15" customHeight="1"/>
    <row r="1587" spans="2:32" ht="15" customHeight="1"/>
    <row r="1588" spans="2:32" ht="15" customHeight="1"/>
    <row r="1589" spans="2:32" ht="15" customHeight="1"/>
    <row r="1590" spans="2:32" ht="15" customHeight="1">
      <c r="B1590" s="291"/>
      <c r="C1590" s="291"/>
      <c r="D1590" s="291"/>
      <c r="E1590" s="291"/>
      <c r="F1590" s="291"/>
      <c r="G1590" s="291"/>
      <c r="H1590" s="291"/>
      <c r="I1590" s="291"/>
      <c r="J1590" s="291"/>
      <c r="K1590" s="291"/>
      <c r="L1590" s="291"/>
      <c r="M1590" s="291"/>
      <c r="N1590" s="291"/>
      <c r="O1590" s="291"/>
      <c r="P1590" s="291"/>
      <c r="Q1590" s="291"/>
      <c r="R1590" s="291"/>
      <c r="S1590" s="291"/>
      <c r="T1590" s="291"/>
      <c r="U1590" s="291"/>
      <c r="V1590" s="291"/>
      <c r="W1590" s="291"/>
      <c r="X1590" s="291"/>
      <c r="Y1590" s="291"/>
      <c r="Z1590" s="291"/>
      <c r="AA1590" s="291"/>
      <c r="AB1590" s="291"/>
      <c r="AC1590" s="291"/>
      <c r="AD1590" s="291"/>
      <c r="AE1590" s="291"/>
      <c r="AF1590" s="291"/>
    </row>
    <row r="1591" spans="2:32" ht="15" customHeight="1"/>
    <row r="1592" spans="2:32" ht="15" customHeight="1"/>
    <row r="1593" spans="2:32" ht="15" customHeight="1"/>
    <row r="1594" spans="2:32" ht="15" customHeight="1"/>
    <row r="1595" spans="2:32" ht="15" customHeight="1"/>
    <row r="1596" spans="2:32" ht="15" customHeight="1"/>
    <row r="1597" spans="2:32" ht="15" customHeight="1"/>
    <row r="1598" spans="2:32" ht="15" customHeight="1"/>
    <row r="1599" spans="2:32" ht="12" customHeight="1"/>
    <row r="1600" spans="2:32" ht="12" customHeight="1"/>
    <row r="1601" customFormat="1" ht="12" customHeight="1"/>
    <row r="1602" customFormat="1" ht="12" customHeight="1"/>
    <row r="1603" customFormat="1" ht="12" customHeight="1"/>
    <row r="1604" customFormat="1" ht="12" customHeight="1"/>
    <row r="1605" customFormat="1" ht="12" customHeight="1"/>
    <row r="1606" customFormat="1" ht="12" customHeight="1"/>
    <row r="1607" customFormat="1" ht="12" customHeight="1"/>
    <row r="1608" customFormat="1" ht="12" customHeight="1"/>
    <row r="1609" customFormat="1" ht="12" customHeight="1"/>
    <row r="1610" customFormat="1" ht="12" customHeight="1"/>
    <row r="1611" customFormat="1" ht="12" customHeight="1"/>
    <row r="1612" customFormat="1" ht="12" customHeight="1"/>
    <row r="1613" customFormat="1" ht="12" customHeight="1"/>
    <row r="1614" customFormat="1" ht="12" customHeight="1"/>
    <row r="1615" customFormat="1" ht="12" customHeight="1"/>
    <row r="1616" customFormat="1" ht="12" customHeight="1"/>
    <row r="1617" customFormat="1" ht="12" customHeight="1"/>
    <row r="1618" customFormat="1" ht="12" customHeight="1"/>
    <row r="1619" customFormat="1" ht="12" customHeight="1"/>
    <row r="1620" customFormat="1" ht="12" customHeight="1"/>
    <row r="1621" customFormat="1" ht="12" customHeight="1"/>
    <row r="1622" customFormat="1" ht="12" customHeight="1"/>
    <row r="1623" customFormat="1" ht="12" customHeight="1"/>
    <row r="1624" customFormat="1" ht="12" customHeight="1"/>
    <row r="1625" customFormat="1" ht="15" customHeight="1"/>
    <row r="1626" customFormat="1" ht="15" customHeight="1"/>
    <row r="1627" customFormat="1" ht="15" customHeight="1"/>
    <row r="1628" customFormat="1" ht="15" customHeight="1"/>
    <row r="1629" customFormat="1" ht="15" customHeight="1"/>
    <row r="1630" customFormat="1" ht="15" customHeight="1"/>
    <row r="1631" customFormat="1" ht="15" customHeight="1"/>
    <row r="1632" customFormat="1" ht="15" customHeight="1"/>
    <row r="1633" customFormat="1" ht="15" customHeight="1"/>
    <row r="1634" customFormat="1" ht="15" customHeight="1"/>
    <row r="1635" customFormat="1" ht="15" customHeight="1"/>
    <row r="1636" customFormat="1" ht="15" customHeight="1"/>
    <row r="1637" customFormat="1" ht="15" customHeight="1"/>
    <row r="1638" customFormat="1" ht="15" customHeight="1"/>
    <row r="1639" customFormat="1" ht="15" customHeight="1"/>
    <row r="1640" customFormat="1" ht="15" customHeight="1"/>
    <row r="1641" customFormat="1" ht="15" customHeight="1"/>
    <row r="1642" customFormat="1" ht="15" customHeight="1"/>
    <row r="1643" customFormat="1" ht="15" customHeight="1"/>
    <row r="1644" customFormat="1" ht="15" customHeight="1"/>
    <row r="1645" customFormat="1" ht="15" customHeight="1"/>
    <row r="1646" customFormat="1" ht="15" customHeight="1"/>
    <row r="1647" customFormat="1" ht="15" customHeight="1"/>
    <row r="1648" customFormat="1" ht="15" customHeight="1"/>
    <row r="1649" customFormat="1" ht="15" customHeight="1"/>
    <row r="1650" customFormat="1" ht="15" customHeight="1"/>
    <row r="1651" customFormat="1" ht="15" customHeight="1"/>
    <row r="1652" customFormat="1" ht="15" customHeight="1"/>
    <row r="1653" customFormat="1" ht="15" customHeight="1"/>
    <row r="1654" customFormat="1" ht="15" customHeight="1"/>
    <row r="1655" customFormat="1" ht="15" customHeight="1"/>
    <row r="1656" customFormat="1" ht="15" customHeight="1"/>
    <row r="1657" customFormat="1" ht="15" customHeight="1"/>
    <row r="1658" customFormat="1" ht="15" customHeight="1"/>
    <row r="1659" customFormat="1" ht="15" customHeight="1"/>
    <row r="1660" customFormat="1" ht="15" customHeight="1"/>
    <row r="1661" customFormat="1" ht="15" customHeight="1"/>
    <row r="1662" customFormat="1" ht="15" customHeight="1"/>
    <row r="1663" customFormat="1" ht="15" customHeight="1"/>
    <row r="1664" customFormat="1" ht="15" customHeight="1"/>
    <row r="1665" customFormat="1" ht="15" customHeight="1"/>
    <row r="1666" customFormat="1" ht="15" customHeight="1"/>
    <row r="1667" customFormat="1" ht="15" customHeight="1"/>
    <row r="1668" customFormat="1" ht="15" customHeight="1"/>
    <row r="1669" customFormat="1" ht="15" customHeight="1"/>
    <row r="1670" customFormat="1" ht="15" customHeight="1"/>
    <row r="1671" customFormat="1" ht="15" customHeight="1"/>
    <row r="1672" customFormat="1" ht="15" customHeight="1"/>
    <row r="1673" customFormat="1" ht="15" customHeight="1"/>
    <row r="1674" customFormat="1" ht="15" customHeight="1"/>
    <row r="1675" customFormat="1" ht="15" customHeight="1"/>
    <row r="1676" customFormat="1" ht="15" customHeight="1"/>
    <row r="1677" customFormat="1" ht="15" customHeight="1"/>
    <row r="1678" customFormat="1" ht="15" customHeight="1"/>
    <row r="1679" customFormat="1" ht="15" customHeight="1"/>
    <row r="1680" customFormat="1" ht="15" customHeight="1"/>
    <row r="1681" customFormat="1" ht="15" customHeight="1"/>
    <row r="1682" customFormat="1" ht="15" customHeight="1"/>
    <row r="1683" customFormat="1" ht="15" customHeight="1"/>
    <row r="1684" customFormat="1" ht="12" customHeight="1"/>
    <row r="1685" customFormat="1" ht="12" customHeight="1"/>
    <row r="1686" customFormat="1" ht="15" customHeight="1"/>
    <row r="1687" customFormat="1" ht="15" customHeight="1"/>
    <row r="1688" customFormat="1" ht="15" customHeight="1"/>
    <row r="1689" customFormat="1" ht="15" customHeight="1"/>
    <row r="1690" customFormat="1" ht="15" customHeight="1"/>
    <row r="1691" customFormat="1" ht="15" customHeight="1"/>
    <row r="1692" customFormat="1" ht="15" customHeight="1"/>
    <row r="1693" customFormat="1" ht="15" customHeight="1"/>
    <row r="1694" customFormat="1" ht="15" customHeight="1"/>
    <row r="1695" customFormat="1" ht="15" customHeight="1"/>
    <row r="1696" customFormat="1" ht="15" customHeight="1"/>
    <row r="1697" customFormat="1" ht="15" customHeight="1"/>
    <row r="1698" customFormat="1" ht="15" customHeight="1"/>
    <row r="1699" customFormat="1" ht="15" customHeight="1"/>
    <row r="1700" customFormat="1" ht="15" customHeight="1"/>
    <row r="1701" customFormat="1" ht="15" customHeight="1"/>
    <row r="1702" customFormat="1" ht="15" customHeight="1"/>
    <row r="1703" customFormat="1" ht="15" customHeight="1"/>
    <row r="1704" customFormat="1" ht="15" customHeight="1"/>
    <row r="1705" customFormat="1" ht="15" customHeight="1"/>
    <row r="1706" customFormat="1" ht="15" customHeight="1"/>
    <row r="1707" customFormat="1" ht="15" customHeight="1"/>
    <row r="1708" customFormat="1" ht="15" customHeight="1"/>
    <row r="1709" customFormat="1" ht="15" customHeight="1"/>
    <row r="1710" customFormat="1" ht="15" customHeight="1"/>
    <row r="1711" customFormat="1" ht="15" customHeight="1"/>
    <row r="1712" customFormat="1" ht="15" customHeight="1"/>
    <row r="1713" customFormat="1" ht="15" customHeight="1"/>
    <row r="1714" customFormat="1" ht="15" customHeight="1"/>
    <row r="1715" customFormat="1" ht="15" customHeight="1"/>
    <row r="1716" customFormat="1" ht="15" customHeight="1"/>
    <row r="1717" customFormat="1" ht="15" customHeight="1"/>
    <row r="1718" customFormat="1" ht="15" customHeight="1"/>
    <row r="1719" customFormat="1" ht="15" customHeight="1"/>
    <row r="1720" customFormat="1" ht="15" customHeight="1"/>
    <row r="1721" customFormat="1" ht="15" customHeight="1"/>
    <row r="1722" customFormat="1" ht="15" customHeight="1"/>
    <row r="1723" customFormat="1" ht="15" customHeight="1"/>
    <row r="1724" customFormat="1" ht="15" customHeight="1"/>
    <row r="1725" customFormat="1" ht="15" customHeight="1"/>
    <row r="1726" customFormat="1" ht="15" customHeight="1"/>
    <row r="1727" customFormat="1" ht="15" customHeight="1"/>
    <row r="1728" customFormat="1" ht="15" customHeight="1"/>
    <row r="1729" customFormat="1" ht="15" customHeight="1"/>
    <row r="1730" customFormat="1" ht="15" customHeight="1"/>
    <row r="1731" customFormat="1" ht="15" customHeight="1"/>
    <row r="1732" customFormat="1" ht="15" customHeight="1"/>
    <row r="1733" customFormat="1" ht="15" customHeight="1"/>
    <row r="1734" customFormat="1" ht="15" customHeight="1"/>
    <row r="1735" customFormat="1" ht="15" customHeight="1"/>
    <row r="1736" customFormat="1" ht="15" customHeight="1"/>
    <row r="1737" customFormat="1" ht="15" customHeight="1"/>
    <row r="1738" customFormat="1" ht="15" customHeight="1"/>
    <row r="1739" customFormat="1" ht="15" customHeight="1"/>
    <row r="1740" customFormat="1" ht="12" customHeight="1"/>
    <row r="1741" customFormat="1" ht="12" customHeight="1"/>
    <row r="1742" customFormat="1" ht="15" customHeight="1"/>
    <row r="1743" customFormat="1" ht="15" customHeight="1"/>
    <row r="1744" customFormat="1" ht="15" customHeight="1"/>
    <row r="1745" customFormat="1" ht="15" customHeight="1"/>
    <row r="1746" customFormat="1" ht="15" customHeight="1"/>
    <row r="1747" customFormat="1" ht="15" customHeight="1"/>
    <row r="1748" customFormat="1" ht="15" customHeight="1"/>
    <row r="1749" customFormat="1" ht="15" customHeight="1"/>
    <row r="1750" customFormat="1" ht="15" customHeight="1"/>
    <row r="1751" customFormat="1" ht="15" customHeight="1"/>
    <row r="1752" customFormat="1" ht="15" customHeight="1"/>
    <row r="1753" customFormat="1" ht="15" customHeight="1"/>
    <row r="1754" customFormat="1" ht="15" customHeight="1"/>
    <row r="1755" customFormat="1" ht="15" customHeight="1"/>
    <row r="1756" customFormat="1" ht="15" customHeight="1"/>
    <row r="1757" customFormat="1" ht="15" customHeight="1"/>
    <row r="1758" customFormat="1" ht="15" customHeight="1"/>
    <row r="1759" customFormat="1" ht="15" customHeight="1"/>
    <row r="1760" customFormat="1" ht="15" customHeight="1"/>
    <row r="1761" customFormat="1" ht="15" customHeight="1"/>
    <row r="1762" customFormat="1" ht="15" customHeight="1"/>
    <row r="1763" customFormat="1" ht="15" customHeight="1"/>
    <row r="1764" customFormat="1" ht="15" customHeight="1"/>
    <row r="1765" customFormat="1" ht="15" customHeight="1"/>
    <row r="1766" customFormat="1" ht="15" customHeight="1"/>
    <row r="1767" customFormat="1" ht="15" customHeight="1"/>
    <row r="1768" customFormat="1" ht="15" customHeight="1"/>
    <row r="1769" customFormat="1" ht="15" customHeight="1"/>
    <row r="1770" customFormat="1" ht="15" customHeight="1"/>
    <row r="1771" customFormat="1" ht="15" customHeight="1"/>
    <row r="1772" customFormat="1" ht="15" customHeight="1"/>
    <row r="1773" customFormat="1" ht="15" customHeight="1"/>
    <row r="1774" customFormat="1" ht="15" customHeight="1"/>
    <row r="1775" customFormat="1" ht="15" customHeight="1"/>
    <row r="1776" customFormat="1" ht="15" customHeight="1"/>
    <row r="1777" customFormat="1" ht="15" customHeight="1"/>
    <row r="1778" customFormat="1" ht="15" customHeight="1"/>
    <row r="1779" customFormat="1" ht="15" customHeight="1"/>
    <row r="1780" customFormat="1" ht="15" customHeight="1"/>
    <row r="1781" customFormat="1" ht="15" customHeight="1"/>
    <row r="1782" customFormat="1" ht="15" customHeight="1"/>
    <row r="1783" customFormat="1" ht="15" customHeight="1"/>
    <row r="1784" customFormat="1" ht="15" customHeight="1"/>
    <row r="1785" customFormat="1" ht="15" customHeight="1"/>
    <row r="1786" customFormat="1" ht="15" customHeight="1"/>
    <row r="1787" customFormat="1" ht="15" customHeight="1"/>
    <row r="1788" customFormat="1" ht="15" customHeight="1"/>
    <row r="1789" customFormat="1" ht="15" customHeight="1"/>
    <row r="1790" customFormat="1" ht="15" customHeight="1"/>
    <row r="1791" customFormat="1" ht="15" customHeight="1"/>
    <row r="1792" customFormat="1" ht="15" customHeight="1"/>
    <row r="1793" customFormat="1" ht="15" customHeight="1"/>
    <row r="1794" customFormat="1" ht="15" customHeight="1"/>
    <row r="1795" customFormat="1" ht="15" customHeight="1"/>
    <row r="1796" customFormat="1" ht="12" customHeight="1"/>
    <row r="1797" customFormat="1" ht="12" customHeight="1"/>
    <row r="1798" customFormat="1" ht="15" customHeight="1"/>
    <row r="1799" customFormat="1" ht="15" customHeight="1"/>
    <row r="1800" customFormat="1" ht="15" customHeight="1"/>
    <row r="1801" customFormat="1" ht="15" customHeight="1"/>
    <row r="1802" customFormat="1" ht="15" customHeight="1"/>
    <row r="1803" customFormat="1" ht="15" customHeight="1"/>
    <row r="1804" customFormat="1" ht="15" customHeight="1"/>
    <row r="1805" customFormat="1" ht="15" customHeight="1"/>
    <row r="1806" customFormat="1" ht="15" customHeight="1"/>
    <row r="1807" customFormat="1" ht="15" customHeight="1"/>
    <row r="1808" customFormat="1" ht="15" customHeight="1"/>
    <row r="1809" spans="2:32" ht="15" customHeight="1"/>
    <row r="1810" spans="2:32" ht="15" customHeight="1"/>
    <row r="1811" spans="2:32" ht="15" customHeight="1"/>
    <row r="1812" spans="2:32" ht="15" customHeight="1"/>
    <row r="1813" spans="2:32" ht="15" customHeight="1">
      <c r="B1813" s="291"/>
      <c r="C1813" s="291"/>
      <c r="D1813" s="291"/>
      <c r="E1813" s="291"/>
      <c r="F1813" s="291"/>
      <c r="G1813" s="291"/>
      <c r="H1813" s="291"/>
      <c r="I1813" s="291"/>
      <c r="J1813" s="291"/>
      <c r="K1813" s="291"/>
      <c r="L1813" s="291"/>
      <c r="M1813" s="291"/>
      <c r="N1813" s="291"/>
      <c r="O1813" s="291"/>
      <c r="P1813" s="291"/>
      <c r="Q1813" s="291"/>
      <c r="R1813" s="291"/>
      <c r="S1813" s="291"/>
      <c r="T1813" s="291"/>
      <c r="U1813" s="291"/>
      <c r="V1813" s="291"/>
      <c r="W1813" s="291"/>
      <c r="X1813" s="291"/>
      <c r="Y1813" s="291"/>
      <c r="Z1813" s="291"/>
      <c r="AA1813" s="291"/>
      <c r="AB1813" s="291"/>
      <c r="AC1813" s="291"/>
      <c r="AD1813" s="291"/>
      <c r="AE1813" s="291"/>
      <c r="AF1813" s="291"/>
    </row>
    <row r="1814" spans="2:32" ht="12" customHeight="1"/>
    <row r="1815" spans="2:32" ht="12" customHeight="1"/>
    <row r="1816" spans="2:32" ht="12" customHeight="1"/>
    <row r="1817" spans="2:32" ht="12" customHeight="1"/>
    <row r="1818" spans="2:32" ht="12" customHeight="1"/>
    <row r="1819" spans="2:32" ht="12" customHeight="1"/>
    <row r="1820" spans="2:32" ht="12" customHeight="1"/>
    <row r="1821" spans="2:32" ht="12" customHeight="1"/>
    <row r="1822" spans="2:32" ht="12" customHeight="1"/>
    <row r="1823" spans="2:32" ht="12" customHeight="1"/>
    <row r="1824" spans="2:32" ht="12" customHeight="1"/>
    <row r="1825" customFormat="1" ht="15" customHeight="1"/>
    <row r="1826" customFormat="1" ht="15" customHeight="1"/>
    <row r="1827" customFormat="1" ht="15" customHeight="1"/>
    <row r="1828" customFormat="1" ht="15" customHeight="1"/>
    <row r="1829" customFormat="1" ht="15" customHeight="1"/>
    <row r="1830" customFormat="1" ht="15" customHeight="1"/>
    <row r="1831" customFormat="1" ht="12" customHeight="1"/>
    <row r="1832" customFormat="1" ht="15" customHeight="1"/>
    <row r="1833" customFormat="1" ht="15" customHeight="1"/>
    <row r="1834" customFormat="1" ht="15" customHeight="1"/>
    <row r="1835" customFormat="1" ht="15" customHeight="1"/>
    <row r="1836" customFormat="1" ht="15" customHeight="1"/>
    <row r="1837" customFormat="1" ht="15" customHeight="1"/>
    <row r="1838" customFormat="1" ht="15" customHeight="1"/>
    <row r="1839" customFormat="1" ht="15" customHeight="1"/>
    <row r="1840" customFormat="1" ht="15" customHeight="1"/>
    <row r="1841" customFormat="1" ht="15" customHeight="1"/>
    <row r="1842" customFormat="1" ht="15" customHeight="1"/>
    <row r="1843" customFormat="1" ht="15" customHeight="1"/>
    <row r="1844" customFormat="1" ht="15" customHeight="1"/>
    <row r="1845" customFormat="1" ht="15" customHeight="1"/>
    <row r="1846" customFormat="1" ht="15" customHeight="1"/>
    <row r="1847" customFormat="1" ht="15" customHeight="1"/>
    <row r="1848" customFormat="1" ht="15" customHeight="1"/>
    <row r="1849" customFormat="1" ht="15" customHeight="1"/>
    <row r="1850" customFormat="1" ht="15" customHeight="1"/>
    <row r="1851" customFormat="1" ht="15" customHeight="1"/>
    <row r="1852" customFormat="1" ht="15" customHeight="1"/>
    <row r="1853" customFormat="1" ht="15" customHeight="1"/>
    <row r="1854" customFormat="1" ht="15" customHeight="1"/>
    <row r="1855" customFormat="1" ht="15" customHeight="1"/>
    <row r="1856" customFormat="1" ht="15" customHeight="1"/>
    <row r="1857" customFormat="1" ht="15" customHeight="1"/>
    <row r="1858" customFormat="1" ht="15" customHeight="1"/>
    <row r="1859" customFormat="1" ht="15" customHeight="1"/>
    <row r="1860" customFormat="1" ht="15" customHeight="1"/>
    <row r="1861" customFormat="1" ht="15" customHeight="1"/>
    <row r="1862" customFormat="1" ht="15" customHeight="1"/>
    <row r="1863" customFormat="1" ht="15" customHeight="1"/>
    <row r="1864" customFormat="1" ht="15" customHeight="1"/>
    <row r="1865" customFormat="1" ht="15" customHeight="1"/>
    <row r="1866" customFormat="1" ht="15" customHeight="1"/>
    <row r="1867" customFormat="1" ht="12" customHeight="1"/>
    <row r="1868" customFormat="1" ht="15" customHeight="1"/>
    <row r="1869" customFormat="1" ht="15" customHeight="1"/>
    <row r="1870" customFormat="1" ht="15" customHeight="1"/>
    <row r="1871" customFormat="1" ht="15" customHeight="1"/>
    <row r="1872" customFormat="1" ht="15" customHeight="1"/>
    <row r="1873" customFormat="1" ht="15" customHeight="1"/>
    <row r="1874" customFormat="1" ht="15" customHeight="1"/>
    <row r="1875" customFormat="1" ht="15" customHeight="1"/>
    <row r="1876" customFormat="1" ht="15" customHeight="1"/>
    <row r="1877" customFormat="1" ht="15" customHeight="1"/>
    <row r="1878" customFormat="1" ht="15" customHeight="1"/>
    <row r="1879" customFormat="1" ht="15" customHeight="1"/>
    <row r="1880" customFormat="1" ht="15" customHeight="1"/>
    <row r="1881" customFormat="1" ht="15" customHeight="1"/>
    <row r="1882" customFormat="1" ht="15" customHeight="1"/>
    <row r="1883" customFormat="1" ht="15" customHeight="1"/>
    <row r="1884" customFormat="1" ht="15" customHeight="1"/>
    <row r="1885" customFormat="1" ht="15" customHeight="1"/>
    <row r="1886" customFormat="1" ht="15" customHeight="1"/>
    <row r="1887" customFormat="1" ht="15" customHeight="1"/>
    <row r="1888" customFormat="1" ht="15" customHeight="1"/>
    <row r="1889" customFormat="1" ht="15" customHeight="1"/>
    <row r="1890" customFormat="1" ht="15" customHeight="1"/>
    <row r="1891" customFormat="1" ht="15" customHeight="1"/>
    <row r="1892" customFormat="1" ht="15" customHeight="1"/>
    <row r="1893" customFormat="1" ht="15" customHeight="1"/>
    <row r="1894" customFormat="1" ht="15" customHeight="1"/>
    <row r="1895" customFormat="1" ht="15" customHeight="1"/>
    <row r="1896" customFormat="1" ht="15" customHeight="1"/>
    <row r="1897" customFormat="1" ht="15" customHeight="1"/>
    <row r="1898" customFormat="1" ht="15" customHeight="1"/>
    <row r="1899" customFormat="1" ht="15" customHeight="1"/>
    <row r="1900" customFormat="1" ht="15" customHeight="1"/>
    <row r="1901" customFormat="1" ht="15" customHeight="1"/>
    <row r="1902" customFormat="1" ht="15" customHeight="1"/>
    <row r="1903" customFormat="1" ht="15" customHeight="1"/>
    <row r="1904" customFormat="1" ht="15" customHeight="1"/>
    <row r="1905" customFormat="1" ht="15" customHeight="1"/>
    <row r="1906" customFormat="1" ht="15" customHeight="1"/>
    <row r="1907" customFormat="1" ht="15" customHeight="1"/>
    <row r="1908" customFormat="1" ht="15" customHeight="1"/>
    <row r="1909" customFormat="1" ht="15" customHeight="1"/>
    <row r="1910" customFormat="1" ht="15" customHeight="1"/>
    <row r="1911" customFormat="1" ht="15" customHeight="1"/>
    <row r="1912" customFormat="1" ht="15" customHeight="1"/>
    <row r="1913" customFormat="1" ht="12" customHeight="1"/>
    <row r="1914" customFormat="1" ht="15" customHeight="1"/>
    <row r="1915" customFormat="1" ht="15" customHeight="1"/>
    <row r="1916" customFormat="1" ht="15" customHeight="1"/>
    <row r="1917" customFormat="1" ht="15" customHeight="1"/>
    <row r="1918" customFormat="1" ht="15" customHeight="1"/>
    <row r="1919" customFormat="1" ht="15" customHeight="1"/>
    <row r="1920" customFormat="1" ht="15" customHeight="1"/>
    <row r="1921" customFormat="1" ht="15" customHeight="1"/>
    <row r="1922" customFormat="1" ht="15" customHeight="1"/>
    <row r="1923" customFormat="1" ht="15" customHeight="1"/>
    <row r="1924" customFormat="1" ht="15" customHeight="1"/>
    <row r="1925" customFormat="1" ht="15" customHeight="1"/>
    <row r="1926" customFormat="1" ht="15" customHeight="1"/>
    <row r="1927" customFormat="1" ht="15" customHeight="1"/>
    <row r="1928" customFormat="1" ht="15" customHeight="1"/>
    <row r="1929" customFormat="1" ht="15" customHeight="1"/>
    <row r="1930" customFormat="1" ht="15" customHeight="1"/>
    <row r="1931" customFormat="1" ht="15" customHeight="1"/>
    <row r="1932" customFormat="1" ht="15" customHeight="1"/>
    <row r="1933" customFormat="1" ht="15" customHeight="1"/>
    <row r="1934" customFormat="1" ht="15" customHeight="1"/>
    <row r="1935" customFormat="1" ht="15" customHeight="1"/>
    <row r="1936" customFormat="1" ht="15" customHeight="1"/>
    <row r="1937" customFormat="1" ht="15" customHeight="1"/>
    <row r="1938" customFormat="1" ht="15" customHeight="1"/>
    <row r="1939" customFormat="1" ht="15" customHeight="1"/>
    <row r="1940" customFormat="1" ht="15" customHeight="1"/>
    <row r="1941" customFormat="1" ht="15" customHeight="1"/>
    <row r="1942" customFormat="1" ht="15" customHeight="1"/>
    <row r="1943" customFormat="1" ht="15" customHeight="1"/>
    <row r="1944" customFormat="1" ht="15" customHeight="1"/>
    <row r="1945" customFormat="1" ht="15" customHeight="1"/>
    <row r="1946" customFormat="1" ht="15" customHeight="1"/>
    <row r="1947" customFormat="1" ht="15" customHeight="1"/>
    <row r="1948" customFormat="1" ht="15" customHeight="1"/>
    <row r="1949" customFormat="1" ht="12" customHeight="1"/>
    <row r="1950" customFormat="1" ht="15" customHeight="1"/>
    <row r="1951" customFormat="1" ht="15" customHeight="1"/>
    <row r="1952" customFormat="1" ht="15" customHeight="1"/>
    <row r="1953" customFormat="1" ht="15" customHeight="1"/>
    <row r="1954" customFormat="1" ht="15" customHeight="1"/>
    <row r="1955" customFormat="1" ht="15" customHeight="1"/>
    <row r="1956" customFormat="1" ht="15" customHeight="1"/>
    <row r="1957" customFormat="1" ht="15" customHeight="1"/>
    <row r="1958" customFormat="1" ht="15" customHeight="1"/>
    <row r="1959" customFormat="1" ht="15" customHeight="1"/>
    <row r="1960" customFormat="1" ht="15" customHeight="1"/>
    <row r="1961" customFormat="1" ht="15" customHeight="1"/>
    <row r="1962" customFormat="1" ht="15" customHeight="1"/>
    <row r="1963" customFormat="1" ht="15" customHeight="1"/>
    <row r="1964" customFormat="1" ht="15" customHeight="1"/>
    <row r="1965" customFormat="1" ht="15" customHeight="1"/>
    <row r="1966" customFormat="1" ht="15" customHeight="1"/>
    <row r="1967" customFormat="1" ht="15" customHeight="1"/>
    <row r="1968" customFormat="1" ht="15" customHeight="1"/>
    <row r="1969" customFormat="1" ht="15" customHeight="1"/>
    <row r="1970" customFormat="1" ht="15" customHeight="1"/>
    <row r="1971" customFormat="1" ht="15" customHeight="1"/>
    <row r="1972" customFormat="1" ht="15" customHeight="1"/>
    <row r="1973" customFormat="1" ht="15" customHeight="1"/>
    <row r="1974" customFormat="1" ht="15" customHeight="1"/>
    <row r="1975" customFormat="1" ht="15" customHeight="1"/>
    <row r="1976" customFormat="1" ht="15" customHeight="1"/>
    <row r="1977" customFormat="1" ht="15" customHeight="1"/>
    <row r="1978" customFormat="1" ht="15" customHeight="1"/>
    <row r="1979" customFormat="1" ht="15" customHeight="1"/>
    <row r="1980" customFormat="1" ht="15" customHeight="1"/>
    <row r="1981" customFormat="1" ht="15" customHeight="1"/>
    <row r="1982" customFormat="1" ht="15" customHeight="1"/>
    <row r="1983" customFormat="1" ht="15" customHeight="1"/>
    <row r="1984" customFormat="1" ht="15" customHeight="1"/>
    <row r="1985" customFormat="1" ht="12" customHeight="1"/>
    <row r="1986" customFormat="1" ht="15" customHeight="1"/>
    <row r="1987" customFormat="1" ht="12" customHeight="1"/>
    <row r="1988" customFormat="1" ht="15" customHeight="1"/>
    <row r="1989" customFormat="1" ht="15" customHeight="1"/>
    <row r="1990" customFormat="1" ht="15" customHeight="1"/>
    <row r="1991" customFormat="1" ht="15" customHeight="1"/>
    <row r="1992" customFormat="1" ht="15" customHeight="1"/>
    <row r="1993" customFormat="1" ht="15" customHeight="1"/>
    <row r="1994" customFormat="1" ht="15" customHeight="1"/>
    <row r="1995" customFormat="1" ht="15" customHeight="1"/>
    <row r="1996" customFormat="1" ht="15" customHeight="1"/>
    <row r="1997" customFormat="1" ht="15" customHeight="1"/>
    <row r="1998" customFormat="1" ht="15" customHeight="1"/>
    <row r="1999" customFormat="1" ht="15" customHeight="1"/>
    <row r="2000" customFormat="1" ht="15" customHeight="1"/>
    <row r="2001" customFormat="1" ht="15" customHeight="1"/>
    <row r="2002" customFormat="1" ht="15" customHeight="1"/>
    <row r="2003" customFormat="1" ht="15" customHeight="1"/>
    <row r="2004" customFormat="1" ht="15" customHeight="1"/>
    <row r="2005" customFormat="1" ht="15" customHeight="1"/>
    <row r="2006" customFormat="1" ht="15" customHeight="1"/>
    <row r="2007" customFormat="1" ht="15" customHeight="1"/>
    <row r="2008" customFormat="1" ht="15" customHeight="1"/>
    <row r="2009" customFormat="1" ht="15" customHeight="1"/>
    <row r="2010" customFormat="1" ht="15" customHeight="1"/>
    <row r="2011" customFormat="1" ht="15" customHeight="1"/>
    <row r="2012" customFormat="1" ht="15" customHeight="1"/>
    <row r="2013" customFormat="1" ht="15" customHeight="1"/>
    <row r="2014" customFormat="1" ht="15" customHeight="1"/>
    <row r="2015" customFormat="1" ht="15" customHeight="1"/>
    <row r="2016" customFormat="1" ht="15" customHeight="1"/>
    <row r="2017" customFormat="1" ht="15" customHeight="1"/>
    <row r="2018" customFormat="1" ht="15" customHeight="1"/>
    <row r="2019" customFormat="1" ht="15" customHeight="1"/>
    <row r="2020" customFormat="1" ht="15" customHeight="1"/>
    <row r="2021" customFormat="1" ht="15" customHeight="1"/>
    <row r="2022" customFormat="1" ht="15" customHeight="1"/>
    <row r="2023" customFormat="1" ht="12" customHeight="1"/>
    <row r="2024" customFormat="1" ht="15" customHeight="1"/>
    <row r="2025" customFormat="1" ht="15" customHeight="1"/>
    <row r="2026" customFormat="1" ht="15" customHeight="1"/>
    <row r="2027" customFormat="1" ht="15" customHeight="1"/>
    <row r="2028" customFormat="1" ht="15" customHeight="1"/>
    <row r="2029" customFormat="1" ht="15" customHeight="1"/>
    <row r="2030" customFormat="1" ht="15" customHeight="1"/>
    <row r="2031" customFormat="1" ht="15" customHeight="1"/>
    <row r="2032" customFormat="1" ht="15" customHeight="1"/>
    <row r="2033" customFormat="1" ht="15" customHeight="1"/>
    <row r="2034" customFormat="1" ht="15" customHeight="1"/>
    <row r="2035" customFormat="1" ht="15" customHeight="1"/>
    <row r="2036" customFormat="1" ht="15" customHeight="1"/>
    <row r="2037" customFormat="1" ht="15" customHeight="1"/>
    <row r="2038" customFormat="1" ht="15" customHeight="1"/>
    <row r="2039" customFormat="1" ht="15" customHeight="1"/>
    <row r="2040" customFormat="1" ht="15" customHeight="1"/>
    <row r="2041" customFormat="1" ht="15" customHeight="1"/>
    <row r="2042" customFormat="1" ht="15" customHeight="1"/>
    <row r="2043" customFormat="1" ht="15" customHeight="1"/>
    <row r="2044" customFormat="1" ht="15" customHeight="1"/>
    <row r="2045" customFormat="1" ht="15" customHeight="1"/>
    <row r="2046" customFormat="1" ht="15" customHeight="1"/>
    <row r="2047" customFormat="1" ht="15" customHeight="1"/>
    <row r="2048" customFormat="1" ht="15" customHeight="1"/>
    <row r="2049" customFormat="1" ht="15" customHeight="1"/>
    <row r="2050" customFormat="1" ht="15" customHeight="1"/>
    <row r="2051" customFormat="1" ht="15" customHeight="1"/>
    <row r="2052" customFormat="1" ht="15" customHeight="1"/>
    <row r="2053" customFormat="1" ht="15" customHeight="1"/>
    <row r="2054" customFormat="1" ht="15" customHeight="1"/>
    <row r="2055" customFormat="1" ht="15" customHeight="1"/>
    <row r="2056" customFormat="1" ht="15" customHeight="1"/>
    <row r="2057" customFormat="1" ht="15" customHeight="1"/>
    <row r="2058" customFormat="1" ht="15" customHeight="1"/>
    <row r="2059" customFormat="1" ht="12" customHeight="1"/>
    <row r="2060" customFormat="1" ht="12" customHeight="1"/>
    <row r="2061" customFormat="1" ht="12" customHeight="1"/>
    <row r="2062" customFormat="1" ht="15" customHeight="1"/>
    <row r="2063" customFormat="1" ht="15" customHeight="1"/>
    <row r="2064" customFormat="1" ht="15" customHeight="1"/>
    <row r="2065" customFormat="1" ht="15" customHeight="1"/>
    <row r="2066" customFormat="1" ht="15" customHeight="1"/>
    <row r="2067" customFormat="1" ht="15" customHeight="1"/>
    <row r="2068" customFormat="1" ht="15" customHeight="1"/>
    <row r="2069" customFormat="1" ht="15" customHeight="1"/>
    <row r="2070" customFormat="1" ht="12" customHeight="1"/>
    <row r="2071" customFormat="1" ht="15" customHeight="1"/>
    <row r="2072" customFormat="1" ht="15" customHeight="1"/>
    <row r="2073" customFormat="1" ht="15" customHeight="1"/>
    <row r="2074" customFormat="1" ht="15" customHeight="1"/>
    <row r="2075" customFormat="1" ht="15" customHeight="1"/>
    <row r="2076" customFormat="1" ht="15" customHeight="1"/>
    <row r="2077" customFormat="1" ht="15" customHeight="1"/>
    <row r="2078" customFormat="1" ht="15" customHeight="1"/>
    <row r="2079" customFormat="1" ht="12" customHeight="1"/>
    <row r="2080" customFormat="1" ht="15" customHeight="1"/>
    <row r="2081" spans="2:32" ht="15" customHeight="1"/>
    <row r="2082" spans="2:32" ht="15" customHeight="1"/>
    <row r="2083" spans="2:32" ht="15" customHeight="1"/>
    <row r="2084" spans="2:32" ht="15" customHeight="1"/>
    <row r="2085" spans="2:32" ht="15" customHeight="1"/>
    <row r="2086" spans="2:32" ht="15" customHeight="1"/>
    <row r="2087" spans="2:32" ht="15" customHeight="1"/>
    <row r="2088" spans="2:32" ht="15" customHeight="1"/>
    <row r="2089" spans="2:32" ht="15" customHeight="1"/>
    <row r="2090" spans="2:32" ht="15" customHeight="1">
      <c r="B2090" s="291"/>
      <c r="C2090" s="291"/>
      <c r="D2090" s="291"/>
      <c r="E2090" s="291"/>
      <c r="F2090" s="291"/>
      <c r="G2090" s="291"/>
      <c r="H2090" s="291"/>
      <c r="I2090" s="291"/>
      <c r="J2090" s="291"/>
      <c r="K2090" s="291"/>
      <c r="L2090" s="291"/>
      <c r="M2090" s="291"/>
      <c r="N2090" s="291"/>
      <c r="O2090" s="291"/>
      <c r="P2090" s="291"/>
      <c r="Q2090" s="291"/>
      <c r="R2090" s="291"/>
      <c r="S2090" s="291"/>
      <c r="T2090" s="291"/>
      <c r="U2090" s="291"/>
      <c r="V2090" s="291"/>
      <c r="W2090" s="291"/>
      <c r="X2090" s="291"/>
      <c r="Y2090" s="291"/>
      <c r="Z2090" s="291"/>
      <c r="AA2090" s="291"/>
      <c r="AB2090" s="291"/>
      <c r="AC2090" s="291"/>
      <c r="AD2090" s="291"/>
      <c r="AE2090" s="291"/>
      <c r="AF2090" s="291"/>
    </row>
    <row r="2091" spans="2:32" ht="15" customHeight="1"/>
    <row r="2092" spans="2:32" ht="15" customHeight="1"/>
    <row r="2093" spans="2:32" ht="15" customHeight="1"/>
    <row r="2094" spans="2:32" ht="15" customHeight="1"/>
    <row r="2095" spans="2:32" ht="15" customHeight="1"/>
    <row r="2096" spans="2:32" ht="15" customHeight="1"/>
    <row r="2097" customFormat="1" ht="15" customHeight="1"/>
    <row r="2098" customFormat="1" ht="12" customHeight="1"/>
    <row r="2099" customFormat="1" ht="12" customHeight="1"/>
    <row r="2100" customFormat="1" ht="12" customHeight="1"/>
    <row r="2101" customFormat="1" ht="12" customHeight="1"/>
    <row r="2102" customFormat="1" ht="12" customHeight="1"/>
    <row r="2103" customFormat="1" ht="12" customHeight="1"/>
    <row r="2104" customFormat="1" ht="12" customHeight="1"/>
    <row r="2105" customFormat="1" ht="12" customHeight="1"/>
    <row r="2106" customFormat="1" ht="12" customHeight="1"/>
    <row r="2107" customFormat="1" ht="12" customHeight="1"/>
    <row r="2108" customFormat="1" ht="12" customHeight="1"/>
    <row r="2109" customFormat="1" ht="12" customHeight="1"/>
    <row r="2110" customFormat="1" ht="12" customHeight="1"/>
    <row r="2111" customFormat="1" ht="12" customHeight="1"/>
    <row r="2112" customFormat="1" ht="12" customHeight="1"/>
    <row r="2113" customFormat="1" ht="12" customHeight="1"/>
    <row r="2114" customFormat="1" ht="12" customHeight="1"/>
    <row r="2115" customFormat="1" ht="12" customHeight="1"/>
    <row r="2116" customFormat="1" ht="12" customHeight="1"/>
    <row r="2117" customFormat="1" ht="12" customHeight="1"/>
    <row r="2118" customFormat="1" ht="12" customHeight="1"/>
    <row r="2119" customFormat="1" ht="12" customHeight="1"/>
    <row r="2120" customFormat="1" ht="12" customHeight="1"/>
    <row r="2121" customFormat="1" ht="12" customHeight="1"/>
    <row r="2122" customFormat="1" ht="12" customHeight="1"/>
    <row r="2123" customFormat="1" ht="12" customHeight="1"/>
    <row r="2124" customFormat="1" ht="12" customHeight="1"/>
    <row r="2125" customFormat="1" ht="12" customHeight="1"/>
    <row r="2126" customFormat="1" ht="12" customHeight="1"/>
    <row r="2127" customFormat="1" ht="12" customHeight="1"/>
    <row r="2128" customFormat="1" ht="12" customHeight="1"/>
    <row r="2129" customFormat="1" ht="12" customHeight="1"/>
    <row r="2130" customFormat="1" ht="12" customHeight="1"/>
    <row r="2131" customFormat="1" ht="12" customHeight="1"/>
    <row r="2132" customFormat="1" ht="12" customHeight="1"/>
    <row r="2133" customFormat="1" ht="12" customHeight="1"/>
    <row r="2134" customFormat="1" ht="12" customHeight="1"/>
    <row r="2135" customFormat="1" ht="12" customHeight="1"/>
    <row r="2136" customFormat="1" ht="12" customHeight="1"/>
    <row r="2137" customFormat="1" ht="12" customHeight="1"/>
    <row r="2138" customFormat="1" ht="12" customHeight="1"/>
    <row r="2139" customFormat="1" ht="12" customHeight="1"/>
    <row r="2140" customFormat="1" ht="12" customHeight="1"/>
    <row r="2141" customFormat="1" ht="12" customHeight="1"/>
    <row r="2142" customFormat="1" ht="12" customHeight="1"/>
    <row r="2143" customFormat="1" ht="12" customHeight="1"/>
    <row r="2144" customFormat="1" ht="12" customHeight="1"/>
    <row r="2145" customFormat="1" ht="12" customHeight="1"/>
    <row r="2146" customFormat="1" ht="12" customHeight="1"/>
    <row r="2147" customFormat="1" ht="12" customHeight="1"/>
    <row r="2148" customFormat="1" ht="12" customHeight="1"/>
    <row r="2149" customFormat="1" ht="12" customHeight="1"/>
    <row r="2150" customFormat="1" ht="15" customHeight="1"/>
    <row r="2151" customFormat="1" ht="15" customHeight="1"/>
    <row r="2152" customFormat="1" ht="15" customHeight="1"/>
    <row r="2153" customFormat="1" ht="15" customHeight="1"/>
    <row r="2154" customFormat="1" ht="15" customHeight="1"/>
    <row r="2155" customFormat="1" ht="15" customHeight="1"/>
    <row r="2156" customFormat="1" ht="15" customHeight="1"/>
    <row r="2157" customFormat="1" ht="15" customHeight="1"/>
    <row r="2158" customFormat="1" ht="15" customHeight="1"/>
    <row r="2159" customFormat="1" ht="15" customHeight="1"/>
    <row r="2160" customFormat="1" ht="15" customHeight="1"/>
    <row r="2161" customFormat="1" ht="15" customHeight="1"/>
    <row r="2162" customFormat="1" ht="15" customHeight="1"/>
    <row r="2163" customFormat="1" ht="15" customHeight="1"/>
    <row r="2164" customFormat="1" ht="15" customHeight="1"/>
    <row r="2165" customFormat="1" ht="15" customHeight="1"/>
    <row r="2166" customFormat="1" ht="15" customHeight="1"/>
    <row r="2167" customFormat="1" ht="15" customHeight="1"/>
    <row r="2168" customFormat="1" ht="15" customHeight="1"/>
    <row r="2169" customFormat="1" ht="15" customHeight="1"/>
    <row r="2170" customFormat="1" ht="15" customHeight="1"/>
    <row r="2171" customFormat="1" ht="15" customHeight="1"/>
    <row r="2172" customFormat="1" ht="15" customHeight="1"/>
    <row r="2173" customFormat="1" ht="15" customHeight="1"/>
    <row r="2174" customFormat="1" ht="15" customHeight="1"/>
    <row r="2175" customFormat="1" ht="15" customHeight="1"/>
    <row r="2176" customFormat="1" ht="15" customHeight="1"/>
    <row r="2177" customFormat="1" ht="15" customHeight="1"/>
    <row r="2178" customFormat="1" ht="15" customHeight="1"/>
    <row r="2179" customFormat="1" ht="15" customHeight="1"/>
    <row r="2180" customFormat="1" ht="15" customHeight="1"/>
    <row r="2181" customFormat="1" ht="15" customHeight="1"/>
    <row r="2182" customFormat="1" ht="15" customHeight="1"/>
    <row r="2183" customFormat="1" ht="15" customHeight="1"/>
    <row r="2184" customFormat="1" ht="15" customHeight="1"/>
    <row r="2185" customFormat="1" ht="15" customHeight="1"/>
    <row r="2186" customFormat="1" ht="15" customHeight="1"/>
    <row r="2187" customFormat="1" ht="15" customHeight="1"/>
    <row r="2188" customFormat="1" ht="15" customHeight="1"/>
    <row r="2189" customFormat="1" ht="15" customHeight="1"/>
    <row r="2190" customFormat="1" ht="15" customHeight="1"/>
    <row r="2191" customFormat="1" ht="15" customHeight="1"/>
    <row r="2192" customFormat="1" ht="15" customHeight="1"/>
    <row r="2193" customFormat="1" ht="15" customHeight="1"/>
    <row r="2194" customFormat="1" ht="15" customHeight="1"/>
    <row r="2195" customFormat="1" ht="15" customHeight="1"/>
    <row r="2196" customFormat="1" ht="15" customHeight="1"/>
    <row r="2197" customFormat="1" ht="15" customHeight="1"/>
    <row r="2198" customFormat="1" ht="15" customHeight="1"/>
    <row r="2199" customFormat="1" ht="15" customHeight="1"/>
    <row r="2200" customFormat="1" ht="15" customHeight="1"/>
    <row r="2201" customFormat="1" ht="15" customHeight="1"/>
    <row r="2202" customFormat="1" ht="15" customHeight="1"/>
    <row r="2203" customFormat="1" ht="15" customHeight="1"/>
    <row r="2204" customFormat="1" ht="15" customHeight="1"/>
    <row r="2205" customFormat="1" ht="15" customHeight="1"/>
    <row r="2206" customFormat="1" ht="15" customHeight="1"/>
    <row r="2207" customFormat="1" ht="15" customHeight="1"/>
    <row r="2208" customFormat="1" ht="15" customHeight="1"/>
    <row r="2209" customFormat="1" ht="15" customHeight="1"/>
    <row r="2210" customFormat="1" ht="15" customHeight="1"/>
    <row r="2211" customFormat="1" ht="15" customHeight="1"/>
    <row r="2212" customFormat="1" ht="15" customHeight="1"/>
    <row r="2213" customFormat="1" ht="15" customHeight="1"/>
    <row r="2214" customFormat="1" ht="15" customHeight="1"/>
    <row r="2215" customFormat="1" ht="15" customHeight="1"/>
    <row r="2216" customFormat="1" ht="15" customHeight="1"/>
    <row r="2217" customFormat="1" ht="15" customHeight="1"/>
    <row r="2218" customFormat="1" ht="15" customHeight="1"/>
    <row r="2219" customFormat="1" ht="15" customHeight="1"/>
    <row r="2220" customFormat="1" ht="15" customHeight="1"/>
    <row r="2221" customFormat="1" ht="15" customHeight="1"/>
    <row r="2222" customFormat="1" ht="15" customHeight="1"/>
    <row r="2223" customFormat="1" ht="15" customHeight="1"/>
    <row r="2224" customFormat="1" ht="15" customHeight="1"/>
    <row r="2225" customFormat="1" ht="15" customHeight="1"/>
    <row r="2226" customFormat="1" ht="15" customHeight="1"/>
    <row r="2227" customFormat="1" ht="15" customHeight="1"/>
    <row r="2228" customFormat="1" ht="15" customHeight="1"/>
    <row r="2229" customFormat="1" ht="15" customHeight="1"/>
    <row r="2230" customFormat="1" ht="15" customHeight="1"/>
    <row r="2231" customFormat="1" ht="15" customHeight="1"/>
    <row r="2232" customFormat="1" ht="15" customHeight="1"/>
    <row r="2233" customFormat="1" ht="15" customHeight="1"/>
    <row r="2234" customFormat="1" ht="15" customHeight="1"/>
    <row r="2235" customFormat="1" ht="15" customHeight="1"/>
    <row r="2236" customFormat="1" ht="15" customHeight="1"/>
    <row r="2237" customFormat="1" ht="15" customHeight="1"/>
    <row r="2238" customFormat="1" ht="15" customHeight="1"/>
    <row r="2239" customFormat="1" ht="15" customHeight="1"/>
    <row r="2240" customFormat="1" ht="15" customHeight="1"/>
    <row r="2241" customFormat="1" ht="15" customHeight="1"/>
    <row r="2242" customFormat="1" ht="15" customHeight="1"/>
    <row r="2243" customFormat="1" ht="15" customHeight="1"/>
    <row r="2244" customFormat="1" ht="12" customHeight="1"/>
    <row r="2245" customFormat="1" ht="15" customHeight="1"/>
    <row r="2246" customFormat="1" ht="15" customHeight="1"/>
    <row r="2247" customFormat="1" ht="15" customHeight="1"/>
    <row r="2248" customFormat="1" ht="15" customHeight="1"/>
    <row r="2249" customFormat="1" ht="15" customHeight="1"/>
    <row r="2250" customFormat="1" ht="15" customHeight="1"/>
    <row r="2251" customFormat="1" ht="15" customHeight="1"/>
    <row r="2252" customFormat="1" ht="15" customHeight="1"/>
    <row r="2253" customFormat="1" ht="15" customHeight="1"/>
    <row r="2254" customFormat="1" ht="15" customHeight="1"/>
    <row r="2255" customFormat="1" ht="15" customHeight="1"/>
    <row r="2256" customFormat="1" ht="15" customHeight="1"/>
    <row r="2257" customFormat="1" ht="15" customHeight="1"/>
    <row r="2258" customFormat="1" ht="15" customHeight="1"/>
    <row r="2259" customFormat="1" ht="15" customHeight="1"/>
    <row r="2260" customFormat="1" ht="15" customHeight="1"/>
    <row r="2261" customFormat="1" ht="15" customHeight="1"/>
    <row r="2262" customFormat="1" ht="15" customHeight="1"/>
    <row r="2263" customFormat="1" ht="15" customHeight="1"/>
    <row r="2264" customFormat="1" ht="15" customHeight="1"/>
    <row r="2265" customFormat="1" ht="15" customHeight="1"/>
    <row r="2266" customFormat="1" ht="15" customHeight="1"/>
    <row r="2267" customFormat="1" ht="15" customHeight="1"/>
    <row r="2268" customFormat="1" ht="15" customHeight="1"/>
    <row r="2269" customFormat="1" ht="15" customHeight="1"/>
    <row r="2270" customFormat="1" ht="15" customHeight="1"/>
    <row r="2271" customFormat="1" ht="15" customHeight="1"/>
    <row r="2272" customFormat="1" ht="15" customHeight="1"/>
    <row r="2273" customFormat="1" ht="15" customHeight="1"/>
    <row r="2274" customFormat="1" ht="15" customHeight="1"/>
    <row r="2275" customFormat="1" ht="15" customHeight="1"/>
    <row r="2276" customFormat="1" ht="15" customHeight="1"/>
    <row r="2277" customFormat="1" ht="15" customHeight="1"/>
    <row r="2278" customFormat="1" ht="15" customHeight="1"/>
    <row r="2279" customFormat="1" ht="15" customHeight="1"/>
    <row r="2280" customFormat="1" ht="15" customHeight="1"/>
    <row r="2281" customFormat="1" ht="15" customHeight="1"/>
    <row r="2282" customFormat="1" ht="15" customHeight="1"/>
    <row r="2283" customFormat="1" ht="15" customHeight="1"/>
    <row r="2284" customFormat="1" ht="15" customHeight="1"/>
    <row r="2285" customFormat="1" ht="15" customHeight="1"/>
    <row r="2286" customFormat="1" ht="15" customHeight="1"/>
    <row r="2287" customFormat="1" ht="15" customHeight="1"/>
    <row r="2288" customFormat="1" ht="15" customHeight="1"/>
    <row r="2289" customFormat="1" ht="15" customHeight="1"/>
    <row r="2290" customFormat="1" ht="15" customHeight="1"/>
    <row r="2291" customFormat="1" ht="15" customHeight="1"/>
    <row r="2292" customFormat="1" ht="15" customHeight="1"/>
    <row r="2293" customFormat="1" ht="15" customHeight="1"/>
    <row r="2294" customFormat="1" ht="15" customHeight="1"/>
    <row r="2295" customFormat="1" ht="15" customHeight="1"/>
    <row r="2296" customFormat="1" ht="15" customHeight="1"/>
    <row r="2297" customFormat="1" ht="15" customHeight="1"/>
    <row r="2298" customFormat="1" ht="15" customHeight="1"/>
    <row r="2299" customFormat="1" ht="15" customHeight="1"/>
    <row r="2300" customFormat="1" ht="15" customHeight="1"/>
    <row r="2301" customFormat="1" ht="15" customHeight="1"/>
    <row r="2302" customFormat="1" ht="15" customHeight="1"/>
    <row r="2303" customFormat="1" ht="15" customHeight="1"/>
    <row r="2304" customFormat="1" ht="15" customHeight="1"/>
    <row r="2305" customFormat="1" ht="15" customHeight="1"/>
    <row r="2306" customFormat="1" ht="15" customHeight="1"/>
    <row r="2307" customFormat="1" ht="15" customHeight="1"/>
    <row r="2308" customFormat="1" ht="15" customHeight="1"/>
    <row r="2309" customFormat="1" ht="15" customHeight="1"/>
    <row r="2310" customFormat="1" ht="15" customHeight="1"/>
    <row r="2311" customFormat="1" ht="15" customHeight="1"/>
    <row r="2312" customFormat="1" ht="15" customHeight="1"/>
    <row r="2313" customFormat="1" ht="15" customHeight="1"/>
    <row r="2314" customFormat="1" ht="15" customHeight="1"/>
    <row r="2315" customFormat="1" ht="15" customHeight="1"/>
    <row r="2316" customFormat="1" ht="15" customHeight="1"/>
    <row r="2317" customFormat="1" ht="15" customHeight="1"/>
    <row r="2318" customFormat="1" ht="15" customHeight="1"/>
    <row r="2319" customFormat="1" ht="15" customHeight="1"/>
    <row r="2320" customFormat="1" ht="15" customHeight="1"/>
    <row r="2321" customFormat="1" ht="15" customHeight="1"/>
    <row r="2322" customFormat="1" ht="15" customHeight="1"/>
    <row r="2323" customFormat="1" ht="15" customHeight="1"/>
    <row r="2324" customFormat="1" ht="15" customHeight="1"/>
    <row r="2325" customFormat="1" ht="15" customHeight="1"/>
    <row r="2326" customFormat="1" ht="15" customHeight="1"/>
    <row r="2327" customFormat="1" ht="15" customHeight="1"/>
    <row r="2328" customFormat="1" ht="15" customHeight="1"/>
    <row r="2329" customFormat="1" ht="15" customHeight="1"/>
    <row r="2330" customFormat="1" ht="15" customHeight="1"/>
    <row r="2331" customFormat="1" ht="15" customHeight="1"/>
    <row r="2332" customFormat="1" ht="15" customHeight="1"/>
    <row r="2333" customFormat="1" ht="15" customHeight="1"/>
    <row r="2334" customFormat="1" ht="12" customHeight="1"/>
    <row r="2335" customFormat="1" ht="15" customHeight="1"/>
    <row r="2336" customFormat="1" ht="15" customHeight="1"/>
    <row r="2337" customFormat="1" ht="15" customHeight="1"/>
    <row r="2338" customFormat="1" ht="15" customHeight="1"/>
    <row r="2339" customFormat="1" ht="15" customHeight="1"/>
    <row r="2340" customFormat="1" ht="15" customHeight="1"/>
    <row r="2341" customFormat="1" ht="15" customHeight="1"/>
    <row r="2342" customFormat="1" ht="15" customHeight="1"/>
    <row r="2343" customFormat="1" ht="15" customHeight="1"/>
    <row r="2344" customFormat="1" ht="15" customHeight="1"/>
    <row r="2345" customFormat="1" ht="15" customHeight="1"/>
    <row r="2346" customFormat="1" ht="15" customHeight="1"/>
    <row r="2347" customFormat="1" ht="15" customHeight="1"/>
    <row r="2348" customFormat="1" ht="15" customHeight="1"/>
    <row r="2349" customFormat="1" ht="15" customHeight="1"/>
    <row r="2350" customFormat="1" ht="15" customHeight="1"/>
    <row r="2351" customFormat="1" ht="15" customHeight="1"/>
    <row r="2352" customFormat="1" ht="15" customHeight="1"/>
    <row r="2353" customFormat="1" ht="15" customHeight="1"/>
    <row r="2354" customFormat="1" ht="15" customHeight="1"/>
    <row r="2355" customFormat="1" ht="15" customHeight="1"/>
    <row r="2356" customFormat="1" ht="15" customHeight="1"/>
    <row r="2357" customFormat="1" ht="15" customHeight="1"/>
    <row r="2358" customFormat="1" ht="15" customHeight="1"/>
    <row r="2359" customFormat="1" ht="15" customHeight="1"/>
    <row r="2360" customFormat="1" ht="15" customHeight="1"/>
    <row r="2361" customFormat="1" ht="15" customHeight="1"/>
    <row r="2362" customFormat="1" ht="15" customHeight="1"/>
    <row r="2363" customFormat="1" ht="15" customHeight="1"/>
    <row r="2364" customFormat="1" ht="15" customHeight="1"/>
    <row r="2365" customFormat="1" ht="15" customHeight="1"/>
    <row r="2366" customFormat="1" ht="15" customHeight="1"/>
    <row r="2367" customFormat="1" ht="15" customHeight="1"/>
    <row r="2368" customFormat="1" ht="15" customHeight="1"/>
    <row r="2369" customFormat="1" ht="15" customHeight="1"/>
    <row r="2370" customFormat="1" ht="15" customHeight="1"/>
    <row r="2371" customFormat="1" ht="15" customHeight="1"/>
    <row r="2372" customFormat="1" ht="15" customHeight="1"/>
    <row r="2373" customFormat="1" ht="15" customHeight="1"/>
    <row r="2374" customFormat="1" ht="15" customHeight="1"/>
    <row r="2375" customFormat="1" ht="15" customHeight="1"/>
    <row r="2376" customFormat="1" ht="15" customHeight="1"/>
    <row r="2377" customFormat="1" ht="15" customHeight="1"/>
    <row r="2378" customFormat="1" ht="15" customHeight="1"/>
    <row r="2379" customFormat="1" ht="15" customHeight="1"/>
    <row r="2380" customFormat="1" ht="15" customHeight="1"/>
    <row r="2381" customFormat="1" ht="15" customHeight="1"/>
    <row r="2382" customFormat="1" ht="15" customHeight="1"/>
    <row r="2383" customFormat="1" ht="15" customHeight="1"/>
    <row r="2384" customFormat="1" ht="15" customHeight="1"/>
    <row r="2385" customFormat="1" ht="15" customHeight="1"/>
    <row r="2386" customFormat="1" ht="15" customHeight="1"/>
    <row r="2387" customFormat="1" ht="15" customHeight="1"/>
    <row r="2388" customFormat="1" ht="15" customHeight="1"/>
    <row r="2389" customFormat="1" ht="15" customHeight="1"/>
    <row r="2390" customFormat="1" ht="15" customHeight="1"/>
    <row r="2391" customFormat="1" ht="15" customHeight="1"/>
    <row r="2392" customFormat="1" ht="15" customHeight="1"/>
    <row r="2393" customFormat="1" ht="15" customHeight="1"/>
    <row r="2394" customFormat="1" ht="15" customHeight="1"/>
    <row r="2395" customFormat="1" ht="15" customHeight="1"/>
    <row r="2396" customFormat="1" ht="15" customHeight="1"/>
    <row r="2397" customFormat="1" ht="15" customHeight="1"/>
    <row r="2398" customFormat="1" ht="15" customHeight="1"/>
    <row r="2399" customFormat="1" ht="15" customHeight="1"/>
    <row r="2400" customFormat="1" ht="15" customHeight="1"/>
    <row r="2401" customFormat="1" ht="15" customHeight="1"/>
    <row r="2402" customFormat="1" ht="15" customHeight="1"/>
    <row r="2403" customFormat="1" ht="15" customHeight="1"/>
    <row r="2404" customFormat="1" ht="15" customHeight="1"/>
    <row r="2405" customFormat="1" ht="15" customHeight="1"/>
    <row r="2406" customFormat="1" ht="15" customHeight="1"/>
    <row r="2407" customFormat="1" ht="15" customHeight="1"/>
    <row r="2408" customFormat="1" ht="15" customHeight="1"/>
    <row r="2409" customFormat="1" ht="15" customHeight="1"/>
    <row r="2410" customFormat="1" ht="15" customHeight="1"/>
    <row r="2411" customFormat="1" ht="15" customHeight="1"/>
    <row r="2412" customFormat="1" ht="15" customHeight="1"/>
    <row r="2413" customFormat="1" ht="15" customHeight="1"/>
    <row r="2414" customFormat="1" ht="15" customHeight="1"/>
    <row r="2415" customFormat="1" ht="15" customHeight="1"/>
    <row r="2416" customFormat="1" ht="15" customHeight="1"/>
    <row r="2417" spans="2:32" ht="15" customHeight="1"/>
    <row r="2418" spans="2:32" ht="15" customHeight="1"/>
    <row r="2419" spans="2:32" ht="15" customHeight="1"/>
    <row r="2420" spans="2:32" ht="15" customHeight="1"/>
    <row r="2421" spans="2:32" ht="15" customHeight="1"/>
    <row r="2422" spans="2:32" ht="15" customHeight="1"/>
    <row r="2423" spans="2:32" ht="15" customHeight="1"/>
    <row r="2424" spans="2:32" ht="15" customHeight="1"/>
    <row r="2425" spans="2:32" ht="15" customHeight="1">
      <c r="B2425" s="291"/>
      <c r="C2425" s="291"/>
      <c r="D2425" s="291"/>
      <c r="E2425" s="291"/>
      <c r="F2425" s="291"/>
      <c r="G2425" s="291"/>
      <c r="H2425" s="291"/>
      <c r="I2425" s="291"/>
      <c r="J2425" s="291"/>
      <c r="K2425" s="291"/>
      <c r="L2425" s="291"/>
      <c r="M2425" s="291"/>
      <c r="N2425" s="291"/>
      <c r="O2425" s="291"/>
      <c r="P2425" s="291"/>
      <c r="Q2425" s="291"/>
      <c r="R2425" s="291"/>
      <c r="S2425" s="291"/>
      <c r="T2425" s="291"/>
      <c r="U2425" s="291"/>
      <c r="V2425" s="291"/>
      <c r="W2425" s="291"/>
      <c r="X2425" s="291"/>
      <c r="Y2425" s="291"/>
      <c r="Z2425" s="291"/>
      <c r="AA2425" s="291"/>
      <c r="AB2425" s="291"/>
      <c r="AC2425" s="291"/>
      <c r="AD2425" s="291"/>
      <c r="AE2425" s="291"/>
      <c r="AF2425" s="291"/>
    </row>
    <row r="2426" spans="2:32" ht="15" customHeight="1"/>
    <row r="2427" spans="2:32" ht="15" customHeight="1"/>
    <row r="2428" spans="2:32" ht="15" customHeight="1"/>
    <row r="2429" spans="2:32" ht="15" customHeight="1"/>
    <row r="2430" spans="2:32" ht="15" customHeight="1"/>
    <row r="2431" spans="2:32" ht="15" customHeight="1"/>
    <row r="2432" spans="2:32" ht="15" customHeight="1"/>
    <row r="2433" customFormat="1" ht="15" customHeight="1"/>
    <row r="2434" customFormat="1" ht="15" customHeight="1"/>
    <row r="2435" customFormat="1" ht="15" customHeight="1"/>
    <row r="2436" customFormat="1" ht="15" customHeight="1"/>
    <row r="2437" customFormat="1" ht="12" customHeight="1"/>
    <row r="2438" customFormat="1" ht="12" customHeight="1"/>
    <row r="2439" customFormat="1" ht="12" customHeight="1"/>
    <row r="2440" customFormat="1" ht="12" customHeight="1"/>
    <row r="2441" customFormat="1" ht="12" customHeight="1"/>
    <row r="2442" customFormat="1" ht="12" customHeight="1"/>
    <row r="2443" customFormat="1" ht="12" customHeight="1"/>
    <row r="2444" customFormat="1" ht="12" customHeight="1"/>
    <row r="2445" customFormat="1" ht="12" customHeight="1"/>
    <row r="2446" customFormat="1" ht="12" customHeight="1"/>
    <row r="2447" customFormat="1" ht="12" customHeight="1"/>
    <row r="2448" customFormat="1" ht="12" customHeight="1"/>
    <row r="2449" customFormat="1" ht="12" customHeight="1"/>
    <row r="2450" customFormat="1" ht="15" customHeight="1"/>
    <row r="2451" customFormat="1" ht="15" customHeight="1"/>
    <row r="2452" customFormat="1" ht="15" customHeight="1"/>
    <row r="2453" customFormat="1" ht="15" customHeight="1"/>
    <row r="2454" customFormat="1" ht="15" customHeight="1"/>
    <row r="2455" customFormat="1" ht="15" customHeight="1"/>
    <row r="2456" customFormat="1" ht="15" customHeight="1"/>
    <row r="2457" customFormat="1" ht="15" customHeight="1"/>
    <row r="2458" customFormat="1" ht="15" customHeight="1"/>
    <row r="2459" customFormat="1" ht="15" customHeight="1"/>
    <row r="2460" customFormat="1" ht="15" customHeight="1"/>
    <row r="2461" customFormat="1" ht="15" customHeight="1"/>
    <row r="2462" customFormat="1" ht="15" customHeight="1"/>
    <row r="2463" customFormat="1" ht="15" customHeight="1"/>
    <row r="2464" customFormat="1" ht="15" customHeight="1"/>
    <row r="2465" customFormat="1" ht="15" customHeight="1"/>
    <row r="2466" customFormat="1" ht="15" customHeight="1"/>
    <row r="2467" customFormat="1" ht="15" customHeight="1"/>
    <row r="2468" customFormat="1" ht="15" customHeight="1"/>
    <row r="2469" customFormat="1" ht="15" customHeight="1"/>
    <row r="2470" customFormat="1" ht="15" customHeight="1"/>
    <row r="2471" customFormat="1" ht="15" customHeight="1"/>
    <row r="2472" customFormat="1" ht="12" customHeight="1"/>
    <row r="2473" customFormat="1" ht="15" customHeight="1"/>
    <row r="2474" customFormat="1" ht="15" customHeight="1"/>
    <row r="2475" customFormat="1" ht="15" customHeight="1"/>
    <row r="2476" customFormat="1" ht="15" customHeight="1"/>
    <row r="2477" customFormat="1" ht="15" customHeight="1"/>
    <row r="2478" customFormat="1" ht="15" customHeight="1"/>
    <row r="2479" customFormat="1" ht="15" customHeight="1"/>
    <row r="2480" customFormat="1" ht="15" customHeight="1"/>
    <row r="2481" customFormat="1" ht="15" customHeight="1"/>
    <row r="2482" customFormat="1" ht="15" customHeight="1"/>
    <row r="2483" customFormat="1" ht="15" customHeight="1"/>
    <row r="2484" customFormat="1" ht="15" customHeight="1"/>
    <row r="2485" customFormat="1" ht="15" customHeight="1"/>
    <row r="2486" customFormat="1" ht="15" customHeight="1"/>
    <row r="2487" customFormat="1" ht="15" customHeight="1"/>
    <row r="2488" customFormat="1" ht="15" customHeight="1"/>
    <row r="2489" customFormat="1" ht="15" customHeight="1"/>
    <row r="2490" customFormat="1" ht="12" customHeight="1"/>
    <row r="2491" customFormat="1" ht="15" customHeight="1"/>
    <row r="2492" customFormat="1" ht="15" customHeight="1"/>
    <row r="2493" customFormat="1" ht="15" customHeight="1"/>
    <row r="2494" customFormat="1" ht="15" customHeight="1"/>
    <row r="2495" customFormat="1" ht="15" customHeight="1"/>
    <row r="2496" customFormat="1" ht="15" customHeight="1"/>
    <row r="2497" customFormat="1" ht="15" customHeight="1"/>
    <row r="2498" customFormat="1" ht="15" customHeight="1"/>
    <row r="2499" customFormat="1" ht="15" customHeight="1"/>
    <row r="2500" customFormat="1" ht="15" customHeight="1"/>
    <row r="2501" customFormat="1" ht="15" customHeight="1"/>
    <row r="2502" customFormat="1" ht="15" customHeight="1"/>
    <row r="2503" customFormat="1" ht="15" customHeight="1"/>
    <row r="2504" customFormat="1" ht="15" customHeight="1"/>
    <row r="2505" customFormat="1" ht="15" customHeight="1"/>
    <row r="2506" customFormat="1" ht="15" customHeight="1"/>
    <row r="2507" customFormat="1" ht="15" customHeight="1"/>
    <row r="2508" customFormat="1" ht="12" customHeight="1"/>
    <row r="2509" customFormat="1" ht="15" customHeight="1"/>
    <row r="2510" customFormat="1" ht="15" customHeight="1"/>
    <row r="2511" customFormat="1" ht="15" customHeight="1"/>
    <row r="2512" customFormat="1" ht="15" customHeight="1"/>
    <row r="2513" customFormat="1" ht="15" customHeight="1"/>
    <row r="2514" customFormat="1" ht="15" customHeight="1"/>
    <row r="2515" customFormat="1" ht="15" customHeight="1"/>
    <row r="2516" customFormat="1" ht="15" customHeight="1"/>
    <row r="2517" customFormat="1" ht="15" customHeight="1"/>
    <row r="2518" customFormat="1" ht="15" customHeight="1"/>
    <row r="2519" customFormat="1" ht="15" customHeight="1"/>
    <row r="2520" customFormat="1" ht="15" customHeight="1"/>
    <row r="2521" customFormat="1" ht="15" customHeight="1"/>
    <row r="2522" customFormat="1" ht="15" customHeight="1"/>
    <row r="2523" customFormat="1" ht="15" customHeight="1"/>
    <row r="2524" customFormat="1" ht="15" customHeight="1"/>
    <row r="2525" customFormat="1" ht="15" customHeight="1"/>
    <row r="2526" customFormat="1" ht="12" customHeight="1"/>
    <row r="2527" customFormat="1" ht="15" customHeight="1"/>
    <row r="2528" customFormat="1" ht="15" customHeight="1"/>
    <row r="2529" customFormat="1" ht="15" customHeight="1"/>
    <row r="2530" customFormat="1" ht="15" customHeight="1"/>
    <row r="2531" customFormat="1" ht="15" customHeight="1"/>
    <row r="2532" customFormat="1" ht="15" customHeight="1"/>
    <row r="2533" customFormat="1" ht="15" customHeight="1"/>
    <row r="2534" customFormat="1" ht="15" customHeight="1"/>
    <row r="2535" customFormat="1" ht="15" customHeight="1"/>
    <row r="2536" customFormat="1" ht="15" customHeight="1"/>
    <row r="2537" customFormat="1" ht="15" customHeight="1"/>
    <row r="2538" customFormat="1" ht="15" customHeight="1"/>
    <row r="2539" customFormat="1" ht="15" customHeight="1"/>
    <row r="2540" customFormat="1" ht="15" customHeight="1"/>
    <row r="2541" customFormat="1" ht="15" customHeight="1"/>
    <row r="2542" customFormat="1" ht="15" customHeight="1"/>
    <row r="2543" customFormat="1" ht="15" customHeight="1"/>
    <row r="2544" customFormat="1" ht="12" customHeight="1"/>
    <row r="2545" customFormat="1" ht="15" customHeight="1"/>
    <row r="2546" customFormat="1" ht="15" customHeight="1"/>
    <row r="2547" customFormat="1" ht="15" customHeight="1"/>
    <row r="2548" customFormat="1" ht="15" customHeight="1"/>
    <row r="2549" customFormat="1" ht="15" customHeight="1"/>
    <row r="2550" customFormat="1" ht="15" customHeight="1"/>
    <row r="2551" customFormat="1" ht="15" customHeight="1"/>
    <row r="2552" customFormat="1" ht="15" customHeight="1"/>
    <row r="2553" customFormat="1" ht="15" customHeight="1"/>
    <row r="2554" customFormat="1" ht="15" customHeight="1"/>
    <row r="2555" customFormat="1" ht="15" customHeight="1"/>
    <row r="2556" customFormat="1" ht="15" customHeight="1"/>
    <row r="2557" customFormat="1" ht="15" customHeight="1"/>
    <row r="2558" customFormat="1" ht="15" customHeight="1"/>
    <row r="2559" customFormat="1" ht="15" customHeight="1"/>
    <row r="2560" customFormat="1" ht="15" customHeight="1"/>
    <row r="2561" customFormat="1" ht="15" customHeight="1"/>
    <row r="2562" customFormat="1" ht="12" customHeight="1"/>
    <row r="2563" customFormat="1" ht="12" customHeight="1"/>
    <row r="2564" customFormat="1" ht="15" customHeight="1"/>
    <row r="2565" customFormat="1" ht="15" customHeight="1"/>
    <row r="2566" customFormat="1" ht="15" customHeight="1"/>
    <row r="2567" customFormat="1" ht="15" customHeight="1"/>
    <row r="2568" customFormat="1" ht="15" customHeight="1"/>
    <row r="2569" customFormat="1" ht="15" customHeight="1"/>
    <row r="2570" customFormat="1" ht="15" customHeight="1"/>
    <row r="2571" customFormat="1" ht="15" customHeight="1"/>
    <row r="2572" customFormat="1" ht="15" customHeight="1"/>
    <row r="2573" customFormat="1" ht="15" customHeight="1"/>
    <row r="2574" customFormat="1" ht="15" customHeight="1"/>
    <row r="2575" customFormat="1" ht="15" customHeight="1"/>
    <row r="2576" customFormat="1" ht="15" customHeight="1"/>
    <row r="2577" customFormat="1" ht="15" customHeight="1"/>
    <row r="2578" customFormat="1" ht="15" customHeight="1"/>
    <row r="2579" customFormat="1" ht="15" customHeight="1"/>
    <row r="2580" customFormat="1" ht="15" customHeight="1"/>
    <row r="2581" customFormat="1" ht="12" customHeight="1"/>
    <row r="2582" customFormat="1" ht="15" customHeight="1"/>
    <row r="2583" customFormat="1" ht="15" customHeight="1"/>
    <row r="2584" customFormat="1" ht="15" customHeight="1"/>
    <row r="2585" customFormat="1" ht="15" customHeight="1"/>
    <row r="2586" customFormat="1" ht="15" customHeight="1"/>
    <row r="2587" customFormat="1" ht="15" customHeight="1"/>
    <row r="2588" customFormat="1" ht="15" customHeight="1"/>
    <row r="2589" customFormat="1" ht="15" customHeight="1"/>
    <row r="2590" customFormat="1" ht="15" customHeight="1"/>
    <row r="2591" customFormat="1" ht="15" customHeight="1"/>
    <row r="2592" customFormat="1" ht="15" customHeight="1"/>
    <row r="2593" customFormat="1" ht="15" customHeight="1"/>
    <row r="2594" customFormat="1" ht="15" customHeight="1"/>
    <row r="2595" customFormat="1" ht="15" customHeight="1"/>
    <row r="2596" customFormat="1" ht="15" customHeight="1"/>
    <row r="2597" customFormat="1" ht="15" customHeight="1"/>
    <row r="2598" customFormat="1" ht="15" customHeight="1"/>
    <row r="2599" customFormat="1" ht="12" customHeight="1"/>
    <row r="2600" customFormat="1" ht="15" customHeight="1"/>
    <row r="2601" customFormat="1" ht="15" customHeight="1"/>
    <row r="2602" customFormat="1" ht="15" customHeight="1"/>
    <row r="2603" customFormat="1" ht="15" customHeight="1"/>
    <row r="2604" customFormat="1" ht="15" customHeight="1"/>
    <row r="2605" customFormat="1" ht="15" customHeight="1"/>
    <row r="2606" customFormat="1" ht="15" customHeight="1"/>
    <row r="2607" customFormat="1" ht="15" customHeight="1"/>
    <row r="2608" customFormat="1" ht="15" customHeight="1"/>
    <row r="2609" customFormat="1" ht="15" customHeight="1"/>
    <row r="2610" customFormat="1" ht="15" customHeight="1"/>
    <row r="2611" customFormat="1" ht="15" customHeight="1"/>
    <row r="2612" customFormat="1" ht="15" customHeight="1"/>
    <row r="2613" customFormat="1" ht="15" customHeight="1"/>
    <row r="2614" customFormat="1" ht="15" customHeight="1"/>
    <row r="2615" customFormat="1" ht="15" customHeight="1"/>
    <row r="2616" customFormat="1" ht="15" customHeight="1"/>
    <row r="2617" customFormat="1" ht="12" customHeight="1"/>
    <row r="2618" customFormat="1" ht="12" customHeight="1"/>
    <row r="2619" customFormat="1" ht="15" customHeight="1"/>
    <row r="2620" customFormat="1" ht="15" customHeight="1"/>
    <row r="2621" customFormat="1" ht="15" customHeight="1"/>
    <row r="2622" customFormat="1" ht="15" customHeight="1"/>
    <row r="2623" customFormat="1" ht="15" customHeight="1"/>
    <row r="2624" customFormat="1" ht="15" customHeight="1"/>
    <row r="2625" customFormat="1" ht="15" customHeight="1"/>
    <row r="2626" customFormat="1" ht="15" customHeight="1"/>
    <row r="2627" customFormat="1" ht="15" customHeight="1"/>
    <row r="2628" customFormat="1" ht="15" customHeight="1"/>
    <row r="2629" customFormat="1" ht="15" customHeight="1"/>
    <row r="2630" customFormat="1" ht="15" customHeight="1"/>
    <row r="2631" customFormat="1" ht="15" customHeight="1"/>
    <row r="2632" customFormat="1" ht="15" customHeight="1"/>
    <row r="2633" customFormat="1" ht="15" customHeight="1"/>
    <row r="2634" customFormat="1" ht="15" customHeight="1"/>
    <row r="2635" customFormat="1" ht="15" customHeight="1"/>
    <row r="2636" customFormat="1" ht="12" customHeight="1"/>
    <row r="2637" customFormat="1" ht="15" customHeight="1"/>
    <row r="2638" customFormat="1" ht="15" customHeight="1"/>
    <row r="2639" customFormat="1" ht="15" customHeight="1"/>
    <row r="2640" customFormat="1" ht="15" customHeight="1"/>
    <row r="2641" customFormat="1" ht="15" customHeight="1"/>
    <row r="2642" customFormat="1" ht="15" customHeight="1"/>
    <row r="2643" customFormat="1" ht="15" customHeight="1"/>
    <row r="2644" customFormat="1" ht="15" customHeight="1"/>
    <row r="2645" customFormat="1" ht="15" customHeight="1"/>
    <row r="2646" customFormat="1" ht="15" customHeight="1"/>
    <row r="2647" customFormat="1" ht="15" customHeight="1"/>
    <row r="2648" customFormat="1" ht="15" customHeight="1"/>
    <row r="2649" customFormat="1" ht="15" customHeight="1"/>
    <row r="2650" customFormat="1" ht="15" customHeight="1"/>
    <row r="2651" customFormat="1" ht="15" customHeight="1"/>
    <row r="2652" customFormat="1" ht="15" customHeight="1"/>
    <row r="2653" customFormat="1" ht="15" customHeight="1"/>
    <row r="2654" customFormat="1" ht="12" customHeight="1"/>
    <row r="2655" customFormat="1" ht="15" customHeight="1"/>
    <row r="2656" customFormat="1" ht="15" customHeight="1"/>
    <row r="2657" customFormat="1" ht="15" customHeight="1"/>
    <row r="2658" customFormat="1" ht="15" customHeight="1"/>
    <row r="2659" customFormat="1" ht="15" customHeight="1"/>
    <row r="2660" customFormat="1" ht="15" customHeight="1"/>
    <row r="2661" customFormat="1" ht="15" customHeight="1"/>
    <row r="2662" customFormat="1" ht="15" customHeight="1"/>
    <row r="2663" customFormat="1" ht="15" customHeight="1"/>
    <row r="2664" customFormat="1" ht="15" customHeight="1"/>
    <row r="2665" customFormat="1" ht="15" customHeight="1"/>
    <row r="2666" customFormat="1" ht="15" customHeight="1"/>
    <row r="2667" customFormat="1" ht="15" customHeight="1"/>
    <row r="2668" customFormat="1" ht="15" customHeight="1"/>
    <row r="2669" customFormat="1" ht="15" customHeight="1"/>
    <row r="2670" customFormat="1" ht="15" customHeight="1"/>
    <row r="2671" customFormat="1" ht="15" customHeight="1"/>
    <row r="2672" customFormat="1" ht="12" customHeight="1"/>
    <row r="2673" customFormat="1" ht="15" customHeight="1"/>
    <row r="2674" customFormat="1" ht="15" customHeight="1"/>
    <row r="2675" customFormat="1" ht="15" customHeight="1"/>
    <row r="2676" customFormat="1" ht="15" customHeight="1"/>
    <row r="2677" customFormat="1" ht="15" customHeight="1"/>
    <row r="2678" customFormat="1" ht="15" customHeight="1"/>
    <row r="2679" customFormat="1" ht="15" customHeight="1"/>
    <row r="2680" customFormat="1" ht="15" customHeight="1"/>
    <row r="2681" customFormat="1" ht="15" customHeight="1"/>
    <row r="2682" customFormat="1" ht="15" customHeight="1"/>
    <row r="2683" customFormat="1" ht="15" customHeight="1"/>
    <row r="2684" customFormat="1" ht="15" customHeight="1"/>
    <row r="2685" customFormat="1" ht="15" customHeight="1"/>
    <row r="2686" customFormat="1" ht="15" customHeight="1"/>
    <row r="2687" customFormat="1" ht="15" customHeight="1"/>
    <row r="2688" customFormat="1" ht="15" customHeight="1"/>
    <row r="2689" customFormat="1" ht="15" customHeight="1"/>
    <row r="2690" customFormat="1" ht="12" customHeight="1"/>
    <row r="2691" customFormat="1" ht="15" customHeight="1"/>
    <row r="2692" customFormat="1" ht="15" customHeight="1"/>
    <row r="2693" customFormat="1" ht="15" customHeight="1"/>
    <row r="2694" customFormat="1" ht="15" customHeight="1"/>
    <row r="2695" customFormat="1" ht="15" customHeight="1"/>
    <row r="2696" customFormat="1" ht="15" customHeight="1"/>
    <row r="2697" customFormat="1" ht="15" customHeight="1"/>
    <row r="2698" customFormat="1" ht="15" customHeight="1"/>
    <row r="2699" customFormat="1" ht="15" customHeight="1"/>
    <row r="2700" customFormat="1" ht="15" customHeight="1"/>
    <row r="2701" customFormat="1" ht="15" customHeight="1"/>
    <row r="2702" customFormat="1" ht="15" customHeight="1"/>
    <row r="2703" customFormat="1" ht="15" customHeight="1"/>
    <row r="2704" customFormat="1" ht="15" customHeight="1"/>
    <row r="2705" customFormat="1" ht="15" customHeight="1"/>
    <row r="2706" customFormat="1" ht="15" customHeight="1"/>
    <row r="2707" customFormat="1" ht="15" customHeight="1"/>
    <row r="2708" customFormat="1" ht="12" customHeight="1"/>
    <row r="2709" customFormat="1" ht="15" customHeight="1"/>
    <row r="2710" customFormat="1" ht="15" customHeight="1"/>
    <row r="2711" customFormat="1" ht="15" customHeight="1"/>
    <row r="2712" customFormat="1" ht="15" customHeight="1"/>
    <row r="2713" customFormat="1" ht="15" customHeight="1"/>
    <row r="2714" customFormat="1" ht="15" customHeight="1"/>
    <row r="2715" customFormat="1" ht="15" customHeight="1"/>
    <row r="2716" customFormat="1" ht="15" customHeight="1"/>
    <row r="2717" customFormat="1" ht="15" customHeight="1"/>
    <row r="2718" customFormat="1" ht="15" customHeight="1"/>
    <row r="2719" customFormat="1" ht="15" customHeight="1"/>
    <row r="2720" customFormat="1" ht="15" customHeight="1"/>
    <row r="2721" customFormat="1" ht="15" customHeight="1"/>
    <row r="2722" customFormat="1" ht="15" customHeight="1"/>
    <row r="2723" customFormat="1" ht="15" customHeight="1"/>
    <row r="2724" customFormat="1" ht="15" customHeight="1"/>
    <row r="2725" customFormat="1" ht="15" customHeight="1"/>
    <row r="2726" customFormat="1" ht="12" customHeight="1"/>
    <row r="2727" customFormat="1" ht="15" customHeight="1"/>
    <row r="2728" customFormat="1" ht="15" customHeight="1"/>
    <row r="2729" customFormat="1" ht="15" customHeight="1"/>
    <row r="2730" customFormat="1" ht="15" customHeight="1"/>
    <row r="2731" customFormat="1" ht="15" customHeight="1"/>
    <row r="2732" customFormat="1" ht="15" customHeight="1"/>
    <row r="2733" customFormat="1" ht="15" customHeight="1"/>
    <row r="2734" customFormat="1" ht="15" customHeight="1"/>
    <row r="2735" customFormat="1" ht="15" customHeight="1"/>
    <row r="2736" customFormat="1" ht="15" customHeight="1"/>
    <row r="2737" spans="2:32" ht="15" customHeight="1"/>
    <row r="2738" spans="2:32" ht="15" customHeight="1"/>
    <row r="2739" spans="2:32" ht="15" customHeight="1"/>
    <row r="2740" spans="2:32" ht="15" customHeight="1"/>
    <row r="2741" spans="2:32" ht="15" customHeight="1"/>
    <row r="2742" spans="2:32" ht="15" customHeight="1"/>
    <row r="2743" spans="2:32" ht="15" customHeight="1"/>
    <row r="2744" spans="2:32" ht="15" customHeight="1"/>
    <row r="2745" spans="2:32" ht="15" customHeight="1">
      <c r="B2745" s="291"/>
      <c r="C2745" s="291"/>
      <c r="D2745" s="291"/>
      <c r="E2745" s="291"/>
      <c r="F2745" s="291"/>
      <c r="G2745" s="291"/>
      <c r="H2745" s="291"/>
      <c r="I2745" s="291"/>
      <c r="J2745" s="291"/>
      <c r="K2745" s="291"/>
      <c r="L2745" s="291"/>
      <c r="M2745" s="291"/>
      <c r="N2745" s="291"/>
      <c r="O2745" s="291"/>
      <c r="P2745" s="291"/>
      <c r="Q2745" s="291"/>
      <c r="R2745" s="291"/>
      <c r="S2745" s="291"/>
      <c r="T2745" s="291"/>
      <c r="U2745" s="291"/>
      <c r="V2745" s="291"/>
      <c r="W2745" s="291"/>
      <c r="X2745" s="291"/>
      <c r="Y2745" s="291"/>
      <c r="Z2745" s="291"/>
      <c r="AA2745" s="291"/>
      <c r="AB2745" s="291"/>
      <c r="AC2745" s="291"/>
      <c r="AD2745" s="291"/>
      <c r="AE2745" s="291"/>
      <c r="AF2745" s="291"/>
    </row>
    <row r="2746" spans="2:32" ht="15" customHeight="1"/>
    <row r="2747" spans="2:32" ht="12" customHeight="1"/>
    <row r="2748" spans="2:32" ht="12" customHeight="1"/>
    <row r="2749" spans="2:32" ht="12" customHeight="1"/>
    <row r="2750" spans="2:32" ht="12" customHeight="1"/>
    <row r="2751" spans="2:32" ht="12" customHeight="1"/>
    <row r="2752" spans="2:32" ht="12" customHeight="1"/>
    <row r="2753" customFormat="1" ht="12" customHeight="1"/>
    <row r="2754" customFormat="1" ht="12" customHeight="1"/>
    <row r="2755" customFormat="1" ht="12" customHeight="1"/>
    <row r="2756" customFormat="1" ht="12" customHeight="1"/>
    <row r="2757" customFormat="1" ht="12" customHeight="1"/>
    <row r="2758" customFormat="1" ht="12" customHeight="1"/>
    <row r="2759" customFormat="1" ht="12" customHeight="1"/>
    <row r="2760" customFormat="1" ht="12" customHeight="1"/>
    <row r="2761" customFormat="1" ht="12" customHeight="1"/>
    <row r="2762" customFormat="1" ht="12" customHeight="1"/>
    <row r="2763" customFormat="1" ht="12" customHeight="1"/>
    <row r="2764" customFormat="1" ht="12" customHeight="1"/>
    <row r="2765" customFormat="1" ht="12" customHeight="1"/>
    <row r="2766" customFormat="1" ht="12" customHeight="1"/>
    <row r="2767" customFormat="1" ht="12" customHeight="1"/>
    <row r="2768" customFormat="1" ht="12" customHeight="1"/>
    <row r="2769" customFormat="1" ht="12" customHeight="1"/>
    <row r="2770" customFormat="1" ht="12" customHeight="1"/>
    <row r="2771" customFormat="1" ht="12" customHeight="1"/>
    <row r="2772" customFormat="1" ht="12" customHeight="1"/>
    <row r="2773" customFormat="1" ht="12" customHeight="1"/>
    <row r="2774" customFormat="1" ht="12" customHeight="1"/>
    <row r="2775" customFormat="1" ht="15" customHeight="1"/>
    <row r="2776" customFormat="1" ht="15" customHeight="1"/>
    <row r="2777" customFormat="1" ht="15" customHeight="1"/>
    <row r="2778" customFormat="1" ht="15" customHeight="1"/>
    <row r="2779" customFormat="1" ht="15" customHeight="1"/>
    <row r="2780" customFormat="1" ht="15" customHeight="1"/>
    <row r="2781" customFormat="1" ht="15" customHeight="1"/>
    <row r="2782" customFormat="1" ht="15" customHeight="1"/>
    <row r="2783" customFormat="1" ht="15" customHeight="1"/>
    <row r="2784" customFormat="1" ht="15" customHeight="1"/>
    <row r="2785" customFormat="1" ht="15" customHeight="1"/>
    <row r="2786" customFormat="1" ht="15" customHeight="1"/>
    <row r="2787" customFormat="1" ht="15" customHeight="1"/>
    <row r="2788" customFormat="1" ht="15" customHeight="1"/>
    <row r="2789" customFormat="1" ht="15" customHeight="1"/>
    <row r="2790" customFormat="1" ht="15" customHeight="1"/>
    <row r="2791" customFormat="1" ht="15" customHeight="1"/>
    <row r="2792" customFormat="1" ht="15" customHeight="1"/>
    <row r="2793" customFormat="1" ht="15" customHeight="1"/>
    <row r="2794" customFormat="1" ht="15" customHeight="1"/>
    <row r="2795" customFormat="1" ht="15" customHeight="1"/>
    <row r="2796" customFormat="1" ht="15" customHeight="1"/>
    <row r="2797" customFormat="1" ht="12" customHeight="1"/>
    <row r="2798" customFormat="1" ht="15" customHeight="1"/>
    <row r="2799" customFormat="1" ht="15" customHeight="1"/>
    <row r="2800" customFormat="1" ht="15" customHeight="1"/>
    <row r="2801" customFormat="1" ht="15" customHeight="1"/>
    <row r="2802" customFormat="1" ht="15" customHeight="1"/>
    <row r="2803" customFormat="1" ht="15" customHeight="1"/>
    <row r="2804" customFormat="1" ht="15" customHeight="1"/>
    <row r="2805" customFormat="1" ht="15" customHeight="1"/>
    <row r="2806" customFormat="1" ht="15" customHeight="1"/>
    <row r="2807" customFormat="1" ht="15" customHeight="1"/>
    <row r="2808" customFormat="1" ht="15" customHeight="1"/>
    <row r="2809" customFormat="1" ht="15" customHeight="1"/>
    <row r="2810" customFormat="1" ht="15" customHeight="1"/>
    <row r="2811" customFormat="1" ht="15" customHeight="1"/>
    <row r="2812" customFormat="1" ht="15" customHeight="1"/>
    <row r="2813" customFormat="1" ht="15" customHeight="1"/>
    <row r="2814" customFormat="1" ht="15" customHeight="1"/>
    <row r="2815" customFormat="1" ht="12" customHeight="1"/>
    <row r="2816" customFormat="1" ht="15" customHeight="1"/>
    <row r="2817" customFormat="1" ht="15" customHeight="1"/>
    <row r="2818" customFormat="1" ht="15" customHeight="1"/>
    <row r="2819" customFormat="1" ht="15" customHeight="1"/>
    <row r="2820" customFormat="1" ht="15" customHeight="1"/>
    <row r="2821" customFormat="1" ht="15" customHeight="1"/>
    <row r="2822" customFormat="1" ht="15" customHeight="1"/>
    <row r="2823" customFormat="1" ht="15" customHeight="1"/>
    <row r="2824" customFormat="1" ht="15" customHeight="1"/>
    <row r="2825" customFormat="1" ht="15" customHeight="1"/>
    <row r="2826" customFormat="1" ht="15" customHeight="1"/>
    <row r="2827" customFormat="1" ht="15" customHeight="1"/>
    <row r="2828" customFormat="1" ht="15" customHeight="1"/>
    <row r="2829" customFormat="1" ht="15" customHeight="1"/>
    <row r="2830" customFormat="1" ht="15" customHeight="1"/>
    <row r="2831" customFormat="1" ht="15" customHeight="1"/>
    <row r="2832" customFormat="1" ht="15" customHeight="1"/>
    <row r="2833" customFormat="1" ht="12" customHeight="1"/>
    <row r="2834" customFormat="1" ht="15" customHeight="1"/>
    <row r="2835" customFormat="1" ht="15" customHeight="1"/>
    <row r="2836" customFormat="1" ht="15" customHeight="1"/>
    <row r="2837" customFormat="1" ht="15" customHeight="1"/>
    <row r="2838" customFormat="1" ht="15" customHeight="1"/>
    <row r="2839" customFormat="1" ht="15" customHeight="1"/>
    <row r="2840" customFormat="1" ht="15" customHeight="1"/>
    <row r="2841" customFormat="1" ht="15" customHeight="1"/>
    <row r="2842" customFormat="1" ht="15" customHeight="1"/>
    <row r="2843" customFormat="1" ht="15" customHeight="1"/>
    <row r="2844" customFormat="1" ht="15" customHeight="1"/>
    <row r="2845" customFormat="1" ht="15" customHeight="1"/>
    <row r="2846" customFormat="1" ht="15" customHeight="1"/>
    <row r="2847" customFormat="1" ht="15" customHeight="1"/>
    <row r="2848" customFormat="1" ht="15" customHeight="1"/>
    <row r="2849" customFormat="1" ht="15" customHeight="1"/>
    <row r="2850" customFormat="1" ht="15" customHeight="1"/>
    <row r="2851" customFormat="1" ht="12" customHeight="1"/>
    <row r="2852" customFormat="1" ht="15" customHeight="1"/>
    <row r="2853" customFormat="1" ht="15" customHeight="1"/>
    <row r="2854" customFormat="1" ht="15" customHeight="1"/>
    <row r="2855" customFormat="1" ht="15" customHeight="1"/>
    <row r="2856" customFormat="1" ht="15" customHeight="1"/>
    <row r="2857" customFormat="1" ht="15" customHeight="1"/>
    <row r="2858" customFormat="1" ht="15" customHeight="1"/>
    <row r="2859" customFormat="1" ht="15" customHeight="1"/>
    <row r="2860" customFormat="1" ht="15" customHeight="1"/>
    <row r="2861" customFormat="1" ht="15" customHeight="1"/>
    <row r="2862" customFormat="1" ht="15" customHeight="1"/>
    <row r="2863" customFormat="1" ht="15" customHeight="1"/>
    <row r="2864" customFormat="1" ht="15" customHeight="1"/>
    <row r="2865" customFormat="1" ht="15" customHeight="1"/>
    <row r="2866" customFormat="1" ht="15" customHeight="1"/>
    <row r="2867" customFormat="1" ht="15" customHeight="1"/>
    <row r="2868" customFormat="1" ht="15" customHeight="1"/>
    <row r="2869" customFormat="1" ht="15" customHeight="1"/>
    <row r="2870" customFormat="1" ht="15" customHeight="1"/>
    <row r="2871" customFormat="1" ht="15" customHeight="1"/>
    <row r="2872" customFormat="1" ht="15" customHeight="1"/>
    <row r="2873" customFormat="1" ht="15" customHeight="1"/>
    <row r="2874" customFormat="1" ht="15" customHeight="1"/>
    <row r="2875" customFormat="1" ht="15" customHeight="1"/>
    <row r="2876" customFormat="1" ht="15" customHeight="1"/>
    <row r="2877" customFormat="1" ht="15" customHeight="1"/>
    <row r="2878" customFormat="1" ht="15" customHeight="1"/>
    <row r="2879" customFormat="1" ht="15" customHeight="1"/>
    <row r="2880" customFormat="1" ht="15" customHeight="1"/>
    <row r="2881" customFormat="1" ht="15" customHeight="1"/>
    <row r="2882" customFormat="1" ht="15" customHeight="1"/>
    <row r="2883" customFormat="1" ht="15" customHeight="1"/>
    <row r="2884" customFormat="1" ht="15" customHeight="1"/>
    <row r="2885" customFormat="1" ht="15" customHeight="1"/>
    <row r="2886" customFormat="1" ht="12" customHeight="1"/>
    <row r="2887" customFormat="1" ht="15" customHeight="1"/>
    <row r="2888" customFormat="1" ht="15" customHeight="1"/>
    <row r="2889" customFormat="1" ht="15" customHeight="1"/>
    <row r="2890" customFormat="1" ht="15" customHeight="1"/>
    <row r="2891" customFormat="1" ht="15" customHeight="1"/>
    <row r="2892" customFormat="1" ht="15" customHeight="1"/>
    <row r="2893" customFormat="1" ht="15" customHeight="1"/>
    <row r="2894" customFormat="1" ht="15" customHeight="1"/>
    <row r="2895" customFormat="1" ht="15" customHeight="1"/>
    <row r="2896" customFormat="1" ht="15" customHeight="1"/>
    <row r="2897" customFormat="1" ht="15" customHeight="1"/>
    <row r="2898" customFormat="1" ht="15" customHeight="1"/>
    <row r="2899" customFormat="1" ht="15" customHeight="1"/>
    <row r="2900" customFormat="1" ht="15" customHeight="1"/>
    <row r="2901" customFormat="1" ht="15" customHeight="1"/>
    <row r="2902" customFormat="1" ht="15" customHeight="1"/>
    <row r="2903" customFormat="1" ht="15" customHeight="1"/>
    <row r="2904" customFormat="1" ht="12" customHeight="1"/>
    <row r="2905" customFormat="1" ht="15" customHeight="1"/>
    <row r="2906" customFormat="1" ht="15" customHeight="1"/>
    <row r="2907" customFormat="1" ht="15" customHeight="1"/>
    <row r="2908" customFormat="1" ht="15" customHeight="1"/>
    <row r="2909" customFormat="1" ht="15" customHeight="1"/>
    <row r="2910" customFormat="1" ht="15" customHeight="1"/>
    <row r="2911" customFormat="1" ht="15" customHeight="1"/>
    <row r="2912" customFormat="1" ht="15" customHeight="1"/>
    <row r="2913" customFormat="1" ht="15" customHeight="1"/>
    <row r="2914" customFormat="1" ht="15" customHeight="1"/>
    <row r="2915" customFormat="1" ht="15" customHeight="1"/>
    <row r="2916" customFormat="1" ht="15" customHeight="1"/>
    <row r="2917" customFormat="1" ht="15" customHeight="1"/>
    <row r="2918" customFormat="1" ht="15" customHeight="1"/>
    <row r="2919" customFormat="1" ht="15" customHeight="1"/>
    <row r="2920" customFormat="1" ht="15" customHeight="1"/>
    <row r="2921" customFormat="1" ht="15" customHeight="1"/>
    <row r="2922" customFormat="1" ht="15" customHeight="1"/>
    <row r="2923" customFormat="1" ht="15" customHeight="1"/>
    <row r="2924" customFormat="1" ht="15" customHeight="1"/>
    <row r="2925" customFormat="1" ht="15" customHeight="1"/>
    <row r="2926" customFormat="1" ht="15" customHeight="1"/>
    <row r="2927" customFormat="1" ht="15" customHeight="1"/>
    <row r="2928" customFormat="1" ht="15" customHeight="1"/>
    <row r="2929" customFormat="1" ht="15" customHeight="1"/>
    <row r="2930" customFormat="1" ht="15" customHeight="1"/>
    <row r="2931" customFormat="1" ht="15" customHeight="1"/>
    <row r="2932" customFormat="1" ht="15" customHeight="1"/>
    <row r="2933" customFormat="1" ht="15" customHeight="1"/>
    <row r="2934" customFormat="1" ht="15" customHeight="1"/>
    <row r="2935" customFormat="1" ht="15" customHeight="1"/>
    <row r="2936" customFormat="1" ht="15" customHeight="1"/>
    <row r="2937" customFormat="1" ht="15" customHeight="1"/>
    <row r="2938" customFormat="1" ht="15" customHeight="1"/>
    <row r="2939" customFormat="1" ht="12" customHeight="1"/>
    <row r="2940" customFormat="1" ht="15" customHeight="1"/>
    <row r="2941" customFormat="1" ht="15" customHeight="1"/>
    <row r="2942" customFormat="1" ht="15" customHeight="1"/>
    <row r="2943" customFormat="1" ht="15" customHeight="1"/>
    <row r="2944" customFormat="1" ht="15" customHeight="1"/>
    <row r="2945" customFormat="1" ht="15" customHeight="1"/>
    <row r="2946" customFormat="1" ht="15" customHeight="1"/>
    <row r="2947" customFormat="1" ht="15" customHeight="1"/>
    <row r="2948" customFormat="1" ht="15" customHeight="1"/>
    <row r="2949" customFormat="1" ht="15" customHeight="1"/>
    <row r="2950" customFormat="1" ht="15" customHeight="1"/>
    <row r="2951" customFormat="1" ht="15" customHeight="1"/>
    <row r="2952" customFormat="1" ht="15" customHeight="1"/>
    <row r="2953" customFormat="1" ht="15" customHeight="1"/>
    <row r="2954" customFormat="1" ht="15" customHeight="1"/>
    <row r="2955" customFormat="1" ht="15" customHeight="1"/>
    <row r="2956" customFormat="1" ht="15" customHeight="1"/>
    <row r="2957" customFormat="1" ht="12" customHeight="1"/>
    <row r="2958" customFormat="1" ht="15" customHeight="1"/>
    <row r="2959" customFormat="1" ht="15" customHeight="1"/>
    <row r="2960" customFormat="1" ht="15" customHeight="1"/>
    <row r="2961" customFormat="1" ht="15" customHeight="1"/>
    <row r="2962" customFormat="1" ht="15" customHeight="1"/>
    <row r="2963" customFormat="1" ht="15" customHeight="1"/>
    <row r="2964" customFormat="1" ht="15" customHeight="1"/>
    <row r="2965" customFormat="1" ht="15" customHeight="1"/>
    <row r="2966" customFormat="1" ht="15" customHeight="1"/>
    <row r="2967" customFormat="1" ht="15" customHeight="1"/>
    <row r="2968" customFormat="1" ht="15" customHeight="1"/>
    <row r="2969" customFormat="1" ht="15" customHeight="1"/>
    <row r="2970" customFormat="1" ht="15" customHeight="1"/>
    <row r="2971" customFormat="1" ht="15" customHeight="1"/>
    <row r="2972" customFormat="1" ht="15" customHeight="1"/>
    <row r="2973" customFormat="1" ht="15" customHeight="1"/>
    <row r="2974" customFormat="1" ht="15" customHeight="1"/>
    <row r="2975" customFormat="1" ht="12" customHeight="1"/>
    <row r="2976" customFormat="1" ht="15" customHeight="1"/>
    <row r="2977" customFormat="1" ht="15" customHeight="1"/>
    <row r="2978" customFormat="1" ht="15" customHeight="1"/>
    <row r="2979" customFormat="1" ht="15" customHeight="1"/>
    <row r="2980" customFormat="1" ht="15" customHeight="1"/>
    <row r="2981" customFormat="1" ht="15" customHeight="1"/>
    <row r="2982" customFormat="1" ht="15" customHeight="1"/>
    <row r="2983" customFormat="1" ht="15" customHeight="1"/>
    <row r="2984" customFormat="1" ht="15" customHeight="1"/>
    <row r="2985" customFormat="1" ht="15" customHeight="1"/>
    <row r="2986" customFormat="1" ht="15" customHeight="1"/>
    <row r="2987" customFormat="1" ht="15" customHeight="1"/>
    <row r="2988" customFormat="1" ht="15" customHeight="1"/>
    <row r="2989" customFormat="1" ht="15" customHeight="1"/>
    <row r="2990" customFormat="1" ht="15" customHeight="1"/>
    <row r="2991" customFormat="1" ht="15" customHeight="1"/>
    <row r="2992" customFormat="1" ht="15" customHeight="1"/>
    <row r="2993" customFormat="1" ht="12" customHeight="1"/>
    <row r="2994" customFormat="1" ht="15" customHeight="1"/>
    <row r="2995" customFormat="1" ht="15" customHeight="1"/>
    <row r="2996" customFormat="1" ht="15" customHeight="1"/>
    <row r="2997" customFormat="1" ht="15" customHeight="1"/>
    <row r="2998" customFormat="1" ht="15" customHeight="1"/>
    <row r="2999" customFormat="1" ht="15" customHeight="1"/>
    <row r="3000" customFormat="1" ht="15" customHeight="1"/>
    <row r="3001" customFormat="1" ht="15" customHeight="1"/>
    <row r="3002" customFormat="1" ht="15" customHeight="1"/>
    <row r="3003" customFormat="1" ht="15" customHeight="1"/>
    <row r="3004" customFormat="1" ht="15" customHeight="1"/>
    <row r="3005" customFormat="1" ht="15" customHeight="1"/>
    <row r="3006" customFormat="1" ht="15" customHeight="1"/>
    <row r="3007" customFormat="1" ht="15" customHeight="1"/>
    <row r="3008" customFormat="1" ht="15" customHeight="1"/>
    <row r="3009" customFormat="1" ht="15" customHeight="1"/>
    <row r="3010" customFormat="1" ht="15" customHeight="1"/>
    <row r="3011" customFormat="1" ht="12" customHeight="1"/>
    <row r="3012" customFormat="1" ht="15" customHeight="1"/>
    <row r="3013" customFormat="1" ht="15" customHeight="1"/>
    <row r="3014" customFormat="1" ht="15" customHeight="1"/>
    <row r="3015" customFormat="1" ht="15" customHeight="1"/>
    <row r="3016" customFormat="1" ht="15" customHeight="1"/>
    <row r="3017" customFormat="1" ht="15" customHeight="1"/>
    <row r="3018" customFormat="1" ht="15" customHeight="1"/>
    <row r="3019" customFormat="1" ht="15" customHeight="1"/>
    <row r="3020" customFormat="1" ht="15" customHeight="1"/>
    <row r="3021" customFormat="1" ht="15" customHeight="1"/>
    <row r="3022" customFormat="1" ht="15" customHeight="1"/>
    <row r="3023" customFormat="1" ht="15" customHeight="1"/>
    <row r="3024" customFormat="1" ht="15" customHeight="1"/>
    <row r="3025" customFormat="1" ht="15" customHeight="1"/>
    <row r="3026" customFormat="1" ht="15" customHeight="1"/>
    <row r="3027" customFormat="1" ht="15" customHeight="1"/>
    <row r="3028" customFormat="1" ht="15" customHeight="1"/>
    <row r="3029" customFormat="1" ht="12" customHeight="1"/>
    <row r="3030" customFormat="1" ht="15" customHeight="1"/>
    <row r="3031" customFormat="1" ht="15" customHeight="1"/>
    <row r="3032" customFormat="1" ht="15" customHeight="1"/>
    <row r="3033" customFormat="1" ht="15" customHeight="1"/>
    <row r="3034" customFormat="1" ht="15" customHeight="1"/>
    <row r="3035" customFormat="1" ht="15" customHeight="1"/>
    <row r="3036" customFormat="1" ht="15" customHeight="1"/>
    <row r="3037" customFormat="1" ht="15" customHeight="1"/>
    <row r="3038" customFormat="1" ht="15" customHeight="1"/>
    <row r="3039" customFormat="1" ht="15" customHeight="1"/>
    <row r="3040" customFormat="1" ht="15" customHeight="1"/>
    <row r="3041" customFormat="1" ht="15" customHeight="1"/>
    <row r="3042" customFormat="1" ht="15" customHeight="1"/>
    <row r="3043" customFormat="1" ht="15" customHeight="1"/>
    <row r="3044" customFormat="1" ht="15" customHeight="1"/>
    <row r="3045" customFormat="1" ht="15" customHeight="1"/>
    <row r="3046" customFormat="1" ht="15" customHeight="1"/>
    <row r="3047" customFormat="1" ht="12" customHeight="1"/>
    <row r="3048" customFormat="1" ht="15" customHeight="1"/>
    <row r="3049" customFormat="1" ht="15" customHeight="1"/>
    <row r="3050" customFormat="1" ht="15" customHeight="1"/>
    <row r="3051" customFormat="1" ht="15" customHeight="1"/>
    <row r="3052" customFormat="1" ht="15" customHeight="1"/>
    <row r="3053" customFormat="1" ht="15" customHeight="1"/>
    <row r="3054" customFormat="1" ht="15" customHeight="1"/>
    <row r="3055" customFormat="1" ht="15" customHeight="1"/>
    <row r="3056" customFormat="1" ht="15" customHeight="1"/>
    <row r="3057" customFormat="1" ht="15" customHeight="1"/>
    <row r="3058" customFormat="1" ht="15" customHeight="1"/>
    <row r="3059" customFormat="1" ht="15" customHeight="1"/>
    <row r="3060" customFormat="1" ht="15" customHeight="1"/>
    <row r="3061" customFormat="1" ht="15" customHeight="1"/>
    <row r="3062" customFormat="1" ht="15" customHeight="1"/>
    <row r="3063" customFormat="1" ht="15" customHeight="1"/>
    <row r="3064" customFormat="1" ht="15" customHeight="1"/>
    <row r="3065" customFormat="1" ht="12" customHeight="1"/>
    <row r="3066" customFormat="1" ht="15" customHeight="1"/>
    <row r="3067" customFormat="1" ht="15" customHeight="1"/>
    <row r="3068" customFormat="1" ht="15" customHeight="1"/>
    <row r="3069" customFormat="1" ht="15" customHeight="1"/>
    <row r="3070" customFormat="1" ht="12" customHeight="1"/>
    <row r="3071" customFormat="1" ht="12" customHeight="1"/>
    <row r="3072" customFormat="1" ht="15" customHeight="1"/>
    <row r="3073" spans="2:32" ht="15" customHeight="1"/>
    <row r="3074" spans="2:32" ht="15" customHeight="1"/>
    <row r="3075" spans="2:32" ht="15" customHeight="1"/>
    <row r="3076" spans="2:32" ht="15" customHeight="1">
      <c r="B3076" s="291"/>
      <c r="C3076" s="291"/>
      <c r="D3076" s="291"/>
      <c r="E3076" s="291"/>
      <c r="F3076" s="291"/>
      <c r="G3076" s="291"/>
      <c r="H3076" s="291"/>
      <c r="I3076" s="291"/>
      <c r="J3076" s="291"/>
      <c r="K3076" s="291"/>
      <c r="L3076" s="291"/>
      <c r="M3076" s="291"/>
      <c r="N3076" s="291"/>
      <c r="O3076" s="291"/>
      <c r="P3076" s="291"/>
      <c r="Q3076" s="291"/>
      <c r="R3076" s="291"/>
      <c r="S3076" s="291"/>
      <c r="T3076" s="291"/>
      <c r="U3076" s="291"/>
      <c r="V3076" s="291"/>
      <c r="W3076" s="291"/>
      <c r="X3076" s="291"/>
      <c r="Y3076" s="291"/>
      <c r="Z3076" s="291"/>
      <c r="AA3076" s="291"/>
      <c r="AB3076" s="291"/>
      <c r="AC3076" s="291"/>
      <c r="AD3076" s="291"/>
      <c r="AE3076" s="291"/>
      <c r="AF3076" s="291"/>
    </row>
    <row r="3077" spans="2:32" ht="15" customHeight="1"/>
    <row r="3078" spans="2:32" ht="15" customHeight="1"/>
    <row r="3079" spans="2:32" ht="12" customHeight="1"/>
    <row r="3080" spans="2:32" ht="12" customHeight="1"/>
    <row r="3081" spans="2:32" ht="12" customHeight="1"/>
    <row r="3082" spans="2:32" ht="12" customHeight="1"/>
    <row r="3083" spans="2:32" ht="12" customHeight="1"/>
    <row r="3084" spans="2:32" ht="12" customHeight="1"/>
    <row r="3085" spans="2:32" ht="12" customHeight="1"/>
    <row r="3086" spans="2:32" ht="12" customHeight="1"/>
    <row r="3087" spans="2:32" ht="12" customHeight="1"/>
    <row r="3088" spans="2:32" ht="12" customHeight="1"/>
    <row r="3089" customFormat="1" ht="12" customHeight="1"/>
    <row r="3090" customFormat="1" ht="12" customHeight="1"/>
    <row r="3091" customFormat="1" ht="12" customHeight="1"/>
    <row r="3092" customFormat="1" ht="12" customHeight="1"/>
    <row r="3093" customFormat="1" ht="12" customHeight="1"/>
    <row r="3094" customFormat="1" ht="12" customHeight="1"/>
    <row r="3095" customFormat="1" ht="12" customHeight="1"/>
    <row r="3096" customFormat="1" ht="12" customHeight="1"/>
    <row r="3097" customFormat="1" ht="12" customHeight="1"/>
    <row r="3098" customFormat="1" ht="12" customHeight="1"/>
    <row r="3099" customFormat="1" ht="12" customHeight="1"/>
    <row r="3100" customFormat="1" ht="15" customHeight="1"/>
    <row r="3101" customFormat="1" ht="15" customHeight="1"/>
    <row r="3102" customFormat="1" ht="15" customHeight="1"/>
    <row r="3103" customFormat="1" ht="15" customHeight="1"/>
    <row r="3104" customFormat="1" ht="15" customHeight="1"/>
    <row r="3105" customFormat="1" ht="15" customHeight="1"/>
    <row r="3106" customFormat="1" ht="15" customHeight="1"/>
    <row r="3107" customFormat="1" ht="15" customHeight="1"/>
    <row r="3108" customFormat="1" ht="15" customHeight="1"/>
    <row r="3109" customFormat="1" ht="15" customHeight="1"/>
    <row r="3110" customFormat="1" ht="15" customHeight="1"/>
    <row r="3111" customFormat="1" ht="15" customHeight="1"/>
    <row r="3112" customFormat="1" ht="15" customHeight="1"/>
    <row r="3113" customFormat="1" ht="15" customHeight="1"/>
    <row r="3114" customFormat="1" ht="15" customHeight="1"/>
    <row r="3115" customFormat="1" ht="15" customHeight="1"/>
    <row r="3116" customFormat="1" ht="15" customHeight="1"/>
    <row r="3117" customFormat="1" ht="15" customHeight="1"/>
    <row r="3118" customFormat="1" ht="15" customHeight="1"/>
    <row r="3119" customFormat="1" ht="15" customHeight="1"/>
    <row r="3120" customFormat="1" ht="15" customHeight="1"/>
    <row r="3121" customFormat="1" ht="15" customHeight="1"/>
    <row r="3122" customFormat="1" ht="12" customHeight="1"/>
    <row r="3123" customFormat="1" ht="15" customHeight="1"/>
    <row r="3124" customFormat="1" ht="15" customHeight="1"/>
    <row r="3125" customFormat="1" ht="15" customHeight="1"/>
    <row r="3126" customFormat="1" ht="15" customHeight="1"/>
    <row r="3127" customFormat="1" ht="15" customHeight="1"/>
    <row r="3128" customFormat="1" ht="15" customHeight="1"/>
    <row r="3129" customFormat="1" ht="15" customHeight="1"/>
    <row r="3130" customFormat="1" ht="15" customHeight="1"/>
    <row r="3131" customFormat="1" ht="15" customHeight="1"/>
    <row r="3132" customFormat="1" ht="15" customHeight="1"/>
    <row r="3133" customFormat="1" ht="15" customHeight="1"/>
    <row r="3134" customFormat="1" ht="15" customHeight="1"/>
    <row r="3135" customFormat="1" ht="15" customHeight="1"/>
    <row r="3136" customFormat="1" ht="15" customHeight="1"/>
    <row r="3137" customFormat="1" ht="15" customHeight="1"/>
    <row r="3138" customFormat="1" ht="15" customHeight="1"/>
    <row r="3139" customFormat="1" ht="15" customHeight="1"/>
    <row r="3140" customFormat="1" ht="12" customHeight="1"/>
    <row r="3141" customFormat="1" ht="15" customHeight="1"/>
    <row r="3142" customFormat="1" ht="15" customHeight="1"/>
    <row r="3143" customFormat="1" ht="15" customHeight="1"/>
    <row r="3144" customFormat="1" ht="15" customHeight="1"/>
    <row r="3145" customFormat="1" ht="15" customHeight="1"/>
    <row r="3146" customFormat="1" ht="15" customHeight="1"/>
    <row r="3147" customFormat="1" ht="15" customHeight="1"/>
    <row r="3148" customFormat="1" ht="15" customHeight="1"/>
    <row r="3149" customFormat="1" ht="15" customHeight="1"/>
    <row r="3150" customFormat="1" ht="15" customHeight="1"/>
    <row r="3151" customFormat="1" ht="15" customHeight="1"/>
    <row r="3152" customFormat="1" ht="15" customHeight="1"/>
    <row r="3153" customFormat="1" ht="15" customHeight="1"/>
    <row r="3154" customFormat="1" ht="15" customHeight="1"/>
    <row r="3155" customFormat="1" ht="15" customHeight="1"/>
    <row r="3156" customFormat="1" ht="15" customHeight="1"/>
    <row r="3157" customFormat="1" ht="15" customHeight="1"/>
    <row r="3158" customFormat="1" ht="12" customHeight="1"/>
    <row r="3159" customFormat="1" ht="15" customHeight="1"/>
    <row r="3160" customFormat="1" ht="15" customHeight="1"/>
    <row r="3161" customFormat="1" ht="15" customHeight="1"/>
    <row r="3162" customFormat="1" ht="15" customHeight="1"/>
    <row r="3163" customFormat="1" ht="15" customHeight="1"/>
    <row r="3164" customFormat="1" ht="15" customHeight="1"/>
    <row r="3165" customFormat="1" ht="15" customHeight="1"/>
    <row r="3166" customFormat="1" ht="15" customHeight="1"/>
    <row r="3167" customFormat="1" ht="15" customHeight="1"/>
    <row r="3168" customFormat="1" ht="15" customHeight="1"/>
    <row r="3169" customFormat="1" ht="15" customHeight="1"/>
    <row r="3170" customFormat="1" ht="15" customHeight="1"/>
    <row r="3171" customFormat="1" ht="15" customHeight="1"/>
    <row r="3172" customFormat="1" ht="15" customHeight="1"/>
    <row r="3173" customFormat="1" ht="15" customHeight="1"/>
    <row r="3174" customFormat="1" ht="15" customHeight="1"/>
    <row r="3175" customFormat="1" ht="15" customHeight="1"/>
    <row r="3176" customFormat="1" ht="12" customHeight="1"/>
    <row r="3177" customFormat="1" ht="15" customHeight="1"/>
    <row r="3178" customFormat="1" ht="15" customHeight="1"/>
    <row r="3179" customFormat="1" ht="15" customHeight="1"/>
    <row r="3180" customFormat="1" ht="15" customHeight="1"/>
    <row r="3181" customFormat="1" ht="15" customHeight="1"/>
    <row r="3182" customFormat="1" ht="15" customHeight="1"/>
    <row r="3183" customFormat="1" ht="15" customHeight="1"/>
    <row r="3184" customFormat="1" ht="15" customHeight="1"/>
    <row r="3185" customFormat="1" ht="15" customHeight="1"/>
    <row r="3186" customFormat="1" ht="15" customHeight="1"/>
    <row r="3187" customFormat="1" ht="15" customHeight="1"/>
    <row r="3188" customFormat="1" ht="15" customHeight="1"/>
    <row r="3189" customFormat="1" ht="15" customHeight="1"/>
    <row r="3190" customFormat="1" ht="15" customHeight="1"/>
    <row r="3191" customFormat="1" ht="15" customHeight="1"/>
    <row r="3192" customFormat="1" ht="15" customHeight="1"/>
    <row r="3193" customFormat="1" ht="15" customHeight="1"/>
    <row r="3194" customFormat="1" ht="15" customHeight="1"/>
    <row r="3195" customFormat="1" ht="15" customHeight="1"/>
    <row r="3196" customFormat="1" ht="15" customHeight="1"/>
    <row r="3197" customFormat="1" ht="15" customHeight="1"/>
    <row r="3198" customFormat="1" ht="15" customHeight="1"/>
    <row r="3199" customFormat="1" ht="15" customHeight="1"/>
    <row r="3200" customFormat="1" ht="15" customHeight="1"/>
    <row r="3201" customFormat="1" ht="15" customHeight="1"/>
    <row r="3202" customFormat="1" ht="15" customHeight="1"/>
    <row r="3203" customFormat="1" ht="15" customHeight="1"/>
    <row r="3204" customFormat="1" ht="15" customHeight="1"/>
    <row r="3205" customFormat="1" ht="15" customHeight="1"/>
    <row r="3206" customFormat="1" ht="15" customHeight="1"/>
    <row r="3207" customFormat="1" ht="15" customHeight="1"/>
    <row r="3208" customFormat="1" ht="15" customHeight="1"/>
    <row r="3209" customFormat="1" ht="15" customHeight="1"/>
    <row r="3210" customFormat="1" ht="15" customHeight="1"/>
    <row r="3211" customFormat="1" ht="12" customHeight="1"/>
    <row r="3212" customFormat="1" ht="15" customHeight="1"/>
    <row r="3213" customFormat="1" ht="15" customHeight="1"/>
    <row r="3214" customFormat="1" ht="15" customHeight="1"/>
    <row r="3215" customFormat="1" ht="15" customHeight="1"/>
    <row r="3216" customFormat="1" ht="15" customHeight="1"/>
    <row r="3217" customFormat="1" ht="15" customHeight="1"/>
    <row r="3218" customFormat="1" ht="15" customHeight="1"/>
    <row r="3219" customFormat="1" ht="15" customHeight="1"/>
    <row r="3220" customFormat="1" ht="15" customHeight="1"/>
    <row r="3221" customFormat="1" ht="15" customHeight="1"/>
    <row r="3222" customFormat="1" ht="15" customHeight="1"/>
    <row r="3223" customFormat="1" ht="15" customHeight="1"/>
    <row r="3224" customFormat="1" ht="15" customHeight="1"/>
    <row r="3225" customFormat="1" ht="15" customHeight="1"/>
    <row r="3226" customFormat="1" ht="15" customHeight="1"/>
    <row r="3227" customFormat="1" ht="15" customHeight="1"/>
    <row r="3228" customFormat="1" ht="15" customHeight="1"/>
    <row r="3229" customFormat="1" ht="12" customHeight="1"/>
    <row r="3230" customFormat="1" ht="15" customHeight="1"/>
    <row r="3231" customFormat="1" ht="15" customHeight="1"/>
    <row r="3232" customFormat="1" ht="15" customHeight="1"/>
    <row r="3233" customFormat="1" ht="15" customHeight="1"/>
    <row r="3234" customFormat="1" ht="15" customHeight="1"/>
    <row r="3235" customFormat="1" ht="15" customHeight="1"/>
    <row r="3236" customFormat="1" ht="15" customHeight="1"/>
    <row r="3237" customFormat="1" ht="15" customHeight="1"/>
    <row r="3238" customFormat="1" ht="15" customHeight="1"/>
    <row r="3239" customFormat="1" ht="15" customHeight="1"/>
    <row r="3240" customFormat="1" ht="15" customHeight="1"/>
    <row r="3241" customFormat="1" ht="15" customHeight="1"/>
    <row r="3242" customFormat="1" ht="15" customHeight="1"/>
    <row r="3243" customFormat="1" ht="15" customHeight="1"/>
    <row r="3244" customFormat="1" ht="15" customHeight="1"/>
    <row r="3245" customFormat="1" ht="15" customHeight="1"/>
    <row r="3246" customFormat="1" ht="15" customHeight="1"/>
    <row r="3247" customFormat="1" ht="12" customHeight="1"/>
    <row r="3248" customFormat="1" ht="15" customHeight="1"/>
    <row r="3249" customFormat="1" ht="15" customHeight="1"/>
    <row r="3250" customFormat="1" ht="15" customHeight="1"/>
    <row r="3251" customFormat="1" ht="15" customHeight="1"/>
    <row r="3252" customFormat="1" ht="15" customHeight="1"/>
    <row r="3253" customFormat="1" ht="15" customHeight="1"/>
    <row r="3254" customFormat="1" ht="15" customHeight="1"/>
    <row r="3255" customFormat="1" ht="15" customHeight="1"/>
    <row r="3256" customFormat="1" ht="15" customHeight="1"/>
    <row r="3257" customFormat="1" ht="15" customHeight="1"/>
    <row r="3258" customFormat="1" ht="15" customHeight="1"/>
    <row r="3259" customFormat="1" ht="15" customHeight="1"/>
    <row r="3260" customFormat="1" ht="15" customHeight="1"/>
    <row r="3261" customFormat="1" ht="15" customHeight="1"/>
    <row r="3262" customFormat="1" ht="15" customHeight="1"/>
    <row r="3263" customFormat="1" ht="15" customHeight="1"/>
    <row r="3264" customFormat="1" ht="15" customHeight="1"/>
    <row r="3265" customFormat="1" ht="12" customHeight="1"/>
    <row r="3266" customFormat="1" ht="12" customHeight="1"/>
    <row r="3267" customFormat="1" ht="15" customHeight="1"/>
    <row r="3268" customFormat="1" ht="15" customHeight="1"/>
    <row r="3269" customFormat="1" ht="15" customHeight="1"/>
    <row r="3270" customFormat="1" ht="15" customHeight="1"/>
    <row r="3271" customFormat="1" ht="15" customHeight="1"/>
    <row r="3272" customFormat="1" ht="15" customHeight="1"/>
    <row r="3273" customFormat="1" ht="15" customHeight="1"/>
    <row r="3274" customFormat="1" ht="15" customHeight="1"/>
    <row r="3275" customFormat="1" ht="15" customHeight="1"/>
    <row r="3276" customFormat="1" ht="15" customHeight="1"/>
    <row r="3277" customFormat="1" ht="15" customHeight="1"/>
    <row r="3278" customFormat="1" ht="15" customHeight="1"/>
    <row r="3279" customFormat="1" ht="15" customHeight="1"/>
    <row r="3280" customFormat="1" ht="15" customHeight="1"/>
    <row r="3281" customFormat="1" ht="15" customHeight="1"/>
    <row r="3282" customFormat="1" ht="15" customHeight="1"/>
    <row r="3283" customFormat="1" ht="15" customHeight="1"/>
    <row r="3284" customFormat="1" ht="12" customHeight="1"/>
    <row r="3285" customFormat="1" ht="15" customHeight="1"/>
    <row r="3286" customFormat="1" ht="15" customHeight="1"/>
    <row r="3287" customFormat="1" ht="15" customHeight="1"/>
    <row r="3288" customFormat="1" ht="15" customHeight="1"/>
    <row r="3289" customFormat="1" ht="15" customHeight="1"/>
    <row r="3290" customFormat="1" ht="15" customHeight="1"/>
    <row r="3291" customFormat="1" ht="15" customHeight="1"/>
    <row r="3292" customFormat="1" ht="15" customHeight="1"/>
    <row r="3293" customFormat="1" ht="15" customHeight="1"/>
    <row r="3294" customFormat="1" ht="15" customHeight="1"/>
    <row r="3295" customFormat="1" ht="15" customHeight="1"/>
    <row r="3296" customFormat="1" ht="15" customHeight="1"/>
    <row r="3297" customFormat="1" ht="15" customHeight="1"/>
    <row r="3298" customFormat="1" ht="15" customHeight="1"/>
    <row r="3299" customFormat="1" ht="15" customHeight="1"/>
    <row r="3300" customFormat="1" ht="15" customHeight="1"/>
    <row r="3301" customFormat="1" ht="15" customHeight="1"/>
    <row r="3302" customFormat="1" ht="12" customHeight="1"/>
    <row r="3303" customFormat="1" ht="15" customHeight="1"/>
    <row r="3304" customFormat="1" ht="15" customHeight="1"/>
    <row r="3305" customFormat="1" ht="15" customHeight="1"/>
    <row r="3306" customFormat="1" ht="15" customHeight="1"/>
    <row r="3307" customFormat="1" ht="15" customHeight="1"/>
    <row r="3308" customFormat="1" ht="15" customHeight="1"/>
    <row r="3309" customFormat="1" ht="15" customHeight="1"/>
    <row r="3310" customFormat="1" ht="15" customHeight="1"/>
    <row r="3311" customFormat="1" ht="15" customHeight="1"/>
    <row r="3312" customFormat="1" ht="15" customHeight="1"/>
    <row r="3313" customFormat="1" ht="15" customHeight="1"/>
    <row r="3314" customFormat="1" ht="15" customHeight="1"/>
    <row r="3315" customFormat="1" ht="15" customHeight="1"/>
    <row r="3316" customFormat="1" ht="15" customHeight="1"/>
    <row r="3317" customFormat="1" ht="15" customHeight="1"/>
    <row r="3318" customFormat="1" ht="15" customHeight="1"/>
    <row r="3319" customFormat="1" ht="15" customHeight="1"/>
    <row r="3320" customFormat="1" ht="12" customHeight="1"/>
    <row r="3321" customFormat="1" ht="15" customHeight="1"/>
    <row r="3322" customFormat="1" ht="15" customHeight="1"/>
    <row r="3323" customFormat="1" ht="15" customHeight="1"/>
    <row r="3324" customFormat="1" ht="15" customHeight="1"/>
    <row r="3325" customFormat="1" ht="15" customHeight="1"/>
    <row r="3326" customFormat="1" ht="15" customHeight="1"/>
    <row r="3327" customFormat="1" ht="15" customHeight="1"/>
    <row r="3328" customFormat="1" ht="15" customHeight="1"/>
    <row r="3329" customFormat="1" ht="15" customHeight="1"/>
    <row r="3330" customFormat="1" ht="15" customHeight="1"/>
    <row r="3331" customFormat="1" ht="15" customHeight="1"/>
    <row r="3332" customFormat="1" ht="15" customHeight="1"/>
    <row r="3333" customFormat="1" ht="15" customHeight="1"/>
    <row r="3334" customFormat="1" ht="15" customHeight="1"/>
    <row r="3335" customFormat="1" ht="15" customHeight="1"/>
    <row r="3336" customFormat="1" ht="15" customHeight="1"/>
    <row r="3337" customFormat="1" ht="15" customHeight="1"/>
    <row r="3338" customFormat="1" ht="12" customHeight="1"/>
    <row r="3339" customFormat="1" ht="15" customHeight="1"/>
    <row r="3340" customFormat="1" ht="15" customHeight="1"/>
    <row r="3341" customFormat="1" ht="15" customHeight="1"/>
    <row r="3342" customFormat="1" ht="15" customHeight="1"/>
    <row r="3343" customFormat="1" ht="15" customHeight="1"/>
    <row r="3344" customFormat="1" ht="15" customHeight="1"/>
    <row r="3345" customFormat="1" ht="15" customHeight="1"/>
    <row r="3346" customFormat="1" ht="15" customHeight="1"/>
    <row r="3347" customFormat="1" ht="15" customHeight="1"/>
    <row r="3348" customFormat="1" ht="15" customHeight="1"/>
    <row r="3349" customFormat="1" ht="15" customHeight="1"/>
    <row r="3350" customFormat="1" ht="15" customHeight="1"/>
    <row r="3351" customFormat="1" ht="15" customHeight="1"/>
    <row r="3352" customFormat="1" ht="15" customHeight="1"/>
    <row r="3353" customFormat="1" ht="15" customHeight="1"/>
    <row r="3354" customFormat="1" ht="15" customHeight="1"/>
    <row r="3355" customFormat="1" ht="15" customHeight="1"/>
    <row r="3356" customFormat="1" ht="12" customHeight="1"/>
    <row r="3357" customFormat="1" ht="15" customHeight="1"/>
    <row r="3358" customFormat="1" ht="15" customHeight="1"/>
    <row r="3359" customFormat="1" ht="15" customHeight="1"/>
    <row r="3360" customFormat="1" ht="15" customHeight="1"/>
    <row r="3361" customFormat="1" ht="15" customHeight="1"/>
    <row r="3362" customFormat="1" ht="15" customHeight="1"/>
    <row r="3363" customFormat="1" ht="15" customHeight="1"/>
    <row r="3364" customFormat="1" ht="15" customHeight="1"/>
    <row r="3365" customFormat="1" ht="15" customHeight="1"/>
    <row r="3366" customFormat="1" ht="15" customHeight="1"/>
    <row r="3367" customFormat="1" ht="15" customHeight="1"/>
    <row r="3368" customFormat="1" ht="15" customHeight="1"/>
    <row r="3369" customFormat="1" ht="15" customHeight="1"/>
    <row r="3370" customFormat="1" ht="15" customHeight="1"/>
    <row r="3371" customFormat="1" ht="15" customHeight="1"/>
    <row r="3372" customFormat="1" ht="15" customHeight="1"/>
    <row r="3373" customFormat="1" ht="15" customHeight="1"/>
    <row r="3374" customFormat="1" ht="12" customHeight="1"/>
    <row r="3375" customFormat="1" ht="15" customHeight="1"/>
    <row r="3376" customFormat="1" ht="15" customHeight="1"/>
    <row r="3377" customFormat="1" ht="15" customHeight="1"/>
    <row r="3378" customFormat="1" ht="15" customHeight="1"/>
    <row r="3379" customFormat="1" ht="15" customHeight="1"/>
    <row r="3380" customFormat="1" ht="15" customHeight="1"/>
    <row r="3381" customFormat="1" ht="15" customHeight="1"/>
    <row r="3382" customFormat="1" ht="15" customHeight="1"/>
    <row r="3383" customFormat="1" ht="15" customHeight="1"/>
    <row r="3384" customFormat="1" ht="15" customHeight="1"/>
    <row r="3385" customFormat="1" ht="15" customHeight="1"/>
    <row r="3386" customFormat="1" ht="15" customHeight="1"/>
    <row r="3387" customFormat="1" ht="15" customHeight="1"/>
    <row r="3388" customFormat="1" ht="15" customHeight="1"/>
    <row r="3389" customFormat="1" ht="15" customHeight="1"/>
    <row r="3390" customFormat="1" ht="15" customHeight="1"/>
    <row r="3391" customFormat="1" ht="15" customHeight="1"/>
    <row r="3392" customFormat="1" ht="15" customHeight="1"/>
    <row r="3393" spans="2:32" ht="15" customHeight="1">
      <c r="B3393" s="291"/>
      <c r="C3393" s="291"/>
      <c r="D3393" s="291"/>
      <c r="E3393" s="291"/>
      <c r="F3393" s="291"/>
      <c r="G3393" s="291"/>
      <c r="H3393" s="291"/>
      <c r="I3393" s="291"/>
      <c r="J3393" s="291"/>
      <c r="K3393" s="291"/>
      <c r="L3393" s="291"/>
      <c r="M3393" s="291"/>
      <c r="N3393" s="291"/>
      <c r="O3393" s="291"/>
      <c r="P3393" s="291"/>
      <c r="Q3393" s="291"/>
      <c r="R3393" s="291"/>
      <c r="S3393" s="291"/>
      <c r="T3393" s="291"/>
      <c r="U3393" s="291"/>
      <c r="V3393" s="291"/>
      <c r="W3393" s="291"/>
      <c r="X3393" s="291"/>
      <c r="Y3393" s="291"/>
      <c r="Z3393" s="291"/>
      <c r="AA3393" s="291"/>
      <c r="AB3393" s="291"/>
      <c r="AC3393" s="291"/>
      <c r="AD3393" s="291"/>
      <c r="AE3393" s="291"/>
      <c r="AF3393" s="291"/>
    </row>
    <row r="3394" spans="2:32" ht="12" customHeight="1"/>
    <row r="3395" spans="2:32" ht="12" customHeight="1"/>
    <row r="3396" spans="2:32" ht="12" customHeight="1"/>
    <row r="3397" spans="2:32" ht="12" customHeight="1"/>
    <row r="3398" spans="2:32" ht="12" customHeight="1"/>
    <row r="3399" spans="2:32" ht="12" customHeight="1"/>
    <row r="3400" spans="2:32" ht="12" customHeight="1"/>
    <row r="3401" spans="2:32" ht="12" customHeight="1"/>
    <row r="3402" spans="2:32" ht="12" customHeight="1"/>
    <row r="3403" spans="2:32" ht="12" customHeight="1"/>
    <row r="3404" spans="2:32" ht="12" customHeight="1"/>
    <row r="3405" spans="2:32" ht="12" customHeight="1"/>
    <row r="3406" spans="2:32" ht="12" customHeight="1"/>
    <row r="3407" spans="2:32" ht="12" customHeight="1"/>
    <row r="3408" spans="2:32" ht="12" customHeight="1"/>
    <row r="3409" customFormat="1" ht="12" customHeight="1"/>
    <row r="3410" customFormat="1" ht="12" customHeight="1"/>
    <row r="3411" customFormat="1" ht="12" customHeight="1"/>
    <row r="3412" customFormat="1" ht="12" customHeight="1"/>
    <row r="3413" customFormat="1" ht="12" customHeight="1"/>
    <row r="3414" customFormat="1" ht="12" customHeight="1"/>
    <row r="3415" customFormat="1" ht="12" customHeight="1"/>
    <row r="3416" customFormat="1" ht="12" customHeight="1"/>
    <row r="3417" customFormat="1" ht="12" customHeight="1"/>
    <row r="3418" customFormat="1" ht="12" customHeight="1"/>
    <row r="3419" customFormat="1" ht="12" customHeight="1"/>
    <row r="3420" customFormat="1" ht="12" customHeight="1"/>
    <row r="3421" customFormat="1" ht="12" customHeight="1"/>
    <row r="3422" customFormat="1" ht="12" customHeight="1"/>
    <row r="3423" customFormat="1" ht="12" customHeight="1"/>
    <row r="3424" customFormat="1" ht="12" customHeight="1"/>
    <row r="3425" customFormat="1" ht="15" customHeight="1"/>
    <row r="3426" customFormat="1" ht="15" customHeight="1"/>
    <row r="3427" customFormat="1" ht="15" customHeight="1"/>
    <row r="3428" customFormat="1" ht="15" customHeight="1"/>
    <row r="3429" customFormat="1" ht="15" customHeight="1"/>
    <row r="3430" customFormat="1" ht="15" customHeight="1"/>
    <row r="3431" customFormat="1" ht="15" customHeight="1"/>
    <row r="3432" customFormat="1" ht="15" customHeight="1"/>
    <row r="3433" customFormat="1" ht="15" customHeight="1"/>
    <row r="3434" customFormat="1" ht="15" customHeight="1"/>
    <row r="3435" customFormat="1" ht="12" customHeight="1"/>
    <row r="3436" customFormat="1" ht="15" customHeight="1"/>
    <row r="3437" customFormat="1" ht="15" customHeight="1"/>
    <row r="3438" customFormat="1" ht="15" customHeight="1"/>
    <row r="3439" customFormat="1" ht="15" customHeight="1"/>
    <row r="3440" customFormat="1" ht="15" customHeight="1"/>
    <row r="3441" customFormat="1" ht="15" customHeight="1"/>
    <row r="3442" customFormat="1" ht="15" customHeight="1"/>
    <row r="3443" customFormat="1" ht="15" customHeight="1"/>
    <row r="3444" customFormat="1" ht="15" customHeight="1"/>
    <row r="3445" customFormat="1" ht="15" customHeight="1"/>
    <row r="3446" customFormat="1" ht="15" customHeight="1"/>
    <row r="3447" customFormat="1" ht="15" customHeight="1"/>
    <row r="3448" customFormat="1" ht="15" customHeight="1"/>
    <row r="3449" customFormat="1" ht="15" customHeight="1"/>
    <row r="3450" customFormat="1" ht="15" customHeight="1"/>
    <row r="3451" customFormat="1" ht="15" customHeight="1"/>
    <row r="3452" customFormat="1" ht="12" customHeight="1"/>
    <row r="3453" customFormat="1" ht="15" customHeight="1"/>
    <row r="3454" customFormat="1" ht="15" customHeight="1"/>
    <row r="3455" customFormat="1" ht="12" customHeight="1"/>
    <row r="3456" customFormat="1" ht="15" customHeight="1"/>
    <row r="3457" customFormat="1" ht="15" customHeight="1"/>
    <row r="3458" customFormat="1" ht="15" customHeight="1"/>
    <row r="3459" customFormat="1" ht="15" customHeight="1"/>
    <row r="3460" customFormat="1" ht="15" customHeight="1"/>
    <row r="3461" customFormat="1" ht="12" customHeight="1"/>
    <row r="3462" customFormat="1" ht="15" customHeight="1"/>
    <row r="3463" customFormat="1" ht="15" customHeight="1"/>
    <row r="3464" customFormat="1" ht="15" customHeight="1"/>
    <row r="3465" customFormat="1" ht="15" customHeight="1"/>
    <row r="3466" customFormat="1" ht="15" customHeight="1"/>
    <row r="3467" customFormat="1" ht="15" customHeight="1"/>
    <row r="3468" customFormat="1" ht="15" customHeight="1"/>
    <row r="3469" customFormat="1" ht="15" customHeight="1"/>
    <row r="3470" customFormat="1" ht="15" customHeight="1"/>
    <row r="3471" customFormat="1" ht="15" customHeight="1"/>
    <row r="3472" customFormat="1" ht="15" customHeight="1"/>
    <row r="3473" customFormat="1" ht="15" customHeight="1"/>
    <row r="3474" customFormat="1" ht="15" customHeight="1"/>
    <row r="3475" customFormat="1" ht="15" customHeight="1"/>
    <row r="3476" customFormat="1" ht="15" customHeight="1"/>
    <row r="3477" customFormat="1" ht="15" customHeight="1"/>
    <row r="3478" customFormat="1" ht="12" customHeight="1"/>
    <row r="3479" customFormat="1" ht="15" customHeight="1"/>
    <row r="3480" customFormat="1" ht="15" customHeight="1"/>
    <row r="3481" customFormat="1" ht="12" customHeight="1"/>
    <row r="3482" customFormat="1" ht="15" customHeight="1"/>
    <row r="3483" customFormat="1" ht="15" customHeight="1"/>
    <row r="3484" customFormat="1" ht="15" customHeight="1"/>
    <row r="3485" customFormat="1" ht="12" customHeight="1"/>
    <row r="3486" customFormat="1" ht="15" customHeight="1"/>
    <row r="3487" customFormat="1" ht="15" customHeight="1"/>
    <row r="3488" customFormat="1" ht="15" customHeight="1"/>
    <row r="3489" spans="2:32" ht="15" customHeight="1"/>
    <row r="3490" spans="2:32" ht="15" customHeight="1"/>
    <row r="3491" spans="2:32" ht="15" customHeight="1"/>
    <row r="3492" spans="2:32" ht="15" customHeight="1"/>
    <row r="3493" spans="2:32" ht="15" customHeight="1"/>
    <row r="3494" spans="2:32" ht="15" customHeight="1"/>
    <row r="3495" spans="2:32" ht="15" customHeight="1"/>
    <row r="3496" spans="2:32" ht="12" customHeight="1"/>
    <row r="3497" spans="2:32" ht="15" customHeight="1"/>
    <row r="3498" spans="2:32" ht="15" customHeight="1"/>
    <row r="3499" spans="2:32" ht="12" customHeight="1"/>
    <row r="3500" spans="2:32" ht="15" customHeight="1"/>
    <row r="3501" spans="2:32" ht="15" customHeight="1"/>
    <row r="3502" spans="2:32" ht="15" customHeight="1">
      <c r="B3502" s="291"/>
      <c r="C3502" s="291"/>
      <c r="D3502" s="291"/>
      <c r="E3502" s="291"/>
      <c r="F3502" s="291"/>
      <c r="G3502" s="291"/>
      <c r="H3502" s="291"/>
      <c r="I3502" s="291"/>
      <c r="J3502" s="291"/>
      <c r="K3502" s="291"/>
      <c r="L3502" s="291"/>
      <c r="M3502" s="291"/>
      <c r="N3502" s="291"/>
      <c r="O3502" s="291"/>
      <c r="P3502" s="291"/>
      <c r="Q3502" s="291"/>
      <c r="R3502" s="291"/>
      <c r="S3502" s="291"/>
      <c r="T3502" s="291"/>
      <c r="U3502" s="291"/>
      <c r="V3502" s="291"/>
      <c r="W3502" s="291"/>
      <c r="X3502" s="291"/>
      <c r="Y3502" s="291"/>
      <c r="Z3502" s="291"/>
      <c r="AA3502" s="291"/>
      <c r="AB3502" s="291"/>
      <c r="AC3502" s="291"/>
      <c r="AD3502" s="291"/>
      <c r="AE3502" s="291"/>
      <c r="AF3502" s="291"/>
    </row>
    <row r="3503" spans="2:32" ht="15" customHeight="1"/>
    <row r="3504" spans="2:32" ht="15" customHeight="1"/>
    <row r="3505" customFormat="1" ht="15" customHeight="1"/>
    <row r="3506" customFormat="1" ht="15" customHeight="1"/>
    <row r="3507" customFormat="1" ht="15" customHeight="1"/>
    <row r="3508" customFormat="1" ht="15" customHeight="1"/>
    <row r="3509" customFormat="1" ht="15" customHeight="1"/>
    <row r="3510" customFormat="1" ht="15" customHeight="1"/>
    <row r="3511" customFormat="1" ht="12" customHeight="1"/>
    <row r="3512" customFormat="1" ht="12" customHeight="1"/>
    <row r="3513" customFormat="1" ht="12" customHeight="1"/>
    <row r="3514" customFormat="1" ht="12" customHeight="1"/>
    <row r="3515" customFormat="1" ht="12" customHeight="1"/>
    <row r="3516" customFormat="1" ht="12" customHeight="1"/>
    <row r="3517" customFormat="1" ht="12" customHeight="1"/>
    <row r="3518" customFormat="1" ht="12" customHeight="1"/>
    <row r="3519" customFormat="1" ht="12" customHeight="1"/>
    <row r="3520" customFormat="1" ht="12" customHeight="1"/>
    <row r="3521" customFormat="1" ht="12" customHeight="1"/>
    <row r="3522" customFormat="1" ht="12" customHeight="1"/>
    <row r="3523" customFormat="1" ht="12" customHeight="1"/>
    <row r="3524" customFormat="1" ht="12" customHeight="1"/>
    <row r="3525" customFormat="1" ht="12" customHeight="1"/>
    <row r="3526" customFormat="1" ht="12" customHeight="1"/>
    <row r="3527" customFormat="1" ht="12" customHeight="1"/>
    <row r="3528" customFormat="1" ht="12" customHeight="1"/>
    <row r="3529" customFormat="1" ht="12" customHeight="1"/>
    <row r="3530" customFormat="1" ht="12" customHeight="1"/>
    <row r="3531" customFormat="1" ht="12" customHeight="1"/>
    <row r="3532" customFormat="1" ht="12" customHeight="1"/>
    <row r="3533" customFormat="1" ht="12" customHeight="1"/>
    <row r="3534" customFormat="1" ht="12" customHeight="1"/>
    <row r="3535" customFormat="1" ht="12" customHeight="1"/>
    <row r="3536" customFormat="1" ht="12" customHeight="1"/>
    <row r="3537" customFormat="1" ht="12" customHeight="1"/>
    <row r="3538" customFormat="1" ht="12" customHeight="1"/>
    <row r="3539" customFormat="1" ht="12" customHeight="1"/>
    <row r="3540" customFormat="1" ht="12" customHeight="1"/>
    <row r="3541" customFormat="1" ht="12" customHeight="1"/>
    <row r="3542" customFormat="1" ht="12" customHeight="1"/>
    <row r="3543" customFormat="1" ht="12" customHeight="1"/>
    <row r="3544" customFormat="1" ht="12" customHeight="1"/>
    <row r="3545" customFormat="1" ht="12" customHeight="1"/>
    <row r="3546" customFormat="1" ht="12" customHeight="1"/>
    <row r="3547" customFormat="1" ht="12" customHeight="1"/>
    <row r="3548" customFormat="1" ht="12" customHeight="1"/>
    <row r="3549" customFormat="1" ht="12" customHeight="1"/>
    <row r="3550" customFormat="1" ht="15" customHeight="1"/>
    <row r="3551" customFormat="1" ht="15" customHeight="1"/>
    <row r="3552" customFormat="1" ht="15" customHeight="1"/>
    <row r="3553" customFormat="1" ht="15" customHeight="1"/>
    <row r="3554" customFormat="1" ht="15" customHeight="1"/>
    <row r="3555" customFormat="1" ht="15" customHeight="1"/>
    <row r="3556" customFormat="1" ht="15" customHeight="1"/>
    <row r="3557" customFormat="1" ht="15" customHeight="1"/>
    <row r="3558" customFormat="1" ht="15" customHeight="1"/>
    <row r="3559" customFormat="1" ht="15" customHeight="1"/>
    <row r="3560" customFormat="1" ht="12" customHeight="1"/>
    <row r="3561" customFormat="1" ht="15" customHeight="1"/>
    <row r="3562" customFormat="1" ht="15" customHeight="1"/>
    <row r="3563" customFormat="1" ht="15" customHeight="1"/>
    <row r="3564" customFormat="1" ht="15" customHeight="1"/>
    <row r="3565" customFormat="1" ht="15" customHeight="1"/>
    <row r="3566" customFormat="1" ht="15" customHeight="1"/>
    <row r="3567" customFormat="1" ht="15" customHeight="1"/>
    <row r="3568" customFormat="1" ht="15" customHeight="1"/>
    <row r="3569" customFormat="1" ht="15" customHeight="1"/>
    <row r="3570" customFormat="1" ht="15" customHeight="1"/>
    <row r="3571" customFormat="1" ht="15" customHeight="1"/>
    <row r="3572" customFormat="1" ht="15" customHeight="1"/>
    <row r="3573" customFormat="1" ht="15" customHeight="1"/>
    <row r="3574" customFormat="1" ht="15" customHeight="1"/>
    <row r="3575" customFormat="1" ht="15" customHeight="1"/>
    <row r="3576" customFormat="1" ht="15" customHeight="1"/>
    <row r="3577" customFormat="1" ht="12" customHeight="1"/>
    <row r="3578" customFormat="1" ht="15" customHeight="1"/>
    <row r="3579" customFormat="1" ht="15" customHeight="1"/>
    <row r="3580" customFormat="1" ht="12" customHeight="1"/>
    <row r="3581" customFormat="1" ht="15" customHeight="1"/>
    <row r="3582" customFormat="1" ht="15" customHeight="1"/>
    <row r="3583" customFormat="1" ht="15" customHeight="1"/>
    <row r="3584" customFormat="1" ht="15" customHeight="1"/>
    <row r="3585" customFormat="1" ht="15" customHeight="1"/>
    <row r="3586" customFormat="1" ht="12" customHeight="1"/>
    <row r="3587" customFormat="1" ht="15" customHeight="1"/>
    <row r="3588" customFormat="1" ht="15" customHeight="1"/>
    <row r="3589" customFormat="1" ht="15" customHeight="1"/>
    <row r="3590" customFormat="1" ht="15" customHeight="1"/>
    <row r="3591" customFormat="1" ht="15" customHeight="1"/>
    <row r="3592" customFormat="1" ht="15" customHeight="1"/>
    <row r="3593" customFormat="1" ht="15" customHeight="1"/>
    <row r="3594" customFormat="1" ht="15" customHeight="1"/>
    <row r="3595" customFormat="1" ht="15" customHeight="1"/>
    <row r="3596" customFormat="1" ht="15" customHeight="1"/>
    <row r="3597" customFormat="1" ht="15" customHeight="1"/>
    <row r="3598" customFormat="1" ht="15" customHeight="1"/>
    <row r="3599" customFormat="1" ht="15" customHeight="1"/>
    <row r="3600" customFormat="1" ht="15" customHeight="1"/>
    <row r="3601" customFormat="1" ht="15" customHeight="1"/>
    <row r="3602" customFormat="1" ht="15" customHeight="1"/>
    <row r="3603" customFormat="1" ht="12" customHeight="1"/>
    <row r="3604" customFormat="1" ht="15" customHeight="1"/>
    <row r="3605" customFormat="1" ht="15" customHeight="1"/>
    <row r="3606" customFormat="1" ht="12" customHeight="1"/>
    <row r="3607" customFormat="1" ht="15" customHeight="1"/>
    <row r="3608" customFormat="1" ht="15" customHeight="1"/>
    <row r="3609" customFormat="1" ht="15" customHeight="1"/>
    <row r="3610" customFormat="1" ht="12" customHeight="1"/>
    <row r="3611" customFormat="1" ht="15" customHeight="1"/>
    <row r="3612" customFormat="1" ht="15" customHeight="1"/>
    <row r="3613" customFormat="1" ht="15" customHeight="1"/>
    <row r="3614" customFormat="1" ht="15" customHeight="1"/>
    <row r="3615" customFormat="1" ht="15" customHeight="1"/>
    <row r="3616" customFormat="1" ht="15" customHeight="1"/>
    <row r="3617" spans="2:32" ht="15" customHeight="1"/>
    <row r="3618" spans="2:32" ht="15" customHeight="1"/>
    <row r="3619" spans="2:32" ht="15" customHeight="1"/>
    <row r="3620" spans="2:32" ht="15" customHeight="1"/>
    <row r="3621" spans="2:32" ht="12" customHeight="1"/>
    <row r="3622" spans="2:32" ht="15" customHeight="1"/>
    <row r="3623" spans="2:32" ht="15" customHeight="1"/>
    <row r="3624" spans="2:32" ht="12" customHeight="1"/>
    <row r="3625" spans="2:32" ht="15" customHeight="1"/>
    <row r="3626" spans="2:32" ht="15" customHeight="1"/>
    <row r="3627" spans="2:32" ht="15" customHeight="1">
      <c r="B3627" s="291"/>
      <c r="C3627" s="291"/>
      <c r="D3627" s="291"/>
      <c r="E3627" s="291"/>
      <c r="F3627" s="291"/>
      <c r="G3627" s="291"/>
      <c r="H3627" s="291"/>
      <c r="I3627" s="291"/>
      <c r="J3627" s="291"/>
      <c r="K3627" s="291"/>
      <c r="L3627" s="291"/>
      <c r="M3627" s="291"/>
      <c r="N3627" s="291"/>
      <c r="O3627" s="291"/>
      <c r="P3627" s="291"/>
      <c r="Q3627" s="291"/>
      <c r="R3627" s="291"/>
      <c r="S3627" s="291"/>
      <c r="T3627" s="291"/>
      <c r="U3627" s="291"/>
      <c r="V3627" s="291"/>
      <c r="W3627" s="291"/>
      <c r="X3627" s="291"/>
      <c r="Y3627" s="291"/>
      <c r="Z3627" s="291"/>
      <c r="AA3627" s="291"/>
      <c r="AB3627" s="291"/>
      <c r="AC3627" s="291"/>
      <c r="AD3627" s="291"/>
      <c r="AE3627" s="291"/>
      <c r="AF3627" s="291"/>
    </row>
    <row r="3628" spans="2:32" ht="15" customHeight="1"/>
    <row r="3629" spans="2:32" ht="15" customHeight="1"/>
    <row r="3630" spans="2:32" ht="15" customHeight="1"/>
    <row r="3631" spans="2:32" ht="15" customHeight="1"/>
    <row r="3632" spans="2:32" ht="15" customHeight="1"/>
    <row r="3633" customFormat="1" ht="15" customHeight="1"/>
    <row r="3634" customFormat="1" ht="15" customHeight="1"/>
    <row r="3635" customFormat="1" ht="15" customHeight="1"/>
    <row r="3636" customFormat="1" ht="12" customHeight="1"/>
    <row r="3637" customFormat="1" ht="12" customHeight="1"/>
    <row r="3638" customFormat="1" ht="12" customHeight="1"/>
    <row r="3639" customFormat="1" ht="12" customHeight="1"/>
    <row r="3640" customFormat="1" ht="12" customHeight="1"/>
    <row r="3641" customFormat="1" ht="12" customHeight="1"/>
    <row r="3642" customFormat="1" ht="12" customHeight="1"/>
    <row r="3643" customFormat="1" ht="12" customHeight="1"/>
    <row r="3644" customFormat="1" ht="12" customHeight="1"/>
    <row r="3645" customFormat="1" ht="12" customHeight="1"/>
    <row r="3646" customFormat="1" ht="12" customHeight="1"/>
    <row r="3647" customFormat="1" ht="12" customHeight="1"/>
    <row r="3648" customFormat="1" ht="12" customHeight="1"/>
    <row r="3649" customFormat="1" ht="12" customHeight="1"/>
    <row r="3650" customFormat="1" ht="12" customHeight="1"/>
    <row r="3651" customFormat="1" ht="12" customHeight="1"/>
    <row r="3652" customFormat="1" ht="12" customHeight="1"/>
    <row r="3653" customFormat="1" ht="12" customHeight="1"/>
    <row r="3654" customFormat="1" ht="12" customHeight="1"/>
    <row r="3655" customFormat="1" ht="12" customHeight="1"/>
    <row r="3656" customFormat="1" ht="12" customHeight="1"/>
    <row r="3657" customFormat="1" ht="12" customHeight="1"/>
    <row r="3658" customFormat="1" ht="12" customHeight="1"/>
    <row r="3659" customFormat="1" ht="12" customHeight="1"/>
    <row r="3660" customFormat="1" ht="12" customHeight="1"/>
    <row r="3661" customFormat="1" ht="12" customHeight="1"/>
    <row r="3662" customFormat="1" ht="12" customHeight="1"/>
    <row r="3663" customFormat="1" ht="12" customHeight="1"/>
    <row r="3664" customFormat="1" ht="12" customHeight="1"/>
    <row r="3665" customFormat="1" ht="12" customHeight="1"/>
    <row r="3666" customFormat="1" ht="12" customHeight="1"/>
    <row r="3667" customFormat="1" ht="12" customHeight="1"/>
    <row r="3668" customFormat="1" ht="12" customHeight="1"/>
    <row r="3669" customFormat="1" ht="12" customHeight="1"/>
    <row r="3670" customFormat="1" ht="12" customHeight="1"/>
    <row r="3671" customFormat="1" ht="12" customHeight="1"/>
    <row r="3672" customFormat="1" ht="12" customHeight="1"/>
    <row r="3673" customFormat="1" ht="12" customHeight="1"/>
    <row r="3674" customFormat="1" ht="12" customHeight="1"/>
    <row r="3675" customFormat="1" ht="15" customHeight="1"/>
    <row r="3676" customFormat="1" ht="15" customHeight="1"/>
    <row r="3677" customFormat="1" ht="15" customHeight="1"/>
    <row r="3678" customFormat="1" ht="15" customHeight="1"/>
    <row r="3679" customFormat="1" ht="15" customHeight="1"/>
    <row r="3680" customFormat="1" ht="15" customHeight="1"/>
    <row r="3681" customFormat="1" ht="15" customHeight="1"/>
    <row r="3682" customFormat="1" ht="15" customHeight="1"/>
    <row r="3683" customFormat="1" ht="15" customHeight="1"/>
    <row r="3684" customFormat="1" ht="15" customHeight="1"/>
    <row r="3685" customFormat="1" ht="12" customHeight="1"/>
    <row r="3686" customFormat="1" ht="15" customHeight="1"/>
    <row r="3687" customFormat="1" ht="15" customHeight="1"/>
    <row r="3688" customFormat="1" ht="15" customHeight="1"/>
    <row r="3689" customFormat="1" ht="15" customHeight="1"/>
    <row r="3690" customFormat="1" ht="15" customHeight="1"/>
    <row r="3691" customFormat="1" ht="15" customHeight="1"/>
    <row r="3692" customFormat="1" ht="15" customHeight="1"/>
    <row r="3693" customFormat="1" ht="15" customHeight="1"/>
    <row r="3694" customFormat="1" ht="15" customHeight="1"/>
    <row r="3695" customFormat="1" ht="15" customHeight="1"/>
    <row r="3696" customFormat="1" ht="15" customHeight="1"/>
    <row r="3697" customFormat="1" ht="15" customHeight="1"/>
    <row r="3698" customFormat="1" ht="15" customHeight="1"/>
    <row r="3699" customFormat="1" ht="15" customHeight="1"/>
    <row r="3700" customFormat="1" ht="15" customHeight="1"/>
    <row r="3701" customFormat="1" ht="15" customHeight="1"/>
    <row r="3702" customFormat="1" ht="12" customHeight="1"/>
    <row r="3703" customFormat="1" ht="15" customHeight="1"/>
    <row r="3704" customFormat="1" ht="15" customHeight="1"/>
    <row r="3705" customFormat="1" ht="12" customHeight="1"/>
    <row r="3706" customFormat="1" ht="15" customHeight="1"/>
    <row r="3707" customFormat="1" ht="15" customHeight="1"/>
    <row r="3708" customFormat="1" ht="15" customHeight="1"/>
    <row r="3709" customFormat="1" ht="15" customHeight="1"/>
    <row r="3710" customFormat="1" ht="15" customHeight="1"/>
    <row r="3711" customFormat="1" ht="12" customHeight="1"/>
    <row r="3712" customFormat="1" ht="15" customHeight="1"/>
    <row r="3713" customFormat="1" ht="15" customHeight="1"/>
    <row r="3714" customFormat="1" ht="15" customHeight="1"/>
    <row r="3715" customFormat="1" ht="15" customHeight="1"/>
    <row r="3716" customFormat="1" ht="15" customHeight="1"/>
    <row r="3717" customFormat="1" ht="15" customHeight="1"/>
    <row r="3718" customFormat="1" ht="15" customHeight="1"/>
    <row r="3719" customFormat="1" ht="15" customHeight="1"/>
    <row r="3720" customFormat="1" ht="15" customHeight="1"/>
    <row r="3721" customFormat="1" ht="15" customHeight="1"/>
    <row r="3722" customFormat="1" ht="15" customHeight="1"/>
    <row r="3723" customFormat="1" ht="15" customHeight="1"/>
    <row r="3724" customFormat="1" ht="15" customHeight="1"/>
    <row r="3725" customFormat="1" ht="15" customHeight="1"/>
    <row r="3726" customFormat="1" ht="15" customHeight="1"/>
    <row r="3727" customFormat="1" ht="15" customHeight="1"/>
    <row r="3728" customFormat="1" ht="12" customHeight="1"/>
    <row r="3729" customFormat="1" ht="15" customHeight="1"/>
    <row r="3730" customFormat="1" ht="15" customHeight="1"/>
    <row r="3731" customFormat="1" ht="12" customHeight="1"/>
    <row r="3732" customFormat="1" ht="15" customHeight="1"/>
    <row r="3733" customFormat="1" ht="15" customHeight="1"/>
    <row r="3734" customFormat="1" ht="15" customHeight="1"/>
    <row r="3735" customFormat="1" ht="12" customHeight="1"/>
    <row r="3736" customFormat="1" ht="15" customHeight="1"/>
    <row r="3737" customFormat="1" ht="15" customHeight="1"/>
    <row r="3738" customFormat="1" ht="15" customHeight="1"/>
    <row r="3739" customFormat="1" ht="15" customHeight="1"/>
    <row r="3740" customFormat="1" ht="15" customHeight="1"/>
    <row r="3741" customFormat="1" ht="15" customHeight="1"/>
    <row r="3742" customFormat="1" ht="15" customHeight="1"/>
    <row r="3743" customFormat="1" ht="15" customHeight="1"/>
    <row r="3744" customFormat="1" ht="15" customHeight="1"/>
    <row r="3745" spans="2:32" ht="15" customHeight="1"/>
    <row r="3746" spans="2:32" ht="12" customHeight="1"/>
    <row r="3747" spans="2:32" ht="15" customHeight="1"/>
    <row r="3748" spans="2:32" ht="15" customHeight="1"/>
    <row r="3749" spans="2:32" ht="12" customHeight="1"/>
    <row r="3750" spans="2:32" ht="15" customHeight="1"/>
    <row r="3751" spans="2:32" ht="15" customHeight="1"/>
    <row r="3752" spans="2:32" ht="15" customHeight="1">
      <c r="B3752" s="291"/>
      <c r="C3752" s="291"/>
      <c r="D3752" s="291"/>
      <c r="E3752" s="291"/>
      <c r="F3752" s="291"/>
      <c r="G3752" s="291"/>
      <c r="H3752" s="291"/>
      <c r="I3752" s="291"/>
      <c r="J3752" s="291"/>
      <c r="K3752" s="291"/>
      <c r="L3752" s="291"/>
      <c r="M3752" s="291"/>
      <c r="N3752" s="291"/>
      <c r="O3752" s="291"/>
      <c r="P3752" s="291"/>
      <c r="Q3752" s="291"/>
      <c r="R3752" s="291"/>
      <c r="S3752" s="291"/>
      <c r="T3752" s="291"/>
      <c r="U3752" s="291"/>
      <c r="V3752" s="291"/>
      <c r="W3752" s="291"/>
      <c r="X3752" s="291"/>
      <c r="Y3752" s="291"/>
      <c r="Z3752" s="291"/>
      <c r="AA3752" s="291"/>
      <c r="AB3752" s="291"/>
      <c r="AC3752" s="291"/>
      <c r="AD3752" s="291"/>
      <c r="AE3752" s="291"/>
      <c r="AF3752" s="291"/>
    </row>
    <row r="3753" spans="2:32" ht="15" customHeight="1"/>
    <row r="3754" spans="2:32" ht="15" customHeight="1"/>
    <row r="3755" spans="2:32" ht="15" customHeight="1"/>
    <row r="3756" spans="2:32" ht="15" customHeight="1"/>
    <row r="3757" spans="2:32" ht="15" customHeight="1"/>
    <row r="3758" spans="2:32" ht="15" customHeight="1"/>
    <row r="3759" spans="2:32" ht="15" customHeight="1"/>
    <row r="3760" spans="2:32" ht="15" customHeight="1"/>
    <row r="3761" customFormat="1" ht="12" customHeight="1"/>
    <row r="3762" customFormat="1" ht="12" customHeight="1"/>
    <row r="3763" customFormat="1" ht="12" customHeight="1"/>
    <row r="3764" customFormat="1" ht="12" customHeight="1"/>
    <row r="3765" customFormat="1" ht="12" customHeight="1"/>
    <row r="3766" customFormat="1" ht="12" customHeight="1"/>
    <row r="3767" customFormat="1" ht="12" customHeight="1"/>
    <row r="3768" customFormat="1" ht="12" customHeight="1"/>
    <row r="3769" customFormat="1" ht="12" customHeight="1"/>
    <row r="3770" customFormat="1" ht="12" customHeight="1"/>
    <row r="3771" customFormat="1" ht="12" customHeight="1"/>
    <row r="3772" customFormat="1" ht="12" customHeight="1"/>
    <row r="3773" customFormat="1" ht="12" customHeight="1"/>
    <row r="3774" customFormat="1" ht="12" customHeight="1"/>
    <row r="3775" customFormat="1" ht="12" customHeight="1"/>
    <row r="3776" customFormat="1" ht="12" customHeight="1"/>
    <row r="3777" customFormat="1" ht="12" customHeight="1"/>
    <row r="3778" customFormat="1" ht="12" customHeight="1"/>
    <row r="3779" customFormat="1" ht="12" customHeight="1"/>
    <row r="3780" customFormat="1" ht="12" customHeight="1"/>
    <row r="3781" customFormat="1" ht="12" customHeight="1"/>
    <row r="3782" customFormat="1" ht="12" customHeight="1"/>
    <row r="3783" customFormat="1" ht="12" customHeight="1"/>
    <row r="3784" customFormat="1" ht="12" customHeight="1"/>
    <row r="3785" customFormat="1" ht="12" customHeight="1"/>
    <row r="3786" customFormat="1" ht="12" customHeight="1"/>
    <row r="3787" customFormat="1" ht="12" customHeight="1"/>
    <row r="3788" customFormat="1" ht="12" customHeight="1"/>
    <row r="3789" customFormat="1" ht="12" customHeight="1"/>
    <row r="3790" customFormat="1" ht="12" customHeight="1"/>
    <row r="3791" customFormat="1" ht="12" customHeight="1"/>
    <row r="3792" customFormat="1" ht="12" customHeight="1"/>
    <row r="3793" customFormat="1" ht="12" customHeight="1"/>
    <row r="3794" customFormat="1" ht="12" customHeight="1"/>
    <row r="3795" customFormat="1" ht="12" customHeight="1"/>
    <row r="3796" customFormat="1" ht="12" customHeight="1"/>
    <row r="3797" customFormat="1" ht="12" customHeight="1"/>
    <row r="3798" customFormat="1" ht="12" customHeight="1"/>
    <row r="3799" customFormat="1" ht="12" customHeight="1"/>
    <row r="3800" customFormat="1" ht="15" customHeight="1"/>
    <row r="3801" customFormat="1" ht="15" customHeight="1"/>
    <row r="3802" customFormat="1" ht="15" customHeight="1"/>
    <row r="3803" customFormat="1" ht="15" customHeight="1"/>
    <row r="3804" customFormat="1" ht="15" customHeight="1"/>
    <row r="3805" customFormat="1" ht="15" customHeight="1"/>
    <row r="3806" customFormat="1" ht="15" customHeight="1"/>
    <row r="3807" customFormat="1" ht="15" customHeight="1"/>
    <row r="3808" customFormat="1" ht="15" customHeight="1"/>
    <row r="3809" customFormat="1" ht="15" customHeight="1"/>
    <row r="3810" customFormat="1" ht="12" customHeight="1"/>
    <row r="3811" customFormat="1" ht="15" customHeight="1"/>
    <row r="3812" customFormat="1" ht="15" customHeight="1"/>
    <row r="3813" customFormat="1" ht="15" customHeight="1"/>
    <row r="3814" customFormat="1" ht="15" customHeight="1"/>
    <row r="3815" customFormat="1" ht="15" customHeight="1"/>
    <row r="3816" customFormat="1" ht="15" customHeight="1"/>
    <row r="3817" customFormat="1" ht="15" customHeight="1"/>
    <row r="3818" customFormat="1" ht="15" customHeight="1"/>
    <row r="3819" customFormat="1" ht="15" customHeight="1"/>
    <row r="3820" customFormat="1" ht="15" customHeight="1"/>
    <row r="3821" customFormat="1" ht="15" customHeight="1"/>
    <row r="3822" customFormat="1" ht="15" customHeight="1"/>
    <row r="3823" customFormat="1" ht="15" customHeight="1"/>
    <row r="3824" customFormat="1" ht="15" customHeight="1"/>
    <row r="3825" customFormat="1" ht="15" customHeight="1"/>
    <row r="3826" customFormat="1" ht="15" customHeight="1"/>
    <row r="3827" customFormat="1" ht="12" customHeight="1"/>
    <row r="3828" customFormat="1" ht="15" customHeight="1"/>
    <row r="3829" customFormat="1" ht="15" customHeight="1"/>
    <row r="3830" customFormat="1" ht="12" customHeight="1"/>
    <row r="3831" customFormat="1" ht="15" customHeight="1"/>
    <row r="3832" customFormat="1" ht="15" customHeight="1"/>
    <row r="3833" customFormat="1" ht="15" customHeight="1"/>
    <row r="3834" customFormat="1" ht="15" customHeight="1"/>
    <row r="3835" customFormat="1" ht="15" customHeight="1"/>
    <row r="3836" customFormat="1" ht="12" customHeight="1"/>
    <row r="3837" customFormat="1" ht="15" customHeight="1"/>
    <row r="3838" customFormat="1" ht="15" customHeight="1"/>
    <row r="3839" customFormat="1" ht="15" customHeight="1"/>
    <row r="3840" customFormat="1" ht="15" customHeight="1"/>
    <row r="3841" customFormat="1" ht="15" customHeight="1"/>
    <row r="3842" customFormat="1" ht="15" customHeight="1"/>
    <row r="3843" customFormat="1" ht="15" customHeight="1"/>
    <row r="3844" customFormat="1" ht="15" customHeight="1"/>
    <row r="3845" customFormat="1" ht="15" customHeight="1"/>
    <row r="3846" customFormat="1" ht="15" customHeight="1"/>
    <row r="3847" customFormat="1" ht="15" customHeight="1"/>
    <row r="3848" customFormat="1" ht="15" customHeight="1"/>
    <row r="3849" customFormat="1" ht="15" customHeight="1"/>
    <row r="3850" customFormat="1" ht="15" customHeight="1"/>
    <row r="3851" customFormat="1" ht="15" customHeight="1"/>
    <row r="3852" customFormat="1" ht="15" customHeight="1"/>
    <row r="3853" customFormat="1" ht="12" customHeight="1"/>
    <row r="3854" customFormat="1" ht="15" customHeight="1"/>
    <row r="3855" customFormat="1" ht="15" customHeight="1"/>
    <row r="3856" customFormat="1" ht="12" customHeight="1"/>
    <row r="3857" customFormat="1" ht="15" customHeight="1"/>
    <row r="3858" customFormat="1" ht="15" customHeight="1"/>
    <row r="3859" customFormat="1" ht="15" customHeight="1"/>
    <row r="3860" customFormat="1" ht="12" customHeight="1"/>
    <row r="3861" customFormat="1" ht="15" customHeight="1"/>
    <row r="3862" customFormat="1" ht="15" customHeight="1"/>
    <row r="3863" customFormat="1" ht="15" customHeight="1"/>
    <row r="3864" customFormat="1" ht="15" customHeight="1"/>
    <row r="3865" customFormat="1" ht="15" customHeight="1"/>
    <row r="3866" customFormat="1" ht="15" customHeight="1"/>
    <row r="3867" customFormat="1" ht="15" customHeight="1"/>
    <row r="3868" customFormat="1" ht="15" customHeight="1"/>
    <row r="3869" customFormat="1" ht="15" customHeight="1"/>
    <row r="3870" customFormat="1" ht="15" customHeight="1"/>
    <row r="3871" customFormat="1" ht="12" customHeight="1"/>
    <row r="3872" customFormat="1" ht="15" customHeight="1"/>
    <row r="3873" spans="2:32" ht="15" customHeight="1"/>
    <row r="3874" spans="2:32" ht="12" customHeight="1"/>
    <row r="3875" spans="2:32" ht="15" customHeight="1"/>
    <row r="3876" spans="2:32" ht="15" customHeight="1"/>
    <row r="3877" spans="2:32" ht="15" customHeight="1">
      <c r="B3877" s="291"/>
      <c r="C3877" s="291"/>
      <c r="D3877" s="291"/>
      <c r="E3877" s="291"/>
      <c r="F3877" s="291"/>
      <c r="G3877" s="291"/>
      <c r="H3877" s="291"/>
      <c r="I3877" s="291"/>
      <c r="J3877" s="291"/>
      <c r="K3877" s="291"/>
      <c r="L3877" s="291"/>
      <c r="M3877" s="291"/>
      <c r="N3877" s="291"/>
      <c r="O3877" s="291"/>
      <c r="P3877" s="291"/>
      <c r="Q3877" s="291"/>
      <c r="R3877" s="291"/>
      <c r="S3877" s="291"/>
      <c r="T3877" s="291"/>
      <c r="U3877" s="291"/>
      <c r="V3877" s="291"/>
      <c r="W3877" s="291"/>
      <c r="X3877" s="291"/>
      <c r="Y3877" s="291"/>
      <c r="Z3877" s="291"/>
      <c r="AA3877" s="291"/>
      <c r="AB3877" s="291"/>
      <c r="AC3877" s="291"/>
      <c r="AD3877" s="291"/>
      <c r="AE3877" s="291"/>
      <c r="AF3877" s="291"/>
    </row>
    <row r="3878" spans="2:32" ht="15" customHeight="1"/>
    <row r="3879" spans="2:32" ht="15" customHeight="1"/>
    <row r="3880" spans="2:32" ht="15" customHeight="1"/>
    <row r="3881" spans="2:32" ht="15" customHeight="1"/>
    <row r="3882" spans="2:32" ht="15" customHeight="1"/>
    <row r="3883" spans="2:32" ht="15" customHeight="1"/>
    <row r="3884" spans="2:32" ht="15" customHeight="1"/>
    <row r="3885" spans="2:32" ht="15" customHeight="1"/>
    <row r="3886" spans="2:32" ht="12" customHeight="1"/>
    <row r="3887" spans="2:32" ht="12" customHeight="1"/>
    <row r="3888" spans="2:32" ht="12" customHeight="1"/>
    <row r="3889" customFormat="1" ht="12" customHeight="1"/>
    <row r="3890" customFormat="1" ht="12" customHeight="1"/>
    <row r="3891" customFormat="1" ht="12" customHeight="1"/>
    <row r="3892" customFormat="1" ht="12" customHeight="1"/>
    <row r="3893" customFormat="1" ht="12" customHeight="1"/>
    <row r="3894" customFormat="1" ht="12" customHeight="1"/>
    <row r="3895" customFormat="1" ht="12" customHeight="1"/>
    <row r="3896" customFormat="1" ht="12" customHeight="1"/>
    <row r="3897" customFormat="1" ht="12" customHeight="1"/>
    <row r="3898" customFormat="1" ht="12" customHeight="1"/>
    <row r="3899" customFormat="1" ht="12" customHeight="1"/>
    <row r="3900" customFormat="1" ht="12" customHeight="1"/>
    <row r="3901" customFormat="1" ht="12" customHeight="1"/>
    <row r="3902" customFormat="1" ht="12" customHeight="1"/>
    <row r="3903" customFormat="1" ht="12" customHeight="1"/>
    <row r="3904" customFormat="1" ht="12" customHeight="1"/>
    <row r="3905" customFormat="1" ht="12" customHeight="1"/>
    <row r="3906" customFormat="1" ht="12" customHeight="1"/>
    <row r="3907" customFormat="1" ht="12" customHeight="1"/>
    <row r="3908" customFormat="1" ht="12" customHeight="1"/>
    <row r="3909" customFormat="1" ht="12" customHeight="1"/>
    <row r="3910" customFormat="1" ht="12" customHeight="1"/>
    <row r="3911" customFormat="1" ht="12" customHeight="1"/>
    <row r="3912" customFormat="1" ht="12" customHeight="1"/>
    <row r="3913" customFormat="1" ht="12" customHeight="1"/>
    <row r="3914" customFormat="1" ht="12" customHeight="1"/>
    <row r="3915" customFormat="1" ht="12" customHeight="1"/>
    <row r="3916" customFormat="1" ht="12" customHeight="1"/>
    <row r="3917" customFormat="1" ht="12" customHeight="1"/>
    <row r="3918" customFormat="1" ht="12" customHeight="1"/>
    <row r="3919" customFormat="1" ht="12" customHeight="1"/>
    <row r="3920" customFormat="1" ht="12" customHeight="1"/>
    <row r="3921" customFormat="1" ht="12" customHeight="1"/>
    <row r="3922" customFormat="1" ht="12" customHeight="1"/>
    <row r="3923" customFormat="1" ht="12" customHeight="1"/>
    <row r="3924" customFormat="1" ht="12" customHeight="1"/>
    <row r="3925" customFormat="1" ht="15" customHeight="1"/>
    <row r="3926" customFormat="1" ht="15" customHeight="1"/>
    <row r="3927" customFormat="1" ht="15" customHeight="1"/>
    <row r="3928" customFormat="1" ht="15" customHeight="1"/>
    <row r="3929" customFormat="1" ht="15" customHeight="1"/>
    <row r="3930" customFormat="1" ht="15" customHeight="1"/>
    <row r="3931" customFormat="1" ht="15" customHeight="1"/>
    <row r="3932" customFormat="1" ht="15" customHeight="1"/>
    <row r="3933" customFormat="1" ht="15" customHeight="1"/>
    <row r="3934" customFormat="1" ht="15" customHeight="1"/>
    <row r="3935" customFormat="1" ht="12" customHeight="1"/>
    <row r="3936" customFormat="1" ht="15" customHeight="1"/>
    <row r="3937" customFormat="1" ht="15" customHeight="1"/>
    <row r="3938" customFormat="1" ht="15" customHeight="1"/>
    <row r="3939" customFormat="1" ht="15" customHeight="1"/>
    <row r="3940" customFormat="1" ht="15" customHeight="1"/>
    <row r="3941" customFormat="1" ht="15" customHeight="1"/>
    <row r="3942" customFormat="1" ht="15" customHeight="1"/>
    <row r="3943" customFormat="1" ht="15" customHeight="1"/>
    <row r="3944" customFormat="1" ht="15" customHeight="1"/>
    <row r="3945" customFormat="1" ht="15" customHeight="1"/>
    <row r="3946" customFormat="1" ht="15" customHeight="1"/>
    <row r="3947" customFormat="1" ht="15" customHeight="1"/>
    <row r="3948" customFormat="1" ht="15" customHeight="1"/>
    <row r="3949" customFormat="1" ht="15" customHeight="1"/>
    <row r="3950" customFormat="1" ht="15" customHeight="1"/>
    <row r="3951" customFormat="1" ht="15" customHeight="1"/>
    <row r="3952" customFormat="1" ht="12" customHeight="1"/>
    <row r="3953" customFormat="1" ht="15" customHeight="1"/>
    <row r="3954" customFormat="1" ht="15" customHeight="1"/>
    <row r="3955" customFormat="1" ht="12" customHeight="1"/>
    <row r="3956" customFormat="1" ht="15" customHeight="1"/>
    <row r="3957" customFormat="1" ht="15" customHeight="1"/>
    <row r="3958" customFormat="1" ht="15" customHeight="1"/>
    <row r="3959" customFormat="1" ht="15" customHeight="1"/>
    <row r="3960" customFormat="1" ht="15" customHeight="1"/>
    <row r="3961" customFormat="1" ht="12" customHeight="1"/>
    <row r="3962" customFormat="1" ht="15" customHeight="1"/>
    <row r="3963" customFormat="1" ht="15" customHeight="1"/>
    <row r="3964" customFormat="1" ht="15" customHeight="1"/>
    <row r="3965" customFormat="1" ht="15" customHeight="1"/>
    <row r="3966" customFormat="1" ht="15" customHeight="1"/>
    <row r="3967" customFormat="1" ht="15" customHeight="1"/>
    <row r="3968" customFormat="1" ht="15" customHeight="1"/>
    <row r="3969" customFormat="1" ht="15" customHeight="1"/>
    <row r="3970" customFormat="1" ht="15" customHeight="1"/>
    <row r="3971" customFormat="1" ht="15" customHeight="1"/>
    <row r="3972" customFormat="1" ht="15" customHeight="1"/>
    <row r="3973" customFormat="1" ht="15" customHeight="1"/>
    <row r="3974" customFormat="1" ht="15" customHeight="1"/>
    <row r="3975" customFormat="1" ht="15" customHeight="1"/>
    <row r="3976" customFormat="1" ht="15" customHeight="1"/>
    <row r="3977" customFormat="1" ht="15" customHeight="1"/>
    <row r="3978" customFormat="1" ht="12" customHeight="1"/>
    <row r="3979" customFormat="1" ht="15" customHeight="1"/>
    <row r="3980" customFormat="1" ht="15" customHeight="1"/>
    <row r="3981" customFormat="1" ht="12" customHeight="1"/>
    <row r="3982" customFormat="1" ht="15" customHeight="1"/>
    <row r="3983" customFormat="1" ht="15" customHeight="1"/>
    <row r="3984" customFormat="1" ht="15" customHeight="1"/>
    <row r="3985" customFormat="1" ht="12" customHeight="1"/>
    <row r="3986" customFormat="1" ht="15" customHeight="1"/>
    <row r="3987" customFormat="1" ht="15" customHeight="1"/>
    <row r="3988" customFormat="1" ht="15" customHeight="1"/>
    <row r="3989" customFormat="1" ht="15" customHeight="1"/>
    <row r="3990" customFormat="1" ht="15" customHeight="1"/>
    <row r="3991" customFormat="1" ht="15" customHeight="1"/>
    <row r="3992" customFormat="1" ht="15" customHeight="1"/>
    <row r="3993" customFormat="1" ht="15" customHeight="1"/>
    <row r="3994" customFormat="1" ht="15" customHeight="1"/>
    <row r="3995" customFormat="1" ht="15" customHeight="1"/>
    <row r="3996" customFormat="1" ht="12" customHeight="1"/>
    <row r="3997" customFormat="1" ht="15" customHeight="1"/>
    <row r="3998" customFormat="1" ht="15" customHeight="1"/>
    <row r="3999" customFormat="1" ht="12" customHeight="1"/>
    <row r="4000" customFormat="1" ht="15" customHeight="1"/>
    <row r="4001" spans="2:32" ht="15" customHeight="1"/>
    <row r="4002" spans="2:32" ht="15" customHeight="1">
      <c r="B4002" s="291"/>
      <c r="C4002" s="291"/>
      <c r="D4002" s="291"/>
      <c r="E4002" s="291"/>
      <c r="F4002" s="291"/>
      <c r="G4002" s="291"/>
      <c r="H4002" s="291"/>
      <c r="I4002" s="291"/>
      <c r="J4002" s="291"/>
      <c r="K4002" s="291"/>
      <c r="L4002" s="291"/>
      <c r="M4002" s="291"/>
      <c r="N4002" s="291"/>
      <c r="O4002" s="291"/>
      <c r="P4002" s="291"/>
      <c r="Q4002" s="291"/>
      <c r="R4002" s="291"/>
      <c r="S4002" s="291"/>
      <c r="T4002" s="291"/>
      <c r="U4002" s="291"/>
      <c r="V4002" s="291"/>
      <c r="W4002" s="291"/>
      <c r="X4002" s="291"/>
      <c r="Y4002" s="291"/>
      <c r="Z4002" s="291"/>
      <c r="AA4002" s="291"/>
      <c r="AB4002" s="291"/>
      <c r="AC4002" s="291"/>
      <c r="AD4002" s="291"/>
      <c r="AE4002" s="291"/>
      <c r="AF4002" s="291"/>
    </row>
    <row r="4003" spans="2:32" ht="15" customHeight="1"/>
    <row r="4004" spans="2:32" ht="15" customHeight="1"/>
    <row r="4005" spans="2:32" ht="15" customHeight="1"/>
    <row r="4006" spans="2:32" ht="15" customHeight="1"/>
    <row r="4007" spans="2:32" ht="15" customHeight="1"/>
    <row r="4008" spans="2:32" ht="15" customHeight="1"/>
    <row r="4009" spans="2:32" ht="15" customHeight="1"/>
    <row r="4010" spans="2:32" ht="15" customHeight="1"/>
    <row r="4011" spans="2:32" ht="12" customHeight="1"/>
    <row r="4012" spans="2:32" ht="12" customHeight="1"/>
    <row r="4013" spans="2:32" ht="12" customHeight="1"/>
    <row r="4014" spans="2:32" ht="12" customHeight="1"/>
    <row r="4015" spans="2:32" ht="12" customHeight="1"/>
    <row r="4016" spans="2:32" ht="12" customHeight="1"/>
    <row r="4017" customFormat="1" ht="12" customHeight="1"/>
    <row r="4018" customFormat="1" ht="12" customHeight="1"/>
    <row r="4019" customFormat="1" ht="12" customHeight="1"/>
    <row r="4020" customFormat="1" ht="12" customHeight="1"/>
    <row r="4021" customFormat="1" ht="12" customHeight="1"/>
    <row r="4022" customFormat="1" ht="12" customHeight="1"/>
    <row r="4023" customFormat="1" ht="12" customHeight="1"/>
    <row r="4024" customFormat="1" ht="12" customHeight="1"/>
    <row r="4025" customFormat="1" ht="12" customHeight="1"/>
    <row r="4026" customFormat="1" ht="12" customHeight="1"/>
    <row r="4027" customFormat="1" ht="12" customHeight="1"/>
    <row r="4028" customFormat="1" ht="12" customHeight="1"/>
    <row r="4029" customFormat="1" ht="12" customHeight="1"/>
    <row r="4030" customFormat="1" ht="12" customHeight="1"/>
    <row r="4031" customFormat="1" ht="12" customHeight="1"/>
    <row r="4032" customFormat="1" ht="12" customHeight="1"/>
    <row r="4033" customFormat="1" ht="12" customHeight="1"/>
    <row r="4034" customFormat="1" ht="12" customHeight="1"/>
    <row r="4035" customFormat="1" ht="12" customHeight="1"/>
    <row r="4036" customFormat="1" ht="12" customHeight="1"/>
    <row r="4037" customFormat="1" ht="12" customHeight="1"/>
    <row r="4038" customFormat="1" ht="12" customHeight="1"/>
    <row r="4039" customFormat="1" ht="12" customHeight="1"/>
    <row r="4040" customFormat="1" ht="12" customHeight="1"/>
    <row r="4041" customFormat="1" ht="12" customHeight="1"/>
    <row r="4042" customFormat="1" ht="12" customHeight="1"/>
    <row r="4043" customFormat="1" ht="12" customHeight="1"/>
    <row r="4044" customFormat="1" ht="12" customHeight="1"/>
    <row r="4045" customFormat="1" ht="12" customHeight="1"/>
    <row r="4046" customFormat="1" ht="12" customHeight="1"/>
    <row r="4047" customFormat="1" ht="12" customHeight="1"/>
    <row r="4048" customFormat="1" ht="12" customHeight="1"/>
    <row r="4049" customFormat="1" ht="12" customHeight="1"/>
    <row r="4050" customFormat="1" ht="15" customHeight="1"/>
    <row r="4051" customFormat="1" ht="15" customHeight="1"/>
    <row r="4052" customFormat="1" ht="15" customHeight="1"/>
    <row r="4053" customFormat="1" ht="15" customHeight="1"/>
    <row r="4054" customFormat="1" ht="15" customHeight="1"/>
    <row r="4055" customFormat="1" ht="15" customHeight="1"/>
    <row r="4056" customFormat="1" ht="15" customHeight="1"/>
    <row r="4057" customFormat="1" ht="15" customHeight="1"/>
    <row r="4058" customFormat="1" ht="15" customHeight="1"/>
    <row r="4059" customFormat="1" ht="15" customHeight="1"/>
    <row r="4060" customFormat="1" ht="12" customHeight="1"/>
    <row r="4061" customFormat="1" ht="15" customHeight="1"/>
    <row r="4062" customFormat="1" ht="15" customHeight="1"/>
    <row r="4063" customFormat="1" ht="15" customHeight="1"/>
    <row r="4064" customFormat="1" ht="15" customHeight="1"/>
    <row r="4065" customFormat="1" ht="15" customHeight="1"/>
    <row r="4066" customFormat="1" ht="15" customHeight="1"/>
    <row r="4067" customFormat="1" ht="15" customHeight="1"/>
    <row r="4068" customFormat="1" ht="15" customHeight="1"/>
    <row r="4069" customFormat="1" ht="15" customHeight="1"/>
    <row r="4070" customFormat="1" ht="15" customHeight="1"/>
    <row r="4071" customFormat="1" ht="15" customHeight="1"/>
    <row r="4072" customFormat="1" ht="15" customHeight="1"/>
    <row r="4073" customFormat="1" ht="15" customHeight="1"/>
    <row r="4074" customFormat="1" ht="15" customHeight="1"/>
    <row r="4075" customFormat="1" ht="15" customHeight="1"/>
    <row r="4076" customFormat="1" ht="15" customHeight="1"/>
    <row r="4077" customFormat="1" ht="12" customHeight="1"/>
    <row r="4078" customFormat="1" ht="15" customHeight="1"/>
    <row r="4079" customFormat="1" ht="15" customHeight="1"/>
    <row r="4080" customFormat="1" ht="12" customHeight="1"/>
    <row r="4081" customFormat="1" ht="15" customHeight="1"/>
    <row r="4082" customFormat="1" ht="15" customHeight="1"/>
    <row r="4083" customFormat="1" ht="15" customHeight="1"/>
    <row r="4084" customFormat="1" ht="15" customHeight="1"/>
    <row r="4085" customFormat="1" ht="15" customHeight="1"/>
    <row r="4086" customFormat="1" ht="12" customHeight="1"/>
    <row r="4087" customFormat="1" ht="15" customHeight="1"/>
    <row r="4088" customFormat="1" ht="15" customHeight="1"/>
    <row r="4089" customFormat="1" ht="15" customHeight="1"/>
    <row r="4090" customFormat="1" ht="15" customHeight="1"/>
    <row r="4091" customFormat="1" ht="15" customHeight="1"/>
    <row r="4092" customFormat="1" ht="15" customHeight="1"/>
    <row r="4093" customFormat="1" ht="15" customHeight="1"/>
    <row r="4094" customFormat="1" ht="15" customHeight="1"/>
    <row r="4095" customFormat="1" ht="15" customHeight="1"/>
    <row r="4096" customFormat="1" ht="15" customHeight="1"/>
    <row r="4097" customFormat="1" ht="15" customHeight="1"/>
    <row r="4098" customFormat="1" ht="15" customHeight="1"/>
    <row r="4099" customFormat="1" ht="15" customHeight="1"/>
    <row r="4100" customFormat="1" ht="15" customHeight="1"/>
    <row r="4101" customFormat="1" ht="15" customHeight="1"/>
    <row r="4102" customFormat="1" ht="15" customHeight="1"/>
    <row r="4103" customFormat="1" ht="12" customHeight="1"/>
    <row r="4104" customFormat="1" ht="15" customHeight="1"/>
    <row r="4105" customFormat="1" ht="15" customHeight="1"/>
    <row r="4106" customFormat="1" ht="12" customHeight="1"/>
    <row r="4107" customFormat="1" ht="15" customHeight="1"/>
    <row r="4108" customFormat="1" ht="15" customHeight="1"/>
    <row r="4109" customFormat="1" ht="15" customHeight="1"/>
    <row r="4110" customFormat="1" ht="12" customHeight="1"/>
    <row r="4111" customFormat="1" ht="15" customHeight="1"/>
    <row r="4112" customFormat="1" ht="15" customHeight="1"/>
    <row r="4113" spans="2:32" ht="15" customHeight="1"/>
    <row r="4114" spans="2:32" ht="15" customHeight="1"/>
    <row r="4115" spans="2:32" ht="15" customHeight="1"/>
    <row r="4116" spans="2:32" ht="15" customHeight="1"/>
    <row r="4117" spans="2:32" ht="15" customHeight="1"/>
    <row r="4118" spans="2:32" ht="15" customHeight="1"/>
    <row r="4119" spans="2:32" ht="15" customHeight="1"/>
    <row r="4120" spans="2:32" ht="15" customHeight="1"/>
    <row r="4121" spans="2:32" ht="12" customHeight="1"/>
    <row r="4122" spans="2:32" ht="15" customHeight="1"/>
    <row r="4123" spans="2:32" ht="15" customHeight="1"/>
    <row r="4124" spans="2:32" ht="12" customHeight="1"/>
    <row r="4125" spans="2:32" ht="15" customHeight="1"/>
    <row r="4126" spans="2:32" ht="15" customHeight="1"/>
    <row r="4127" spans="2:32" ht="15" customHeight="1">
      <c r="B4127" s="291"/>
      <c r="C4127" s="291"/>
      <c r="D4127" s="291"/>
      <c r="E4127" s="291"/>
      <c r="F4127" s="291"/>
      <c r="G4127" s="291"/>
      <c r="H4127" s="291"/>
      <c r="I4127" s="291"/>
      <c r="J4127" s="291"/>
      <c r="K4127" s="291"/>
      <c r="L4127" s="291"/>
      <c r="M4127" s="291"/>
      <c r="N4127" s="291"/>
      <c r="O4127" s="291"/>
      <c r="P4127" s="291"/>
      <c r="Q4127" s="291"/>
      <c r="R4127" s="291"/>
      <c r="S4127" s="291"/>
      <c r="T4127" s="291"/>
      <c r="U4127" s="291"/>
      <c r="V4127" s="291"/>
      <c r="W4127" s="291"/>
      <c r="X4127" s="291"/>
      <c r="Y4127" s="291"/>
      <c r="Z4127" s="291"/>
      <c r="AA4127" s="291"/>
      <c r="AB4127" s="291"/>
      <c r="AC4127" s="291"/>
      <c r="AD4127" s="291"/>
      <c r="AE4127" s="291"/>
      <c r="AF4127" s="291"/>
    </row>
    <row r="4128" spans="2:32" ht="15" customHeight="1"/>
    <row r="4129" customFormat="1" ht="15" customHeight="1"/>
    <row r="4130" customFormat="1" ht="15" customHeight="1"/>
    <row r="4131" customFormat="1" ht="15" customHeight="1"/>
    <row r="4132" customFormat="1" ht="15" customHeight="1"/>
    <row r="4133" customFormat="1" ht="15" customHeight="1"/>
    <row r="4134" customFormat="1" ht="15" customHeight="1"/>
    <row r="4135" customFormat="1" ht="15" customHeight="1"/>
    <row r="4136" customFormat="1" ht="12" customHeight="1"/>
    <row r="4137" customFormat="1" ht="12" customHeight="1"/>
    <row r="4138" customFormat="1" ht="12" customHeight="1"/>
    <row r="4139" customFormat="1" ht="12" customHeight="1"/>
    <row r="4140" customFormat="1" ht="12" customHeight="1"/>
    <row r="4141" customFormat="1" ht="12" customHeight="1"/>
    <row r="4142" customFormat="1" ht="12" customHeight="1"/>
    <row r="4143" customFormat="1" ht="12" customHeight="1"/>
    <row r="4144" customFormat="1" ht="12" customHeight="1"/>
    <row r="4145" customFormat="1" ht="12" customHeight="1"/>
    <row r="4146" customFormat="1" ht="12" customHeight="1"/>
    <row r="4147" customFormat="1" ht="12" customHeight="1"/>
    <row r="4148" customFormat="1" ht="12" customHeight="1"/>
    <row r="4149" customFormat="1" ht="12" customHeight="1"/>
    <row r="4150" customFormat="1" ht="12" customHeight="1"/>
    <row r="4151" customFormat="1" ht="12" customHeight="1"/>
    <row r="4152" customFormat="1" ht="12" customHeight="1"/>
    <row r="4153" customFormat="1" ht="12" customHeight="1"/>
    <row r="4154" customFormat="1" ht="12" customHeight="1"/>
    <row r="4155" customFormat="1" ht="12" customHeight="1"/>
    <row r="4156" customFormat="1" ht="12" customHeight="1"/>
    <row r="4157" customFormat="1" ht="12" customHeight="1"/>
    <row r="4158" customFormat="1" ht="12" customHeight="1"/>
    <row r="4159" customFormat="1" ht="12" customHeight="1"/>
    <row r="4160" customFormat="1" ht="12" customHeight="1"/>
    <row r="4161" customFormat="1" ht="12" customHeight="1"/>
    <row r="4162" customFormat="1" ht="12" customHeight="1"/>
    <row r="4163" customFormat="1" ht="12" customHeight="1"/>
    <row r="4164" customFormat="1" ht="12" customHeight="1"/>
    <row r="4165" customFormat="1" ht="12" customHeight="1"/>
    <row r="4166" customFormat="1" ht="12" customHeight="1"/>
    <row r="4167" customFormat="1" ht="12" customHeight="1"/>
    <row r="4168" customFormat="1" ht="12" customHeight="1"/>
    <row r="4169" customFormat="1" ht="12" customHeight="1"/>
    <row r="4170" customFormat="1" ht="12" customHeight="1"/>
    <row r="4171" customFormat="1" ht="12" customHeight="1"/>
    <row r="4172" customFormat="1" ht="12" customHeight="1"/>
    <row r="4173" customFormat="1" ht="12" customHeight="1"/>
    <row r="4174" customFormat="1" ht="12" customHeight="1"/>
    <row r="4175" customFormat="1" ht="15" customHeight="1"/>
    <row r="4176" customFormat="1" ht="15" customHeight="1"/>
    <row r="4177" customFormat="1" ht="15" customHeight="1"/>
    <row r="4178" customFormat="1" ht="15" customHeight="1"/>
    <row r="4179" customFormat="1" ht="15" customHeight="1"/>
    <row r="4180" customFormat="1" ht="15" customHeight="1"/>
    <row r="4181" customFormat="1" ht="15" customHeight="1"/>
    <row r="4182" customFormat="1" ht="15" customHeight="1"/>
    <row r="4183" customFormat="1" ht="15" customHeight="1"/>
    <row r="4184" customFormat="1" ht="15" customHeight="1"/>
    <row r="4185" customFormat="1" ht="12" customHeight="1"/>
    <row r="4186" customFormat="1" ht="15" customHeight="1"/>
    <row r="4187" customFormat="1" ht="15" customHeight="1"/>
    <row r="4188" customFormat="1" ht="15" customHeight="1"/>
    <row r="4189" customFormat="1" ht="15" customHeight="1"/>
    <row r="4190" customFormat="1" ht="15" customHeight="1"/>
    <row r="4191" customFormat="1" ht="15" customHeight="1"/>
    <row r="4192" customFormat="1" ht="15" customHeight="1"/>
    <row r="4193" customFormat="1" ht="15" customHeight="1"/>
    <row r="4194" customFormat="1" ht="15" customHeight="1"/>
    <row r="4195" customFormat="1" ht="15" customHeight="1"/>
    <row r="4196" customFormat="1" ht="15" customHeight="1"/>
    <row r="4197" customFormat="1" ht="15" customHeight="1"/>
    <row r="4198" customFormat="1" ht="15" customHeight="1"/>
    <row r="4199" customFormat="1" ht="15" customHeight="1"/>
    <row r="4200" customFormat="1" ht="15" customHeight="1"/>
    <row r="4201" customFormat="1" ht="15" customHeight="1"/>
    <row r="4202" customFormat="1" ht="12" customHeight="1"/>
    <row r="4203" customFormat="1" ht="15" customHeight="1"/>
    <row r="4204" customFormat="1" ht="15" customHeight="1"/>
    <row r="4205" customFormat="1" ht="12" customHeight="1"/>
    <row r="4206" customFormat="1" ht="15" customHeight="1"/>
    <row r="4207" customFormat="1" ht="15" customHeight="1"/>
    <row r="4208" customFormat="1" ht="15" customHeight="1"/>
    <row r="4209" customFormat="1" ht="15" customHeight="1"/>
    <row r="4210" customFormat="1" ht="15" customHeight="1"/>
    <row r="4211" customFormat="1" ht="12" customHeight="1"/>
    <row r="4212" customFormat="1" ht="15" customHeight="1"/>
    <row r="4213" customFormat="1" ht="15" customHeight="1"/>
    <row r="4214" customFormat="1" ht="15" customHeight="1"/>
    <row r="4215" customFormat="1" ht="15" customHeight="1"/>
    <row r="4216" customFormat="1" ht="15" customHeight="1"/>
    <row r="4217" customFormat="1" ht="15" customHeight="1"/>
    <row r="4218" customFormat="1" ht="15" customHeight="1"/>
    <row r="4219" customFormat="1" ht="15" customHeight="1"/>
    <row r="4220" customFormat="1" ht="15" customHeight="1"/>
    <row r="4221" customFormat="1" ht="15" customHeight="1"/>
    <row r="4222" customFormat="1" ht="15" customHeight="1"/>
    <row r="4223" customFormat="1" ht="15" customHeight="1"/>
    <row r="4224" customFormat="1" ht="15" customHeight="1"/>
    <row r="4225" customFormat="1" ht="15" customHeight="1"/>
    <row r="4226" customFormat="1" ht="15" customHeight="1"/>
    <row r="4227" customFormat="1" ht="15" customHeight="1"/>
    <row r="4228" customFormat="1" ht="12" customHeight="1"/>
    <row r="4229" customFormat="1" ht="15" customHeight="1"/>
    <row r="4230" customFormat="1" ht="15" customHeight="1"/>
    <row r="4231" customFormat="1" ht="12" customHeight="1"/>
    <row r="4232" customFormat="1" ht="15" customHeight="1"/>
    <row r="4233" customFormat="1" ht="15" customHeight="1"/>
    <row r="4234" customFormat="1" ht="15" customHeight="1"/>
    <row r="4235" customFormat="1" ht="12" customHeight="1"/>
    <row r="4236" customFormat="1" ht="15" customHeight="1"/>
    <row r="4237" customFormat="1" ht="15" customHeight="1"/>
    <row r="4238" customFormat="1" ht="15" customHeight="1"/>
    <row r="4239" customFormat="1" ht="15" customHeight="1"/>
    <row r="4240" customFormat="1" ht="15" customHeight="1"/>
    <row r="4241" spans="2:32" ht="15" customHeight="1"/>
    <row r="4242" spans="2:32" ht="15" customHeight="1"/>
    <row r="4243" spans="2:32" ht="15" customHeight="1"/>
    <row r="4244" spans="2:32" ht="15" customHeight="1"/>
    <row r="4245" spans="2:32" ht="15" customHeight="1"/>
    <row r="4246" spans="2:32" ht="12" customHeight="1"/>
    <row r="4247" spans="2:32" ht="15" customHeight="1"/>
    <row r="4248" spans="2:32" ht="15" customHeight="1"/>
    <row r="4249" spans="2:32" ht="12" customHeight="1"/>
    <row r="4250" spans="2:32" ht="15" customHeight="1"/>
    <row r="4251" spans="2:32" ht="15" customHeight="1"/>
    <row r="4252" spans="2:32" ht="15" customHeight="1">
      <c r="B4252" s="291"/>
      <c r="C4252" s="291"/>
      <c r="D4252" s="291"/>
      <c r="E4252" s="291"/>
      <c r="F4252" s="291"/>
      <c r="G4252" s="291"/>
      <c r="H4252" s="291"/>
      <c r="I4252" s="291"/>
      <c r="J4252" s="291"/>
      <c r="K4252" s="291"/>
      <c r="L4252" s="291"/>
      <c r="M4252" s="291"/>
      <c r="N4252" s="291"/>
      <c r="O4252" s="291"/>
      <c r="P4252" s="291"/>
      <c r="Q4252" s="291"/>
      <c r="R4252" s="291"/>
      <c r="S4252" s="291"/>
      <c r="T4252" s="291"/>
      <c r="U4252" s="291"/>
      <c r="V4252" s="291"/>
      <c r="W4252" s="291"/>
      <c r="X4252" s="291"/>
      <c r="Y4252" s="291"/>
      <c r="Z4252" s="291"/>
      <c r="AA4252" s="291"/>
      <c r="AB4252" s="291"/>
      <c r="AC4252" s="291"/>
      <c r="AD4252" s="291"/>
      <c r="AE4252" s="291"/>
      <c r="AF4252" s="291"/>
    </row>
    <row r="4253" spans="2:32" ht="15" customHeight="1"/>
    <row r="4254" spans="2:32" ht="15" customHeight="1"/>
    <row r="4255" spans="2:32" ht="15" customHeight="1"/>
    <row r="4256" spans="2:32" ht="15" customHeight="1"/>
    <row r="4257" customFormat="1" ht="15" customHeight="1"/>
    <row r="4258" customFormat="1" ht="15" customHeight="1"/>
    <row r="4259" customFormat="1" ht="15" customHeight="1"/>
    <row r="4260" customFormat="1" ht="15" customHeight="1"/>
    <row r="4261" customFormat="1" ht="12" customHeight="1"/>
    <row r="4262" customFormat="1" ht="12" customHeight="1"/>
    <row r="4263" customFormat="1" ht="12" customHeight="1"/>
    <row r="4264" customFormat="1" ht="12" customHeight="1"/>
    <row r="4265" customFormat="1" ht="12" customHeight="1"/>
    <row r="4266" customFormat="1" ht="12" customHeight="1"/>
    <row r="4267" customFormat="1" ht="12" customHeight="1"/>
    <row r="4268" customFormat="1" ht="12" customHeight="1"/>
    <row r="4269" customFormat="1" ht="12" customHeight="1"/>
    <row r="4270" customFormat="1" ht="12" customHeight="1"/>
    <row r="4271" customFormat="1" ht="12" customHeight="1"/>
    <row r="4272" customFormat="1" ht="12" customHeight="1"/>
    <row r="4273" customFormat="1" ht="12" customHeight="1"/>
    <row r="4274" customFormat="1" ht="12" customHeight="1"/>
    <row r="4275" customFormat="1" ht="12" customHeight="1"/>
    <row r="4276" customFormat="1" ht="12" customHeight="1"/>
    <row r="4277" customFormat="1" ht="12" customHeight="1"/>
    <row r="4278" customFormat="1" ht="12" customHeight="1"/>
    <row r="4279" customFormat="1" ht="12" customHeight="1"/>
    <row r="4280" customFormat="1" ht="12" customHeight="1"/>
    <row r="4281" customFormat="1" ht="12" customHeight="1"/>
    <row r="4282" customFormat="1" ht="12" customHeight="1"/>
    <row r="4283" customFormat="1" ht="12" customHeight="1"/>
    <row r="4284" customFormat="1" ht="12" customHeight="1"/>
    <row r="4285" customFormat="1" ht="12" customHeight="1"/>
    <row r="4286" customFormat="1" ht="12" customHeight="1"/>
    <row r="4287" customFormat="1" ht="12" customHeight="1"/>
    <row r="4288" customFormat="1" ht="12" customHeight="1"/>
    <row r="4289" customFormat="1" ht="12" customHeight="1"/>
    <row r="4290" customFormat="1" ht="12" customHeight="1"/>
    <row r="4291" customFormat="1" ht="12" customHeight="1"/>
    <row r="4292" customFormat="1" ht="12" customHeight="1"/>
    <row r="4293" customFormat="1" ht="12" customHeight="1"/>
    <row r="4294" customFormat="1" ht="12" customHeight="1"/>
    <row r="4295" customFormat="1" ht="12" customHeight="1"/>
    <row r="4296" customFormat="1" ht="12" customHeight="1"/>
    <row r="4297" customFormat="1" ht="12" customHeight="1"/>
    <row r="4298" customFormat="1" ht="12" customHeight="1"/>
    <row r="4299" customFormat="1" ht="12" customHeight="1"/>
    <row r="4300" customFormat="1" ht="15" customHeight="1"/>
    <row r="4301" customFormat="1" ht="15" customHeight="1"/>
    <row r="4302" customFormat="1" ht="15" customHeight="1"/>
    <row r="4303" customFormat="1" ht="15" customHeight="1"/>
    <row r="4304" customFormat="1" ht="15" customHeight="1"/>
    <row r="4305" customFormat="1" ht="15" customHeight="1"/>
    <row r="4306" customFormat="1" ht="15" customHeight="1"/>
    <row r="4307" customFormat="1" ht="15" customHeight="1"/>
    <row r="4308" customFormat="1" ht="15" customHeight="1"/>
    <row r="4309" customFormat="1" ht="15" customHeight="1"/>
    <row r="4310" customFormat="1" ht="12" customHeight="1"/>
    <row r="4311" customFormat="1" ht="15" customHeight="1"/>
    <row r="4312" customFormat="1" ht="15" customHeight="1"/>
    <row r="4313" customFormat="1" ht="15" customHeight="1"/>
    <row r="4314" customFormat="1" ht="15" customHeight="1"/>
    <row r="4315" customFormat="1" ht="15" customHeight="1"/>
    <row r="4316" customFormat="1" ht="15" customHeight="1"/>
    <row r="4317" customFormat="1" ht="15" customHeight="1"/>
    <row r="4318" customFormat="1" ht="15" customHeight="1"/>
    <row r="4319" customFormat="1" ht="15" customHeight="1"/>
    <row r="4320" customFormat="1" ht="15" customHeight="1"/>
    <row r="4321" customFormat="1" ht="15" customHeight="1"/>
    <row r="4322" customFormat="1" ht="15" customHeight="1"/>
    <row r="4323" customFormat="1" ht="15" customHeight="1"/>
    <row r="4324" customFormat="1" ht="15" customHeight="1"/>
    <row r="4325" customFormat="1" ht="15" customHeight="1"/>
    <row r="4326" customFormat="1" ht="15" customHeight="1"/>
    <row r="4327" customFormat="1" ht="12" customHeight="1"/>
    <row r="4328" customFormat="1" ht="15" customHeight="1"/>
    <row r="4329" customFormat="1" ht="15" customHeight="1"/>
    <row r="4330" customFormat="1" ht="12" customHeight="1"/>
    <row r="4331" customFormat="1" ht="15" customHeight="1"/>
    <row r="4332" customFormat="1" ht="15" customHeight="1"/>
    <row r="4333" customFormat="1" ht="15" customHeight="1"/>
    <row r="4334" customFormat="1" ht="15" customHeight="1"/>
    <row r="4335" customFormat="1" ht="15" customHeight="1"/>
    <row r="4336" customFormat="1" ht="12" customHeight="1"/>
    <row r="4337" customFormat="1" ht="15" customHeight="1"/>
    <row r="4338" customFormat="1" ht="15" customHeight="1"/>
    <row r="4339" customFormat="1" ht="15" customHeight="1"/>
    <row r="4340" customFormat="1" ht="15" customHeight="1"/>
    <row r="4341" customFormat="1" ht="15" customHeight="1"/>
    <row r="4342" customFormat="1" ht="15" customHeight="1"/>
    <row r="4343" customFormat="1" ht="15" customHeight="1"/>
    <row r="4344" customFormat="1" ht="15" customHeight="1"/>
    <row r="4345" customFormat="1" ht="15" customHeight="1"/>
    <row r="4346" customFormat="1" ht="15" customHeight="1"/>
    <row r="4347" customFormat="1" ht="15" customHeight="1"/>
    <row r="4348" customFormat="1" ht="15" customHeight="1"/>
    <row r="4349" customFormat="1" ht="15" customHeight="1"/>
    <row r="4350" customFormat="1" ht="15" customHeight="1"/>
    <row r="4351" customFormat="1" ht="15" customHeight="1"/>
    <row r="4352" customFormat="1" ht="15" customHeight="1"/>
    <row r="4353" customFormat="1" ht="12" customHeight="1"/>
    <row r="4354" customFormat="1" ht="15" customHeight="1"/>
    <row r="4355" customFormat="1" ht="15" customHeight="1"/>
    <row r="4356" customFormat="1" ht="12" customHeight="1"/>
    <row r="4357" customFormat="1" ht="15" customHeight="1"/>
    <row r="4358" customFormat="1" ht="15" customHeight="1"/>
    <row r="4359" customFormat="1" ht="15" customHeight="1"/>
    <row r="4360" customFormat="1" ht="12" customHeight="1"/>
    <row r="4361" customFormat="1" ht="15" customHeight="1"/>
    <row r="4362" customFormat="1" ht="15" customHeight="1"/>
    <row r="4363" customFormat="1" ht="15" customHeight="1"/>
    <row r="4364" customFormat="1" ht="15" customHeight="1"/>
    <row r="4365" customFormat="1" ht="15" customHeight="1"/>
    <row r="4366" customFormat="1" ht="15" customHeight="1"/>
    <row r="4367" customFormat="1" ht="15" customHeight="1"/>
    <row r="4368" customFormat="1" ht="15" customHeight="1"/>
    <row r="4369" spans="2:32" ht="15" customHeight="1"/>
    <row r="4370" spans="2:32" ht="15" customHeight="1"/>
    <row r="4371" spans="2:32" ht="12" customHeight="1"/>
    <row r="4372" spans="2:32" ht="15" customHeight="1"/>
    <row r="4373" spans="2:32" ht="15" customHeight="1"/>
    <row r="4374" spans="2:32" ht="12" customHeight="1"/>
    <row r="4375" spans="2:32" ht="15" customHeight="1"/>
    <row r="4376" spans="2:32" ht="15" customHeight="1"/>
    <row r="4377" spans="2:32" ht="15" customHeight="1">
      <c r="B4377" s="291"/>
      <c r="C4377" s="291"/>
      <c r="D4377" s="291"/>
      <c r="E4377" s="291"/>
      <c r="F4377" s="291"/>
      <c r="G4377" s="291"/>
      <c r="H4377" s="291"/>
      <c r="I4377" s="291"/>
      <c r="J4377" s="291"/>
      <c r="K4377" s="291"/>
      <c r="L4377" s="291"/>
      <c r="M4377" s="291"/>
      <c r="N4377" s="291"/>
      <c r="O4377" s="291"/>
      <c r="P4377" s="291"/>
      <c r="Q4377" s="291"/>
      <c r="R4377" s="291"/>
      <c r="S4377" s="291"/>
      <c r="T4377" s="291"/>
      <c r="U4377" s="291"/>
      <c r="V4377" s="291"/>
      <c r="W4377" s="291"/>
      <c r="X4377" s="291"/>
      <c r="Y4377" s="291"/>
      <c r="Z4377" s="291"/>
      <c r="AA4377" s="291"/>
      <c r="AB4377" s="291"/>
      <c r="AC4377" s="291"/>
      <c r="AD4377" s="291"/>
      <c r="AE4377" s="291"/>
      <c r="AF4377" s="291"/>
    </row>
    <row r="4378" spans="2:32" ht="15" customHeight="1"/>
    <row r="4379" spans="2:32" ht="15" customHeight="1"/>
    <row r="4380" spans="2:32" ht="15" customHeight="1"/>
    <row r="4381" spans="2:32" ht="15" customHeight="1"/>
    <row r="4382" spans="2:32" ht="15" customHeight="1"/>
    <row r="4383" spans="2:32" ht="15" customHeight="1"/>
    <row r="4384" spans="2:32" ht="15" customHeight="1"/>
    <row r="4385" customFormat="1" ht="15" customHeight="1"/>
    <row r="4386" customFormat="1" ht="12" customHeight="1"/>
    <row r="4387" customFormat="1" ht="12" customHeight="1"/>
    <row r="4388" customFormat="1" ht="12" customHeight="1"/>
    <row r="4389" customFormat="1" ht="12" customHeight="1"/>
    <row r="4390" customFormat="1" ht="12" customHeight="1"/>
    <row r="4391" customFormat="1" ht="12" customHeight="1"/>
    <row r="4392" customFormat="1" ht="12" customHeight="1"/>
    <row r="4393" customFormat="1" ht="12" customHeight="1"/>
    <row r="4394" customFormat="1" ht="12" customHeight="1"/>
    <row r="4395" customFormat="1" ht="12" customHeight="1"/>
    <row r="4396" customFormat="1" ht="12" customHeight="1"/>
    <row r="4397" customFormat="1" ht="12" customHeight="1"/>
    <row r="4398" customFormat="1" ht="12" customHeight="1"/>
    <row r="4399" customFormat="1" ht="12" customHeight="1"/>
    <row r="4400" customFormat="1" ht="12" customHeight="1"/>
    <row r="4401" customFormat="1" ht="12" customHeight="1"/>
    <row r="4402" customFormat="1" ht="12" customHeight="1"/>
    <row r="4403" customFormat="1" ht="12" customHeight="1"/>
    <row r="4404" customFormat="1" ht="12" customHeight="1"/>
    <row r="4405" customFormat="1" ht="12" customHeight="1"/>
    <row r="4406" customFormat="1" ht="12" customHeight="1"/>
    <row r="4407" customFormat="1" ht="12" customHeight="1"/>
    <row r="4408" customFormat="1" ht="12" customHeight="1"/>
    <row r="4409" customFormat="1" ht="12" customHeight="1"/>
    <row r="4410" customFormat="1" ht="12" customHeight="1"/>
    <row r="4411" customFormat="1" ht="12" customHeight="1"/>
    <row r="4412" customFormat="1" ht="12" customHeight="1"/>
    <row r="4413" customFormat="1" ht="12" customHeight="1"/>
    <row r="4414" customFormat="1" ht="12" customHeight="1"/>
    <row r="4415" customFormat="1" ht="12" customHeight="1"/>
    <row r="4416" customFormat="1" ht="12" customHeight="1"/>
    <row r="4417" customFormat="1" ht="12" customHeight="1"/>
    <row r="4418" customFormat="1" ht="12" customHeight="1"/>
    <row r="4419" customFormat="1" ht="12" customHeight="1"/>
    <row r="4420" customFormat="1" ht="12" customHeight="1"/>
    <row r="4421" customFormat="1" ht="12" customHeight="1"/>
    <row r="4422" customFormat="1" ht="12" customHeight="1"/>
    <row r="4423" customFormat="1" ht="12" customHeight="1"/>
    <row r="4424" customFormat="1" ht="12" customHeight="1"/>
    <row r="4425" customFormat="1" ht="15" customHeight="1"/>
    <row r="4426" customFormat="1" ht="15" customHeight="1"/>
    <row r="4427" customFormat="1" ht="15" customHeight="1"/>
    <row r="4428" customFormat="1" ht="15" customHeight="1"/>
    <row r="4429" customFormat="1" ht="15" customHeight="1"/>
    <row r="4430" customFormat="1" ht="15" customHeight="1"/>
    <row r="4431" customFormat="1" ht="15" customHeight="1"/>
    <row r="4432" customFormat="1" ht="15" customHeight="1"/>
    <row r="4433" customFormat="1" ht="15" customHeight="1"/>
    <row r="4434" customFormat="1" ht="15" customHeight="1"/>
    <row r="4435" customFormat="1" ht="12" customHeight="1"/>
    <row r="4436" customFormat="1" ht="15" customHeight="1"/>
    <row r="4437" customFormat="1" ht="15" customHeight="1"/>
    <row r="4438" customFormat="1" ht="15" customHeight="1"/>
    <row r="4439" customFormat="1" ht="15" customHeight="1"/>
    <row r="4440" customFormat="1" ht="15" customHeight="1"/>
    <row r="4441" customFormat="1" ht="15" customHeight="1"/>
    <row r="4442" customFormat="1" ht="15" customHeight="1"/>
    <row r="4443" customFormat="1" ht="15" customHeight="1"/>
    <row r="4444" customFormat="1" ht="15" customHeight="1"/>
    <row r="4445" customFormat="1" ht="15" customHeight="1"/>
    <row r="4446" customFormat="1" ht="15" customHeight="1"/>
    <row r="4447" customFormat="1" ht="15" customHeight="1"/>
    <row r="4448" customFormat="1" ht="15" customHeight="1"/>
    <row r="4449" customFormat="1" ht="15" customHeight="1"/>
    <row r="4450" customFormat="1" ht="15" customHeight="1"/>
    <row r="4451" customFormat="1" ht="15" customHeight="1"/>
    <row r="4452" customFormat="1" ht="12" customHeight="1"/>
    <row r="4453" customFormat="1" ht="15" customHeight="1"/>
    <row r="4454" customFormat="1" ht="15" customHeight="1"/>
    <row r="4455" customFormat="1" ht="12" customHeight="1"/>
    <row r="4456" customFormat="1" ht="15" customHeight="1"/>
    <row r="4457" customFormat="1" ht="15" customHeight="1"/>
    <row r="4458" customFormat="1" ht="15" customHeight="1"/>
    <row r="4459" customFormat="1" ht="15" customHeight="1"/>
    <row r="4460" customFormat="1" ht="15" customHeight="1"/>
    <row r="4461" customFormat="1" ht="12" customHeight="1"/>
    <row r="4462" customFormat="1" ht="15" customHeight="1"/>
    <row r="4463" customFormat="1" ht="15" customHeight="1"/>
    <row r="4464" customFormat="1" ht="15" customHeight="1"/>
    <row r="4465" customFormat="1" ht="15" customHeight="1"/>
    <row r="4466" customFormat="1" ht="15" customHeight="1"/>
    <row r="4467" customFormat="1" ht="15" customHeight="1"/>
    <row r="4468" customFormat="1" ht="15" customHeight="1"/>
    <row r="4469" customFormat="1" ht="15" customHeight="1"/>
    <row r="4470" customFormat="1" ht="15" customHeight="1"/>
    <row r="4471" customFormat="1" ht="15" customHeight="1"/>
    <row r="4472" customFormat="1" ht="15" customHeight="1"/>
    <row r="4473" customFormat="1" ht="15" customHeight="1"/>
    <row r="4474" customFormat="1" ht="15" customHeight="1"/>
    <row r="4475" customFormat="1" ht="15" customHeight="1"/>
    <row r="4476" customFormat="1" ht="15" customHeight="1"/>
    <row r="4477" customFormat="1" ht="15" customHeight="1"/>
    <row r="4478" customFormat="1" ht="12" customHeight="1"/>
    <row r="4479" customFormat="1" ht="15" customHeight="1"/>
    <row r="4480" customFormat="1" ht="15" customHeight="1"/>
    <row r="4481" customFormat="1" ht="12" customHeight="1"/>
    <row r="4482" customFormat="1" ht="15" customHeight="1"/>
    <row r="4483" customFormat="1" ht="15" customHeight="1"/>
    <row r="4484" customFormat="1" ht="15" customHeight="1"/>
    <row r="4485" customFormat="1" ht="12" customHeight="1"/>
    <row r="4486" customFormat="1" ht="15" customHeight="1"/>
    <row r="4487" customFormat="1" ht="15" customHeight="1"/>
    <row r="4488" customFormat="1" ht="15" customHeight="1"/>
    <row r="4489" customFormat="1" ht="15" customHeight="1"/>
    <row r="4490" customFormat="1" ht="15" customHeight="1"/>
    <row r="4491" customFormat="1" ht="15" customHeight="1"/>
    <row r="4492" customFormat="1" ht="15" customHeight="1"/>
    <row r="4493" customFormat="1" ht="15" customHeight="1"/>
    <row r="4494" customFormat="1" ht="15" customHeight="1"/>
    <row r="4495" customFormat="1" ht="15" customHeight="1"/>
    <row r="4496" customFormat="1" ht="12" customHeight="1"/>
    <row r="4497" spans="2:32" ht="15" customHeight="1"/>
    <row r="4498" spans="2:32" ht="15" customHeight="1"/>
    <row r="4499" spans="2:32" ht="12" customHeight="1"/>
    <row r="4500" spans="2:32" ht="15" customHeight="1"/>
    <row r="4501" spans="2:32" ht="15" customHeight="1"/>
    <row r="4502" spans="2:32" ht="15" customHeight="1">
      <c r="B4502" s="291"/>
      <c r="C4502" s="291"/>
      <c r="D4502" s="291"/>
      <c r="E4502" s="291"/>
      <c r="F4502" s="291"/>
      <c r="G4502" s="291"/>
      <c r="H4502" s="291"/>
      <c r="I4502" s="291"/>
      <c r="J4502" s="291"/>
      <c r="K4502" s="291"/>
      <c r="L4502" s="291"/>
      <c r="M4502" s="291"/>
      <c r="N4502" s="291"/>
      <c r="O4502" s="291"/>
      <c r="P4502" s="291"/>
      <c r="Q4502" s="291"/>
      <c r="R4502" s="291"/>
      <c r="S4502" s="291"/>
      <c r="T4502" s="291"/>
      <c r="U4502" s="291"/>
      <c r="V4502" s="291"/>
      <c r="W4502" s="291"/>
      <c r="X4502" s="291"/>
      <c r="Y4502" s="291"/>
      <c r="Z4502" s="291"/>
      <c r="AA4502" s="291"/>
      <c r="AB4502" s="291"/>
      <c r="AC4502" s="291"/>
      <c r="AD4502" s="291"/>
      <c r="AE4502" s="291"/>
      <c r="AF4502" s="291"/>
    </row>
    <row r="4503" spans="2:32" ht="15" customHeight="1"/>
    <row r="4504" spans="2:32" ht="15" customHeight="1"/>
    <row r="4505" spans="2:32" ht="15" customHeight="1"/>
    <row r="4506" spans="2:32" ht="15" customHeight="1"/>
    <row r="4507" spans="2:32" ht="15" customHeight="1"/>
    <row r="4508" spans="2:32" ht="15" customHeight="1"/>
    <row r="4509" spans="2:32" ht="15" customHeight="1"/>
    <row r="4510" spans="2:32" ht="15" customHeight="1"/>
  </sheetData>
  <mergeCells count="29">
    <mergeCell ref="B4002:AF4002"/>
    <mergeCell ref="B4127:AF4127"/>
    <mergeCell ref="B4252:AF4252"/>
    <mergeCell ref="B4377:AF4377"/>
    <mergeCell ref="B4502:AF4502"/>
    <mergeCell ref="B3877:AF3877"/>
    <mergeCell ref="B1294:AF1294"/>
    <mergeCell ref="B1590:AF1590"/>
    <mergeCell ref="B1813:AF1813"/>
    <mergeCell ref="B2090:AF2090"/>
    <mergeCell ref="B2425:AF2425"/>
    <mergeCell ref="B2745:AF2745"/>
    <mergeCell ref="B3076:AF3076"/>
    <mergeCell ref="B3393:AF3393"/>
    <mergeCell ref="B3502:AF3502"/>
    <mergeCell ref="B3627:AF3627"/>
    <mergeCell ref="B3752:AF3752"/>
    <mergeCell ref="B1194:AF1194"/>
    <mergeCell ref="B79:AG79"/>
    <mergeCell ref="B117:AF117"/>
    <mergeCell ref="B259:AF259"/>
    <mergeCell ref="B339:AF339"/>
    <mergeCell ref="B452:AF452"/>
    <mergeCell ref="B565:AF565"/>
    <mergeCell ref="B663:AF663"/>
    <mergeCell ref="B735:AF735"/>
    <mergeCell ref="B911:AF911"/>
    <mergeCell ref="B994:AF994"/>
    <mergeCell ref="B1096:AF1096"/>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25B5B-9FC8-48BF-8FF1-A5097F0B1FFD}">
  <dimension ref="A1:AH4502"/>
  <sheetViews>
    <sheetView workbookViewId="0"/>
    <sheetView workbookViewId="1"/>
  </sheetViews>
  <sheetFormatPr defaultRowHeight="14.75"/>
  <sheetData>
    <row r="1" spans="1:33" ht="15.5" thickBot="1">
      <c r="A1" s="29"/>
      <c r="B1" s="34" t="s">
        <v>649</v>
      </c>
      <c r="C1" s="35">
        <v>2022</v>
      </c>
      <c r="D1" s="35">
        <v>2023</v>
      </c>
      <c r="E1" s="35">
        <v>2024</v>
      </c>
      <c r="F1" s="35">
        <v>2025</v>
      </c>
      <c r="G1" s="35">
        <v>2026</v>
      </c>
      <c r="H1" s="35">
        <v>2027</v>
      </c>
      <c r="I1" s="35">
        <v>2028</v>
      </c>
      <c r="J1" s="35">
        <v>2029</v>
      </c>
      <c r="K1" s="35">
        <v>2030</v>
      </c>
      <c r="L1" s="35">
        <v>2031</v>
      </c>
      <c r="M1" s="35">
        <v>2032</v>
      </c>
      <c r="N1" s="35">
        <v>2033</v>
      </c>
      <c r="O1" s="35">
        <v>2034</v>
      </c>
      <c r="P1" s="35">
        <v>2035</v>
      </c>
      <c r="Q1" s="35">
        <v>2036</v>
      </c>
      <c r="R1" s="35">
        <v>2037</v>
      </c>
      <c r="S1" s="35">
        <v>2038</v>
      </c>
      <c r="T1" s="35">
        <v>2039</v>
      </c>
      <c r="U1" s="35">
        <v>2040</v>
      </c>
      <c r="V1" s="35">
        <v>2041</v>
      </c>
      <c r="W1" s="35">
        <v>2042</v>
      </c>
      <c r="X1" s="35">
        <v>2043</v>
      </c>
      <c r="Y1" s="35">
        <v>2044</v>
      </c>
      <c r="Z1" s="35">
        <v>2045</v>
      </c>
      <c r="AA1" s="35">
        <v>2046</v>
      </c>
      <c r="AB1" s="35">
        <v>2047</v>
      </c>
      <c r="AC1" s="35">
        <v>2048</v>
      </c>
      <c r="AD1" s="35">
        <v>2049</v>
      </c>
      <c r="AE1" s="35">
        <v>2050</v>
      </c>
      <c r="AF1" s="29"/>
      <c r="AG1" s="29"/>
    </row>
    <row r="2" spans="1:33" ht="15.5" thickTop="1">
      <c r="A2" s="29"/>
      <c r="B2" s="29"/>
      <c r="C2" s="29"/>
      <c r="D2" s="29"/>
      <c r="E2" s="29"/>
      <c r="F2" s="29"/>
      <c r="G2" s="29"/>
      <c r="H2" s="29"/>
      <c r="I2" s="29"/>
      <c r="J2" s="29"/>
      <c r="K2" s="29"/>
      <c r="L2" s="29"/>
      <c r="M2" s="29"/>
      <c r="N2" s="29"/>
      <c r="O2" s="29"/>
      <c r="P2" s="29"/>
      <c r="Q2" s="29"/>
      <c r="R2" s="29"/>
      <c r="S2" s="29"/>
      <c r="T2" s="29"/>
      <c r="U2" s="29"/>
      <c r="V2" s="29"/>
      <c r="W2" s="29"/>
      <c r="X2" s="29"/>
      <c r="Y2" s="29"/>
      <c r="Z2" s="29"/>
      <c r="AA2" s="29"/>
      <c r="AB2" s="29"/>
      <c r="AC2" s="29"/>
      <c r="AD2" s="29"/>
      <c r="AE2" s="29"/>
      <c r="AF2" s="29"/>
      <c r="AG2" s="29"/>
    </row>
    <row r="3" spans="1:33">
      <c r="A3" s="29"/>
      <c r="B3" s="29"/>
      <c r="C3" s="40" t="s">
        <v>265</v>
      </c>
      <c r="D3" s="40" t="s">
        <v>650</v>
      </c>
      <c r="E3" s="36"/>
      <c r="F3" s="36"/>
      <c r="G3" s="36"/>
      <c r="H3" s="29"/>
      <c r="I3" s="29"/>
      <c r="J3" s="29"/>
      <c r="K3" s="29"/>
      <c r="L3" s="29"/>
      <c r="M3" s="29"/>
      <c r="N3" s="29"/>
      <c r="O3" s="29"/>
      <c r="P3" s="29"/>
      <c r="Q3" s="29"/>
      <c r="R3" s="29"/>
      <c r="S3" s="29"/>
      <c r="T3" s="29"/>
      <c r="U3" s="29"/>
      <c r="V3" s="29"/>
      <c r="W3" s="29"/>
      <c r="X3" s="29"/>
      <c r="Y3" s="29"/>
      <c r="Z3" s="29"/>
      <c r="AA3" s="29"/>
      <c r="AB3" s="29"/>
      <c r="AC3" s="29"/>
      <c r="AD3" s="29"/>
      <c r="AE3" s="29"/>
      <c r="AF3" s="29"/>
      <c r="AG3" s="29"/>
    </row>
    <row r="4" spans="1:33">
      <c r="A4" s="29"/>
      <c r="B4" s="29"/>
      <c r="C4" s="40" t="s">
        <v>266</v>
      </c>
      <c r="D4" s="40" t="s">
        <v>651</v>
      </c>
      <c r="E4" s="36"/>
      <c r="F4" s="36"/>
      <c r="G4" s="40" t="s">
        <v>652</v>
      </c>
      <c r="H4" s="29"/>
      <c r="I4" s="29"/>
      <c r="J4" s="29"/>
      <c r="K4" s="29"/>
      <c r="L4" s="29"/>
      <c r="M4" s="29"/>
      <c r="N4" s="29"/>
      <c r="O4" s="29"/>
      <c r="P4" s="29"/>
      <c r="Q4" s="29"/>
      <c r="R4" s="29"/>
      <c r="S4" s="29"/>
      <c r="T4" s="29"/>
      <c r="U4" s="29"/>
      <c r="V4" s="29"/>
      <c r="W4" s="29"/>
      <c r="X4" s="29"/>
      <c r="Y4" s="29"/>
      <c r="Z4" s="29"/>
      <c r="AA4" s="29"/>
      <c r="AB4" s="29"/>
      <c r="AC4" s="29"/>
      <c r="AD4" s="29"/>
      <c r="AE4" s="29"/>
      <c r="AF4" s="29"/>
      <c r="AG4" s="29"/>
    </row>
    <row r="5" spans="1:33">
      <c r="A5" s="29"/>
      <c r="B5" s="29"/>
      <c r="C5" s="40" t="s">
        <v>267</v>
      </c>
      <c r="D5" s="40" t="s">
        <v>653</v>
      </c>
      <c r="E5" s="36"/>
      <c r="F5" s="36"/>
      <c r="G5" s="36"/>
      <c r="H5" s="29"/>
      <c r="I5" s="29"/>
      <c r="J5" s="29"/>
      <c r="K5" s="29"/>
      <c r="L5" s="29"/>
      <c r="M5" s="29"/>
      <c r="N5" s="29"/>
      <c r="O5" s="29"/>
      <c r="P5" s="29"/>
      <c r="Q5" s="29"/>
      <c r="R5" s="29"/>
      <c r="S5" s="29"/>
      <c r="T5" s="29"/>
      <c r="U5" s="29"/>
      <c r="V5" s="29"/>
      <c r="W5" s="29"/>
      <c r="X5" s="29"/>
      <c r="Y5" s="29"/>
      <c r="Z5" s="29"/>
      <c r="AA5" s="29"/>
      <c r="AB5" s="29"/>
      <c r="AC5" s="29"/>
      <c r="AD5" s="29"/>
      <c r="AE5" s="29"/>
      <c r="AF5" s="29"/>
      <c r="AG5" s="29"/>
    </row>
    <row r="6" spans="1:33">
      <c r="A6" s="29"/>
      <c r="B6" s="29"/>
      <c r="C6" s="40" t="s">
        <v>268</v>
      </c>
      <c r="D6" s="36"/>
      <c r="E6" s="40" t="s">
        <v>654</v>
      </c>
      <c r="F6" s="36"/>
      <c r="G6" s="36"/>
      <c r="H6" s="29"/>
      <c r="I6" s="29"/>
      <c r="J6" s="29"/>
      <c r="K6" s="29"/>
      <c r="L6" s="29"/>
      <c r="M6" s="29"/>
      <c r="N6" s="29"/>
      <c r="O6" s="29"/>
      <c r="P6" s="29"/>
      <c r="Q6" s="29"/>
      <c r="R6" s="29"/>
      <c r="S6" s="29"/>
      <c r="T6" s="29"/>
      <c r="U6" s="29"/>
      <c r="V6" s="29"/>
      <c r="W6" s="29"/>
      <c r="X6" s="29"/>
      <c r="Y6" s="29"/>
      <c r="Z6" s="29"/>
      <c r="AA6" s="29"/>
      <c r="AB6" s="29"/>
      <c r="AC6" s="29"/>
      <c r="AD6" s="29"/>
      <c r="AE6" s="29"/>
      <c r="AF6" s="29"/>
      <c r="AG6" s="29"/>
    </row>
    <row r="7" spans="1:33">
      <c r="A7" s="29"/>
      <c r="B7" s="29"/>
      <c r="C7" s="29"/>
      <c r="D7" s="29"/>
      <c r="E7" s="29"/>
      <c r="F7" s="29"/>
      <c r="G7" s="29"/>
      <c r="H7" s="29"/>
      <c r="I7" s="29"/>
      <c r="J7" s="29"/>
      <c r="K7" s="29"/>
      <c r="L7" s="29"/>
      <c r="M7" s="29"/>
      <c r="N7" s="29"/>
      <c r="O7" s="29"/>
      <c r="P7" s="29"/>
      <c r="Q7" s="29"/>
      <c r="R7" s="29"/>
      <c r="S7" s="29"/>
      <c r="T7" s="29"/>
      <c r="U7" s="29"/>
      <c r="V7" s="29"/>
      <c r="W7" s="29"/>
      <c r="X7" s="29"/>
      <c r="Y7" s="29"/>
      <c r="Z7" s="29"/>
      <c r="AA7" s="29"/>
      <c r="AB7" s="29"/>
      <c r="AC7" s="29"/>
      <c r="AD7" s="29"/>
      <c r="AE7" s="29"/>
      <c r="AF7" s="29"/>
      <c r="AG7" s="29"/>
    </row>
    <row r="8" spans="1:33">
      <c r="A8" s="29"/>
      <c r="B8" s="29"/>
      <c r="C8" s="29"/>
      <c r="D8" s="29"/>
      <c r="E8" s="29"/>
      <c r="F8" s="29"/>
      <c r="G8" s="29"/>
      <c r="H8" s="29"/>
      <c r="I8" s="29"/>
      <c r="J8" s="29"/>
      <c r="K8" s="29"/>
      <c r="L8" s="29"/>
      <c r="M8" s="29"/>
      <c r="N8" s="29"/>
      <c r="O8" s="29"/>
      <c r="P8" s="29"/>
      <c r="Q8" s="29"/>
      <c r="R8" s="29"/>
      <c r="S8" s="29"/>
      <c r="T8" s="29"/>
      <c r="U8" s="29"/>
      <c r="V8" s="29"/>
      <c r="W8" s="29"/>
      <c r="X8" s="29"/>
      <c r="Y8" s="29"/>
      <c r="Z8" s="29"/>
      <c r="AA8" s="29"/>
      <c r="AB8" s="29"/>
      <c r="AC8" s="29"/>
      <c r="AD8" s="29"/>
      <c r="AE8" s="29"/>
      <c r="AF8" s="29"/>
      <c r="AG8" s="29"/>
    </row>
    <row r="9" spans="1:33">
      <c r="A9" s="29"/>
      <c r="B9" s="29"/>
      <c r="C9" s="29"/>
      <c r="D9" s="29"/>
      <c r="E9" s="29"/>
      <c r="F9" s="29"/>
      <c r="G9" s="29"/>
      <c r="H9" s="29"/>
      <c r="I9" s="29"/>
      <c r="J9" s="29"/>
      <c r="K9" s="29"/>
      <c r="L9" s="29"/>
      <c r="M9" s="29"/>
      <c r="N9" s="29"/>
      <c r="O9" s="29"/>
      <c r="P9" s="29"/>
      <c r="Q9" s="29"/>
      <c r="R9" s="29"/>
      <c r="S9" s="29"/>
      <c r="T9" s="29"/>
      <c r="U9" s="29"/>
      <c r="V9" s="29"/>
      <c r="W9" s="29"/>
      <c r="X9" s="29"/>
      <c r="Y9" s="29"/>
      <c r="Z9" s="29"/>
      <c r="AA9" s="29"/>
      <c r="AB9" s="29"/>
      <c r="AC9" s="29"/>
      <c r="AD9" s="29"/>
      <c r="AE9" s="29"/>
      <c r="AF9" s="29"/>
      <c r="AG9" s="29"/>
    </row>
    <row r="10" spans="1:33" ht="16">
      <c r="A10" s="30" t="s">
        <v>330</v>
      </c>
      <c r="B10" s="45" t="s">
        <v>331</v>
      </c>
      <c r="C10" s="31"/>
      <c r="D10" s="31"/>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7" t="s">
        <v>656</v>
      </c>
      <c r="AG10" s="31"/>
    </row>
    <row r="11" spans="1:33">
      <c r="A11" s="29"/>
      <c r="B11" s="46" t="s">
        <v>332</v>
      </c>
      <c r="C11" s="31"/>
      <c r="D11" s="31"/>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7" t="s">
        <v>657</v>
      </c>
      <c r="AG11" s="31"/>
    </row>
    <row r="12" spans="1:33">
      <c r="A12" s="29"/>
      <c r="B12" s="46"/>
      <c r="C12" s="38"/>
      <c r="D12" s="38"/>
      <c r="E12" s="38"/>
      <c r="F12" s="38"/>
      <c r="G12" s="38"/>
      <c r="H12" s="38"/>
      <c r="I12" s="38"/>
      <c r="J12" s="38"/>
      <c r="K12" s="38"/>
      <c r="L12" s="38"/>
      <c r="M12" s="38"/>
      <c r="N12" s="38"/>
      <c r="O12" s="38"/>
      <c r="P12" s="38"/>
      <c r="Q12" s="38"/>
      <c r="R12" s="38"/>
      <c r="S12" s="38"/>
      <c r="T12" s="38"/>
      <c r="U12" s="38"/>
      <c r="V12" s="38"/>
      <c r="W12" s="38"/>
      <c r="X12" s="38"/>
      <c r="Y12" s="38"/>
      <c r="Z12" s="38"/>
      <c r="AA12" s="38"/>
      <c r="AB12" s="38"/>
      <c r="AC12" s="38"/>
      <c r="AD12" s="38"/>
      <c r="AE12" s="38"/>
      <c r="AF12" s="37" t="s">
        <v>658</v>
      </c>
      <c r="AG12" s="31"/>
    </row>
    <row r="13" spans="1:33" ht="38" thickBot="1">
      <c r="A13" s="29"/>
      <c r="B13" s="47" t="s">
        <v>333</v>
      </c>
      <c r="C13" s="47">
        <v>2022</v>
      </c>
      <c r="D13" s="47">
        <v>2023</v>
      </c>
      <c r="E13" s="47">
        <v>2024</v>
      </c>
      <c r="F13" s="47">
        <v>2025</v>
      </c>
      <c r="G13" s="47">
        <v>2026</v>
      </c>
      <c r="H13" s="47">
        <v>2027</v>
      </c>
      <c r="I13" s="47">
        <v>2028</v>
      </c>
      <c r="J13" s="47">
        <v>2029</v>
      </c>
      <c r="K13" s="47">
        <v>2030</v>
      </c>
      <c r="L13" s="47">
        <v>2031</v>
      </c>
      <c r="M13" s="47">
        <v>2032</v>
      </c>
      <c r="N13" s="47">
        <v>2033</v>
      </c>
      <c r="O13" s="47">
        <v>2034</v>
      </c>
      <c r="P13" s="47">
        <v>2035</v>
      </c>
      <c r="Q13" s="47">
        <v>2036</v>
      </c>
      <c r="R13" s="47">
        <v>2037</v>
      </c>
      <c r="S13" s="47">
        <v>2038</v>
      </c>
      <c r="T13" s="47">
        <v>2039</v>
      </c>
      <c r="U13" s="47">
        <v>2040</v>
      </c>
      <c r="V13" s="47">
        <v>2041</v>
      </c>
      <c r="W13" s="47">
        <v>2042</v>
      </c>
      <c r="X13" s="47">
        <v>2043</v>
      </c>
      <c r="Y13" s="47">
        <v>2044</v>
      </c>
      <c r="Z13" s="47">
        <v>2045</v>
      </c>
      <c r="AA13" s="47">
        <v>2046</v>
      </c>
      <c r="AB13" s="47">
        <v>2047</v>
      </c>
      <c r="AC13" s="47">
        <v>2048</v>
      </c>
      <c r="AD13" s="47">
        <v>2049</v>
      </c>
      <c r="AE13" s="47">
        <v>2050</v>
      </c>
      <c r="AF13" s="48">
        <v>2050</v>
      </c>
      <c r="AG13" s="31"/>
    </row>
    <row r="14" spans="1:33" ht="15.5" thickTop="1">
      <c r="A14" s="29"/>
      <c r="B14" s="31"/>
      <c r="C14" s="31"/>
      <c r="D14" s="31"/>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row>
    <row r="15" spans="1:33">
      <c r="A15" s="29"/>
      <c r="B15" s="49" t="s">
        <v>334</v>
      </c>
      <c r="C15" s="31"/>
      <c r="D15" s="31"/>
      <c r="E15" s="31"/>
      <c r="F15" s="31"/>
      <c r="G15" s="31"/>
      <c r="H15" s="31"/>
      <c r="I15" s="31"/>
      <c r="J15" s="31"/>
      <c r="K15" s="31"/>
      <c r="L15" s="31"/>
      <c r="M15" s="31"/>
      <c r="N15" s="31"/>
      <c r="O15" s="31"/>
      <c r="P15" s="31"/>
      <c r="Q15" s="31"/>
      <c r="R15" s="31"/>
      <c r="S15" s="31"/>
      <c r="T15" s="31"/>
      <c r="U15" s="31"/>
      <c r="V15" s="31"/>
      <c r="W15" s="31"/>
      <c r="X15" s="31"/>
      <c r="Y15" s="31"/>
      <c r="Z15" s="31"/>
      <c r="AA15" s="31"/>
      <c r="AB15" s="31"/>
      <c r="AC15" s="31"/>
      <c r="AD15" s="31"/>
      <c r="AE15" s="31"/>
      <c r="AF15" s="31"/>
      <c r="AG15" s="31"/>
    </row>
    <row r="16" spans="1:33" ht="37.25">
      <c r="A16" s="29"/>
      <c r="B16" s="49" t="s">
        <v>335</v>
      </c>
      <c r="C16" s="31"/>
      <c r="D16" s="31"/>
      <c r="E16" s="31"/>
      <c r="F16" s="31"/>
      <c r="G16" s="31"/>
      <c r="H16" s="31"/>
      <c r="I16" s="31"/>
      <c r="J16" s="31"/>
      <c r="K16" s="31"/>
      <c r="L16" s="31"/>
      <c r="M16" s="31"/>
      <c r="N16" s="31"/>
      <c r="O16" s="31"/>
      <c r="P16" s="31"/>
      <c r="Q16" s="31"/>
      <c r="R16" s="31"/>
      <c r="S16" s="31"/>
      <c r="T16" s="31"/>
      <c r="U16" s="31"/>
      <c r="V16" s="31"/>
      <c r="W16" s="31"/>
      <c r="X16" s="31"/>
      <c r="Y16" s="31"/>
      <c r="Z16" s="31"/>
      <c r="AA16" s="31"/>
      <c r="AB16" s="31"/>
      <c r="AC16" s="31"/>
      <c r="AD16" s="31"/>
      <c r="AE16" s="31"/>
      <c r="AF16" s="31"/>
      <c r="AG16" s="31"/>
    </row>
    <row r="17" spans="1:33" ht="25">
      <c r="A17" s="30" t="s">
        <v>336</v>
      </c>
      <c r="B17" s="43" t="s">
        <v>672</v>
      </c>
      <c r="C17" s="51">
        <v>49.601604000000002</v>
      </c>
      <c r="D17" s="51">
        <v>47.635734999999997</v>
      </c>
      <c r="E17" s="51">
        <v>45.880428000000002</v>
      </c>
      <c r="F17" s="51">
        <v>44.023563000000003</v>
      </c>
      <c r="G17" s="51">
        <v>42.271244000000003</v>
      </c>
      <c r="H17" s="51">
        <v>40.471420000000002</v>
      </c>
      <c r="I17" s="51">
        <v>38.879578000000002</v>
      </c>
      <c r="J17" s="51">
        <v>37.498187999999999</v>
      </c>
      <c r="K17" s="51">
        <v>36.282725999999997</v>
      </c>
      <c r="L17" s="51">
        <v>35.198715</v>
      </c>
      <c r="M17" s="51">
        <v>34.248840000000001</v>
      </c>
      <c r="N17" s="51">
        <v>33.389473000000002</v>
      </c>
      <c r="O17" s="51">
        <v>32.649352999999998</v>
      </c>
      <c r="P17" s="51">
        <v>32.037964000000002</v>
      </c>
      <c r="Q17" s="51">
        <v>31.56945</v>
      </c>
      <c r="R17" s="51">
        <v>31.164738</v>
      </c>
      <c r="S17" s="51">
        <v>30.803477999999998</v>
      </c>
      <c r="T17" s="51">
        <v>30.475691000000001</v>
      </c>
      <c r="U17" s="51">
        <v>30.174113999999999</v>
      </c>
      <c r="V17" s="51">
        <v>29.852412999999999</v>
      </c>
      <c r="W17" s="51">
        <v>29.519141999999999</v>
      </c>
      <c r="X17" s="51">
        <v>29.156063</v>
      </c>
      <c r="Y17" s="51">
        <v>28.806910999999999</v>
      </c>
      <c r="Z17" s="51">
        <v>28.505372999999999</v>
      </c>
      <c r="AA17" s="51">
        <v>28.289746999999998</v>
      </c>
      <c r="AB17" s="51">
        <v>28.052268999999999</v>
      </c>
      <c r="AC17" s="51">
        <v>27.803013</v>
      </c>
      <c r="AD17" s="51">
        <v>27.557155999999999</v>
      </c>
      <c r="AE17" s="51">
        <v>27.341674999999999</v>
      </c>
      <c r="AF17" s="41">
        <v>-2.1047E-2</v>
      </c>
      <c r="AG17" s="31"/>
    </row>
    <row r="18" spans="1:33" ht="25">
      <c r="A18" s="30" t="s">
        <v>338</v>
      </c>
      <c r="B18" s="43" t="s">
        <v>674</v>
      </c>
      <c r="C18" s="51">
        <v>0.111688</v>
      </c>
      <c r="D18" s="51">
        <v>9.6532999999999994E-2</v>
      </c>
      <c r="E18" s="51">
        <v>8.3162E-2</v>
      </c>
      <c r="F18" s="51">
        <v>7.1313000000000001E-2</v>
      </c>
      <c r="G18" s="51">
        <v>6.0877000000000001E-2</v>
      </c>
      <c r="H18" s="51">
        <v>5.1618999999999998E-2</v>
      </c>
      <c r="I18" s="51">
        <v>4.3394000000000002E-2</v>
      </c>
      <c r="J18" s="51">
        <v>3.6202999999999999E-2</v>
      </c>
      <c r="K18" s="51">
        <v>3.0032E-2</v>
      </c>
      <c r="L18" s="51">
        <v>2.4808E-2</v>
      </c>
      <c r="M18" s="51">
        <v>2.0456999999999999E-2</v>
      </c>
      <c r="N18" s="51">
        <v>1.6912E-2</v>
      </c>
      <c r="O18" s="51">
        <v>1.4080000000000001E-2</v>
      </c>
      <c r="P18" s="51">
        <v>1.1854999999999999E-2</v>
      </c>
      <c r="Q18" s="51">
        <v>1.0115000000000001E-2</v>
      </c>
      <c r="R18" s="51">
        <v>8.7530000000000004E-3</v>
      </c>
      <c r="S18" s="51">
        <v>7.6899999999999998E-3</v>
      </c>
      <c r="T18" s="51">
        <v>6.8459999999999997E-3</v>
      </c>
      <c r="U18" s="51">
        <v>6.1370000000000001E-3</v>
      </c>
      <c r="V18" s="51">
        <v>5.5189999999999996E-3</v>
      </c>
      <c r="W18" s="51">
        <v>4.9779999999999998E-3</v>
      </c>
      <c r="X18" s="51">
        <v>4.4980000000000003E-3</v>
      </c>
      <c r="Y18" s="51">
        <v>4.0699999999999998E-3</v>
      </c>
      <c r="Z18" s="51">
        <v>3.6849999999999999E-3</v>
      </c>
      <c r="AA18" s="51">
        <v>3.339E-3</v>
      </c>
      <c r="AB18" s="51">
        <v>3.0279999999999999E-3</v>
      </c>
      <c r="AC18" s="51">
        <v>2.748E-3</v>
      </c>
      <c r="AD18" s="51">
        <v>2.4970000000000001E-3</v>
      </c>
      <c r="AE18" s="51">
        <v>2.2699999999999999E-3</v>
      </c>
      <c r="AF18" s="41">
        <v>-0.12989600000000001</v>
      </c>
      <c r="AG18" s="31"/>
    </row>
    <row r="19" spans="1:33" ht="37.25">
      <c r="A19" s="30" t="s">
        <v>341</v>
      </c>
      <c r="B19" s="43" t="s">
        <v>676</v>
      </c>
      <c r="C19" s="51">
        <v>49.713290999999998</v>
      </c>
      <c r="D19" s="51">
        <v>47.732264999999998</v>
      </c>
      <c r="E19" s="51">
        <v>45.963588999999999</v>
      </c>
      <c r="F19" s="51">
        <v>44.094875000000002</v>
      </c>
      <c r="G19" s="51">
        <v>42.332123000000003</v>
      </c>
      <c r="H19" s="51">
        <v>40.523040999999999</v>
      </c>
      <c r="I19" s="51">
        <v>38.922974000000004</v>
      </c>
      <c r="J19" s="51">
        <v>37.534393000000001</v>
      </c>
      <c r="K19" s="51">
        <v>36.312759</v>
      </c>
      <c r="L19" s="51">
        <v>35.223522000000003</v>
      </c>
      <c r="M19" s="51">
        <v>34.269298999999997</v>
      </c>
      <c r="N19" s="51">
        <v>33.406384000000003</v>
      </c>
      <c r="O19" s="51">
        <v>32.663432999999998</v>
      </c>
      <c r="P19" s="51">
        <v>32.049819999999997</v>
      </c>
      <c r="Q19" s="51">
        <v>31.579564999999999</v>
      </c>
      <c r="R19" s="51">
        <v>31.173490999999999</v>
      </c>
      <c r="S19" s="51">
        <v>30.811169</v>
      </c>
      <c r="T19" s="51">
        <v>30.482536</v>
      </c>
      <c r="U19" s="51">
        <v>30.180251999999999</v>
      </c>
      <c r="V19" s="51">
        <v>29.857932999999999</v>
      </c>
      <c r="W19" s="51">
        <v>29.52412</v>
      </c>
      <c r="X19" s="51">
        <v>29.160561000000001</v>
      </c>
      <c r="Y19" s="51">
        <v>28.810981999999999</v>
      </c>
      <c r="Z19" s="51">
        <v>28.509058</v>
      </c>
      <c r="AA19" s="51">
        <v>28.293087</v>
      </c>
      <c r="AB19" s="51">
        <v>28.055298000000001</v>
      </c>
      <c r="AC19" s="51">
        <v>27.805761</v>
      </c>
      <c r="AD19" s="51">
        <v>27.559652</v>
      </c>
      <c r="AE19" s="51">
        <v>27.343945000000001</v>
      </c>
      <c r="AF19" s="41">
        <v>-2.1122999999999999E-2</v>
      </c>
      <c r="AG19" s="31"/>
    </row>
    <row r="20" spans="1:33">
      <c r="A20" s="29"/>
      <c r="B20" s="31"/>
      <c r="C20" s="31"/>
      <c r="D20" s="31"/>
      <c r="E20" s="31"/>
      <c r="F20" s="31"/>
      <c r="G20" s="31"/>
      <c r="H20" s="31"/>
      <c r="I20" s="31"/>
      <c r="J20" s="31"/>
      <c r="K20" s="31"/>
      <c r="L20" s="31"/>
      <c r="M20" s="31"/>
      <c r="N20" s="31"/>
      <c r="O20" s="31"/>
      <c r="P20" s="31"/>
      <c r="Q20" s="31"/>
      <c r="R20" s="31"/>
      <c r="S20" s="31"/>
      <c r="T20" s="31"/>
      <c r="U20" s="31"/>
      <c r="V20" s="31"/>
      <c r="W20" s="31"/>
      <c r="X20" s="31"/>
      <c r="Y20" s="31"/>
      <c r="Z20" s="31"/>
      <c r="AA20" s="31"/>
      <c r="AB20" s="31"/>
      <c r="AC20" s="31"/>
      <c r="AD20" s="31"/>
      <c r="AE20" s="31"/>
      <c r="AF20" s="31"/>
      <c r="AG20" s="31"/>
    </row>
    <row r="21" spans="1:33" ht="25">
      <c r="A21" s="29"/>
      <c r="B21" s="49" t="s">
        <v>342</v>
      </c>
      <c r="C21" s="31"/>
      <c r="D21" s="31"/>
      <c r="E21" s="31"/>
      <c r="F21" s="31"/>
      <c r="G21" s="31"/>
      <c r="H21" s="31"/>
      <c r="I21" s="31"/>
      <c r="J21" s="31"/>
      <c r="K21" s="31"/>
      <c r="L21" s="31"/>
      <c r="M21" s="31"/>
      <c r="N21" s="31"/>
      <c r="O21" s="31"/>
      <c r="P21" s="31"/>
      <c r="Q21" s="31"/>
      <c r="R21" s="31"/>
      <c r="S21" s="31"/>
      <c r="T21" s="31"/>
      <c r="U21" s="31"/>
      <c r="V21" s="31"/>
      <c r="W21" s="31"/>
      <c r="X21" s="31"/>
      <c r="Y21" s="31"/>
      <c r="Z21" s="31"/>
      <c r="AA21" s="31"/>
      <c r="AB21" s="31"/>
      <c r="AC21" s="31"/>
      <c r="AD21" s="31"/>
      <c r="AE21" s="31"/>
      <c r="AF21" s="31"/>
      <c r="AG21" s="31"/>
    </row>
    <row r="22" spans="1:33" ht="37.25">
      <c r="A22" s="30" t="s">
        <v>343</v>
      </c>
      <c r="B22" s="43" t="s">
        <v>678</v>
      </c>
      <c r="C22" s="51">
        <v>2.4664320000000002</v>
      </c>
      <c r="D22" s="51">
        <v>2.2508699999999999</v>
      </c>
      <c r="E22" s="51">
        <v>2.0475669999999999</v>
      </c>
      <c r="F22" s="51">
        <v>1.85446</v>
      </c>
      <c r="G22" s="51">
        <v>1.6861809999999999</v>
      </c>
      <c r="H22" s="51">
        <v>1.5380670000000001</v>
      </c>
      <c r="I22" s="51">
        <v>1.4116040000000001</v>
      </c>
      <c r="J22" s="51">
        <v>1.3067029999999999</v>
      </c>
      <c r="K22" s="51">
        <v>1.2204410000000001</v>
      </c>
      <c r="L22" s="51">
        <v>1.150496</v>
      </c>
      <c r="M22" s="51">
        <v>1.095933</v>
      </c>
      <c r="N22" s="51">
        <v>1.0543910000000001</v>
      </c>
      <c r="O22" s="51">
        <v>1.024313</v>
      </c>
      <c r="P22" s="51">
        <v>1.004354</v>
      </c>
      <c r="Q22" s="51">
        <v>0.99402500000000005</v>
      </c>
      <c r="R22" s="51">
        <v>0.98743099999999995</v>
      </c>
      <c r="S22" s="51">
        <v>0.98292000000000002</v>
      </c>
      <c r="T22" s="51">
        <v>0.97998300000000005</v>
      </c>
      <c r="U22" s="51">
        <v>0.97800500000000001</v>
      </c>
      <c r="V22" s="51">
        <v>0.97473699999999996</v>
      </c>
      <c r="W22" s="51">
        <v>0.97069300000000003</v>
      </c>
      <c r="X22" s="51">
        <v>0.96513800000000005</v>
      </c>
      <c r="Y22" s="51">
        <v>0.96036699999999997</v>
      </c>
      <c r="Z22" s="51">
        <v>0.958094</v>
      </c>
      <c r="AA22" s="51">
        <v>0.96010300000000004</v>
      </c>
      <c r="AB22" s="51">
        <v>0.96084499999999995</v>
      </c>
      <c r="AC22" s="51">
        <v>0.96075900000000003</v>
      </c>
      <c r="AD22" s="51">
        <v>0.96068200000000004</v>
      </c>
      <c r="AE22" s="51">
        <v>0.96034200000000003</v>
      </c>
      <c r="AF22" s="41">
        <v>-3.3126000000000003E-2</v>
      </c>
      <c r="AG22" s="31"/>
    </row>
    <row r="23" spans="1:33" ht="37.25">
      <c r="A23" s="30" t="s">
        <v>345</v>
      </c>
      <c r="B23" s="43" t="s">
        <v>680</v>
      </c>
      <c r="C23" s="51">
        <v>8.2503000000000007E-2</v>
      </c>
      <c r="D23" s="51">
        <v>8.7595999999999993E-2</v>
      </c>
      <c r="E23" s="51">
        <v>9.3552999999999997E-2</v>
      </c>
      <c r="F23" s="51">
        <v>9.8648E-2</v>
      </c>
      <c r="G23" s="51">
        <v>0.102955</v>
      </c>
      <c r="H23" s="51">
        <v>0.107306</v>
      </c>
      <c r="I23" s="51">
        <v>0.111647</v>
      </c>
      <c r="J23" s="51">
        <v>0.11613999999999999</v>
      </c>
      <c r="K23" s="51">
        <v>0.12081</v>
      </c>
      <c r="L23" s="51">
        <v>0.12562799999999999</v>
      </c>
      <c r="M23" s="51">
        <v>0.130689</v>
      </c>
      <c r="N23" s="51">
        <v>0.135904</v>
      </c>
      <c r="O23" s="51">
        <v>0.141483</v>
      </c>
      <c r="P23" s="51">
        <v>0.14758099999999999</v>
      </c>
      <c r="Q23" s="51">
        <v>0.15437000000000001</v>
      </c>
      <c r="R23" s="51">
        <v>0.16140099999999999</v>
      </c>
      <c r="S23" s="51">
        <v>0.16855999999999999</v>
      </c>
      <c r="T23" s="51">
        <v>0.175786</v>
      </c>
      <c r="U23" s="51">
        <v>0.18305199999999999</v>
      </c>
      <c r="V23" s="51">
        <v>0.189967</v>
      </c>
      <c r="W23" s="51">
        <v>0.19661899999999999</v>
      </c>
      <c r="X23" s="51">
        <v>0.202824</v>
      </c>
      <c r="Y23" s="51">
        <v>0.20902000000000001</v>
      </c>
      <c r="Z23" s="51">
        <v>0.215618</v>
      </c>
      <c r="AA23" s="51">
        <v>0.22311300000000001</v>
      </c>
      <c r="AB23" s="51">
        <v>0.230325</v>
      </c>
      <c r="AC23" s="51">
        <v>0.237373</v>
      </c>
      <c r="AD23" s="51">
        <v>0.24443699999999999</v>
      </c>
      <c r="AE23" s="51">
        <v>0.25184899999999999</v>
      </c>
      <c r="AF23" s="41">
        <v>4.0661999999999997E-2</v>
      </c>
      <c r="AG23" s="31"/>
    </row>
    <row r="24" spans="1:33" ht="37.25">
      <c r="A24" s="30" t="s">
        <v>346</v>
      </c>
      <c r="B24" s="43" t="s">
        <v>682</v>
      </c>
      <c r="C24" s="51">
        <v>0.13777600000000001</v>
      </c>
      <c r="D24" s="51">
        <v>0.160215</v>
      </c>
      <c r="E24" s="51">
        <v>0.19730800000000001</v>
      </c>
      <c r="F24" s="51">
        <v>0.243147</v>
      </c>
      <c r="G24" s="51">
        <v>0.29054000000000002</v>
      </c>
      <c r="H24" s="51">
        <v>0.33934599999999998</v>
      </c>
      <c r="I24" s="51">
        <v>0.389376</v>
      </c>
      <c r="J24" s="51">
        <v>0.44126199999999999</v>
      </c>
      <c r="K24" s="51">
        <v>0.49485200000000001</v>
      </c>
      <c r="L24" s="51">
        <v>0.54973700000000003</v>
      </c>
      <c r="M24" s="51">
        <v>0.606464</v>
      </c>
      <c r="N24" s="51">
        <v>0.66399200000000003</v>
      </c>
      <c r="O24" s="51">
        <v>0.72362499999999996</v>
      </c>
      <c r="P24" s="51">
        <v>0.78628799999999999</v>
      </c>
      <c r="Q24" s="51">
        <v>0.85331800000000002</v>
      </c>
      <c r="R24" s="51">
        <v>0.92199900000000001</v>
      </c>
      <c r="S24" s="51">
        <v>0.99179099999999998</v>
      </c>
      <c r="T24" s="51">
        <v>1.062568</v>
      </c>
      <c r="U24" s="51">
        <v>1.1341049999999999</v>
      </c>
      <c r="V24" s="51">
        <v>1.2038260000000001</v>
      </c>
      <c r="W24" s="51">
        <v>1.2721960000000001</v>
      </c>
      <c r="X24" s="51">
        <v>1.337852</v>
      </c>
      <c r="Y24" s="51">
        <v>1.4037120000000001</v>
      </c>
      <c r="Z24" s="51">
        <v>1.4724809999999999</v>
      </c>
      <c r="AA24" s="51">
        <v>1.547669</v>
      </c>
      <c r="AB24" s="51">
        <v>1.6209</v>
      </c>
      <c r="AC24" s="51">
        <v>1.693028</v>
      </c>
      <c r="AD24" s="51">
        <v>1.765358</v>
      </c>
      <c r="AE24" s="51">
        <v>1.8402419999999999</v>
      </c>
      <c r="AF24" s="41">
        <v>9.6991999999999995E-2</v>
      </c>
      <c r="AG24" s="31"/>
    </row>
    <row r="25" spans="1:33" ht="37.25">
      <c r="A25" s="30" t="s">
        <v>347</v>
      </c>
      <c r="B25" s="43" t="s">
        <v>684</v>
      </c>
      <c r="C25" s="51">
        <v>0.403615</v>
      </c>
      <c r="D25" s="51">
        <v>0.478464</v>
      </c>
      <c r="E25" s="51">
        <v>0.56220199999999998</v>
      </c>
      <c r="F25" s="51">
        <v>0.65229800000000004</v>
      </c>
      <c r="G25" s="51">
        <v>0.73739600000000005</v>
      </c>
      <c r="H25" s="51">
        <v>0.81904299999999997</v>
      </c>
      <c r="I25" s="51">
        <v>0.89733200000000002</v>
      </c>
      <c r="J25" s="51">
        <v>0.97410200000000002</v>
      </c>
      <c r="K25" s="51">
        <v>1.0492900000000001</v>
      </c>
      <c r="L25" s="51">
        <v>1.1226210000000001</v>
      </c>
      <c r="M25" s="51">
        <v>1.1954629999999999</v>
      </c>
      <c r="N25" s="51">
        <v>1.2666539999999999</v>
      </c>
      <c r="O25" s="51">
        <v>1.3385130000000001</v>
      </c>
      <c r="P25" s="51">
        <v>1.4127110000000001</v>
      </c>
      <c r="Q25" s="51">
        <v>1.4915769999999999</v>
      </c>
      <c r="R25" s="51">
        <v>1.5710500000000001</v>
      </c>
      <c r="S25" s="51">
        <v>1.6507320000000001</v>
      </c>
      <c r="T25" s="51">
        <v>1.730602</v>
      </c>
      <c r="U25" s="51">
        <v>1.810643</v>
      </c>
      <c r="V25" s="51">
        <v>1.8872549999999999</v>
      </c>
      <c r="W25" s="51">
        <v>1.961422</v>
      </c>
      <c r="X25" s="51">
        <v>2.0313659999999998</v>
      </c>
      <c r="Y25" s="51">
        <v>2.1015130000000002</v>
      </c>
      <c r="Z25" s="51">
        <v>2.1759629999999999</v>
      </c>
      <c r="AA25" s="51">
        <v>2.2596409999999998</v>
      </c>
      <c r="AB25" s="51">
        <v>2.3404410000000002</v>
      </c>
      <c r="AC25" s="51">
        <v>2.419578</v>
      </c>
      <c r="AD25" s="51">
        <v>2.4988920000000001</v>
      </c>
      <c r="AE25" s="51">
        <v>2.5817450000000002</v>
      </c>
      <c r="AF25" s="41">
        <v>6.8523000000000001E-2</v>
      </c>
      <c r="AG25" s="31"/>
    </row>
    <row r="26" spans="1:33" ht="37.25">
      <c r="A26" s="30" t="s">
        <v>348</v>
      </c>
      <c r="B26" s="43" t="s">
        <v>686</v>
      </c>
      <c r="C26" s="51">
        <v>0.13369800000000001</v>
      </c>
      <c r="D26" s="51">
        <v>0.137409</v>
      </c>
      <c r="E26" s="51">
        <v>0.14397599999999999</v>
      </c>
      <c r="F26" s="51">
        <v>0.15067900000000001</v>
      </c>
      <c r="G26" s="51">
        <v>0.15673599999999999</v>
      </c>
      <c r="H26" s="51">
        <v>0.16226599999999999</v>
      </c>
      <c r="I26" s="51">
        <v>0.167409</v>
      </c>
      <c r="J26" s="51">
        <v>0.172434</v>
      </c>
      <c r="K26" s="51">
        <v>0.177449</v>
      </c>
      <c r="L26" s="51">
        <v>0.182475</v>
      </c>
      <c r="M26" s="51">
        <v>0.187723</v>
      </c>
      <c r="N26" s="51">
        <v>0.19309799999999999</v>
      </c>
      <c r="O26" s="51">
        <v>0.19889799999999999</v>
      </c>
      <c r="P26" s="51">
        <v>0.20539399999999999</v>
      </c>
      <c r="Q26" s="51">
        <v>0.212843</v>
      </c>
      <c r="R26" s="51">
        <v>0.22076799999999999</v>
      </c>
      <c r="S26" s="51">
        <v>0.229071</v>
      </c>
      <c r="T26" s="51">
        <v>0.23766899999999999</v>
      </c>
      <c r="U26" s="51">
        <v>0.24648500000000001</v>
      </c>
      <c r="V26" s="51">
        <v>0.25504900000000003</v>
      </c>
      <c r="W26" s="51">
        <v>0.26343</v>
      </c>
      <c r="X26" s="51">
        <v>0.27135700000000001</v>
      </c>
      <c r="Y26" s="51">
        <v>0.27931400000000001</v>
      </c>
      <c r="Z26" s="51">
        <v>0.28775400000000001</v>
      </c>
      <c r="AA26" s="51">
        <v>0.297263</v>
      </c>
      <c r="AB26" s="51">
        <v>0.30643799999999999</v>
      </c>
      <c r="AC26" s="51">
        <v>0.31543599999999999</v>
      </c>
      <c r="AD26" s="51">
        <v>0.324457</v>
      </c>
      <c r="AE26" s="51">
        <v>0.33386100000000002</v>
      </c>
      <c r="AF26" s="41">
        <v>3.3223000000000003E-2</v>
      </c>
      <c r="AG26" s="31"/>
    </row>
    <row r="27" spans="1:33" ht="37.25">
      <c r="A27" s="30" t="s">
        <v>349</v>
      </c>
      <c r="B27" s="43" t="s">
        <v>688</v>
      </c>
      <c r="C27" s="51">
        <v>6.8637000000000004E-2</v>
      </c>
      <c r="D27" s="51">
        <v>7.0838999999999999E-2</v>
      </c>
      <c r="E27" s="51">
        <v>7.5001999999999999E-2</v>
      </c>
      <c r="F27" s="51">
        <v>7.9927999999999999E-2</v>
      </c>
      <c r="G27" s="51">
        <v>8.4897E-2</v>
      </c>
      <c r="H27" s="51">
        <v>9.0053999999999995E-2</v>
      </c>
      <c r="I27" s="51">
        <v>9.5437999999999995E-2</v>
      </c>
      <c r="J27" s="51">
        <v>0.101327</v>
      </c>
      <c r="K27" s="51">
        <v>0.10775800000000001</v>
      </c>
      <c r="L27" s="51">
        <v>0.11468399999999999</v>
      </c>
      <c r="M27" s="51">
        <v>0.122221</v>
      </c>
      <c r="N27" s="51">
        <v>0.13019600000000001</v>
      </c>
      <c r="O27" s="51">
        <v>0.13880200000000001</v>
      </c>
      <c r="P27" s="51">
        <v>0.148151</v>
      </c>
      <c r="Q27" s="51">
        <v>0.15842999999999999</v>
      </c>
      <c r="R27" s="51">
        <v>0.16914799999999999</v>
      </c>
      <c r="S27" s="51">
        <v>0.18019099999999999</v>
      </c>
      <c r="T27" s="51">
        <v>0.19148599999999999</v>
      </c>
      <c r="U27" s="51">
        <v>0.202959</v>
      </c>
      <c r="V27" s="51">
        <v>0.214173</v>
      </c>
      <c r="W27" s="51">
        <v>0.22521099999999999</v>
      </c>
      <c r="X27" s="51">
        <v>0.23583100000000001</v>
      </c>
      <c r="Y27" s="51">
        <v>0.24649199999999999</v>
      </c>
      <c r="Z27" s="51">
        <v>0.25763999999999998</v>
      </c>
      <c r="AA27" s="51">
        <v>0.26986599999999999</v>
      </c>
      <c r="AB27" s="51">
        <v>0.28177200000000002</v>
      </c>
      <c r="AC27" s="51">
        <v>0.29350999999999999</v>
      </c>
      <c r="AD27" s="51">
        <v>0.30528</v>
      </c>
      <c r="AE27" s="51">
        <v>0.31744299999999998</v>
      </c>
      <c r="AF27" s="41">
        <v>5.6218999999999998E-2</v>
      </c>
      <c r="AG27" s="31"/>
    </row>
    <row r="28" spans="1:33" ht="37.25">
      <c r="A28" s="30" t="s">
        <v>350</v>
      </c>
      <c r="B28" s="43" t="s">
        <v>690</v>
      </c>
      <c r="C28" s="51">
        <v>0</v>
      </c>
      <c r="D28" s="51">
        <v>0</v>
      </c>
      <c r="E28" s="51">
        <v>0</v>
      </c>
      <c r="F28" s="51">
        <v>0</v>
      </c>
      <c r="G28" s="51">
        <v>0</v>
      </c>
      <c r="H28" s="51">
        <v>0</v>
      </c>
      <c r="I28" s="51">
        <v>0</v>
      </c>
      <c r="J28" s="51">
        <v>0</v>
      </c>
      <c r="K28" s="51">
        <v>0</v>
      </c>
      <c r="L28" s="51">
        <v>0</v>
      </c>
      <c r="M28" s="51">
        <v>0</v>
      </c>
      <c r="N28" s="51">
        <v>0</v>
      </c>
      <c r="O28" s="51">
        <v>0</v>
      </c>
      <c r="P28" s="51">
        <v>0</v>
      </c>
      <c r="Q28" s="51">
        <v>0</v>
      </c>
      <c r="R28" s="51">
        <v>0</v>
      </c>
      <c r="S28" s="51">
        <v>0</v>
      </c>
      <c r="T28" s="51">
        <v>0</v>
      </c>
      <c r="U28" s="51">
        <v>0</v>
      </c>
      <c r="V28" s="51">
        <v>0</v>
      </c>
      <c r="W28" s="51">
        <v>0</v>
      </c>
      <c r="X28" s="51">
        <v>0</v>
      </c>
      <c r="Y28" s="51">
        <v>0</v>
      </c>
      <c r="Z28" s="51">
        <v>0</v>
      </c>
      <c r="AA28" s="51">
        <v>0</v>
      </c>
      <c r="AB28" s="51">
        <v>0</v>
      </c>
      <c r="AC28" s="51">
        <v>0</v>
      </c>
      <c r="AD28" s="51">
        <v>0</v>
      </c>
      <c r="AE28" s="51">
        <v>0</v>
      </c>
      <c r="AF28" s="41" t="s">
        <v>340</v>
      </c>
      <c r="AG28" s="31"/>
    </row>
    <row r="29" spans="1:33" ht="37.25">
      <c r="A29" s="30" t="s">
        <v>352</v>
      </c>
      <c r="B29" s="43" t="s">
        <v>692</v>
      </c>
      <c r="C29" s="51">
        <v>2.0940020000000001</v>
      </c>
      <c r="D29" s="51">
        <v>2.0990630000000001</v>
      </c>
      <c r="E29" s="51">
        <v>2.0990449999999998</v>
      </c>
      <c r="F29" s="51">
        <v>2.0833439999999999</v>
      </c>
      <c r="G29" s="51">
        <v>2.0720670000000001</v>
      </c>
      <c r="H29" s="51">
        <v>2.0556559999999999</v>
      </c>
      <c r="I29" s="51">
        <v>2.0461689999999999</v>
      </c>
      <c r="J29" s="51">
        <v>2.0451220000000001</v>
      </c>
      <c r="K29" s="51">
        <v>2.0518169999999998</v>
      </c>
      <c r="L29" s="51">
        <v>2.06474</v>
      </c>
      <c r="M29" s="51">
        <v>2.0847169999999999</v>
      </c>
      <c r="N29" s="51">
        <v>2.1091660000000001</v>
      </c>
      <c r="O29" s="51">
        <v>2.140301</v>
      </c>
      <c r="P29" s="51">
        <v>2.1793450000000001</v>
      </c>
      <c r="Q29" s="51">
        <v>2.227929</v>
      </c>
      <c r="R29" s="51">
        <v>2.2807300000000001</v>
      </c>
      <c r="S29" s="51">
        <v>2.3365300000000002</v>
      </c>
      <c r="T29" s="51">
        <v>2.3946619999999998</v>
      </c>
      <c r="U29" s="51">
        <v>2.4544769999999998</v>
      </c>
      <c r="V29" s="51">
        <v>2.5116779999999999</v>
      </c>
      <c r="W29" s="51">
        <v>2.5668579999999999</v>
      </c>
      <c r="X29" s="51">
        <v>2.6178539999999999</v>
      </c>
      <c r="Y29" s="51">
        <v>2.668828</v>
      </c>
      <c r="Z29" s="51">
        <v>2.7236720000000001</v>
      </c>
      <c r="AA29" s="51">
        <v>2.7874159999999999</v>
      </c>
      <c r="AB29" s="51">
        <v>2.8484069999999999</v>
      </c>
      <c r="AC29" s="51">
        <v>2.907915</v>
      </c>
      <c r="AD29" s="51">
        <v>2.9677500000000001</v>
      </c>
      <c r="AE29" s="51">
        <v>3.0309460000000001</v>
      </c>
      <c r="AF29" s="41">
        <v>1.3295E-2</v>
      </c>
      <c r="AG29" s="31"/>
    </row>
    <row r="30" spans="1:33" ht="25">
      <c r="A30" s="30" t="s">
        <v>354</v>
      </c>
      <c r="B30" s="43" t="s">
        <v>694</v>
      </c>
      <c r="C30" s="51">
        <v>8.4440000000000001E-2</v>
      </c>
      <c r="D30" s="51">
        <v>7.8244999999999995E-2</v>
      </c>
      <c r="E30" s="51">
        <v>7.1707999999999994E-2</v>
      </c>
      <c r="F30" s="51">
        <v>6.5062999999999996E-2</v>
      </c>
      <c r="G30" s="51">
        <v>5.8495999999999999E-2</v>
      </c>
      <c r="H30" s="51">
        <v>5.1991000000000002E-2</v>
      </c>
      <c r="I30" s="51">
        <v>4.5643999999999997E-2</v>
      </c>
      <c r="J30" s="51">
        <v>3.9710000000000002E-2</v>
      </c>
      <c r="K30" s="51">
        <v>3.4805999999999997E-2</v>
      </c>
      <c r="L30" s="51">
        <v>3.0196000000000001E-2</v>
      </c>
      <c r="M30" s="51">
        <v>2.6155999999999999E-2</v>
      </c>
      <c r="N30" s="51">
        <v>2.2713000000000001E-2</v>
      </c>
      <c r="O30" s="51">
        <v>1.9885E-2</v>
      </c>
      <c r="P30" s="51">
        <v>1.7531000000000001E-2</v>
      </c>
      <c r="Q30" s="51">
        <v>1.5620999999999999E-2</v>
      </c>
      <c r="R30" s="51">
        <v>1.4361000000000001E-2</v>
      </c>
      <c r="S30" s="51">
        <v>1.3289E-2</v>
      </c>
      <c r="T30" s="51">
        <v>1.2399E-2</v>
      </c>
      <c r="U30" s="51">
        <v>1.1609E-2</v>
      </c>
      <c r="V30" s="51">
        <v>1.0869999999999999E-2</v>
      </c>
      <c r="W30" s="51">
        <v>1.0177E-2</v>
      </c>
      <c r="X30" s="51">
        <v>9.5289999999999993E-3</v>
      </c>
      <c r="Y30" s="51">
        <v>8.9219999999999994E-3</v>
      </c>
      <c r="Z30" s="51">
        <v>8.3540000000000003E-3</v>
      </c>
      <c r="AA30" s="51">
        <v>7.8209999999999998E-3</v>
      </c>
      <c r="AB30" s="51">
        <v>7.3229999999999996E-3</v>
      </c>
      <c r="AC30" s="51">
        <v>6.8570000000000002E-3</v>
      </c>
      <c r="AD30" s="51">
        <v>6.4200000000000004E-3</v>
      </c>
      <c r="AE30" s="51">
        <v>6.0109999999999999E-3</v>
      </c>
      <c r="AF30" s="41">
        <v>-9.0056999999999998E-2</v>
      </c>
      <c r="AG30" s="31"/>
    </row>
    <row r="31" spans="1:33" ht="25">
      <c r="A31" s="30" t="s">
        <v>356</v>
      </c>
      <c r="B31" s="43" t="s">
        <v>696</v>
      </c>
      <c r="C31" s="51">
        <v>2.2590000000000002E-3</v>
      </c>
      <c r="D31" s="51">
        <v>1.944E-3</v>
      </c>
      <c r="E31" s="51">
        <v>1.7600000000000001E-3</v>
      </c>
      <c r="F31" s="51">
        <v>1.6479999999999999E-3</v>
      </c>
      <c r="G31" s="51">
        <v>1.5430000000000001E-3</v>
      </c>
      <c r="H31" s="51">
        <v>1.4450000000000001E-3</v>
      </c>
      <c r="I31" s="51">
        <v>1.353E-3</v>
      </c>
      <c r="J31" s="51">
        <v>1.266E-3</v>
      </c>
      <c r="K31" s="51">
        <v>1.186E-3</v>
      </c>
      <c r="L31" s="51">
        <v>1.1100000000000001E-3</v>
      </c>
      <c r="M31" s="51">
        <v>1.0399999999999999E-3</v>
      </c>
      <c r="N31" s="51">
        <v>9.7300000000000002E-4</v>
      </c>
      <c r="O31" s="51">
        <v>9.1100000000000003E-4</v>
      </c>
      <c r="P31" s="51">
        <v>8.5300000000000003E-4</v>
      </c>
      <c r="Q31" s="51">
        <v>7.9900000000000001E-4</v>
      </c>
      <c r="R31" s="51">
        <v>7.4799999999999997E-4</v>
      </c>
      <c r="S31" s="51">
        <v>6.9999999999999999E-4</v>
      </c>
      <c r="T31" s="51">
        <v>6.5600000000000001E-4</v>
      </c>
      <c r="U31" s="51">
        <v>6.1399999999999996E-4</v>
      </c>
      <c r="V31" s="51">
        <v>5.7499999999999999E-4</v>
      </c>
      <c r="W31" s="51">
        <v>5.3799999999999996E-4</v>
      </c>
      <c r="X31" s="51">
        <v>5.04E-4</v>
      </c>
      <c r="Y31" s="51">
        <v>4.7199999999999998E-4</v>
      </c>
      <c r="Z31" s="51">
        <v>4.4200000000000001E-4</v>
      </c>
      <c r="AA31" s="51">
        <v>4.1399999999999998E-4</v>
      </c>
      <c r="AB31" s="51">
        <v>3.8699999999999997E-4</v>
      </c>
      <c r="AC31" s="51">
        <v>3.6299999999999999E-4</v>
      </c>
      <c r="AD31" s="51">
        <v>3.4000000000000002E-4</v>
      </c>
      <c r="AE31" s="51">
        <v>3.1799999999999998E-4</v>
      </c>
      <c r="AF31" s="41">
        <v>-6.7639000000000005E-2</v>
      </c>
      <c r="AG31" s="31"/>
    </row>
    <row r="32" spans="1:33" ht="25">
      <c r="A32" s="30" t="s">
        <v>358</v>
      </c>
      <c r="B32" s="43" t="s">
        <v>698</v>
      </c>
      <c r="C32" s="51">
        <v>1.5181E-2</v>
      </c>
      <c r="D32" s="51">
        <v>1.2968E-2</v>
      </c>
      <c r="E32" s="51">
        <v>1.1150999999999999E-2</v>
      </c>
      <c r="F32" s="51">
        <v>9.6790000000000001E-3</v>
      </c>
      <c r="G32" s="51">
        <v>8.7530000000000004E-3</v>
      </c>
      <c r="H32" s="51">
        <v>8.1770000000000002E-3</v>
      </c>
      <c r="I32" s="51">
        <v>7.6559999999999996E-3</v>
      </c>
      <c r="J32" s="51">
        <v>7.1679999999999999E-3</v>
      </c>
      <c r="K32" s="51">
        <v>6.7120000000000001E-3</v>
      </c>
      <c r="L32" s="51">
        <v>6.2839999999999997E-3</v>
      </c>
      <c r="M32" s="51">
        <v>5.8840000000000003E-3</v>
      </c>
      <c r="N32" s="51">
        <v>5.509E-3</v>
      </c>
      <c r="O32" s="51">
        <v>5.1580000000000003E-3</v>
      </c>
      <c r="P32" s="51">
        <v>4.829E-3</v>
      </c>
      <c r="Q32" s="51">
        <v>4.522E-3</v>
      </c>
      <c r="R32" s="51">
        <v>4.2339999999999999E-3</v>
      </c>
      <c r="S32" s="51">
        <v>3.9639999999999996E-3</v>
      </c>
      <c r="T32" s="51">
        <v>3.7109999999999999E-3</v>
      </c>
      <c r="U32" s="51">
        <v>3.4749999999999998E-3</v>
      </c>
      <c r="V32" s="51">
        <v>3.2539999999999999E-3</v>
      </c>
      <c r="W32" s="51">
        <v>3.0460000000000001E-3</v>
      </c>
      <c r="X32" s="51">
        <v>2.8519999999999999E-3</v>
      </c>
      <c r="Y32" s="51">
        <v>2.6710000000000002E-3</v>
      </c>
      <c r="Z32" s="51">
        <v>2.5010000000000002E-3</v>
      </c>
      <c r="AA32" s="51">
        <v>2.3410000000000002E-3</v>
      </c>
      <c r="AB32" s="51">
        <v>2.1919999999999999E-3</v>
      </c>
      <c r="AC32" s="51">
        <v>2.052E-3</v>
      </c>
      <c r="AD32" s="51">
        <v>1.9220000000000001E-3</v>
      </c>
      <c r="AE32" s="51">
        <v>1.799E-3</v>
      </c>
      <c r="AF32" s="41">
        <v>-7.3338E-2</v>
      </c>
      <c r="AG32" s="31"/>
    </row>
    <row r="33" spans="1:33" ht="25">
      <c r="A33" s="30" t="s">
        <v>360</v>
      </c>
      <c r="B33" s="43" t="s">
        <v>700</v>
      </c>
      <c r="C33" s="51">
        <v>2.9725000000000001E-2</v>
      </c>
      <c r="D33" s="51">
        <v>2.5337999999999999E-2</v>
      </c>
      <c r="E33" s="51">
        <v>2.1677999999999999E-2</v>
      </c>
      <c r="F33" s="51">
        <v>1.8672999999999999E-2</v>
      </c>
      <c r="G33" s="51">
        <v>1.6624E-2</v>
      </c>
      <c r="H33" s="51">
        <v>1.5348000000000001E-2</v>
      </c>
      <c r="I33" s="51">
        <v>1.4264000000000001E-2</v>
      </c>
      <c r="J33" s="51">
        <v>1.3356E-2</v>
      </c>
      <c r="K33" s="51">
        <v>1.2505E-2</v>
      </c>
      <c r="L33" s="51">
        <v>1.1708E-2</v>
      </c>
      <c r="M33" s="51">
        <v>1.0962E-2</v>
      </c>
      <c r="N33" s="51">
        <v>1.0264000000000001E-2</v>
      </c>
      <c r="O33" s="51">
        <v>9.6100000000000005E-3</v>
      </c>
      <c r="P33" s="51">
        <v>8.9980000000000008E-3</v>
      </c>
      <c r="Q33" s="51">
        <v>8.4250000000000002E-3</v>
      </c>
      <c r="R33" s="51">
        <v>7.8879999999999992E-3</v>
      </c>
      <c r="S33" s="51">
        <v>7.3860000000000002E-3</v>
      </c>
      <c r="T33" s="51">
        <v>6.9150000000000001E-3</v>
      </c>
      <c r="U33" s="51">
        <v>6.4749999999999999E-3</v>
      </c>
      <c r="V33" s="51">
        <v>6.0619999999999997E-3</v>
      </c>
      <c r="W33" s="51">
        <v>5.6759999999999996E-3</v>
      </c>
      <c r="X33" s="51">
        <v>5.3140000000000001E-3</v>
      </c>
      <c r="Y33" s="51">
        <v>4.9760000000000004E-3</v>
      </c>
      <c r="Z33" s="51">
        <v>4.6589999999999999E-3</v>
      </c>
      <c r="AA33" s="51">
        <v>4.3620000000000004E-3</v>
      </c>
      <c r="AB33" s="51">
        <v>4.084E-3</v>
      </c>
      <c r="AC33" s="51">
        <v>3.8240000000000001E-3</v>
      </c>
      <c r="AD33" s="51">
        <v>3.5799999999999998E-3</v>
      </c>
      <c r="AE33" s="51">
        <v>3.3519999999999999E-3</v>
      </c>
      <c r="AF33" s="41">
        <v>-7.4981000000000006E-2</v>
      </c>
      <c r="AG33" s="31"/>
    </row>
    <row r="34" spans="1:33" ht="25">
      <c r="A34" s="30" t="s">
        <v>362</v>
      </c>
      <c r="B34" s="43" t="s">
        <v>702</v>
      </c>
      <c r="C34" s="51">
        <v>0</v>
      </c>
      <c r="D34" s="51">
        <v>0</v>
      </c>
      <c r="E34" s="51">
        <v>0</v>
      </c>
      <c r="F34" s="51">
        <v>0</v>
      </c>
      <c r="G34" s="51">
        <v>0</v>
      </c>
      <c r="H34" s="51">
        <v>0</v>
      </c>
      <c r="I34" s="51">
        <v>0</v>
      </c>
      <c r="J34" s="51">
        <v>0</v>
      </c>
      <c r="K34" s="51">
        <v>0</v>
      </c>
      <c r="L34" s="51">
        <v>0</v>
      </c>
      <c r="M34" s="51">
        <v>0</v>
      </c>
      <c r="N34" s="51">
        <v>0</v>
      </c>
      <c r="O34" s="51">
        <v>0</v>
      </c>
      <c r="P34" s="51">
        <v>0</v>
      </c>
      <c r="Q34" s="51">
        <v>0</v>
      </c>
      <c r="R34" s="51">
        <v>0</v>
      </c>
      <c r="S34" s="51">
        <v>0</v>
      </c>
      <c r="T34" s="51">
        <v>0</v>
      </c>
      <c r="U34" s="51">
        <v>0</v>
      </c>
      <c r="V34" s="51">
        <v>0</v>
      </c>
      <c r="W34" s="51">
        <v>0</v>
      </c>
      <c r="X34" s="51">
        <v>0</v>
      </c>
      <c r="Y34" s="51">
        <v>0</v>
      </c>
      <c r="Z34" s="51">
        <v>0</v>
      </c>
      <c r="AA34" s="51">
        <v>0</v>
      </c>
      <c r="AB34" s="51">
        <v>0</v>
      </c>
      <c r="AC34" s="51">
        <v>0</v>
      </c>
      <c r="AD34" s="51">
        <v>0</v>
      </c>
      <c r="AE34" s="51">
        <v>0</v>
      </c>
      <c r="AF34" s="41" t="s">
        <v>340</v>
      </c>
      <c r="AG34" s="31"/>
    </row>
    <row r="35" spans="1:33" ht="25">
      <c r="A35" s="30" t="s">
        <v>364</v>
      </c>
      <c r="B35" s="43" t="s">
        <v>704</v>
      </c>
      <c r="C35" s="51">
        <v>4.8450000000000003E-3</v>
      </c>
      <c r="D35" s="51">
        <v>4.8209999999999998E-3</v>
      </c>
      <c r="E35" s="51">
        <v>5.0639999999999999E-3</v>
      </c>
      <c r="F35" s="51">
        <v>5.5009999999999998E-3</v>
      </c>
      <c r="G35" s="51">
        <v>6.0899999999999999E-3</v>
      </c>
      <c r="H35" s="51">
        <v>6.7840000000000001E-3</v>
      </c>
      <c r="I35" s="51">
        <v>7.5620000000000001E-3</v>
      </c>
      <c r="J35" s="51">
        <v>8.43E-3</v>
      </c>
      <c r="K35" s="51">
        <v>9.3760000000000007E-3</v>
      </c>
      <c r="L35" s="51">
        <v>1.039E-2</v>
      </c>
      <c r="M35" s="51">
        <v>1.1476E-2</v>
      </c>
      <c r="N35" s="51">
        <v>1.2619E-2</v>
      </c>
      <c r="O35" s="51">
        <v>1.3831E-2</v>
      </c>
      <c r="P35" s="51">
        <v>1.512E-2</v>
      </c>
      <c r="Q35" s="51">
        <v>1.6497000000000001E-2</v>
      </c>
      <c r="R35" s="51">
        <v>1.7932E-2</v>
      </c>
      <c r="S35" s="51">
        <v>1.9418999999999999E-2</v>
      </c>
      <c r="T35" s="51">
        <v>2.0948000000000001E-2</v>
      </c>
      <c r="U35" s="51">
        <v>2.2506999999999999E-2</v>
      </c>
      <c r="V35" s="51">
        <v>2.4063999999999999E-2</v>
      </c>
      <c r="W35" s="51">
        <v>2.5616E-2</v>
      </c>
      <c r="X35" s="51">
        <v>2.7136E-2</v>
      </c>
      <c r="Y35" s="51">
        <v>2.8650999999999999E-2</v>
      </c>
      <c r="Z35" s="51">
        <v>3.0193999999999999E-2</v>
      </c>
      <c r="AA35" s="51">
        <v>3.1822000000000003E-2</v>
      </c>
      <c r="AB35" s="51">
        <v>3.3427999999999999E-2</v>
      </c>
      <c r="AC35" s="51">
        <v>3.5032000000000001E-2</v>
      </c>
      <c r="AD35" s="51">
        <v>3.6641E-2</v>
      </c>
      <c r="AE35" s="51">
        <v>3.8272E-2</v>
      </c>
      <c r="AF35" s="41">
        <v>7.6603000000000004E-2</v>
      </c>
      <c r="AG35" s="31"/>
    </row>
    <row r="36" spans="1:33" ht="37.25">
      <c r="A36" s="30" t="s">
        <v>366</v>
      </c>
      <c r="B36" s="43" t="s">
        <v>706</v>
      </c>
      <c r="C36" s="51">
        <v>5.5231130000000004</v>
      </c>
      <c r="D36" s="51">
        <v>5.4077729999999997</v>
      </c>
      <c r="E36" s="51">
        <v>5.330012</v>
      </c>
      <c r="F36" s="51">
        <v>5.2630679999999996</v>
      </c>
      <c r="G36" s="51">
        <v>5.2222799999999996</v>
      </c>
      <c r="H36" s="51">
        <v>5.1954840000000004</v>
      </c>
      <c r="I36" s="51">
        <v>5.1954520000000004</v>
      </c>
      <c r="J36" s="51">
        <v>5.2270209999999997</v>
      </c>
      <c r="K36" s="51">
        <v>5.2870020000000002</v>
      </c>
      <c r="L36" s="51">
        <v>5.370069</v>
      </c>
      <c r="M36" s="51">
        <v>5.4787270000000001</v>
      </c>
      <c r="N36" s="51">
        <v>5.6054789999999999</v>
      </c>
      <c r="O36" s="51">
        <v>5.755331</v>
      </c>
      <c r="P36" s="51">
        <v>5.9311550000000004</v>
      </c>
      <c r="Q36" s="51">
        <v>6.1383539999999996</v>
      </c>
      <c r="R36" s="51">
        <v>6.3576899999999998</v>
      </c>
      <c r="S36" s="51">
        <v>6.5845520000000004</v>
      </c>
      <c r="T36" s="51">
        <v>6.8173859999999999</v>
      </c>
      <c r="U36" s="51">
        <v>7.0544060000000002</v>
      </c>
      <c r="V36" s="51">
        <v>7.2815099999999999</v>
      </c>
      <c r="W36" s="51">
        <v>7.5014839999999996</v>
      </c>
      <c r="X36" s="51">
        <v>7.7075589999999998</v>
      </c>
      <c r="Y36" s="51">
        <v>7.9149380000000003</v>
      </c>
      <c r="Z36" s="51">
        <v>8.1373709999999999</v>
      </c>
      <c r="AA36" s="51">
        <v>8.3918309999999998</v>
      </c>
      <c r="AB36" s="51">
        <v>8.6365409999999994</v>
      </c>
      <c r="AC36" s="51">
        <v>8.8757269999999995</v>
      </c>
      <c r="AD36" s="51">
        <v>9.1157579999999996</v>
      </c>
      <c r="AE36" s="51">
        <v>9.3661790000000007</v>
      </c>
      <c r="AF36" s="41">
        <v>1.9042E-2</v>
      </c>
      <c r="AG36" s="31"/>
    </row>
    <row r="37" spans="1:33">
      <c r="A37" s="29"/>
      <c r="B37" s="31"/>
      <c r="C37" s="31"/>
      <c r="D37" s="31"/>
      <c r="E37" s="31"/>
      <c r="F37" s="31"/>
      <c r="G37" s="31"/>
      <c r="H37" s="31"/>
      <c r="I37" s="31"/>
      <c r="J37" s="31"/>
      <c r="K37" s="31"/>
      <c r="L37" s="31"/>
      <c r="M37" s="31"/>
      <c r="N37" s="31"/>
      <c r="O37" s="31"/>
      <c r="P37" s="31"/>
      <c r="Q37" s="31"/>
      <c r="R37" s="31"/>
      <c r="S37" s="31"/>
      <c r="T37" s="31"/>
      <c r="U37" s="31"/>
      <c r="V37" s="31"/>
      <c r="W37" s="31"/>
      <c r="X37" s="31"/>
      <c r="Y37" s="31"/>
      <c r="Z37" s="31"/>
      <c r="AA37" s="31"/>
      <c r="AB37" s="31"/>
      <c r="AC37" s="31"/>
      <c r="AD37" s="31"/>
      <c r="AE37" s="31"/>
      <c r="AF37" s="31"/>
      <c r="AG37" s="31"/>
    </row>
    <row r="38" spans="1:33">
      <c r="A38" s="30" t="s">
        <v>367</v>
      </c>
      <c r="B38" s="43" t="s">
        <v>368</v>
      </c>
      <c r="C38" s="51">
        <v>55.236404</v>
      </c>
      <c r="D38" s="51">
        <v>53.140037999999997</v>
      </c>
      <c r="E38" s="51">
        <v>51.293602</v>
      </c>
      <c r="F38" s="51">
        <v>49.357944000000003</v>
      </c>
      <c r="G38" s="51">
        <v>47.554400999999999</v>
      </c>
      <c r="H38" s="51">
        <v>45.718525</v>
      </c>
      <c r="I38" s="51">
        <v>44.118423</v>
      </c>
      <c r="J38" s="51">
        <v>42.761414000000002</v>
      </c>
      <c r="K38" s="51">
        <v>41.599761999999998</v>
      </c>
      <c r="L38" s="51">
        <v>40.593589999999999</v>
      </c>
      <c r="M38" s="51">
        <v>39.748024000000001</v>
      </c>
      <c r="N38" s="51">
        <v>39.011864000000003</v>
      </c>
      <c r="O38" s="51">
        <v>38.418762000000001</v>
      </c>
      <c r="P38" s="51">
        <v>37.980975999999998</v>
      </c>
      <c r="Q38" s="51">
        <v>37.717917999999997</v>
      </c>
      <c r="R38" s="51">
        <v>37.531180999999997</v>
      </c>
      <c r="S38" s="51">
        <v>37.395721000000002</v>
      </c>
      <c r="T38" s="51">
        <v>37.299923</v>
      </c>
      <c r="U38" s="51">
        <v>37.234656999999999</v>
      </c>
      <c r="V38" s="51">
        <v>37.139442000000003</v>
      </c>
      <c r="W38" s="51">
        <v>37.025604000000001</v>
      </c>
      <c r="X38" s="51">
        <v>36.868118000000003</v>
      </c>
      <c r="Y38" s="51">
        <v>36.725921999999997</v>
      </c>
      <c r="Z38" s="51">
        <v>36.646431</v>
      </c>
      <c r="AA38" s="51">
        <v>36.684916999999999</v>
      </c>
      <c r="AB38" s="51">
        <v>36.691840999999997</v>
      </c>
      <c r="AC38" s="51">
        <v>36.681488000000002</v>
      </c>
      <c r="AD38" s="51">
        <v>36.675410999999997</v>
      </c>
      <c r="AE38" s="51">
        <v>36.710124999999998</v>
      </c>
      <c r="AF38" s="41">
        <v>-1.4486000000000001E-2</v>
      </c>
      <c r="AG38" s="31"/>
    </row>
    <row r="39" spans="1:33">
      <c r="A39" s="29"/>
      <c r="B39" s="31"/>
      <c r="C39" s="31"/>
      <c r="D39" s="31"/>
      <c r="E39" s="31"/>
      <c r="F39" s="31"/>
      <c r="G39" s="31"/>
      <c r="H39" s="31"/>
      <c r="I39" s="31"/>
      <c r="J39" s="31"/>
      <c r="K39" s="31"/>
      <c r="L39" s="31"/>
      <c r="M39" s="31"/>
      <c r="N39" s="31"/>
      <c r="O39" s="31"/>
      <c r="P39" s="31"/>
      <c r="Q39" s="31"/>
      <c r="R39" s="31"/>
      <c r="S39" s="31"/>
      <c r="T39" s="31"/>
      <c r="U39" s="31"/>
      <c r="V39" s="31"/>
      <c r="W39" s="31"/>
      <c r="X39" s="31"/>
      <c r="Y39" s="31"/>
      <c r="Z39" s="31"/>
      <c r="AA39" s="31"/>
      <c r="AB39" s="31"/>
      <c r="AC39" s="31"/>
      <c r="AD39" s="31"/>
      <c r="AE39" s="31"/>
      <c r="AF39" s="31"/>
      <c r="AG39" s="31"/>
    </row>
    <row r="40" spans="1:33" ht="25">
      <c r="A40" s="29"/>
      <c r="B40" s="49" t="s">
        <v>369</v>
      </c>
      <c r="C40" s="31"/>
      <c r="D40" s="31"/>
      <c r="E40" s="31"/>
      <c r="F40" s="31"/>
      <c r="G40" s="31"/>
      <c r="H40" s="31"/>
      <c r="I40" s="31"/>
      <c r="J40" s="31"/>
      <c r="K40" s="31"/>
      <c r="L40" s="31"/>
      <c r="M40" s="31"/>
      <c r="N40" s="31"/>
      <c r="O40" s="31"/>
      <c r="P40" s="31"/>
      <c r="Q40" s="31"/>
      <c r="R40" s="31"/>
      <c r="S40" s="31"/>
      <c r="T40" s="31"/>
      <c r="U40" s="31"/>
      <c r="V40" s="31"/>
      <c r="W40" s="31"/>
      <c r="X40" s="31"/>
      <c r="Y40" s="31"/>
      <c r="Z40" s="31"/>
      <c r="AA40" s="31"/>
      <c r="AB40" s="31"/>
      <c r="AC40" s="31"/>
      <c r="AD40" s="31"/>
      <c r="AE40" s="31"/>
      <c r="AF40" s="31"/>
      <c r="AG40" s="31"/>
    </row>
    <row r="41" spans="1:33" ht="49.5">
      <c r="A41" s="29"/>
      <c r="B41" s="49" t="s">
        <v>370</v>
      </c>
      <c r="C41" s="31"/>
      <c r="D41" s="31"/>
      <c r="E41" s="31"/>
      <c r="F41" s="31"/>
      <c r="G41" s="31"/>
      <c r="H41" s="31"/>
      <c r="I41" s="31"/>
      <c r="J41" s="31"/>
      <c r="K41" s="31"/>
      <c r="L41" s="31"/>
      <c r="M41" s="31"/>
      <c r="N41" s="31"/>
      <c r="O41" s="31"/>
      <c r="P41" s="31"/>
      <c r="Q41" s="31"/>
      <c r="R41" s="31"/>
      <c r="S41" s="31"/>
      <c r="T41" s="31"/>
      <c r="U41" s="31"/>
      <c r="V41" s="31"/>
      <c r="W41" s="31"/>
      <c r="X41" s="31"/>
      <c r="Y41" s="31"/>
      <c r="Z41" s="31"/>
      <c r="AA41" s="31"/>
      <c r="AB41" s="31"/>
      <c r="AC41" s="31"/>
      <c r="AD41" s="31"/>
      <c r="AE41" s="31"/>
      <c r="AF41" s="31"/>
      <c r="AG41" s="31"/>
    </row>
    <row r="42" spans="1:33" ht="25">
      <c r="A42" s="30" t="s">
        <v>371</v>
      </c>
      <c r="B42" s="43" t="s">
        <v>672</v>
      </c>
      <c r="C42" s="51">
        <v>83.97287</v>
      </c>
      <c r="D42" s="51">
        <v>86.591308999999995</v>
      </c>
      <c r="E42" s="51">
        <v>89.322051999999999</v>
      </c>
      <c r="F42" s="51">
        <v>91.845519999999993</v>
      </c>
      <c r="G42" s="51">
        <v>94.241669000000002</v>
      </c>
      <c r="H42" s="51">
        <v>95.709709000000004</v>
      </c>
      <c r="I42" s="51">
        <v>96.870627999999996</v>
      </c>
      <c r="J42" s="51">
        <v>97.866966000000005</v>
      </c>
      <c r="K42" s="51">
        <v>98.577652</v>
      </c>
      <c r="L42" s="51">
        <v>99.051108999999997</v>
      </c>
      <c r="M42" s="51">
        <v>99.305396999999999</v>
      </c>
      <c r="N42" s="51">
        <v>99.384590000000003</v>
      </c>
      <c r="O42" s="51">
        <v>99.399269000000004</v>
      </c>
      <c r="P42" s="51">
        <v>99.449905000000001</v>
      </c>
      <c r="Q42" s="51">
        <v>99.533790999999994</v>
      </c>
      <c r="R42" s="51">
        <v>99.649413999999993</v>
      </c>
      <c r="S42" s="51">
        <v>99.815132000000006</v>
      </c>
      <c r="T42" s="51">
        <v>100.010498</v>
      </c>
      <c r="U42" s="51">
        <v>100.26570100000001</v>
      </c>
      <c r="V42" s="51">
        <v>100.496956</v>
      </c>
      <c r="W42" s="51">
        <v>100.719612</v>
      </c>
      <c r="X42" s="51">
        <v>100.939255</v>
      </c>
      <c r="Y42" s="51">
        <v>101.13732899999999</v>
      </c>
      <c r="Z42" s="51">
        <v>101.40701300000001</v>
      </c>
      <c r="AA42" s="51">
        <v>101.647255</v>
      </c>
      <c r="AB42" s="51">
        <v>101.892754</v>
      </c>
      <c r="AC42" s="51">
        <v>102.077606</v>
      </c>
      <c r="AD42" s="51">
        <v>102.301033</v>
      </c>
      <c r="AE42" s="51">
        <v>102.57225800000001</v>
      </c>
      <c r="AF42" s="41">
        <v>7.1710000000000003E-3</v>
      </c>
      <c r="AG42" s="31"/>
    </row>
    <row r="43" spans="1:33" ht="25">
      <c r="A43" s="30" t="s">
        <v>372</v>
      </c>
      <c r="B43" s="43" t="s">
        <v>674</v>
      </c>
      <c r="C43" s="51">
        <v>0.52666299999999999</v>
      </c>
      <c r="D43" s="51">
        <v>0.47602299999999997</v>
      </c>
      <c r="E43" s="51">
        <v>0.42490800000000001</v>
      </c>
      <c r="F43" s="51">
        <v>0.38086199999999998</v>
      </c>
      <c r="G43" s="51">
        <v>0.34490700000000002</v>
      </c>
      <c r="H43" s="51">
        <v>0.311031</v>
      </c>
      <c r="I43" s="51">
        <v>0.278507</v>
      </c>
      <c r="J43" s="51">
        <v>0.24740000000000001</v>
      </c>
      <c r="K43" s="51">
        <v>0.21782899999999999</v>
      </c>
      <c r="L43" s="51">
        <v>0.189997</v>
      </c>
      <c r="M43" s="51">
        <v>0.163995</v>
      </c>
      <c r="N43" s="51">
        <v>0.14014199999999999</v>
      </c>
      <c r="O43" s="51">
        <v>0.118488</v>
      </c>
      <c r="P43" s="51">
        <v>9.9340999999999999E-2</v>
      </c>
      <c r="Q43" s="51">
        <v>8.2621E-2</v>
      </c>
      <c r="R43" s="51">
        <v>6.8324999999999997E-2</v>
      </c>
      <c r="S43" s="51">
        <v>5.6474999999999997E-2</v>
      </c>
      <c r="T43" s="51">
        <v>4.6781999999999997E-2</v>
      </c>
      <c r="U43" s="51">
        <v>3.9136999999999998E-2</v>
      </c>
      <c r="V43" s="51">
        <v>3.3218999999999999E-2</v>
      </c>
      <c r="W43" s="51">
        <v>2.8556999999999999E-2</v>
      </c>
      <c r="X43" s="51">
        <v>2.4872999999999999E-2</v>
      </c>
      <c r="Y43" s="51">
        <v>2.1923999999999999E-2</v>
      </c>
      <c r="Z43" s="51">
        <v>1.967E-2</v>
      </c>
      <c r="AA43" s="51">
        <v>1.7888000000000001E-2</v>
      </c>
      <c r="AB43" s="51">
        <v>1.6293999999999999E-2</v>
      </c>
      <c r="AC43" s="51">
        <v>1.4864E-2</v>
      </c>
      <c r="AD43" s="51">
        <v>1.3586000000000001E-2</v>
      </c>
      <c r="AE43" s="51">
        <v>1.2444E-2</v>
      </c>
      <c r="AF43" s="41">
        <v>-0.12520200000000001</v>
      </c>
      <c r="AG43" s="31"/>
    </row>
    <row r="44" spans="1:33" ht="49.5">
      <c r="A44" s="30" t="s">
        <v>373</v>
      </c>
      <c r="B44" s="43" t="s">
        <v>713</v>
      </c>
      <c r="C44" s="51">
        <v>84.499534999999995</v>
      </c>
      <c r="D44" s="51">
        <v>87.067329000000001</v>
      </c>
      <c r="E44" s="51">
        <v>89.746964000000006</v>
      </c>
      <c r="F44" s="51">
        <v>92.226378999999994</v>
      </c>
      <c r="G44" s="51">
        <v>94.586578000000003</v>
      </c>
      <c r="H44" s="51">
        <v>96.020736999999997</v>
      </c>
      <c r="I44" s="51">
        <v>97.149131999999994</v>
      </c>
      <c r="J44" s="51">
        <v>98.114365000000006</v>
      </c>
      <c r="K44" s="51">
        <v>98.795479</v>
      </c>
      <c r="L44" s="51">
        <v>99.241104000000007</v>
      </c>
      <c r="M44" s="51">
        <v>99.469391000000002</v>
      </c>
      <c r="N44" s="51">
        <v>99.524733999999995</v>
      </c>
      <c r="O44" s="51">
        <v>99.517753999999996</v>
      </c>
      <c r="P44" s="51">
        <v>99.549248000000006</v>
      </c>
      <c r="Q44" s="51">
        <v>99.616409000000004</v>
      </c>
      <c r="R44" s="51">
        <v>99.717742999999999</v>
      </c>
      <c r="S44" s="51">
        <v>99.871605000000002</v>
      </c>
      <c r="T44" s="51">
        <v>100.057281</v>
      </c>
      <c r="U44" s="51">
        <v>100.30484</v>
      </c>
      <c r="V44" s="51">
        <v>100.530174</v>
      </c>
      <c r="W44" s="51">
        <v>100.748169</v>
      </c>
      <c r="X44" s="51">
        <v>100.964127</v>
      </c>
      <c r="Y44" s="51">
        <v>101.159256</v>
      </c>
      <c r="Z44" s="51">
        <v>101.426682</v>
      </c>
      <c r="AA44" s="51">
        <v>101.66514599999999</v>
      </c>
      <c r="AB44" s="51">
        <v>101.90904999999999</v>
      </c>
      <c r="AC44" s="51">
        <v>102.092468</v>
      </c>
      <c r="AD44" s="51">
        <v>102.314621</v>
      </c>
      <c r="AE44" s="51">
        <v>102.58470199999999</v>
      </c>
      <c r="AF44" s="41">
        <v>6.9509999999999997E-3</v>
      </c>
      <c r="AG44" s="31"/>
    </row>
    <row r="45" spans="1:33">
      <c r="A45" s="29"/>
      <c r="B45" s="31"/>
      <c r="C45" s="31"/>
      <c r="D45" s="31"/>
      <c r="E45" s="31"/>
      <c r="F45" s="31"/>
      <c r="G45" s="31"/>
      <c r="H45" s="31"/>
      <c r="I45" s="31"/>
      <c r="J45" s="31"/>
      <c r="K45" s="31"/>
      <c r="L45" s="31"/>
      <c r="M45" s="31"/>
      <c r="N45" s="31"/>
      <c r="O45" s="31"/>
      <c r="P45" s="31"/>
      <c r="Q45" s="31"/>
      <c r="R45" s="31"/>
      <c r="S45" s="31"/>
      <c r="T45" s="31"/>
      <c r="U45" s="31"/>
      <c r="V45" s="31"/>
      <c r="W45" s="31"/>
      <c r="X45" s="31"/>
      <c r="Y45" s="31"/>
      <c r="Z45" s="31"/>
      <c r="AA45" s="31"/>
      <c r="AB45" s="31"/>
      <c r="AC45" s="31"/>
      <c r="AD45" s="31"/>
      <c r="AE45" s="31"/>
      <c r="AF45" s="31"/>
      <c r="AG45" s="31"/>
    </row>
    <row r="46" spans="1:33" ht="37.25">
      <c r="A46" s="29"/>
      <c r="B46" s="49" t="s">
        <v>374</v>
      </c>
      <c r="C46" s="31"/>
      <c r="D46" s="31"/>
      <c r="E46" s="31"/>
      <c r="F46" s="31"/>
      <c r="G46" s="31"/>
      <c r="H46" s="31"/>
      <c r="I46" s="31"/>
      <c r="J46" s="31"/>
      <c r="K46" s="31"/>
      <c r="L46" s="31"/>
      <c r="M46" s="31"/>
      <c r="N46" s="31"/>
      <c r="O46" s="31"/>
      <c r="P46" s="31"/>
      <c r="Q46" s="31"/>
      <c r="R46" s="31"/>
      <c r="S46" s="31"/>
      <c r="T46" s="31"/>
      <c r="U46" s="31"/>
      <c r="V46" s="31"/>
      <c r="W46" s="31"/>
      <c r="X46" s="31"/>
      <c r="Y46" s="31"/>
      <c r="Z46" s="31"/>
      <c r="AA46" s="31"/>
      <c r="AB46" s="31"/>
      <c r="AC46" s="31"/>
      <c r="AD46" s="31"/>
      <c r="AE46" s="31"/>
      <c r="AF46" s="31"/>
      <c r="AG46" s="31"/>
    </row>
    <row r="47" spans="1:33" ht="37.25">
      <c r="A47" s="30" t="s">
        <v>375</v>
      </c>
      <c r="B47" s="43" t="s">
        <v>678</v>
      </c>
      <c r="C47" s="51">
        <v>13.162470000000001</v>
      </c>
      <c r="D47" s="51">
        <v>12.179224</v>
      </c>
      <c r="E47" s="51">
        <v>11.320261</v>
      </c>
      <c r="F47" s="51">
        <v>10.432677</v>
      </c>
      <c r="G47" s="51">
        <v>9.6362159999999992</v>
      </c>
      <c r="H47" s="51">
        <v>8.8684220000000007</v>
      </c>
      <c r="I47" s="51">
        <v>8.172307</v>
      </c>
      <c r="J47" s="51">
        <v>7.5669320000000004</v>
      </c>
      <c r="K47" s="51">
        <v>7.0374990000000004</v>
      </c>
      <c r="L47" s="51">
        <v>6.5835350000000004</v>
      </c>
      <c r="M47" s="51">
        <v>6.1968730000000001</v>
      </c>
      <c r="N47" s="51">
        <v>5.8738489999999999</v>
      </c>
      <c r="O47" s="51">
        <v>5.6154599999999997</v>
      </c>
      <c r="P47" s="51">
        <v>5.4209829999999997</v>
      </c>
      <c r="Q47" s="51">
        <v>5.2785830000000002</v>
      </c>
      <c r="R47" s="51">
        <v>5.1777110000000004</v>
      </c>
      <c r="S47" s="51">
        <v>5.112978</v>
      </c>
      <c r="T47" s="51">
        <v>5.0727289999999998</v>
      </c>
      <c r="U47" s="51">
        <v>5.0517630000000002</v>
      </c>
      <c r="V47" s="51">
        <v>5.0381419999999997</v>
      </c>
      <c r="W47" s="51">
        <v>5.0318680000000002</v>
      </c>
      <c r="X47" s="51">
        <v>5.0324410000000004</v>
      </c>
      <c r="Y47" s="51">
        <v>5.0378150000000002</v>
      </c>
      <c r="Z47" s="51">
        <v>5.0565119999999997</v>
      </c>
      <c r="AA47" s="51">
        <v>5.0759270000000001</v>
      </c>
      <c r="AB47" s="51">
        <v>5.0979070000000002</v>
      </c>
      <c r="AC47" s="51">
        <v>5.114109</v>
      </c>
      <c r="AD47" s="51">
        <v>5.1376010000000001</v>
      </c>
      <c r="AE47" s="51">
        <v>5.1685270000000001</v>
      </c>
      <c r="AF47" s="41">
        <v>-3.2834000000000002E-2</v>
      </c>
      <c r="AG47" s="31"/>
    </row>
    <row r="48" spans="1:33" ht="37.25">
      <c r="A48" s="30" t="s">
        <v>376</v>
      </c>
      <c r="B48" s="43" t="s">
        <v>680</v>
      </c>
      <c r="C48" s="51">
        <v>3.7030000000000001E-3</v>
      </c>
      <c r="D48" s="51">
        <v>3.8600000000000001E-3</v>
      </c>
      <c r="E48" s="51">
        <v>4.0629999999999998E-3</v>
      </c>
      <c r="F48" s="51">
        <v>4.254E-3</v>
      </c>
      <c r="G48" s="51">
        <v>4.411E-3</v>
      </c>
      <c r="H48" s="51">
        <v>4.5370000000000002E-3</v>
      </c>
      <c r="I48" s="51">
        <v>4.6309999999999997E-3</v>
      </c>
      <c r="J48" s="51">
        <v>4.6990000000000001E-3</v>
      </c>
      <c r="K48" s="51">
        <v>4.7390000000000002E-3</v>
      </c>
      <c r="L48" s="51">
        <v>4.7549999999999997E-3</v>
      </c>
      <c r="M48" s="51">
        <v>4.7470000000000004E-3</v>
      </c>
      <c r="N48" s="51">
        <v>4.7159999999999997E-3</v>
      </c>
      <c r="O48" s="51">
        <v>4.6620000000000003E-3</v>
      </c>
      <c r="P48" s="51">
        <v>4.5880000000000001E-3</v>
      </c>
      <c r="Q48" s="51">
        <v>4.4970000000000001E-3</v>
      </c>
      <c r="R48" s="51">
        <v>4.385E-3</v>
      </c>
      <c r="S48" s="51">
        <v>4.2500000000000003E-3</v>
      </c>
      <c r="T48" s="51">
        <v>4.0959999999999998E-3</v>
      </c>
      <c r="U48" s="51">
        <v>3.9240000000000004E-3</v>
      </c>
      <c r="V48" s="51">
        <v>3.7369999999999999E-3</v>
      </c>
      <c r="W48" s="51">
        <v>3.5370000000000002E-3</v>
      </c>
      <c r="X48" s="51">
        <v>3.3279999999999998E-3</v>
      </c>
      <c r="Y48" s="51">
        <v>3.1099999999999999E-3</v>
      </c>
      <c r="Z48" s="51">
        <v>2.8869999999999998E-3</v>
      </c>
      <c r="AA48" s="51">
        <v>2.6580000000000002E-3</v>
      </c>
      <c r="AB48" s="51">
        <v>2.4269999999999999E-3</v>
      </c>
      <c r="AC48" s="51">
        <v>2.1930000000000001E-3</v>
      </c>
      <c r="AD48" s="51">
        <v>1.957E-3</v>
      </c>
      <c r="AE48" s="51">
        <v>1.717E-3</v>
      </c>
      <c r="AF48" s="41">
        <v>-2.7074999999999998E-2</v>
      </c>
      <c r="AG48" s="31"/>
    </row>
    <row r="49" spans="1:33" ht="37.25">
      <c r="A49" s="30" t="s">
        <v>377</v>
      </c>
      <c r="B49" s="43" t="s">
        <v>682</v>
      </c>
      <c r="C49" s="51">
        <v>7.2588E-2</v>
      </c>
      <c r="D49" s="51">
        <v>0.143895</v>
      </c>
      <c r="E49" s="51">
        <v>0.247086</v>
      </c>
      <c r="F49" s="51">
        <v>0.37705499999999997</v>
      </c>
      <c r="G49" s="51">
        <v>0.53026099999999998</v>
      </c>
      <c r="H49" s="51">
        <v>0.69836500000000001</v>
      </c>
      <c r="I49" s="51">
        <v>0.88094700000000004</v>
      </c>
      <c r="J49" s="51">
        <v>1.078524</v>
      </c>
      <c r="K49" s="51">
        <v>1.286143</v>
      </c>
      <c r="L49" s="51">
        <v>1.5028330000000001</v>
      </c>
      <c r="M49" s="51">
        <v>1.7267479999999999</v>
      </c>
      <c r="N49" s="51">
        <v>1.957039</v>
      </c>
      <c r="O49" s="51">
        <v>2.1958120000000001</v>
      </c>
      <c r="P49" s="51">
        <v>2.4456470000000001</v>
      </c>
      <c r="Q49" s="51">
        <v>2.7055850000000001</v>
      </c>
      <c r="R49" s="51">
        <v>2.9749140000000001</v>
      </c>
      <c r="S49" s="51">
        <v>3.25406</v>
      </c>
      <c r="T49" s="51">
        <v>3.5413579999999998</v>
      </c>
      <c r="U49" s="51">
        <v>3.8381159999999999</v>
      </c>
      <c r="V49" s="51">
        <v>4.139297</v>
      </c>
      <c r="W49" s="51">
        <v>4.4454180000000001</v>
      </c>
      <c r="X49" s="51">
        <v>4.7565809999999997</v>
      </c>
      <c r="Y49" s="51">
        <v>5.0713590000000002</v>
      </c>
      <c r="Z49" s="51">
        <v>5.3965630000000004</v>
      </c>
      <c r="AA49" s="51">
        <v>5.7247779999999997</v>
      </c>
      <c r="AB49" s="51">
        <v>6.05837</v>
      </c>
      <c r="AC49" s="51">
        <v>6.3917599999999997</v>
      </c>
      <c r="AD49" s="51">
        <v>6.7332539999999996</v>
      </c>
      <c r="AE49" s="51">
        <v>7.0839730000000003</v>
      </c>
      <c r="AF49" s="41">
        <v>0.17774300000000001</v>
      </c>
      <c r="AG49" s="31"/>
    </row>
    <row r="50" spans="1:33" ht="37.25">
      <c r="A50" s="30" t="s">
        <v>378</v>
      </c>
      <c r="B50" s="43" t="s">
        <v>684</v>
      </c>
      <c r="C50" s="51">
        <v>4.1449E-2</v>
      </c>
      <c r="D50" s="51">
        <v>5.7634999999999999E-2</v>
      </c>
      <c r="E50" s="51">
        <v>7.8458E-2</v>
      </c>
      <c r="F50" s="51">
        <v>0.10303900000000001</v>
      </c>
      <c r="G50" s="51">
        <v>0.13026699999999999</v>
      </c>
      <c r="H50" s="51">
        <v>0.159192</v>
      </c>
      <c r="I50" s="51">
        <v>0.18985199999999999</v>
      </c>
      <c r="J50" s="51">
        <v>0.22237799999999999</v>
      </c>
      <c r="K50" s="51">
        <v>0.25599</v>
      </c>
      <c r="L50" s="51">
        <v>0.29058200000000001</v>
      </c>
      <c r="M50" s="51">
        <v>0.32589699999999999</v>
      </c>
      <c r="N50" s="51">
        <v>0.36181999999999997</v>
      </c>
      <c r="O50" s="51">
        <v>0.398752</v>
      </c>
      <c r="P50" s="51">
        <v>0.437135</v>
      </c>
      <c r="Q50" s="51">
        <v>0.47684599999999999</v>
      </c>
      <c r="R50" s="51">
        <v>0.517822</v>
      </c>
      <c r="S50" s="51">
        <v>0.56014399999999998</v>
      </c>
      <c r="T50" s="51">
        <v>0.60358400000000001</v>
      </c>
      <c r="U50" s="51">
        <v>0.64836199999999999</v>
      </c>
      <c r="V50" s="51">
        <v>0.69373300000000004</v>
      </c>
      <c r="W50" s="51">
        <v>0.73980999999999997</v>
      </c>
      <c r="X50" s="51">
        <v>0.78660699999999995</v>
      </c>
      <c r="Y50" s="51">
        <v>0.83390399999999998</v>
      </c>
      <c r="Z50" s="51">
        <v>0.88275199999999998</v>
      </c>
      <c r="AA50" s="51">
        <v>0.93203199999999997</v>
      </c>
      <c r="AB50" s="51">
        <v>0.98212600000000005</v>
      </c>
      <c r="AC50" s="51">
        <v>1.0321910000000001</v>
      </c>
      <c r="AD50" s="51">
        <v>1.08348</v>
      </c>
      <c r="AE50" s="51">
        <v>1.136166</v>
      </c>
      <c r="AF50" s="41">
        <v>0.125524</v>
      </c>
      <c r="AG50" s="31"/>
    </row>
    <row r="51" spans="1:33" ht="37.25">
      <c r="A51" s="30" t="s">
        <v>379</v>
      </c>
      <c r="B51" s="43" t="s">
        <v>686</v>
      </c>
      <c r="C51" s="51">
        <v>0.19003100000000001</v>
      </c>
      <c r="D51" s="51">
        <v>0.19597899999999999</v>
      </c>
      <c r="E51" s="51">
        <v>0.20338800000000001</v>
      </c>
      <c r="F51" s="51">
        <v>0.232598</v>
      </c>
      <c r="G51" s="51">
        <v>0.26170900000000002</v>
      </c>
      <c r="H51" s="51">
        <v>0.28961100000000001</v>
      </c>
      <c r="I51" s="51">
        <v>0.31624000000000002</v>
      </c>
      <c r="J51" s="51">
        <v>0.34196700000000002</v>
      </c>
      <c r="K51" s="51">
        <v>0.36633300000000002</v>
      </c>
      <c r="L51" s="51">
        <v>0.38955299999999998</v>
      </c>
      <c r="M51" s="51">
        <v>0.41159000000000001</v>
      </c>
      <c r="N51" s="51">
        <v>0.43248599999999998</v>
      </c>
      <c r="O51" s="51">
        <v>0.45264100000000002</v>
      </c>
      <c r="P51" s="51">
        <v>0.47244900000000001</v>
      </c>
      <c r="Q51" s="51">
        <v>0.49194399999999999</v>
      </c>
      <c r="R51" s="51">
        <v>0.51121399999999995</v>
      </c>
      <c r="S51" s="51">
        <v>0.53047100000000003</v>
      </c>
      <c r="T51" s="51">
        <v>0.54966800000000005</v>
      </c>
      <c r="U51" s="51">
        <v>0.56905600000000001</v>
      </c>
      <c r="V51" s="51">
        <v>0.588341</v>
      </c>
      <c r="W51" s="51">
        <v>0.60767000000000004</v>
      </c>
      <c r="X51" s="51">
        <v>0.62711099999999997</v>
      </c>
      <c r="Y51" s="51">
        <v>0.64659900000000003</v>
      </c>
      <c r="Z51" s="51">
        <v>0.66672399999999998</v>
      </c>
      <c r="AA51" s="51">
        <v>0.68695499999999998</v>
      </c>
      <c r="AB51" s="51">
        <v>0.707507</v>
      </c>
      <c r="AC51" s="51">
        <v>0.72800500000000001</v>
      </c>
      <c r="AD51" s="51">
        <v>0.748969</v>
      </c>
      <c r="AE51" s="51">
        <v>0.770486</v>
      </c>
      <c r="AF51" s="41">
        <v>5.1264999999999998E-2</v>
      </c>
      <c r="AG51" s="31"/>
    </row>
    <row r="52" spans="1:33" ht="37.25">
      <c r="A52" s="30" t="s">
        <v>380</v>
      </c>
      <c r="B52" s="43" t="s">
        <v>688</v>
      </c>
      <c r="C52" s="51">
        <v>1.1013E-2</v>
      </c>
      <c r="D52" s="51">
        <v>1.6417000000000001E-2</v>
      </c>
      <c r="E52" s="51">
        <v>2.4326E-2</v>
      </c>
      <c r="F52" s="51">
        <v>3.4889999999999997E-2</v>
      </c>
      <c r="G52" s="51">
        <v>4.8247999999999999E-2</v>
      </c>
      <c r="H52" s="51">
        <v>6.3668000000000002E-2</v>
      </c>
      <c r="I52" s="51">
        <v>8.0962999999999993E-2</v>
      </c>
      <c r="J52" s="51">
        <v>0.100134</v>
      </c>
      <c r="K52" s="51">
        <v>0.12080100000000001</v>
      </c>
      <c r="L52" s="51">
        <v>0.14289099999999999</v>
      </c>
      <c r="M52" s="51">
        <v>0.166211</v>
      </c>
      <c r="N52" s="51">
        <v>0.19062899999999999</v>
      </c>
      <c r="O52" s="51">
        <v>0.21623500000000001</v>
      </c>
      <c r="P52" s="51">
        <v>0.243168</v>
      </c>
      <c r="Q52" s="51">
        <v>0.27132899999999999</v>
      </c>
      <c r="R52" s="51">
        <v>0.30064800000000003</v>
      </c>
      <c r="S52" s="51">
        <v>0.331146</v>
      </c>
      <c r="T52" s="51">
        <v>0.36265799999999998</v>
      </c>
      <c r="U52" s="51">
        <v>0.39525199999999999</v>
      </c>
      <c r="V52" s="51">
        <v>0.42854300000000001</v>
      </c>
      <c r="W52" s="51">
        <v>0.46252799999999999</v>
      </c>
      <c r="X52" s="51">
        <v>0.49717699999999998</v>
      </c>
      <c r="Y52" s="51">
        <v>0.53234599999999999</v>
      </c>
      <c r="Z52" s="51">
        <v>0.56852899999999995</v>
      </c>
      <c r="AA52" s="51">
        <v>0.60517799999999999</v>
      </c>
      <c r="AB52" s="51">
        <v>0.64248300000000003</v>
      </c>
      <c r="AC52" s="51">
        <v>0.68004399999999998</v>
      </c>
      <c r="AD52" s="51">
        <v>0.71839399999999998</v>
      </c>
      <c r="AE52" s="51">
        <v>0.757633</v>
      </c>
      <c r="AF52" s="41">
        <v>0.16312599999999999</v>
      </c>
      <c r="AG52" s="31"/>
    </row>
    <row r="53" spans="1:33" ht="37.25">
      <c r="A53" s="30" t="s">
        <v>381</v>
      </c>
      <c r="B53" s="43" t="s">
        <v>690</v>
      </c>
      <c r="C53" s="51">
        <v>0</v>
      </c>
      <c r="D53" s="51">
        <v>0</v>
      </c>
      <c r="E53" s="51">
        <v>0</v>
      </c>
      <c r="F53" s="51">
        <v>0</v>
      </c>
      <c r="G53" s="51">
        <v>0</v>
      </c>
      <c r="H53" s="51">
        <v>0</v>
      </c>
      <c r="I53" s="51">
        <v>0</v>
      </c>
      <c r="J53" s="51">
        <v>0</v>
      </c>
      <c r="K53" s="51">
        <v>0</v>
      </c>
      <c r="L53" s="51">
        <v>0</v>
      </c>
      <c r="M53" s="51">
        <v>0</v>
      </c>
      <c r="N53" s="51">
        <v>0</v>
      </c>
      <c r="O53" s="51">
        <v>0</v>
      </c>
      <c r="P53" s="51">
        <v>0</v>
      </c>
      <c r="Q53" s="51">
        <v>0</v>
      </c>
      <c r="R53" s="51">
        <v>0</v>
      </c>
      <c r="S53" s="51">
        <v>0</v>
      </c>
      <c r="T53" s="51">
        <v>0</v>
      </c>
      <c r="U53" s="51">
        <v>0</v>
      </c>
      <c r="V53" s="51">
        <v>0</v>
      </c>
      <c r="W53" s="51">
        <v>0</v>
      </c>
      <c r="X53" s="51">
        <v>0</v>
      </c>
      <c r="Y53" s="51">
        <v>0</v>
      </c>
      <c r="Z53" s="51">
        <v>0</v>
      </c>
      <c r="AA53" s="51">
        <v>0</v>
      </c>
      <c r="AB53" s="51">
        <v>0</v>
      </c>
      <c r="AC53" s="51">
        <v>0</v>
      </c>
      <c r="AD53" s="51">
        <v>0</v>
      </c>
      <c r="AE53" s="51">
        <v>0</v>
      </c>
      <c r="AF53" s="41" t="s">
        <v>340</v>
      </c>
      <c r="AG53" s="31"/>
    </row>
    <row r="54" spans="1:33" ht="37.25">
      <c r="A54" s="30" t="s">
        <v>382</v>
      </c>
      <c r="B54" s="43" t="s">
        <v>692</v>
      </c>
      <c r="C54" s="51">
        <v>1.4879119999999999</v>
      </c>
      <c r="D54" s="51">
        <v>1.8146629999999999</v>
      </c>
      <c r="E54" s="51">
        <v>2.1407620000000001</v>
      </c>
      <c r="F54" s="51">
        <v>2.4838610000000001</v>
      </c>
      <c r="G54" s="51">
        <v>2.822991</v>
      </c>
      <c r="H54" s="51">
        <v>3.1212719999999998</v>
      </c>
      <c r="I54" s="51">
        <v>3.3920370000000002</v>
      </c>
      <c r="J54" s="51">
        <v>3.6403780000000001</v>
      </c>
      <c r="K54" s="51">
        <v>3.8646980000000002</v>
      </c>
      <c r="L54" s="51">
        <v>4.069013</v>
      </c>
      <c r="M54" s="51">
        <v>4.2541650000000004</v>
      </c>
      <c r="N54" s="51">
        <v>4.4216379999999997</v>
      </c>
      <c r="O54" s="51">
        <v>4.576524</v>
      </c>
      <c r="P54" s="51">
        <v>4.7235469999999999</v>
      </c>
      <c r="Q54" s="51">
        <v>4.8642300000000001</v>
      </c>
      <c r="R54" s="51">
        <v>4.9996369999999999</v>
      </c>
      <c r="S54" s="51">
        <v>5.1323740000000004</v>
      </c>
      <c r="T54" s="51">
        <v>5.2624029999999999</v>
      </c>
      <c r="U54" s="51">
        <v>5.3924770000000004</v>
      </c>
      <c r="V54" s="51">
        <v>5.5196199999999997</v>
      </c>
      <c r="W54" s="51">
        <v>5.6451539999999998</v>
      </c>
      <c r="X54" s="51">
        <v>5.7697919999999998</v>
      </c>
      <c r="Y54" s="51">
        <v>5.8929679999999998</v>
      </c>
      <c r="Z54" s="51">
        <v>6.0206480000000004</v>
      </c>
      <c r="AA54" s="51">
        <v>6.1476749999999996</v>
      </c>
      <c r="AB54" s="51">
        <v>6.2759289999999996</v>
      </c>
      <c r="AC54" s="51">
        <v>6.4017200000000001</v>
      </c>
      <c r="AD54" s="51">
        <v>6.5306540000000002</v>
      </c>
      <c r="AE54" s="51">
        <v>6.6636280000000001</v>
      </c>
      <c r="AF54" s="41">
        <v>5.5005999999999999E-2</v>
      </c>
      <c r="AG54" s="31"/>
    </row>
    <row r="55" spans="1:33" ht="25">
      <c r="A55" s="30" t="s">
        <v>383</v>
      </c>
      <c r="B55" s="43" t="s">
        <v>694</v>
      </c>
      <c r="C55" s="51">
        <v>2.7307000000000001E-2</v>
      </c>
      <c r="D55" s="51">
        <v>2.538E-2</v>
      </c>
      <c r="E55" s="51">
        <v>2.3747000000000001E-2</v>
      </c>
      <c r="F55" s="51">
        <v>2.2165000000000001E-2</v>
      </c>
      <c r="G55" s="51">
        <v>2.0631E-2</v>
      </c>
      <c r="H55" s="51">
        <v>1.9140999999999998E-2</v>
      </c>
      <c r="I55" s="51">
        <v>1.7766000000000001E-2</v>
      </c>
      <c r="J55" s="51">
        <v>1.6636999999999999E-2</v>
      </c>
      <c r="K55" s="51">
        <v>1.5591000000000001E-2</v>
      </c>
      <c r="L55" s="51">
        <v>1.4572999999999999E-2</v>
      </c>
      <c r="M55" s="51">
        <v>1.3602E-2</v>
      </c>
      <c r="N55" s="51">
        <v>1.268E-2</v>
      </c>
      <c r="O55" s="51">
        <v>1.1816E-2</v>
      </c>
      <c r="P55" s="51">
        <v>1.1003000000000001E-2</v>
      </c>
      <c r="Q55" s="51">
        <v>1.0246999999999999E-2</v>
      </c>
      <c r="R55" s="51">
        <v>9.6509999999999999E-3</v>
      </c>
      <c r="S55" s="51">
        <v>9.0790000000000003E-3</v>
      </c>
      <c r="T55" s="51">
        <v>8.5800000000000008E-3</v>
      </c>
      <c r="U55" s="51">
        <v>8.1089999999999999E-3</v>
      </c>
      <c r="V55" s="51">
        <v>7.6639999999999998E-3</v>
      </c>
      <c r="W55" s="51">
        <v>7.2430000000000003E-3</v>
      </c>
      <c r="X55" s="51">
        <v>6.8459999999999997E-3</v>
      </c>
      <c r="Y55" s="51">
        <v>6.4700000000000001E-3</v>
      </c>
      <c r="Z55" s="51">
        <v>6.1149999999999998E-3</v>
      </c>
      <c r="AA55" s="51">
        <v>5.7800000000000004E-3</v>
      </c>
      <c r="AB55" s="51">
        <v>5.463E-3</v>
      </c>
      <c r="AC55" s="51">
        <v>5.1640000000000002E-3</v>
      </c>
      <c r="AD55" s="51">
        <v>4.8809999999999999E-3</v>
      </c>
      <c r="AE55" s="51">
        <v>4.6129999999999999E-3</v>
      </c>
      <c r="AF55" s="41">
        <v>-6.1532999999999997E-2</v>
      </c>
      <c r="AG55" s="31"/>
    </row>
    <row r="56" spans="1:33" ht="25">
      <c r="A56" s="30" t="s">
        <v>384</v>
      </c>
      <c r="B56" s="43" t="s">
        <v>696</v>
      </c>
      <c r="C56" s="51">
        <v>2.1069000000000001E-2</v>
      </c>
      <c r="D56" s="51">
        <v>1.942E-2</v>
      </c>
      <c r="E56" s="51">
        <v>1.8349000000000001E-2</v>
      </c>
      <c r="F56" s="51">
        <v>1.7337999999999999E-2</v>
      </c>
      <c r="G56" s="51">
        <v>1.6382000000000001E-2</v>
      </c>
      <c r="H56" s="51">
        <v>1.5479E-2</v>
      </c>
      <c r="I56" s="51">
        <v>1.4626E-2</v>
      </c>
      <c r="J56" s="51">
        <v>1.3821E-2</v>
      </c>
      <c r="K56" s="51">
        <v>1.3058999999999999E-2</v>
      </c>
      <c r="L56" s="51">
        <v>1.234E-2</v>
      </c>
      <c r="M56" s="51">
        <v>1.1660999999999999E-2</v>
      </c>
      <c r="N56" s="51">
        <v>1.1018999999999999E-2</v>
      </c>
      <c r="O56" s="51">
        <v>1.0413E-2</v>
      </c>
      <c r="P56" s="51">
        <v>9.8399999999999998E-3</v>
      </c>
      <c r="Q56" s="51">
        <v>9.299E-3</v>
      </c>
      <c r="R56" s="51">
        <v>8.7869999999999997E-3</v>
      </c>
      <c r="S56" s="51">
        <v>8.3040000000000006E-3</v>
      </c>
      <c r="T56" s="51">
        <v>7.8480000000000008E-3</v>
      </c>
      <c r="U56" s="51">
        <v>7.417E-3</v>
      </c>
      <c r="V56" s="51">
        <v>7.0089999999999996E-3</v>
      </c>
      <c r="W56" s="51">
        <v>6.6239999999999997E-3</v>
      </c>
      <c r="X56" s="51">
        <v>6.2599999999999999E-3</v>
      </c>
      <c r="Y56" s="51">
        <v>5.9160000000000003E-3</v>
      </c>
      <c r="Z56" s="51">
        <v>5.5919999999999997E-3</v>
      </c>
      <c r="AA56" s="51">
        <v>5.2849999999999998E-3</v>
      </c>
      <c r="AB56" s="51">
        <v>4.9950000000000003E-3</v>
      </c>
      <c r="AC56" s="51">
        <v>4.7210000000000004E-3</v>
      </c>
      <c r="AD56" s="51">
        <v>4.4619999999999998E-3</v>
      </c>
      <c r="AE56" s="51">
        <v>4.2170000000000003E-3</v>
      </c>
      <c r="AF56" s="41">
        <v>-5.5834000000000002E-2</v>
      </c>
      <c r="AG56" s="31"/>
    </row>
    <row r="57" spans="1:33" ht="25">
      <c r="A57" s="30" t="s">
        <v>385</v>
      </c>
      <c r="B57" s="43" t="s">
        <v>698</v>
      </c>
      <c r="C57" s="51">
        <v>5.5518999999999999E-2</v>
      </c>
      <c r="D57" s="51">
        <v>4.9865E-2</v>
      </c>
      <c r="E57" s="51">
        <v>4.4665000000000003E-2</v>
      </c>
      <c r="F57" s="51">
        <v>4.0508000000000002E-2</v>
      </c>
      <c r="G57" s="51">
        <v>3.746E-2</v>
      </c>
      <c r="H57" s="51">
        <v>3.5242999999999997E-2</v>
      </c>
      <c r="I57" s="51">
        <v>3.3300999999999997E-2</v>
      </c>
      <c r="J57" s="51">
        <v>3.1466000000000001E-2</v>
      </c>
      <c r="K57" s="51">
        <v>2.9732999999999999E-2</v>
      </c>
      <c r="L57" s="51">
        <v>2.8094999999999998E-2</v>
      </c>
      <c r="M57" s="51">
        <v>2.6547999999999999E-2</v>
      </c>
      <c r="N57" s="51">
        <v>2.5087000000000002E-2</v>
      </c>
      <c r="O57" s="51">
        <v>2.3706000000000001E-2</v>
      </c>
      <c r="P57" s="51">
        <v>2.2401999999999998E-2</v>
      </c>
      <c r="Q57" s="51">
        <v>2.1169E-2</v>
      </c>
      <c r="R57" s="51">
        <v>2.0004999999999998E-2</v>
      </c>
      <c r="S57" s="51">
        <v>1.8905000000000002E-2</v>
      </c>
      <c r="T57" s="51">
        <v>1.7864999999999999E-2</v>
      </c>
      <c r="U57" s="51">
        <v>1.6882999999999999E-2</v>
      </c>
      <c r="V57" s="51">
        <v>1.5955E-2</v>
      </c>
      <c r="W57" s="51">
        <v>1.5077999999999999E-2</v>
      </c>
      <c r="X57" s="51">
        <v>1.4250000000000001E-2</v>
      </c>
      <c r="Y57" s="51">
        <v>1.3467E-2</v>
      </c>
      <c r="Z57" s="51">
        <v>1.2728E-2</v>
      </c>
      <c r="AA57" s="51">
        <v>1.2029E-2</v>
      </c>
      <c r="AB57" s="51">
        <v>1.1369000000000001E-2</v>
      </c>
      <c r="AC57" s="51">
        <v>1.0744999999999999E-2</v>
      </c>
      <c r="AD57" s="51">
        <v>1.0155000000000001E-2</v>
      </c>
      <c r="AE57" s="51">
        <v>9.5980000000000006E-3</v>
      </c>
      <c r="AF57" s="41">
        <v>-6.0759000000000001E-2</v>
      </c>
      <c r="AG57" s="31"/>
    </row>
    <row r="58" spans="1:33" ht="25">
      <c r="A58" s="30" t="s">
        <v>386</v>
      </c>
      <c r="B58" s="43" t="s">
        <v>700</v>
      </c>
      <c r="C58" s="51">
        <v>4.9424999999999997E-2</v>
      </c>
      <c r="D58" s="51">
        <v>4.5553999999999997E-2</v>
      </c>
      <c r="E58" s="51">
        <v>4.3041999999999997E-2</v>
      </c>
      <c r="F58" s="51">
        <v>4.0668999999999997E-2</v>
      </c>
      <c r="G58" s="51">
        <v>3.8427000000000003E-2</v>
      </c>
      <c r="H58" s="51">
        <v>3.6310000000000002E-2</v>
      </c>
      <c r="I58" s="51">
        <v>3.4308999999999999E-2</v>
      </c>
      <c r="J58" s="51">
        <v>3.2419000000000003E-2</v>
      </c>
      <c r="K58" s="51">
        <v>3.0634000000000002E-2</v>
      </c>
      <c r="L58" s="51">
        <v>2.8947000000000001E-2</v>
      </c>
      <c r="M58" s="51">
        <v>2.7354E-2</v>
      </c>
      <c r="N58" s="51">
        <v>2.5847999999999999E-2</v>
      </c>
      <c r="O58" s="51">
        <v>2.4426E-2</v>
      </c>
      <c r="P58" s="51">
        <v>2.3081999999999998E-2</v>
      </c>
      <c r="Q58" s="51">
        <v>2.1812000000000002E-2</v>
      </c>
      <c r="R58" s="51">
        <v>2.0612999999999999E-2</v>
      </c>
      <c r="S58" s="51">
        <v>1.9479E-2</v>
      </c>
      <c r="T58" s="51">
        <v>1.8408999999999998E-2</v>
      </c>
      <c r="U58" s="51">
        <v>1.7396999999999999E-2</v>
      </c>
      <c r="V58" s="51">
        <v>1.6441000000000001E-2</v>
      </c>
      <c r="W58" s="51">
        <v>1.5538E-2</v>
      </c>
      <c r="X58" s="51">
        <v>1.4683999999999999E-2</v>
      </c>
      <c r="Y58" s="51">
        <v>1.3878E-2</v>
      </c>
      <c r="Z58" s="51">
        <v>1.3115999999999999E-2</v>
      </c>
      <c r="AA58" s="51">
        <v>1.2396000000000001E-2</v>
      </c>
      <c r="AB58" s="51">
        <v>1.1716000000000001E-2</v>
      </c>
      <c r="AC58" s="51">
        <v>1.1073E-2</v>
      </c>
      <c r="AD58" s="51">
        <v>1.0466E-2</v>
      </c>
      <c r="AE58" s="51">
        <v>9.8919999999999998E-3</v>
      </c>
      <c r="AF58" s="41">
        <v>-5.5835999999999997E-2</v>
      </c>
      <c r="AG58" s="31"/>
    </row>
    <row r="59" spans="1:33" ht="25">
      <c r="A59" s="30" t="s">
        <v>387</v>
      </c>
      <c r="B59" s="43" t="s">
        <v>702</v>
      </c>
      <c r="C59" s="51">
        <v>0</v>
      </c>
      <c r="D59" s="51">
        <v>0</v>
      </c>
      <c r="E59" s="51">
        <v>0</v>
      </c>
      <c r="F59" s="51">
        <v>0</v>
      </c>
      <c r="G59" s="51">
        <v>0</v>
      </c>
      <c r="H59" s="51">
        <v>0</v>
      </c>
      <c r="I59" s="51">
        <v>0</v>
      </c>
      <c r="J59" s="51">
        <v>0</v>
      </c>
      <c r="K59" s="51">
        <v>0</v>
      </c>
      <c r="L59" s="51">
        <v>0</v>
      </c>
      <c r="M59" s="51">
        <v>0</v>
      </c>
      <c r="N59" s="51">
        <v>0</v>
      </c>
      <c r="O59" s="51">
        <v>0</v>
      </c>
      <c r="P59" s="51">
        <v>0</v>
      </c>
      <c r="Q59" s="51">
        <v>0</v>
      </c>
      <c r="R59" s="51">
        <v>0</v>
      </c>
      <c r="S59" s="51">
        <v>0</v>
      </c>
      <c r="T59" s="51">
        <v>0</v>
      </c>
      <c r="U59" s="51">
        <v>0</v>
      </c>
      <c r="V59" s="51">
        <v>0</v>
      </c>
      <c r="W59" s="51">
        <v>0</v>
      </c>
      <c r="X59" s="51">
        <v>0</v>
      </c>
      <c r="Y59" s="51">
        <v>0</v>
      </c>
      <c r="Z59" s="51">
        <v>0</v>
      </c>
      <c r="AA59" s="51">
        <v>0</v>
      </c>
      <c r="AB59" s="51">
        <v>0</v>
      </c>
      <c r="AC59" s="51">
        <v>0</v>
      </c>
      <c r="AD59" s="51">
        <v>0</v>
      </c>
      <c r="AE59" s="51">
        <v>0</v>
      </c>
      <c r="AF59" s="41" t="s">
        <v>340</v>
      </c>
      <c r="AG59" s="31"/>
    </row>
    <row r="60" spans="1:33" ht="25">
      <c r="A60" s="30" t="s">
        <v>388</v>
      </c>
      <c r="B60" s="43" t="s">
        <v>704</v>
      </c>
      <c r="C60" s="51">
        <v>2.3E-5</v>
      </c>
      <c r="D60" s="51">
        <v>6.8999999999999997E-5</v>
      </c>
      <c r="E60" s="51">
        <v>1.4200000000000001E-4</v>
      </c>
      <c r="F60" s="51">
        <v>2.42E-4</v>
      </c>
      <c r="G60" s="51">
        <v>3.6900000000000002E-4</v>
      </c>
      <c r="H60" s="51">
        <v>5.1900000000000004E-4</v>
      </c>
      <c r="I60" s="51">
        <v>6.9099999999999999E-4</v>
      </c>
      <c r="J60" s="51">
        <v>8.8500000000000004E-4</v>
      </c>
      <c r="K60" s="51">
        <v>1.098E-3</v>
      </c>
      <c r="L60" s="51">
        <v>1.3290000000000001E-3</v>
      </c>
      <c r="M60" s="51">
        <v>1.575E-3</v>
      </c>
      <c r="N60" s="51">
        <v>1.8339999999999999E-3</v>
      </c>
      <c r="O60" s="51">
        <v>2.1069999999999999E-3</v>
      </c>
      <c r="P60" s="51">
        <v>2.3939999999999999E-3</v>
      </c>
      <c r="Q60" s="51">
        <v>2.6940000000000002E-3</v>
      </c>
      <c r="R60" s="51">
        <v>3.006E-3</v>
      </c>
      <c r="S60" s="51">
        <v>3.3310000000000002E-3</v>
      </c>
      <c r="T60" s="51">
        <v>3.6670000000000001E-3</v>
      </c>
      <c r="U60" s="51">
        <v>4.0159999999999996E-3</v>
      </c>
      <c r="V60" s="51">
        <v>4.3730000000000002E-3</v>
      </c>
      <c r="W60" s="51">
        <v>4.738E-3</v>
      </c>
      <c r="X60" s="51">
        <v>5.1120000000000002E-3</v>
      </c>
      <c r="Y60" s="51">
        <v>5.4939999999999998E-3</v>
      </c>
      <c r="Z60" s="51">
        <v>5.8859999999999997E-3</v>
      </c>
      <c r="AA60" s="51">
        <v>6.2839999999999997E-3</v>
      </c>
      <c r="AB60" s="51">
        <v>6.6899999999999998E-3</v>
      </c>
      <c r="AC60" s="51">
        <v>7.1009999999999997E-3</v>
      </c>
      <c r="AD60" s="51">
        <v>7.5209999999999999E-3</v>
      </c>
      <c r="AE60" s="51">
        <v>7.9509999999999997E-3</v>
      </c>
      <c r="AF60" s="41">
        <v>0.23269400000000001</v>
      </c>
      <c r="AG60" s="31"/>
    </row>
    <row r="61" spans="1:33" ht="37.25">
      <c r="A61" s="30" t="s">
        <v>389</v>
      </c>
      <c r="B61" s="43" t="s">
        <v>729</v>
      </c>
      <c r="C61" s="51">
        <v>15.122508</v>
      </c>
      <c r="D61" s="51">
        <v>14.551963000000001</v>
      </c>
      <c r="E61" s="51">
        <v>14.148291</v>
      </c>
      <c r="F61" s="51">
        <v>13.789296999999999</v>
      </c>
      <c r="G61" s="51">
        <v>13.547373</v>
      </c>
      <c r="H61" s="51">
        <v>13.311757999999999</v>
      </c>
      <c r="I61" s="51">
        <v>13.137670999999999</v>
      </c>
      <c r="J61" s="51">
        <v>13.050241</v>
      </c>
      <c r="K61" s="51">
        <v>13.026318</v>
      </c>
      <c r="L61" s="51">
        <v>13.068447000000001</v>
      </c>
      <c r="M61" s="51">
        <v>13.166968000000001</v>
      </c>
      <c r="N61" s="51">
        <v>13.318645999999999</v>
      </c>
      <c r="O61" s="51">
        <v>13.532553999999999</v>
      </c>
      <c r="P61" s="51">
        <v>13.816238</v>
      </c>
      <c r="Q61" s="51">
        <v>14.158236</v>
      </c>
      <c r="R61" s="51">
        <v>14.548389999999999</v>
      </c>
      <c r="S61" s="51">
        <v>14.984522</v>
      </c>
      <c r="T61" s="51">
        <v>15.452866</v>
      </c>
      <c r="U61" s="51">
        <v>15.952771</v>
      </c>
      <c r="V61" s="51">
        <v>16.462855999999999</v>
      </c>
      <c r="W61" s="51">
        <v>16.985206999999999</v>
      </c>
      <c r="X61" s="51">
        <v>17.520188999999998</v>
      </c>
      <c r="Y61" s="51">
        <v>18.063326</v>
      </c>
      <c r="Z61" s="51">
        <v>18.638051999999998</v>
      </c>
      <c r="AA61" s="51">
        <v>19.216975999999999</v>
      </c>
      <c r="AB61" s="51">
        <v>19.806982000000001</v>
      </c>
      <c r="AC61" s="51">
        <v>20.388824</v>
      </c>
      <c r="AD61" s="51">
        <v>20.991790999999999</v>
      </c>
      <c r="AE61" s="51">
        <v>21.618402</v>
      </c>
      <c r="AF61" s="41">
        <v>1.2845000000000001E-2</v>
      </c>
      <c r="AG61" s="31"/>
    </row>
    <row r="62" spans="1:33">
      <c r="A62" s="29"/>
      <c r="B62" s="31"/>
      <c r="C62" s="31"/>
      <c r="D62" s="31"/>
      <c r="E62" s="31"/>
      <c r="F62" s="31"/>
      <c r="G62" s="31"/>
      <c r="H62" s="31"/>
      <c r="I62" s="31"/>
      <c r="J62" s="31"/>
      <c r="K62" s="31"/>
      <c r="L62" s="31"/>
      <c r="M62" s="31"/>
      <c r="N62" s="31"/>
      <c r="O62" s="31"/>
      <c r="P62" s="31"/>
      <c r="Q62" s="31"/>
      <c r="R62" s="31"/>
      <c r="S62" s="31"/>
      <c r="T62" s="31"/>
      <c r="U62" s="31"/>
      <c r="V62" s="31"/>
      <c r="W62" s="31"/>
      <c r="X62" s="31"/>
      <c r="Y62" s="31"/>
      <c r="Z62" s="31"/>
      <c r="AA62" s="31"/>
      <c r="AB62" s="31"/>
      <c r="AC62" s="31"/>
      <c r="AD62" s="31"/>
      <c r="AE62" s="31"/>
      <c r="AF62" s="31"/>
      <c r="AG62" s="31"/>
    </row>
    <row r="63" spans="1:33" ht="25">
      <c r="A63" s="30" t="s">
        <v>390</v>
      </c>
      <c r="B63" s="43" t="s">
        <v>391</v>
      </c>
      <c r="C63" s="51">
        <v>99.622039999999998</v>
      </c>
      <c r="D63" s="51">
        <v>101.619293</v>
      </c>
      <c r="E63" s="51">
        <v>103.895256</v>
      </c>
      <c r="F63" s="51">
        <v>106.01567799999999</v>
      </c>
      <c r="G63" s="51">
        <v>108.133949</v>
      </c>
      <c r="H63" s="51">
        <v>109.332497</v>
      </c>
      <c r="I63" s="51">
        <v>110.286804</v>
      </c>
      <c r="J63" s="51">
        <v>111.164604</v>
      </c>
      <c r="K63" s="51">
        <v>111.821793</v>
      </c>
      <c r="L63" s="51">
        <v>112.309555</v>
      </c>
      <c r="M63" s="51">
        <v>112.63636</v>
      </c>
      <c r="N63" s="51">
        <v>112.843384</v>
      </c>
      <c r="O63" s="51">
        <v>113.050308</v>
      </c>
      <c r="P63" s="51">
        <v>113.365486</v>
      </c>
      <c r="Q63" s="51">
        <v>113.774643</v>
      </c>
      <c r="R63" s="51">
        <v>114.266136</v>
      </c>
      <c r="S63" s="51">
        <v>114.85612500000001</v>
      </c>
      <c r="T63" s="51">
        <v>115.510147</v>
      </c>
      <c r="U63" s="51">
        <v>116.257614</v>
      </c>
      <c r="V63" s="51">
        <v>116.993027</v>
      </c>
      <c r="W63" s="51">
        <v>117.73337600000001</v>
      </c>
      <c r="X63" s="51">
        <v>118.484314</v>
      </c>
      <c r="Y63" s="51">
        <v>119.22257999999999</v>
      </c>
      <c r="Z63" s="51">
        <v>120.064735</v>
      </c>
      <c r="AA63" s="51">
        <v>120.882126</v>
      </c>
      <c r="AB63" s="51">
        <v>121.71603399999999</v>
      </c>
      <c r="AC63" s="51">
        <v>122.48129299999999</v>
      </c>
      <c r="AD63" s="51">
        <v>123.30641199999999</v>
      </c>
      <c r="AE63" s="51">
        <v>124.203102</v>
      </c>
      <c r="AF63" s="41">
        <v>7.9070000000000008E-3</v>
      </c>
      <c r="AG63" s="31"/>
    </row>
    <row r="64" spans="1:33">
      <c r="A64" s="29"/>
      <c r="B64" s="31"/>
      <c r="C64" s="31"/>
      <c r="D64" s="31"/>
      <c r="E64" s="31"/>
      <c r="F64" s="31"/>
      <c r="G64" s="31"/>
      <c r="H64" s="31"/>
      <c r="I64" s="31"/>
      <c r="J64" s="31"/>
      <c r="K64" s="31"/>
      <c r="L64" s="31"/>
      <c r="M64" s="31"/>
      <c r="N64" s="31"/>
      <c r="O64" s="31"/>
      <c r="P64" s="31"/>
      <c r="Q64" s="31"/>
      <c r="R64" s="31"/>
      <c r="S64" s="31"/>
      <c r="T64" s="31"/>
      <c r="U64" s="31"/>
      <c r="V64" s="31"/>
      <c r="W64" s="31"/>
      <c r="X64" s="31"/>
      <c r="Y64" s="31"/>
      <c r="Z64" s="31"/>
      <c r="AA64" s="31"/>
      <c r="AB64" s="31"/>
      <c r="AC64" s="31"/>
      <c r="AD64" s="31"/>
      <c r="AE64" s="31"/>
      <c r="AF64" s="31"/>
      <c r="AG64" s="31"/>
    </row>
    <row r="65" spans="1:34" ht="25">
      <c r="A65" s="30" t="s">
        <v>392</v>
      </c>
      <c r="B65" s="49" t="s">
        <v>393</v>
      </c>
      <c r="C65" s="52">
        <v>154.85844399999999</v>
      </c>
      <c r="D65" s="52">
        <v>154.75933800000001</v>
      </c>
      <c r="E65" s="52">
        <v>155.18885800000001</v>
      </c>
      <c r="F65" s="52">
        <v>155.373627</v>
      </c>
      <c r="G65" s="52">
        <v>155.688354</v>
      </c>
      <c r="H65" s="52">
        <v>155.05102500000001</v>
      </c>
      <c r="I65" s="52">
        <v>154.40522799999999</v>
      </c>
      <c r="J65" s="52">
        <v>153.92602500000001</v>
      </c>
      <c r="K65" s="52">
        <v>153.42155500000001</v>
      </c>
      <c r="L65" s="52">
        <v>152.90313699999999</v>
      </c>
      <c r="M65" s="52">
        <v>152.38438400000001</v>
      </c>
      <c r="N65" s="52">
        <v>151.855255</v>
      </c>
      <c r="O65" s="52">
        <v>151.46906999999999</v>
      </c>
      <c r="P65" s="52">
        <v>151.34646599999999</v>
      </c>
      <c r="Q65" s="52">
        <v>151.49255400000001</v>
      </c>
      <c r="R65" s="52">
        <v>151.79731799999999</v>
      </c>
      <c r="S65" s="52">
        <v>152.251846</v>
      </c>
      <c r="T65" s="52">
        <v>152.81007399999999</v>
      </c>
      <c r="U65" s="52">
        <v>153.492279</v>
      </c>
      <c r="V65" s="52">
        <v>154.13247699999999</v>
      </c>
      <c r="W65" s="52">
        <v>154.758972</v>
      </c>
      <c r="X65" s="52">
        <v>155.35243199999999</v>
      </c>
      <c r="Y65" s="52">
        <v>155.94850199999999</v>
      </c>
      <c r="Z65" s="52">
        <v>156.71116599999999</v>
      </c>
      <c r="AA65" s="52">
        <v>157.567047</v>
      </c>
      <c r="AB65" s="52">
        <v>158.40786700000001</v>
      </c>
      <c r="AC65" s="52">
        <v>159.162781</v>
      </c>
      <c r="AD65" s="52">
        <v>159.98182700000001</v>
      </c>
      <c r="AE65" s="52">
        <v>160.91322299999999</v>
      </c>
      <c r="AF65" s="50">
        <v>1.371E-3</v>
      </c>
      <c r="AG65" s="31"/>
      <c r="AH65" s="29"/>
    </row>
    <row r="66" spans="1:34">
      <c r="A66" s="29"/>
      <c r="B66" s="31"/>
      <c r="C66" s="31"/>
      <c r="D66" s="31"/>
      <c r="E66" s="31"/>
      <c r="F66" s="31"/>
      <c r="G66" s="31"/>
      <c r="H66" s="31"/>
      <c r="I66" s="31"/>
      <c r="J66" s="31"/>
      <c r="K66" s="31"/>
      <c r="L66" s="31"/>
      <c r="M66" s="31"/>
      <c r="N66" s="31"/>
      <c r="O66" s="31"/>
      <c r="P66" s="31"/>
      <c r="Q66" s="31"/>
      <c r="R66" s="31"/>
      <c r="S66" s="31"/>
      <c r="T66" s="31"/>
      <c r="U66" s="31"/>
      <c r="V66" s="31"/>
      <c r="W66" s="31"/>
      <c r="X66" s="31"/>
      <c r="Y66" s="31"/>
      <c r="Z66" s="31"/>
      <c r="AA66" s="31"/>
      <c r="AB66" s="31"/>
      <c r="AC66" s="31"/>
      <c r="AD66" s="31"/>
      <c r="AE66" s="31"/>
      <c r="AF66" s="31"/>
      <c r="AG66" s="31"/>
      <c r="AH66" s="29"/>
    </row>
    <row r="67" spans="1:34" ht="37.25">
      <c r="A67" s="29"/>
      <c r="B67" s="49" t="s">
        <v>394</v>
      </c>
      <c r="C67" s="31"/>
      <c r="D67" s="31"/>
      <c r="E67" s="31"/>
      <c r="F67" s="31"/>
      <c r="G67" s="31"/>
      <c r="H67" s="31"/>
      <c r="I67" s="31"/>
      <c r="J67" s="31"/>
      <c r="K67" s="31"/>
      <c r="L67" s="31"/>
      <c r="M67" s="31"/>
      <c r="N67" s="31"/>
      <c r="O67" s="31"/>
      <c r="P67" s="31"/>
      <c r="Q67" s="31"/>
      <c r="R67" s="31"/>
      <c r="S67" s="31"/>
      <c r="T67" s="31"/>
      <c r="U67" s="31"/>
      <c r="V67" s="31"/>
      <c r="W67" s="31"/>
      <c r="X67" s="31"/>
      <c r="Y67" s="31"/>
      <c r="Z67" s="31"/>
      <c r="AA67" s="31"/>
      <c r="AB67" s="31"/>
      <c r="AC67" s="31"/>
      <c r="AD67" s="31"/>
      <c r="AE67" s="31"/>
      <c r="AF67" s="31"/>
      <c r="AG67" s="31"/>
      <c r="AH67" s="29"/>
    </row>
    <row r="68" spans="1:34" ht="25">
      <c r="A68" s="30" t="s">
        <v>395</v>
      </c>
      <c r="B68" s="43" t="s">
        <v>753</v>
      </c>
      <c r="C68" s="51">
        <v>51.837432999999997</v>
      </c>
      <c r="D68" s="51">
        <v>53.552582000000001</v>
      </c>
      <c r="E68" s="51">
        <v>54.945126000000002</v>
      </c>
      <c r="F68" s="51">
        <v>56.519489</v>
      </c>
      <c r="G68" s="51">
        <v>58.240616000000003</v>
      </c>
      <c r="H68" s="51">
        <v>59.414616000000002</v>
      </c>
      <c r="I68" s="51">
        <v>60.508510999999999</v>
      </c>
      <c r="J68" s="51">
        <v>61.372760999999997</v>
      </c>
      <c r="K68" s="51">
        <v>62.082912</v>
      </c>
      <c r="L68" s="51">
        <v>62.734546999999999</v>
      </c>
      <c r="M68" s="51">
        <v>63.473190000000002</v>
      </c>
      <c r="N68" s="51">
        <v>64.143776000000003</v>
      </c>
      <c r="O68" s="51">
        <v>64.758094999999997</v>
      </c>
      <c r="P68" s="51">
        <v>65.349152000000004</v>
      </c>
      <c r="Q68" s="51">
        <v>65.876694000000001</v>
      </c>
      <c r="R68" s="51">
        <v>66.393310999999997</v>
      </c>
      <c r="S68" s="51">
        <v>66.921218999999994</v>
      </c>
      <c r="T68" s="51">
        <v>67.367889000000005</v>
      </c>
      <c r="U68" s="51">
        <v>67.924987999999999</v>
      </c>
      <c r="V68" s="51">
        <v>68.537970999999999</v>
      </c>
      <c r="W68" s="51">
        <v>69.110213999999999</v>
      </c>
      <c r="X68" s="51">
        <v>69.618706000000003</v>
      </c>
      <c r="Y68" s="51">
        <v>70.083259999999996</v>
      </c>
      <c r="Z68" s="51">
        <v>70.546218999999994</v>
      </c>
      <c r="AA68" s="51">
        <v>71.129585000000006</v>
      </c>
      <c r="AB68" s="51">
        <v>71.808875999999998</v>
      </c>
      <c r="AC68" s="51">
        <v>72.428055000000001</v>
      </c>
      <c r="AD68" s="51">
        <v>73.064812000000003</v>
      </c>
      <c r="AE68" s="51">
        <v>73.959739999999996</v>
      </c>
      <c r="AF68" s="41">
        <v>1.2774000000000001E-2</v>
      </c>
      <c r="AG68" s="31"/>
      <c r="AH68" s="29"/>
    </row>
    <row r="69" spans="1:34">
      <c r="A69" s="30" t="s">
        <v>396</v>
      </c>
      <c r="B69" s="43" t="s">
        <v>754</v>
      </c>
      <c r="C69" s="51">
        <v>34.891967999999999</v>
      </c>
      <c r="D69" s="51">
        <v>35.168990999999998</v>
      </c>
      <c r="E69" s="51">
        <v>35.052208</v>
      </c>
      <c r="F69" s="51">
        <v>35.02919</v>
      </c>
      <c r="G69" s="51">
        <v>35.253203999999997</v>
      </c>
      <c r="H69" s="51">
        <v>35.736431000000003</v>
      </c>
      <c r="I69" s="51">
        <v>36.061832000000003</v>
      </c>
      <c r="J69" s="51">
        <v>36.300452999999997</v>
      </c>
      <c r="K69" s="51">
        <v>36.439003</v>
      </c>
      <c r="L69" s="51">
        <v>36.547404999999998</v>
      </c>
      <c r="M69" s="51">
        <v>36.754508999999999</v>
      </c>
      <c r="N69" s="51">
        <v>36.943119000000003</v>
      </c>
      <c r="O69" s="51">
        <v>37.138553999999999</v>
      </c>
      <c r="P69" s="51">
        <v>37.359737000000003</v>
      </c>
      <c r="Q69" s="51">
        <v>37.576214</v>
      </c>
      <c r="R69" s="51">
        <v>37.831867000000003</v>
      </c>
      <c r="S69" s="51">
        <v>38.125079999999997</v>
      </c>
      <c r="T69" s="51">
        <v>38.407192000000002</v>
      </c>
      <c r="U69" s="51">
        <v>38.739745999999997</v>
      </c>
      <c r="V69" s="51">
        <v>39.126434000000003</v>
      </c>
      <c r="W69" s="51">
        <v>39.505885999999997</v>
      </c>
      <c r="X69" s="51">
        <v>39.890366</v>
      </c>
      <c r="Y69" s="51">
        <v>40.266209000000003</v>
      </c>
      <c r="Z69" s="51">
        <v>40.637608</v>
      </c>
      <c r="AA69" s="51">
        <v>41.071300999999998</v>
      </c>
      <c r="AB69" s="51">
        <v>41.550395999999999</v>
      </c>
      <c r="AC69" s="51">
        <v>41.990127999999999</v>
      </c>
      <c r="AD69" s="51">
        <v>42.417248000000001</v>
      </c>
      <c r="AE69" s="51">
        <v>42.984264000000003</v>
      </c>
      <c r="AF69" s="41">
        <v>7.4770000000000001E-3</v>
      </c>
      <c r="AG69" s="31"/>
      <c r="AH69" s="29"/>
    </row>
    <row r="70" spans="1:34">
      <c r="A70" s="30" t="s">
        <v>397</v>
      </c>
      <c r="B70" s="43" t="s">
        <v>755</v>
      </c>
      <c r="C70" s="51">
        <v>8.3999999999999995E-5</v>
      </c>
      <c r="D70" s="51">
        <v>6.7080000000000004E-3</v>
      </c>
      <c r="E70" s="51">
        <v>1.3285E-2</v>
      </c>
      <c r="F70" s="51">
        <v>1.9629000000000001E-2</v>
      </c>
      <c r="G70" s="51">
        <v>2.6211000000000002E-2</v>
      </c>
      <c r="H70" s="51">
        <v>3.2514000000000001E-2</v>
      </c>
      <c r="I70" s="51">
        <v>3.8731000000000002E-2</v>
      </c>
      <c r="J70" s="51">
        <v>4.5527999999999999E-2</v>
      </c>
      <c r="K70" s="51">
        <v>5.0928000000000001E-2</v>
      </c>
      <c r="L70" s="51">
        <v>5.7020000000000001E-2</v>
      </c>
      <c r="M70" s="51">
        <v>6.4143000000000006E-2</v>
      </c>
      <c r="N70" s="51">
        <v>7.2323999999999999E-2</v>
      </c>
      <c r="O70" s="51">
        <v>8.1765000000000004E-2</v>
      </c>
      <c r="P70" s="51">
        <v>9.2765E-2</v>
      </c>
      <c r="Q70" s="51">
        <v>0.10559499999999999</v>
      </c>
      <c r="R70" s="51">
        <v>0.120675</v>
      </c>
      <c r="S70" s="51">
        <v>0.13833400000000001</v>
      </c>
      <c r="T70" s="51">
        <v>0.15865799999999999</v>
      </c>
      <c r="U70" s="51">
        <v>0.18237</v>
      </c>
      <c r="V70" s="51">
        <v>0.20966899999999999</v>
      </c>
      <c r="W70" s="51">
        <v>0.240319</v>
      </c>
      <c r="X70" s="51">
        <v>0.274447</v>
      </c>
      <c r="Y70" s="51">
        <v>0.311973</v>
      </c>
      <c r="Z70" s="51">
        <v>0.35320699999999999</v>
      </c>
      <c r="AA70" s="51">
        <v>0.398536</v>
      </c>
      <c r="AB70" s="51">
        <v>0.44746200000000003</v>
      </c>
      <c r="AC70" s="51">
        <v>0.49844500000000003</v>
      </c>
      <c r="AD70" s="51">
        <v>0.55161499999999997</v>
      </c>
      <c r="AE70" s="51">
        <v>0.608325</v>
      </c>
      <c r="AF70" s="41">
        <v>0.37379600000000002</v>
      </c>
      <c r="AG70" s="31"/>
      <c r="AH70" s="29"/>
    </row>
    <row r="71" spans="1:34" ht="49.5">
      <c r="A71" s="30" t="s">
        <v>398</v>
      </c>
      <c r="B71" s="43" t="s">
        <v>756</v>
      </c>
      <c r="C71" s="51">
        <v>8.2449999999999996E-2</v>
      </c>
      <c r="D71" s="51">
        <v>7.7089000000000005E-2</v>
      </c>
      <c r="E71" s="51">
        <v>7.1639999999999995E-2</v>
      </c>
      <c r="F71" s="51">
        <v>6.3702999999999996E-2</v>
      </c>
      <c r="G71" s="51">
        <v>5.5662000000000003E-2</v>
      </c>
      <c r="H71" s="51">
        <v>4.8924000000000002E-2</v>
      </c>
      <c r="I71" s="51">
        <v>4.4137999999999997E-2</v>
      </c>
      <c r="J71" s="51">
        <v>3.9933000000000003E-2</v>
      </c>
      <c r="K71" s="51">
        <v>3.5755000000000002E-2</v>
      </c>
      <c r="L71" s="51">
        <v>3.1772000000000002E-2</v>
      </c>
      <c r="M71" s="51">
        <v>2.8242E-2</v>
      </c>
      <c r="N71" s="51">
        <v>2.5179E-2</v>
      </c>
      <c r="O71" s="51">
        <v>2.2497E-2</v>
      </c>
      <c r="P71" s="51">
        <v>2.0257000000000001E-2</v>
      </c>
      <c r="Q71" s="51">
        <v>1.8169999999999999E-2</v>
      </c>
      <c r="R71" s="51">
        <v>1.6233999999999998E-2</v>
      </c>
      <c r="S71" s="51">
        <v>1.4560999999999999E-2</v>
      </c>
      <c r="T71" s="51">
        <v>1.3184E-2</v>
      </c>
      <c r="U71" s="51">
        <v>1.2031999999999999E-2</v>
      </c>
      <c r="V71" s="51">
        <v>1.0985E-2</v>
      </c>
      <c r="W71" s="51">
        <v>1.0017E-2</v>
      </c>
      <c r="X71" s="51">
        <v>9.1240000000000002E-3</v>
      </c>
      <c r="Y71" s="51">
        <v>8.3020000000000004E-3</v>
      </c>
      <c r="Z71" s="51">
        <v>7.5230000000000002E-3</v>
      </c>
      <c r="AA71" s="51">
        <v>6.6150000000000002E-3</v>
      </c>
      <c r="AB71" s="51">
        <v>5.5129999999999997E-3</v>
      </c>
      <c r="AC71" s="51">
        <v>4.535E-3</v>
      </c>
      <c r="AD71" s="51">
        <v>3.5980000000000001E-3</v>
      </c>
      <c r="AE71" s="51">
        <v>2.885E-3</v>
      </c>
      <c r="AF71" s="41">
        <v>-0.112849</v>
      </c>
      <c r="AG71" s="31"/>
      <c r="AH71" s="29"/>
    </row>
    <row r="72" spans="1:34" ht="25">
      <c r="A72" s="30" t="s">
        <v>399</v>
      </c>
      <c r="B72" s="43" t="s">
        <v>757</v>
      </c>
      <c r="C72" s="51">
        <v>15.403013</v>
      </c>
      <c r="D72" s="51">
        <v>14.512478</v>
      </c>
      <c r="E72" s="51">
        <v>13.420999</v>
      </c>
      <c r="F72" s="51">
        <v>12.663916</v>
      </c>
      <c r="G72" s="51">
        <v>11.983299000000001</v>
      </c>
      <c r="H72" s="51">
        <v>11.651821</v>
      </c>
      <c r="I72" s="51">
        <v>11.413193</v>
      </c>
      <c r="J72" s="51">
        <v>11.413360000000001</v>
      </c>
      <c r="K72" s="51">
        <v>11.435084</v>
      </c>
      <c r="L72" s="51">
        <v>11.508266000000001</v>
      </c>
      <c r="M72" s="51">
        <v>11.655806999999999</v>
      </c>
      <c r="N72" s="51">
        <v>11.866078</v>
      </c>
      <c r="O72" s="51">
        <v>12.125061000000001</v>
      </c>
      <c r="P72" s="51">
        <v>12.461931</v>
      </c>
      <c r="Q72" s="51">
        <v>12.83783</v>
      </c>
      <c r="R72" s="51">
        <v>13.268098</v>
      </c>
      <c r="S72" s="51">
        <v>13.730530999999999</v>
      </c>
      <c r="T72" s="51">
        <v>14.204848999999999</v>
      </c>
      <c r="U72" s="51">
        <v>14.705157</v>
      </c>
      <c r="V72" s="51">
        <v>15.216683</v>
      </c>
      <c r="W72" s="51">
        <v>15.704331</v>
      </c>
      <c r="X72" s="51">
        <v>16.166798</v>
      </c>
      <c r="Y72" s="51">
        <v>16.583172000000001</v>
      </c>
      <c r="Z72" s="51">
        <v>16.974043000000002</v>
      </c>
      <c r="AA72" s="51">
        <v>17.359660999999999</v>
      </c>
      <c r="AB72" s="51">
        <v>17.706692</v>
      </c>
      <c r="AC72" s="51">
        <v>18.008407999999999</v>
      </c>
      <c r="AD72" s="51">
        <v>18.289162000000001</v>
      </c>
      <c r="AE72" s="51">
        <v>18.612151999999998</v>
      </c>
      <c r="AF72" s="41">
        <v>6.7819999999999998E-3</v>
      </c>
      <c r="AG72" s="31"/>
      <c r="AH72" s="29"/>
    </row>
    <row r="73" spans="1:34">
      <c r="A73" s="30" t="s">
        <v>400</v>
      </c>
      <c r="B73" s="43" t="s">
        <v>741</v>
      </c>
      <c r="C73" s="51">
        <v>0</v>
      </c>
      <c r="D73" s="51">
        <v>0</v>
      </c>
      <c r="E73" s="51">
        <v>0</v>
      </c>
      <c r="F73" s="51">
        <v>0</v>
      </c>
      <c r="G73" s="51">
        <v>0</v>
      </c>
      <c r="H73" s="51">
        <v>0</v>
      </c>
      <c r="I73" s="51">
        <v>0</v>
      </c>
      <c r="J73" s="51">
        <v>0</v>
      </c>
      <c r="K73" s="51">
        <v>0</v>
      </c>
      <c r="L73" s="51">
        <v>0</v>
      </c>
      <c r="M73" s="51">
        <v>0</v>
      </c>
      <c r="N73" s="51">
        <v>0</v>
      </c>
      <c r="O73" s="51">
        <v>0</v>
      </c>
      <c r="P73" s="51">
        <v>0</v>
      </c>
      <c r="Q73" s="51">
        <v>0</v>
      </c>
      <c r="R73" s="51">
        <v>0</v>
      </c>
      <c r="S73" s="51">
        <v>0</v>
      </c>
      <c r="T73" s="51">
        <v>0</v>
      </c>
      <c r="U73" s="51">
        <v>0</v>
      </c>
      <c r="V73" s="51">
        <v>0</v>
      </c>
      <c r="W73" s="51">
        <v>0</v>
      </c>
      <c r="X73" s="51">
        <v>0</v>
      </c>
      <c r="Y73" s="51">
        <v>0</v>
      </c>
      <c r="Z73" s="51">
        <v>0</v>
      </c>
      <c r="AA73" s="51">
        <v>0</v>
      </c>
      <c r="AB73" s="51">
        <v>0</v>
      </c>
      <c r="AC73" s="51">
        <v>0</v>
      </c>
      <c r="AD73" s="51">
        <v>0</v>
      </c>
      <c r="AE73" s="51">
        <v>0</v>
      </c>
      <c r="AF73" s="41" t="s">
        <v>340</v>
      </c>
      <c r="AG73" s="31"/>
      <c r="AH73" s="29"/>
    </row>
    <row r="74" spans="1:34" ht="37.25">
      <c r="A74" s="30" t="s">
        <v>401</v>
      </c>
      <c r="B74" s="43" t="s">
        <v>758</v>
      </c>
      <c r="C74" s="51">
        <v>0</v>
      </c>
      <c r="D74" s="51">
        <v>1.3337999999999999E-2</v>
      </c>
      <c r="E74" s="51">
        <v>2.6377000000000001E-2</v>
      </c>
      <c r="F74" s="51">
        <v>3.8581999999999998E-2</v>
      </c>
      <c r="G74" s="51">
        <v>5.0548000000000003E-2</v>
      </c>
      <c r="H74" s="51">
        <v>6.1259000000000001E-2</v>
      </c>
      <c r="I74" s="51">
        <v>7.1051000000000003E-2</v>
      </c>
      <c r="J74" s="51">
        <v>8.1114000000000006E-2</v>
      </c>
      <c r="K74" s="51">
        <v>8.7440000000000004E-2</v>
      </c>
      <c r="L74" s="51">
        <v>9.4113000000000002E-2</v>
      </c>
      <c r="M74" s="51">
        <v>0.101629</v>
      </c>
      <c r="N74" s="51">
        <v>0.109989</v>
      </c>
      <c r="O74" s="51">
        <v>0.11933299999999999</v>
      </c>
      <c r="P74" s="51">
        <v>0.12994800000000001</v>
      </c>
      <c r="Q74" s="51">
        <v>0.141874</v>
      </c>
      <c r="R74" s="51">
        <v>0.15543799999999999</v>
      </c>
      <c r="S74" s="51">
        <v>0.17083799999999999</v>
      </c>
      <c r="T74" s="51">
        <v>0.18793699999999999</v>
      </c>
      <c r="U74" s="51">
        <v>0.207395</v>
      </c>
      <c r="V74" s="51">
        <v>0.22913</v>
      </c>
      <c r="W74" s="51">
        <v>0.25268299999999999</v>
      </c>
      <c r="X74" s="51">
        <v>0.27793699999999999</v>
      </c>
      <c r="Y74" s="51">
        <v>0.30441600000000002</v>
      </c>
      <c r="Z74" s="51">
        <v>0.33215099999999997</v>
      </c>
      <c r="AA74" s="51">
        <v>0.36110799999999998</v>
      </c>
      <c r="AB74" s="51">
        <v>0.39080700000000002</v>
      </c>
      <c r="AC74" s="51">
        <v>0.41994799999999999</v>
      </c>
      <c r="AD74" s="51">
        <v>0.44891300000000001</v>
      </c>
      <c r="AE74" s="51">
        <v>0.478823</v>
      </c>
      <c r="AF74" s="41" t="s">
        <v>340</v>
      </c>
      <c r="AG74" s="31"/>
      <c r="AH74" s="29"/>
    </row>
    <row r="75" spans="1:34" ht="37.25">
      <c r="A75" s="30" t="s">
        <v>402</v>
      </c>
      <c r="B75" s="43" t="s">
        <v>759</v>
      </c>
      <c r="C75" s="51">
        <v>0</v>
      </c>
      <c r="D75" s="51">
        <v>1.2283000000000001E-2</v>
      </c>
      <c r="E75" s="51">
        <v>2.4154999999999999E-2</v>
      </c>
      <c r="F75" s="51">
        <v>3.5478999999999997E-2</v>
      </c>
      <c r="G75" s="51">
        <v>4.6723000000000001E-2</v>
      </c>
      <c r="H75" s="51">
        <v>5.6980999999999997E-2</v>
      </c>
      <c r="I75" s="51">
        <v>6.6602999999999996E-2</v>
      </c>
      <c r="J75" s="51">
        <v>7.6688000000000006E-2</v>
      </c>
      <c r="K75" s="51">
        <v>8.3451999999999998E-2</v>
      </c>
      <c r="L75" s="51">
        <v>9.0574000000000002E-2</v>
      </c>
      <c r="M75" s="51">
        <v>9.8388000000000003E-2</v>
      </c>
      <c r="N75" s="51">
        <v>0.10684399999999999</v>
      </c>
      <c r="O75" s="51">
        <v>0.116024</v>
      </c>
      <c r="P75" s="51">
        <v>0.12606100000000001</v>
      </c>
      <c r="Q75" s="51">
        <v>0.137016</v>
      </c>
      <c r="R75" s="51">
        <v>0.14915400000000001</v>
      </c>
      <c r="S75" s="51">
        <v>0.162688</v>
      </c>
      <c r="T75" s="51">
        <v>0.177428</v>
      </c>
      <c r="U75" s="51">
        <v>0.19400999999999999</v>
      </c>
      <c r="V75" s="51">
        <v>0.21232699999999999</v>
      </c>
      <c r="W75" s="51">
        <v>0.23197799999999999</v>
      </c>
      <c r="X75" s="51">
        <v>0.25281700000000001</v>
      </c>
      <c r="Y75" s="51">
        <v>0.27457399999999998</v>
      </c>
      <c r="Z75" s="51">
        <v>0.29727799999999999</v>
      </c>
      <c r="AA75" s="51">
        <v>0.32111299999999998</v>
      </c>
      <c r="AB75" s="51">
        <v>0.34559699999999999</v>
      </c>
      <c r="AC75" s="51">
        <v>0.36972500000000003</v>
      </c>
      <c r="AD75" s="51">
        <v>0.39377099999999998</v>
      </c>
      <c r="AE75" s="51">
        <v>0.41885099999999997</v>
      </c>
      <c r="AF75" s="41" t="s">
        <v>340</v>
      </c>
      <c r="AG75" s="31"/>
      <c r="AH75" s="29"/>
    </row>
    <row r="76" spans="1:34">
      <c r="A76" s="30" t="s">
        <v>403</v>
      </c>
      <c r="B76" s="43" t="s">
        <v>749</v>
      </c>
      <c r="C76" s="51">
        <v>0</v>
      </c>
      <c r="D76" s="51">
        <v>0</v>
      </c>
      <c r="E76" s="51">
        <v>0</v>
      </c>
      <c r="F76" s="51">
        <v>0</v>
      </c>
      <c r="G76" s="51">
        <v>0</v>
      </c>
      <c r="H76" s="51">
        <v>0</v>
      </c>
      <c r="I76" s="51">
        <v>0</v>
      </c>
      <c r="J76" s="51">
        <v>0</v>
      </c>
      <c r="K76" s="51">
        <v>0</v>
      </c>
      <c r="L76" s="51">
        <v>0</v>
      </c>
      <c r="M76" s="51">
        <v>0</v>
      </c>
      <c r="N76" s="51">
        <v>0</v>
      </c>
      <c r="O76" s="51">
        <v>0</v>
      </c>
      <c r="P76" s="51">
        <v>0</v>
      </c>
      <c r="Q76" s="51">
        <v>0</v>
      </c>
      <c r="R76" s="51">
        <v>0</v>
      </c>
      <c r="S76" s="51">
        <v>0</v>
      </c>
      <c r="T76" s="51">
        <v>0</v>
      </c>
      <c r="U76" s="51">
        <v>0</v>
      </c>
      <c r="V76" s="51">
        <v>0</v>
      </c>
      <c r="W76" s="51">
        <v>0</v>
      </c>
      <c r="X76" s="51">
        <v>0</v>
      </c>
      <c r="Y76" s="51">
        <v>0</v>
      </c>
      <c r="Z76" s="51">
        <v>0</v>
      </c>
      <c r="AA76" s="51">
        <v>0</v>
      </c>
      <c r="AB76" s="51">
        <v>0</v>
      </c>
      <c r="AC76" s="51">
        <v>0</v>
      </c>
      <c r="AD76" s="51">
        <v>0</v>
      </c>
      <c r="AE76" s="51">
        <v>0</v>
      </c>
      <c r="AF76" s="41" t="s">
        <v>340</v>
      </c>
      <c r="AG76" s="31"/>
      <c r="AH76" s="29"/>
    </row>
    <row r="77" spans="1:34" ht="49.5">
      <c r="A77" s="30" t="s">
        <v>404</v>
      </c>
      <c r="B77" s="49" t="s">
        <v>760</v>
      </c>
      <c r="C77" s="52">
        <v>102.214951</v>
      </c>
      <c r="D77" s="52">
        <v>103.34345999999999</v>
      </c>
      <c r="E77" s="52">
        <v>103.55378</v>
      </c>
      <c r="F77" s="52">
        <v>104.36998699999999</v>
      </c>
      <c r="G77" s="52">
        <v>105.656265</v>
      </c>
      <c r="H77" s="52">
        <v>107.002548</v>
      </c>
      <c r="I77" s="52">
        <v>108.204063</v>
      </c>
      <c r="J77" s="52">
        <v>109.329842</v>
      </c>
      <c r="K77" s="52">
        <v>110.214569</v>
      </c>
      <c r="L77" s="52">
        <v>111.063705</v>
      </c>
      <c r="M77" s="52">
        <v>112.175911</v>
      </c>
      <c r="N77" s="52">
        <v>113.26731100000001</v>
      </c>
      <c r="O77" s="52">
        <v>114.361328</v>
      </c>
      <c r="P77" s="52">
        <v>115.539856</v>
      </c>
      <c r="Q77" s="52">
        <v>116.693398</v>
      </c>
      <c r="R77" s="52">
        <v>117.934776</v>
      </c>
      <c r="S77" s="52">
        <v>119.26325199999999</v>
      </c>
      <c r="T77" s="52">
        <v>120.517143</v>
      </c>
      <c r="U77" s="52">
        <v>121.965698</v>
      </c>
      <c r="V77" s="52">
        <v>123.543205</v>
      </c>
      <c r="W77" s="52">
        <v>125.055435</v>
      </c>
      <c r="X77" s="52">
        <v>126.490196</v>
      </c>
      <c r="Y77" s="52">
        <v>127.831902</v>
      </c>
      <c r="Z77" s="52">
        <v>129.14802599999999</v>
      </c>
      <c r="AA77" s="52">
        <v>130.647919</v>
      </c>
      <c r="AB77" s="52">
        <v>132.25534099999999</v>
      </c>
      <c r="AC77" s="52">
        <v>133.71923799999999</v>
      </c>
      <c r="AD77" s="52">
        <v>135.16911300000001</v>
      </c>
      <c r="AE77" s="52">
        <v>137.065033</v>
      </c>
      <c r="AF77" s="50">
        <v>1.0533000000000001E-2</v>
      </c>
      <c r="AG77" s="31"/>
      <c r="AH77" s="29"/>
    </row>
    <row r="78" spans="1:34" ht="15.5" thickBot="1">
      <c r="A78" s="29"/>
      <c r="B78" s="31"/>
      <c r="C78" s="31"/>
      <c r="D78" s="31"/>
      <c r="E78" s="31"/>
      <c r="F78" s="31"/>
      <c r="G78" s="31"/>
      <c r="H78" s="31"/>
      <c r="I78" s="31"/>
      <c r="J78" s="31"/>
      <c r="K78" s="31"/>
      <c r="L78" s="31"/>
      <c r="M78" s="31"/>
      <c r="N78" s="31"/>
      <c r="O78" s="31"/>
      <c r="P78" s="31"/>
      <c r="Q78" s="31"/>
      <c r="R78" s="31"/>
      <c r="S78" s="31"/>
      <c r="T78" s="31"/>
      <c r="U78" s="31"/>
      <c r="V78" s="31"/>
      <c r="W78" s="31"/>
      <c r="X78" s="31"/>
      <c r="Y78" s="31"/>
      <c r="Z78" s="31"/>
      <c r="AA78" s="31"/>
      <c r="AB78" s="31"/>
      <c r="AC78" s="31"/>
      <c r="AD78" s="31"/>
      <c r="AE78" s="31"/>
      <c r="AF78" s="31"/>
      <c r="AG78" s="31"/>
      <c r="AH78" s="29"/>
    </row>
    <row r="79" spans="1:34">
      <c r="A79" s="29"/>
      <c r="B79" s="292" t="s">
        <v>406</v>
      </c>
      <c r="C79" s="288"/>
      <c r="D79" s="288"/>
      <c r="E79" s="288"/>
      <c r="F79" s="288"/>
      <c r="G79" s="288"/>
      <c r="H79" s="288"/>
      <c r="I79" s="288"/>
      <c r="J79" s="288"/>
      <c r="K79" s="288"/>
      <c r="L79" s="288"/>
      <c r="M79" s="288"/>
      <c r="N79" s="288"/>
      <c r="O79" s="288"/>
      <c r="P79" s="288"/>
      <c r="Q79" s="288"/>
      <c r="R79" s="288"/>
      <c r="S79" s="288"/>
      <c r="T79" s="288"/>
      <c r="U79" s="288"/>
      <c r="V79" s="288"/>
      <c r="W79" s="288"/>
      <c r="X79" s="288"/>
      <c r="Y79" s="288"/>
      <c r="Z79" s="288"/>
      <c r="AA79" s="288"/>
      <c r="AB79" s="288"/>
      <c r="AC79" s="288"/>
      <c r="AD79" s="288"/>
      <c r="AE79" s="288"/>
      <c r="AF79" s="288"/>
      <c r="AG79" s="288"/>
      <c r="AH79" s="32"/>
    </row>
    <row r="80" spans="1:34">
      <c r="A80" s="29"/>
      <c r="B80" s="31" t="s">
        <v>407</v>
      </c>
      <c r="C80" s="31"/>
      <c r="D80" s="31"/>
      <c r="E80" s="31"/>
      <c r="F80" s="31"/>
      <c r="G80" s="31"/>
      <c r="H80" s="31"/>
      <c r="I80" s="31"/>
      <c r="J80" s="31"/>
      <c r="K80" s="31"/>
      <c r="L80" s="31"/>
      <c r="M80" s="31"/>
      <c r="N80" s="31"/>
      <c r="O80" s="31"/>
      <c r="P80" s="31"/>
      <c r="Q80" s="31"/>
      <c r="R80" s="31"/>
      <c r="S80" s="31"/>
      <c r="T80" s="31"/>
      <c r="U80" s="31"/>
      <c r="V80" s="31"/>
      <c r="W80" s="31"/>
      <c r="X80" s="31"/>
      <c r="Y80" s="31"/>
      <c r="Z80" s="31"/>
      <c r="AA80" s="31"/>
      <c r="AB80" s="31"/>
      <c r="AC80" s="31"/>
      <c r="AD80" s="31"/>
      <c r="AE80" s="31"/>
      <c r="AF80" s="31"/>
      <c r="AG80" s="31"/>
      <c r="AH80" s="29"/>
    </row>
    <row r="81" spans="2:33">
      <c r="B81" s="31" t="s">
        <v>408</v>
      </c>
      <c r="C81" s="31"/>
      <c r="D81" s="31"/>
      <c r="E81" s="31"/>
      <c r="F81" s="31"/>
      <c r="G81" s="31"/>
      <c r="H81" s="31"/>
      <c r="I81" s="31"/>
      <c r="J81" s="31"/>
      <c r="K81" s="31"/>
      <c r="L81" s="31"/>
      <c r="M81" s="31"/>
      <c r="N81" s="31"/>
      <c r="O81" s="31"/>
      <c r="P81" s="31"/>
      <c r="Q81" s="31"/>
      <c r="R81" s="31"/>
      <c r="S81" s="31"/>
      <c r="T81" s="31"/>
      <c r="U81" s="31"/>
      <c r="V81" s="31"/>
      <c r="W81" s="31"/>
      <c r="X81" s="31"/>
      <c r="Y81" s="31"/>
      <c r="Z81" s="31"/>
      <c r="AA81" s="31"/>
      <c r="AB81" s="31"/>
      <c r="AC81" s="31"/>
      <c r="AD81" s="31"/>
      <c r="AE81" s="31"/>
      <c r="AF81" s="31"/>
      <c r="AG81" s="31"/>
    </row>
    <row r="82" spans="2:33">
      <c r="B82" s="31" t="s">
        <v>751</v>
      </c>
      <c r="C82" s="31"/>
      <c r="D82" s="31"/>
      <c r="E82" s="31"/>
      <c r="F82" s="31"/>
      <c r="G82" s="31"/>
      <c r="H82" s="31"/>
      <c r="I82" s="31"/>
      <c r="J82" s="31"/>
      <c r="K82" s="31"/>
      <c r="L82" s="31"/>
      <c r="M82" s="31"/>
      <c r="N82" s="31"/>
      <c r="O82" s="31"/>
      <c r="P82" s="31"/>
      <c r="Q82" s="31"/>
      <c r="R82" s="31"/>
      <c r="S82" s="31"/>
      <c r="T82" s="31"/>
      <c r="U82" s="31"/>
      <c r="V82" s="31"/>
      <c r="W82" s="31"/>
      <c r="X82" s="31"/>
      <c r="Y82" s="31"/>
      <c r="Z82" s="31"/>
      <c r="AA82" s="31"/>
      <c r="AB82" s="31"/>
      <c r="AC82" s="31"/>
      <c r="AD82" s="31"/>
      <c r="AE82" s="31"/>
      <c r="AF82" s="31"/>
      <c r="AG82" s="31"/>
    </row>
    <row r="83" spans="2:33">
      <c r="B83" s="31" t="s">
        <v>409</v>
      </c>
      <c r="C83" s="31"/>
      <c r="D83" s="31"/>
      <c r="E83" s="31"/>
      <c r="F83" s="31"/>
      <c r="G83" s="31"/>
      <c r="H83" s="31"/>
      <c r="I83" s="31"/>
      <c r="J83" s="31"/>
      <c r="K83" s="31"/>
      <c r="L83" s="31"/>
      <c r="M83" s="31"/>
      <c r="N83" s="31"/>
      <c r="O83" s="31"/>
      <c r="P83" s="31"/>
      <c r="Q83" s="31"/>
      <c r="R83" s="31"/>
      <c r="S83" s="31"/>
      <c r="T83" s="31"/>
      <c r="U83" s="31"/>
      <c r="V83" s="31"/>
      <c r="W83" s="31"/>
      <c r="X83" s="31"/>
      <c r="Y83" s="31"/>
      <c r="Z83" s="31"/>
      <c r="AA83" s="31"/>
      <c r="AB83" s="31"/>
      <c r="AC83" s="31"/>
      <c r="AD83" s="31"/>
      <c r="AE83" s="31"/>
      <c r="AF83" s="31"/>
      <c r="AG83" s="31"/>
    </row>
    <row r="84" spans="2:33">
      <c r="B84" s="31" t="s">
        <v>329</v>
      </c>
      <c r="C84" s="31"/>
      <c r="D84" s="31"/>
      <c r="E84" s="31"/>
      <c r="F84" s="31"/>
      <c r="G84" s="31"/>
      <c r="H84" s="31"/>
      <c r="I84" s="31"/>
      <c r="J84" s="31"/>
      <c r="K84" s="31"/>
      <c r="L84" s="31"/>
      <c r="M84" s="31"/>
      <c r="N84" s="31"/>
      <c r="O84" s="31"/>
      <c r="P84" s="31"/>
      <c r="Q84" s="31"/>
      <c r="R84" s="31"/>
      <c r="S84" s="31"/>
      <c r="T84" s="31"/>
      <c r="U84" s="31"/>
      <c r="V84" s="31"/>
      <c r="W84" s="31"/>
      <c r="X84" s="31"/>
      <c r="Y84" s="31"/>
      <c r="Z84" s="31"/>
      <c r="AA84" s="31"/>
      <c r="AB84" s="31"/>
      <c r="AC84" s="31"/>
      <c r="AD84" s="31"/>
      <c r="AE84" s="31"/>
      <c r="AF84" s="31"/>
      <c r="AG84" s="31"/>
    </row>
    <row r="85" spans="2:33">
      <c r="B85" s="31" t="s">
        <v>752</v>
      </c>
      <c r="C85" s="31"/>
      <c r="D85" s="31"/>
      <c r="E85" s="31"/>
      <c r="F85" s="31"/>
      <c r="G85" s="31"/>
      <c r="H85" s="31"/>
      <c r="I85" s="31"/>
      <c r="J85" s="31"/>
      <c r="K85" s="31"/>
      <c r="L85" s="31"/>
      <c r="M85" s="31"/>
      <c r="N85" s="31"/>
      <c r="O85" s="31"/>
      <c r="P85" s="31"/>
      <c r="Q85" s="31"/>
      <c r="R85" s="31"/>
      <c r="S85" s="31"/>
      <c r="T85" s="31"/>
      <c r="U85" s="31"/>
      <c r="V85" s="31"/>
      <c r="W85" s="31"/>
      <c r="X85" s="31"/>
      <c r="Y85" s="31"/>
      <c r="Z85" s="31"/>
      <c r="AA85" s="31"/>
      <c r="AB85" s="31"/>
      <c r="AC85" s="31"/>
      <c r="AD85" s="31"/>
      <c r="AE85" s="31"/>
      <c r="AF85" s="31"/>
      <c r="AG85" s="31"/>
    </row>
    <row r="86" spans="2:33">
      <c r="B86" s="31"/>
      <c r="C86" s="31"/>
      <c r="D86" s="31"/>
      <c r="E86" s="31"/>
      <c r="F86" s="31"/>
      <c r="G86" s="31"/>
      <c r="H86" s="31"/>
      <c r="I86" s="31"/>
      <c r="J86" s="31"/>
      <c r="K86" s="31"/>
      <c r="L86" s="31"/>
      <c r="M86" s="31"/>
      <c r="N86" s="31"/>
      <c r="O86" s="31"/>
      <c r="P86" s="31"/>
      <c r="Q86" s="31"/>
      <c r="R86" s="31"/>
      <c r="S86" s="31"/>
      <c r="T86" s="31"/>
      <c r="U86" s="31"/>
      <c r="V86" s="31"/>
      <c r="W86" s="31"/>
      <c r="X86" s="31"/>
      <c r="Y86" s="31"/>
      <c r="Z86" s="31"/>
      <c r="AA86" s="31"/>
      <c r="AB86" s="31"/>
      <c r="AC86" s="31"/>
      <c r="AD86" s="31"/>
      <c r="AE86" s="31"/>
      <c r="AF86" s="31"/>
      <c r="AG86" s="31"/>
    </row>
    <row r="87" spans="2:33">
      <c r="B87" s="31"/>
      <c r="C87" s="31"/>
      <c r="D87" s="31"/>
      <c r="E87" s="31"/>
      <c r="F87" s="31"/>
      <c r="G87" s="31"/>
      <c r="H87" s="31"/>
      <c r="I87" s="31"/>
      <c r="J87" s="31"/>
      <c r="K87" s="31"/>
      <c r="L87" s="31"/>
      <c r="M87" s="31"/>
      <c r="N87" s="31"/>
      <c r="O87" s="31"/>
      <c r="P87" s="31"/>
      <c r="Q87" s="31"/>
      <c r="R87" s="31"/>
      <c r="S87" s="31"/>
      <c r="T87" s="31"/>
      <c r="U87" s="31"/>
      <c r="V87" s="31"/>
      <c r="W87" s="31"/>
      <c r="X87" s="31"/>
      <c r="Y87" s="31"/>
      <c r="Z87" s="31"/>
      <c r="AA87" s="31"/>
      <c r="AB87" s="31"/>
      <c r="AC87" s="31"/>
      <c r="AD87" s="31"/>
      <c r="AE87" s="31"/>
      <c r="AF87" s="31"/>
      <c r="AG87" s="31"/>
    </row>
    <row r="88" spans="2:33">
      <c r="B88" s="31"/>
      <c r="C88" s="31"/>
      <c r="D88" s="31"/>
      <c r="E88" s="31"/>
      <c r="F88" s="31"/>
      <c r="G88" s="31"/>
      <c r="H88" s="31"/>
      <c r="I88" s="31"/>
      <c r="J88" s="31"/>
      <c r="K88" s="31"/>
      <c r="L88" s="31"/>
      <c r="M88" s="31"/>
      <c r="N88" s="31"/>
      <c r="O88" s="31"/>
      <c r="P88" s="31"/>
      <c r="Q88" s="31"/>
      <c r="R88" s="31"/>
      <c r="S88" s="31"/>
      <c r="T88" s="31"/>
      <c r="U88" s="31"/>
      <c r="V88" s="31"/>
      <c r="W88" s="31"/>
      <c r="X88" s="31"/>
      <c r="Y88" s="31"/>
      <c r="Z88" s="31"/>
      <c r="AA88" s="31"/>
      <c r="AB88" s="31"/>
      <c r="AC88" s="31"/>
      <c r="AD88" s="31"/>
      <c r="AE88" s="31"/>
      <c r="AF88" s="31"/>
      <c r="AG88" s="31"/>
    </row>
    <row r="89" spans="2:33">
      <c r="B89" s="31"/>
      <c r="C89" s="31"/>
      <c r="D89" s="31"/>
      <c r="E89" s="31"/>
      <c r="F89" s="31"/>
      <c r="G89" s="31"/>
      <c r="H89" s="31"/>
      <c r="I89" s="31"/>
      <c r="J89" s="31"/>
      <c r="K89" s="31"/>
      <c r="L89" s="31"/>
      <c r="M89" s="31"/>
      <c r="N89" s="31"/>
      <c r="O89" s="31"/>
      <c r="P89" s="31"/>
      <c r="Q89" s="31"/>
      <c r="R89" s="31"/>
      <c r="S89" s="31"/>
      <c r="T89" s="31"/>
      <c r="U89" s="31"/>
      <c r="V89" s="31"/>
      <c r="W89" s="31"/>
      <c r="X89" s="31"/>
      <c r="Y89" s="31"/>
      <c r="Z89" s="31"/>
      <c r="AA89" s="31"/>
      <c r="AB89" s="31"/>
      <c r="AC89" s="31"/>
      <c r="AD89" s="31"/>
      <c r="AE89" s="31"/>
      <c r="AF89" s="31"/>
      <c r="AG89" s="31"/>
    </row>
    <row r="90" spans="2:33">
      <c r="B90" s="31"/>
      <c r="C90" s="31"/>
      <c r="D90" s="31"/>
      <c r="E90" s="31"/>
      <c r="F90" s="31"/>
      <c r="G90" s="31"/>
      <c r="H90" s="31"/>
      <c r="I90" s="31"/>
      <c r="J90" s="31"/>
      <c r="K90" s="31"/>
      <c r="L90" s="31"/>
      <c r="M90" s="31"/>
      <c r="N90" s="31"/>
      <c r="O90" s="31"/>
      <c r="P90" s="31"/>
      <c r="Q90" s="31"/>
      <c r="R90" s="31"/>
      <c r="S90" s="31"/>
      <c r="T90" s="31"/>
      <c r="U90" s="31"/>
      <c r="V90" s="31"/>
      <c r="W90" s="31"/>
      <c r="X90" s="31"/>
      <c r="Y90" s="31"/>
      <c r="Z90" s="31"/>
      <c r="AA90" s="31"/>
      <c r="AB90" s="31"/>
      <c r="AC90" s="31"/>
      <c r="AD90" s="31"/>
      <c r="AE90" s="31"/>
      <c r="AF90" s="31"/>
      <c r="AG90" s="31"/>
    </row>
    <row r="91" spans="2:33">
      <c r="B91" s="31"/>
      <c r="C91" s="31"/>
      <c r="D91" s="31"/>
      <c r="E91" s="31"/>
      <c r="F91" s="31"/>
      <c r="G91" s="31"/>
      <c r="H91" s="31"/>
      <c r="I91" s="31"/>
      <c r="J91" s="31"/>
      <c r="K91" s="31"/>
      <c r="L91" s="31"/>
      <c r="M91" s="31"/>
      <c r="N91" s="31"/>
      <c r="O91" s="31"/>
      <c r="P91" s="31"/>
      <c r="Q91" s="31"/>
      <c r="R91" s="31"/>
      <c r="S91" s="31"/>
      <c r="T91" s="31"/>
      <c r="U91" s="31"/>
      <c r="V91" s="31"/>
      <c r="W91" s="31"/>
      <c r="X91" s="31"/>
      <c r="Y91" s="31"/>
      <c r="Z91" s="31"/>
      <c r="AA91" s="31"/>
      <c r="AB91" s="31"/>
      <c r="AC91" s="31"/>
      <c r="AD91" s="31"/>
      <c r="AE91" s="31"/>
      <c r="AF91" s="31"/>
      <c r="AG91" s="31"/>
    </row>
    <row r="92" spans="2:33">
      <c r="B92" s="31"/>
      <c r="C92" s="31"/>
      <c r="D92" s="31"/>
      <c r="E92" s="31"/>
      <c r="F92" s="31"/>
      <c r="G92" s="31"/>
      <c r="H92" s="31"/>
      <c r="I92" s="31"/>
      <c r="J92" s="31"/>
      <c r="K92" s="31"/>
      <c r="L92" s="31"/>
      <c r="M92" s="31"/>
      <c r="N92" s="31"/>
      <c r="O92" s="31"/>
      <c r="P92" s="31"/>
      <c r="Q92" s="31"/>
      <c r="R92" s="31"/>
      <c r="S92" s="31"/>
      <c r="T92" s="31"/>
      <c r="U92" s="31"/>
      <c r="V92" s="31"/>
      <c r="W92" s="31"/>
      <c r="X92" s="31"/>
      <c r="Y92" s="31"/>
      <c r="Z92" s="31"/>
      <c r="AA92" s="31"/>
      <c r="AB92" s="31"/>
      <c r="AC92" s="31"/>
      <c r="AD92" s="31"/>
      <c r="AE92" s="31"/>
      <c r="AF92" s="31"/>
      <c r="AG92" s="31"/>
    </row>
    <row r="93" spans="2:33">
      <c r="B93" s="31"/>
      <c r="C93" s="31"/>
      <c r="D93" s="31"/>
      <c r="E93" s="31"/>
      <c r="F93" s="31"/>
      <c r="G93" s="31"/>
      <c r="H93" s="31"/>
      <c r="I93" s="31"/>
      <c r="J93" s="31"/>
      <c r="K93" s="31"/>
      <c r="L93" s="31"/>
      <c r="M93" s="31"/>
      <c r="N93" s="31"/>
      <c r="O93" s="31"/>
      <c r="P93" s="31"/>
      <c r="Q93" s="31"/>
      <c r="R93" s="31"/>
      <c r="S93" s="31"/>
      <c r="T93" s="31"/>
      <c r="U93" s="31"/>
      <c r="V93" s="31"/>
      <c r="W93" s="31"/>
      <c r="X93" s="31"/>
      <c r="Y93" s="31"/>
      <c r="Z93" s="31"/>
      <c r="AA93" s="31"/>
      <c r="AB93" s="31"/>
      <c r="AC93" s="31"/>
      <c r="AD93" s="31"/>
      <c r="AE93" s="31"/>
      <c r="AF93" s="31"/>
      <c r="AG93" s="31"/>
    </row>
    <row r="94" spans="2:33">
      <c r="B94" s="31"/>
      <c r="C94" s="31"/>
      <c r="D94" s="31"/>
      <c r="E94" s="31"/>
      <c r="F94" s="31"/>
      <c r="G94" s="31"/>
      <c r="H94" s="31"/>
      <c r="I94" s="31"/>
      <c r="J94" s="31"/>
      <c r="K94" s="31"/>
      <c r="L94" s="31"/>
      <c r="M94" s="31"/>
      <c r="N94" s="31"/>
      <c r="O94" s="31"/>
      <c r="P94" s="31"/>
      <c r="Q94" s="31"/>
      <c r="R94" s="31"/>
      <c r="S94" s="31"/>
      <c r="T94" s="31"/>
      <c r="U94" s="31"/>
      <c r="V94" s="31"/>
      <c r="W94" s="31"/>
      <c r="X94" s="31"/>
      <c r="Y94" s="31"/>
      <c r="Z94" s="31"/>
      <c r="AA94" s="31"/>
      <c r="AB94" s="31"/>
      <c r="AC94" s="31"/>
      <c r="AD94" s="31"/>
      <c r="AE94" s="31"/>
      <c r="AF94" s="31"/>
      <c r="AG94" s="31"/>
    </row>
    <row r="95" spans="2:33">
      <c r="B95" s="31"/>
      <c r="C95" s="31"/>
      <c r="D95" s="31"/>
      <c r="E95" s="31"/>
      <c r="F95" s="31"/>
      <c r="G95" s="31"/>
      <c r="H95" s="31"/>
      <c r="I95" s="31"/>
      <c r="J95" s="31"/>
      <c r="K95" s="31"/>
      <c r="L95" s="31"/>
      <c r="M95" s="31"/>
      <c r="N95" s="31"/>
      <c r="O95" s="31"/>
      <c r="P95" s="31"/>
      <c r="Q95" s="31"/>
      <c r="R95" s="31"/>
      <c r="S95" s="31"/>
      <c r="T95" s="31"/>
      <c r="U95" s="31"/>
      <c r="V95" s="31"/>
      <c r="W95" s="31"/>
      <c r="X95" s="31"/>
      <c r="Y95" s="31"/>
      <c r="Z95" s="31"/>
      <c r="AA95" s="31"/>
      <c r="AB95" s="31"/>
      <c r="AC95" s="31"/>
      <c r="AD95" s="31"/>
      <c r="AE95" s="31"/>
      <c r="AF95" s="31"/>
      <c r="AG95" s="31"/>
    </row>
    <row r="96" spans="2:33">
      <c r="B96" s="31"/>
      <c r="C96" s="31"/>
      <c r="D96" s="31"/>
      <c r="E96" s="31"/>
      <c r="F96" s="31"/>
      <c r="G96" s="31"/>
      <c r="H96" s="31"/>
      <c r="I96" s="31"/>
      <c r="J96" s="31"/>
      <c r="K96" s="31"/>
      <c r="L96" s="31"/>
      <c r="M96" s="31"/>
      <c r="N96" s="31"/>
      <c r="O96" s="31"/>
      <c r="P96" s="31"/>
      <c r="Q96" s="31"/>
      <c r="R96" s="31"/>
      <c r="S96" s="31"/>
      <c r="T96" s="31"/>
      <c r="U96" s="31"/>
      <c r="V96" s="31"/>
      <c r="W96" s="31"/>
      <c r="X96" s="31"/>
      <c r="Y96" s="31"/>
      <c r="Z96" s="31"/>
      <c r="AA96" s="31"/>
      <c r="AB96" s="31"/>
      <c r="AC96" s="31"/>
      <c r="AD96" s="31"/>
      <c r="AE96" s="31"/>
      <c r="AF96" s="31"/>
      <c r="AG96" s="31"/>
    </row>
    <row r="97" spans="2:33">
      <c r="B97" s="31"/>
      <c r="C97" s="31"/>
      <c r="D97" s="31"/>
      <c r="E97" s="31"/>
      <c r="F97" s="31"/>
      <c r="G97" s="31"/>
      <c r="H97" s="31"/>
      <c r="I97" s="31"/>
      <c r="J97" s="31"/>
      <c r="K97" s="31"/>
      <c r="L97" s="31"/>
      <c r="M97" s="31"/>
      <c r="N97" s="31"/>
      <c r="O97" s="31"/>
      <c r="P97" s="31"/>
      <c r="Q97" s="31"/>
      <c r="R97" s="31"/>
      <c r="S97" s="31"/>
      <c r="T97" s="31"/>
      <c r="U97" s="31"/>
      <c r="V97" s="31"/>
      <c r="W97" s="31"/>
      <c r="X97" s="31"/>
      <c r="Y97" s="31"/>
      <c r="Z97" s="31"/>
      <c r="AA97" s="31"/>
      <c r="AB97" s="31"/>
      <c r="AC97" s="31"/>
      <c r="AD97" s="31"/>
      <c r="AE97" s="31"/>
      <c r="AF97" s="31"/>
      <c r="AG97" s="31"/>
    </row>
    <row r="98" spans="2:33">
      <c r="B98" s="31"/>
      <c r="C98" s="31"/>
      <c r="D98" s="31"/>
      <c r="E98" s="31"/>
      <c r="F98" s="31"/>
      <c r="G98" s="31"/>
      <c r="H98" s="31"/>
      <c r="I98" s="31"/>
      <c r="J98" s="31"/>
      <c r="K98" s="31"/>
      <c r="L98" s="31"/>
      <c r="M98" s="31"/>
      <c r="N98" s="31"/>
      <c r="O98" s="31"/>
      <c r="P98" s="31"/>
      <c r="Q98" s="31"/>
      <c r="R98" s="31"/>
      <c r="S98" s="31"/>
      <c r="T98" s="31"/>
      <c r="U98" s="31"/>
      <c r="V98" s="31"/>
      <c r="W98" s="31"/>
      <c r="X98" s="31"/>
      <c r="Y98" s="31"/>
      <c r="Z98" s="31"/>
      <c r="AA98" s="31"/>
      <c r="AB98" s="31"/>
      <c r="AC98" s="31"/>
      <c r="AD98" s="31"/>
      <c r="AE98" s="31"/>
      <c r="AF98" s="31"/>
      <c r="AG98" s="31"/>
    </row>
    <row r="99" spans="2:33">
      <c r="B99" s="31"/>
      <c r="C99" s="31"/>
      <c r="D99" s="31"/>
      <c r="E99" s="31"/>
      <c r="F99" s="31"/>
      <c r="G99" s="31"/>
      <c r="H99" s="31"/>
      <c r="I99" s="31"/>
      <c r="J99" s="31"/>
      <c r="K99" s="31"/>
      <c r="L99" s="31"/>
      <c r="M99" s="31"/>
      <c r="N99" s="31"/>
      <c r="O99" s="31"/>
      <c r="P99" s="31"/>
      <c r="Q99" s="31"/>
      <c r="R99" s="31"/>
      <c r="S99" s="31"/>
      <c r="T99" s="31"/>
      <c r="U99" s="31"/>
      <c r="V99" s="31"/>
      <c r="W99" s="31"/>
      <c r="X99" s="31"/>
      <c r="Y99" s="31"/>
      <c r="Z99" s="31"/>
      <c r="AA99" s="31"/>
      <c r="AB99" s="31"/>
      <c r="AC99" s="31"/>
      <c r="AD99" s="31"/>
      <c r="AE99" s="31"/>
      <c r="AF99" s="31"/>
      <c r="AG99" s="31"/>
    </row>
    <row r="100" spans="2:33">
      <c r="B100" s="31"/>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1"/>
      <c r="AB100" s="31"/>
      <c r="AC100" s="31"/>
      <c r="AD100" s="31"/>
      <c r="AE100" s="31"/>
      <c r="AF100" s="31"/>
      <c r="AG100" s="31"/>
    </row>
    <row r="101" spans="2:33">
      <c r="B101" s="31"/>
      <c r="C101" s="31"/>
      <c r="D101" s="31"/>
      <c r="E101" s="31"/>
      <c r="F101" s="31"/>
      <c r="G101" s="31"/>
      <c r="H101" s="31"/>
      <c r="I101" s="31"/>
      <c r="J101" s="31"/>
      <c r="K101" s="31"/>
      <c r="L101" s="31"/>
      <c r="M101" s="31"/>
      <c r="N101" s="31"/>
      <c r="O101" s="31"/>
      <c r="P101" s="31"/>
      <c r="Q101" s="31"/>
      <c r="R101" s="31"/>
      <c r="S101" s="31"/>
      <c r="T101" s="31"/>
      <c r="U101" s="31"/>
      <c r="V101" s="31"/>
      <c r="W101" s="31"/>
      <c r="X101" s="31"/>
      <c r="Y101" s="31"/>
      <c r="Z101" s="31"/>
      <c r="AA101" s="31"/>
      <c r="AB101" s="31"/>
      <c r="AC101" s="31"/>
      <c r="AD101" s="31"/>
      <c r="AE101" s="31"/>
      <c r="AF101" s="31"/>
      <c r="AG101" s="31"/>
    </row>
    <row r="102" spans="2:33">
      <c r="B102" s="31"/>
      <c r="C102" s="31"/>
      <c r="D102" s="31"/>
      <c r="E102" s="31"/>
      <c r="F102" s="31"/>
      <c r="G102" s="31"/>
      <c r="H102" s="31"/>
      <c r="I102" s="31"/>
      <c r="J102" s="31"/>
      <c r="K102" s="31"/>
      <c r="L102" s="31"/>
      <c r="M102" s="31"/>
      <c r="N102" s="31"/>
      <c r="O102" s="31"/>
      <c r="P102" s="31"/>
      <c r="Q102" s="31"/>
      <c r="R102" s="31"/>
      <c r="S102" s="31"/>
      <c r="T102" s="31"/>
      <c r="U102" s="31"/>
      <c r="V102" s="31"/>
      <c r="W102" s="31"/>
      <c r="X102" s="31"/>
      <c r="Y102" s="31"/>
      <c r="Z102" s="31"/>
      <c r="AA102" s="31"/>
      <c r="AB102" s="31"/>
      <c r="AC102" s="31"/>
      <c r="AD102" s="31"/>
      <c r="AE102" s="31"/>
      <c r="AF102" s="31"/>
      <c r="AG102" s="31"/>
    </row>
    <row r="103" spans="2:33">
      <c r="B103" s="31"/>
      <c r="C103" s="31"/>
      <c r="D103" s="31"/>
      <c r="E103" s="31"/>
      <c r="F103" s="31"/>
      <c r="G103" s="31"/>
      <c r="H103" s="31"/>
      <c r="I103" s="31"/>
      <c r="J103" s="31"/>
      <c r="K103" s="31"/>
      <c r="L103" s="31"/>
      <c r="M103" s="31"/>
      <c r="N103" s="31"/>
      <c r="O103" s="31"/>
      <c r="P103" s="31"/>
      <c r="Q103" s="31"/>
      <c r="R103" s="31"/>
      <c r="S103" s="31"/>
      <c r="T103" s="31"/>
      <c r="U103" s="31"/>
      <c r="V103" s="31"/>
      <c r="W103" s="31"/>
      <c r="X103" s="31"/>
      <c r="Y103" s="31"/>
      <c r="Z103" s="31"/>
      <c r="AA103" s="31"/>
      <c r="AB103" s="31"/>
      <c r="AC103" s="31"/>
      <c r="AD103" s="31"/>
      <c r="AE103" s="31"/>
      <c r="AF103" s="31"/>
      <c r="AG103" s="31"/>
    </row>
    <row r="104" spans="2:33">
      <c r="B104" s="31"/>
      <c r="C104" s="31"/>
      <c r="D104" s="31"/>
      <c r="E104" s="31"/>
      <c r="F104" s="31"/>
      <c r="G104" s="31"/>
      <c r="H104" s="31"/>
      <c r="I104" s="31"/>
      <c r="J104" s="31"/>
      <c r="K104" s="31"/>
      <c r="L104" s="31"/>
      <c r="M104" s="31"/>
      <c r="N104" s="31"/>
      <c r="O104" s="31"/>
      <c r="P104" s="31"/>
      <c r="Q104" s="31"/>
      <c r="R104" s="31"/>
      <c r="S104" s="31"/>
      <c r="T104" s="31"/>
      <c r="U104" s="31"/>
      <c r="V104" s="31"/>
      <c r="W104" s="31"/>
      <c r="X104" s="31"/>
      <c r="Y104" s="31"/>
      <c r="Z104" s="31"/>
      <c r="AA104" s="31"/>
      <c r="AB104" s="31"/>
      <c r="AC104" s="31"/>
      <c r="AD104" s="31"/>
      <c r="AE104" s="31"/>
      <c r="AF104" s="31"/>
      <c r="AG104" s="31"/>
    </row>
    <row r="105" spans="2:33">
      <c r="B105" s="31"/>
      <c r="C105" s="31"/>
      <c r="D105" s="31"/>
      <c r="E105" s="31"/>
      <c r="F105" s="31"/>
      <c r="G105" s="31"/>
      <c r="H105" s="31"/>
      <c r="I105" s="31"/>
      <c r="J105" s="31"/>
      <c r="K105" s="31"/>
      <c r="L105" s="31"/>
      <c r="M105" s="31"/>
      <c r="N105" s="31"/>
      <c r="O105" s="31"/>
      <c r="P105" s="31"/>
      <c r="Q105" s="31"/>
      <c r="R105" s="31"/>
      <c r="S105" s="31"/>
      <c r="T105" s="31"/>
      <c r="U105" s="31"/>
      <c r="V105" s="31"/>
      <c r="W105" s="31"/>
      <c r="X105" s="31"/>
      <c r="Y105" s="31"/>
      <c r="Z105" s="31"/>
      <c r="AA105" s="31"/>
      <c r="AB105" s="31"/>
      <c r="AC105" s="31"/>
      <c r="AD105" s="31"/>
      <c r="AE105" s="31"/>
      <c r="AF105" s="31"/>
      <c r="AG105" s="31"/>
    </row>
    <row r="106" spans="2:33">
      <c r="B106" s="31"/>
      <c r="C106" s="31"/>
      <c r="D106" s="31"/>
      <c r="E106" s="31"/>
      <c r="F106" s="31"/>
      <c r="G106" s="31"/>
      <c r="H106" s="31"/>
      <c r="I106" s="31"/>
      <c r="J106" s="31"/>
      <c r="K106" s="31"/>
      <c r="L106" s="31"/>
      <c r="M106" s="31"/>
      <c r="N106" s="31"/>
      <c r="O106" s="31"/>
      <c r="P106" s="31"/>
      <c r="Q106" s="31"/>
      <c r="R106" s="31"/>
      <c r="S106" s="31"/>
      <c r="T106" s="31"/>
      <c r="U106" s="31"/>
      <c r="V106" s="31"/>
      <c r="W106" s="31"/>
      <c r="X106" s="31"/>
      <c r="Y106" s="31"/>
      <c r="Z106" s="31"/>
      <c r="AA106" s="31"/>
      <c r="AB106" s="31"/>
      <c r="AC106" s="31"/>
      <c r="AD106" s="31"/>
      <c r="AE106" s="31"/>
      <c r="AF106" s="31"/>
      <c r="AG106" s="31"/>
    </row>
    <row r="107" spans="2:33">
      <c r="B107" s="31"/>
      <c r="C107" s="31"/>
      <c r="D107" s="31"/>
      <c r="E107" s="31"/>
      <c r="F107" s="31"/>
      <c r="G107" s="31"/>
      <c r="H107" s="31"/>
      <c r="I107" s="31"/>
      <c r="J107" s="31"/>
      <c r="K107" s="31"/>
      <c r="L107" s="31"/>
      <c r="M107" s="31"/>
      <c r="N107" s="31"/>
      <c r="O107" s="31"/>
      <c r="P107" s="31"/>
      <c r="Q107" s="31"/>
      <c r="R107" s="31"/>
      <c r="S107" s="31"/>
      <c r="T107" s="31"/>
      <c r="U107" s="31"/>
      <c r="V107" s="31"/>
      <c r="W107" s="31"/>
      <c r="X107" s="31"/>
      <c r="Y107" s="31"/>
      <c r="Z107" s="31"/>
      <c r="AA107" s="31"/>
      <c r="AB107" s="31"/>
      <c r="AC107" s="31"/>
      <c r="AD107" s="31"/>
      <c r="AE107" s="31"/>
      <c r="AF107" s="31"/>
      <c r="AG107" s="31"/>
    </row>
    <row r="108" spans="2:33">
      <c r="B108" s="31"/>
      <c r="C108" s="31"/>
      <c r="D108" s="31"/>
      <c r="E108" s="31"/>
      <c r="F108" s="31"/>
      <c r="G108" s="31"/>
      <c r="H108" s="31"/>
      <c r="I108" s="31"/>
      <c r="J108" s="31"/>
      <c r="K108" s="31"/>
      <c r="L108" s="31"/>
      <c r="M108" s="31"/>
      <c r="N108" s="31"/>
      <c r="O108" s="31"/>
      <c r="P108" s="31"/>
      <c r="Q108" s="31"/>
      <c r="R108" s="31"/>
      <c r="S108" s="31"/>
      <c r="T108" s="31"/>
      <c r="U108" s="31"/>
      <c r="V108" s="31"/>
      <c r="W108" s="31"/>
      <c r="X108" s="31"/>
      <c r="Y108" s="31"/>
      <c r="Z108" s="31"/>
      <c r="AA108" s="31"/>
      <c r="AB108" s="31"/>
      <c r="AC108" s="31"/>
      <c r="AD108" s="31"/>
      <c r="AE108" s="31"/>
      <c r="AF108" s="31"/>
      <c r="AG108" s="31"/>
    </row>
    <row r="109" spans="2:33">
      <c r="B109" s="31"/>
      <c r="C109" s="31"/>
      <c r="D109" s="31"/>
      <c r="E109" s="31"/>
      <c r="F109" s="31"/>
      <c r="G109" s="31"/>
      <c r="H109" s="31"/>
      <c r="I109" s="31"/>
      <c r="J109" s="31"/>
      <c r="K109" s="31"/>
      <c r="L109" s="31"/>
      <c r="M109" s="31"/>
      <c r="N109" s="31"/>
      <c r="O109" s="31"/>
      <c r="P109" s="31"/>
      <c r="Q109" s="31"/>
      <c r="R109" s="31"/>
      <c r="S109" s="31"/>
      <c r="T109" s="31"/>
      <c r="U109" s="31"/>
      <c r="V109" s="31"/>
      <c r="W109" s="31"/>
      <c r="X109" s="31"/>
      <c r="Y109" s="31"/>
      <c r="Z109" s="31"/>
      <c r="AA109" s="31"/>
      <c r="AB109" s="31"/>
      <c r="AC109" s="31"/>
      <c r="AD109" s="31"/>
      <c r="AE109" s="31"/>
      <c r="AF109" s="31" t="s">
        <v>655</v>
      </c>
      <c r="AG109" s="31"/>
    </row>
    <row r="114" spans="2:32">
      <c r="B114" s="29"/>
      <c r="C114" s="29"/>
      <c r="D114" s="29"/>
      <c r="E114" s="29"/>
      <c r="F114" s="29"/>
      <c r="G114" s="29"/>
      <c r="H114" s="29"/>
      <c r="I114" s="29"/>
      <c r="J114" s="29"/>
      <c r="K114" s="29"/>
      <c r="L114" s="29"/>
      <c r="M114" s="29"/>
      <c r="N114" s="29"/>
      <c r="O114" s="29"/>
      <c r="P114" s="29"/>
      <c r="Q114" s="29"/>
      <c r="R114" s="29"/>
      <c r="S114" s="29"/>
      <c r="T114" s="29"/>
      <c r="U114" s="29"/>
      <c r="V114" s="29"/>
      <c r="W114" s="29"/>
      <c r="X114" s="29"/>
      <c r="Y114" s="29"/>
      <c r="Z114" s="29"/>
      <c r="AA114" s="29"/>
      <c r="AB114" s="29"/>
      <c r="AC114" s="29"/>
      <c r="AD114" s="29"/>
      <c r="AE114" s="29"/>
      <c r="AF114" s="29"/>
    </row>
    <row r="116" spans="2:32">
      <c r="B116" s="29"/>
      <c r="C116" s="29"/>
      <c r="D116" s="29"/>
      <c r="E116" s="29"/>
      <c r="F116" s="29"/>
      <c r="G116" s="29"/>
      <c r="H116" s="29"/>
      <c r="I116" s="29"/>
      <c r="J116" s="29"/>
      <c r="K116" s="29"/>
      <c r="L116" s="29"/>
      <c r="M116" s="29"/>
      <c r="N116" s="29"/>
      <c r="O116" s="29"/>
      <c r="P116" s="29"/>
      <c r="Q116" s="29"/>
      <c r="R116" s="29"/>
      <c r="S116" s="29"/>
      <c r="T116" s="29"/>
      <c r="U116" s="29"/>
      <c r="V116" s="29"/>
      <c r="W116" s="29"/>
      <c r="X116" s="29"/>
      <c r="Y116" s="29"/>
      <c r="Z116" s="29"/>
      <c r="AA116" s="29"/>
      <c r="AB116" s="29"/>
      <c r="AC116" s="29"/>
      <c r="AD116" s="29"/>
      <c r="AE116" s="29"/>
      <c r="AF116" s="29"/>
    </row>
    <row r="117" spans="2:32">
      <c r="B117" s="289"/>
      <c r="C117" s="289"/>
      <c r="D117" s="289"/>
      <c r="E117" s="289"/>
      <c r="F117" s="289"/>
      <c r="G117" s="289"/>
      <c r="H117" s="289"/>
      <c r="I117" s="289"/>
      <c r="J117" s="289"/>
      <c r="K117" s="289"/>
      <c r="L117" s="289"/>
      <c r="M117" s="289"/>
      <c r="N117" s="289"/>
      <c r="O117" s="289"/>
      <c r="P117" s="289"/>
      <c r="Q117" s="289"/>
      <c r="R117" s="289"/>
      <c r="S117" s="289"/>
      <c r="T117" s="289"/>
      <c r="U117" s="289"/>
      <c r="V117" s="289"/>
      <c r="W117" s="289"/>
      <c r="X117" s="289"/>
      <c r="Y117" s="289"/>
      <c r="Z117" s="289"/>
      <c r="AA117" s="289"/>
      <c r="AB117" s="289"/>
      <c r="AC117" s="289"/>
      <c r="AD117" s="289"/>
      <c r="AE117" s="289"/>
      <c r="AF117" s="289"/>
    </row>
    <row r="258" spans="2:32">
      <c r="B258" s="29"/>
      <c r="C258" s="29"/>
      <c r="D258" s="29"/>
      <c r="E258" s="29"/>
      <c r="F258" s="29"/>
      <c r="G258" s="29"/>
      <c r="H258" s="29"/>
      <c r="I258" s="29"/>
      <c r="J258" s="29"/>
      <c r="K258" s="29"/>
      <c r="L258" s="29"/>
      <c r="M258" s="29"/>
      <c r="N258" s="29"/>
      <c r="O258" s="29"/>
      <c r="P258" s="29"/>
      <c r="Q258" s="29"/>
      <c r="R258" s="29"/>
      <c r="S258" s="29"/>
      <c r="T258" s="29"/>
      <c r="U258" s="29"/>
      <c r="V258" s="29"/>
      <c r="W258" s="29"/>
      <c r="X258" s="29"/>
      <c r="Y258" s="29"/>
      <c r="Z258" s="29"/>
      <c r="AA258" s="29"/>
      <c r="AB258" s="29"/>
      <c r="AC258" s="29"/>
      <c r="AD258" s="29"/>
      <c r="AE258" s="29"/>
      <c r="AF258" s="29"/>
    </row>
    <row r="259" spans="2:32">
      <c r="B259" s="289"/>
      <c r="C259" s="289"/>
      <c r="D259" s="289"/>
      <c r="E259" s="289"/>
      <c r="F259" s="289"/>
      <c r="G259" s="289"/>
      <c r="H259" s="289"/>
      <c r="I259" s="289"/>
      <c r="J259" s="289"/>
      <c r="K259" s="289"/>
      <c r="L259" s="289"/>
      <c r="M259" s="289"/>
      <c r="N259" s="289"/>
      <c r="O259" s="289"/>
      <c r="P259" s="289"/>
      <c r="Q259" s="289"/>
      <c r="R259" s="289"/>
      <c r="S259" s="289"/>
      <c r="T259" s="289"/>
      <c r="U259" s="289"/>
      <c r="V259" s="289"/>
      <c r="W259" s="289"/>
      <c r="X259" s="289"/>
      <c r="Y259" s="289"/>
      <c r="Z259" s="289"/>
      <c r="AA259" s="289"/>
      <c r="AB259" s="289"/>
      <c r="AC259" s="289"/>
      <c r="AD259" s="289"/>
      <c r="AE259" s="289"/>
      <c r="AF259" s="289"/>
    </row>
    <row r="268" spans="2:32">
      <c r="B268" s="29"/>
      <c r="C268" s="29"/>
      <c r="D268" s="29"/>
      <c r="E268" s="29"/>
      <c r="F268" s="29"/>
      <c r="G268" s="29"/>
      <c r="H268" s="29"/>
      <c r="I268" s="29"/>
      <c r="J268" s="29"/>
      <c r="K268" s="29"/>
      <c r="L268" s="29"/>
      <c r="M268" s="29"/>
      <c r="N268" s="29"/>
      <c r="O268" s="29"/>
      <c r="P268" s="29"/>
      <c r="Q268" s="29"/>
      <c r="R268" s="29"/>
      <c r="S268" s="29"/>
      <c r="T268" s="29"/>
      <c r="U268" s="29"/>
      <c r="V268" s="29"/>
      <c r="W268" s="29"/>
      <c r="X268" s="29"/>
      <c r="Y268" s="29"/>
      <c r="Z268" s="29"/>
      <c r="AA268" s="29"/>
      <c r="AB268" s="29"/>
      <c r="AC268" s="29"/>
      <c r="AD268" s="29"/>
      <c r="AE268" s="29"/>
      <c r="AF268" s="29"/>
    </row>
    <row r="269" spans="2:32">
      <c r="B269" s="29"/>
      <c r="C269" s="29"/>
      <c r="D269" s="29"/>
      <c r="E269" s="29"/>
      <c r="F269" s="29"/>
      <c r="G269" s="29"/>
      <c r="H269" s="29"/>
      <c r="I269" s="29"/>
      <c r="J269" s="29"/>
      <c r="K269" s="29"/>
      <c r="L269" s="29"/>
      <c r="M269" s="29"/>
      <c r="N269" s="29"/>
      <c r="O269" s="29"/>
      <c r="P269" s="29"/>
      <c r="Q269" s="29"/>
      <c r="R269" s="29"/>
      <c r="S269" s="29"/>
      <c r="T269" s="29"/>
      <c r="U269" s="29"/>
      <c r="V269" s="29"/>
      <c r="W269" s="29"/>
      <c r="X269" s="29"/>
      <c r="Y269" s="29"/>
      <c r="Z269" s="29"/>
      <c r="AA269" s="29"/>
      <c r="AB269" s="29"/>
      <c r="AC269" s="29"/>
      <c r="AD269" s="29"/>
      <c r="AE269" s="29"/>
      <c r="AF269" s="29"/>
    </row>
    <row r="270" spans="2:32">
      <c r="B270" s="29"/>
      <c r="C270" s="29"/>
      <c r="D270" s="29"/>
      <c r="E270" s="29"/>
      <c r="F270" s="29"/>
      <c r="G270" s="29"/>
      <c r="H270" s="29"/>
      <c r="I270" s="29"/>
      <c r="J270" s="29"/>
      <c r="K270" s="29"/>
      <c r="L270" s="29"/>
      <c r="M270" s="29"/>
      <c r="N270" s="29"/>
      <c r="O270" s="29"/>
      <c r="P270" s="29"/>
      <c r="Q270" s="29"/>
      <c r="R270" s="29"/>
      <c r="S270" s="29"/>
      <c r="T270" s="29"/>
      <c r="U270" s="29"/>
      <c r="V270" s="29"/>
      <c r="W270" s="29"/>
      <c r="X270" s="29"/>
      <c r="Y270" s="29"/>
      <c r="Z270" s="29"/>
      <c r="AA270" s="29"/>
      <c r="AB270" s="29"/>
      <c r="AC270" s="29"/>
      <c r="AD270" s="29"/>
      <c r="AE270" s="29"/>
      <c r="AF270" s="29"/>
    </row>
    <row r="271" spans="2:32">
      <c r="B271" s="29"/>
      <c r="C271" s="29"/>
      <c r="D271" s="29"/>
      <c r="E271" s="29"/>
      <c r="F271" s="29"/>
      <c r="G271" s="29"/>
      <c r="H271" s="29"/>
      <c r="I271" s="29"/>
      <c r="J271" s="29"/>
      <c r="K271" s="29"/>
      <c r="L271" s="29"/>
      <c r="M271" s="29"/>
      <c r="N271" s="29"/>
      <c r="O271" s="29"/>
      <c r="P271" s="29"/>
      <c r="Q271" s="29"/>
      <c r="R271" s="29"/>
      <c r="S271" s="29"/>
      <c r="T271" s="29"/>
      <c r="U271" s="29"/>
      <c r="V271" s="29"/>
      <c r="W271" s="29"/>
      <c r="X271" s="29"/>
      <c r="Y271" s="29"/>
      <c r="Z271" s="29"/>
      <c r="AA271" s="29"/>
      <c r="AB271" s="29"/>
      <c r="AC271" s="29"/>
      <c r="AD271" s="29"/>
      <c r="AE271" s="29"/>
      <c r="AF271" s="29"/>
    </row>
    <row r="272" spans="2:32">
      <c r="B272" s="29"/>
      <c r="C272" s="29"/>
      <c r="D272" s="29"/>
      <c r="E272" s="29"/>
      <c r="F272" s="29"/>
      <c r="G272" s="29"/>
      <c r="H272" s="29"/>
      <c r="I272" s="29"/>
      <c r="J272" s="29"/>
      <c r="K272" s="29"/>
      <c r="L272" s="29"/>
      <c r="M272" s="29"/>
      <c r="N272" s="29"/>
      <c r="O272" s="29"/>
      <c r="P272" s="29"/>
      <c r="Q272" s="29"/>
      <c r="R272" s="29"/>
      <c r="S272" s="29"/>
      <c r="T272" s="29"/>
      <c r="U272" s="29"/>
      <c r="V272" s="29"/>
      <c r="W272" s="29"/>
      <c r="X272" s="29"/>
      <c r="Y272" s="29"/>
      <c r="Z272" s="29"/>
      <c r="AA272" s="29"/>
      <c r="AB272" s="29"/>
      <c r="AC272" s="29"/>
      <c r="AD272" s="29"/>
      <c r="AE272" s="29"/>
      <c r="AF272" s="29"/>
    </row>
    <row r="338" spans="2:32">
      <c r="B338" s="29"/>
      <c r="C338" s="29"/>
      <c r="D338" s="29"/>
      <c r="E338" s="29"/>
      <c r="F338" s="29"/>
      <c r="G338" s="29"/>
      <c r="H338" s="29"/>
      <c r="I338" s="29"/>
      <c r="J338" s="29"/>
      <c r="K338" s="29"/>
      <c r="L338" s="29"/>
      <c r="M338" s="29"/>
      <c r="N338" s="29"/>
      <c r="O338" s="29"/>
      <c r="P338" s="29"/>
      <c r="Q338" s="29"/>
      <c r="R338" s="29"/>
      <c r="S338" s="29"/>
      <c r="T338" s="29"/>
      <c r="U338" s="29"/>
      <c r="V338" s="29"/>
      <c r="W338" s="29"/>
      <c r="X338" s="29"/>
      <c r="Y338" s="29"/>
      <c r="Z338" s="29"/>
      <c r="AA338" s="29"/>
      <c r="AB338" s="29"/>
      <c r="AC338" s="29"/>
      <c r="AD338" s="29"/>
      <c r="AE338" s="29"/>
      <c r="AF338" s="29"/>
    </row>
    <row r="339" spans="2:32">
      <c r="B339" s="289"/>
      <c r="C339" s="289"/>
      <c r="D339" s="289"/>
      <c r="E339" s="289"/>
      <c r="F339" s="289"/>
      <c r="G339" s="289"/>
      <c r="H339" s="289"/>
      <c r="I339" s="289"/>
      <c r="J339" s="289"/>
      <c r="K339" s="289"/>
      <c r="L339" s="289"/>
      <c r="M339" s="289"/>
      <c r="N339" s="289"/>
      <c r="O339" s="289"/>
      <c r="P339" s="289"/>
      <c r="Q339" s="289"/>
      <c r="R339" s="289"/>
      <c r="S339" s="289"/>
      <c r="T339" s="289"/>
      <c r="U339" s="289"/>
      <c r="V339" s="289"/>
      <c r="W339" s="289"/>
      <c r="X339" s="289"/>
      <c r="Y339" s="289"/>
      <c r="Z339" s="289"/>
      <c r="AA339" s="289"/>
      <c r="AB339" s="289"/>
      <c r="AC339" s="289"/>
      <c r="AD339" s="289"/>
      <c r="AE339" s="289"/>
      <c r="AF339" s="289"/>
    </row>
    <row r="348" spans="2:32">
      <c r="B348" s="29"/>
      <c r="C348" s="29"/>
      <c r="D348" s="29"/>
      <c r="E348" s="29"/>
      <c r="F348" s="29"/>
      <c r="G348" s="29"/>
      <c r="H348" s="29"/>
      <c r="I348" s="29"/>
      <c r="J348" s="29"/>
      <c r="K348" s="29"/>
      <c r="L348" s="29"/>
      <c r="M348" s="29"/>
      <c r="N348" s="29"/>
      <c r="O348" s="29"/>
      <c r="P348" s="29"/>
      <c r="Q348" s="29"/>
      <c r="R348" s="29"/>
      <c r="S348" s="29"/>
      <c r="T348" s="29"/>
      <c r="U348" s="29"/>
      <c r="V348" s="29"/>
      <c r="W348" s="29"/>
      <c r="X348" s="29"/>
      <c r="Y348" s="29"/>
      <c r="Z348" s="29"/>
      <c r="AA348" s="29"/>
      <c r="AB348" s="29"/>
      <c r="AC348" s="29"/>
      <c r="AD348" s="29"/>
      <c r="AE348" s="29"/>
      <c r="AF348" s="29"/>
    </row>
    <row r="349" spans="2:32">
      <c r="B349" s="29"/>
      <c r="C349" s="29"/>
      <c r="D349" s="29"/>
      <c r="E349" s="29"/>
      <c r="F349" s="29"/>
      <c r="G349" s="29"/>
      <c r="H349" s="29"/>
      <c r="I349" s="29"/>
      <c r="J349" s="29"/>
      <c r="K349" s="29"/>
      <c r="L349" s="29"/>
      <c r="M349" s="29"/>
      <c r="N349" s="29"/>
      <c r="O349" s="29"/>
      <c r="P349" s="29"/>
      <c r="Q349" s="29"/>
      <c r="R349" s="29"/>
      <c r="S349" s="29"/>
      <c r="T349" s="29"/>
      <c r="U349" s="29"/>
      <c r="V349" s="29"/>
      <c r="W349" s="29"/>
      <c r="X349" s="29"/>
      <c r="Y349" s="29"/>
      <c r="Z349" s="29"/>
      <c r="AA349" s="29"/>
      <c r="AB349" s="29"/>
      <c r="AC349" s="29"/>
      <c r="AD349" s="29"/>
      <c r="AE349" s="29"/>
      <c r="AF349" s="29"/>
    </row>
    <row r="350" spans="2:32">
      <c r="B350" s="29"/>
      <c r="C350" s="29"/>
      <c r="D350" s="29"/>
      <c r="E350" s="29"/>
      <c r="F350" s="29"/>
      <c r="G350" s="29"/>
      <c r="H350" s="29"/>
      <c r="I350" s="29"/>
      <c r="J350" s="29"/>
      <c r="K350" s="29"/>
      <c r="L350" s="29"/>
      <c r="M350" s="29"/>
      <c r="N350" s="29"/>
      <c r="O350" s="29"/>
      <c r="P350" s="29"/>
      <c r="Q350" s="29"/>
      <c r="R350" s="29"/>
      <c r="S350" s="29"/>
      <c r="T350" s="29"/>
      <c r="U350" s="29"/>
      <c r="V350" s="29"/>
      <c r="W350" s="29"/>
      <c r="X350" s="29"/>
      <c r="Y350" s="29"/>
      <c r="Z350" s="29"/>
      <c r="AA350" s="29"/>
      <c r="AB350" s="29"/>
      <c r="AC350" s="29"/>
      <c r="AD350" s="29"/>
      <c r="AE350" s="29"/>
      <c r="AF350" s="29"/>
    </row>
    <row r="351" spans="2:32">
      <c r="B351" s="29"/>
      <c r="C351" s="29"/>
      <c r="D351" s="29"/>
      <c r="E351" s="29"/>
      <c r="F351" s="29"/>
      <c r="G351" s="29"/>
      <c r="H351" s="29"/>
      <c r="I351" s="29"/>
      <c r="J351" s="29"/>
      <c r="K351" s="29"/>
      <c r="L351" s="29"/>
      <c r="M351" s="29"/>
      <c r="N351" s="29"/>
      <c r="O351" s="29"/>
      <c r="P351" s="29"/>
      <c r="Q351" s="29"/>
      <c r="R351" s="29"/>
      <c r="S351" s="29"/>
      <c r="T351" s="29"/>
      <c r="U351" s="29"/>
      <c r="V351" s="29"/>
      <c r="W351" s="29"/>
      <c r="X351" s="29"/>
      <c r="Y351" s="29"/>
      <c r="Z351" s="29"/>
      <c r="AA351" s="29"/>
      <c r="AB351" s="29"/>
      <c r="AC351" s="29"/>
      <c r="AD351" s="29"/>
      <c r="AE351" s="29"/>
      <c r="AF351" s="29"/>
    </row>
    <row r="352" spans="2:32">
      <c r="B352" s="29"/>
      <c r="C352" s="29"/>
      <c r="D352" s="29"/>
      <c r="E352" s="29"/>
      <c r="F352" s="29"/>
      <c r="G352" s="29"/>
      <c r="H352" s="29"/>
      <c r="I352" s="29"/>
      <c r="J352" s="29"/>
      <c r="K352" s="29"/>
      <c r="L352" s="29"/>
      <c r="M352" s="29"/>
      <c r="N352" s="29"/>
      <c r="O352" s="29"/>
      <c r="P352" s="29"/>
      <c r="Q352" s="29"/>
      <c r="R352" s="29"/>
      <c r="S352" s="29"/>
      <c r="T352" s="29"/>
      <c r="U352" s="29"/>
      <c r="V352" s="29"/>
      <c r="W352" s="29"/>
      <c r="X352" s="29"/>
      <c r="Y352" s="29"/>
      <c r="Z352" s="29"/>
      <c r="AA352" s="29"/>
      <c r="AB352" s="29"/>
      <c r="AC352" s="29"/>
      <c r="AD352" s="29"/>
      <c r="AE352" s="29"/>
      <c r="AF352" s="29"/>
    </row>
    <row r="449" spans="2:32">
      <c r="B449" s="29"/>
      <c r="C449" s="29"/>
      <c r="D449" s="29"/>
      <c r="E449" s="29"/>
      <c r="F449" s="29"/>
      <c r="G449" s="29"/>
      <c r="H449" s="29"/>
      <c r="I449" s="29"/>
      <c r="J449" s="29"/>
      <c r="K449" s="29"/>
      <c r="L449" s="29"/>
      <c r="M449" s="29"/>
      <c r="N449" s="29"/>
      <c r="O449" s="29"/>
      <c r="P449" s="29"/>
      <c r="Q449" s="29"/>
      <c r="R449" s="29"/>
      <c r="S449" s="29"/>
      <c r="T449" s="29"/>
      <c r="U449" s="29"/>
      <c r="V449" s="29"/>
      <c r="W449" s="29"/>
      <c r="X449" s="29"/>
      <c r="Y449" s="29"/>
      <c r="Z449" s="29"/>
      <c r="AA449" s="29"/>
      <c r="AB449" s="29"/>
      <c r="AC449" s="29"/>
      <c r="AD449" s="29"/>
      <c r="AE449" s="29"/>
      <c r="AF449" s="29"/>
    </row>
    <row r="451" spans="2:32">
      <c r="B451" s="29"/>
      <c r="C451" s="29"/>
      <c r="D451" s="29"/>
      <c r="E451" s="29"/>
      <c r="F451" s="29"/>
      <c r="G451" s="29"/>
      <c r="H451" s="29"/>
      <c r="I451" s="29"/>
      <c r="J451" s="29"/>
      <c r="K451" s="29"/>
      <c r="L451" s="29"/>
      <c r="M451" s="29"/>
      <c r="N451" s="29"/>
      <c r="O451" s="29"/>
      <c r="P451" s="29"/>
      <c r="Q451" s="29"/>
      <c r="R451" s="29"/>
      <c r="S451" s="29"/>
      <c r="T451" s="29"/>
      <c r="U451" s="29"/>
      <c r="V451" s="29"/>
      <c r="W451" s="29"/>
      <c r="X451" s="29"/>
      <c r="Y451" s="29"/>
      <c r="Z451" s="29"/>
      <c r="AA451" s="29"/>
      <c r="AB451" s="29"/>
      <c r="AC451" s="29"/>
      <c r="AD451" s="29"/>
      <c r="AE451" s="29"/>
      <c r="AF451" s="29"/>
    </row>
    <row r="452" spans="2:32">
      <c r="B452" s="289"/>
      <c r="C452" s="289"/>
      <c r="D452" s="289"/>
      <c r="E452" s="289"/>
      <c r="F452" s="289"/>
      <c r="G452" s="289"/>
      <c r="H452" s="289"/>
      <c r="I452" s="289"/>
      <c r="J452" s="289"/>
      <c r="K452" s="289"/>
      <c r="L452" s="289"/>
      <c r="M452" s="289"/>
      <c r="N452" s="289"/>
      <c r="O452" s="289"/>
      <c r="P452" s="289"/>
      <c r="Q452" s="289"/>
      <c r="R452" s="289"/>
      <c r="S452" s="289"/>
      <c r="T452" s="289"/>
      <c r="U452" s="289"/>
      <c r="V452" s="289"/>
      <c r="W452" s="289"/>
      <c r="X452" s="289"/>
      <c r="Y452" s="289"/>
      <c r="Z452" s="289"/>
      <c r="AA452" s="289"/>
      <c r="AB452" s="289"/>
      <c r="AC452" s="289"/>
      <c r="AD452" s="289"/>
      <c r="AE452" s="289"/>
      <c r="AF452" s="289"/>
    </row>
    <row r="461" spans="2:32">
      <c r="B461" s="29"/>
      <c r="C461" s="29"/>
      <c r="D461" s="29"/>
      <c r="E461" s="29"/>
      <c r="F461" s="29"/>
      <c r="G461" s="29"/>
      <c r="H461" s="29"/>
      <c r="I461" s="29"/>
      <c r="J461" s="29"/>
      <c r="K461" s="29"/>
      <c r="L461" s="29"/>
      <c r="M461" s="29"/>
      <c r="N461" s="29"/>
      <c r="O461" s="29"/>
      <c r="P461" s="29"/>
      <c r="Q461" s="29"/>
      <c r="R461" s="29"/>
      <c r="S461" s="29"/>
      <c r="T461" s="29"/>
      <c r="U461" s="29"/>
      <c r="V461" s="29"/>
      <c r="W461" s="29"/>
      <c r="X461" s="29"/>
      <c r="Y461" s="29"/>
      <c r="Z461" s="29"/>
      <c r="AA461" s="29"/>
      <c r="AB461" s="29"/>
      <c r="AC461" s="29"/>
      <c r="AD461" s="29"/>
      <c r="AE461" s="29"/>
      <c r="AF461" s="29"/>
    </row>
    <row r="462" spans="2:32">
      <c r="B462" s="29"/>
      <c r="C462" s="29"/>
      <c r="D462" s="29"/>
      <c r="E462" s="29"/>
      <c r="F462" s="29"/>
      <c r="G462" s="29"/>
      <c r="H462" s="29"/>
      <c r="I462" s="29"/>
      <c r="J462" s="29"/>
      <c r="K462" s="29"/>
      <c r="L462" s="29"/>
      <c r="M462" s="29"/>
      <c r="N462" s="29"/>
      <c r="O462" s="29"/>
      <c r="P462" s="29"/>
      <c r="Q462" s="29"/>
      <c r="R462" s="29"/>
      <c r="S462" s="29"/>
      <c r="T462" s="29"/>
      <c r="U462" s="29"/>
      <c r="V462" s="29"/>
      <c r="W462" s="29"/>
      <c r="X462" s="29"/>
      <c r="Y462" s="29"/>
      <c r="Z462" s="29"/>
      <c r="AA462" s="29"/>
      <c r="AB462" s="29"/>
      <c r="AC462" s="29"/>
      <c r="AD462" s="29"/>
      <c r="AE462" s="29"/>
      <c r="AF462" s="29"/>
    </row>
    <row r="463" spans="2:32">
      <c r="B463" s="29"/>
      <c r="C463" s="29"/>
      <c r="D463" s="29"/>
      <c r="E463" s="29"/>
      <c r="F463" s="29"/>
      <c r="G463" s="29"/>
      <c r="H463" s="29"/>
      <c r="I463" s="29"/>
      <c r="J463" s="29"/>
      <c r="K463" s="29"/>
      <c r="L463" s="29"/>
      <c r="M463" s="29"/>
      <c r="N463" s="29"/>
      <c r="O463" s="29"/>
      <c r="P463" s="29"/>
      <c r="Q463" s="29"/>
      <c r="R463" s="29"/>
      <c r="S463" s="29"/>
      <c r="T463" s="29"/>
      <c r="U463" s="29"/>
      <c r="V463" s="29"/>
      <c r="W463" s="29"/>
      <c r="X463" s="29"/>
      <c r="Y463" s="29"/>
      <c r="Z463" s="29"/>
      <c r="AA463" s="29"/>
      <c r="AB463" s="29"/>
      <c r="AC463" s="29"/>
      <c r="AD463" s="29"/>
      <c r="AE463" s="29"/>
      <c r="AF463" s="29"/>
    </row>
    <row r="464" spans="2:32">
      <c r="B464" s="29"/>
      <c r="C464" s="29"/>
      <c r="D464" s="29"/>
      <c r="E464" s="29"/>
      <c r="F464" s="29"/>
      <c r="G464" s="29"/>
      <c r="H464" s="29"/>
      <c r="I464" s="29"/>
      <c r="J464" s="29"/>
      <c r="K464" s="29"/>
      <c r="L464" s="29"/>
      <c r="M464" s="29"/>
      <c r="N464" s="29"/>
      <c r="O464" s="29"/>
      <c r="P464" s="29"/>
      <c r="Q464" s="29"/>
      <c r="R464" s="29"/>
      <c r="S464" s="29"/>
      <c r="T464" s="29"/>
      <c r="U464" s="29"/>
      <c r="V464" s="29"/>
      <c r="W464" s="29"/>
      <c r="X464" s="29"/>
      <c r="Y464" s="29"/>
      <c r="Z464" s="29"/>
      <c r="AA464" s="29"/>
      <c r="AB464" s="29"/>
      <c r="AC464" s="29"/>
      <c r="AD464" s="29"/>
      <c r="AE464" s="29"/>
      <c r="AF464" s="29"/>
    </row>
    <row r="564" spans="2:32">
      <c r="B564" s="29"/>
      <c r="C564" s="29"/>
      <c r="D564" s="29"/>
      <c r="E564" s="29"/>
      <c r="F564" s="29"/>
      <c r="G564" s="29"/>
      <c r="H564" s="29"/>
      <c r="I564" s="29"/>
      <c r="J564" s="29"/>
      <c r="K564" s="29"/>
      <c r="L564" s="29"/>
      <c r="M564" s="29"/>
      <c r="N564" s="29"/>
      <c r="O564" s="29"/>
      <c r="P564" s="29"/>
      <c r="Q564" s="29"/>
      <c r="R564" s="29"/>
      <c r="S564" s="29"/>
      <c r="T564" s="29"/>
      <c r="U564" s="29"/>
      <c r="V564" s="29"/>
      <c r="W564" s="29"/>
      <c r="X564" s="29"/>
      <c r="Y564" s="29"/>
      <c r="Z564" s="29"/>
      <c r="AA564" s="29"/>
      <c r="AB564" s="29"/>
      <c r="AC564" s="29"/>
      <c r="AD564" s="29"/>
      <c r="AE564" s="29"/>
      <c r="AF564" s="29"/>
    </row>
    <row r="565" spans="2:32">
      <c r="B565" s="289"/>
      <c r="C565" s="289"/>
      <c r="D565" s="289"/>
      <c r="E565" s="289"/>
      <c r="F565" s="289"/>
      <c r="G565" s="289"/>
      <c r="H565" s="289"/>
      <c r="I565" s="289"/>
      <c r="J565" s="289"/>
      <c r="K565" s="289"/>
      <c r="L565" s="289"/>
      <c r="M565" s="289"/>
      <c r="N565" s="289"/>
      <c r="O565" s="289"/>
      <c r="P565" s="289"/>
      <c r="Q565" s="289"/>
      <c r="R565" s="289"/>
      <c r="S565" s="289"/>
      <c r="T565" s="289"/>
      <c r="U565" s="289"/>
      <c r="V565" s="289"/>
      <c r="W565" s="289"/>
      <c r="X565" s="289"/>
      <c r="Y565" s="289"/>
      <c r="Z565" s="289"/>
      <c r="AA565" s="289"/>
      <c r="AB565" s="289"/>
      <c r="AC565" s="289"/>
      <c r="AD565" s="289"/>
      <c r="AE565" s="289"/>
      <c r="AF565" s="289"/>
    </row>
    <row r="571" spans="2:32">
      <c r="B571" s="29"/>
      <c r="C571" s="29"/>
      <c r="D571" s="29"/>
      <c r="E571" s="29"/>
      <c r="F571" s="29"/>
      <c r="G571" s="29"/>
      <c r="H571" s="29"/>
      <c r="I571" s="29"/>
      <c r="J571" s="29"/>
      <c r="K571" s="29"/>
      <c r="L571" s="29"/>
      <c r="M571" s="29"/>
      <c r="N571" s="29"/>
      <c r="O571" s="29"/>
      <c r="P571" s="29"/>
      <c r="Q571" s="29"/>
      <c r="R571" s="29"/>
      <c r="S571" s="29"/>
      <c r="T571" s="29"/>
      <c r="U571" s="29"/>
      <c r="V571" s="29"/>
      <c r="W571" s="29"/>
      <c r="X571" s="29"/>
      <c r="Y571" s="29"/>
      <c r="Z571" s="29"/>
      <c r="AA571" s="29"/>
      <c r="AB571" s="29"/>
      <c r="AC571" s="29"/>
      <c r="AD571" s="29"/>
      <c r="AE571" s="29"/>
      <c r="AF571" s="29"/>
    </row>
    <row r="572" spans="2:32">
      <c r="B572" s="29"/>
      <c r="C572" s="29"/>
      <c r="D572" s="29"/>
      <c r="E572" s="29"/>
      <c r="F572" s="29"/>
      <c r="G572" s="29"/>
      <c r="H572" s="29"/>
      <c r="I572" s="29"/>
      <c r="J572" s="29"/>
      <c r="K572" s="29"/>
      <c r="L572" s="29"/>
      <c r="M572" s="29"/>
      <c r="N572" s="29"/>
      <c r="O572" s="29"/>
      <c r="P572" s="29"/>
      <c r="Q572" s="29"/>
      <c r="R572" s="29"/>
      <c r="S572" s="29"/>
      <c r="T572" s="29"/>
      <c r="U572" s="29"/>
      <c r="V572" s="29"/>
      <c r="W572" s="29"/>
      <c r="X572" s="29"/>
      <c r="Y572" s="29"/>
      <c r="Z572" s="29"/>
      <c r="AA572" s="29"/>
      <c r="AB572" s="29"/>
      <c r="AC572" s="29"/>
      <c r="AD572" s="29"/>
      <c r="AE572" s="29"/>
      <c r="AF572" s="29"/>
    </row>
    <row r="573" spans="2:32">
      <c r="B573" s="29"/>
      <c r="C573" s="29"/>
      <c r="D573" s="29"/>
      <c r="E573" s="29"/>
      <c r="F573" s="29"/>
      <c r="G573" s="29"/>
      <c r="H573" s="29"/>
      <c r="I573" s="29"/>
      <c r="J573" s="29"/>
      <c r="K573" s="29"/>
      <c r="L573" s="29"/>
      <c r="M573" s="29"/>
      <c r="N573" s="29"/>
      <c r="O573" s="29"/>
      <c r="P573" s="29"/>
      <c r="Q573" s="29"/>
      <c r="R573" s="29"/>
      <c r="S573" s="29"/>
      <c r="T573" s="29"/>
      <c r="U573" s="29"/>
      <c r="V573" s="29"/>
      <c r="W573" s="29"/>
      <c r="X573" s="29"/>
      <c r="Y573" s="29"/>
      <c r="Z573" s="29"/>
      <c r="AA573" s="29"/>
      <c r="AB573" s="29"/>
      <c r="AC573" s="29"/>
      <c r="AD573" s="29"/>
      <c r="AE573" s="29"/>
      <c r="AF573" s="29"/>
    </row>
    <row r="574" spans="2:32">
      <c r="B574" s="29"/>
      <c r="C574" s="29"/>
      <c r="D574" s="29"/>
      <c r="E574" s="29"/>
      <c r="F574" s="29"/>
      <c r="G574" s="29"/>
      <c r="H574" s="29"/>
      <c r="I574" s="29"/>
      <c r="J574" s="29"/>
      <c r="K574" s="29"/>
      <c r="L574" s="29"/>
      <c r="M574" s="29"/>
      <c r="N574" s="29"/>
      <c r="O574" s="29"/>
      <c r="P574" s="29"/>
      <c r="Q574" s="29"/>
      <c r="R574" s="29"/>
      <c r="S574" s="29"/>
      <c r="T574" s="29"/>
      <c r="U574" s="29"/>
      <c r="V574" s="29"/>
      <c r="W574" s="29"/>
      <c r="X574" s="29"/>
      <c r="Y574" s="29"/>
      <c r="Z574" s="29"/>
      <c r="AA574" s="29"/>
      <c r="AB574" s="29"/>
      <c r="AC574" s="29"/>
      <c r="AD574" s="29"/>
      <c r="AE574" s="29"/>
      <c r="AF574" s="29"/>
    </row>
    <row r="575" spans="2:32">
      <c r="B575" s="29"/>
      <c r="C575" s="29"/>
      <c r="D575" s="29"/>
      <c r="E575" s="29"/>
      <c r="F575" s="29"/>
      <c r="G575" s="29"/>
      <c r="H575" s="29"/>
      <c r="I575" s="29"/>
      <c r="J575" s="29"/>
      <c r="K575" s="29"/>
      <c r="L575" s="29"/>
      <c r="M575" s="29"/>
      <c r="N575" s="29"/>
      <c r="O575" s="29"/>
      <c r="P575" s="29"/>
      <c r="Q575" s="29"/>
      <c r="R575" s="29"/>
      <c r="S575" s="29"/>
      <c r="T575" s="29"/>
      <c r="U575" s="29"/>
      <c r="V575" s="29"/>
      <c r="W575" s="29"/>
      <c r="X575" s="29"/>
      <c r="Y575" s="29"/>
      <c r="Z575" s="29"/>
      <c r="AA575" s="29"/>
      <c r="AB575" s="29"/>
      <c r="AC575" s="29"/>
      <c r="AD575" s="29"/>
      <c r="AE575" s="29"/>
      <c r="AF575" s="29"/>
    </row>
    <row r="576" spans="2:32">
      <c r="B576" s="29"/>
      <c r="C576" s="29"/>
      <c r="D576" s="29"/>
      <c r="E576" s="29"/>
      <c r="F576" s="29"/>
      <c r="G576" s="29"/>
      <c r="H576" s="29"/>
      <c r="I576" s="29"/>
      <c r="J576" s="29"/>
      <c r="K576" s="29"/>
      <c r="L576" s="29"/>
      <c r="M576" s="29"/>
      <c r="N576" s="29"/>
      <c r="O576" s="29"/>
      <c r="P576" s="29"/>
      <c r="Q576" s="29"/>
      <c r="R576" s="29"/>
      <c r="S576" s="29"/>
      <c r="T576" s="29"/>
      <c r="U576" s="29"/>
      <c r="V576" s="29"/>
      <c r="W576" s="29"/>
      <c r="X576" s="29"/>
      <c r="Y576" s="29"/>
      <c r="Z576" s="29"/>
      <c r="AA576" s="29"/>
      <c r="AB576" s="29"/>
      <c r="AC576" s="29"/>
      <c r="AD576" s="29"/>
      <c r="AE576" s="29"/>
      <c r="AF576" s="29"/>
    </row>
    <row r="657" spans="2:32">
      <c r="B657" s="29"/>
      <c r="C657" s="29"/>
      <c r="D657" s="29"/>
      <c r="E657" s="29"/>
      <c r="F657" s="29"/>
      <c r="G657" s="29"/>
      <c r="H657" s="29"/>
      <c r="I657" s="29"/>
      <c r="J657" s="29"/>
      <c r="K657" s="29"/>
      <c r="L657" s="29"/>
      <c r="M657" s="29"/>
      <c r="N657" s="29"/>
      <c r="O657" s="29"/>
      <c r="P657" s="29"/>
      <c r="Q657" s="29"/>
      <c r="R657" s="29"/>
      <c r="S657" s="29"/>
      <c r="T657" s="29"/>
      <c r="U657" s="29"/>
      <c r="V657" s="29"/>
      <c r="W657" s="29"/>
      <c r="X657" s="29"/>
      <c r="Y657" s="29"/>
      <c r="Z657" s="29"/>
      <c r="AA657" s="29"/>
      <c r="AB657" s="29"/>
      <c r="AC657" s="29"/>
      <c r="AD657" s="29"/>
      <c r="AE657" s="29"/>
      <c r="AF657" s="29"/>
    </row>
    <row r="658" spans="2:32">
      <c r="B658" s="29"/>
      <c r="C658" s="29"/>
      <c r="D658" s="29"/>
      <c r="E658" s="29"/>
      <c r="F658" s="29"/>
      <c r="G658" s="29"/>
      <c r="H658" s="29"/>
      <c r="I658" s="29"/>
      <c r="J658" s="29"/>
      <c r="K658" s="29"/>
      <c r="L658" s="29"/>
      <c r="M658" s="29"/>
      <c r="N658" s="29"/>
      <c r="O658" s="29"/>
      <c r="P658" s="29"/>
      <c r="Q658" s="29"/>
      <c r="R658" s="29"/>
      <c r="S658" s="29"/>
      <c r="T658" s="29"/>
      <c r="U658" s="29"/>
      <c r="V658" s="29"/>
      <c r="W658" s="29"/>
      <c r="X658" s="29"/>
      <c r="Y658" s="29"/>
      <c r="Z658" s="29"/>
      <c r="AA658" s="29"/>
      <c r="AB658" s="29"/>
      <c r="AC658" s="29"/>
      <c r="AD658" s="29"/>
      <c r="AE658" s="29"/>
      <c r="AF658" s="29"/>
    </row>
    <row r="660" spans="2:32">
      <c r="B660" s="29"/>
      <c r="C660" s="29"/>
      <c r="D660" s="29"/>
      <c r="E660" s="29"/>
      <c r="F660" s="29"/>
      <c r="G660" s="29"/>
      <c r="H660" s="29"/>
      <c r="I660" s="29"/>
      <c r="J660" s="29"/>
      <c r="K660" s="29"/>
      <c r="L660" s="29"/>
      <c r="M660" s="29"/>
      <c r="N660" s="29"/>
      <c r="O660" s="29"/>
      <c r="P660" s="29"/>
      <c r="Q660" s="29"/>
      <c r="R660" s="29"/>
      <c r="S660" s="29"/>
      <c r="T660" s="29"/>
      <c r="U660" s="29"/>
      <c r="V660" s="29"/>
      <c r="W660" s="29"/>
      <c r="X660" s="29"/>
      <c r="Y660" s="29"/>
      <c r="Z660" s="29"/>
      <c r="AA660" s="29"/>
      <c r="AB660" s="29"/>
      <c r="AC660" s="29"/>
      <c r="AD660" s="29"/>
      <c r="AE660" s="29"/>
      <c r="AF660" s="29"/>
    </row>
    <row r="662" spans="2:32">
      <c r="B662" s="29"/>
      <c r="C662" s="29"/>
      <c r="D662" s="29"/>
      <c r="E662" s="29"/>
      <c r="F662" s="29"/>
      <c r="G662" s="29"/>
      <c r="H662" s="29"/>
      <c r="I662" s="29"/>
      <c r="J662" s="29"/>
      <c r="K662" s="29"/>
      <c r="L662" s="29"/>
      <c r="M662" s="29"/>
      <c r="N662" s="29"/>
      <c r="O662" s="29"/>
      <c r="P662" s="29"/>
      <c r="Q662" s="29"/>
      <c r="R662" s="29"/>
      <c r="S662" s="29"/>
      <c r="T662" s="29"/>
      <c r="U662" s="29"/>
      <c r="V662" s="29"/>
      <c r="W662" s="29"/>
      <c r="X662" s="29"/>
      <c r="Y662" s="29"/>
      <c r="Z662" s="29"/>
      <c r="AA662" s="29"/>
      <c r="AB662" s="29"/>
      <c r="AC662" s="29"/>
      <c r="AD662" s="29"/>
      <c r="AE662" s="29"/>
      <c r="AF662" s="29"/>
    </row>
    <row r="663" spans="2:32">
      <c r="B663" s="289"/>
      <c r="C663" s="289"/>
      <c r="D663" s="289"/>
      <c r="E663" s="289"/>
      <c r="F663" s="289"/>
      <c r="G663" s="289"/>
      <c r="H663" s="289"/>
      <c r="I663" s="289"/>
      <c r="J663" s="289"/>
      <c r="K663" s="289"/>
      <c r="L663" s="289"/>
      <c r="M663" s="289"/>
      <c r="N663" s="289"/>
      <c r="O663" s="289"/>
      <c r="P663" s="289"/>
      <c r="Q663" s="289"/>
      <c r="R663" s="289"/>
      <c r="S663" s="289"/>
      <c r="T663" s="289"/>
      <c r="U663" s="289"/>
      <c r="V663" s="289"/>
      <c r="W663" s="289"/>
      <c r="X663" s="289"/>
      <c r="Y663" s="289"/>
      <c r="Z663" s="289"/>
      <c r="AA663" s="289"/>
      <c r="AB663" s="289"/>
      <c r="AC663" s="289"/>
      <c r="AD663" s="289"/>
      <c r="AE663" s="289"/>
      <c r="AF663" s="289"/>
    </row>
    <row r="669" spans="2:32">
      <c r="B669" s="29"/>
      <c r="C669" s="29"/>
      <c r="D669" s="29"/>
      <c r="E669" s="29"/>
      <c r="F669" s="29"/>
      <c r="G669" s="29"/>
      <c r="H669" s="29"/>
      <c r="I669" s="29"/>
      <c r="J669" s="29"/>
      <c r="K669" s="29"/>
      <c r="L669" s="29"/>
      <c r="M669" s="29"/>
      <c r="N669" s="29"/>
      <c r="O669" s="29"/>
      <c r="P669" s="29"/>
      <c r="Q669" s="29"/>
      <c r="R669" s="29"/>
      <c r="S669" s="29"/>
      <c r="T669" s="29"/>
      <c r="U669" s="29"/>
      <c r="V669" s="29"/>
      <c r="W669" s="29"/>
      <c r="X669" s="29"/>
      <c r="Y669" s="29"/>
      <c r="Z669" s="29"/>
      <c r="AA669" s="29"/>
      <c r="AB669" s="29"/>
      <c r="AC669" s="29"/>
      <c r="AD669" s="29"/>
      <c r="AE669" s="29"/>
      <c r="AF669" s="29"/>
    </row>
    <row r="670" spans="2:32">
      <c r="B670" s="29"/>
      <c r="C670" s="29"/>
      <c r="D670" s="29"/>
      <c r="E670" s="29"/>
      <c r="F670" s="29"/>
      <c r="G670" s="29"/>
      <c r="H670" s="29"/>
      <c r="I670" s="29"/>
      <c r="J670" s="29"/>
      <c r="K670" s="29"/>
      <c r="L670" s="29"/>
      <c r="M670" s="29"/>
      <c r="N670" s="29"/>
      <c r="O670" s="29"/>
      <c r="P670" s="29"/>
      <c r="Q670" s="29"/>
      <c r="R670" s="29"/>
      <c r="S670" s="29"/>
      <c r="T670" s="29"/>
      <c r="U670" s="29"/>
      <c r="V670" s="29"/>
      <c r="W670" s="29"/>
      <c r="X670" s="29"/>
      <c r="Y670" s="29"/>
      <c r="Z670" s="29"/>
      <c r="AA670" s="29"/>
      <c r="AB670" s="29"/>
      <c r="AC670" s="29"/>
      <c r="AD670" s="29"/>
      <c r="AE670" s="29"/>
      <c r="AF670" s="29"/>
    </row>
    <row r="671" spans="2:32">
      <c r="B671" s="29"/>
      <c r="C671" s="29"/>
      <c r="D671" s="29"/>
      <c r="E671" s="29"/>
      <c r="F671" s="29"/>
      <c r="G671" s="29"/>
      <c r="H671" s="29"/>
      <c r="I671" s="29"/>
      <c r="J671" s="29"/>
      <c r="K671" s="29"/>
      <c r="L671" s="29"/>
      <c r="M671" s="29"/>
      <c r="N671" s="29"/>
      <c r="O671" s="29"/>
      <c r="P671" s="29"/>
      <c r="Q671" s="29"/>
      <c r="R671" s="29"/>
      <c r="S671" s="29"/>
      <c r="T671" s="29"/>
      <c r="U671" s="29"/>
      <c r="V671" s="29"/>
      <c r="W671" s="29"/>
      <c r="X671" s="29"/>
      <c r="Y671" s="29"/>
      <c r="Z671" s="29"/>
      <c r="AA671" s="29"/>
      <c r="AB671" s="29"/>
      <c r="AC671" s="29"/>
      <c r="AD671" s="29"/>
      <c r="AE671" s="29"/>
      <c r="AF671" s="29"/>
    </row>
    <row r="672" spans="2:32">
      <c r="B672" s="29"/>
      <c r="C672" s="29"/>
      <c r="D672" s="29"/>
      <c r="E672" s="29"/>
      <c r="F672" s="29"/>
      <c r="G672" s="29"/>
      <c r="H672" s="29"/>
      <c r="I672" s="29"/>
      <c r="J672" s="29"/>
      <c r="K672" s="29"/>
      <c r="L672" s="29"/>
      <c r="M672" s="29"/>
      <c r="N672" s="29"/>
      <c r="O672" s="29"/>
      <c r="P672" s="29"/>
      <c r="Q672" s="29"/>
      <c r="R672" s="29"/>
      <c r="S672" s="29"/>
      <c r="T672" s="29"/>
      <c r="U672" s="29"/>
      <c r="V672" s="29"/>
      <c r="W672" s="29"/>
      <c r="X672" s="29"/>
      <c r="Y672" s="29"/>
      <c r="Z672" s="29"/>
      <c r="AA672" s="29"/>
      <c r="AB672" s="29"/>
      <c r="AC672" s="29"/>
      <c r="AD672" s="29"/>
      <c r="AE672" s="29"/>
      <c r="AF672" s="29"/>
    </row>
    <row r="723" spans="2:32">
      <c r="B723" s="29"/>
      <c r="C723" s="29"/>
      <c r="D723" s="29"/>
      <c r="E723" s="29"/>
      <c r="F723" s="29"/>
      <c r="G723" s="29"/>
      <c r="H723" s="29"/>
      <c r="I723" s="29"/>
      <c r="J723" s="29"/>
      <c r="K723" s="29"/>
      <c r="L723" s="29"/>
      <c r="M723" s="29"/>
      <c r="N723" s="29"/>
      <c r="O723" s="29"/>
      <c r="P723" s="29"/>
      <c r="Q723" s="29"/>
      <c r="R723" s="29"/>
      <c r="S723" s="29"/>
      <c r="T723" s="29"/>
      <c r="U723" s="29"/>
      <c r="V723" s="29"/>
      <c r="W723" s="29"/>
      <c r="X723" s="29"/>
      <c r="Y723" s="29"/>
      <c r="Z723" s="29"/>
      <c r="AA723" s="29"/>
      <c r="AB723" s="29"/>
      <c r="AC723" s="29"/>
      <c r="AD723" s="29"/>
      <c r="AE723" s="29"/>
      <c r="AF723" s="29"/>
    </row>
    <row r="728" spans="2:32">
      <c r="B728" s="29"/>
      <c r="C728" s="29"/>
      <c r="D728" s="29"/>
      <c r="E728" s="29"/>
      <c r="F728" s="29"/>
      <c r="G728" s="29"/>
      <c r="H728" s="29"/>
      <c r="I728" s="29"/>
      <c r="J728" s="29"/>
      <c r="K728" s="29"/>
      <c r="L728" s="29"/>
      <c r="M728" s="29"/>
      <c r="N728" s="29"/>
      <c r="O728" s="29"/>
      <c r="P728" s="29"/>
      <c r="Q728" s="29"/>
      <c r="R728" s="29"/>
      <c r="S728" s="29"/>
      <c r="T728" s="29"/>
      <c r="U728" s="29"/>
      <c r="V728" s="29"/>
      <c r="W728" s="29"/>
      <c r="X728" s="29"/>
      <c r="Y728" s="29"/>
      <c r="Z728" s="29"/>
      <c r="AA728" s="29"/>
      <c r="AB728" s="29"/>
      <c r="AC728" s="29"/>
      <c r="AD728" s="29"/>
      <c r="AE728" s="29"/>
      <c r="AF728" s="29"/>
    </row>
    <row r="734" spans="2:32">
      <c r="B734" s="29"/>
      <c r="C734" s="29"/>
      <c r="D734" s="29"/>
      <c r="E734" s="29"/>
      <c r="F734" s="29"/>
      <c r="G734" s="29"/>
      <c r="H734" s="29"/>
      <c r="I734" s="29"/>
      <c r="J734" s="29"/>
      <c r="K734" s="29"/>
      <c r="L734" s="29"/>
      <c r="M734" s="29"/>
      <c r="N734" s="29"/>
      <c r="O734" s="29"/>
      <c r="P734" s="29"/>
      <c r="Q734" s="29"/>
      <c r="R734" s="29"/>
      <c r="S734" s="29"/>
      <c r="T734" s="29"/>
      <c r="U734" s="29"/>
      <c r="V734" s="29"/>
      <c r="W734" s="29"/>
      <c r="X734" s="29"/>
      <c r="Y734" s="29"/>
      <c r="Z734" s="29"/>
      <c r="AA734" s="29"/>
      <c r="AB734" s="29"/>
      <c r="AC734" s="29"/>
      <c r="AD734" s="29"/>
      <c r="AE734" s="29"/>
      <c r="AF734" s="29"/>
    </row>
    <row r="735" spans="2:32">
      <c r="B735" s="289"/>
      <c r="C735" s="289"/>
      <c r="D735" s="289"/>
      <c r="E735" s="289"/>
      <c r="F735" s="289"/>
      <c r="G735" s="289"/>
      <c r="H735" s="289"/>
      <c r="I735" s="289"/>
      <c r="J735" s="289"/>
      <c r="K735" s="289"/>
      <c r="L735" s="289"/>
      <c r="M735" s="289"/>
      <c r="N735" s="289"/>
      <c r="O735" s="289"/>
      <c r="P735" s="289"/>
      <c r="Q735" s="289"/>
      <c r="R735" s="289"/>
      <c r="S735" s="289"/>
      <c r="T735" s="289"/>
      <c r="U735" s="289"/>
      <c r="V735" s="289"/>
      <c r="W735" s="289"/>
      <c r="X735" s="289"/>
      <c r="Y735" s="289"/>
      <c r="Z735" s="289"/>
      <c r="AA735" s="289"/>
      <c r="AB735" s="289"/>
      <c r="AC735" s="289"/>
      <c r="AD735" s="289"/>
      <c r="AE735" s="289"/>
      <c r="AF735" s="289"/>
    </row>
    <row r="906" spans="2:32">
      <c r="B906" s="29"/>
      <c r="C906" s="29"/>
      <c r="D906" s="29"/>
      <c r="E906" s="29"/>
      <c r="F906" s="29"/>
      <c r="G906" s="29"/>
      <c r="H906" s="29"/>
      <c r="I906" s="29"/>
      <c r="J906" s="29"/>
      <c r="K906" s="29"/>
      <c r="L906" s="29"/>
      <c r="M906" s="29"/>
      <c r="N906" s="29"/>
      <c r="O906" s="29"/>
      <c r="P906" s="29"/>
      <c r="Q906" s="29"/>
      <c r="R906" s="29"/>
      <c r="S906" s="29"/>
      <c r="T906" s="29"/>
      <c r="U906" s="29"/>
      <c r="V906" s="29"/>
      <c r="W906" s="29"/>
      <c r="X906" s="29"/>
      <c r="Y906" s="29"/>
      <c r="Z906" s="29"/>
      <c r="AA906" s="29"/>
      <c r="AB906" s="29"/>
      <c r="AC906" s="29"/>
      <c r="AD906" s="29"/>
      <c r="AE906" s="29"/>
      <c r="AF906" s="29"/>
    </row>
    <row r="910" spans="2:32">
      <c r="B910" s="29"/>
      <c r="C910" s="29"/>
      <c r="D910" s="29"/>
      <c r="E910" s="29"/>
      <c r="F910" s="29"/>
      <c r="G910" s="29"/>
      <c r="H910" s="29"/>
      <c r="I910" s="29"/>
      <c r="J910" s="29"/>
      <c r="K910" s="29"/>
      <c r="L910" s="29"/>
      <c r="M910" s="29"/>
      <c r="N910" s="29"/>
      <c r="O910" s="29"/>
      <c r="P910" s="29"/>
      <c r="Q910" s="29"/>
      <c r="R910" s="29"/>
      <c r="S910" s="29"/>
      <c r="T910" s="29"/>
      <c r="U910" s="29"/>
      <c r="V910" s="29"/>
      <c r="W910" s="29"/>
      <c r="X910" s="29"/>
      <c r="Y910" s="29"/>
      <c r="Z910" s="29"/>
      <c r="AA910" s="29"/>
      <c r="AB910" s="29"/>
      <c r="AC910" s="29"/>
      <c r="AD910" s="29"/>
      <c r="AE910" s="29"/>
      <c r="AF910" s="29"/>
    </row>
    <row r="911" spans="2:32">
      <c r="B911" s="289"/>
      <c r="C911" s="289"/>
      <c r="D911" s="289"/>
      <c r="E911" s="289"/>
      <c r="F911" s="289"/>
      <c r="G911" s="289"/>
      <c r="H911" s="289"/>
      <c r="I911" s="289"/>
      <c r="J911" s="289"/>
      <c r="K911" s="289"/>
      <c r="L911" s="289"/>
      <c r="M911" s="289"/>
      <c r="N911" s="289"/>
      <c r="O911" s="289"/>
      <c r="P911" s="289"/>
      <c r="Q911" s="289"/>
      <c r="R911" s="289"/>
      <c r="S911" s="289"/>
      <c r="T911" s="289"/>
      <c r="U911" s="289"/>
      <c r="V911" s="289"/>
      <c r="W911" s="289"/>
      <c r="X911" s="289"/>
      <c r="Y911" s="289"/>
      <c r="Z911" s="289"/>
      <c r="AA911" s="289"/>
      <c r="AB911" s="289"/>
      <c r="AC911" s="289"/>
      <c r="AD911" s="289"/>
      <c r="AE911" s="289"/>
      <c r="AF911" s="289"/>
    </row>
    <row r="993" spans="2:32">
      <c r="B993" s="29"/>
      <c r="C993" s="29"/>
      <c r="D993" s="29"/>
      <c r="E993" s="29"/>
      <c r="F993" s="29"/>
      <c r="G993" s="29"/>
      <c r="H993" s="29"/>
      <c r="I993" s="29"/>
      <c r="J993" s="29"/>
      <c r="K993" s="29"/>
      <c r="L993" s="29"/>
      <c r="M993" s="29"/>
      <c r="N993" s="29"/>
      <c r="O993" s="29"/>
      <c r="P993" s="29"/>
      <c r="Q993" s="29"/>
      <c r="R993" s="29"/>
      <c r="S993" s="29"/>
      <c r="T993" s="29"/>
      <c r="U993" s="29"/>
      <c r="V993" s="29"/>
      <c r="W993" s="29"/>
      <c r="X993" s="29"/>
      <c r="Y993" s="29"/>
      <c r="Z993" s="29"/>
      <c r="AA993" s="29"/>
      <c r="AB993" s="29"/>
      <c r="AC993" s="29"/>
      <c r="AD993" s="29"/>
      <c r="AE993" s="29"/>
      <c r="AF993" s="29"/>
    </row>
    <row r="994" spans="2:32">
      <c r="B994" s="289"/>
      <c r="C994" s="289"/>
      <c r="D994" s="289"/>
      <c r="E994" s="289"/>
      <c r="F994" s="289"/>
      <c r="G994" s="289"/>
      <c r="H994" s="289"/>
      <c r="I994" s="289"/>
      <c r="J994" s="289"/>
      <c r="K994" s="289"/>
      <c r="L994" s="289"/>
      <c r="M994" s="289"/>
      <c r="N994" s="289"/>
      <c r="O994" s="289"/>
      <c r="P994" s="289"/>
      <c r="Q994" s="289"/>
      <c r="R994" s="289"/>
      <c r="S994" s="289"/>
      <c r="T994" s="289"/>
      <c r="U994" s="289"/>
      <c r="V994" s="289"/>
      <c r="W994" s="289"/>
      <c r="X994" s="289"/>
      <c r="Y994" s="289"/>
      <c r="Z994" s="289"/>
      <c r="AA994" s="289"/>
      <c r="AB994" s="289"/>
      <c r="AC994" s="289"/>
      <c r="AD994" s="289"/>
      <c r="AE994" s="289"/>
      <c r="AF994" s="289"/>
    </row>
    <row r="1001" spans="2:32">
      <c r="B1001" s="29"/>
      <c r="C1001" s="29"/>
      <c r="D1001" s="29"/>
      <c r="E1001" s="29"/>
      <c r="F1001" s="29"/>
      <c r="G1001" s="29"/>
      <c r="H1001" s="29"/>
      <c r="I1001" s="29"/>
      <c r="J1001" s="29"/>
      <c r="K1001" s="29"/>
      <c r="L1001" s="29"/>
      <c r="M1001" s="29"/>
      <c r="N1001" s="29"/>
      <c r="O1001" s="29"/>
      <c r="P1001" s="29"/>
      <c r="Q1001" s="29"/>
      <c r="R1001" s="29"/>
      <c r="S1001" s="29"/>
      <c r="T1001" s="29"/>
      <c r="U1001" s="29"/>
      <c r="V1001" s="29"/>
      <c r="W1001" s="29"/>
      <c r="X1001" s="29"/>
      <c r="Y1001" s="29"/>
      <c r="Z1001" s="29"/>
      <c r="AA1001" s="29"/>
      <c r="AB1001" s="29"/>
      <c r="AC1001" s="29"/>
      <c r="AD1001" s="29"/>
      <c r="AE1001" s="29"/>
      <c r="AF1001" s="29"/>
    </row>
    <row r="1002" spans="2:32">
      <c r="B1002" s="29"/>
      <c r="C1002" s="29"/>
      <c r="D1002" s="29"/>
      <c r="E1002" s="29"/>
      <c r="F1002" s="29"/>
      <c r="G1002" s="29"/>
      <c r="H1002" s="29"/>
      <c r="I1002" s="29"/>
      <c r="J1002" s="29"/>
      <c r="K1002" s="29"/>
      <c r="L1002" s="29"/>
      <c r="M1002" s="29"/>
      <c r="N1002" s="29"/>
      <c r="O1002" s="29"/>
      <c r="P1002" s="29"/>
      <c r="Q1002" s="29"/>
      <c r="R1002" s="29"/>
      <c r="S1002" s="29"/>
      <c r="T1002" s="29"/>
      <c r="U1002" s="29"/>
      <c r="V1002" s="29"/>
      <c r="W1002" s="29"/>
      <c r="X1002" s="29"/>
      <c r="Y1002" s="29"/>
      <c r="Z1002" s="29"/>
      <c r="AA1002" s="29"/>
      <c r="AB1002" s="29"/>
      <c r="AC1002" s="29"/>
      <c r="AD1002" s="29"/>
      <c r="AE1002" s="29"/>
      <c r="AF1002" s="29"/>
    </row>
    <row r="1003" spans="2:32">
      <c r="B1003" s="29"/>
      <c r="C1003" s="29"/>
      <c r="D1003" s="29"/>
      <c r="E1003" s="29"/>
      <c r="F1003" s="29"/>
      <c r="G1003" s="29"/>
      <c r="H1003" s="29"/>
      <c r="I1003" s="29"/>
      <c r="J1003" s="29"/>
      <c r="K1003" s="29"/>
      <c r="L1003" s="29"/>
      <c r="M1003" s="29"/>
      <c r="N1003" s="29"/>
      <c r="O1003" s="29"/>
      <c r="P1003" s="29"/>
      <c r="Q1003" s="29"/>
      <c r="R1003" s="29"/>
      <c r="S1003" s="29"/>
      <c r="T1003" s="29"/>
      <c r="U1003" s="29"/>
      <c r="V1003" s="29"/>
      <c r="W1003" s="29"/>
      <c r="X1003" s="29"/>
      <c r="Y1003" s="29"/>
      <c r="Z1003" s="29"/>
      <c r="AA1003" s="29"/>
      <c r="AB1003" s="29"/>
      <c r="AC1003" s="29"/>
      <c r="AD1003" s="29"/>
      <c r="AE1003" s="29"/>
      <c r="AF1003" s="29"/>
    </row>
    <row r="1004" spans="2:32">
      <c r="B1004" s="29"/>
      <c r="C1004" s="29"/>
      <c r="D1004" s="29"/>
      <c r="E1004" s="29"/>
      <c r="F1004" s="29"/>
      <c r="G1004" s="29"/>
      <c r="H1004" s="29"/>
      <c r="I1004" s="29"/>
      <c r="J1004" s="29"/>
      <c r="K1004" s="29"/>
      <c r="L1004" s="29"/>
      <c r="M1004" s="29"/>
      <c r="N1004" s="29"/>
      <c r="O1004" s="29"/>
      <c r="P1004" s="29"/>
      <c r="Q1004" s="29"/>
      <c r="R1004" s="29"/>
      <c r="S1004" s="29"/>
      <c r="T1004" s="29"/>
      <c r="U1004" s="29"/>
      <c r="V1004" s="29"/>
      <c r="W1004" s="29"/>
      <c r="X1004" s="29"/>
      <c r="Y1004" s="29"/>
      <c r="Z1004" s="29"/>
      <c r="AA1004" s="29"/>
      <c r="AB1004" s="29"/>
      <c r="AC1004" s="29"/>
      <c r="AD1004" s="29"/>
      <c r="AE1004" s="29"/>
      <c r="AF1004" s="29"/>
    </row>
    <row r="1005" spans="2:32">
      <c r="B1005" s="29"/>
      <c r="C1005" s="29"/>
      <c r="D1005" s="29"/>
      <c r="E1005" s="29"/>
      <c r="F1005" s="29"/>
      <c r="G1005" s="29"/>
      <c r="H1005" s="29"/>
      <c r="I1005" s="29"/>
      <c r="J1005" s="29"/>
      <c r="K1005" s="29"/>
      <c r="L1005" s="29"/>
      <c r="M1005" s="29"/>
      <c r="N1005" s="29"/>
      <c r="O1005" s="29"/>
      <c r="P1005" s="29"/>
      <c r="Q1005" s="29"/>
      <c r="R1005" s="29"/>
      <c r="S1005" s="29"/>
      <c r="T1005" s="29"/>
      <c r="U1005" s="29"/>
      <c r="V1005" s="29"/>
      <c r="W1005" s="29"/>
      <c r="X1005" s="29"/>
      <c r="Y1005" s="29"/>
      <c r="Z1005" s="29"/>
      <c r="AA1005" s="29"/>
      <c r="AB1005" s="29"/>
      <c r="AC1005" s="29"/>
      <c r="AD1005" s="29"/>
      <c r="AE1005" s="29"/>
      <c r="AF1005" s="29"/>
    </row>
    <row r="1006" spans="2:32">
      <c r="B1006" s="29"/>
      <c r="C1006" s="29"/>
      <c r="D1006" s="29"/>
      <c r="E1006" s="29"/>
      <c r="F1006" s="29"/>
      <c r="G1006" s="29"/>
      <c r="H1006" s="29"/>
      <c r="I1006" s="29"/>
      <c r="J1006" s="29"/>
      <c r="K1006" s="29"/>
      <c r="L1006" s="29"/>
      <c r="M1006" s="29"/>
      <c r="N1006" s="29"/>
      <c r="O1006" s="29"/>
      <c r="P1006" s="29"/>
      <c r="Q1006" s="29"/>
      <c r="R1006" s="29"/>
      <c r="S1006" s="29"/>
      <c r="T1006" s="29"/>
      <c r="U1006" s="29"/>
      <c r="V1006" s="29"/>
      <c r="W1006" s="29"/>
      <c r="X1006" s="29"/>
      <c r="Y1006" s="29"/>
      <c r="Z1006" s="29"/>
      <c r="AA1006" s="29"/>
      <c r="AB1006" s="29"/>
      <c r="AC1006" s="29"/>
      <c r="AD1006" s="29"/>
      <c r="AE1006" s="29"/>
      <c r="AF1006" s="29"/>
    </row>
    <row r="1007" spans="2:32">
      <c r="B1007" s="29"/>
      <c r="C1007" s="29"/>
      <c r="D1007" s="29"/>
      <c r="E1007" s="29"/>
      <c r="F1007" s="29"/>
      <c r="G1007" s="29"/>
      <c r="H1007" s="29"/>
      <c r="I1007" s="29"/>
      <c r="J1007" s="29"/>
      <c r="K1007" s="29"/>
      <c r="L1007" s="29"/>
      <c r="M1007" s="29"/>
      <c r="N1007" s="29"/>
      <c r="O1007" s="29"/>
      <c r="P1007" s="29"/>
      <c r="Q1007" s="29"/>
      <c r="R1007" s="29"/>
      <c r="S1007" s="29"/>
      <c r="T1007" s="29"/>
      <c r="U1007" s="29"/>
      <c r="V1007" s="29"/>
      <c r="W1007" s="29"/>
      <c r="X1007" s="29"/>
      <c r="Y1007" s="29"/>
      <c r="Z1007" s="29"/>
      <c r="AA1007" s="29"/>
      <c r="AB1007" s="29"/>
      <c r="AC1007" s="29"/>
      <c r="AD1007" s="29"/>
      <c r="AE1007" s="29"/>
      <c r="AF1007" s="29"/>
    </row>
    <row r="1008" spans="2:32">
      <c r="B1008" s="29"/>
      <c r="C1008" s="29"/>
      <c r="D1008" s="29"/>
      <c r="E1008" s="29"/>
      <c r="F1008" s="29"/>
      <c r="G1008" s="29"/>
      <c r="H1008" s="29"/>
      <c r="I1008" s="29"/>
      <c r="J1008" s="29"/>
      <c r="K1008" s="29"/>
      <c r="L1008" s="29"/>
      <c r="M1008" s="29"/>
      <c r="N1008" s="29"/>
      <c r="O1008" s="29"/>
      <c r="P1008" s="29"/>
      <c r="Q1008" s="29"/>
      <c r="R1008" s="29"/>
      <c r="S1008" s="29"/>
      <c r="T1008" s="29"/>
      <c r="U1008" s="29"/>
      <c r="V1008" s="29"/>
      <c r="W1008" s="29"/>
      <c r="X1008" s="29"/>
      <c r="Y1008" s="29"/>
      <c r="Z1008" s="29"/>
      <c r="AA1008" s="29"/>
      <c r="AB1008" s="29"/>
      <c r="AC1008" s="29"/>
      <c r="AD1008" s="29"/>
      <c r="AE1008" s="29"/>
      <c r="AF1008" s="29"/>
    </row>
    <row r="1095" spans="2:32">
      <c r="B1095" s="29"/>
      <c r="C1095" s="29"/>
      <c r="D1095" s="29"/>
      <c r="E1095" s="29"/>
      <c r="F1095" s="29"/>
      <c r="G1095" s="29"/>
      <c r="H1095" s="29"/>
      <c r="I1095" s="29"/>
      <c r="J1095" s="29"/>
      <c r="K1095" s="29"/>
      <c r="L1095" s="29"/>
      <c r="M1095" s="29"/>
      <c r="N1095" s="29"/>
      <c r="O1095" s="29"/>
      <c r="P1095" s="29"/>
      <c r="Q1095" s="29"/>
      <c r="R1095" s="29"/>
      <c r="S1095" s="29"/>
      <c r="T1095" s="29"/>
      <c r="U1095" s="29"/>
      <c r="V1095" s="29"/>
      <c r="W1095" s="29"/>
      <c r="X1095" s="29"/>
      <c r="Y1095" s="29"/>
      <c r="Z1095" s="29"/>
      <c r="AA1095" s="29"/>
      <c r="AB1095" s="29"/>
      <c r="AC1095" s="29"/>
      <c r="AD1095" s="29"/>
      <c r="AE1095" s="29"/>
      <c r="AF1095" s="29"/>
    </row>
    <row r="1096" spans="2:32">
      <c r="B1096" s="289"/>
      <c r="C1096" s="289"/>
      <c r="D1096" s="289"/>
      <c r="E1096" s="289"/>
      <c r="F1096" s="289"/>
      <c r="G1096" s="289"/>
      <c r="H1096" s="289"/>
      <c r="I1096" s="289"/>
      <c r="J1096" s="289"/>
      <c r="K1096" s="289"/>
      <c r="L1096" s="289"/>
      <c r="M1096" s="289"/>
      <c r="N1096" s="289"/>
      <c r="O1096" s="289"/>
      <c r="P1096" s="289"/>
      <c r="Q1096" s="289"/>
      <c r="R1096" s="289"/>
      <c r="S1096" s="289"/>
      <c r="T1096" s="289"/>
      <c r="U1096" s="289"/>
      <c r="V1096" s="289"/>
      <c r="W1096" s="289"/>
      <c r="X1096" s="289"/>
      <c r="Y1096" s="289"/>
      <c r="Z1096" s="289"/>
      <c r="AA1096" s="289"/>
      <c r="AB1096" s="289"/>
      <c r="AC1096" s="289"/>
      <c r="AD1096" s="289"/>
      <c r="AE1096" s="289"/>
      <c r="AF1096" s="289"/>
    </row>
    <row r="1103" spans="2:32">
      <c r="B1103" s="29"/>
      <c r="C1103" s="29"/>
      <c r="D1103" s="29"/>
      <c r="E1103" s="29"/>
      <c r="F1103" s="29"/>
      <c r="G1103" s="29"/>
      <c r="H1103" s="29"/>
      <c r="I1103" s="29"/>
      <c r="J1103" s="29"/>
      <c r="K1103" s="29"/>
      <c r="L1103" s="29"/>
      <c r="M1103" s="29"/>
      <c r="N1103" s="29"/>
      <c r="O1103" s="29"/>
      <c r="P1103" s="29"/>
      <c r="Q1103" s="29"/>
      <c r="R1103" s="29"/>
      <c r="S1103" s="29"/>
      <c r="T1103" s="29"/>
      <c r="U1103" s="29"/>
      <c r="V1103" s="29"/>
      <c r="W1103" s="29"/>
      <c r="X1103" s="29"/>
      <c r="Y1103" s="29"/>
      <c r="Z1103" s="29"/>
      <c r="AA1103" s="29"/>
      <c r="AB1103" s="29"/>
      <c r="AC1103" s="29"/>
      <c r="AD1103" s="29"/>
      <c r="AE1103" s="29"/>
      <c r="AF1103" s="29"/>
    </row>
    <row r="1104" spans="2:32">
      <c r="B1104" s="29"/>
      <c r="C1104" s="29"/>
      <c r="D1104" s="29"/>
      <c r="E1104" s="29"/>
      <c r="F1104" s="29"/>
      <c r="G1104" s="29"/>
      <c r="H1104" s="29"/>
      <c r="I1104" s="29"/>
      <c r="J1104" s="29"/>
      <c r="K1104" s="29"/>
      <c r="L1104" s="29"/>
      <c r="M1104" s="29"/>
      <c r="N1104" s="29"/>
      <c r="O1104" s="29"/>
      <c r="P1104" s="29"/>
      <c r="Q1104" s="29"/>
      <c r="R1104" s="29"/>
      <c r="S1104" s="29"/>
      <c r="T1104" s="29"/>
      <c r="U1104" s="29"/>
      <c r="V1104" s="29"/>
      <c r="W1104" s="29"/>
      <c r="X1104" s="29"/>
      <c r="Y1104" s="29"/>
      <c r="Z1104" s="29"/>
      <c r="AA1104" s="29"/>
      <c r="AB1104" s="29"/>
      <c r="AC1104" s="29"/>
      <c r="AD1104" s="29"/>
      <c r="AE1104" s="29"/>
      <c r="AF1104" s="29"/>
    </row>
    <row r="1193" spans="2:32">
      <c r="B1193" s="29"/>
      <c r="C1193" s="29"/>
      <c r="D1193" s="29"/>
      <c r="E1193" s="29"/>
      <c r="F1193" s="29"/>
      <c r="G1193" s="29"/>
      <c r="H1193" s="29"/>
      <c r="I1193" s="29"/>
      <c r="J1193" s="29"/>
      <c r="K1193" s="29"/>
      <c r="L1193" s="29"/>
      <c r="M1193" s="29"/>
      <c r="N1193" s="29"/>
      <c r="O1193" s="29"/>
      <c r="P1193" s="29"/>
      <c r="Q1193" s="29"/>
      <c r="R1193" s="29"/>
      <c r="S1193" s="29"/>
      <c r="T1193" s="29"/>
      <c r="U1193" s="29"/>
      <c r="V1193" s="29"/>
      <c r="W1193" s="29"/>
      <c r="X1193" s="29"/>
      <c r="Y1193" s="29"/>
      <c r="Z1193" s="29"/>
      <c r="AA1193" s="29"/>
      <c r="AB1193" s="29"/>
      <c r="AC1193" s="29"/>
      <c r="AD1193" s="29"/>
      <c r="AE1193" s="29"/>
      <c r="AF1193" s="29"/>
    </row>
    <row r="1194" spans="2:32">
      <c r="B1194" s="289"/>
      <c r="C1194" s="289"/>
      <c r="D1194" s="289"/>
      <c r="E1194" s="289"/>
      <c r="F1194" s="289"/>
      <c r="G1194" s="289"/>
      <c r="H1194" s="289"/>
      <c r="I1194" s="289"/>
      <c r="J1194" s="289"/>
      <c r="K1194" s="289"/>
      <c r="L1194" s="289"/>
      <c r="M1194" s="289"/>
      <c r="N1194" s="289"/>
      <c r="O1194" s="289"/>
      <c r="P1194" s="289"/>
      <c r="Q1194" s="289"/>
      <c r="R1194" s="289"/>
      <c r="S1194" s="289"/>
      <c r="T1194" s="289"/>
      <c r="U1194" s="289"/>
      <c r="V1194" s="289"/>
      <c r="W1194" s="289"/>
      <c r="X1194" s="289"/>
      <c r="Y1194" s="289"/>
      <c r="Z1194" s="289"/>
      <c r="AA1194" s="289"/>
      <c r="AB1194" s="289"/>
      <c r="AC1194" s="289"/>
      <c r="AD1194" s="289"/>
      <c r="AE1194" s="289"/>
      <c r="AF1194" s="289"/>
    </row>
    <row r="1281" spans="2:32">
      <c r="B1281" s="29"/>
      <c r="C1281" s="29"/>
      <c r="D1281" s="29"/>
      <c r="E1281" s="29"/>
      <c r="F1281" s="29"/>
      <c r="G1281" s="29"/>
      <c r="H1281" s="29"/>
      <c r="I1281" s="29"/>
      <c r="J1281" s="29"/>
      <c r="K1281" s="29"/>
      <c r="L1281" s="29"/>
      <c r="M1281" s="29"/>
      <c r="N1281" s="29"/>
      <c r="O1281" s="29"/>
      <c r="P1281" s="29"/>
      <c r="Q1281" s="29"/>
      <c r="R1281" s="29"/>
      <c r="S1281" s="29"/>
      <c r="T1281" s="29"/>
      <c r="U1281" s="29"/>
      <c r="V1281" s="29"/>
      <c r="W1281" s="29"/>
      <c r="X1281" s="29"/>
      <c r="Y1281" s="29"/>
      <c r="Z1281" s="29"/>
      <c r="AA1281" s="29"/>
      <c r="AB1281" s="29"/>
      <c r="AC1281" s="29"/>
      <c r="AD1281" s="29"/>
      <c r="AE1281" s="29"/>
      <c r="AF1281" s="29"/>
    </row>
    <row r="1293" spans="2:32">
      <c r="B1293" s="29"/>
      <c r="C1293" s="29"/>
      <c r="D1293" s="29"/>
      <c r="E1293" s="29"/>
      <c r="F1293" s="29"/>
      <c r="G1293" s="29"/>
      <c r="H1293" s="29"/>
      <c r="I1293" s="29"/>
      <c r="J1293" s="29"/>
      <c r="K1293" s="29"/>
      <c r="L1293" s="29"/>
      <c r="M1293" s="29"/>
      <c r="N1293" s="29"/>
      <c r="O1293" s="29"/>
      <c r="P1293" s="29"/>
      <c r="Q1293" s="29"/>
      <c r="R1293" s="29"/>
      <c r="S1293" s="29"/>
      <c r="T1293" s="29"/>
      <c r="U1293" s="29"/>
      <c r="V1293" s="29"/>
      <c r="W1293" s="29"/>
      <c r="X1293" s="29"/>
      <c r="Y1293" s="29"/>
      <c r="Z1293" s="29"/>
      <c r="AA1293" s="29"/>
      <c r="AB1293" s="29"/>
      <c r="AC1293" s="29"/>
      <c r="AD1293" s="29"/>
      <c r="AE1293" s="29"/>
      <c r="AF1293" s="29"/>
    </row>
    <row r="1294" spans="2:32">
      <c r="B1294" s="289"/>
      <c r="C1294" s="289"/>
      <c r="D1294" s="289"/>
      <c r="E1294" s="289"/>
      <c r="F1294" s="289"/>
      <c r="G1294" s="289"/>
      <c r="H1294" s="289"/>
      <c r="I1294" s="289"/>
      <c r="J1294" s="289"/>
      <c r="K1294" s="289"/>
      <c r="L1294" s="289"/>
      <c r="M1294" s="289"/>
      <c r="N1294" s="289"/>
      <c r="O1294" s="289"/>
      <c r="P1294" s="289"/>
      <c r="Q1294" s="289"/>
      <c r="R1294" s="289"/>
      <c r="S1294" s="289"/>
      <c r="T1294" s="289"/>
      <c r="U1294" s="289"/>
      <c r="V1294" s="289"/>
      <c r="W1294" s="289"/>
      <c r="X1294" s="289"/>
      <c r="Y1294" s="289"/>
      <c r="Z1294" s="289"/>
      <c r="AA1294" s="289"/>
      <c r="AB1294" s="289"/>
      <c r="AC1294" s="289"/>
      <c r="AD1294" s="289"/>
      <c r="AE1294" s="289"/>
      <c r="AF1294" s="289"/>
    </row>
    <row r="1589" spans="2:32">
      <c r="B1589" s="29"/>
      <c r="C1589" s="29"/>
      <c r="D1589" s="29"/>
      <c r="E1589" s="29"/>
      <c r="F1589" s="29"/>
      <c r="G1589" s="29"/>
      <c r="H1589" s="29"/>
      <c r="I1589" s="29"/>
      <c r="J1589" s="29"/>
      <c r="K1589" s="29"/>
      <c r="L1589" s="29"/>
      <c r="M1589" s="29"/>
      <c r="N1589" s="29"/>
      <c r="O1589" s="29"/>
      <c r="P1589" s="29"/>
      <c r="Q1589" s="29"/>
      <c r="R1589" s="29"/>
      <c r="S1589" s="29"/>
      <c r="T1589" s="29"/>
      <c r="U1589" s="29"/>
      <c r="V1589" s="29"/>
      <c r="W1589" s="29"/>
      <c r="X1589" s="29"/>
      <c r="Y1589" s="29"/>
      <c r="Z1589" s="29"/>
      <c r="AA1589" s="29"/>
      <c r="AB1589" s="29"/>
      <c r="AC1589" s="29"/>
      <c r="AD1589" s="29"/>
      <c r="AE1589" s="29"/>
      <c r="AF1589" s="29"/>
    </row>
    <row r="1590" spans="2:32">
      <c r="B1590" s="289"/>
      <c r="C1590" s="289"/>
      <c r="D1590" s="289"/>
      <c r="E1590" s="289"/>
      <c r="F1590" s="289"/>
      <c r="G1590" s="289"/>
      <c r="H1590" s="289"/>
      <c r="I1590" s="289"/>
      <c r="J1590" s="289"/>
      <c r="K1590" s="289"/>
      <c r="L1590" s="289"/>
      <c r="M1590" s="289"/>
      <c r="N1590" s="289"/>
      <c r="O1590" s="289"/>
      <c r="P1590" s="289"/>
      <c r="Q1590" s="289"/>
      <c r="R1590" s="289"/>
      <c r="S1590" s="289"/>
      <c r="T1590" s="289"/>
      <c r="U1590" s="289"/>
      <c r="V1590" s="289"/>
      <c r="W1590" s="289"/>
      <c r="X1590" s="289"/>
      <c r="Y1590" s="289"/>
      <c r="Z1590" s="289"/>
      <c r="AA1590" s="289"/>
      <c r="AB1590" s="289"/>
      <c r="AC1590" s="289"/>
      <c r="AD1590" s="289"/>
      <c r="AE1590" s="289"/>
      <c r="AF1590" s="289"/>
    </row>
    <row r="1599" spans="2:32">
      <c r="B1599" s="29"/>
      <c r="C1599" s="29"/>
      <c r="D1599" s="29"/>
      <c r="E1599" s="29"/>
      <c r="F1599" s="29"/>
      <c r="G1599" s="29"/>
      <c r="H1599" s="29"/>
      <c r="I1599" s="29"/>
      <c r="J1599" s="29"/>
      <c r="K1599" s="29"/>
      <c r="L1599" s="29"/>
      <c r="M1599" s="29"/>
      <c r="N1599" s="29"/>
      <c r="O1599" s="29"/>
      <c r="P1599" s="29"/>
      <c r="Q1599" s="29"/>
      <c r="R1599" s="29"/>
      <c r="S1599" s="29"/>
      <c r="T1599" s="29"/>
      <c r="U1599" s="29"/>
      <c r="V1599" s="29"/>
      <c r="W1599" s="29"/>
      <c r="X1599" s="29"/>
      <c r="Y1599" s="29"/>
      <c r="Z1599" s="29"/>
      <c r="AA1599" s="29"/>
      <c r="AB1599" s="29"/>
      <c r="AC1599" s="29"/>
      <c r="AD1599" s="29"/>
      <c r="AE1599" s="29"/>
      <c r="AF1599" s="29"/>
    </row>
    <row r="1600" spans="2:32">
      <c r="B1600" s="29"/>
      <c r="C1600" s="29"/>
      <c r="D1600" s="29"/>
      <c r="E1600" s="29"/>
      <c r="F1600" s="29"/>
      <c r="G1600" s="29"/>
      <c r="H1600" s="29"/>
      <c r="I1600" s="29"/>
      <c r="J1600" s="29"/>
      <c r="K1600" s="29"/>
      <c r="L1600" s="29"/>
      <c r="M1600" s="29"/>
      <c r="N1600" s="29"/>
      <c r="O1600" s="29"/>
      <c r="P1600" s="29"/>
      <c r="Q1600" s="29"/>
      <c r="R1600" s="29"/>
      <c r="S1600" s="29"/>
      <c r="T1600" s="29"/>
      <c r="U1600" s="29"/>
      <c r="V1600" s="29"/>
      <c r="W1600" s="29"/>
      <c r="X1600" s="29"/>
      <c r="Y1600" s="29"/>
      <c r="Z1600" s="29"/>
      <c r="AA1600" s="29"/>
      <c r="AB1600" s="29"/>
      <c r="AC1600" s="29"/>
      <c r="AD1600" s="29"/>
      <c r="AE1600" s="29"/>
      <c r="AF1600" s="29"/>
    </row>
    <row r="1812" spans="2:32">
      <c r="B1812" s="29"/>
      <c r="C1812" s="29"/>
      <c r="D1812" s="29"/>
      <c r="E1812" s="29"/>
      <c r="F1812" s="29"/>
      <c r="G1812" s="29"/>
      <c r="H1812" s="29"/>
      <c r="I1812" s="29"/>
      <c r="J1812" s="29"/>
      <c r="K1812" s="29"/>
      <c r="L1812" s="29"/>
      <c r="M1812" s="29"/>
      <c r="N1812" s="29"/>
      <c r="O1812" s="29"/>
      <c r="P1812" s="29"/>
      <c r="Q1812" s="29"/>
      <c r="R1812" s="29"/>
      <c r="S1812" s="29"/>
      <c r="T1812" s="29"/>
      <c r="U1812" s="29"/>
      <c r="V1812" s="29"/>
      <c r="W1812" s="29"/>
      <c r="X1812" s="29"/>
      <c r="Y1812" s="29"/>
      <c r="Z1812" s="29"/>
      <c r="AA1812" s="29"/>
      <c r="AB1812" s="29"/>
      <c r="AC1812" s="29"/>
      <c r="AD1812" s="29"/>
      <c r="AE1812" s="29"/>
      <c r="AF1812" s="29"/>
    </row>
    <row r="1813" spans="2:32">
      <c r="B1813" s="289"/>
      <c r="C1813" s="289"/>
      <c r="D1813" s="289"/>
      <c r="E1813" s="289"/>
      <c r="F1813" s="289"/>
      <c r="G1813" s="289"/>
      <c r="H1813" s="289"/>
      <c r="I1813" s="289"/>
      <c r="J1813" s="289"/>
      <c r="K1813" s="289"/>
      <c r="L1813" s="289"/>
      <c r="M1813" s="289"/>
      <c r="N1813" s="289"/>
      <c r="O1813" s="289"/>
      <c r="P1813" s="289"/>
      <c r="Q1813" s="289"/>
      <c r="R1813" s="289"/>
      <c r="S1813" s="289"/>
      <c r="T1813" s="289"/>
      <c r="U1813" s="289"/>
      <c r="V1813" s="289"/>
      <c r="W1813" s="289"/>
      <c r="X1813" s="289"/>
      <c r="Y1813" s="289"/>
      <c r="Z1813" s="289"/>
      <c r="AA1813" s="289"/>
      <c r="AB1813" s="289"/>
      <c r="AC1813" s="289"/>
      <c r="AD1813" s="289"/>
      <c r="AE1813" s="289"/>
      <c r="AF1813" s="289"/>
    </row>
    <row r="1814" spans="2:32">
      <c r="B1814" s="29"/>
      <c r="C1814" s="29"/>
      <c r="D1814" s="29"/>
      <c r="E1814" s="29"/>
      <c r="F1814" s="29"/>
      <c r="G1814" s="29"/>
      <c r="H1814" s="29"/>
      <c r="I1814" s="29"/>
      <c r="J1814" s="29"/>
      <c r="K1814" s="29"/>
      <c r="L1814" s="29"/>
      <c r="M1814" s="29"/>
      <c r="N1814" s="29"/>
      <c r="O1814" s="29"/>
      <c r="P1814" s="29"/>
      <c r="Q1814" s="29"/>
      <c r="R1814" s="29"/>
      <c r="S1814" s="29"/>
      <c r="T1814" s="29"/>
      <c r="U1814" s="29"/>
      <c r="V1814" s="29"/>
      <c r="W1814" s="29"/>
      <c r="X1814" s="29"/>
      <c r="Y1814" s="29"/>
      <c r="Z1814" s="29"/>
      <c r="AA1814" s="29"/>
      <c r="AB1814" s="29"/>
      <c r="AC1814" s="29"/>
      <c r="AD1814" s="29"/>
      <c r="AE1814" s="29"/>
      <c r="AF1814" s="29"/>
    </row>
    <row r="1815" spans="2:32">
      <c r="B1815" s="29"/>
      <c r="C1815" s="29"/>
      <c r="D1815" s="29"/>
      <c r="E1815" s="29"/>
      <c r="F1815" s="29"/>
      <c r="G1815" s="29"/>
      <c r="H1815" s="29"/>
      <c r="I1815" s="29"/>
      <c r="J1815" s="29"/>
      <c r="K1815" s="29"/>
      <c r="L1815" s="29"/>
      <c r="M1815" s="29"/>
      <c r="N1815" s="29"/>
      <c r="O1815" s="29"/>
      <c r="P1815" s="29"/>
      <c r="Q1815" s="29"/>
      <c r="R1815" s="29"/>
      <c r="S1815" s="29"/>
      <c r="T1815" s="29"/>
      <c r="U1815" s="29"/>
      <c r="V1815" s="29"/>
      <c r="W1815" s="29"/>
      <c r="X1815" s="29"/>
      <c r="Y1815" s="29"/>
      <c r="Z1815" s="29"/>
      <c r="AA1815" s="29"/>
      <c r="AB1815" s="29"/>
      <c r="AC1815" s="29"/>
      <c r="AD1815" s="29"/>
      <c r="AE1815" s="29"/>
      <c r="AF1815" s="29"/>
    </row>
    <row r="1816" spans="2:32">
      <c r="B1816" s="29"/>
      <c r="C1816" s="29"/>
      <c r="D1816" s="29"/>
      <c r="E1816" s="29"/>
      <c r="F1816" s="29"/>
      <c r="G1816" s="29"/>
      <c r="H1816" s="29"/>
      <c r="I1816" s="29"/>
      <c r="J1816" s="29"/>
      <c r="K1816" s="29"/>
      <c r="L1816" s="29"/>
      <c r="M1816" s="29"/>
      <c r="N1816" s="29"/>
      <c r="O1816" s="29"/>
      <c r="P1816" s="29"/>
      <c r="Q1816" s="29"/>
      <c r="R1816" s="29"/>
      <c r="S1816" s="29"/>
      <c r="T1816" s="29"/>
      <c r="U1816" s="29"/>
      <c r="V1816" s="29"/>
      <c r="W1816" s="29"/>
      <c r="X1816" s="29"/>
      <c r="Y1816" s="29"/>
      <c r="Z1816" s="29"/>
      <c r="AA1816" s="29"/>
      <c r="AB1816" s="29"/>
      <c r="AC1816" s="29"/>
      <c r="AD1816" s="29"/>
      <c r="AE1816" s="29"/>
      <c r="AF1816" s="29"/>
    </row>
    <row r="1817" spans="2:32">
      <c r="B1817" s="29"/>
      <c r="C1817" s="29"/>
      <c r="D1817" s="29"/>
      <c r="E1817" s="29"/>
      <c r="F1817" s="29"/>
      <c r="G1817" s="29"/>
      <c r="H1817" s="29"/>
      <c r="I1817" s="29"/>
      <c r="J1817" s="29"/>
      <c r="K1817" s="29"/>
      <c r="L1817" s="29"/>
      <c r="M1817" s="29"/>
      <c r="N1817" s="29"/>
      <c r="O1817" s="29"/>
      <c r="P1817" s="29"/>
      <c r="Q1817" s="29"/>
      <c r="R1817" s="29"/>
      <c r="S1817" s="29"/>
      <c r="T1817" s="29"/>
      <c r="U1817" s="29"/>
      <c r="V1817" s="29"/>
      <c r="W1817" s="29"/>
      <c r="X1817" s="29"/>
      <c r="Y1817" s="29"/>
      <c r="Z1817" s="29"/>
      <c r="AA1817" s="29"/>
      <c r="AB1817" s="29"/>
      <c r="AC1817" s="29"/>
      <c r="AD1817" s="29"/>
      <c r="AE1817" s="29"/>
      <c r="AF1817" s="29"/>
    </row>
    <row r="1818" spans="2:32">
      <c r="B1818" s="29"/>
      <c r="C1818" s="29"/>
      <c r="D1818" s="29"/>
      <c r="E1818" s="29"/>
      <c r="F1818" s="29"/>
      <c r="G1818" s="29"/>
      <c r="H1818" s="29"/>
      <c r="I1818" s="29"/>
      <c r="J1818" s="29"/>
      <c r="K1818" s="29"/>
      <c r="L1818" s="29"/>
      <c r="M1818" s="29"/>
      <c r="N1818" s="29"/>
      <c r="O1818" s="29"/>
      <c r="P1818" s="29"/>
      <c r="Q1818" s="29"/>
      <c r="R1818" s="29"/>
      <c r="S1818" s="29"/>
      <c r="T1818" s="29"/>
      <c r="U1818" s="29"/>
      <c r="V1818" s="29"/>
      <c r="W1818" s="29"/>
      <c r="X1818" s="29"/>
      <c r="Y1818" s="29"/>
      <c r="Z1818" s="29"/>
      <c r="AA1818" s="29"/>
      <c r="AB1818" s="29"/>
      <c r="AC1818" s="29"/>
      <c r="AD1818" s="29"/>
      <c r="AE1818" s="29"/>
      <c r="AF1818" s="29"/>
    </row>
    <row r="1819" spans="2:32">
      <c r="B1819" s="29"/>
      <c r="C1819" s="29"/>
      <c r="D1819" s="29"/>
      <c r="E1819" s="29"/>
      <c r="F1819" s="29"/>
      <c r="G1819" s="29"/>
      <c r="H1819" s="29"/>
      <c r="I1819" s="29"/>
      <c r="J1819" s="29"/>
      <c r="K1819" s="29"/>
      <c r="L1819" s="29"/>
      <c r="M1819" s="29"/>
      <c r="N1819" s="29"/>
      <c r="O1819" s="29"/>
      <c r="P1819" s="29"/>
      <c r="Q1819" s="29"/>
      <c r="R1819" s="29"/>
      <c r="S1819" s="29"/>
      <c r="T1819" s="29"/>
      <c r="U1819" s="29"/>
      <c r="V1819" s="29"/>
      <c r="W1819" s="29"/>
      <c r="X1819" s="29"/>
      <c r="Y1819" s="29"/>
      <c r="Z1819" s="29"/>
      <c r="AA1819" s="29"/>
      <c r="AB1819" s="29"/>
      <c r="AC1819" s="29"/>
      <c r="AD1819" s="29"/>
      <c r="AE1819" s="29"/>
      <c r="AF1819" s="29"/>
    </row>
    <row r="1820" spans="2:32">
      <c r="B1820" s="29"/>
      <c r="C1820" s="29"/>
      <c r="D1820" s="29"/>
      <c r="E1820" s="29"/>
      <c r="F1820" s="29"/>
      <c r="G1820" s="29"/>
      <c r="H1820" s="29"/>
      <c r="I1820" s="29"/>
      <c r="J1820" s="29"/>
      <c r="K1820" s="29"/>
      <c r="L1820" s="29"/>
      <c r="M1820" s="29"/>
      <c r="N1820" s="29"/>
      <c r="O1820" s="29"/>
      <c r="P1820" s="29"/>
      <c r="Q1820" s="29"/>
      <c r="R1820" s="29"/>
      <c r="S1820" s="29"/>
      <c r="T1820" s="29"/>
      <c r="U1820" s="29"/>
      <c r="V1820" s="29"/>
      <c r="W1820" s="29"/>
      <c r="X1820" s="29"/>
      <c r="Y1820" s="29"/>
      <c r="Z1820" s="29"/>
      <c r="AA1820" s="29"/>
      <c r="AB1820" s="29"/>
      <c r="AC1820" s="29"/>
      <c r="AD1820" s="29"/>
      <c r="AE1820" s="29"/>
      <c r="AF1820" s="29"/>
    </row>
    <row r="1821" spans="2:32">
      <c r="B1821" s="29"/>
      <c r="C1821" s="29"/>
      <c r="D1821" s="29"/>
      <c r="E1821" s="29"/>
      <c r="F1821" s="29"/>
      <c r="G1821" s="29"/>
      <c r="H1821" s="29"/>
      <c r="I1821" s="29"/>
      <c r="J1821" s="29"/>
      <c r="K1821" s="29"/>
      <c r="L1821" s="29"/>
      <c r="M1821" s="29"/>
      <c r="N1821" s="29"/>
      <c r="O1821" s="29"/>
      <c r="P1821" s="29"/>
      <c r="Q1821" s="29"/>
      <c r="R1821" s="29"/>
      <c r="S1821" s="29"/>
      <c r="T1821" s="29"/>
      <c r="U1821" s="29"/>
      <c r="V1821" s="29"/>
      <c r="W1821" s="29"/>
      <c r="X1821" s="29"/>
      <c r="Y1821" s="29"/>
      <c r="Z1821" s="29"/>
      <c r="AA1821" s="29"/>
      <c r="AB1821" s="29"/>
      <c r="AC1821" s="29"/>
      <c r="AD1821" s="29"/>
      <c r="AE1821" s="29"/>
      <c r="AF1821" s="29"/>
    </row>
    <row r="1822" spans="2:32">
      <c r="B1822" s="29"/>
      <c r="C1822" s="29"/>
      <c r="D1822" s="29"/>
      <c r="E1822" s="29"/>
      <c r="F1822" s="29"/>
      <c r="G1822" s="29"/>
      <c r="H1822" s="29"/>
      <c r="I1822" s="29"/>
      <c r="J1822" s="29"/>
      <c r="K1822" s="29"/>
      <c r="L1822" s="29"/>
      <c r="M1822" s="29"/>
      <c r="N1822" s="29"/>
      <c r="O1822" s="29"/>
      <c r="P1822" s="29"/>
      <c r="Q1822" s="29"/>
      <c r="R1822" s="29"/>
      <c r="S1822" s="29"/>
      <c r="T1822" s="29"/>
      <c r="U1822" s="29"/>
      <c r="V1822" s="29"/>
      <c r="W1822" s="29"/>
      <c r="X1822" s="29"/>
      <c r="Y1822" s="29"/>
      <c r="Z1822" s="29"/>
      <c r="AA1822" s="29"/>
      <c r="AB1822" s="29"/>
      <c r="AC1822" s="29"/>
      <c r="AD1822" s="29"/>
      <c r="AE1822" s="29"/>
      <c r="AF1822" s="29"/>
    </row>
    <row r="1823" spans="2:32">
      <c r="B1823" s="29"/>
      <c r="C1823" s="29"/>
      <c r="D1823" s="29"/>
      <c r="E1823" s="29"/>
      <c r="F1823" s="29"/>
      <c r="G1823" s="29"/>
      <c r="H1823" s="29"/>
      <c r="I1823" s="29"/>
      <c r="J1823" s="29"/>
      <c r="K1823" s="29"/>
      <c r="L1823" s="29"/>
      <c r="M1823" s="29"/>
      <c r="N1823" s="29"/>
      <c r="O1823" s="29"/>
      <c r="P1823" s="29"/>
      <c r="Q1823" s="29"/>
      <c r="R1823" s="29"/>
      <c r="S1823" s="29"/>
      <c r="T1823" s="29"/>
      <c r="U1823" s="29"/>
      <c r="V1823" s="29"/>
      <c r="W1823" s="29"/>
      <c r="X1823" s="29"/>
      <c r="Y1823" s="29"/>
      <c r="Z1823" s="29"/>
      <c r="AA1823" s="29"/>
      <c r="AB1823" s="29"/>
      <c r="AC1823" s="29"/>
      <c r="AD1823" s="29"/>
      <c r="AE1823" s="29"/>
      <c r="AF1823" s="29"/>
    </row>
    <row r="1824" spans="2:32">
      <c r="B1824" s="29"/>
      <c r="C1824" s="29"/>
      <c r="D1824" s="29"/>
      <c r="E1824" s="29"/>
      <c r="F1824" s="29"/>
      <c r="G1824" s="29"/>
      <c r="H1824" s="29"/>
      <c r="I1824" s="29"/>
      <c r="J1824" s="29"/>
      <c r="K1824" s="29"/>
      <c r="L1824" s="29"/>
      <c r="M1824" s="29"/>
      <c r="N1824" s="29"/>
      <c r="O1824" s="29"/>
      <c r="P1824" s="29"/>
      <c r="Q1824" s="29"/>
      <c r="R1824" s="29"/>
      <c r="S1824" s="29"/>
      <c r="T1824" s="29"/>
      <c r="U1824" s="29"/>
      <c r="V1824" s="29"/>
      <c r="W1824" s="29"/>
      <c r="X1824" s="29"/>
      <c r="Y1824" s="29"/>
      <c r="Z1824" s="29"/>
      <c r="AA1824" s="29"/>
      <c r="AB1824" s="29"/>
      <c r="AC1824" s="29"/>
      <c r="AD1824" s="29"/>
      <c r="AE1824" s="29"/>
      <c r="AF1824" s="29"/>
    </row>
    <row r="2089" spans="2:32">
      <c r="B2089" s="29"/>
      <c r="C2089" s="29"/>
      <c r="D2089" s="29"/>
      <c r="E2089" s="29"/>
      <c r="F2089" s="29"/>
      <c r="G2089" s="29"/>
      <c r="H2089" s="29"/>
      <c r="I2089" s="29"/>
      <c r="J2089" s="29"/>
      <c r="K2089" s="29"/>
      <c r="L2089" s="29"/>
      <c r="M2089" s="29"/>
      <c r="N2089" s="29"/>
      <c r="O2089" s="29"/>
      <c r="P2089" s="29"/>
      <c r="Q2089" s="29"/>
      <c r="R2089" s="29"/>
      <c r="S2089" s="29"/>
      <c r="T2089" s="29"/>
      <c r="U2089" s="29"/>
      <c r="V2089" s="29"/>
      <c r="W2089" s="29"/>
      <c r="X2089" s="29"/>
      <c r="Y2089" s="29"/>
      <c r="Z2089" s="29"/>
      <c r="AA2089" s="29"/>
      <c r="AB2089" s="29"/>
      <c r="AC2089" s="29"/>
      <c r="AD2089" s="29"/>
      <c r="AE2089" s="29"/>
      <c r="AF2089" s="29"/>
    </row>
    <row r="2090" spans="2:32">
      <c r="B2090" s="289"/>
      <c r="C2090" s="289"/>
      <c r="D2090" s="289"/>
      <c r="E2090" s="289"/>
      <c r="F2090" s="289"/>
      <c r="G2090" s="289"/>
      <c r="H2090" s="289"/>
      <c r="I2090" s="289"/>
      <c r="J2090" s="289"/>
      <c r="K2090" s="289"/>
      <c r="L2090" s="289"/>
      <c r="M2090" s="289"/>
      <c r="N2090" s="289"/>
      <c r="O2090" s="289"/>
      <c r="P2090" s="289"/>
      <c r="Q2090" s="289"/>
      <c r="R2090" s="289"/>
      <c r="S2090" s="289"/>
      <c r="T2090" s="289"/>
      <c r="U2090" s="289"/>
      <c r="V2090" s="289"/>
      <c r="W2090" s="289"/>
      <c r="X2090" s="289"/>
      <c r="Y2090" s="289"/>
      <c r="Z2090" s="289"/>
      <c r="AA2090" s="289"/>
      <c r="AB2090" s="289"/>
      <c r="AC2090" s="289"/>
      <c r="AD2090" s="289"/>
      <c r="AE2090" s="289"/>
      <c r="AF2090" s="289"/>
    </row>
    <row r="2424" spans="2:32">
      <c r="B2424" s="29"/>
      <c r="C2424" s="29"/>
      <c r="D2424" s="29"/>
      <c r="E2424" s="29"/>
      <c r="F2424" s="29"/>
      <c r="G2424" s="29"/>
      <c r="H2424" s="29"/>
      <c r="I2424" s="29"/>
      <c r="J2424" s="29"/>
      <c r="K2424" s="29"/>
      <c r="L2424" s="29"/>
      <c r="M2424" s="29"/>
      <c r="N2424" s="29"/>
      <c r="O2424" s="29"/>
      <c r="P2424" s="29"/>
      <c r="Q2424" s="29"/>
      <c r="R2424" s="29"/>
      <c r="S2424" s="29"/>
      <c r="T2424" s="29"/>
      <c r="U2424" s="29"/>
      <c r="V2424" s="29"/>
      <c r="W2424" s="29"/>
      <c r="X2424" s="29"/>
      <c r="Y2424" s="29"/>
      <c r="Z2424" s="29"/>
      <c r="AA2424" s="29"/>
      <c r="AB2424" s="29"/>
      <c r="AC2424" s="29"/>
      <c r="AD2424" s="29"/>
      <c r="AE2424" s="29"/>
      <c r="AF2424" s="29"/>
    </row>
    <row r="2425" spans="2:32">
      <c r="B2425" s="289"/>
      <c r="C2425" s="289"/>
      <c r="D2425" s="289"/>
      <c r="E2425" s="289"/>
      <c r="F2425" s="289"/>
      <c r="G2425" s="289"/>
      <c r="H2425" s="289"/>
      <c r="I2425" s="289"/>
      <c r="J2425" s="289"/>
      <c r="K2425" s="289"/>
      <c r="L2425" s="289"/>
      <c r="M2425" s="289"/>
      <c r="N2425" s="289"/>
      <c r="O2425" s="289"/>
      <c r="P2425" s="289"/>
      <c r="Q2425" s="289"/>
      <c r="R2425" s="289"/>
      <c r="S2425" s="289"/>
      <c r="T2425" s="289"/>
      <c r="U2425" s="289"/>
      <c r="V2425" s="289"/>
      <c r="W2425" s="289"/>
      <c r="X2425" s="289"/>
      <c r="Y2425" s="289"/>
      <c r="Z2425" s="289"/>
      <c r="AA2425" s="289"/>
      <c r="AB2425" s="289"/>
      <c r="AC2425" s="289"/>
      <c r="AD2425" s="289"/>
      <c r="AE2425" s="289"/>
      <c r="AF2425" s="289"/>
    </row>
    <row r="2744" spans="2:32">
      <c r="B2744" s="29"/>
      <c r="C2744" s="29"/>
      <c r="D2744" s="29"/>
      <c r="E2744" s="29"/>
      <c r="F2744" s="29"/>
      <c r="G2744" s="29"/>
      <c r="H2744" s="29"/>
      <c r="I2744" s="29"/>
      <c r="J2744" s="29"/>
      <c r="K2744" s="29"/>
      <c r="L2744" s="29"/>
      <c r="M2744" s="29"/>
      <c r="N2744" s="29"/>
      <c r="O2744" s="29"/>
      <c r="P2744" s="29"/>
      <c r="Q2744" s="29"/>
      <c r="R2744" s="29"/>
      <c r="S2744" s="29"/>
      <c r="T2744" s="29"/>
      <c r="U2744" s="29"/>
      <c r="V2744" s="29"/>
      <c r="W2744" s="29"/>
      <c r="X2744" s="29"/>
      <c r="Y2744" s="29"/>
      <c r="Z2744" s="29"/>
      <c r="AA2744" s="29"/>
      <c r="AB2744" s="29"/>
      <c r="AC2744" s="29"/>
      <c r="AD2744" s="29"/>
      <c r="AE2744" s="29"/>
      <c r="AF2744" s="29"/>
    </row>
    <row r="2745" spans="2:32">
      <c r="B2745" s="289"/>
      <c r="C2745" s="289"/>
      <c r="D2745" s="289"/>
      <c r="E2745" s="289"/>
      <c r="F2745" s="289"/>
      <c r="G2745" s="289"/>
      <c r="H2745" s="289"/>
      <c r="I2745" s="289"/>
      <c r="J2745" s="289"/>
      <c r="K2745" s="289"/>
      <c r="L2745" s="289"/>
      <c r="M2745" s="289"/>
      <c r="N2745" s="289"/>
      <c r="O2745" s="289"/>
      <c r="P2745" s="289"/>
      <c r="Q2745" s="289"/>
      <c r="R2745" s="289"/>
      <c r="S2745" s="289"/>
      <c r="T2745" s="289"/>
      <c r="U2745" s="289"/>
      <c r="V2745" s="289"/>
      <c r="W2745" s="289"/>
      <c r="X2745" s="289"/>
      <c r="Y2745" s="289"/>
      <c r="Z2745" s="289"/>
      <c r="AA2745" s="289"/>
      <c r="AB2745" s="289"/>
      <c r="AC2745" s="289"/>
      <c r="AD2745" s="289"/>
      <c r="AE2745" s="289"/>
      <c r="AF2745" s="289"/>
    </row>
    <row r="2747" spans="2:32">
      <c r="B2747" s="29"/>
      <c r="C2747" s="29"/>
      <c r="D2747" s="29"/>
      <c r="E2747" s="29"/>
      <c r="F2747" s="29"/>
      <c r="G2747" s="29"/>
      <c r="H2747" s="29"/>
      <c r="I2747" s="29"/>
      <c r="J2747" s="29"/>
      <c r="K2747" s="29"/>
      <c r="L2747" s="29"/>
      <c r="M2747" s="29"/>
      <c r="N2747" s="29"/>
      <c r="O2747" s="29"/>
      <c r="P2747" s="29"/>
      <c r="Q2747" s="29"/>
      <c r="R2747" s="29"/>
      <c r="S2747" s="29"/>
      <c r="T2747" s="29"/>
      <c r="U2747" s="29"/>
      <c r="V2747" s="29"/>
      <c r="W2747" s="29"/>
      <c r="X2747" s="29"/>
      <c r="Y2747" s="29"/>
      <c r="Z2747" s="29"/>
      <c r="AA2747" s="29"/>
      <c r="AB2747" s="29"/>
      <c r="AC2747" s="29"/>
      <c r="AD2747" s="29"/>
      <c r="AE2747" s="29"/>
      <c r="AF2747" s="29"/>
    </row>
    <row r="2748" spans="2:32">
      <c r="B2748" s="29"/>
      <c r="C2748" s="29"/>
      <c r="D2748" s="29"/>
      <c r="E2748" s="29"/>
      <c r="F2748" s="29"/>
      <c r="G2748" s="29"/>
      <c r="H2748" s="29"/>
      <c r="I2748" s="29"/>
      <c r="J2748" s="29"/>
      <c r="K2748" s="29"/>
      <c r="L2748" s="29"/>
      <c r="M2748" s="29"/>
      <c r="N2748" s="29"/>
      <c r="O2748" s="29"/>
      <c r="P2748" s="29"/>
      <c r="Q2748" s="29"/>
      <c r="R2748" s="29"/>
      <c r="S2748" s="29"/>
      <c r="T2748" s="29"/>
      <c r="U2748" s="29"/>
      <c r="V2748" s="29"/>
      <c r="W2748" s="29"/>
      <c r="X2748" s="29"/>
      <c r="Y2748" s="29"/>
      <c r="Z2748" s="29"/>
      <c r="AA2748" s="29"/>
      <c r="AB2748" s="29"/>
      <c r="AC2748" s="29"/>
      <c r="AD2748" s="29"/>
      <c r="AE2748" s="29"/>
      <c r="AF2748" s="29"/>
    </row>
    <row r="2749" spans="2:32">
      <c r="B2749" s="29"/>
      <c r="C2749" s="29"/>
      <c r="D2749" s="29"/>
      <c r="E2749" s="29"/>
      <c r="F2749" s="29"/>
      <c r="G2749" s="29"/>
      <c r="H2749" s="29"/>
      <c r="I2749" s="29"/>
      <c r="J2749" s="29"/>
      <c r="K2749" s="29"/>
      <c r="L2749" s="29"/>
      <c r="M2749" s="29"/>
      <c r="N2749" s="29"/>
      <c r="O2749" s="29"/>
      <c r="P2749" s="29"/>
      <c r="Q2749" s="29"/>
      <c r="R2749" s="29"/>
      <c r="S2749" s="29"/>
      <c r="T2749" s="29"/>
      <c r="U2749" s="29"/>
      <c r="V2749" s="29"/>
      <c r="W2749" s="29"/>
      <c r="X2749" s="29"/>
      <c r="Y2749" s="29"/>
      <c r="Z2749" s="29"/>
      <c r="AA2749" s="29"/>
      <c r="AB2749" s="29"/>
      <c r="AC2749" s="29"/>
      <c r="AD2749" s="29"/>
      <c r="AE2749" s="29"/>
      <c r="AF2749" s="29"/>
    </row>
    <row r="2750" spans="2:32">
      <c r="B2750" s="29"/>
      <c r="C2750" s="29"/>
      <c r="D2750" s="29"/>
      <c r="E2750" s="29"/>
      <c r="F2750" s="29"/>
      <c r="G2750" s="29"/>
      <c r="H2750" s="29"/>
      <c r="I2750" s="29"/>
      <c r="J2750" s="29"/>
      <c r="K2750" s="29"/>
      <c r="L2750" s="29"/>
      <c r="M2750" s="29"/>
      <c r="N2750" s="29"/>
      <c r="O2750" s="29"/>
      <c r="P2750" s="29"/>
      <c r="Q2750" s="29"/>
      <c r="R2750" s="29"/>
      <c r="S2750" s="29"/>
      <c r="T2750" s="29"/>
      <c r="U2750" s="29"/>
      <c r="V2750" s="29"/>
      <c r="W2750" s="29"/>
      <c r="X2750" s="29"/>
      <c r="Y2750" s="29"/>
      <c r="Z2750" s="29"/>
      <c r="AA2750" s="29"/>
      <c r="AB2750" s="29"/>
      <c r="AC2750" s="29"/>
      <c r="AD2750" s="29"/>
      <c r="AE2750" s="29"/>
      <c r="AF2750" s="29"/>
    </row>
    <row r="2751" spans="2:32">
      <c r="B2751" s="29"/>
      <c r="C2751" s="29"/>
      <c r="D2751" s="29"/>
      <c r="E2751" s="29"/>
      <c r="F2751" s="29"/>
      <c r="G2751" s="29"/>
      <c r="H2751" s="29"/>
      <c r="I2751" s="29"/>
      <c r="J2751" s="29"/>
      <c r="K2751" s="29"/>
      <c r="L2751" s="29"/>
      <c r="M2751" s="29"/>
      <c r="N2751" s="29"/>
      <c r="O2751" s="29"/>
      <c r="P2751" s="29"/>
      <c r="Q2751" s="29"/>
      <c r="R2751" s="29"/>
      <c r="S2751" s="29"/>
      <c r="T2751" s="29"/>
      <c r="U2751" s="29"/>
      <c r="V2751" s="29"/>
      <c r="W2751" s="29"/>
      <c r="X2751" s="29"/>
      <c r="Y2751" s="29"/>
      <c r="Z2751" s="29"/>
      <c r="AA2751" s="29"/>
      <c r="AB2751" s="29"/>
      <c r="AC2751" s="29"/>
      <c r="AD2751" s="29"/>
      <c r="AE2751" s="29"/>
      <c r="AF2751" s="29"/>
    </row>
    <row r="2752" spans="2:32">
      <c r="B2752" s="29"/>
      <c r="C2752" s="29"/>
      <c r="D2752" s="29"/>
      <c r="E2752" s="29"/>
      <c r="F2752" s="29"/>
      <c r="G2752" s="29"/>
      <c r="H2752" s="29"/>
      <c r="I2752" s="29"/>
      <c r="J2752" s="29"/>
      <c r="K2752" s="29"/>
      <c r="L2752" s="29"/>
      <c r="M2752" s="29"/>
      <c r="N2752" s="29"/>
      <c r="O2752" s="29"/>
      <c r="P2752" s="29"/>
      <c r="Q2752" s="29"/>
      <c r="R2752" s="29"/>
      <c r="S2752" s="29"/>
      <c r="T2752" s="29"/>
      <c r="U2752" s="29"/>
      <c r="V2752" s="29"/>
      <c r="W2752" s="29"/>
      <c r="X2752" s="29"/>
      <c r="Y2752" s="29"/>
      <c r="Z2752" s="29"/>
      <c r="AA2752" s="29"/>
      <c r="AB2752" s="29"/>
      <c r="AC2752" s="29"/>
      <c r="AD2752" s="29"/>
      <c r="AE2752" s="29"/>
      <c r="AF2752" s="29"/>
    </row>
    <row r="3075" spans="2:32">
      <c r="B3075" s="29"/>
      <c r="C3075" s="29"/>
      <c r="D3075" s="29"/>
      <c r="E3075" s="29"/>
      <c r="F3075" s="29"/>
      <c r="G3075" s="29"/>
      <c r="H3075" s="29"/>
      <c r="I3075" s="29"/>
      <c r="J3075" s="29"/>
      <c r="K3075" s="29"/>
      <c r="L3075" s="29"/>
      <c r="M3075" s="29"/>
      <c r="N3075" s="29"/>
      <c r="O3075" s="29"/>
      <c r="P3075" s="29"/>
      <c r="Q3075" s="29"/>
      <c r="R3075" s="29"/>
      <c r="S3075" s="29"/>
      <c r="T3075" s="29"/>
      <c r="U3075" s="29"/>
      <c r="V3075" s="29"/>
      <c r="W3075" s="29"/>
      <c r="X3075" s="29"/>
      <c r="Y3075" s="29"/>
      <c r="Z3075" s="29"/>
      <c r="AA3075" s="29"/>
      <c r="AB3075" s="29"/>
      <c r="AC3075" s="29"/>
      <c r="AD3075" s="29"/>
      <c r="AE3075" s="29"/>
      <c r="AF3075" s="29"/>
    </row>
    <row r="3076" spans="2:32">
      <c r="B3076" s="289"/>
      <c r="C3076" s="289"/>
      <c r="D3076" s="289"/>
      <c r="E3076" s="289"/>
      <c r="F3076" s="289"/>
      <c r="G3076" s="289"/>
      <c r="H3076" s="289"/>
      <c r="I3076" s="289"/>
      <c r="J3076" s="289"/>
      <c r="K3076" s="289"/>
      <c r="L3076" s="289"/>
      <c r="M3076" s="289"/>
      <c r="N3076" s="289"/>
      <c r="O3076" s="289"/>
      <c r="P3076" s="289"/>
      <c r="Q3076" s="289"/>
      <c r="R3076" s="289"/>
      <c r="S3076" s="289"/>
      <c r="T3076" s="289"/>
      <c r="U3076" s="289"/>
      <c r="V3076" s="289"/>
      <c r="W3076" s="289"/>
      <c r="X3076" s="289"/>
      <c r="Y3076" s="289"/>
      <c r="Z3076" s="289"/>
      <c r="AA3076" s="289"/>
      <c r="AB3076" s="289"/>
      <c r="AC3076" s="289"/>
      <c r="AD3076" s="289"/>
      <c r="AE3076" s="289"/>
      <c r="AF3076" s="289"/>
    </row>
    <row r="3079" spans="2:32">
      <c r="B3079" s="29"/>
      <c r="C3079" s="29"/>
      <c r="D3079" s="29"/>
      <c r="E3079" s="29"/>
      <c r="F3079" s="29"/>
      <c r="G3079" s="29"/>
      <c r="H3079" s="29"/>
      <c r="I3079" s="29"/>
      <c r="J3079" s="29"/>
      <c r="K3079" s="29"/>
      <c r="L3079" s="29"/>
      <c r="M3079" s="29"/>
      <c r="N3079" s="29"/>
      <c r="O3079" s="29"/>
      <c r="P3079" s="29"/>
      <c r="Q3079" s="29"/>
      <c r="R3079" s="29"/>
      <c r="S3079" s="29"/>
      <c r="T3079" s="29"/>
      <c r="U3079" s="29"/>
      <c r="V3079" s="29"/>
      <c r="W3079" s="29"/>
      <c r="X3079" s="29"/>
      <c r="Y3079" s="29"/>
      <c r="Z3079" s="29"/>
      <c r="AA3079" s="29"/>
      <c r="AB3079" s="29"/>
      <c r="AC3079" s="29"/>
      <c r="AD3079" s="29"/>
      <c r="AE3079" s="29"/>
      <c r="AF3079" s="29"/>
    </row>
    <row r="3080" spans="2:32">
      <c r="B3080" s="29"/>
      <c r="C3080" s="29"/>
      <c r="D3080" s="29"/>
      <c r="E3080" s="29"/>
      <c r="F3080" s="29"/>
      <c r="G3080" s="29"/>
      <c r="H3080" s="29"/>
      <c r="I3080" s="29"/>
      <c r="J3080" s="29"/>
      <c r="K3080" s="29"/>
      <c r="L3080" s="29"/>
      <c r="M3080" s="29"/>
      <c r="N3080" s="29"/>
      <c r="O3080" s="29"/>
      <c r="P3080" s="29"/>
      <c r="Q3080" s="29"/>
      <c r="R3080" s="29"/>
      <c r="S3080" s="29"/>
      <c r="T3080" s="29"/>
      <c r="U3080" s="29"/>
      <c r="V3080" s="29"/>
      <c r="W3080" s="29"/>
      <c r="X3080" s="29"/>
      <c r="Y3080" s="29"/>
      <c r="Z3080" s="29"/>
      <c r="AA3080" s="29"/>
      <c r="AB3080" s="29"/>
      <c r="AC3080" s="29"/>
      <c r="AD3080" s="29"/>
      <c r="AE3080" s="29"/>
      <c r="AF3080" s="29"/>
    </row>
    <row r="3081" spans="2:32">
      <c r="B3081" s="29"/>
      <c r="C3081" s="29"/>
      <c r="D3081" s="29"/>
      <c r="E3081" s="29"/>
      <c r="F3081" s="29"/>
      <c r="G3081" s="29"/>
      <c r="H3081" s="29"/>
      <c r="I3081" s="29"/>
      <c r="J3081" s="29"/>
      <c r="K3081" s="29"/>
      <c r="L3081" s="29"/>
      <c r="M3081" s="29"/>
      <c r="N3081" s="29"/>
      <c r="O3081" s="29"/>
      <c r="P3081" s="29"/>
      <c r="Q3081" s="29"/>
      <c r="R3081" s="29"/>
      <c r="S3081" s="29"/>
      <c r="T3081" s="29"/>
      <c r="U3081" s="29"/>
      <c r="V3081" s="29"/>
      <c r="W3081" s="29"/>
      <c r="X3081" s="29"/>
      <c r="Y3081" s="29"/>
      <c r="Z3081" s="29"/>
      <c r="AA3081" s="29"/>
      <c r="AB3081" s="29"/>
      <c r="AC3081" s="29"/>
      <c r="AD3081" s="29"/>
      <c r="AE3081" s="29"/>
      <c r="AF3081" s="29"/>
    </row>
    <row r="3082" spans="2:32">
      <c r="B3082" s="29"/>
      <c r="C3082" s="29"/>
      <c r="D3082" s="29"/>
      <c r="E3082" s="29"/>
      <c r="F3082" s="29"/>
      <c r="G3082" s="29"/>
      <c r="H3082" s="29"/>
      <c r="I3082" s="29"/>
      <c r="J3082" s="29"/>
      <c r="K3082" s="29"/>
      <c r="L3082" s="29"/>
      <c r="M3082" s="29"/>
      <c r="N3082" s="29"/>
      <c r="O3082" s="29"/>
      <c r="P3082" s="29"/>
      <c r="Q3082" s="29"/>
      <c r="R3082" s="29"/>
      <c r="S3082" s="29"/>
      <c r="T3082" s="29"/>
      <c r="U3082" s="29"/>
      <c r="V3082" s="29"/>
      <c r="W3082" s="29"/>
      <c r="X3082" s="29"/>
      <c r="Y3082" s="29"/>
      <c r="Z3082" s="29"/>
      <c r="AA3082" s="29"/>
      <c r="AB3082" s="29"/>
      <c r="AC3082" s="29"/>
      <c r="AD3082" s="29"/>
      <c r="AE3082" s="29"/>
      <c r="AF3082" s="29"/>
    </row>
    <row r="3083" spans="2:32">
      <c r="B3083" s="29"/>
      <c r="C3083" s="29"/>
      <c r="D3083" s="29"/>
      <c r="E3083" s="29"/>
      <c r="F3083" s="29"/>
      <c r="G3083" s="29"/>
      <c r="H3083" s="29"/>
      <c r="I3083" s="29"/>
      <c r="J3083" s="29"/>
      <c r="K3083" s="29"/>
      <c r="L3083" s="29"/>
      <c r="M3083" s="29"/>
      <c r="N3083" s="29"/>
      <c r="O3083" s="29"/>
      <c r="P3083" s="29"/>
      <c r="Q3083" s="29"/>
      <c r="R3083" s="29"/>
      <c r="S3083" s="29"/>
      <c r="T3083" s="29"/>
      <c r="U3083" s="29"/>
      <c r="V3083" s="29"/>
      <c r="W3083" s="29"/>
      <c r="X3083" s="29"/>
      <c r="Y3083" s="29"/>
      <c r="Z3083" s="29"/>
      <c r="AA3083" s="29"/>
      <c r="AB3083" s="29"/>
      <c r="AC3083" s="29"/>
      <c r="AD3083" s="29"/>
      <c r="AE3083" s="29"/>
      <c r="AF3083" s="29"/>
    </row>
    <row r="3084" spans="2:32">
      <c r="B3084" s="29"/>
      <c r="C3084" s="29"/>
      <c r="D3084" s="29"/>
      <c r="E3084" s="29"/>
      <c r="F3084" s="29"/>
      <c r="G3084" s="29"/>
      <c r="H3084" s="29"/>
      <c r="I3084" s="29"/>
      <c r="J3084" s="29"/>
      <c r="K3084" s="29"/>
      <c r="L3084" s="29"/>
      <c r="M3084" s="29"/>
      <c r="N3084" s="29"/>
      <c r="O3084" s="29"/>
      <c r="P3084" s="29"/>
      <c r="Q3084" s="29"/>
      <c r="R3084" s="29"/>
      <c r="S3084" s="29"/>
      <c r="T3084" s="29"/>
      <c r="U3084" s="29"/>
      <c r="V3084" s="29"/>
      <c r="W3084" s="29"/>
      <c r="X3084" s="29"/>
      <c r="Y3084" s="29"/>
      <c r="Z3084" s="29"/>
      <c r="AA3084" s="29"/>
      <c r="AB3084" s="29"/>
      <c r="AC3084" s="29"/>
      <c r="AD3084" s="29"/>
      <c r="AE3084" s="29"/>
      <c r="AF3084" s="29"/>
    </row>
    <row r="3085" spans="2:32">
      <c r="B3085" s="29"/>
      <c r="C3085" s="29"/>
      <c r="D3085" s="29"/>
      <c r="E3085" s="29"/>
      <c r="F3085" s="29"/>
      <c r="G3085" s="29"/>
      <c r="H3085" s="29"/>
      <c r="I3085" s="29"/>
      <c r="J3085" s="29"/>
      <c r="K3085" s="29"/>
      <c r="L3085" s="29"/>
      <c r="M3085" s="29"/>
      <c r="N3085" s="29"/>
      <c r="O3085" s="29"/>
      <c r="P3085" s="29"/>
      <c r="Q3085" s="29"/>
      <c r="R3085" s="29"/>
      <c r="S3085" s="29"/>
      <c r="T3085" s="29"/>
      <c r="U3085" s="29"/>
      <c r="V3085" s="29"/>
      <c r="W3085" s="29"/>
      <c r="X3085" s="29"/>
      <c r="Y3085" s="29"/>
      <c r="Z3085" s="29"/>
      <c r="AA3085" s="29"/>
      <c r="AB3085" s="29"/>
      <c r="AC3085" s="29"/>
      <c r="AD3085" s="29"/>
      <c r="AE3085" s="29"/>
      <c r="AF3085" s="29"/>
    </row>
    <row r="3086" spans="2:32">
      <c r="B3086" s="29"/>
      <c r="C3086" s="29"/>
      <c r="D3086" s="29"/>
      <c r="E3086" s="29"/>
      <c r="F3086" s="29"/>
      <c r="G3086" s="29"/>
      <c r="H3086" s="29"/>
      <c r="I3086" s="29"/>
      <c r="J3086" s="29"/>
      <c r="K3086" s="29"/>
      <c r="L3086" s="29"/>
      <c r="M3086" s="29"/>
      <c r="N3086" s="29"/>
      <c r="O3086" s="29"/>
      <c r="P3086" s="29"/>
      <c r="Q3086" s="29"/>
      <c r="R3086" s="29"/>
      <c r="S3086" s="29"/>
      <c r="T3086" s="29"/>
      <c r="U3086" s="29"/>
      <c r="V3086" s="29"/>
      <c r="W3086" s="29"/>
      <c r="X3086" s="29"/>
      <c r="Y3086" s="29"/>
      <c r="Z3086" s="29"/>
      <c r="AA3086" s="29"/>
      <c r="AB3086" s="29"/>
      <c r="AC3086" s="29"/>
      <c r="AD3086" s="29"/>
      <c r="AE3086" s="29"/>
      <c r="AF3086" s="29"/>
    </row>
    <row r="3087" spans="2:32">
      <c r="B3087" s="29"/>
      <c r="C3087" s="29"/>
      <c r="D3087" s="29"/>
      <c r="E3087" s="29"/>
      <c r="F3087" s="29"/>
      <c r="G3087" s="29"/>
      <c r="H3087" s="29"/>
      <c r="I3087" s="29"/>
      <c r="J3087" s="29"/>
      <c r="K3087" s="29"/>
      <c r="L3087" s="29"/>
      <c r="M3087" s="29"/>
      <c r="N3087" s="29"/>
      <c r="O3087" s="29"/>
      <c r="P3087" s="29"/>
      <c r="Q3087" s="29"/>
      <c r="R3087" s="29"/>
      <c r="S3087" s="29"/>
      <c r="T3087" s="29"/>
      <c r="U3087" s="29"/>
      <c r="V3087" s="29"/>
      <c r="W3087" s="29"/>
      <c r="X3087" s="29"/>
      <c r="Y3087" s="29"/>
      <c r="Z3087" s="29"/>
      <c r="AA3087" s="29"/>
      <c r="AB3087" s="29"/>
      <c r="AC3087" s="29"/>
      <c r="AD3087" s="29"/>
      <c r="AE3087" s="29"/>
      <c r="AF3087" s="29"/>
    </row>
    <row r="3088" spans="2:32">
      <c r="B3088" s="29"/>
      <c r="C3088" s="29"/>
      <c r="D3088" s="29"/>
      <c r="E3088" s="29"/>
      <c r="F3088" s="29"/>
      <c r="G3088" s="29"/>
      <c r="H3088" s="29"/>
      <c r="I3088" s="29"/>
      <c r="J3088" s="29"/>
      <c r="K3088" s="29"/>
      <c r="L3088" s="29"/>
      <c r="M3088" s="29"/>
      <c r="N3088" s="29"/>
      <c r="O3088" s="29"/>
      <c r="P3088" s="29"/>
      <c r="Q3088" s="29"/>
      <c r="R3088" s="29"/>
      <c r="S3088" s="29"/>
      <c r="T3088" s="29"/>
      <c r="U3088" s="29"/>
      <c r="V3088" s="29"/>
      <c r="W3088" s="29"/>
      <c r="X3088" s="29"/>
      <c r="Y3088" s="29"/>
      <c r="Z3088" s="29"/>
      <c r="AA3088" s="29"/>
      <c r="AB3088" s="29"/>
      <c r="AC3088" s="29"/>
      <c r="AD3088" s="29"/>
      <c r="AE3088" s="29"/>
      <c r="AF3088" s="29"/>
    </row>
    <row r="3393" spans="2:32">
      <c r="B3393" s="289"/>
      <c r="C3393" s="289"/>
      <c r="D3393" s="289"/>
      <c r="E3393" s="289"/>
      <c r="F3393" s="289"/>
      <c r="G3393" s="289"/>
      <c r="H3393" s="289"/>
      <c r="I3393" s="289"/>
      <c r="J3393" s="289"/>
      <c r="K3393" s="289"/>
      <c r="L3393" s="289"/>
      <c r="M3393" s="289"/>
      <c r="N3393" s="289"/>
      <c r="O3393" s="289"/>
      <c r="P3393" s="289"/>
      <c r="Q3393" s="289"/>
      <c r="R3393" s="289"/>
      <c r="S3393" s="289"/>
      <c r="T3393" s="289"/>
      <c r="U3393" s="289"/>
      <c r="V3393" s="289"/>
      <c r="W3393" s="289"/>
      <c r="X3393" s="289"/>
      <c r="Y3393" s="289"/>
      <c r="Z3393" s="289"/>
      <c r="AA3393" s="289"/>
      <c r="AB3393" s="289"/>
      <c r="AC3393" s="289"/>
      <c r="AD3393" s="289"/>
      <c r="AE3393" s="289"/>
      <c r="AF3393" s="289"/>
    </row>
    <row r="3394" spans="2:32">
      <c r="B3394" s="29"/>
      <c r="C3394" s="29"/>
      <c r="D3394" s="29"/>
      <c r="E3394" s="29"/>
      <c r="F3394" s="29"/>
      <c r="G3394" s="29"/>
      <c r="H3394" s="29"/>
      <c r="I3394" s="29"/>
      <c r="J3394" s="29"/>
      <c r="K3394" s="29"/>
      <c r="L3394" s="29"/>
      <c r="M3394" s="29"/>
      <c r="N3394" s="29"/>
      <c r="O3394" s="29"/>
      <c r="P3394" s="29"/>
      <c r="Q3394" s="29"/>
      <c r="R3394" s="29"/>
      <c r="S3394" s="29"/>
      <c r="T3394" s="29"/>
      <c r="U3394" s="29"/>
      <c r="V3394" s="29"/>
      <c r="W3394" s="29"/>
      <c r="X3394" s="29"/>
      <c r="Y3394" s="29"/>
      <c r="Z3394" s="29"/>
      <c r="AA3394" s="29"/>
      <c r="AB3394" s="29"/>
      <c r="AC3394" s="29"/>
      <c r="AD3394" s="29"/>
      <c r="AE3394" s="29"/>
      <c r="AF3394" s="29"/>
    </row>
    <row r="3395" spans="2:32">
      <c r="B3395" s="29"/>
      <c r="C3395" s="29"/>
      <c r="D3395" s="29"/>
      <c r="E3395" s="29"/>
      <c r="F3395" s="29"/>
      <c r="G3395" s="29"/>
      <c r="H3395" s="29"/>
      <c r="I3395" s="29"/>
      <c r="J3395" s="29"/>
      <c r="K3395" s="29"/>
      <c r="L3395" s="29"/>
      <c r="M3395" s="29"/>
      <c r="N3395" s="29"/>
      <c r="O3395" s="29"/>
      <c r="P3395" s="29"/>
      <c r="Q3395" s="29"/>
      <c r="R3395" s="29"/>
      <c r="S3395" s="29"/>
      <c r="T3395" s="29"/>
      <c r="U3395" s="29"/>
      <c r="V3395" s="29"/>
      <c r="W3395" s="29"/>
      <c r="X3395" s="29"/>
      <c r="Y3395" s="29"/>
      <c r="Z3395" s="29"/>
      <c r="AA3395" s="29"/>
      <c r="AB3395" s="29"/>
      <c r="AC3395" s="29"/>
      <c r="AD3395" s="29"/>
      <c r="AE3395" s="29"/>
      <c r="AF3395" s="29"/>
    </row>
    <row r="3396" spans="2:32">
      <c r="B3396" s="29"/>
      <c r="C3396" s="29"/>
      <c r="D3396" s="29"/>
      <c r="E3396" s="29"/>
      <c r="F3396" s="29"/>
      <c r="G3396" s="29"/>
      <c r="H3396" s="29"/>
      <c r="I3396" s="29"/>
      <c r="J3396" s="29"/>
      <c r="K3396" s="29"/>
      <c r="L3396" s="29"/>
      <c r="M3396" s="29"/>
      <c r="N3396" s="29"/>
      <c r="O3396" s="29"/>
      <c r="P3396" s="29"/>
      <c r="Q3396" s="29"/>
      <c r="R3396" s="29"/>
      <c r="S3396" s="29"/>
      <c r="T3396" s="29"/>
      <c r="U3396" s="29"/>
      <c r="V3396" s="29"/>
      <c r="W3396" s="29"/>
      <c r="X3396" s="29"/>
      <c r="Y3396" s="29"/>
      <c r="Z3396" s="29"/>
      <c r="AA3396" s="29"/>
      <c r="AB3396" s="29"/>
      <c r="AC3396" s="29"/>
      <c r="AD3396" s="29"/>
      <c r="AE3396" s="29"/>
      <c r="AF3396" s="29"/>
    </row>
    <row r="3397" spans="2:32">
      <c r="B3397" s="29"/>
      <c r="C3397" s="29"/>
      <c r="D3397" s="29"/>
      <c r="E3397" s="29"/>
      <c r="F3397" s="29"/>
      <c r="G3397" s="29"/>
      <c r="H3397" s="29"/>
      <c r="I3397" s="29"/>
      <c r="J3397" s="29"/>
      <c r="K3397" s="29"/>
      <c r="L3397" s="29"/>
      <c r="M3397" s="29"/>
      <c r="N3397" s="29"/>
      <c r="O3397" s="29"/>
      <c r="P3397" s="29"/>
      <c r="Q3397" s="29"/>
      <c r="R3397" s="29"/>
      <c r="S3397" s="29"/>
      <c r="T3397" s="29"/>
      <c r="U3397" s="29"/>
      <c r="V3397" s="29"/>
      <c r="W3397" s="29"/>
      <c r="X3397" s="29"/>
      <c r="Y3397" s="29"/>
      <c r="Z3397" s="29"/>
      <c r="AA3397" s="29"/>
      <c r="AB3397" s="29"/>
      <c r="AC3397" s="29"/>
      <c r="AD3397" s="29"/>
      <c r="AE3397" s="29"/>
      <c r="AF3397" s="29"/>
    </row>
    <row r="3398" spans="2:32">
      <c r="B3398" s="29"/>
      <c r="C3398" s="29"/>
      <c r="D3398" s="29"/>
      <c r="E3398" s="29"/>
      <c r="F3398" s="29"/>
      <c r="G3398" s="29"/>
      <c r="H3398" s="29"/>
      <c r="I3398" s="29"/>
      <c r="J3398" s="29"/>
      <c r="K3398" s="29"/>
      <c r="L3398" s="29"/>
      <c r="M3398" s="29"/>
      <c r="N3398" s="29"/>
      <c r="O3398" s="29"/>
      <c r="P3398" s="29"/>
      <c r="Q3398" s="29"/>
      <c r="R3398" s="29"/>
      <c r="S3398" s="29"/>
      <c r="T3398" s="29"/>
      <c r="U3398" s="29"/>
      <c r="V3398" s="29"/>
      <c r="W3398" s="29"/>
      <c r="X3398" s="29"/>
      <c r="Y3398" s="29"/>
      <c r="Z3398" s="29"/>
      <c r="AA3398" s="29"/>
      <c r="AB3398" s="29"/>
      <c r="AC3398" s="29"/>
      <c r="AD3398" s="29"/>
      <c r="AE3398" s="29"/>
      <c r="AF3398" s="29"/>
    </row>
    <row r="3399" spans="2:32">
      <c r="B3399" s="29"/>
      <c r="C3399" s="29"/>
      <c r="D3399" s="29"/>
      <c r="E3399" s="29"/>
      <c r="F3399" s="29"/>
      <c r="G3399" s="29"/>
      <c r="H3399" s="29"/>
      <c r="I3399" s="29"/>
      <c r="J3399" s="29"/>
      <c r="K3399" s="29"/>
      <c r="L3399" s="29"/>
      <c r="M3399" s="29"/>
      <c r="N3399" s="29"/>
      <c r="O3399" s="29"/>
      <c r="P3399" s="29"/>
      <c r="Q3399" s="29"/>
      <c r="R3399" s="29"/>
      <c r="S3399" s="29"/>
      <c r="T3399" s="29"/>
      <c r="U3399" s="29"/>
      <c r="V3399" s="29"/>
      <c r="W3399" s="29"/>
      <c r="X3399" s="29"/>
      <c r="Y3399" s="29"/>
      <c r="Z3399" s="29"/>
      <c r="AA3399" s="29"/>
      <c r="AB3399" s="29"/>
      <c r="AC3399" s="29"/>
      <c r="AD3399" s="29"/>
      <c r="AE3399" s="29"/>
      <c r="AF3399" s="29"/>
    </row>
    <row r="3400" spans="2:32">
      <c r="B3400" s="29"/>
      <c r="C3400" s="29"/>
      <c r="D3400" s="29"/>
      <c r="E3400" s="29"/>
      <c r="F3400" s="29"/>
      <c r="G3400" s="29"/>
      <c r="H3400" s="29"/>
      <c r="I3400" s="29"/>
      <c r="J3400" s="29"/>
      <c r="K3400" s="29"/>
      <c r="L3400" s="29"/>
      <c r="M3400" s="29"/>
      <c r="N3400" s="29"/>
      <c r="O3400" s="29"/>
      <c r="P3400" s="29"/>
      <c r="Q3400" s="29"/>
      <c r="R3400" s="29"/>
      <c r="S3400" s="29"/>
      <c r="T3400" s="29"/>
      <c r="U3400" s="29"/>
      <c r="V3400" s="29"/>
      <c r="W3400" s="29"/>
      <c r="X3400" s="29"/>
      <c r="Y3400" s="29"/>
      <c r="Z3400" s="29"/>
      <c r="AA3400" s="29"/>
      <c r="AB3400" s="29"/>
      <c r="AC3400" s="29"/>
      <c r="AD3400" s="29"/>
      <c r="AE3400" s="29"/>
      <c r="AF3400" s="29"/>
    </row>
    <row r="3401" spans="2:32">
      <c r="B3401" s="29"/>
      <c r="C3401" s="29"/>
      <c r="D3401" s="29"/>
      <c r="E3401" s="29"/>
      <c r="F3401" s="29"/>
      <c r="G3401" s="29"/>
      <c r="H3401" s="29"/>
      <c r="I3401" s="29"/>
      <c r="J3401" s="29"/>
      <c r="K3401" s="29"/>
      <c r="L3401" s="29"/>
      <c r="M3401" s="29"/>
      <c r="N3401" s="29"/>
      <c r="O3401" s="29"/>
      <c r="P3401" s="29"/>
      <c r="Q3401" s="29"/>
      <c r="R3401" s="29"/>
      <c r="S3401" s="29"/>
      <c r="T3401" s="29"/>
      <c r="U3401" s="29"/>
      <c r="V3401" s="29"/>
      <c r="W3401" s="29"/>
      <c r="X3401" s="29"/>
      <c r="Y3401" s="29"/>
      <c r="Z3401" s="29"/>
      <c r="AA3401" s="29"/>
      <c r="AB3401" s="29"/>
      <c r="AC3401" s="29"/>
      <c r="AD3401" s="29"/>
      <c r="AE3401" s="29"/>
      <c r="AF3401" s="29"/>
    </row>
    <row r="3402" spans="2:32">
      <c r="B3402" s="29"/>
      <c r="C3402" s="29"/>
      <c r="D3402" s="29"/>
      <c r="E3402" s="29"/>
      <c r="F3402" s="29"/>
      <c r="G3402" s="29"/>
      <c r="H3402" s="29"/>
      <c r="I3402" s="29"/>
      <c r="J3402" s="29"/>
      <c r="K3402" s="29"/>
      <c r="L3402" s="29"/>
      <c r="M3402" s="29"/>
      <c r="N3402" s="29"/>
      <c r="O3402" s="29"/>
      <c r="P3402" s="29"/>
      <c r="Q3402" s="29"/>
      <c r="R3402" s="29"/>
      <c r="S3402" s="29"/>
      <c r="T3402" s="29"/>
      <c r="U3402" s="29"/>
      <c r="V3402" s="29"/>
      <c r="W3402" s="29"/>
      <c r="X3402" s="29"/>
      <c r="Y3402" s="29"/>
      <c r="Z3402" s="29"/>
      <c r="AA3402" s="29"/>
      <c r="AB3402" s="29"/>
      <c r="AC3402" s="29"/>
      <c r="AD3402" s="29"/>
      <c r="AE3402" s="29"/>
      <c r="AF3402" s="29"/>
    </row>
    <row r="3403" spans="2:32">
      <c r="B3403" s="29"/>
      <c r="C3403" s="29"/>
      <c r="D3403" s="29"/>
      <c r="E3403" s="29"/>
      <c r="F3403" s="29"/>
      <c r="G3403" s="29"/>
      <c r="H3403" s="29"/>
      <c r="I3403" s="29"/>
      <c r="J3403" s="29"/>
      <c r="K3403" s="29"/>
      <c r="L3403" s="29"/>
      <c r="M3403" s="29"/>
      <c r="N3403" s="29"/>
      <c r="O3403" s="29"/>
      <c r="P3403" s="29"/>
      <c r="Q3403" s="29"/>
      <c r="R3403" s="29"/>
      <c r="S3403" s="29"/>
      <c r="T3403" s="29"/>
      <c r="U3403" s="29"/>
      <c r="V3403" s="29"/>
      <c r="W3403" s="29"/>
      <c r="X3403" s="29"/>
      <c r="Y3403" s="29"/>
      <c r="Z3403" s="29"/>
      <c r="AA3403" s="29"/>
      <c r="AB3403" s="29"/>
      <c r="AC3403" s="29"/>
      <c r="AD3403" s="29"/>
      <c r="AE3403" s="29"/>
      <c r="AF3403" s="29"/>
    </row>
    <row r="3404" spans="2:32">
      <c r="B3404" s="29"/>
      <c r="C3404" s="29"/>
      <c r="D3404" s="29"/>
      <c r="E3404" s="29"/>
      <c r="F3404" s="29"/>
      <c r="G3404" s="29"/>
      <c r="H3404" s="29"/>
      <c r="I3404" s="29"/>
      <c r="J3404" s="29"/>
      <c r="K3404" s="29"/>
      <c r="L3404" s="29"/>
      <c r="M3404" s="29"/>
      <c r="N3404" s="29"/>
      <c r="O3404" s="29"/>
      <c r="P3404" s="29"/>
      <c r="Q3404" s="29"/>
      <c r="R3404" s="29"/>
      <c r="S3404" s="29"/>
      <c r="T3404" s="29"/>
      <c r="U3404" s="29"/>
      <c r="V3404" s="29"/>
      <c r="W3404" s="29"/>
      <c r="X3404" s="29"/>
      <c r="Y3404" s="29"/>
      <c r="Z3404" s="29"/>
      <c r="AA3404" s="29"/>
      <c r="AB3404" s="29"/>
      <c r="AC3404" s="29"/>
      <c r="AD3404" s="29"/>
      <c r="AE3404" s="29"/>
      <c r="AF3404" s="29"/>
    </row>
    <row r="3405" spans="2:32">
      <c r="B3405" s="29"/>
      <c r="C3405" s="29"/>
      <c r="D3405" s="29"/>
      <c r="E3405" s="29"/>
      <c r="F3405" s="29"/>
      <c r="G3405" s="29"/>
      <c r="H3405" s="29"/>
      <c r="I3405" s="29"/>
      <c r="J3405" s="29"/>
      <c r="K3405" s="29"/>
      <c r="L3405" s="29"/>
      <c r="M3405" s="29"/>
      <c r="N3405" s="29"/>
      <c r="O3405" s="29"/>
      <c r="P3405" s="29"/>
      <c r="Q3405" s="29"/>
      <c r="R3405" s="29"/>
      <c r="S3405" s="29"/>
      <c r="T3405" s="29"/>
      <c r="U3405" s="29"/>
      <c r="V3405" s="29"/>
      <c r="W3405" s="29"/>
      <c r="X3405" s="29"/>
      <c r="Y3405" s="29"/>
      <c r="Z3405" s="29"/>
      <c r="AA3405" s="29"/>
      <c r="AB3405" s="29"/>
      <c r="AC3405" s="29"/>
      <c r="AD3405" s="29"/>
      <c r="AE3405" s="29"/>
      <c r="AF3405" s="29"/>
    </row>
    <row r="3406" spans="2:32">
      <c r="B3406" s="29"/>
      <c r="C3406" s="29"/>
      <c r="D3406" s="29"/>
      <c r="E3406" s="29"/>
      <c r="F3406" s="29"/>
      <c r="G3406" s="29"/>
      <c r="H3406" s="29"/>
      <c r="I3406" s="29"/>
      <c r="J3406" s="29"/>
      <c r="K3406" s="29"/>
      <c r="L3406" s="29"/>
      <c r="M3406" s="29"/>
      <c r="N3406" s="29"/>
      <c r="O3406" s="29"/>
      <c r="P3406" s="29"/>
      <c r="Q3406" s="29"/>
      <c r="R3406" s="29"/>
      <c r="S3406" s="29"/>
      <c r="T3406" s="29"/>
      <c r="U3406" s="29"/>
      <c r="V3406" s="29"/>
      <c r="W3406" s="29"/>
      <c r="X3406" s="29"/>
      <c r="Y3406" s="29"/>
      <c r="Z3406" s="29"/>
      <c r="AA3406" s="29"/>
      <c r="AB3406" s="29"/>
      <c r="AC3406" s="29"/>
      <c r="AD3406" s="29"/>
      <c r="AE3406" s="29"/>
      <c r="AF3406" s="29"/>
    </row>
    <row r="3407" spans="2:32">
      <c r="B3407" s="29"/>
      <c r="C3407" s="29"/>
      <c r="D3407" s="29"/>
      <c r="E3407" s="29"/>
      <c r="F3407" s="29"/>
      <c r="G3407" s="29"/>
      <c r="H3407" s="29"/>
      <c r="I3407" s="29"/>
      <c r="J3407" s="29"/>
      <c r="K3407" s="29"/>
      <c r="L3407" s="29"/>
      <c r="M3407" s="29"/>
      <c r="N3407" s="29"/>
      <c r="O3407" s="29"/>
      <c r="P3407" s="29"/>
      <c r="Q3407" s="29"/>
      <c r="R3407" s="29"/>
      <c r="S3407" s="29"/>
      <c r="T3407" s="29"/>
      <c r="U3407" s="29"/>
      <c r="V3407" s="29"/>
      <c r="W3407" s="29"/>
      <c r="X3407" s="29"/>
      <c r="Y3407" s="29"/>
      <c r="Z3407" s="29"/>
      <c r="AA3407" s="29"/>
      <c r="AB3407" s="29"/>
      <c r="AC3407" s="29"/>
      <c r="AD3407" s="29"/>
      <c r="AE3407" s="29"/>
      <c r="AF3407" s="29"/>
    </row>
    <row r="3408" spans="2:32">
      <c r="B3408" s="29"/>
      <c r="C3408" s="29"/>
      <c r="D3408" s="29"/>
      <c r="E3408" s="29"/>
      <c r="F3408" s="29"/>
      <c r="G3408" s="29"/>
      <c r="H3408" s="29"/>
      <c r="I3408" s="29"/>
      <c r="J3408" s="29"/>
      <c r="K3408" s="29"/>
      <c r="L3408" s="29"/>
      <c r="M3408" s="29"/>
      <c r="N3408" s="29"/>
      <c r="O3408" s="29"/>
      <c r="P3408" s="29"/>
      <c r="Q3408" s="29"/>
      <c r="R3408" s="29"/>
      <c r="S3408" s="29"/>
      <c r="T3408" s="29"/>
      <c r="U3408" s="29"/>
      <c r="V3408" s="29"/>
      <c r="W3408" s="29"/>
      <c r="X3408" s="29"/>
      <c r="Y3408" s="29"/>
      <c r="Z3408" s="29"/>
      <c r="AA3408" s="29"/>
      <c r="AB3408" s="29"/>
      <c r="AC3408" s="29"/>
      <c r="AD3408" s="29"/>
      <c r="AE3408" s="29"/>
      <c r="AF3408" s="29"/>
    </row>
    <row r="3496" spans="2:32">
      <c r="B3496" s="29"/>
      <c r="C3496" s="29"/>
      <c r="D3496" s="29"/>
      <c r="E3496" s="29"/>
      <c r="F3496" s="29"/>
      <c r="G3496" s="29"/>
      <c r="H3496" s="29"/>
      <c r="I3496" s="29"/>
      <c r="J3496" s="29"/>
      <c r="K3496" s="29"/>
      <c r="L3496" s="29"/>
      <c r="M3496" s="29"/>
      <c r="N3496" s="29"/>
      <c r="O3496" s="29"/>
      <c r="P3496" s="29"/>
      <c r="Q3496" s="29"/>
      <c r="R3496" s="29"/>
      <c r="S3496" s="29"/>
      <c r="T3496" s="29"/>
      <c r="U3496" s="29"/>
      <c r="V3496" s="29"/>
      <c r="W3496" s="29"/>
      <c r="X3496" s="29"/>
      <c r="Y3496" s="29"/>
      <c r="Z3496" s="29"/>
      <c r="AA3496" s="29"/>
      <c r="AB3496" s="29"/>
      <c r="AC3496" s="29"/>
      <c r="AD3496" s="29"/>
      <c r="AE3496" s="29"/>
      <c r="AF3496" s="29"/>
    </row>
    <row r="3499" spans="2:32">
      <c r="B3499" s="29"/>
      <c r="C3499" s="29"/>
      <c r="D3499" s="29"/>
      <c r="E3499" s="29"/>
      <c r="F3499" s="29"/>
      <c r="G3499" s="29"/>
      <c r="H3499" s="29"/>
      <c r="I3499" s="29"/>
      <c r="J3499" s="29"/>
      <c r="K3499" s="29"/>
      <c r="L3499" s="29"/>
      <c r="M3499" s="29"/>
      <c r="N3499" s="29"/>
      <c r="O3499" s="29"/>
      <c r="P3499" s="29"/>
      <c r="Q3499" s="29"/>
      <c r="R3499" s="29"/>
      <c r="S3499" s="29"/>
      <c r="T3499" s="29"/>
      <c r="U3499" s="29"/>
      <c r="V3499" s="29"/>
      <c r="W3499" s="29"/>
      <c r="X3499" s="29"/>
      <c r="Y3499" s="29"/>
      <c r="Z3499" s="29"/>
      <c r="AA3499" s="29"/>
      <c r="AB3499" s="29"/>
      <c r="AC3499" s="29"/>
      <c r="AD3499" s="29"/>
      <c r="AE3499" s="29"/>
      <c r="AF3499" s="29"/>
    </row>
    <row r="3501" spans="2:32">
      <c r="B3501" s="29"/>
      <c r="C3501" s="29"/>
      <c r="D3501" s="29"/>
      <c r="E3501" s="29"/>
      <c r="F3501" s="29"/>
      <c r="G3501" s="29"/>
      <c r="H3501" s="29"/>
      <c r="I3501" s="29"/>
      <c r="J3501" s="29"/>
      <c r="K3501" s="29"/>
      <c r="L3501" s="29"/>
      <c r="M3501" s="29"/>
      <c r="N3501" s="29"/>
      <c r="O3501" s="29"/>
      <c r="P3501" s="29"/>
      <c r="Q3501" s="29"/>
      <c r="R3501" s="29"/>
      <c r="S3501" s="29"/>
      <c r="T3501" s="29"/>
      <c r="U3501" s="29"/>
      <c r="V3501" s="29"/>
      <c r="W3501" s="29"/>
      <c r="X3501" s="29"/>
      <c r="Y3501" s="29"/>
      <c r="Z3501" s="29"/>
      <c r="AA3501" s="29"/>
      <c r="AB3501" s="29"/>
      <c r="AC3501" s="29"/>
      <c r="AD3501" s="29"/>
      <c r="AE3501" s="29"/>
      <c r="AF3501" s="29"/>
    </row>
    <row r="3502" spans="2:32">
      <c r="B3502" s="289"/>
      <c r="C3502" s="289"/>
      <c r="D3502" s="289"/>
      <c r="E3502" s="289"/>
      <c r="F3502" s="289"/>
      <c r="G3502" s="289"/>
      <c r="H3502" s="289"/>
      <c r="I3502" s="289"/>
      <c r="J3502" s="289"/>
      <c r="K3502" s="289"/>
      <c r="L3502" s="289"/>
      <c r="M3502" s="289"/>
      <c r="N3502" s="289"/>
      <c r="O3502" s="289"/>
      <c r="P3502" s="289"/>
      <c r="Q3502" s="289"/>
      <c r="R3502" s="289"/>
      <c r="S3502" s="289"/>
      <c r="T3502" s="289"/>
      <c r="U3502" s="289"/>
      <c r="V3502" s="289"/>
      <c r="W3502" s="289"/>
      <c r="X3502" s="289"/>
      <c r="Y3502" s="289"/>
      <c r="Z3502" s="289"/>
      <c r="AA3502" s="289"/>
      <c r="AB3502" s="289"/>
      <c r="AC3502" s="289"/>
      <c r="AD3502" s="289"/>
      <c r="AE3502" s="289"/>
      <c r="AF3502" s="289"/>
    </row>
    <row r="3621" spans="2:32">
      <c r="B3621" s="29"/>
      <c r="C3621" s="29"/>
      <c r="D3621" s="29"/>
      <c r="E3621" s="29"/>
      <c r="F3621" s="29"/>
      <c r="G3621" s="29"/>
      <c r="H3621" s="29"/>
      <c r="I3621" s="29"/>
      <c r="J3621" s="29"/>
      <c r="K3621" s="29"/>
      <c r="L3621" s="29"/>
      <c r="M3621" s="29"/>
      <c r="N3621" s="29"/>
      <c r="O3621" s="29"/>
      <c r="P3621" s="29"/>
      <c r="Q3621" s="29"/>
      <c r="R3621" s="29"/>
      <c r="S3621" s="29"/>
      <c r="T3621" s="29"/>
      <c r="U3621" s="29"/>
      <c r="V3621" s="29"/>
      <c r="W3621" s="29"/>
      <c r="X3621" s="29"/>
      <c r="Y3621" s="29"/>
      <c r="Z3621" s="29"/>
      <c r="AA3621" s="29"/>
      <c r="AB3621" s="29"/>
      <c r="AC3621" s="29"/>
      <c r="AD3621" s="29"/>
      <c r="AE3621" s="29"/>
      <c r="AF3621" s="29"/>
    </row>
    <row r="3624" spans="2:32">
      <c r="B3624" s="29"/>
      <c r="C3624" s="29"/>
      <c r="D3624" s="29"/>
      <c r="E3624" s="29"/>
      <c r="F3624" s="29"/>
      <c r="G3624" s="29"/>
      <c r="H3624" s="29"/>
      <c r="I3624" s="29"/>
      <c r="J3624" s="29"/>
      <c r="K3624" s="29"/>
      <c r="L3624" s="29"/>
      <c r="M3624" s="29"/>
      <c r="N3624" s="29"/>
      <c r="O3624" s="29"/>
      <c r="P3624" s="29"/>
      <c r="Q3624" s="29"/>
      <c r="R3624" s="29"/>
      <c r="S3624" s="29"/>
      <c r="T3624" s="29"/>
      <c r="U3624" s="29"/>
      <c r="V3624" s="29"/>
      <c r="W3624" s="29"/>
      <c r="X3624" s="29"/>
      <c r="Y3624" s="29"/>
      <c r="Z3624" s="29"/>
      <c r="AA3624" s="29"/>
      <c r="AB3624" s="29"/>
      <c r="AC3624" s="29"/>
      <c r="AD3624" s="29"/>
      <c r="AE3624" s="29"/>
      <c r="AF3624" s="29"/>
    </row>
    <row r="3626" spans="2:32">
      <c r="B3626" s="29"/>
      <c r="C3626" s="29"/>
      <c r="D3626" s="29"/>
      <c r="E3626" s="29"/>
      <c r="F3626" s="29"/>
      <c r="G3626" s="29"/>
      <c r="H3626" s="29"/>
      <c r="I3626" s="29"/>
      <c r="J3626" s="29"/>
      <c r="K3626" s="29"/>
      <c r="L3626" s="29"/>
      <c r="M3626" s="29"/>
      <c r="N3626" s="29"/>
      <c r="O3626" s="29"/>
      <c r="P3626" s="29"/>
      <c r="Q3626" s="29"/>
      <c r="R3626" s="29"/>
      <c r="S3626" s="29"/>
      <c r="T3626" s="29"/>
      <c r="U3626" s="29"/>
      <c r="V3626" s="29"/>
      <c r="W3626" s="29"/>
      <c r="X3626" s="29"/>
      <c r="Y3626" s="29"/>
      <c r="Z3626" s="29"/>
      <c r="AA3626" s="29"/>
      <c r="AB3626" s="29"/>
      <c r="AC3626" s="29"/>
      <c r="AD3626" s="29"/>
      <c r="AE3626" s="29"/>
      <c r="AF3626" s="29"/>
    </row>
    <row r="3627" spans="2:32">
      <c r="B3627" s="289"/>
      <c r="C3627" s="289"/>
      <c r="D3627" s="289"/>
      <c r="E3627" s="289"/>
      <c r="F3627" s="289"/>
      <c r="G3627" s="289"/>
      <c r="H3627" s="289"/>
      <c r="I3627" s="289"/>
      <c r="J3627" s="289"/>
      <c r="K3627" s="289"/>
      <c r="L3627" s="289"/>
      <c r="M3627" s="289"/>
      <c r="N3627" s="289"/>
      <c r="O3627" s="289"/>
      <c r="P3627" s="289"/>
      <c r="Q3627" s="289"/>
      <c r="R3627" s="289"/>
      <c r="S3627" s="289"/>
      <c r="T3627" s="289"/>
      <c r="U3627" s="289"/>
      <c r="V3627" s="289"/>
      <c r="W3627" s="289"/>
      <c r="X3627" s="289"/>
      <c r="Y3627" s="289"/>
      <c r="Z3627" s="289"/>
      <c r="AA3627" s="289"/>
      <c r="AB3627" s="289"/>
      <c r="AC3627" s="289"/>
      <c r="AD3627" s="289"/>
      <c r="AE3627" s="289"/>
      <c r="AF3627" s="289"/>
    </row>
    <row r="3746" spans="2:32">
      <c r="B3746" s="29"/>
      <c r="C3746" s="29"/>
      <c r="D3746" s="29"/>
      <c r="E3746" s="29"/>
      <c r="F3746" s="29"/>
      <c r="G3746" s="29"/>
      <c r="H3746" s="29"/>
      <c r="I3746" s="29"/>
      <c r="J3746" s="29"/>
      <c r="K3746" s="29"/>
      <c r="L3746" s="29"/>
      <c r="M3746" s="29"/>
      <c r="N3746" s="29"/>
      <c r="O3746" s="29"/>
      <c r="P3746" s="29"/>
      <c r="Q3746" s="29"/>
      <c r="R3746" s="29"/>
      <c r="S3746" s="29"/>
      <c r="T3746" s="29"/>
      <c r="U3746" s="29"/>
      <c r="V3746" s="29"/>
      <c r="W3746" s="29"/>
      <c r="X3746" s="29"/>
      <c r="Y3746" s="29"/>
      <c r="Z3746" s="29"/>
      <c r="AA3746" s="29"/>
      <c r="AB3746" s="29"/>
      <c r="AC3746" s="29"/>
      <c r="AD3746" s="29"/>
      <c r="AE3746" s="29"/>
      <c r="AF3746" s="29"/>
    </row>
    <row r="3749" spans="2:32">
      <c r="B3749" s="29"/>
      <c r="C3749" s="29"/>
      <c r="D3749" s="29"/>
      <c r="E3749" s="29"/>
      <c r="F3749" s="29"/>
      <c r="G3749" s="29"/>
      <c r="H3749" s="29"/>
      <c r="I3749" s="29"/>
      <c r="J3749" s="29"/>
      <c r="K3749" s="29"/>
      <c r="L3749" s="29"/>
      <c r="M3749" s="29"/>
      <c r="N3749" s="29"/>
      <c r="O3749" s="29"/>
      <c r="P3749" s="29"/>
      <c r="Q3749" s="29"/>
      <c r="R3749" s="29"/>
      <c r="S3749" s="29"/>
      <c r="T3749" s="29"/>
      <c r="U3749" s="29"/>
      <c r="V3749" s="29"/>
      <c r="W3749" s="29"/>
      <c r="X3749" s="29"/>
      <c r="Y3749" s="29"/>
      <c r="Z3749" s="29"/>
      <c r="AA3749" s="29"/>
      <c r="AB3749" s="29"/>
      <c r="AC3749" s="29"/>
      <c r="AD3749" s="29"/>
      <c r="AE3749" s="29"/>
      <c r="AF3749" s="29"/>
    </row>
    <row r="3751" spans="2:32">
      <c r="B3751" s="29"/>
      <c r="C3751" s="29"/>
      <c r="D3751" s="29"/>
      <c r="E3751" s="29"/>
      <c r="F3751" s="29"/>
      <c r="G3751" s="29"/>
      <c r="H3751" s="29"/>
      <c r="I3751" s="29"/>
      <c r="J3751" s="29"/>
      <c r="K3751" s="29"/>
      <c r="L3751" s="29"/>
      <c r="M3751" s="29"/>
      <c r="N3751" s="29"/>
      <c r="O3751" s="29"/>
      <c r="P3751" s="29"/>
      <c r="Q3751" s="29"/>
      <c r="R3751" s="29"/>
      <c r="S3751" s="29"/>
      <c r="T3751" s="29"/>
      <c r="U3751" s="29"/>
      <c r="V3751" s="29"/>
      <c r="W3751" s="29"/>
      <c r="X3751" s="29"/>
      <c r="Y3751" s="29"/>
      <c r="Z3751" s="29"/>
      <c r="AA3751" s="29"/>
      <c r="AB3751" s="29"/>
      <c r="AC3751" s="29"/>
      <c r="AD3751" s="29"/>
      <c r="AE3751" s="29"/>
      <c r="AF3751" s="29"/>
    </row>
    <row r="3752" spans="2:32">
      <c r="B3752" s="289"/>
      <c r="C3752" s="289"/>
      <c r="D3752" s="289"/>
      <c r="E3752" s="289"/>
      <c r="F3752" s="289"/>
      <c r="G3752" s="289"/>
      <c r="H3752" s="289"/>
      <c r="I3752" s="289"/>
      <c r="J3752" s="289"/>
      <c r="K3752" s="289"/>
      <c r="L3752" s="289"/>
      <c r="M3752" s="289"/>
      <c r="N3752" s="289"/>
      <c r="O3752" s="289"/>
      <c r="P3752" s="289"/>
      <c r="Q3752" s="289"/>
      <c r="R3752" s="289"/>
      <c r="S3752" s="289"/>
      <c r="T3752" s="289"/>
      <c r="U3752" s="289"/>
      <c r="V3752" s="289"/>
      <c r="W3752" s="289"/>
      <c r="X3752" s="289"/>
      <c r="Y3752" s="289"/>
      <c r="Z3752" s="289"/>
      <c r="AA3752" s="289"/>
      <c r="AB3752" s="289"/>
      <c r="AC3752" s="289"/>
      <c r="AD3752" s="289"/>
      <c r="AE3752" s="289"/>
      <c r="AF3752" s="289"/>
    </row>
    <row r="3874" spans="2:32">
      <c r="B3874" s="29"/>
      <c r="C3874" s="29"/>
      <c r="D3874" s="29"/>
      <c r="E3874" s="29"/>
      <c r="F3874" s="29"/>
      <c r="G3874" s="29"/>
      <c r="H3874" s="29"/>
      <c r="I3874" s="29"/>
      <c r="J3874" s="29"/>
      <c r="K3874" s="29"/>
      <c r="L3874" s="29"/>
      <c r="M3874" s="29"/>
      <c r="N3874" s="29"/>
      <c r="O3874" s="29"/>
      <c r="P3874" s="29"/>
      <c r="Q3874" s="29"/>
      <c r="R3874" s="29"/>
      <c r="S3874" s="29"/>
      <c r="T3874" s="29"/>
      <c r="U3874" s="29"/>
      <c r="V3874" s="29"/>
      <c r="W3874" s="29"/>
      <c r="X3874" s="29"/>
      <c r="Y3874" s="29"/>
      <c r="Z3874" s="29"/>
      <c r="AA3874" s="29"/>
      <c r="AB3874" s="29"/>
      <c r="AC3874" s="29"/>
      <c r="AD3874" s="29"/>
      <c r="AE3874" s="29"/>
      <c r="AF3874" s="29"/>
    </row>
    <row r="3876" spans="2:32">
      <c r="B3876" s="29"/>
      <c r="C3876" s="29"/>
      <c r="D3876" s="29"/>
      <c r="E3876" s="29"/>
      <c r="F3876" s="29"/>
      <c r="G3876" s="29"/>
      <c r="H3876" s="29"/>
      <c r="I3876" s="29"/>
      <c r="J3876" s="29"/>
      <c r="K3876" s="29"/>
      <c r="L3876" s="29"/>
      <c r="M3876" s="29"/>
      <c r="N3876" s="29"/>
      <c r="O3876" s="29"/>
      <c r="P3876" s="29"/>
      <c r="Q3876" s="29"/>
      <c r="R3876" s="29"/>
      <c r="S3876" s="29"/>
      <c r="T3876" s="29"/>
      <c r="U3876" s="29"/>
      <c r="V3876" s="29"/>
      <c r="W3876" s="29"/>
      <c r="X3876" s="29"/>
      <c r="Y3876" s="29"/>
      <c r="Z3876" s="29"/>
      <c r="AA3876" s="29"/>
      <c r="AB3876" s="29"/>
      <c r="AC3876" s="29"/>
      <c r="AD3876" s="29"/>
      <c r="AE3876" s="29"/>
      <c r="AF3876" s="29"/>
    </row>
    <row r="3877" spans="2:32">
      <c r="B3877" s="289"/>
      <c r="C3877" s="289"/>
      <c r="D3877" s="289"/>
      <c r="E3877" s="289"/>
      <c r="F3877" s="289"/>
      <c r="G3877" s="289"/>
      <c r="H3877" s="289"/>
      <c r="I3877" s="289"/>
      <c r="J3877" s="289"/>
      <c r="K3877" s="289"/>
      <c r="L3877" s="289"/>
      <c r="M3877" s="289"/>
      <c r="N3877" s="289"/>
      <c r="O3877" s="289"/>
      <c r="P3877" s="289"/>
      <c r="Q3877" s="289"/>
      <c r="R3877" s="289"/>
      <c r="S3877" s="289"/>
      <c r="T3877" s="289"/>
      <c r="U3877" s="289"/>
      <c r="V3877" s="289"/>
      <c r="W3877" s="289"/>
      <c r="X3877" s="289"/>
      <c r="Y3877" s="289"/>
      <c r="Z3877" s="289"/>
      <c r="AA3877" s="289"/>
      <c r="AB3877" s="289"/>
      <c r="AC3877" s="289"/>
      <c r="AD3877" s="289"/>
      <c r="AE3877" s="289"/>
      <c r="AF3877" s="289"/>
    </row>
    <row r="3886" spans="2:32">
      <c r="B3886" s="29"/>
      <c r="C3886" s="29"/>
      <c r="D3886" s="29"/>
      <c r="E3886" s="29"/>
      <c r="F3886" s="29"/>
      <c r="G3886" s="29"/>
      <c r="H3886" s="29"/>
      <c r="I3886" s="29"/>
      <c r="J3886" s="29"/>
      <c r="K3886" s="29"/>
      <c r="L3886" s="29"/>
      <c r="M3886" s="29"/>
      <c r="N3886" s="29"/>
      <c r="O3886" s="29"/>
      <c r="P3886" s="29"/>
      <c r="Q3886" s="29"/>
      <c r="R3886" s="29"/>
      <c r="S3886" s="29"/>
      <c r="T3886" s="29"/>
      <c r="U3886" s="29"/>
      <c r="V3886" s="29"/>
      <c r="W3886" s="29"/>
      <c r="X3886" s="29"/>
      <c r="Y3886" s="29"/>
      <c r="Z3886" s="29"/>
      <c r="AA3886" s="29"/>
      <c r="AB3886" s="29"/>
      <c r="AC3886" s="29"/>
      <c r="AD3886" s="29"/>
      <c r="AE3886" s="29"/>
      <c r="AF3886" s="29"/>
    </row>
    <row r="3887" spans="2:32">
      <c r="B3887" s="29"/>
      <c r="C3887" s="29"/>
      <c r="D3887" s="29"/>
      <c r="E3887" s="29"/>
      <c r="F3887" s="29"/>
      <c r="G3887" s="29"/>
      <c r="H3887" s="29"/>
      <c r="I3887" s="29"/>
      <c r="J3887" s="29"/>
      <c r="K3887" s="29"/>
      <c r="L3887" s="29"/>
      <c r="M3887" s="29"/>
      <c r="N3887" s="29"/>
      <c r="O3887" s="29"/>
      <c r="P3887" s="29"/>
      <c r="Q3887" s="29"/>
      <c r="R3887" s="29"/>
      <c r="S3887" s="29"/>
      <c r="T3887" s="29"/>
      <c r="U3887" s="29"/>
      <c r="V3887" s="29"/>
      <c r="W3887" s="29"/>
      <c r="X3887" s="29"/>
      <c r="Y3887" s="29"/>
      <c r="Z3887" s="29"/>
      <c r="AA3887" s="29"/>
      <c r="AB3887" s="29"/>
      <c r="AC3887" s="29"/>
      <c r="AD3887" s="29"/>
      <c r="AE3887" s="29"/>
      <c r="AF3887" s="29"/>
    </row>
    <row r="3888" spans="2:32">
      <c r="B3888" s="29"/>
      <c r="C3888" s="29"/>
      <c r="D3888" s="29"/>
      <c r="E3888" s="29"/>
      <c r="F3888" s="29"/>
      <c r="G3888" s="29"/>
      <c r="H3888" s="29"/>
      <c r="I3888" s="29"/>
      <c r="J3888" s="29"/>
      <c r="K3888" s="29"/>
      <c r="L3888" s="29"/>
      <c r="M3888" s="29"/>
      <c r="N3888" s="29"/>
      <c r="O3888" s="29"/>
      <c r="P3888" s="29"/>
      <c r="Q3888" s="29"/>
      <c r="R3888" s="29"/>
      <c r="S3888" s="29"/>
      <c r="T3888" s="29"/>
      <c r="U3888" s="29"/>
      <c r="V3888" s="29"/>
      <c r="W3888" s="29"/>
      <c r="X3888" s="29"/>
      <c r="Y3888" s="29"/>
      <c r="Z3888" s="29"/>
      <c r="AA3888" s="29"/>
      <c r="AB3888" s="29"/>
      <c r="AC3888" s="29"/>
      <c r="AD3888" s="29"/>
      <c r="AE3888" s="29"/>
      <c r="AF3888" s="29"/>
    </row>
    <row r="4001" spans="2:32">
      <c r="B4001" s="29"/>
      <c r="C4001" s="29"/>
      <c r="D4001" s="29"/>
      <c r="E4001" s="29"/>
      <c r="F4001" s="29"/>
      <c r="G4001" s="29"/>
      <c r="H4001" s="29"/>
      <c r="I4001" s="29"/>
      <c r="J4001" s="29"/>
      <c r="K4001" s="29"/>
      <c r="L4001" s="29"/>
      <c r="M4001" s="29"/>
      <c r="N4001" s="29"/>
      <c r="O4001" s="29"/>
      <c r="P4001" s="29"/>
      <c r="Q4001" s="29"/>
      <c r="R4001" s="29"/>
      <c r="S4001" s="29"/>
      <c r="T4001" s="29"/>
      <c r="U4001" s="29"/>
      <c r="V4001" s="29"/>
      <c r="W4001" s="29"/>
      <c r="X4001" s="29"/>
      <c r="Y4001" s="29"/>
      <c r="Z4001" s="29"/>
      <c r="AA4001" s="29"/>
      <c r="AB4001" s="29"/>
      <c r="AC4001" s="29"/>
      <c r="AD4001" s="29"/>
      <c r="AE4001" s="29"/>
      <c r="AF4001" s="29"/>
    </row>
    <row r="4002" spans="2:32">
      <c r="B4002" s="289"/>
      <c r="C4002" s="289"/>
      <c r="D4002" s="289"/>
      <c r="E4002" s="289"/>
      <c r="F4002" s="289"/>
      <c r="G4002" s="289"/>
      <c r="H4002" s="289"/>
      <c r="I4002" s="289"/>
      <c r="J4002" s="289"/>
      <c r="K4002" s="289"/>
      <c r="L4002" s="289"/>
      <c r="M4002" s="289"/>
      <c r="N4002" s="289"/>
      <c r="O4002" s="289"/>
      <c r="P4002" s="289"/>
      <c r="Q4002" s="289"/>
      <c r="R4002" s="289"/>
      <c r="S4002" s="289"/>
      <c r="T4002" s="289"/>
      <c r="U4002" s="289"/>
      <c r="V4002" s="289"/>
      <c r="W4002" s="289"/>
      <c r="X4002" s="289"/>
      <c r="Y4002" s="289"/>
      <c r="Z4002" s="289"/>
      <c r="AA4002" s="289"/>
      <c r="AB4002" s="289"/>
      <c r="AC4002" s="289"/>
      <c r="AD4002" s="289"/>
      <c r="AE4002" s="289"/>
      <c r="AF4002" s="289"/>
    </row>
    <row r="4011" spans="2:32">
      <c r="B4011" s="29"/>
      <c r="C4011" s="29"/>
      <c r="D4011" s="29"/>
      <c r="E4011" s="29"/>
      <c r="F4011" s="29"/>
      <c r="G4011" s="29"/>
      <c r="H4011" s="29"/>
      <c r="I4011" s="29"/>
      <c r="J4011" s="29"/>
      <c r="K4011" s="29"/>
      <c r="L4011" s="29"/>
      <c r="M4011" s="29"/>
      <c r="N4011" s="29"/>
      <c r="O4011" s="29"/>
      <c r="P4011" s="29"/>
      <c r="Q4011" s="29"/>
      <c r="R4011" s="29"/>
      <c r="S4011" s="29"/>
      <c r="T4011" s="29"/>
      <c r="U4011" s="29"/>
      <c r="V4011" s="29"/>
      <c r="W4011" s="29"/>
      <c r="X4011" s="29"/>
      <c r="Y4011" s="29"/>
      <c r="Z4011" s="29"/>
      <c r="AA4011" s="29"/>
      <c r="AB4011" s="29"/>
      <c r="AC4011" s="29"/>
      <c r="AD4011" s="29"/>
      <c r="AE4011" s="29"/>
      <c r="AF4011" s="29"/>
    </row>
    <row r="4012" spans="2:32">
      <c r="B4012" s="29"/>
      <c r="C4012" s="29"/>
      <c r="D4012" s="29"/>
      <c r="E4012" s="29"/>
      <c r="F4012" s="29"/>
      <c r="G4012" s="29"/>
      <c r="H4012" s="29"/>
      <c r="I4012" s="29"/>
      <c r="J4012" s="29"/>
      <c r="K4012" s="29"/>
      <c r="L4012" s="29"/>
      <c r="M4012" s="29"/>
      <c r="N4012" s="29"/>
      <c r="O4012" s="29"/>
      <c r="P4012" s="29"/>
      <c r="Q4012" s="29"/>
      <c r="R4012" s="29"/>
      <c r="S4012" s="29"/>
      <c r="T4012" s="29"/>
      <c r="U4012" s="29"/>
      <c r="V4012" s="29"/>
      <c r="W4012" s="29"/>
      <c r="X4012" s="29"/>
      <c r="Y4012" s="29"/>
      <c r="Z4012" s="29"/>
      <c r="AA4012" s="29"/>
      <c r="AB4012" s="29"/>
      <c r="AC4012" s="29"/>
      <c r="AD4012" s="29"/>
      <c r="AE4012" s="29"/>
      <c r="AF4012" s="29"/>
    </row>
    <row r="4013" spans="2:32">
      <c r="B4013" s="29"/>
      <c r="C4013" s="29"/>
      <c r="D4013" s="29"/>
      <c r="E4013" s="29"/>
      <c r="F4013" s="29"/>
      <c r="G4013" s="29"/>
      <c r="H4013" s="29"/>
      <c r="I4013" s="29"/>
      <c r="J4013" s="29"/>
      <c r="K4013" s="29"/>
      <c r="L4013" s="29"/>
      <c r="M4013" s="29"/>
      <c r="N4013" s="29"/>
      <c r="O4013" s="29"/>
      <c r="P4013" s="29"/>
      <c r="Q4013" s="29"/>
      <c r="R4013" s="29"/>
      <c r="S4013" s="29"/>
      <c r="T4013" s="29"/>
      <c r="U4013" s="29"/>
      <c r="V4013" s="29"/>
      <c r="W4013" s="29"/>
      <c r="X4013" s="29"/>
      <c r="Y4013" s="29"/>
      <c r="Z4013" s="29"/>
      <c r="AA4013" s="29"/>
      <c r="AB4013" s="29"/>
      <c r="AC4013" s="29"/>
      <c r="AD4013" s="29"/>
      <c r="AE4013" s="29"/>
      <c r="AF4013" s="29"/>
    </row>
    <row r="4014" spans="2:32">
      <c r="B4014" s="29"/>
      <c r="C4014" s="29"/>
      <c r="D4014" s="29"/>
      <c r="E4014" s="29"/>
      <c r="F4014" s="29"/>
      <c r="G4014" s="29"/>
      <c r="H4014" s="29"/>
      <c r="I4014" s="29"/>
      <c r="J4014" s="29"/>
      <c r="K4014" s="29"/>
      <c r="L4014" s="29"/>
      <c r="M4014" s="29"/>
      <c r="N4014" s="29"/>
      <c r="O4014" s="29"/>
      <c r="P4014" s="29"/>
      <c r="Q4014" s="29"/>
      <c r="R4014" s="29"/>
      <c r="S4014" s="29"/>
      <c r="T4014" s="29"/>
      <c r="U4014" s="29"/>
      <c r="V4014" s="29"/>
      <c r="W4014" s="29"/>
      <c r="X4014" s="29"/>
      <c r="Y4014" s="29"/>
      <c r="Z4014" s="29"/>
      <c r="AA4014" s="29"/>
      <c r="AB4014" s="29"/>
      <c r="AC4014" s="29"/>
      <c r="AD4014" s="29"/>
      <c r="AE4014" s="29"/>
      <c r="AF4014" s="29"/>
    </row>
    <row r="4015" spans="2:32">
      <c r="B4015" s="29"/>
      <c r="C4015" s="29"/>
      <c r="D4015" s="29"/>
      <c r="E4015" s="29"/>
      <c r="F4015" s="29"/>
      <c r="G4015" s="29"/>
      <c r="H4015" s="29"/>
      <c r="I4015" s="29"/>
      <c r="J4015" s="29"/>
      <c r="K4015" s="29"/>
      <c r="L4015" s="29"/>
      <c r="M4015" s="29"/>
      <c r="N4015" s="29"/>
      <c r="O4015" s="29"/>
      <c r="P4015" s="29"/>
      <c r="Q4015" s="29"/>
      <c r="R4015" s="29"/>
      <c r="S4015" s="29"/>
      <c r="T4015" s="29"/>
      <c r="U4015" s="29"/>
      <c r="V4015" s="29"/>
      <c r="W4015" s="29"/>
      <c r="X4015" s="29"/>
      <c r="Y4015" s="29"/>
      <c r="Z4015" s="29"/>
      <c r="AA4015" s="29"/>
      <c r="AB4015" s="29"/>
      <c r="AC4015" s="29"/>
      <c r="AD4015" s="29"/>
      <c r="AE4015" s="29"/>
      <c r="AF4015" s="29"/>
    </row>
    <row r="4016" spans="2:32">
      <c r="B4016" s="29"/>
      <c r="C4016" s="29"/>
      <c r="D4016" s="29"/>
      <c r="E4016" s="29"/>
      <c r="F4016" s="29"/>
      <c r="G4016" s="29"/>
      <c r="H4016" s="29"/>
      <c r="I4016" s="29"/>
      <c r="J4016" s="29"/>
      <c r="K4016" s="29"/>
      <c r="L4016" s="29"/>
      <c r="M4016" s="29"/>
      <c r="N4016" s="29"/>
      <c r="O4016" s="29"/>
      <c r="P4016" s="29"/>
      <c r="Q4016" s="29"/>
      <c r="R4016" s="29"/>
      <c r="S4016" s="29"/>
      <c r="T4016" s="29"/>
      <c r="U4016" s="29"/>
      <c r="V4016" s="29"/>
      <c r="W4016" s="29"/>
      <c r="X4016" s="29"/>
      <c r="Y4016" s="29"/>
      <c r="Z4016" s="29"/>
      <c r="AA4016" s="29"/>
      <c r="AB4016" s="29"/>
      <c r="AC4016" s="29"/>
      <c r="AD4016" s="29"/>
      <c r="AE4016" s="29"/>
      <c r="AF4016" s="29"/>
    </row>
    <row r="4121" spans="2:32">
      <c r="B4121" s="29"/>
      <c r="C4121" s="29"/>
      <c r="D4121" s="29"/>
      <c r="E4121" s="29"/>
      <c r="F4121" s="29"/>
      <c r="G4121" s="29"/>
      <c r="H4121" s="29"/>
      <c r="I4121" s="29"/>
      <c r="J4121" s="29"/>
      <c r="K4121" s="29"/>
      <c r="L4121" s="29"/>
      <c r="M4121" s="29"/>
      <c r="N4121" s="29"/>
      <c r="O4121" s="29"/>
      <c r="P4121" s="29"/>
      <c r="Q4121" s="29"/>
      <c r="R4121" s="29"/>
      <c r="S4121" s="29"/>
      <c r="T4121" s="29"/>
      <c r="U4121" s="29"/>
      <c r="V4121" s="29"/>
      <c r="W4121" s="29"/>
      <c r="X4121" s="29"/>
      <c r="Y4121" s="29"/>
      <c r="Z4121" s="29"/>
      <c r="AA4121" s="29"/>
      <c r="AB4121" s="29"/>
      <c r="AC4121" s="29"/>
      <c r="AD4121" s="29"/>
      <c r="AE4121" s="29"/>
      <c r="AF4121" s="29"/>
    </row>
    <row r="4124" spans="2:32">
      <c r="B4124" s="29"/>
      <c r="C4124" s="29"/>
      <c r="D4124" s="29"/>
      <c r="E4124" s="29"/>
      <c r="F4124" s="29"/>
      <c r="G4124" s="29"/>
      <c r="H4124" s="29"/>
      <c r="I4124" s="29"/>
      <c r="J4124" s="29"/>
      <c r="K4124" s="29"/>
      <c r="L4124" s="29"/>
      <c r="M4124" s="29"/>
      <c r="N4124" s="29"/>
      <c r="O4124" s="29"/>
      <c r="P4124" s="29"/>
      <c r="Q4124" s="29"/>
      <c r="R4124" s="29"/>
      <c r="S4124" s="29"/>
      <c r="T4124" s="29"/>
      <c r="U4124" s="29"/>
      <c r="V4124" s="29"/>
      <c r="W4124" s="29"/>
      <c r="X4124" s="29"/>
      <c r="Y4124" s="29"/>
      <c r="Z4124" s="29"/>
      <c r="AA4124" s="29"/>
      <c r="AB4124" s="29"/>
      <c r="AC4124" s="29"/>
      <c r="AD4124" s="29"/>
      <c r="AE4124" s="29"/>
      <c r="AF4124" s="29"/>
    </row>
    <row r="4126" spans="2:32">
      <c r="B4126" s="29"/>
      <c r="C4126" s="29"/>
      <c r="D4126" s="29"/>
      <c r="E4126" s="29"/>
      <c r="F4126" s="29"/>
      <c r="G4126" s="29"/>
      <c r="H4126" s="29"/>
      <c r="I4126" s="29"/>
      <c r="J4126" s="29"/>
      <c r="K4126" s="29"/>
      <c r="L4126" s="29"/>
      <c r="M4126" s="29"/>
      <c r="N4126" s="29"/>
      <c r="O4126" s="29"/>
      <c r="P4126" s="29"/>
      <c r="Q4126" s="29"/>
      <c r="R4126" s="29"/>
      <c r="S4126" s="29"/>
      <c r="T4126" s="29"/>
      <c r="U4126" s="29"/>
      <c r="V4126" s="29"/>
      <c r="W4126" s="29"/>
      <c r="X4126" s="29"/>
      <c r="Y4126" s="29"/>
      <c r="Z4126" s="29"/>
      <c r="AA4126" s="29"/>
      <c r="AB4126" s="29"/>
      <c r="AC4126" s="29"/>
      <c r="AD4126" s="29"/>
      <c r="AE4126" s="29"/>
      <c r="AF4126" s="29"/>
    </row>
    <row r="4127" spans="2:32">
      <c r="B4127" s="289"/>
      <c r="C4127" s="289"/>
      <c r="D4127" s="289"/>
      <c r="E4127" s="289"/>
      <c r="F4127" s="289"/>
      <c r="G4127" s="289"/>
      <c r="H4127" s="289"/>
      <c r="I4127" s="289"/>
      <c r="J4127" s="289"/>
      <c r="K4127" s="289"/>
      <c r="L4127" s="289"/>
      <c r="M4127" s="289"/>
      <c r="N4127" s="289"/>
      <c r="O4127" s="289"/>
      <c r="P4127" s="289"/>
      <c r="Q4127" s="289"/>
      <c r="R4127" s="289"/>
      <c r="S4127" s="289"/>
      <c r="T4127" s="289"/>
      <c r="U4127" s="289"/>
      <c r="V4127" s="289"/>
      <c r="W4127" s="289"/>
      <c r="X4127" s="289"/>
      <c r="Y4127" s="289"/>
      <c r="Z4127" s="289"/>
      <c r="AA4127" s="289"/>
      <c r="AB4127" s="289"/>
      <c r="AC4127" s="289"/>
      <c r="AD4127" s="289"/>
      <c r="AE4127" s="289"/>
      <c r="AF4127" s="289"/>
    </row>
    <row r="4246" spans="2:32">
      <c r="B4246" s="29"/>
      <c r="C4246" s="29"/>
      <c r="D4246" s="29"/>
      <c r="E4246" s="29"/>
      <c r="F4246" s="29"/>
      <c r="G4246" s="29"/>
      <c r="H4246" s="29"/>
      <c r="I4246" s="29"/>
      <c r="J4246" s="29"/>
      <c r="K4246" s="29"/>
      <c r="L4246" s="29"/>
      <c r="M4246" s="29"/>
      <c r="N4246" s="29"/>
      <c r="O4246" s="29"/>
      <c r="P4246" s="29"/>
      <c r="Q4246" s="29"/>
      <c r="R4246" s="29"/>
      <c r="S4246" s="29"/>
      <c r="T4246" s="29"/>
      <c r="U4246" s="29"/>
      <c r="V4246" s="29"/>
      <c r="W4246" s="29"/>
      <c r="X4246" s="29"/>
      <c r="Y4246" s="29"/>
      <c r="Z4246" s="29"/>
      <c r="AA4246" s="29"/>
      <c r="AB4246" s="29"/>
      <c r="AC4246" s="29"/>
      <c r="AD4246" s="29"/>
      <c r="AE4246" s="29"/>
      <c r="AF4246" s="29"/>
    </row>
    <row r="4249" spans="2:32">
      <c r="B4249" s="29"/>
      <c r="C4249" s="29"/>
      <c r="D4249" s="29"/>
      <c r="E4249" s="29"/>
      <c r="F4249" s="29"/>
      <c r="G4249" s="29"/>
      <c r="H4249" s="29"/>
      <c r="I4249" s="29"/>
      <c r="J4249" s="29"/>
      <c r="K4249" s="29"/>
      <c r="L4249" s="29"/>
      <c r="M4249" s="29"/>
      <c r="N4249" s="29"/>
      <c r="O4249" s="29"/>
      <c r="P4249" s="29"/>
      <c r="Q4249" s="29"/>
      <c r="R4249" s="29"/>
      <c r="S4249" s="29"/>
      <c r="T4249" s="29"/>
      <c r="U4249" s="29"/>
      <c r="V4249" s="29"/>
      <c r="W4249" s="29"/>
      <c r="X4249" s="29"/>
      <c r="Y4249" s="29"/>
      <c r="Z4249" s="29"/>
      <c r="AA4249" s="29"/>
      <c r="AB4249" s="29"/>
      <c r="AC4249" s="29"/>
      <c r="AD4249" s="29"/>
      <c r="AE4249" s="29"/>
      <c r="AF4249" s="29"/>
    </row>
    <row r="4251" spans="2:32">
      <c r="B4251" s="29"/>
      <c r="C4251" s="29"/>
      <c r="D4251" s="29"/>
      <c r="E4251" s="29"/>
      <c r="F4251" s="29"/>
      <c r="G4251" s="29"/>
      <c r="H4251" s="29"/>
      <c r="I4251" s="29"/>
      <c r="J4251" s="29"/>
      <c r="K4251" s="29"/>
      <c r="L4251" s="29"/>
      <c r="M4251" s="29"/>
      <c r="N4251" s="29"/>
      <c r="O4251" s="29"/>
      <c r="P4251" s="29"/>
      <c r="Q4251" s="29"/>
      <c r="R4251" s="29"/>
      <c r="S4251" s="29"/>
      <c r="T4251" s="29"/>
      <c r="U4251" s="29"/>
      <c r="V4251" s="29"/>
      <c r="W4251" s="29"/>
      <c r="X4251" s="29"/>
      <c r="Y4251" s="29"/>
      <c r="Z4251" s="29"/>
      <c r="AA4251" s="29"/>
      <c r="AB4251" s="29"/>
      <c r="AC4251" s="29"/>
      <c r="AD4251" s="29"/>
      <c r="AE4251" s="29"/>
      <c r="AF4251" s="29"/>
    </row>
    <row r="4252" spans="2:32">
      <c r="B4252" s="289"/>
      <c r="C4252" s="289"/>
      <c r="D4252" s="289"/>
      <c r="E4252" s="289"/>
      <c r="F4252" s="289"/>
      <c r="G4252" s="289"/>
      <c r="H4252" s="289"/>
      <c r="I4252" s="289"/>
      <c r="J4252" s="289"/>
      <c r="K4252" s="289"/>
      <c r="L4252" s="289"/>
      <c r="M4252" s="289"/>
      <c r="N4252" s="289"/>
      <c r="O4252" s="289"/>
      <c r="P4252" s="289"/>
      <c r="Q4252" s="289"/>
      <c r="R4252" s="289"/>
      <c r="S4252" s="289"/>
      <c r="T4252" s="289"/>
      <c r="U4252" s="289"/>
      <c r="V4252" s="289"/>
      <c r="W4252" s="289"/>
      <c r="X4252" s="289"/>
      <c r="Y4252" s="289"/>
      <c r="Z4252" s="289"/>
      <c r="AA4252" s="289"/>
      <c r="AB4252" s="289"/>
      <c r="AC4252" s="289"/>
      <c r="AD4252" s="289"/>
      <c r="AE4252" s="289"/>
      <c r="AF4252" s="289"/>
    </row>
    <row r="4371" spans="2:32">
      <c r="B4371" s="29"/>
      <c r="C4371" s="29"/>
      <c r="D4371" s="29"/>
      <c r="E4371" s="29"/>
      <c r="F4371" s="29"/>
      <c r="G4371" s="29"/>
      <c r="H4371" s="29"/>
      <c r="I4371" s="29"/>
      <c r="J4371" s="29"/>
      <c r="K4371" s="29"/>
      <c r="L4371" s="29"/>
      <c r="M4371" s="29"/>
      <c r="N4371" s="29"/>
      <c r="O4371" s="29"/>
      <c r="P4371" s="29"/>
      <c r="Q4371" s="29"/>
      <c r="R4371" s="29"/>
      <c r="S4371" s="29"/>
      <c r="T4371" s="29"/>
      <c r="U4371" s="29"/>
      <c r="V4371" s="29"/>
      <c r="W4371" s="29"/>
      <c r="X4371" s="29"/>
      <c r="Y4371" s="29"/>
      <c r="Z4371" s="29"/>
      <c r="AA4371" s="29"/>
      <c r="AB4371" s="29"/>
      <c r="AC4371" s="29"/>
      <c r="AD4371" s="29"/>
      <c r="AE4371" s="29"/>
      <c r="AF4371" s="29"/>
    </row>
    <row r="4374" spans="2:32">
      <c r="B4374" s="29"/>
      <c r="C4374" s="29"/>
      <c r="D4374" s="29"/>
      <c r="E4374" s="29"/>
      <c r="F4374" s="29"/>
      <c r="G4374" s="29"/>
      <c r="H4374" s="29"/>
      <c r="I4374" s="29"/>
      <c r="J4374" s="29"/>
      <c r="K4374" s="29"/>
      <c r="L4374" s="29"/>
      <c r="M4374" s="29"/>
      <c r="N4374" s="29"/>
      <c r="O4374" s="29"/>
      <c r="P4374" s="29"/>
      <c r="Q4374" s="29"/>
      <c r="R4374" s="29"/>
      <c r="S4374" s="29"/>
      <c r="T4374" s="29"/>
      <c r="U4374" s="29"/>
      <c r="V4374" s="29"/>
      <c r="W4374" s="29"/>
      <c r="X4374" s="29"/>
      <c r="Y4374" s="29"/>
      <c r="Z4374" s="29"/>
      <c r="AA4374" s="29"/>
      <c r="AB4374" s="29"/>
      <c r="AC4374" s="29"/>
      <c r="AD4374" s="29"/>
      <c r="AE4374" s="29"/>
      <c r="AF4374" s="29"/>
    </row>
    <row r="4376" spans="2:32">
      <c r="B4376" s="29"/>
      <c r="C4376" s="29"/>
      <c r="D4376" s="29"/>
      <c r="E4376" s="29"/>
      <c r="F4376" s="29"/>
      <c r="G4376" s="29"/>
      <c r="H4376" s="29"/>
      <c r="I4376" s="29"/>
      <c r="J4376" s="29"/>
      <c r="K4376" s="29"/>
      <c r="L4376" s="29"/>
      <c r="M4376" s="29"/>
      <c r="N4376" s="29"/>
      <c r="O4376" s="29"/>
      <c r="P4376" s="29"/>
      <c r="Q4376" s="29"/>
      <c r="R4376" s="29"/>
      <c r="S4376" s="29"/>
      <c r="T4376" s="29"/>
      <c r="U4376" s="29"/>
      <c r="V4376" s="29"/>
      <c r="W4376" s="29"/>
      <c r="X4376" s="29"/>
      <c r="Y4376" s="29"/>
      <c r="Z4376" s="29"/>
      <c r="AA4376" s="29"/>
      <c r="AB4376" s="29"/>
      <c r="AC4376" s="29"/>
      <c r="AD4376" s="29"/>
      <c r="AE4376" s="29"/>
      <c r="AF4376" s="29"/>
    </row>
    <row r="4377" spans="2:32">
      <c r="B4377" s="289"/>
      <c r="C4377" s="289"/>
      <c r="D4377" s="289"/>
      <c r="E4377" s="289"/>
      <c r="F4377" s="289"/>
      <c r="G4377" s="289"/>
      <c r="H4377" s="289"/>
      <c r="I4377" s="289"/>
      <c r="J4377" s="289"/>
      <c r="K4377" s="289"/>
      <c r="L4377" s="289"/>
      <c r="M4377" s="289"/>
      <c r="N4377" s="289"/>
      <c r="O4377" s="289"/>
      <c r="P4377" s="289"/>
      <c r="Q4377" s="289"/>
      <c r="R4377" s="289"/>
      <c r="S4377" s="289"/>
      <c r="T4377" s="289"/>
      <c r="U4377" s="289"/>
      <c r="V4377" s="289"/>
      <c r="W4377" s="289"/>
      <c r="X4377" s="289"/>
      <c r="Y4377" s="289"/>
      <c r="Z4377" s="289"/>
      <c r="AA4377" s="289"/>
      <c r="AB4377" s="289"/>
      <c r="AC4377" s="289"/>
      <c r="AD4377" s="289"/>
      <c r="AE4377" s="289"/>
      <c r="AF4377" s="289"/>
    </row>
    <row r="4499" spans="2:32">
      <c r="B4499" s="29"/>
      <c r="C4499" s="29"/>
      <c r="D4499" s="29"/>
      <c r="E4499" s="29"/>
      <c r="F4499" s="29"/>
      <c r="G4499" s="29"/>
      <c r="H4499" s="29"/>
      <c r="I4499" s="29"/>
      <c r="J4499" s="29"/>
      <c r="K4499" s="29"/>
      <c r="L4499" s="29"/>
      <c r="M4499" s="29"/>
      <c r="N4499" s="29"/>
      <c r="O4499" s="29"/>
      <c r="P4499" s="29"/>
      <c r="Q4499" s="29"/>
      <c r="R4499" s="29"/>
      <c r="S4499" s="29"/>
      <c r="T4499" s="29"/>
      <c r="U4499" s="29"/>
      <c r="V4499" s="29"/>
      <c r="W4499" s="29"/>
      <c r="X4499" s="29"/>
      <c r="Y4499" s="29"/>
      <c r="Z4499" s="29"/>
      <c r="AA4499" s="29"/>
      <c r="AB4499" s="29"/>
      <c r="AC4499" s="29"/>
      <c r="AD4499" s="29"/>
      <c r="AE4499" s="29"/>
      <c r="AF4499" s="29"/>
    </row>
    <row r="4501" spans="2:32">
      <c r="B4501" s="29"/>
      <c r="C4501" s="29"/>
      <c r="D4501" s="29"/>
      <c r="E4501" s="29"/>
      <c r="F4501" s="29"/>
      <c r="G4501" s="29"/>
      <c r="H4501" s="29"/>
      <c r="I4501" s="29"/>
      <c r="J4501" s="29"/>
      <c r="K4501" s="29"/>
      <c r="L4501" s="29"/>
      <c r="M4501" s="29"/>
      <c r="N4501" s="29"/>
      <c r="O4501" s="29"/>
      <c r="P4501" s="29"/>
      <c r="Q4501" s="29"/>
      <c r="R4501" s="29"/>
      <c r="S4501" s="29"/>
      <c r="T4501" s="29"/>
      <c r="U4501" s="29"/>
      <c r="V4501" s="29"/>
      <c r="W4501" s="29"/>
      <c r="X4501" s="29"/>
      <c r="Y4501" s="29"/>
      <c r="Z4501" s="29"/>
      <c r="AA4501" s="29"/>
      <c r="AB4501" s="29"/>
      <c r="AC4501" s="29"/>
      <c r="AD4501" s="29"/>
      <c r="AE4501" s="29"/>
      <c r="AF4501" s="29"/>
    </row>
    <row r="4502" spans="2:32">
      <c r="B4502" s="289"/>
      <c r="C4502" s="289"/>
      <c r="D4502" s="289"/>
      <c r="E4502" s="289"/>
      <c r="F4502" s="289"/>
      <c r="G4502" s="289"/>
      <c r="H4502" s="289"/>
      <c r="I4502" s="289"/>
      <c r="J4502" s="289"/>
      <c r="K4502" s="289"/>
      <c r="L4502" s="289"/>
      <c r="M4502" s="289"/>
      <c r="N4502" s="289"/>
      <c r="O4502" s="289"/>
      <c r="P4502" s="289"/>
      <c r="Q4502" s="289"/>
      <c r="R4502" s="289"/>
      <c r="S4502" s="289"/>
      <c r="T4502" s="289"/>
      <c r="U4502" s="289"/>
      <c r="V4502" s="289"/>
      <c r="W4502" s="289"/>
      <c r="X4502" s="289"/>
      <c r="Y4502" s="289"/>
      <c r="Z4502" s="289"/>
      <c r="AA4502" s="289"/>
      <c r="AB4502" s="289"/>
      <c r="AC4502" s="289"/>
      <c r="AD4502" s="289"/>
      <c r="AE4502" s="289"/>
      <c r="AF4502" s="289"/>
    </row>
  </sheetData>
  <mergeCells count="29">
    <mergeCell ref="B2425:AF2425"/>
    <mergeCell ref="B2745:AF2745"/>
    <mergeCell ref="B663:AF663"/>
    <mergeCell ref="B117:AF117"/>
    <mergeCell ref="B259:AF259"/>
    <mergeCell ref="B339:AF339"/>
    <mergeCell ref="B452:AF452"/>
    <mergeCell ref="B565:AF565"/>
    <mergeCell ref="B1194:AF1194"/>
    <mergeCell ref="B1294:AF1294"/>
    <mergeCell ref="B1590:AF1590"/>
    <mergeCell ref="B1813:AF1813"/>
    <mergeCell ref="B2090:AF2090"/>
    <mergeCell ref="B79:AG79"/>
    <mergeCell ref="B4127:AF4127"/>
    <mergeCell ref="B4252:AF4252"/>
    <mergeCell ref="B4377:AF4377"/>
    <mergeCell ref="B4502:AF4502"/>
    <mergeCell ref="B3393:AF3393"/>
    <mergeCell ref="B3502:AF3502"/>
    <mergeCell ref="B3627:AF3627"/>
    <mergeCell ref="B3752:AF3752"/>
    <mergeCell ref="B3877:AF3877"/>
    <mergeCell ref="B4002:AF4002"/>
    <mergeCell ref="B3076:AF3076"/>
    <mergeCell ref="B735:AF735"/>
    <mergeCell ref="B911:AF911"/>
    <mergeCell ref="B994:AF994"/>
    <mergeCell ref="B1096:AF1096"/>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022381-C87D-473F-A989-AF8DF2579FA4}">
  <dimension ref="A1:AH4502"/>
  <sheetViews>
    <sheetView topLeftCell="A45" workbookViewId="0">
      <selection activeCell="D81" sqref="D81"/>
    </sheetView>
    <sheetView tabSelected="1" topLeftCell="A71" workbookViewId="1">
      <selection activeCell="D43" sqref="D43"/>
    </sheetView>
  </sheetViews>
  <sheetFormatPr defaultRowHeight="14.75"/>
  <cols>
    <col min="2" max="2" width="35.54296875" customWidth="1"/>
    <col min="3" max="3" width="0" hidden="1" customWidth="1"/>
  </cols>
  <sheetData>
    <row r="1" spans="1:33" ht="15.5" thickBot="1">
      <c r="A1" s="29"/>
      <c r="B1" s="34" t="s">
        <v>649</v>
      </c>
      <c r="C1" s="207">
        <v>2022</v>
      </c>
      <c r="D1" s="207">
        <v>2023</v>
      </c>
      <c r="E1" s="207">
        <v>2024</v>
      </c>
      <c r="F1" s="207">
        <v>2025</v>
      </c>
      <c r="G1" s="207">
        <v>2026</v>
      </c>
      <c r="H1" s="207">
        <v>2027</v>
      </c>
      <c r="I1" s="207">
        <v>2028</v>
      </c>
      <c r="J1" s="207">
        <v>2029</v>
      </c>
      <c r="K1" s="207">
        <v>2030</v>
      </c>
      <c r="L1" s="207">
        <v>2031</v>
      </c>
      <c r="M1" s="207">
        <v>2032</v>
      </c>
      <c r="N1" s="207">
        <v>2033</v>
      </c>
      <c r="O1" s="207">
        <v>2034</v>
      </c>
      <c r="P1" s="207">
        <v>2035</v>
      </c>
      <c r="Q1" s="207">
        <v>2036</v>
      </c>
      <c r="R1" s="207">
        <v>2037</v>
      </c>
      <c r="S1" s="207">
        <v>2038</v>
      </c>
      <c r="T1" s="207">
        <v>2039</v>
      </c>
      <c r="U1" s="207">
        <v>2040</v>
      </c>
      <c r="V1" s="207">
        <v>2041</v>
      </c>
      <c r="W1" s="207">
        <v>2042</v>
      </c>
      <c r="X1" s="207">
        <v>2043</v>
      </c>
      <c r="Y1" s="207">
        <v>2044</v>
      </c>
      <c r="Z1" s="207">
        <v>2045</v>
      </c>
      <c r="AA1" s="207">
        <v>2046</v>
      </c>
      <c r="AB1" s="207">
        <v>2047</v>
      </c>
      <c r="AC1" s="207">
        <v>2048</v>
      </c>
      <c r="AD1" s="207">
        <v>2049</v>
      </c>
      <c r="AE1" s="207">
        <v>2050</v>
      </c>
      <c r="AF1" s="29"/>
      <c r="AG1" s="29"/>
    </row>
    <row r="2" spans="1:33" ht="15.5" thickTop="1">
      <c r="A2" s="29"/>
      <c r="B2" s="29"/>
      <c r="C2" s="29"/>
      <c r="D2" s="29"/>
      <c r="E2" s="29"/>
      <c r="F2" s="29"/>
      <c r="G2" s="29"/>
      <c r="H2" s="29"/>
      <c r="I2" s="29"/>
      <c r="J2" s="29"/>
      <c r="K2" s="29"/>
      <c r="L2" s="29"/>
      <c r="M2" s="29"/>
      <c r="N2" s="29"/>
      <c r="O2" s="29"/>
      <c r="P2" s="29"/>
      <c r="Q2" s="29"/>
      <c r="R2" s="29"/>
      <c r="S2" s="29"/>
      <c r="T2" s="29"/>
      <c r="U2" s="29"/>
      <c r="V2" s="29"/>
      <c r="W2" s="29"/>
      <c r="X2" s="29"/>
      <c r="Y2" s="29"/>
      <c r="Z2" s="29"/>
      <c r="AA2" s="29"/>
      <c r="AB2" s="29"/>
      <c r="AC2" s="29"/>
      <c r="AD2" s="29"/>
      <c r="AE2" s="29"/>
      <c r="AF2" s="29"/>
      <c r="AG2" s="29"/>
    </row>
    <row r="3" spans="1:33">
      <c r="A3" s="29"/>
      <c r="B3" s="29"/>
      <c r="C3" s="40" t="s">
        <v>265</v>
      </c>
      <c r="D3" s="40" t="s">
        <v>650</v>
      </c>
      <c r="E3" s="36"/>
      <c r="F3" s="36"/>
      <c r="G3" s="36"/>
      <c r="H3" s="29"/>
      <c r="I3" s="29"/>
      <c r="J3" s="29"/>
      <c r="K3" s="29"/>
      <c r="L3" s="29"/>
      <c r="M3" s="29"/>
      <c r="N3" s="29"/>
      <c r="O3" s="29"/>
      <c r="P3" s="29"/>
      <c r="Q3" s="29"/>
      <c r="R3" s="29"/>
      <c r="S3" s="29"/>
      <c r="T3" s="29"/>
      <c r="U3" s="29"/>
      <c r="V3" s="29"/>
      <c r="W3" s="29"/>
      <c r="X3" s="29"/>
      <c r="Y3" s="29"/>
      <c r="Z3" s="29"/>
      <c r="AA3" s="29"/>
      <c r="AB3" s="29"/>
      <c r="AC3" s="29"/>
      <c r="AD3" s="29"/>
      <c r="AE3" s="29"/>
      <c r="AF3" s="29"/>
      <c r="AG3" s="29"/>
    </row>
    <row r="4" spans="1:33">
      <c r="A4" s="29"/>
      <c r="B4" s="29"/>
      <c r="C4" s="40" t="s">
        <v>266</v>
      </c>
      <c r="D4" s="40" t="s">
        <v>651</v>
      </c>
      <c r="E4" s="36"/>
      <c r="F4" s="36"/>
      <c r="G4" s="40" t="s">
        <v>652</v>
      </c>
      <c r="H4" s="29"/>
      <c r="I4" s="29"/>
      <c r="J4" s="29"/>
      <c r="K4" s="29"/>
      <c r="L4" s="29"/>
      <c r="M4" s="29"/>
      <c r="N4" s="29"/>
      <c r="O4" s="29"/>
      <c r="P4" s="29"/>
      <c r="Q4" s="29"/>
      <c r="R4" s="29"/>
      <c r="S4" s="29"/>
      <c r="T4" s="29"/>
      <c r="U4" s="29"/>
      <c r="V4" s="29"/>
      <c r="W4" s="29"/>
      <c r="X4" s="29"/>
      <c r="Y4" s="29"/>
      <c r="Z4" s="29"/>
      <c r="AA4" s="29"/>
      <c r="AB4" s="29"/>
      <c r="AC4" s="29"/>
      <c r="AD4" s="29"/>
      <c r="AE4" s="29"/>
      <c r="AF4" s="29"/>
      <c r="AG4" s="29"/>
    </row>
    <row r="5" spans="1:33">
      <c r="A5" s="29"/>
      <c r="B5" s="29"/>
      <c r="C5" s="40" t="s">
        <v>267</v>
      </c>
      <c r="D5" s="40" t="s">
        <v>653</v>
      </c>
      <c r="E5" s="36"/>
      <c r="F5" s="36"/>
      <c r="G5" s="36"/>
      <c r="H5" s="29"/>
      <c r="I5" s="29"/>
      <c r="J5" s="29"/>
      <c r="K5" s="29"/>
      <c r="L5" s="29"/>
      <c r="M5" s="29"/>
      <c r="N5" s="29"/>
      <c r="O5" s="29"/>
      <c r="P5" s="29"/>
      <c r="Q5" s="29"/>
      <c r="R5" s="29"/>
      <c r="S5" s="29"/>
      <c r="T5" s="29"/>
      <c r="U5" s="29"/>
      <c r="V5" s="29"/>
      <c r="W5" s="29"/>
      <c r="X5" s="29"/>
      <c r="Y5" s="29"/>
      <c r="Z5" s="29"/>
      <c r="AA5" s="29"/>
      <c r="AB5" s="29"/>
      <c r="AC5" s="29"/>
      <c r="AD5" s="29"/>
      <c r="AE5" s="29"/>
      <c r="AF5" s="29"/>
      <c r="AG5" s="29"/>
    </row>
    <row r="6" spans="1:33">
      <c r="A6" s="29"/>
      <c r="B6" s="29"/>
      <c r="C6" s="40" t="s">
        <v>268</v>
      </c>
      <c r="D6" s="36"/>
      <c r="E6" s="40" t="s">
        <v>654</v>
      </c>
      <c r="F6" s="36"/>
      <c r="G6" s="36"/>
      <c r="H6" s="29"/>
      <c r="I6" s="29"/>
      <c r="J6" s="29"/>
      <c r="K6" s="29"/>
      <c r="L6" s="29"/>
      <c r="M6" s="29"/>
      <c r="N6" s="29"/>
      <c r="O6" s="29"/>
      <c r="P6" s="29"/>
      <c r="Q6" s="29"/>
      <c r="R6" s="29"/>
      <c r="S6" s="29"/>
      <c r="T6" s="29"/>
      <c r="U6" s="29"/>
      <c r="V6" s="29"/>
      <c r="W6" s="29"/>
      <c r="X6" s="29"/>
      <c r="Y6" s="29"/>
      <c r="Z6" s="29"/>
      <c r="AA6" s="29"/>
      <c r="AB6" s="29"/>
      <c r="AC6" s="29"/>
      <c r="AD6" s="29"/>
      <c r="AE6" s="29"/>
      <c r="AF6" s="29"/>
      <c r="AG6" s="29"/>
    </row>
    <row r="7" spans="1:33">
      <c r="A7" s="29"/>
      <c r="B7" s="29"/>
      <c r="C7" s="29"/>
      <c r="D7" s="29"/>
      <c r="E7" s="29"/>
      <c r="F7" s="29"/>
      <c r="G7" s="29"/>
      <c r="H7" s="29"/>
      <c r="I7" s="29"/>
      <c r="J7" s="29"/>
      <c r="K7" s="29"/>
      <c r="L7" s="29"/>
      <c r="M7" s="29"/>
      <c r="N7" s="29"/>
      <c r="O7" s="29"/>
      <c r="P7" s="29"/>
      <c r="Q7" s="29"/>
      <c r="R7" s="29"/>
      <c r="S7" s="29"/>
      <c r="T7" s="29"/>
      <c r="U7" s="29"/>
      <c r="V7" s="29"/>
      <c r="W7" s="29"/>
      <c r="X7" s="29"/>
      <c r="Y7" s="29"/>
      <c r="Z7" s="29"/>
      <c r="AA7" s="29"/>
      <c r="AB7" s="29"/>
      <c r="AC7" s="29"/>
      <c r="AD7" s="29"/>
      <c r="AE7" s="29"/>
      <c r="AF7" s="29"/>
      <c r="AG7" s="29"/>
    </row>
    <row r="8" spans="1:33">
      <c r="A8" s="29"/>
      <c r="B8" s="29"/>
      <c r="C8" s="29"/>
      <c r="D8" s="29"/>
      <c r="E8" s="29"/>
      <c r="F8" s="29"/>
      <c r="G8" s="29"/>
      <c r="H8" s="29"/>
      <c r="I8" s="29"/>
      <c r="J8" s="29"/>
      <c r="K8" s="29"/>
      <c r="L8" s="29"/>
      <c r="M8" s="29"/>
      <c r="N8" s="29"/>
      <c r="O8" s="29"/>
      <c r="P8" s="29"/>
      <c r="Q8" s="29"/>
      <c r="R8" s="29"/>
      <c r="S8" s="29"/>
      <c r="T8" s="29"/>
      <c r="U8" s="29"/>
      <c r="V8" s="29"/>
      <c r="W8" s="29"/>
      <c r="X8" s="29"/>
      <c r="Y8" s="29"/>
      <c r="Z8" s="29"/>
      <c r="AA8" s="29"/>
      <c r="AB8" s="29"/>
      <c r="AC8" s="29"/>
      <c r="AD8" s="29"/>
      <c r="AE8" s="29"/>
      <c r="AF8" s="29"/>
      <c r="AG8" s="29"/>
    </row>
    <row r="9" spans="1:33">
      <c r="A9" s="29"/>
      <c r="B9" s="29"/>
      <c r="C9" s="29"/>
      <c r="D9" s="29"/>
      <c r="E9" s="29"/>
      <c r="F9" s="29"/>
      <c r="G9" s="29"/>
      <c r="H9" s="29"/>
      <c r="I9" s="29"/>
      <c r="J9" s="29"/>
      <c r="K9" s="29"/>
      <c r="L9" s="29"/>
      <c r="M9" s="29"/>
      <c r="N9" s="29"/>
      <c r="O9" s="29"/>
      <c r="P9" s="29"/>
      <c r="Q9" s="29"/>
      <c r="R9" s="29"/>
      <c r="S9" s="29"/>
      <c r="T9" s="29"/>
      <c r="U9" s="29"/>
      <c r="V9" s="29"/>
      <c r="W9" s="29"/>
      <c r="X9" s="29"/>
      <c r="Y9" s="29"/>
      <c r="Z9" s="29"/>
      <c r="AA9" s="29"/>
      <c r="AB9" s="29"/>
      <c r="AC9" s="29"/>
      <c r="AD9" s="29"/>
      <c r="AE9" s="29"/>
      <c r="AF9" s="29"/>
      <c r="AG9" s="29"/>
    </row>
    <row r="10" spans="1:33" ht="16">
      <c r="A10" s="30" t="s">
        <v>269</v>
      </c>
      <c r="B10" s="45" t="s">
        <v>270</v>
      </c>
      <c r="C10" s="31"/>
      <c r="D10" s="31"/>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7" t="s">
        <v>656</v>
      </c>
      <c r="AG10" s="31"/>
    </row>
    <row r="11" spans="1:33">
      <c r="A11" s="29"/>
      <c r="B11" s="46"/>
      <c r="C11" s="31"/>
      <c r="D11" s="31"/>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7" t="s">
        <v>657</v>
      </c>
      <c r="AG11" s="31"/>
    </row>
    <row r="12" spans="1:33">
      <c r="A12" s="29"/>
      <c r="B12" s="46"/>
      <c r="C12" s="38"/>
      <c r="D12" s="38"/>
      <c r="E12" s="38"/>
      <c r="F12" s="38"/>
      <c r="G12" s="38"/>
      <c r="H12" s="38"/>
      <c r="I12" s="38"/>
      <c r="J12" s="38"/>
      <c r="K12" s="38"/>
      <c r="L12" s="38"/>
      <c r="M12" s="38"/>
      <c r="N12" s="38"/>
      <c r="O12" s="38"/>
      <c r="P12" s="38"/>
      <c r="Q12" s="38"/>
      <c r="R12" s="38"/>
      <c r="S12" s="38"/>
      <c r="T12" s="38"/>
      <c r="U12" s="38"/>
      <c r="V12" s="38"/>
      <c r="W12" s="38"/>
      <c r="X12" s="38"/>
      <c r="Y12" s="38"/>
      <c r="Z12" s="38"/>
      <c r="AA12" s="38"/>
      <c r="AB12" s="38"/>
      <c r="AC12" s="38"/>
      <c r="AD12" s="38"/>
      <c r="AE12" s="38"/>
      <c r="AF12" s="37" t="s">
        <v>658</v>
      </c>
      <c r="AG12" s="31"/>
    </row>
    <row r="13" spans="1:33" ht="15.5" thickBot="1">
      <c r="A13" s="29"/>
      <c r="B13" s="208" t="s">
        <v>271</v>
      </c>
      <c r="C13" s="208">
        <v>2022</v>
      </c>
      <c r="D13" s="208">
        <v>2023</v>
      </c>
      <c r="E13" s="208">
        <v>2024</v>
      </c>
      <c r="F13" s="208">
        <v>2025</v>
      </c>
      <c r="G13" s="208">
        <v>2026</v>
      </c>
      <c r="H13" s="208">
        <v>2027</v>
      </c>
      <c r="I13" s="208">
        <v>2028</v>
      </c>
      <c r="J13" s="208">
        <v>2029</v>
      </c>
      <c r="K13" s="208">
        <v>2030</v>
      </c>
      <c r="L13" s="208">
        <v>2031</v>
      </c>
      <c r="M13" s="208">
        <v>2032</v>
      </c>
      <c r="N13" s="208">
        <v>2033</v>
      </c>
      <c r="O13" s="208">
        <v>2034</v>
      </c>
      <c r="P13" s="208">
        <v>2035</v>
      </c>
      <c r="Q13" s="208">
        <v>2036</v>
      </c>
      <c r="R13" s="208">
        <v>2037</v>
      </c>
      <c r="S13" s="208">
        <v>2038</v>
      </c>
      <c r="T13" s="208">
        <v>2039</v>
      </c>
      <c r="U13" s="208">
        <v>2040</v>
      </c>
      <c r="V13" s="208">
        <v>2041</v>
      </c>
      <c r="W13" s="208">
        <v>2042</v>
      </c>
      <c r="X13" s="208">
        <v>2043</v>
      </c>
      <c r="Y13" s="208">
        <v>2044</v>
      </c>
      <c r="Z13" s="208">
        <v>2045</v>
      </c>
      <c r="AA13" s="208">
        <v>2046</v>
      </c>
      <c r="AB13" s="208">
        <v>2047</v>
      </c>
      <c r="AC13" s="208">
        <v>2048</v>
      </c>
      <c r="AD13" s="208">
        <v>2049</v>
      </c>
      <c r="AE13" s="208">
        <v>2050</v>
      </c>
      <c r="AF13" s="48">
        <v>2050</v>
      </c>
      <c r="AG13" s="31"/>
    </row>
    <row r="14" spans="1:33" ht="15.5" thickTop="1">
      <c r="A14" s="29"/>
      <c r="B14" s="31"/>
      <c r="C14" s="31"/>
      <c r="D14" s="31"/>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row>
    <row r="15" spans="1:33">
      <c r="A15" s="30" t="s">
        <v>272</v>
      </c>
      <c r="B15" s="209" t="s">
        <v>148</v>
      </c>
      <c r="C15" s="213">
        <v>12.017455999999999</v>
      </c>
      <c r="D15" s="213">
        <v>10.14246</v>
      </c>
      <c r="E15" s="213">
        <v>9.7339230000000008</v>
      </c>
      <c r="F15" s="213">
        <v>9.0686060000000008</v>
      </c>
      <c r="G15" s="213">
        <v>8.9594869999999993</v>
      </c>
      <c r="H15" s="213">
        <v>8.856579</v>
      </c>
      <c r="I15" s="213">
        <v>8.813898</v>
      </c>
      <c r="J15" s="213">
        <v>8.8683580000000006</v>
      </c>
      <c r="K15" s="213">
        <v>8.8719950000000001</v>
      </c>
      <c r="L15" s="213">
        <v>8.9797820000000002</v>
      </c>
      <c r="M15" s="213">
        <v>9.0441269999999996</v>
      </c>
      <c r="N15" s="213">
        <v>9.0927849999999992</v>
      </c>
      <c r="O15" s="213">
        <v>9.1587720000000008</v>
      </c>
      <c r="P15" s="213">
        <v>9.2225079999999995</v>
      </c>
      <c r="Q15" s="213">
        <v>9.2706079999999993</v>
      </c>
      <c r="R15" s="213">
        <v>9.3243840000000002</v>
      </c>
      <c r="S15" s="213">
        <v>9.3767549999999993</v>
      </c>
      <c r="T15" s="213">
        <v>9.4235419999999994</v>
      </c>
      <c r="U15" s="213">
        <v>9.478612</v>
      </c>
      <c r="V15" s="213">
        <v>9.5699330000000007</v>
      </c>
      <c r="W15" s="213">
        <v>9.5845690000000001</v>
      </c>
      <c r="X15" s="213">
        <v>9.658633</v>
      </c>
      <c r="Y15" s="213">
        <v>9.6491509999999998</v>
      </c>
      <c r="Z15" s="213">
        <v>9.7206390000000003</v>
      </c>
      <c r="AA15" s="213">
        <v>9.8630030000000009</v>
      </c>
      <c r="AB15" s="213">
        <v>9.8843599999999991</v>
      </c>
      <c r="AC15" s="213">
        <v>9.9074570000000008</v>
      </c>
      <c r="AD15" s="213">
        <v>9.9567200000000007</v>
      </c>
      <c r="AE15" s="213">
        <v>9.9689460000000008</v>
      </c>
      <c r="AF15" s="214">
        <v>-6.6519999999999999E-3</v>
      </c>
      <c r="AG15" s="31"/>
    </row>
    <row r="16" spans="1:33">
      <c r="A16" s="29"/>
      <c r="B16" s="31"/>
      <c r="C16" s="31"/>
      <c r="D16" s="31"/>
      <c r="E16" s="31"/>
      <c r="F16" s="31"/>
      <c r="G16" s="31"/>
      <c r="H16" s="31"/>
      <c r="I16" s="31"/>
      <c r="J16" s="31"/>
      <c r="K16" s="31"/>
      <c r="L16" s="31"/>
      <c r="M16" s="31"/>
      <c r="N16" s="31"/>
      <c r="O16" s="31"/>
      <c r="P16" s="31"/>
      <c r="Q16" s="31"/>
      <c r="R16" s="31"/>
      <c r="S16" s="31"/>
      <c r="T16" s="31"/>
      <c r="U16" s="31"/>
      <c r="V16" s="31"/>
      <c r="W16" s="31"/>
      <c r="X16" s="31"/>
      <c r="Y16" s="31"/>
      <c r="Z16" s="31"/>
      <c r="AA16" s="31"/>
      <c r="AB16" s="31"/>
      <c r="AC16" s="31"/>
      <c r="AD16" s="31"/>
      <c r="AE16" s="31"/>
      <c r="AF16" s="31"/>
      <c r="AG16" s="31"/>
    </row>
    <row r="17" spans="1:33">
      <c r="A17" s="29"/>
      <c r="B17" s="209" t="s">
        <v>149</v>
      </c>
      <c r="C17" s="31"/>
      <c r="D17" s="31"/>
      <c r="E17" s="31"/>
      <c r="F17" s="31"/>
      <c r="G17" s="31"/>
      <c r="H17" s="31"/>
      <c r="I17" s="31"/>
      <c r="J17" s="31"/>
      <c r="K17" s="31"/>
      <c r="L17" s="31"/>
      <c r="M17" s="31"/>
      <c r="N17" s="31"/>
      <c r="O17" s="31"/>
      <c r="P17" s="31"/>
      <c r="Q17" s="31"/>
      <c r="R17" s="31"/>
      <c r="S17" s="31"/>
      <c r="T17" s="31"/>
      <c r="U17" s="31"/>
      <c r="V17" s="31"/>
      <c r="W17" s="31"/>
      <c r="X17" s="31"/>
      <c r="Y17" s="31"/>
      <c r="Z17" s="31"/>
      <c r="AA17" s="31"/>
      <c r="AB17" s="31"/>
      <c r="AC17" s="31"/>
      <c r="AD17" s="31"/>
      <c r="AE17" s="31"/>
      <c r="AF17" s="31"/>
      <c r="AG17" s="31"/>
    </row>
    <row r="18" spans="1:33">
      <c r="A18" s="30" t="s">
        <v>761</v>
      </c>
      <c r="B18" s="210" t="s">
        <v>273</v>
      </c>
      <c r="C18" s="211">
        <v>0.83399999999999996</v>
      </c>
      <c r="D18" s="211">
        <v>0.84161200000000003</v>
      </c>
      <c r="E18" s="211">
        <v>0.84922399999999998</v>
      </c>
      <c r="F18" s="211">
        <v>0.85819500000000004</v>
      </c>
      <c r="G18" s="211">
        <v>0.85914699999999999</v>
      </c>
      <c r="H18" s="211">
        <v>0.85999800000000004</v>
      </c>
      <c r="I18" s="211">
        <v>0.86075900000000005</v>
      </c>
      <c r="J18" s="211">
        <v>0.86144100000000001</v>
      </c>
      <c r="K18" s="211">
        <v>0.86205399999999999</v>
      </c>
      <c r="L18" s="211">
        <v>0.86260499999999996</v>
      </c>
      <c r="M18" s="211">
        <v>0.86310500000000001</v>
      </c>
      <c r="N18" s="211">
        <v>0.86355800000000005</v>
      </c>
      <c r="O18" s="211">
        <v>0.86397199999999996</v>
      </c>
      <c r="P18" s="211">
        <v>0.86434999999999995</v>
      </c>
      <c r="Q18" s="211">
        <v>0.86469700000000005</v>
      </c>
      <c r="R18" s="211">
        <v>0.86501700000000004</v>
      </c>
      <c r="S18" s="211">
        <v>0.86531199999999997</v>
      </c>
      <c r="T18" s="211">
        <v>0.86558500000000005</v>
      </c>
      <c r="U18" s="211">
        <v>0.86587999999999998</v>
      </c>
      <c r="V18" s="211">
        <v>0.86617599999999995</v>
      </c>
      <c r="W18" s="211">
        <v>0.86647099999999999</v>
      </c>
      <c r="X18" s="211">
        <v>0.86676699999999995</v>
      </c>
      <c r="Y18" s="211">
        <v>0.867062</v>
      </c>
      <c r="Z18" s="211">
        <v>0.86735799999999996</v>
      </c>
      <c r="AA18" s="211">
        <v>0.86765400000000004</v>
      </c>
      <c r="AB18" s="211">
        <v>0.86795</v>
      </c>
      <c r="AC18" s="211">
        <v>0.86824599999999996</v>
      </c>
      <c r="AD18" s="211">
        <v>0.86854200000000004</v>
      </c>
      <c r="AE18" s="211">
        <v>0.868838</v>
      </c>
      <c r="AF18" s="212">
        <v>1.4630000000000001E-3</v>
      </c>
      <c r="AG18" s="31"/>
    </row>
    <row r="19" spans="1:33">
      <c r="A19" s="30" t="s">
        <v>762</v>
      </c>
      <c r="B19" s="210" t="s">
        <v>274</v>
      </c>
      <c r="C19" s="211">
        <v>0.75600000000000001</v>
      </c>
      <c r="D19" s="211">
        <v>0.77562600000000004</v>
      </c>
      <c r="E19" s="211">
        <v>0.79525100000000004</v>
      </c>
      <c r="F19" s="211">
        <v>0.81487699999999996</v>
      </c>
      <c r="G19" s="211">
        <v>0.81492500000000001</v>
      </c>
      <c r="H19" s="211">
        <v>0.81497399999999998</v>
      </c>
      <c r="I19" s="211">
        <v>0.81501900000000005</v>
      </c>
      <c r="J19" s="211">
        <v>0.81506400000000001</v>
      </c>
      <c r="K19" s="211">
        <v>0.81510800000000005</v>
      </c>
      <c r="L19" s="211">
        <v>0.81515000000000004</v>
      </c>
      <c r="M19" s="211">
        <v>0.81519399999999997</v>
      </c>
      <c r="N19" s="211">
        <v>0.81523599999999996</v>
      </c>
      <c r="O19" s="211">
        <v>0.81527899999999998</v>
      </c>
      <c r="P19" s="211">
        <v>0.81532099999999996</v>
      </c>
      <c r="Q19" s="211">
        <v>0.81536399999999998</v>
      </c>
      <c r="R19" s="211">
        <v>0.81540500000000005</v>
      </c>
      <c r="S19" s="211">
        <v>0.81544499999999998</v>
      </c>
      <c r="T19" s="211">
        <v>0.81548399999999999</v>
      </c>
      <c r="U19" s="211">
        <v>0.81552400000000003</v>
      </c>
      <c r="V19" s="211">
        <v>0.81556399999999996</v>
      </c>
      <c r="W19" s="211">
        <v>0.815604</v>
      </c>
      <c r="X19" s="211">
        <v>0.81564499999999995</v>
      </c>
      <c r="Y19" s="211">
        <v>0.81568499999999999</v>
      </c>
      <c r="Z19" s="211">
        <v>0.81572500000000003</v>
      </c>
      <c r="AA19" s="211">
        <v>0.81576499999999996</v>
      </c>
      <c r="AB19" s="211">
        <v>0.815805</v>
      </c>
      <c r="AC19" s="211">
        <v>0.81584500000000004</v>
      </c>
      <c r="AD19" s="211">
        <v>0.81588499999999997</v>
      </c>
      <c r="AE19" s="211">
        <v>0.81592600000000004</v>
      </c>
      <c r="AF19" s="212">
        <v>2.728E-3</v>
      </c>
      <c r="AG19" s="31"/>
    </row>
    <row r="20" spans="1:33">
      <c r="A20" s="29"/>
      <c r="B20" s="31"/>
      <c r="C20" s="31"/>
      <c r="D20" s="31"/>
      <c r="E20" s="31"/>
      <c r="F20" s="31"/>
      <c r="G20" s="31"/>
      <c r="H20" s="31"/>
      <c r="I20" s="31"/>
      <c r="J20" s="31"/>
      <c r="K20" s="31"/>
      <c r="L20" s="31"/>
      <c r="M20" s="31"/>
      <c r="N20" s="31"/>
      <c r="O20" s="31"/>
      <c r="P20" s="31"/>
      <c r="Q20" s="31"/>
      <c r="R20" s="31"/>
      <c r="S20" s="31"/>
      <c r="T20" s="31"/>
      <c r="U20" s="31"/>
      <c r="V20" s="31"/>
      <c r="W20" s="31"/>
      <c r="X20" s="31"/>
      <c r="Y20" s="31"/>
      <c r="Z20" s="31"/>
      <c r="AA20" s="31"/>
      <c r="AB20" s="31"/>
      <c r="AC20" s="31"/>
      <c r="AD20" s="31"/>
      <c r="AE20" s="31"/>
      <c r="AF20" s="31"/>
      <c r="AG20" s="31"/>
    </row>
    <row r="21" spans="1:33">
      <c r="A21" s="29"/>
      <c r="B21" s="209" t="s">
        <v>150</v>
      </c>
      <c r="C21" s="31"/>
      <c r="D21" s="31"/>
      <c r="E21" s="31"/>
      <c r="F21" s="31"/>
      <c r="G21" s="31"/>
      <c r="H21" s="31"/>
      <c r="I21" s="31"/>
      <c r="J21" s="31"/>
      <c r="K21" s="31"/>
      <c r="L21" s="31"/>
      <c r="M21" s="31"/>
      <c r="N21" s="31"/>
      <c r="O21" s="31"/>
      <c r="P21" s="31"/>
      <c r="Q21" s="31"/>
      <c r="R21" s="31"/>
      <c r="S21" s="31"/>
      <c r="T21" s="31"/>
      <c r="U21" s="31"/>
      <c r="V21" s="31"/>
      <c r="W21" s="31"/>
      <c r="X21" s="31"/>
      <c r="Y21" s="31"/>
      <c r="Z21" s="31"/>
      <c r="AA21" s="31"/>
      <c r="AB21" s="31"/>
      <c r="AC21" s="31"/>
      <c r="AD21" s="31"/>
      <c r="AE21" s="31"/>
      <c r="AF21" s="31"/>
      <c r="AG21" s="31"/>
    </row>
    <row r="22" spans="1:33">
      <c r="A22" s="29"/>
      <c r="B22" s="209" t="s">
        <v>275</v>
      </c>
      <c r="C22" s="31"/>
      <c r="D22" s="31"/>
      <c r="E22" s="31"/>
      <c r="F22" s="31"/>
      <c r="G22" s="31"/>
      <c r="H22" s="31"/>
      <c r="I22" s="31"/>
      <c r="J22" s="31"/>
      <c r="K22" s="31"/>
      <c r="L22" s="31"/>
      <c r="M22" s="31"/>
      <c r="N22" s="31"/>
      <c r="O22" s="31"/>
      <c r="P22" s="31"/>
      <c r="Q22" s="31"/>
      <c r="R22" s="31"/>
      <c r="S22" s="31"/>
      <c r="T22" s="31"/>
      <c r="U22" s="31"/>
      <c r="V22" s="31"/>
      <c r="W22" s="31"/>
      <c r="X22" s="31"/>
      <c r="Y22" s="31"/>
      <c r="Z22" s="31"/>
      <c r="AA22" s="31"/>
      <c r="AB22" s="31"/>
      <c r="AC22" s="31"/>
      <c r="AD22" s="31"/>
      <c r="AE22" s="31"/>
      <c r="AF22" s="31"/>
      <c r="AG22" s="31"/>
    </row>
    <row r="23" spans="1:33">
      <c r="A23" s="30" t="s">
        <v>763</v>
      </c>
      <c r="B23" s="210" t="s">
        <v>276</v>
      </c>
      <c r="C23" s="219">
        <v>333.105164</v>
      </c>
      <c r="D23" s="219">
        <v>334.47210699999999</v>
      </c>
      <c r="E23" s="219">
        <v>336.07922400000001</v>
      </c>
      <c r="F23" s="219">
        <v>337.73690800000003</v>
      </c>
      <c r="G23" s="219">
        <v>339.40451000000002</v>
      </c>
      <c r="H23" s="219">
        <v>341.08764600000001</v>
      </c>
      <c r="I23" s="219">
        <v>342.780823</v>
      </c>
      <c r="J23" s="219">
        <v>344.47436499999998</v>
      </c>
      <c r="K23" s="219">
        <v>346.16894500000001</v>
      </c>
      <c r="L23" s="219">
        <v>347.834564</v>
      </c>
      <c r="M23" s="219">
        <v>349.46328699999998</v>
      </c>
      <c r="N23" s="219">
        <v>351.054169</v>
      </c>
      <c r="O23" s="219">
        <v>352.59783900000002</v>
      </c>
      <c r="P23" s="219">
        <v>354.08975199999998</v>
      </c>
      <c r="Q23" s="219">
        <v>355.52593999999999</v>
      </c>
      <c r="R23" s="219">
        <v>356.90637199999998</v>
      </c>
      <c r="S23" s="219">
        <v>358.23675500000002</v>
      </c>
      <c r="T23" s="219">
        <v>359.52005000000003</v>
      </c>
      <c r="U23" s="219">
        <v>360.76068099999998</v>
      </c>
      <c r="V23" s="219">
        <v>361.96594199999998</v>
      </c>
      <c r="W23" s="219">
        <v>363.143372</v>
      </c>
      <c r="X23" s="219">
        <v>364.29699699999998</v>
      </c>
      <c r="Y23" s="219">
        <v>365.429688</v>
      </c>
      <c r="Z23" s="219">
        <v>366.54235799999998</v>
      </c>
      <c r="AA23" s="219">
        <v>367.63687099999999</v>
      </c>
      <c r="AB23" s="219">
        <v>368.719696</v>
      </c>
      <c r="AC23" s="219">
        <v>369.79351800000001</v>
      </c>
      <c r="AD23" s="219">
        <v>370.85867300000001</v>
      </c>
      <c r="AE23" s="219">
        <v>371.91851800000001</v>
      </c>
      <c r="AF23" s="212">
        <v>3.9439999999999996E-3</v>
      </c>
      <c r="AG23" s="31"/>
    </row>
    <row r="24" spans="1:33">
      <c r="A24" s="30" t="s">
        <v>764</v>
      </c>
      <c r="B24" s="210" t="s">
        <v>277</v>
      </c>
      <c r="C24" s="219">
        <v>38.694321000000002</v>
      </c>
      <c r="D24" s="219">
        <v>39.102600000000002</v>
      </c>
      <c r="E24" s="219">
        <v>39.509079</v>
      </c>
      <c r="F24" s="219">
        <v>39.913521000000003</v>
      </c>
      <c r="G24" s="219">
        <v>40.315201000000002</v>
      </c>
      <c r="H24" s="219">
        <v>40.713901999999997</v>
      </c>
      <c r="I24" s="219">
        <v>41.109200000000001</v>
      </c>
      <c r="J24" s="219">
        <v>41.500670999999997</v>
      </c>
      <c r="K24" s="219">
        <v>41.888100000000001</v>
      </c>
      <c r="L24" s="219">
        <v>42.271000000000001</v>
      </c>
      <c r="M24" s="219">
        <v>42.649299999999997</v>
      </c>
      <c r="N24" s="219">
        <v>43.022799999999997</v>
      </c>
      <c r="O24" s="219">
        <v>43.391499000000003</v>
      </c>
      <c r="P24" s="219">
        <v>43.755501000000002</v>
      </c>
      <c r="Q24" s="219">
        <v>44.114730999999999</v>
      </c>
      <c r="R24" s="219">
        <v>44.469397999999998</v>
      </c>
      <c r="S24" s="219">
        <v>44.819481000000003</v>
      </c>
      <c r="T24" s="219">
        <v>45.165298</v>
      </c>
      <c r="U24" s="219">
        <v>45.506802</v>
      </c>
      <c r="V24" s="219">
        <v>45.843879999999999</v>
      </c>
      <c r="W24" s="219">
        <v>46.176898999999999</v>
      </c>
      <c r="X24" s="219">
        <v>46.505600000000001</v>
      </c>
      <c r="Y24" s="219">
        <v>46.831772000000001</v>
      </c>
      <c r="Z24" s="219">
        <v>47.156199999999998</v>
      </c>
      <c r="AA24" s="219">
        <v>47.479069000000003</v>
      </c>
      <c r="AB24" s="219">
        <v>47.800800000000002</v>
      </c>
      <c r="AC24" s="219">
        <v>48.121670000000002</v>
      </c>
      <c r="AD24" s="219">
        <v>48.442321999999997</v>
      </c>
      <c r="AE24" s="219">
        <v>48.763081</v>
      </c>
      <c r="AF24" s="212">
        <v>8.2939999999999993E-3</v>
      </c>
      <c r="AG24" s="31"/>
    </row>
    <row r="25" spans="1:33">
      <c r="A25" s="30" t="s">
        <v>765</v>
      </c>
      <c r="B25" s="210" t="s">
        <v>766</v>
      </c>
      <c r="C25" s="219">
        <v>211.18936199999999</v>
      </c>
      <c r="D25" s="219">
        <v>212.813278</v>
      </c>
      <c r="E25" s="219">
        <v>214.37699900000001</v>
      </c>
      <c r="F25" s="219">
        <v>215.94142199999999</v>
      </c>
      <c r="G25" s="219">
        <v>217.513779</v>
      </c>
      <c r="H25" s="219">
        <v>219.08682300000001</v>
      </c>
      <c r="I25" s="219">
        <v>220.646591</v>
      </c>
      <c r="J25" s="219">
        <v>222.169174</v>
      </c>
      <c r="K25" s="219">
        <v>223.635864</v>
      </c>
      <c r="L25" s="219">
        <v>225.026138</v>
      </c>
      <c r="M25" s="219">
        <v>226.368347</v>
      </c>
      <c r="N25" s="219">
        <v>227.658051</v>
      </c>
      <c r="O25" s="219">
        <v>228.89286799999999</v>
      </c>
      <c r="P25" s="219">
        <v>230.07032799999999</v>
      </c>
      <c r="Q25" s="219">
        <v>231.18978899999999</v>
      </c>
      <c r="R25" s="219">
        <v>232.25276199999999</v>
      </c>
      <c r="S25" s="219">
        <v>233.26014699999999</v>
      </c>
      <c r="T25" s="219">
        <v>234.21229600000001</v>
      </c>
      <c r="U25" s="219">
        <v>235.110443</v>
      </c>
      <c r="V25" s="219">
        <v>235.95292699999999</v>
      </c>
      <c r="W25" s="219">
        <v>236.741455</v>
      </c>
      <c r="X25" s="219">
        <v>237.476685</v>
      </c>
      <c r="Y25" s="219">
        <v>238.15965299999999</v>
      </c>
      <c r="Z25" s="219">
        <v>238.78855899999999</v>
      </c>
      <c r="AA25" s="219">
        <v>239.34922800000001</v>
      </c>
      <c r="AB25" s="219">
        <v>239.846619</v>
      </c>
      <c r="AC25" s="219">
        <v>240.30192600000001</v>
      </c>
      <c r="AD25" s="219">
        <v>240.737549</v>
      </c>
      <c r="AE25" s="219">
        <v>241.16894500000001</v>
      </c>
      <c r="AF25" s="212">
        <v>4.7520000000000001E-3</v>
      </c>
      <c r="AG25" s="31"/>
    </row>
    <row r="26" spans="1:33">
      <c r="A26" s="30" t="s">
        <v>767</v>
      </c>
      <c r="B26" s="210" t="s">
        <v>768</v>
      </c>
      <c r="C26" s="219">
        <v>593.35406499999999</v>
      </c>
      <c r="D26" s="219">
        <v>594.89343299999996</v>
      </c>
      <c r="E26" s="219">
        <v>596.012878</v>
      </c>
      <c r="F26" s="219">
        <v>597.10223399999995</v>
      </c>
      <c r="G26" s="219">
        <v>598.16387899999995</v>
      </c>
      <c r="H26" s="219">
        <v>599.16955600000006</v>
      </c>
      <c r="I26" s="219">
        <v>600.12353499999995</v>
      </c>
      <c r="J26" s="219">
        <v>601.03643799999998</v>
      </c>
      <c r="K26" s="219">
        <v>601.92193599999996</v>
      </c>
      <c r="L26" s="219">
        <v>602.79125999999997</v>
      </c>
      <c r="M26" s="219">
        <v>603.64050299999997</v>
      </c>
      <c r="N26" s="219">
        <v>604.45330799999999</v>
      </c>
      <c r="O26" s="219">
        <v>605.215149</v>
      </c>
      <c r="P26" s="219">
        <v>605.91265899999996</v>
      </c>
      <c r="Q26" s="219">
        <v>606.54968299999996</v>
      </c>
      <c r="R26" s="219">
        <v>607.13714600000003</v>
      </c>
      <c r="S26" s="219">
        <v>607.67242399999998</v>
      </c>
      <c r="T26" s="219">
        <v>608.15136700000005</v>
      </c>
      <c r="U26" s="219">
        <v>608.57037400000002</v>
      </c>
      <c r="V26" s="219">
        <v>608.92956500000003</v>
      </c>
      <c r="W26" s="219">
        <v>609.22717299999999</v>
      </c>
      <c r="X26" s="219">
        <v>609.459656</v>
      </c>
      <c r="Y26" s="219">
        <v>609.62506099999996</v>
      </c>
      <c r="Z26" s="219">
        <v>609.71997099999999</v>
      </c>
      <c r="AA26" s="219">
        <v>609.73303199999998</v>
      </c>
      <c r="AB26" s="219">
        <v>609.66314699999998</v>
      </c>
      <c r="AC26" s="219">
        <v>609.52264400000001</v>
      </c>
      <c r="AD26" s="219">
        <v>609.32611099999997</v>
      </c>
      <c r="AE26" s="219">
        <v>609.08605999999997</v>
      </c>
      <c r="AF26" s="212">
        <v>9.3499999999999996E-4</v>
      </c>
      <c r="AG26" s="31"/>
    </row>
    <row r="27" spans="1:33">
      <c r="A27" s="30" t="s">
        <v>769</v>
      </c>
      <c r="B27" s="210" t="s">
        <v>770</v>
      </c>
      <c r="C27" s="219">
        <v>125.59050000000001</v>
      </c>
      <c r="D27" s="219">
        <v>125.10549899999999</v>
      </c>
      <c r="E27" s="219">
        <v>124.587502</v>
      </c>
      <c r="F27" s="219">
        <v>124.038498</v>
      </c>
      <c r="G27" s="219">
        <v>123.461304</v>
      </c>
      <c r="H27" s="219">
        <v>122.858299</v>
      </c>
      <c r="I27" s="219">
        <v>122.231796</v>
      </c>
      <c r="J27" s="219">
        <v>121.584999</v>
      </c>
      <c r="K27" s="219">
        <v>120.91950199999999</v>
      </c>
      <c r="L27" s="219">
        <v>120.237801</v>
      </c>
      <c r="M27" s="219">
        <v>119.54180100000001</v>
      </c>
      <c r="N27" s="219">
        <v>118.832497</v>
      </c>
      <c r="O27" s="219">
        <v>118.113297</v>
      </c>
      <c r="P27" s="219">
        <v>117.385002</v>
      </c>
      <c r="Q27" s="219">
        <v>116.648499</v>
      </c>
      <c r="R27" s="219">
        <v>115.9058</v>
      </c>
      <c r="S27" s="219">
        <v>115.157799</v>
      </c>
      <c r="T27" s="219">
        <v>114.4058</v>
      </c>
      <c r="U27" s="219">
        <v>113.650497</v>
      </c>
      <c r="V27" s="219">
        <v>112.893997</v>
      </c>
      <c r="W27" s="219">
        <v>112.136803</v>
      </c>
      <c r="X27" s="219">
        <v>111.37979900000001</v>
      </c>
      <c r="Y27" s="219">
        <v>110.624802</v>
      </c>
      <c r="Z27" s="219">
        <v>109.871002</v>
      </c>
      <c r="AA27" s="219">
        <v>109.120003</v>
      </c>
      <c r="AB27" s="219">
        <v>108.371803</v>
      </c>
      <c r="AC27" s="219">
        <v>107.62599899999999</v>
      </c>
      <c r="AD27" s="219">
        <v>106.882301</v>
      </c>
      <c r="AE27" s="219">
        <v>106.140297</v>
      </c>
      <c r="AF27" s="212">
        <v>-5.9909999999999998E-3</v>
      </c>
      <c r="AG27" s="31"/>
    </row>
    <row r="28" spans="1:33">
      <c r="A28" s="30" t="s">
        <v>771</v>
      </c>
      <c r="B28" s="210" t="s">
        <v>772</v>
      </c>
      <c r="C28" s="219">
        <v>31.123239999999999</v>
      </c>
      <c r="D28" s="219">
        <v>31.552336</v>
      </c>
      <c r="E28" s="219">
        <v>31.987663000000001</v>
      </c>
      <c r="F28" s="219">
        <v>32.409657000000003</v>
      </c>
      <c r="G28" s="219">
        <v>32.829383999999997</v>
      </c>
      <c r="H28" s="219">
        <v>33.245941000000002</v>
      </c>
      <c r="I28" s="219">
        <v>33.658962000000002</v>
      </c>
      <c r="J28" s="219">
        <v>34.068351999999997</v>
      </c>
      <c r="K28" s="219">
        <v>34.474316000000002</v>
      </c>
      <c r="L28" s="219">
        <v>34.877040999999998</v>
      </c>
      <c r="M28" s="219">
        <v>35.276363000000003</v>
      </c>
      <c r="N28" s="219">
        <v>35.672787</v>
      </c>
      <c r="O28" s="219">
        <v>36.066764999999997</v>
      </c>
      <c r="P28" s="219">
        <v>36.458548999999998</v>
      </c>
      <c r="Q28" s="219">
        <v>36.848582999999998</v>
      </c>
      <c r="R28" s="219">
        <v>37.237124999999999</v>
      </c>
      <c r="S28" s="219">
        <v>37.624454</v>
      </c>
      <c r="T28" s="219">
        <v>38.010421999999998</v>
      </c>
      <c r="U28" s="219">
        <v>38.394981000000001</v>
      </c>
      <c r="V28" s="219">
        <v>38.777881999999998</v>
      </c>
      <c r="W28" s="219">
        <v>39.158962000000002</v>
      </c>
      <c r="X28" s="219">
        <v>39.537841999999998</v>
      </c>
      <c r="Y28" s="219">
        <v>39.914402000000003</v>
      </c>
      <c r="Z28" s="219">
        <v>40.288212000000001</v>
      </c>
      <c r="AA28" s="219">
        <v>40.659004000000003</v>
      </c>
      <c r="AB28" s="219">
        <v>41.026546000000003</v>
      </c>
      <c r="AC28" s="219">
        <v>41.390678000000001</v>
      </c>
      <c r="AD28" s="219">
        <v>41.751362</v>
      </c>
      <c r="AE28" s="219">
        <v>42.10857</v>
      </c>
      <c r="AF28" s="212">
        <v>1.0855E-2</v>
      </c>
      <c r="AG28" s="31"/>
    </row>
    <row r="29" spans="1:33">
      <c r="A29" s="30" t="s">
        <v>773</v>
      </c>
      <c r="B29" s="210" t="s">
        <v>774</v>
      </c>
      <c r="C29" s="219">
        <v>51.338450999999999</v>
      </c>
      <c r="D29" s="219">
        <v>51.348171000000001</v>
      </c>
      <c r="E29" s="219">
        <v>51.347050000000003</v>
      </c>
      <c r="F29" s="219">
        <v>51.337631000000002</v>
      </c>
      <c r="G29" s="219">
        <v>51.319881000000002</v>
      </c>
      <c r="H29" s="219">
        <v>51.29213</v>
      </c>
      <c r="I29" s="219">
        <v>51.253830000000001</v>
      </c>
      <c r="J29" s="219">
        <v>51.20438</v>
      </c>
      <c r="K29" s="219">
        <v>51.143799000000001</v>
      </c>
      <c r="L29" s="219">
        <v>51.07423</v>
      </c>
      <c r="M29" s="219">
        <v>50.995398999999999</v>
      </c>
      <c r="N29" s="219">
        <v>50.903751</v>
      </c>
      <c r="O29" s="219">
        <v>50.795448</v>
      </c>
      <c r="P29" s="219">
        <v>50.667171000000003</v>
      </c>
      <c r="Q29" s="219">
        <v>50.518929</v>
      </c>
      <c r="R29" s="219">
        <v>50.352901000000003</v>
      </c>
      <c r="S29" s="219">
        <v>50.169829999999997</v>
      </c>
      <c r="T29" s="219">
        <v>49.970500999999999</v>
      </c>
      <c r="U29" s="219">
        <v>49.755482000000001</v>
      </c>
      <c r="V29" s="219">
        <v>49.523800000000001</v>
      </c>
      <c r="W29" s="219">
        <v>49.275317999999999</v>
      </c>
      <c r="X29" s="219">
        <v>49.011378999999998</v>
      </c>
      <c r="Y29" s="219">
        <v>48.733330000000002</v>
      </c>
      <c r="Z29" s="219">
        <v>48.442248999999997</v>
      </c>
      <c r="AA29" s="219">
        <v>48.137829000000004</v>
      </c>
      <c r="AB29" s="219">
        <v>47.819248000000002</v>
      </c>
      <c r="AC29" s="219">
        <v>47.487099000000001</v>
      </c>
      <c r="AD29" s="219">
        <v>47.141972000000003</v>
      </c>
      <c r="AE29" s="219">
        <v>46.783932</v>
      </c>
      <c r="AF29" s="212">
        <v>-3.3119999999999998E-3</v>
      </c>
      <c r="AG29" s="31"/>
    </row>
    <row r="30" spans="1:33">
      <c r="A30" s="30" t="s">
        <v>775</v>
      </c>
      <c r="B30" s="210" t="s">
        <v>776</v>
      </c>
      <c r="C30" s="219">
        <v>145.765793</v>
      </c>
      <c r="D30" s="219">
        <v>145.581299</v>
      </c>
      <c r="E30" s="219">
        <v>145.35380599999999</v>
      </c>
      <c r="F30" s="219">
        <v>145.098007</v>
      </c>
      <c r="G30" s="219">
        <v>144.80479399999999</v>
      </c>
      <c r="H30" s="219">
        <v>144.464493</v>
      </c>
      <c r="I30" s="219">
        <v>144.09150700000001</v>
      </c>
      <c r="J30" s="219">
        <v>143.69850199999999</v>
      </c>
      <c r="K30" s="219">
        <v>143.296494</v>
      </c>
      <c r="L30" s="219">
        <v>142.87550400000001</v>
      </c>
      <c r="M30" s="219">
        <v>142.430801</v>
      </c>
      <c r="N30" s="219">
        <v>141.97500600000001</v>
      </c>
      <c r="O30" s="219">
        <v>141.520996</v>
      </c>
      <c r="P30" s="219">
        <v>141.079498</v>
      </c>
      <c r="Q30" s="219">
        <v>140.645996</v>
      </c>
      <c r="R30" s="219">
        <v>140.21350100000001</v>
      </c>
      <c r="S30" s="219">
        <v>139.788498</v>
      </c>
      <c r="T30" s="219">
        <v>139.376801</v>
      </c>
      <c r="U30" s="219">
        <v>138.984802</v>
      </c>
      <c r="V30" s="219">
        <v>138.612503</v>
      </c>
      <c r="W30" s="219">
        <v>138.25649999999999</v>
      </c>
      <c r="X30" s="219">
        <v>137.91400100000001</v>
      </c>
      <c r="Y30" s="219">
        <v>137.58230599999999</v>
      </c>
      <c r="Z30" s="219">
        <v>137.25950599999999</v>
      </c>
      <c r="AA30" s="219">
        <v>136.95030199999999</v>
      </c>
      <c r="AB30" s="219">
        <v>136.65379300000001</v>
      </c>
      <c r="AC30" s="219">
        <v>136.36480700000001</v>
      </c>
      <c r="AD30" s="219">
        <v>136.078506</v>
      </c>
      <c r="AE30" s="219">
        <v>135.788803</v>
      </c>
      <c r="AF30" s="212">
        <v>-2.529E-3</v>
      </c>
      <c r="AG30" s="31"/>
    </row>
    <row r="31" spans="1:33">
      <c r="A31" s="30" t="s">
        <v>777</v>
      </c>
      <c r="B31" s="210" t="s">
        <v>778</v>
      </c>
      <c r="C31" s="219">
        <v>196.40559400000001</v>
      </c>
      <c r="D31" s="219">
        <v>196.88909899999999</v>
      </c>
      <c r="E31" s="219">
        <v>197.34137000000001</v>
      </c>
      <c r="F31" s="219">
        <v>197.77439899999999</v>
      </c>
      <c r="G31" s="219">
        <v>198.13687100000001</v>
      </c>
      <c r="H31" s="219">
        <v>198.47818000000001</v>
      </c>
      <c r="I31" s="219">
        <v>198.80619799999999</v>
      </c>
      <c r="J31" s="219">
        <v>199.13061500000001</v>
      </c>
      <c r="K31" s="219">
        <v>199.45709199999999</v>
      </c>
      <c r="L31" s="219">
        <v>199.80789200000001</v>
      </c>
      <c r="M31" s="219">
        <v>200.15795900000001</v>
      </c>
      <c r="N31" s="219">
        <v>200.50091599999999</v>
      </c>
      <c r="O31" s="219">
        <v>200.82986500000001</v>
      </c>
      <c r="P31" s="219">
        <v>201.143112</v>
      </c>
      <c r="Q31" s="219">
        <v>201.48429899999999</v>
      </c>
      <c r="R31" s="219">
        <v>201.810699</v>
      </c>
      <c r="S31" s="219">
        <v>202.12439000000001</v>
      </c>
      <c r="T31" s="219">
        <v>202.427155</v>
      </c>
      <c r="U31" s="219">
        <v>202.71910099999999</v>
      </c>
      <c r="V31" s="219">
        <v>202.99388099999999</v>
      </c>
      <c r="W31" s="219">
        <v>203.25671399999999</v>
      </c>
      <c r="X31" s="219">
        <v>203.50079299999999</v>
      </c>
      <c r="Y31" s="219">
        <v>203.71812399999999</v>
      </c>
      <c r="Z31" s="219">
        <v>203.905441</v>
      </c>
      <c r="AA31" s="219">
        <v>204.02444499999999</v>
      </c>
      <c r="AB31" s="219">
        <v>204.116028</v>
      </c>
      <c r="AC31" s="219">
        <v>204.18514999999999</v>
      </c>
      <c r="AD31" s="219">
        <v>204.23820499999999</v>
      </c>
      <c r="AE31" s="219">
        <v>204.278717</v>
      </c>
      <c r="AF31" s="212">
        <v>1.405E-3</v>
      </c>
      <c r="AG31" s="31"/>
    </row>
    <row r="32" spans="1:33">
      <c r="A32" s="30" t="s">
        <v>779</v>
      </c>
      <c r="B32" s="210" t="s">
        <v>279</v>
      </c>
      <c r="C32" s="219">
        <v>1448.8129879999999</v>
      </c>
      <c r="D32" s="219">
        <v>1452.4229740000001</v>
      </c>
      <c r="E32" s="219">
        <v>1455.5429690000001</v>
      </c>
      <c r="F32" s="219">
        <v>1458.1979980000001</v>
      </c>
      <c r="G32" s="219">
        <v>1460.3530270000001</v>
      </c>
      <c r="H32" s="219">
        <v>1461.9849850000001</v>
      </c>
      <c r="I32" s="219">
        <v>1463.160034</v>
      </c>
      <c r="J32" s="219">
        <v>1463.9399410000001</v>
      </c>
      <c r="K32" s="219">
        <v>1464.36499</v>
      </c>
      <c r="L32" s="219">
        <v>1464.4229740000001</v>
      </c>
      <c r="M32" s="219">
        <v>1464.084961</v>
      </c>
      <c r="N32" s="219">
        <v>1463.36499</v>
      </c>
      <c r="O32" s="219">
        <v>1462.290039</v>
      </c>
      <c r="P32" s="219">
        <v>1460.878052</v>
      </c>
      <c r="Q32" s="219">
        <v>1459.1080320000001</v>
      </c>
      <c r="R32" s="219">
        <v>1456.968018</v>
      </c>
      <c r="S32" s="219">
        <v>1454.4930420000001</v>
      </c>
      <c r="T32" s="219">
        <v>1451.7030030000001</v>
      </c>
      <c r="U32" s="219">
        <v>1448.623047</v>
      </c>
      <c r="V32" s="219">
        <v>1445.244995</v>
      </c>
      <c r="W32" s="219">
        <v>1441.5550539999999</v>
      </c>
      <c r="X32" s="219">
        <v>1437.5629879999999</v>
      </c>
      <c r="Y32" s="219">
        <v>1433.2829589999999</v>
      </c>
      <c r="Z32" s="219">
        <v>1428.718018</v>
      </c>
      <c r="AA32" s="219">
        <v>1423.849976</v>
      </c>
      <c r="AB32" s="219">
        <v>1418.6829829999999</v>
      </c>
      <c r="AC32" s="219">
        <v>1413.23999</v>
      </c>
      <c r="AD32" s="219">
        <v>1407.5550539999999</v>
      </c>
      <c r="AE32" s="219">
        <v>1401.650024</v>
      </c>
      <c r="AF32" s="212">
        <v>-1.181E-3</v>
      </c>
      <c r="AG32" s="31"/>
    </row>
    <row r="33" spans="1:33">
      <c r="A33" s="30" t="s">
        <v>780</v>
      </c>
      <c r="B33" s="210" t="s">
        <v>781</v>
      </c>
      <c r="C33" s="219">
        <v>1408.3000489999999</v>
      </c>
      <c r="D33" s="219">
        <v>1421.3079829999999</v>
      </c>
      <c r="E33" s="219">
        <v>1434.0699460000001</v>
      </c>
      <c r="F33" s="219">
        <v>1446.5550539999999</v>
      </c>
      <c r="G33" s="219">
        <v>1458.8000489999999</v>
      </c>
      <c r="H33" s="219">
        <v>1470.8129879999999</v>
      </c>
      <c r="I33" s="219">
        <v>1482.5529790000001</v>
      </c>
      <c r="J33" s="219">
        <v>1493.959961</v>
      </c>
      <c r="K33" s="219">
        <v>1504.9930420000001</v>
      </c>
      <c r="L33" s="219">
        <v>1515.6979980000001</v>
      </c>
      <c r="M33" s="219">
        <v>1526.094971</v>
      </c>
      <c r="N33" s="219">
        <v>1536.123047</v>
      </c>
      <c r="O33" s="219">
        <v>1545.714966</v>
      </c>
      <c r="P33" s="219">
        <v>1554.8199460000001</v>
      </c>
      <c r="Q33" s="219">
        <v>1563.4499510000001</v>
      </c>
      <c r="R33" s="219">
        <v>1571.625</v>
      </c>
      <c r="S33" s="219">
        <v>1579.3630370000001</v>
      </c>
      <c r="T33" s="219">
        <v>1586.6579589999999</v>
      </c>
      <c r="U33" s="219">
        <v>1593.51001</v>
      </c>
      <c r="V33" s="219">
        <v>1599.8929439999999</v>
      </c>
      <c r="W33" s="219">
        <v>1605.8129879999999</v>
      </c>
      <c r="X33" s="219">
        <v>1611.3079829999999</v>
      </c>
      <c r="Y33" s="219">
        <v>1616.420044</v>
      </c>
      <c r="Z33" s="219">
        <v>1621.1850589999999</v>
      </c>
      <c r="AA33" s="219">
        <v>1625.5830080000001</v>
      </c>
      <c r="AB33" s="219">
        <v>1629.593018</v>
      </c>
      <c r="AC33" s="219">
        <v>1633.2380370000001</v>
      </c>
      <c r="AD33" s="219">
        <v>1636.5429690000001</v>
      </c>
      <c r="AE33" s="219">
        <v>1639.525024</v>
      </c>
      <c r="AF33" s="212">
        <v>5.4440000000000001E-3</v>
      </c>
      <c r="AG33" s="31"/>
    </row>
    <row r="34" spans="1:33">
      <c r="A34" s="30" t="s">
        <v>782</v>
      </c>
      <c r="B34" s="210" t="s">
        <v>783</v>
      </c>
      <c r="C34" s="219">
        <v>1245.615967</v>
      </c>
      <c r="D34" s="219">
        <v>1259.7116699999999</v>
      </c>
      <c r="E34" s="219">
        <v>1273.62915</v>
      </c>
      <c r="F34" s="219">
        <v>1287.3408199999999</v>
      </c>
      <c r="G34" s="219">
        <v>1300.336182</v>
      </c>
      <c r="H34" s="219">
        <v>1313.135254</v>
      </c>
      <c r="I34" s="219">
        <v>1325.7388920000001</v>
      </c>
      <c r="J34" s="219">
        <v>1338.14978</v>
      </c>
      <c r="K34" s="219">
        <v>1350.362183</v>
      </c>
      <c r="L34" s="219">
        <v>1361.7928469999999</v>
      </c>
      <c r="M34" s="219">
        <v>1373.0439449999999</v>
      </c>
      <c r="N34" s="219">
        <v>1384.1104740000001</v>
      </c>
      <c r="O34" s="219">
        <v>1394.9650879999999</v>
      </c>
      <c r="P34" s="219">
        <v>1405.6123050000001</v>
      </c>
      <c r="Q34" s="219">
        <v>1415.5485839999999</v>
      </c>
      <c r="R34" s="219">
        <v>1425.296143</v>
      </c>
      <c r="S34" s="219">
        <v>1434.834351</v>
      </c>
      <c r="T34" s="219">
        <v>1444.1679690000001</v>
      </c>
      <c r="U34" s="219">
        <v>1453.3126219999999</v>
      </c>
      <c r="V34" s="219">
        <v>1461.786987</v>
      </c>
      <c r="W34" s="219">
        <v>1470.0507809999999</v>
      </c>
      <c r="X34" s="219">
        <v>1478.1164550000001</v>
      </c>
      <c r="Y34" s="219">
        <v>1485.9938959999999</v>
      </c>
      <c r="Z34" s="219">
        <v>1493.684814</v>
      </c>
      <c r="AA34" s="219">
        <v>1500.5679929999999</v>
      </c>
      <c r="AB34" s="219">
        <v>1507.2523189999999</v>
      </c>
      <c r="AC34" s="219">
        <v>1513.752197</v>
      </c>
      <c r="AD34" s="219">
        <v>1520.0760499999999</v>
      </c>
      <c r="AE34" s="219">
        <v>1526.2166749999999</v>
      </c>
      <c r="AF34" s="212">
        <v>7.2820000000000003E-3</v>
      </c>
      <c r="AG34" s="31"/>
    </row>
    <row r="35" spans="1:33">
      <c r="A35" s="30" t="s">
        <v>784</v>
      </c>
      <c r="B35" s="210" t="s">
        <v>785</v>
      </c>
      <c r="C35" s="219">
        <v>261.10183699999999</v>
      </c>
      <c r="D35" s="219">
        <v>266.300995</v>
      </c>
      <c r="E35" s="219">
        <v>271.39819299999999</v>
      </c>
      <c r="F35" s="219">
        <v>276.418274</v>
      </c>
      <c r="G35" s="219">
        <v>280.84103399999998</v>
      </c>
      <c r="H35" s="219">
        <v>285.21560699999998</v>
      </c>
      <c r="I35" s="219">
        <v>289.57656900000001</v>
      </c>
      <c r="J35" s="219">
        <v>293.90484600000002</v>
      </c>
      <c r="K35" s="219">
        <v>298.09335299999998</v>
      </c>
      <c r="L35" s="219">
        <v>301.73696899999999</v>
      </c>
      <c r="M35" s="219">
        <v>305.35867300000001</v>
      </c>
      <c r="N35" s="219">
        <v>308.96170000000001</v>
      </c>
      <c r="O35" s="219">
        <v>312.54541</v>
      </c>
      <c r="P35" s="219">
        <v>316.10913099999999</v>
      </c>
      <c r="Q35" s="219">
        <v>319.498199</v>
      </c>
      <c r="R35" s="219">
        <v>322.86215199999998</v>
      </c>
      <c r="S35" s="219">
        <v>326.19833399999999</v>
      </c>
      <c r="T35" s="219">
        <v>329.50210600000003</v>
      </c>
      <c r="U35" s="219">
        <v>332.77383400000002</v>
      </c>
      <c r="V35" s="219">
        <v>335.88980099999998</v>
      </c>
      <c r="W35" s="219">
        <v>338.96798699999999</v>
      </c>
      <c r="X35" s="219">
        <v>342.00610399999999</v>
      </c>
      <c r="Y35" s="219">
        <v>345.00186200000002</v>
      </c>
      <c r="Z35" s="219">
        <v>347.957672</v>
      </c>
      <c r="AA35" s="219">
        <v>350.72204599999998</v>
      </c>
      <c r="AB35" s="219">
        <v>353.440674</v>
      </c>
      <c r="AC35" s="219">
        <v>356.113495</v>
      </c>
      <c r="AD35" s="219">
        <v>358.73825099999999</v>
      </c>
      <c r="AE35" s="219">
        <v>361.31408699999997</v>
      </c>
      <c r="AF35" s="212">
        <v>1.1669000000000001E-2</v>
      </c>
      <c r="AG35" s="31"/>
    </row>
    <row r="36" spans="1:33">
      <c r="A36" s="30" t="s">
        <v>786</v>
      </c>
      <c r="B36" s="210" t="s">
        <v>278</v>
      </c>
      <c r="C36" s="219">
        <v>1406.816284</v>
      </c>
      <c r="D36" s="219">
        <v>1440.4285890000001</v>
      </c>
      <c r="E36" s="219">
        <v>1474.159302</v>
      </c>
      <c r="F36" s="219">
        <v>1508.036865</v>
      </c>
      <c r="G36" s="219">
        <v>1543.6094969999999</v>
      </c>
      <c r="H36" s="219">
        <v>1579.3232419999999</v>
      </c>
      <c r="I36" s="219">
        <v>1615.1782229999999</v>
      </c>
      <c r="J36" s="219">
        <v>1651.1739500000001</v>
      </c>
      <c r="K36" s="219">
        <v>1687.309937</v>
      </c>
      <c r="L36" s="219">
        <v>1725.00647</v>
      </c>
      <c r="M36" s="219">
        <v>1762.836914</v>
      </c>
      <c r="N36" s="219">
        <v>1800.7958980000001</v>
      </c>
      <c r="O36" s="219">
        <v>1838.8767089999999</v>
      </c>
      <c r="P36" s="219">
        <v>1877.0699460000001</v>
      </c>
      <c r="Q36" s="219">
        <v>1916.586182</v>
      </c>
      <c r="R36" s="219">
        <v>1956.201904</v>
      </c>
      <c r="S36" s="219">
        <v>1995.9060059999999</v>
      </c>
      <c r="T36" s="219">
        <v>2035.682129</v>
      </c>
      <c r="U36" s="219">
        <v>2075.5166020000001</v>
      </c>
      <c r="V36" s="219">
        <v>2116.3789059999999</v>
      </c>
      <c r="W36" s="219">
        <v>2157.2849120000001</v>
      </c>
      <c r="X36" s="219">
        <v>2198.218018</v>
      </c>
      <c r="Y36" s="219">
        <v>2239.1657709999999</v>
      </c>
      <c r="Z36" s="219">
        <v>2280.1120609999998</v>
      </c>
      <c r="AA36" s="219">
        <v>2321.6833499999998</v>
      </c>
      <c r="AB36" s="219">
        <v>2363.233643</v>
      </c>
      <c r="AC36" s="219">
        <v>2404.77124</v>
      </c>
      <c r="AD36" s="219">
        <v>2446.304932</v>
      </c>
      <c r="AE36" s="219">
        <v>2487.8393550000001</v>
      </c>
      <c r="AF36" s="212">
        <v>2.0569E-2</v>
      </c>
      <c r="AG36" s="31"/>
    </row>
    <row r="37" spans="1:33">
      <c r="A37" s="30" t="s">
        <v>787</v>
      </c>
      <c r="B37" s="210" t="s">
        <v>788</v>
      </c>
      <c r="C37" s="219">
        <v>215.50250199999999</v>
      </c>
      <c r="D37" s="219">
        <v>216.787003</v>
      </c>
      <c r="E37" s="219">
        <v>218.005798</v>
      </c>
      <c r="F37" s="219">
        <v>219.15980500000001</v>
      </c>
      <c r="G37" s="219">
        <v>220.245499</v>
      </c>
      <c r="H37" s="219">
        <v>221.26480100000001</v>
      </c>
      <c r="I37" s="219">
        <v>222.22030599999999</v>
      </c>
      <c r="J37" s="219">
        <v>223.115005</v>
      </c>
      <c r="K37" s="219">
        <v>223.951797</v>
      </c>
      <c r="L37" s="219">
        <v>224.729996</v>
      </c>
      <c r="M37" s="219">
        <v>225.447495</v>
      </c>
      <c r="N37" s="219">
        <v>226.105301</v>
      </c>
      <c r="O37" s="219">
        <v>226.704498</v>
      </c>
      <c r="P37" s="219">
        <v>227.24650600000001</v>
      </c>
      <c r="Q37" s="219">
        <v>227.72830200000001</v>
      </c>
      <c r="R37" s="219">
        <v>228.15029899999999</v>
      </c>
      <c r="S37" s="219">
        <v>228.515503</v>
      </c>
      <c r="T37" s="219">
        <v>228.82730100000001</v>
      </c>
      <c r="U37" s="219">
        <v>229.087006</v>
      </c>
      <c r="V37" s="219">
        <v>229.29299900000001</v>
      </c>
      <c r="W37" s="219">
        <v>229.44380200000001</v>
      </c>
      <c r="X37" s="219">
        <v>229.54299900000001</v>
      </c>
      <c r="Y37" s="219">
        <v>229.59530599999999</v>
      </c>
      <c r="Z37" s="219">
        <v>229.60000600000001</v>
      </c>
      <c r="AA37" s="219">
        <v>229.541</v>
      </c>
      <c r="AB37" s="219">
        <v>229.420807</v>
      </c>
      <c r="AC37" s="219">
        <v>229.26629600000001</v>
      </c>
      <c r="AD37" s="219">
        <v>229.10699500000001</v>
      </c>
      <c r="AE37" s="219">
        <v>228.962997</v>
      </c>
      <c r="AF37" s="212">
        <v>2.166E-3</v>
      </c>
      <c r="AG37" s="31"/>
    </row>
    <row r="38" spans="1:33">
      <c r="A38" s="30" t="s">
        <v>789</v>
      </c>
      <c r="B38" s="210" t="s">
        <v>790</v>
      </c>
      <c r="C38" s="219">
        <v>239.305511</v>
      </c>
      <c r="D38" s="219">
        <v>242.13305700000001</v>
      </c>
      <c r="E38" s="219">
        <v>244.95889299999999</v>
      </c>
      <c r="F38" s="219">
        <v>247.68708799999999</v>
      </c>
      <c r="G38" s="219">
        <v>250.28230300000001</v>
      </c>
      <c r="H38" s="219">
        <v>252.77761799999999</v>
      </c>
      <c r="I38" s="219">
        <v>255.17982499999999</v>
      </c>
      <c r="J38" s="219">
        <v>257.50900300000001</v>
      </c>
      <c r="K38" s="219">
        <v>259.78024299999998</v>
      </c>
      <c r="L38" s="219">
        <v>261.96649200000002</v>
      </c>
      <c r="M38" s="219">
        <v>264.080872</v>
      </c>
      <c r="N38" s="219">
        <v>266.13140900000002</v>
      </c>
      <c r="O38" s="219">
        <v>268.12866200000002</v>
      </c>
      <c r="P38" s="219">
        <v>270.08139</v>
      </c>
      <c r="Q38" s="219">
        <v>271.964966</v>
      </c>
      <c r="R38" s="219">
        <v>273.805634</v>
      </c>
      <c r="S38" s="219">
        <v>275.60214200000001</v>
      </c>
      <c r="T38" s="219">
        <v>277.35290500000002</v>
      </c>
      <c r="U38" s="219">
        <v>279.05569500000001</v>
      </c>
      <c r="V38" s="219">
        <v>280.68167099999999</v>
      </c>
      <c r="W38" s="219">
        <v>282.26147500000002</v>
      </c>
      <c r="X38" s="219">
        <v>283.79553199999998</v>
      </c>
      <c r="Y38" s="219">
        <v>285.28445399999998</v>
      </c>
      <c r="Z38" s="219">
        <v>286.727417</v>
      </c>
      <c r="AA38" s="219">
        <v>288.09207199999997</v>
      </c>
      <c r="AB38" s="219">
        <v>289.408478</v>
      </c>
      <c r="AC38" s="219">
        <v>290.681061</v>
      </c>
      <c r="AD38" s="219">
        <v>291.913025</v>
      </c>
      <c r="AE38" s="219">
        <v>293.10772700000001</v>
      </c>
      <c r="AF38" s="212">
        <v>7.2690000000000003E-3</v>
      </c>
      <c r="AG38" s="31"/>
    </row>
    <row r="39" spans="1:33">
      <c r="A39" s="29"/>
      <c r="B39" s="31"/>
      <c r="C39" s="31"/>
      <c r="D39" s="31"/>
      <c r="E39" s="31"/>
      <c r="F39" s="31"/>
      <c r="G39" s="31"/>
      <c r="H39" s="31"/>
      <c r="I39" s="31"/>
      <c r="J39" s="31"/>
      <c r="K39" s="31"/>
      <c r="L39" s="31"/>
      <c r="M39" s="31"/>
      <c r="N39" s="31"/>
      <c r="O39" s="31"/>
      <c r="P39" s="31"/>
      <c r="Q39" s="31"/>
      <c r="R39" s="31"/>
      <c r="S39" s="31"/>
      <c r="T39" s="31"/>
      <c r="U39" s="31"/>
      <c r="V39" s="31"/>
      <c r="W39" s="31"/>
      <c r="X39" s="31"/>
      <c r="Y39" s="31"/>
      <c r="Z39" s="31"/>
      <c r="AA39" s="31"/>
      <c r="AB39" s="31"/>
      <c r="AC39" s="31"/>
      <c r="AD39" s="31"/>
      <c r="AE39" s="31"/>
      <c r="AF39" s="31"/>
      <c r="AG39" s="31"/>
    </row>
    <row r="40" spans="1:33">
      <c r="A40" s="29"/>
      <c r="B40" s="209" t="s">
        <v>151</v>
      </c>
      <c r="C40" s="31"/>
      <c r="D40" s="31"/>
      <c r="E40" s="31"/>
      <c r="F40" s="31"/>
      <c r="G40" s="31"/>
      <c r="H40" s="31"/>
      <c r="I40" s="31"/>
      <c r="J40" s="31"/>
      <c r="K40" s="31"/>
      <c r="L40" s="31"/>
      <c r="M40" s="31"/>
      <c r="N40" s="31"/>
      <c r="O40" s="31"/>
      <c r="P40" s="31"/>
      <c r="Q40" s="31"/>
      <c r="R40" s="31"/>
      <c r="S40" s="31"/>
      <c r="T40" s="31"/>
      <c r="U40" s="31"/>
      <c r="V40" s="31"/>
      <c r="W40" s="31"/>
      <c r="X40" s="31"/>
      <c r="Y40" s="31"/>
      <c r="Z40" s="31"/>
      <c r="AA40" s="31"/>
      <c r="AB40" s="31"/>
      <c r="AC40" s="31"/>
      <c r="AD40" s="31"/>
      <c r="AE40" s="31"/>
      <c r="AF40" s="31"/>
      <c r="AG40" s="31"/>
    </row>
    <row r="41" spans="1:33">
      <c r="A41" s="29"/>
      <c r="B41" s="209" t="s">
        <v>280</v>
      </c>
      <c r="C41" s="31"/>
      <c r="D41" s="31"/>
      <c r="E41" s="31"/>
      <c r="F41" s="31"/>
      <c r="G41" s="31"/>
      <c r="H41" s="31"/>
      <c r="I41" s="31"/>
      <c r="J41" s="31"/>
      <c r="K41" s="31"/>
      <c r="L41" s="31"/>
      <c r="M41" s="31"/>
      <c r="N41" s="31"/>
      <c r="O41" s="31"/>
      <c r="P41" s="31"/>
      <c r="Q41" s="31"/>
      <c r="R41" s="31"/>
      <c r="S41" s="31"/>
      <c r="T41" s="31"/>
      <c r="U41" s="31"/>
      <c r="V41" s="31"/>
      <c r="W41" s="31"/>
      <c r="X41" s="31"/>
      <c r="Y41" s="31"/>
      <c r="Z41" s="31"/>
      <c r="AA41" s="31"/>
      <c r="AB41" s="31"/>
      <c r="AC41" s="31"/>
      <c r="AD41" s="31"/>
      <c r="AE41" s="31"/>
      <c r="AF41" s="31"/>
      <c r="AG41" s="31"/>
    </row>
    <row r="42" spans="1:33">
      <c r="A42" s="29"/>
      <c r="B42" s="209" t="s">
        <v>791</v>
      </c>
      <c r="C42" s="9"/>
      <c r="E42" s="31"/>
      <c r="F42" s="31"/>
      <c r="G42" s="31"/>
      <c r="H42" s="31"/>
      <c r="I42" s="31"/>
      <c r="J42" s="31"/>
      <c r="K42" s="31"/>
      <c r="L42" s="31"/>
      <c r="M42" s="31"/>
      <c r="N42" s="31"/>
      <c r="O42" s="31"/>
      <c r="P42" s="31"/>
      <c r="Q42" s="31"/>
      <c r="R42" s="31"/>
      <c r="S42" s="31"/>
      <c r="T42" s="31"/>
      <c r="U42" s="31"/>
      <c r="V42" s="31"/>
      <c r="W42" s="31"/>
      <c r="X42" s="31"/>
      <c r="Y42" s="31"/>
      <c r="Z42" s="31"/>
      <c r="AA42" s="31"/>
      <c r="AB42" s="31"/>
      <c r="AC42" s="31"/>
      <c r="AD42" s="31"/>
      <c r="AE42" s="31"/>
      <c r="AF42" s="31"/>
      <c r="AG42" s="31"/>
    </row>
    <row r="43" spans="1:33" s="248" customFormat="1">
      <c r="A43" s="243" t="s">
        <v>792</v>
      </c>
      <c r="B43" s="244" t="s">
        <v>281</v>
      </c>
      <c r="C43" s="245">
        <v>710.078979</v>
      </c>
      <c r="D43" s="245">
        <v>745.46997099999999</v>
      </c>
      <c r="E43" s="245">
        <v>746.32006799999999</v>
      </c>
      <c r="F43" s="245">
        <v>755.33380099999999</v>
      </c>
      <c r="G43" s="245">
        <v>772.24121100000002</v>
      </c>
      <c r="H43" s="245">
        <v>788.825378</v>
      </c>
      <c r="I43" s="245">
        <v>803.36663799999997</v>
      </c>
      <c r="J43" s="245">
        <v>815.28930700000001</v>
      </c>
      <c r="K43" s="245">
        <v>824.81445299999996</v>
      </c>
      <c r="L43" s="245">
        <v>834.85772699999995</v>
      </c>
      <c r="M43" s="245">
        <v>848.97833300000002</v>
      </c>
      <c r="N43" s="245">
        <v>865.444885</v>
      </c>
      <c r="O43" s="245">
        <v>881.70617700000003</v>
      </c>
      <c r="P43" s="245">
        <v>898.18823199999997</v>
      </c>
      <c r="Q43" s="245">
        <v>916.51141399999995</v>
      </c>
      <c r="R43" s="245">
        <v>936.63476600000001</v>
      </c>
      <c r="S43" s="245">
        <v>957.63073699999995</v>
      </c>
      <c r="T43" s="245">
        <v>978.95721400000002</v>
      </c>
      <c r="U43" s="245">
        <v>1003.341492</v>
      </c>
      <c r="V43" s="245">
        <v>1027.651611</v>
      </c>
      <c r="W43" s="245">
        <v>1052.540894</v>
      </c>
      <c r="X43" s="245">
        <v>1078.3070070000001</v>
      </c>
      <c r="Y43" s="245">
        <v>1103.5081789999999</v>
      </c>
      <c r="Z43" s="245">
        <v>1128.1469729999999</v>
      </c>
      <c r="AA43" s="245">
        <v>1153.3220209999999</v>
      </c>
      <c r="AB43" s="245">
        <v>1180.4858400000001</v>
      </c>
      <c r="AC43" s="245">
        <v>1208.165649</v>
      </c>
      <c r="AD43" s="245">
        <v>1236.08728</v>
      </c>
      <c r="AE43" s="245">
        <v>1266.459961</v>
      </c>
      <c r="AF43" s="246">
        <v>2.0879000000000002E-2</v>
      </c>
      <c r="AG43" s="247"/>
    </row>
    <row r="44" spans="1:33">
      <c r="A44" s="30" t="s">
        <v>793</v>
      </c>
      <c r="B44" s="210" t="s">
        <v>282</v>
      </c>
      <c r="C44" s="219">
        <v>33.891998000000001</v>
      </c>
      <c r="D44" s="219">
        <v>36.630001</v>
      </c>
      <c r="E44" s="219">
        <v>37.250919000000003</v>
      </c>
      <c r="F44" s="219">
        <v>37.928448000000003</v>
      </c>
      <c r="G44" s="219">
        <v>38.582844000000001</v>
      </c>
      <c r="H44" s="219">
        <v>39.201327999999997</v>
      </c>
      <c r="I44" s="219">
        <v>39.822952000000001</v>
      </c>
      <c r="J44" s="219">
        <v>40.457236999999999</v>
      </c>
      <c r="K44" s="219">
        <v>41.099151999999997</v>
      </c>
      <c r="L44" s="219">
        <v>41.750576000000002</v>
      </c>
      <c r="M44" s="219">
        <v>42.408977999999998</v>
      </c>
      <c r="N44" s="219">
        <v>43.071007000000002</v>
      </c>
      <c r="O44" s="219">
        <v>43.736645000000003</v>
      </c>
      <c r="P44" s="219">
        <v>44.405921999999997</v>
      </c>
      <c r="Q44" s="219">
        <v>45.078777000000002</v>
      </c>
      <c r="R44" s="219">
        <v>45.755299000000001</v>
      </c>
      <c r="S44" s="219">
        <v>46.435478000000003</v>
      </c>
      <c r="T44" s="219">
        <v>47.119484</v>
      </c>
      <c r="U44" s="219">
        <v>47.807274</v>
      </c>
      <c r="V44" s="219">
        <v>48.498725999999998</v>
      </c>
      <c r="W44" s="219">
        <v>49.194065000000002</v>
      </c>
      <c r="X44" s="219">
        <v>49.893104999999998</v>
      </c>
      <c r="Y44" s="219">
        <v>50.597079999999998</v>
      </c>
      <c r="Z44" s="219">
        <v>51.306601999999998</v>
      </c>
      <c r="AA44" s="219">
        <v>52.021793000000002</v>
      </c>
      <c r="AB44" s="219">
        <v>52.742984999999997</v>
      </c>
      <c r="AC44" s="219">
        <v>53.470382999999998</v>
      </c>
      <c r="AD44" s="219">
        <v>54.204514000000003</v>
      </c>
      <c r="AE44" s="219">
        <v>54.945633000000001</v>
      </c>
      <c r="AF44" s="212">
        <v>1.7406000000000001E-2</v>
      </c>
      <c r="AG44" s="31"/>
    </row>
    <row r="45" spans="1:33">
      <c r="A45" s="30" t="s">
        <v>794</v>
      </c>
      <c r="B45" s="210" t="s">
        <v>795</v>
      </c>
      <c r="C45" s="219">
        <v>50.740718999999999</v>
      </c>
      <c r="D45" s="219">
        <v>56.534430999999998</v>
      </c>
      <c r="E45" s="219">
        <v>60.376579</v>
      </c>
      <c r="F45" s="219">
        <v>62.836734999999997</v>
      </c>
      <c r="G45" s="219">
        <v>65.337990000000005</v>
      </c>
      <c r="H45" s="219">
        <v>67.897064</v>
      </c>
      <c r="I45" s="219">
        <v>70.512161000000006</v>
      </c>
      <c r="J45" s="219">
        <v>73.204375999999996</v>
      </c>
      <c r="K45" s="219">
        <v>75.988669999999999</v>
      </c>
      <c r="L45" s="219">
        <v>78.861144999999993</v>
      </c>
      <c r="M45" s="219">
        <v>81.841094999999996</v>
      </c>
      <c r="N45" s="219">
        <v>84.912086000000002</v>
      </c>
      <c r="O45" s="219">
        <v>88.077208999999996</v>
      </c>
      <c r="P45" s="219">
        <v>91.337661999999995</v>
      </c>
      <c r="Q45" s="219">
        <v>94.683143999999999</v>
      </c>
      <c r="R45" s="219">
        <v>98.125945999999999</v>
      </c>
      <c r="S45" s="219">
        <v>101.669319</v>
      </c>
      <c r="T45" s="219">
        <v>105.31547500000001</v>
      </c>
      <c r="U45" s="219">
        <v>109.06652099999999</v>
      </c>
      <c r="V45" s="219">
        <v>112.89244100000001</v>
      </c>
      <c r="W45" s="219">
        <v>116.824089</v>
      </c>
      <c r="X45" s="219">
        <v>120.86422</v>
      </c>
      <c r="Y45" s="219">
        <v>125.015038</v>
      </c>
      <c r="Z45" s="219">
        <v>129.27801500000001</v>
      </c>
      <c r="AA45" s="219">
        <v>133.62089499999999</v>
      </c>
      <c r="AB45" s="219">
        <v>138.07399000000001</v>
      </c>
      <c r="AC45" s="219">
        <v>142.646118</v>
      </c>
      <c r="AD45" s="219">
        <v>147.34742700000001</v>
      </c>
      <c r="AE45" s="219">
        <v>152.18673699999999</v>
      </c>
      <c r="AF45" s="212">
        <v>4.0007000000000001E-2</v>
      </c>
      <c r="AG45" s="31"/>
    </row>
    <row r="46" spans="1:33">
      <c r="A46" s="30" t="s">
        <v>796</v>
      </c>
      <c r="B46" s="210" t="s">
        <v>797</v>
      </c>
      <c r="C46" s="219">
        <v>315.62841800000001</v>
      </c>
      <c r="D46" s="219">
        <v>422.74731400000002</v>
      </c>
      <c r="E46" s="219">
        <v>501.79760700000003</v>
      </c>
      <c r="F46" s="219">
        <v>547.62390100000005</v>
      </c>
      <c r="G46" s="219">
        <v>567.10003700000004</v>
      </c>
      <c r="H46" s="219">
        <v>580.01007100000004</v>
      </c>
      <c r="I46" s="219">
        <v>593.03802499999995</v>
      </c>
      <c r="J46" s="219">
        <v>606.25683600000002</v>
      </c>
      <c r="K46" s="219">
        <v>619.70391800000004</v>
      </c>
      <c r="L46" s="219">
        <v>633.394226</v>
      </c>
      <c r="M46" s="219">
        <v>647.34759499999996</v>
      </c>
      <c r="N46" s="219">
        <v>661.58007799999996</v>
      </c>
      <c r="O46" s="219">
        <v>676.07147199999997</v>
      </c>
      <c r="P46" s="219">
        <v>690.78887899999995</v>
      </c>
      <c r="Q46" s="219">
        <v>705.776794</v>
      </c>
      <c r="R46" s="219">
        <v>721.07025099999998</v>
      </c>
      <c r="S46" s="219">
        <v>736.65130599999998</v>
      </c>
      <c r="T46" s="219">
        <v>752.51965299999995</v>
      </c>
      <c r="U46" s="219">
        <v>768.69628899999998</v>
      </c>
      <c r="V46" s="219">
        <v>785.15838599999995</v>
      </c>
      <c r="W46" s="219">
        <v>801.90203899999995</v>
      </c>
      <c r="X46" s="219">
        <v>818.92358400000001</v>
      </c>
      <c r="Y46" s="219">
        <v>836.21734600000002</v>
      </c>
      <c r="Z46" s="219">
        <v>853.78289800000005</v>
      </c>
      <c r="AA46" s="219">
        <v>871.62298599999997</v>
      </c>
      <c r="AB46" s="219">
        <v>889.74096699999996</v>
      </c>
      <c r="AC46" s="219">
        <v>908.15856900000006</v>
      </c>
      <c r="AD46" s="219">
        <v>926.90478499999995</v>
      </c>
      <c r="AE46" s="219">
        <v>945.99829099999999</v>
      </c>
      <c r="AF46" s="212">
        <v>3.9981000000000003E-2</v>
      </c>
      <c r="AG46" s="31"/>
    </row>
    <row r="47" spans="1:33">
      <c r="A47" s="30" t="s">
        <v>798</v>
      </c>
      <c r="B47" s="210" t="s">
        <v>799</v>
      </c>
      <c r="C47" s="219">
        <v>26.969999000000001</v>
      </c>
      <c r="D47" s="219">
        <v>47.43</v>
      </c>
      <c r="E47" s="219">
        <v>59.271999000000001</v>
      </c>
      <c r="F47" s="219">
        <v>61.380001</v>
      </c>
      <c r="G47" s="219">
        <v>61.920161999999998</v>
      </c>
      <c r="H47" s="219">
        <v>62.41534</v>
      </c>
      <c r="I47" s="219">
        <v>62.870857000000001</v>
      </c>
      <c r="J47" s="219">
        <v>63.294476000000003</v>
      </c>
      <c r="K47" s="219">
        <v>63.689357999999999</v>
      </c>
      <c r="L47" s="219">
        <v>64.061240999999995</v>
      </c>
      <c r="M47" s="219">
        <v>64.419899000000001</v>
      </c>
      <c r="N47" s="219">
        <v>64.773528999999996</v>
      </c>
      <c r="O47" s="219">
        <v>65.123833000000005</v>
      </c>
      <c r="P47" s="219">
        <v>65.470909000000006</v>
      </c>
      <c r="Q47" s="219">
        <v>65.814910999999995</v>
      </c>
      <c r="R47" s="219">
        <v>66.156433000000007</v>
      </c>
      <c r="S47" s="219">
        <v>66.495697000000007</v>
      </c>
      <c r="T47" s="219">
        <v>66.832970000000003</v>
      </c>
      <c r="U47" s="219">
        <v>67.168334999999999</v>
      </c>
      <c r="V47" s="219">
        <v>67.502707999999998</v>
      </c>
      <c r="W47" s="219">
        <v>67.836005999999998</v>
      </c>
      <c r="X47" s="219">
        <v>68.168655000000001</v>
      </c>
      <c r="Y47" s="219">
        <v>68.502373000000006</v>
      </c>
      <c r="Z47" s="219">
        <v>68.839500000000001</v>
      </c>
      <c r="AA47" s="219">
        <v>69.182654999999997</v>
      </c>
      <c r="AB47" s="219">
        <v>69.532364000000001</v>
      </c>
      <c r="AC47" s="219">
        <v>69.888549999999995</v>
      </c>
      <c r="AD47" s="219">
        <v>70.251152000000005</v>
      </c>
      <c r="AE47" s="219">
        <v>70.620002999999997</v>
      </c>
      <c r="AF47" s="212">
        <v>3.4976E-2</v>
      </c>
      <c r="AG47" s="31"/>
    </row>
    <row r="48" spans="1:33">
      <c r="A48" s="30" t="s">
        <v>800</v>
      </c>
      <c r="B48" s="210" t="s">
        <v>801</v>
      </c>
      <c r="C48" s="219">
        <v>32.485492999999998</v>
      </c>
      <c r="D48" s="219">
        <v>45.917563999999999</v>
      </c>
      <c r="E48" s="219">
        <v>54.438347</v>
      </c>
      <c r="F48" s="219">
        <v>58.580399</v>
      </c>
      <c r="G48" s="219">
        <v>60.373111999999999</v>
      </c>
      <c r="H48" s="219">
        <v>62.175818999999997</v>
      </c>
      <c r="I48" s="219">
        <v>63.987071999999998</v>
      </c>
      <c r="J48" s="219">
        <v>65.816010000000006</v>
      </c>
      <c r="K48" s="219">
        <v>67.672150000000002</v>
      </c>
      <c r="L48" s="219">
        <v>69.540038999999993</v>
      </c>
      <c r="M48" s="219">
        <v>71.392394999999993</v>
      </c>
      <c r="N48" s="219">
        <v>73.242050000000006</v>
      </c>
      <c r="O48" s="219">
        <v>75.092895999999996</v>
      </c>
      <c r="P48" s="219">
        <v>76.872742000000002</v>
      </c>
      <c r="Q48" s="219">
        <v>78.633728000000005</v>
      </c>
      <c r="R48" s="219">
        <v>80.435424999999995</v>
      </c>
      <c r="S48" s="219">
        <v>82.260277000000002</v>
      </c>
      <c r="T48" s="219">
        <v>84.062126000000006</v>
      </c>
      <c r="U48" s="219">
        <v>85.845725999999999</v>
      </c>
      <c r="V48" s="219">
        <v>87.640495000000001</v>
      </c>
      <c r="W48" s="219">
        <v>89.452477000000002</v>
      </c>
      <c r="X48" s="219">
        <v>91.281104999999997</v>
      </c>
      <c r="Y48" s="219">
        <v>93.125473</v>
      </c>
      <c r="Z48" s="219">
        <v>94.983176999999998</v>
      </c>
      <c r="AA48" s="219">
        <v>96.849968000000004</v>
      </c>
      <c r="AB48" s="219">
        <v>98.726249999999993</v>
      </c>
      <c r="AC48" s="219">
        <v>100.62426000000001</v>
      </c>
      <c r="AD48" s="219">
        <v>102.54549400000001</v>
      </c>
      <c r="AE48" s="219">
        <v>104.48915100000001</v>
      </c>
      <c r="AF48" s="212">
        <v>4.2606999999999999E-2</v>
      </c>
      <c r="AG48" s="31"/>
    </row>
    <row r="49" spans="1:33">
      <c r="A49" s="30" t="s">
        <v>802</v>
      </c>
      <c r="B49" s="210" t="s">
        <v>803</v>
      </c>
      <c r="C49" s="219">
        <v>7.1724589999999999</v>
      </c>
      <c r="D49" s="219">
        <v>8.457884</v>
      </c>
      <c r="E49" s="219">
        <v>9.5488759999999999</v>
      </c>
      <c r="F49" s="219">
        <v>10.326612000000001</v>
      </c>
      <c r="G49" s="219">
        <v>10.693877000000001</v>
      </c>
      <c r="H49" s="219">
        <v>10.870692</v>
      </c>
      <c r="I49" s="219">
        <v>11.037345</v>
      </c>
      <c r="J49" s="219">
        <v>11.193871</v>
      </c>
      <c r="K49" s="219">
        <v>11.34094</v>
      </c>
      <c r="L49" s="219">
        <v>11.454879</v>
      </c>
      <c r="M49" s="219">
        <v>11.523292</v>
      </c>
      <c r="N49" s="219">
        <v>11.581455</v>
      </c>
      <c r="O49" s="219">
        <v>11.636729000000001</v>
      </c>
      <c r="P49" s="219">
        <v>11.687825999999999</v>
      </c>
      <c r="Q49" s="219">
        <v>11.736679000000001</v>
      </c>
      <c r="R49" s="219">
        <v>11.776113</v>
      </c>
      <c r="S49" s="219">
        <v>11.806799</v>
      </c>
      <c r="T49" s="219">
        <v>11.835800000000001</v>
      </c>
      <c r="U49" s="219">
        <v>11.867737999999999</v>
      </c>
      <c r="V49" s="219">
        <v>11.907171999999999</v>
      </c>
      <c r="W49" s="219">
        <v>11.952139000000001</v>
      </c>
      <c r="X49" s="219">
        <v>11.998142</v>
      </c>
      <c r="Y49" s="219">
        <v>12.043982</v>
      </c>
      <c r="Z49" s="219">
        <v>12.087415</v>
      </c>
      <c r="AA49" s="219">
        <v>12.125690000000001</v>
      </c>
      <c r="AB49" s="219">
        <v>12.1586</v>
      </c>
      <c r="AC49" s="219">
        <v>12.189465</v>
      </c>
      <c r="AD49" s="219">
        <v>12.221159999999999</v>
      </c>
      <c r="AE49" s="219">
        <v>12.255587</v>
      </c>
      <c r="AF49" s="212">
        <v>1.9317999999999998E-2</v>
      </c>
      <c r="AG49" s="31"/>
    </row>
    <row r="50" spans="1:33">
      <c r="A50" s="30" t="s">
        <v>804</v>
      </c>
      <c r="B50" s="210" t="s">
        <v>805</v>
      </c>
      <c r="C50" s="219">
        <v>96.943595999999999</v>
      </c>
      <c r="D50" s="219">
        <v>96.375838999999999</v>
      </c>
      <c r="E50" s="219">
        <v>98.188980000000001</v>
      </c>
      <c r="F50" s="219">
        <v>99.832595999999995</v>
      </c>
      <c r="G50" s="219">
        <v>101.372215</v>
      </c>
      <c r="H50" s="219">
        <v>102.851097</v>
      </c>
      <c r="I50" s="219">
        <v>104.335266</v>
      </c>
      <c r="J50" s="219">
        <v>105.832863</v>
      </c>
      <c r="K50" s="219">
        <v>107.348007</v>
      </c>
      <c r="L50" s="219">
        <v>108.917366</v>
      </c>
      <c r="M50" s="219">
        <v>110.521828</v>
      </c>
      <c r="N50" s="219">
        <v>112.14489</v>
      </c>
      <c r="O50" s="219">
        <v>113.791878</v>
      </c>
      <c r="P50" s="219">
        <v>115.46772</v>
      </c>
      <c r="Q50" s="219">
        <v>117.171211</v>
      </c>
      <c r="R50" s="219">
        <v>118.89960499999999</v>
      </c>
      <c r="S50" s="219">
        <v>120.656273</v>
      </c>
      <c r="T50" s="219">
        <v>122.44444300000001</v>
      </c>
      <c r="U50" s="219">
        <v>124.26765399999999</v>
      </c>
      <c r="V50" s="219">
        <v>126.12685399999999</v>
      </c>
      <c r="W50" s="219">
        <v>128.02136200000001</v>
      </c>
      <c r="X50" s="219">
        <v>129.95013399999999</v>
      </c>
      <c r="Y50" s="219">
        <v>131.91334499999999</v>
      </c>
      <c r="Z50" s="219">
        <v>133.910202</v>
      </c>
      <c r="AA50" s="219">
        <v>135.94387800000001</v>
      </c>
      <c r="AB50" s="219">
        <v>138.014771</v>
      </c>
      <c r="AC50" s="219">
        <v>140.12088</v>
      </c>
      <c r="AD50" s="219">
        <v>142.26033000000001</v>
      </c>
      <c r="AE50" s="219">
        <v>144.430115</v>
      </c>
      <c r="AF50" s="212">
        <v>1.434E-2</v>
      </c>
      <c r="AG50" s="31"/>
    </row>
    <row r="51" spans="1:33">
      <c r="A51" s="30" t="s">
        <v>806</v>
      </c>
      <c r="B51" s="210" t="s">
        <v>807</v>
      </c>
      <c r="C51" s="219">
        <v>5.5833570000000003</v>
      </c>
      <c r="D51" s="219">
        <v>6.899108</v>
      </c>
      <c r="E51" s="219">
        <v>8.7525999999999993</v>
      </c>
      <c r="F51" s="219">
        <v>10.320059000000001</v>
      </c>
      <c r="G51" s="219">
        <v>11.326893999999999</v>
      </c>
      <c r="H51" s="219">
        <v>11.649971000000001</v>
      </c>
      <c r="I51" s="219">
        <v>11.976704</v>
      </c>
      <c r="J51" s="219">
        <v>12.309505</v>
      </c>
      <c r="K51" s="219">
        <v>12.650805999999999</v>
      </c>
      <c r="L51" s="219">
        <v>13.010585000000001</v>
      </c>
      <c r="M51" s="219">
        <v>13.382293000000001</v>
      </c>
      <c r="N51" s="219">
        <v>13.763350000000001</v>
      </c>
      <c r="O51" s="219">
        <v>14.154275999999999</v>
      </c>
      <c r="P51" s="219">
        <v>14.556096999999999</v>
      </c>
      <c r="Q51" s="219">
        <v>14.956531</v>
      </c>
      <c r="R51" s="219">
        <v>15.366565</v>
      </c>
      <c r="S51" s="219">
        <v>15.786690999999999</v>
      </c>
      <c r="T51" s="219">
        <v>16.216818</v>
      </c>
      <c r="U51" s="219">
        <v>16.657633000000001</v>
      </c>
      <c r="V51" s="219">
        <v>17.097104999999999</v>
      </c>
      <c r="W51" s="219">
        <v>17.546858</v>
      </c>
      <c r="X51" s="219">
        <v>18.007286000000001</v>
      </c>
      <c r="Y51" s="219">
        <v>18.478339999999999</v>
      </c>
      <c r="Z51" s="219">
        <v>18.960153999999999</v>
      </c>
      <c r="AA51" s="219">
        <v>19.440370999999999</v>
      </c>
      <c r="AB51" s="219">
        <v>19.930873999999999</v>
      </c>
      <c r="AC51" s="219">
        <v>20.432293000000001</v>
      </c>
      <c r="AD51" s="219">
        <v>20.944868</v>
      </c>
      <c r="AE51" s="219">
        <v>21.468855000000001</v>
      </c>
      <c r="AF51" s="212">
        <v>4.9276E-2</v>
      </c>
      <c r="AG51" s="31"/>
    </row>
    <row r="52" spans="1:33">
      <c r="A52" s="30" t="s">
        <v>808</v>
      </c>
      <c r="B52" s="210" t="s">
        <v>284</v>
      </c>
      <c r="C52" s="219">
        <v>445.94699100000003</v>
      </c>
      <c r="D52" s="219">
        <v>487.20901500000002</v>
      </c>
      <c r="E52" s="219">
        <v>523.71002199999998</v>
      </c>
      <c r="F52" s="219">
        <v>560.38824499999998</v>
      </c>
      <c r="G52" s="219">
        <v>597.47442599999999</v>
      </c>
      <c r="H52" s="219">
        <v>634.90472399999999</v>
      </c>
      <c r="I52" s="219">
        <v>672.73303199999998</v>
      </c>
      <c r="J52" s="219">
        <v>710.81597899999997</v>
      </c>
      <c r="K52" s="219">
        <v>748.88952600000005</v>
      </c>
      <c r="L52" s="219">
        <v>787.29797399999995</v>
      </c>
      <c r="M52" s="219">
        <v>826.023865</v>
      </c>
      <c r="N52" s="219">
        <v>864.93164100000001</v>
      </c>
      <c r="O52" s="219">
        <v>904.114868</v>
      </c>
      <c r="P52" s="219">
        <v>943.79315199999996</v>
      </c>
      <c r="Q52" s="219">
        <v>983.87207000000001</v>
      </c>
      <c r="R52" s="219">
        <v>1024.044312</v>
      </c>
      <c r="S52" s="219">
        <v>1064.332764</v>
      </c>
      <c r="T52" s="219">
        <v>1104.986206</v>
      </c>
      <c r="U52" s="219">
        <v>1146.439697</v>
      </c>
      <c r="V52" s="219">
        <v>1189.1207280000001</v>
      </c>
      <c r="W52" s="219">
        <v>1232.996216</v>
      </c>
      <c r="X52" s="219">
        <v>1277.6727289999999</v>
      </c>
      <c r="Y52" s="219">
        <v>1322.664673</v>
      </c>
      <c r="Z52" s="219">
        <v>1367.44165</v>
      </c>
      <c r="AA52" s="219">
        <v>1411.900024</v>
      </c>
      <c r="AB52" s="219">
        <v>1456.2844239999999</v>
      </c>
      <c r="AC52" s="219">
        <v>1500.4047849999999</v>
      </c>
      <c r="AD52" s="219">
        <v>1543.762573</v>
      </c>
      <c r="AE52" s="219">
        <v>1585.8328859999999</v>
      </c>
      <c r="AF52" s="212">
        <v>4.6351999999999997E-2</v>
      </c>
      <c r="AG52" s="31"/>
    </row>
    <row r="53" spans="1:33">
      <c r="A53" s="30" t="s">
        <v>809</v>
      </c>
      <c r="B53" s="210" t="s">
        <v>810</v>
      </c>
      <c r="C53" s="219">
        <v>64.328002999999995</v>
      </c>
      <c r="D53" s="219">
        <v>75.594002000000003</v>
      </c>
      <c r="E53" s="219">
        <v>81.957999999999998</v>
      </c>
      <c r="F53" s="219">
        <v>85.139999000000003</v>
      </c>
      <c r="G53" s="219">
        <v>93.982192999999995</v>
      </c>
      <c r="H53" s="219">
        <v>103.36318199999999</v>
      </c>
      <c r="I53" s="219">
        <v>113.16532100000001</v>
      </c>
      <c r="J53" s="219">
        <v>123.31379699999999</v>
      </c>
      <c r="K53" s="219">
        <v>133.73538199999999</v>
      </c>
      <c r="L53" s="219">
        <v>144.346588</v>
      </c>
      <c r="M53" s="219">
        <v>155.08763099999999</v>
      </c>
      <c r="N53" s="219">
        <v>165.88197299999999</v>
      </c>
      <c r="O53" s="219">
        <v>176.64450099999999</v>
      </c>
      <c r="P53" s="219">
        <v>187.40939299999999</v>
      </c>
      <c r="Q53" s="219">
        <v>198.268677</v>
      </c>
      <c r="R53" s="219">
        <v>209.41423</v>
      </c>
      <c r="S53" s="219">
        <v>220.845947</v>
      </c>
      <c r="T53" s="219">
        <v>232.543701</v>
      </c>
      <c r="U53" s="219">
        <v>244.48284899999999</v>
      </c>
      <c r="V53" s="219">
        <v>256.64562999999998</v>
      </c>
      <c r="W53" s="219">
        <v>269.010651</v>
      </c>
      <c r="X53" s="219">
        <v>281.56417800000003</v>
      </c>
      <c r="Y53" s="219">
        <v>294.26825000000002</v>
      </c>
      <c r="Z53" s="219">
        <v>307.09204099999999</v>
      </c>
      <c r="AA53" s="219">
        <v>320.00271600000002</v>
      </c>
      <c r="AB53" s="219">
        <v>332.96649200000002</v>
      </c>
      <c r="AC53" s="219">
        <v>345.94287100000003</v>
      </c>
      <c r="AD53" s="219">
        <v>358.890961</v>
      </c>
      <c r="AE53" s="219">
        <v>371.77322400000003</v>
      </c>
      <c r="AF53" s="212">
        <v>6.4657999999999993E-2</v>
      </c>
      <c r="AG53" s="31"/>
    </row>
    <row r="54" spans="1:33">
      <c r="A54" s="30" t="s">
        <v>811</v>
      </c>
      <c r="B54" s="210" t="s">
        <v>812</v>
      </c>
      <c r="C54" s="219">
        <v>121.340279</v>
      </c>
      <c r="D54" s="219">
        <v>154.57797199999999</v>
      </c>
      <c r="E54" s="219">
        <v>184.62844799999999</v>
      </c>
      <c r="F54" s="219">
        <v>208.98757900000001</v>
      </c>
      <c r="G54" s="219">
        <v>225.37876900000001</v>
      </c>
      <c r="H54" s="219">
        <v>238.34477200000001</v>
      </c>
      <c r="I54" s="219">
        <v>251.587997</v>
      </c>
      <c r="J54" s="219">
        <v>265.00787400000002</v>
      </c>
      <c r="K54" s="219">
        <v>278.52264400000001</v>
      </c>
      <c r="L54" s="219">
        <v>292.37914999999998</v>
      </c>
      <c r="M54" s="219">
        <v>306.63424700000002</v>
      </c>
      <c r="N54" s="219">
        <v>321.28695699999997</v>
      </c>
      <c r="O54" s="219">
        <v>336.38125600000001</v>
      </c>
      <c r="P54" s="219">
        <v>351.955963</v>
      </c>
      <c r="Q54" s="219">
        <v>367.83340500000003</v>
      </c>
      <c r="R54" s="219">
        <v>384.15817299999998</v>
      </c>
      <c r="S54" s="219">
        <v>400.97872899999999</v>
      </c>
      <c r="T54" s="219">
        <v>418.281586</v>
      </c>
      <c r="U54" s="219">
        <v>436.11956800000002</v>
      </c>
      <c r="V54" s="219">
        <v>454.223206</v>
      </c>
      <c r="W54" s="219">
        <v>472.74136399999998</v>
      </c>
      <c r="X54" s="219">
        <v>491.70300300000002</v>
      </c>
      <c r="Y54" s="219">
        <v>511.12606799999998</v>
      </c>
      <c r="Z54" s="219">
        <v>530.98492399999998</v>
      </c>
      <c r="AA54" s="219">
        <v>550.75610400000005</v>
      </c>
      <c r="AB54" s="219">
        <v>570.81701699999996</v>
      </c>
      <c r="AC54" s="219">
        <v>591.32055700000001</v>
      </c>
      <c r="AD54" s="219">
        <v>612.31854199999998</v>
      </c>
      <c r="AE54" s="219">
        <v>633.87719700000002</v>
      </c>
      <c r="AF54" s="212">
        <v>6.0823000000000002E-2</v>
      </c>
      <c r="AG54" s="31"/>
    </row>
    <row r="55" spans="1:33">
      <c r="A55" s="30" t="s">
        <v>813</v>
      </c>
      <c r="B55" s="210" t="s">
        <v>814</v>
      </c>
      <c r="C55" s="219">
        <v>25.162047999999999</v>
      </c>
      <c r="D55" s="219">
        <v>33.757781999999999</v>
      </c>
      <c r="E55" s="219">
        <v>43.291224999999997</v>
      </c>
      <c r="F55" s="219">
        <v>49.386383000000002</v>
      </c>
      <c r="G55" s="219">
        <v>51.574387000000002</v>
      </c>
      <c r="H55" s="219">
        <v>53.530833999999999</v>
      </c>
      <c r="I55" s="219">
        <v>55.570011000000001</v>
      </c>
      <c r="J55" s="219">
        <v>57.661495000000002</v>
      </c>
      <c r="K55" s="219">
        <v>59.811988999999997</v>
      </c>
      <c r="L55" s="219">
        <v>61.987437999999997</v>
      </c>
      <c r="M55" s="219">
        <v>64.196487000000005</v>
      </c>
      <c r="N55" s="219">
        <v>66.463004999999995</v>
      </c>
      <c r="O55" s="219">
        <v>68.793846000000002</v>
      </c>
      <c r="P55" s="219">
        <v>71.198943999999997</v>
      </c>
      <c r="Q55" s="219">
        <v>73.662277000000003</v>
      </c>
      <c r="R55" s="219">
        <v>76.193236999999996</v>
      </c>
      <c r="S55" s="219">
        <v>78.792975999999996</v>
      </c>
      <c r="T55" s="219">
        <v>81.454643000000004</v>
      </c>
      <c r="U55" s="219">
        <v>84.179428000000001</v>
      </c>
      <c r="V55" s="219">
        <v>86.959701999999993</v>
      </c>
      <c r="W55" s="219">
        <v>89.805481</v>
      </c>
      <c r="X55" s="219">
        <v>92.720855999999998</v>
      </c>
      <c r="Y55" s="219">
        <v>95.706917000000004</v>
      </c>
      <c r="Z55" s="219">
        <v>98.766266000000002</v>
      </c>
      <c r="AA55" s="219">
        <v>101.88080600000001</v>
      </c>
      <c r="AB55" s="219">
        <v>105.06590300000001</v>
      </c>
      <c r="AC55" s="219">
        <v>108.32765999999999</v>
      </c>
      <c r="AD55" s="219">
        <v>111.667374</v>
      </c>
      <c r="AE55" s="219">
        <v>115.087654</v>
      </c>
      <c r="AF55" s="212">
        <v>5.5800000000000002E-2</v>
      </c>
      <c r="AG55" s="31"/>
    </row>
    <row r="56" spans="1:33">
      <c r="A56" s="30" t="s">
        <v>815</v>
      </c>
      <c r="B56" s="210" t="s">
        <v>283</v>
      </c>
      <c r="C56" s="219">
        <v>21.436751999999998</v>
      </c>
      <c r="D56" s="219">
        <v>27.598734</v>
      </c>
      <c r="E56" s="219">
        <v>35.583275</v>
      </c>
      <c r="F56" s="219">
        <v>40.530216000000003</v>
      </c>
      <c r="G56" s="219">
        <v>42.960293</v>
      </c>
      <c r="H56" s="219">
        <v>45.071503</v>
      </c>
      <c r="I56" s="219">
        <v>47.258926000000002</v>
      </c>
      <c r="J56" s="219">
        <v>49.535010999999997</v>
      </c>
      <c r="K56" s="219">
        <v>51.919395000000002</v>
      </c>
      <c r="L56" s="219">
        <v>54.415638000000001</v>
      </c>
      <c r="M56" s="219">
        <v>57.007767000000001</v>
      </c>
      <c r="N56" s="219">
        <v>59.691803</v>
      </c>
      <c r="O56" s="219">
        <v>62.468406999999999</v>
      </c>
      <c r="P56" s="219">
        <v>65.338493</v>
      </c>
      <c r="Q56" s="219">
        <v>68.332961999999995</v>
      </c>
      <c r="R56" s="219">
        <v>71.430465999999996</v>
      </c>
      <c r="S56" s="219">
        <v>74.628899000000004</v>
      </c>
      <c r="T56" s="219">
        <v>77.928932000000003</v>
      </c>
      <c r="U56" s="219">
        <v>81.334746999999993</v>
      </c>
      <c r="V56" s="219">
        <v>84.875998999999993</v>
      </c>
      <c r="W56" s="219">
        <v>88.529678000000004</v>
      </c>
      <c r="X56" s="219">
        <v>92.295119999999997</v>
      </c>
      <c r="Y56" s="219">
        <v>96.174530000000004</v>
      </c>
      <c r="Z56" s="219">
        <v>100.172386</v>
      </c>
      <c r="AA56" s="219">
        <v>104.314087</v>
      </c>
      <c r="AB56" s="219">
        <v>108.579628</v>
      </c>
      <c r="AC56" s="219">
        <v>112.96938299999999</v>
      </c>
      <c r="AD56" s="219">
        <v>117.485657</v>
      </c>
      <c r="AE56" s="219">
        <v>122.13298</v>
      </c>
      <c r="AF56" s="212">
        <v>6.4114000000000004E-2</v>
      </c>
      <c r="AG56" s="31"/>
    </row>
    <row r="57" spans="1:33">
      <c r="A57" s="30" t="s">
        <v>816</v>
      </c>
      <c r="B57" s="210" t="s">
        <v>817</v>
      </c>
      <c r="C57" s="219">
        <v>48.393002000000003</v>
      </c>
      <c r="D57" s="219">
        <v>52.212001999999998</v>
      </c>
      <c r="E57" s="219">
        <v>54.320999</v>
      </c>
      <c r="F57" s="219">
        <v>56.43</v>
      </c>
      <c r="G57" s="219">
        <v>57.815392000000003</v>
      </c>
      <c r="H57" s="219">
        <v>59.144066000000002</v>
      </c>
      <c r="I57" s="219">
        <v>60.473391999999997</v>
      </c>
      <c r="J57" s="219">
        <v>61.790427999999999</v>
      </c>
      <c r="K57" s="219">
        <v>63.030360999999999</v>
      </c>
      <c r="L57" s="219">
        <v>64.167816000000002</v>
      </c>
      <c r="M57" s="219">
        <v>65.257767000000001</v>
      </c>
      <c r="N57" s="219">
        <v>66.297470000000004</v>
      </c>
      <c r="O57" s="219">
        <v>67.283569</v>
      </c>
      <c r="P57" s="219">
        <v>68.213134999999994</v>
      </c>
      <c r="Q57" s="219">
        <v>69.085907000000006</v>
      </c>
      <c r="R57" s="219">
        <v>69.909248000000005</v>
      </c>
      <c r="S57" s="219">
        <v>70.688300999999996</v>
      </c>
      <c r="T57" s="219">
        <v>71.428200000000004</v>
      </c>
      <c r="U57" s="219">
        <v>72.133858000000004</v>
      </c>
      <c r="V57" s="219">
        <v>72.808730999999995</v>
      </c>
      <c r="W57" s="219">
        <v>73.454993999999999</v>
      </c>
      <c r="X57" s="219">
        <v>74.074744999999993</v>
      </c>
      <c r="Y57" s="219">
        <v>74.669487000000004</v>
      </c>
      <c r="Z57" s="219">
        <v>75.240584999999996</v>
      </c>
      <c r="AA57" s="219">
        <v>75.790413000000001</v>
      </c>
      <c r="AB57" s="219">
        <v>76.318916000000002</v>
      </c>
      <c r="AC57" s="219">
        <v>76.827270999999996</v>
      </c>
      <c r="AD57" s="219">
        <v>77.315162999999998</v>
      </c>
      <c r="AE57" s="219">
        <v>77.784637000000004</v>
      </c>
      <c r="AF57" s="212">
        <v>1.7094000000000002E-2</v>
      </c>
      <c r="AG57" s="31"/>
    </row>
    <row r="58" spans="1:33">
      <c r="A58" s="30" t="s">
        <v>818</v>
      </c>
      <c r="B58" s="210" t="s">
        <v>819</v>
      </c>
      <c r="C58" s="219">
        <v>25.34132</v>
      </c>
      <c r="D58" s="219">
        <v>30.831939999999999</v>
      </c>
      <c r="E58" s="219">
        <v>34.844315000000002</v>
      </c>
      <c r="F58" s="219">
        <v>35.958019</v>
      </c>
      <c r="G58" s="219">
        <v>37.186523000000001</v>
      </c>
      <c r="H58" s="219">
        <v>38.400398000000003</v>
      </c>
      <c r="I58" s="219">
        <v>39.597152999999999</v>
      </c>
      <c r="J58" s="219">
        <v>40.775063000000003</v>
      </c>
      <c r="K58" s="219">
        <v>41.934654000000002</v>
      </c>
      <c r="L58" s="219">
        <v>43.060527999999998</v>
      </c>
      <c r="M58" s="219">
        <v>44.201756000000003</v>
      </c>
      <c r="N58" s="219">
        <v>45.363827000000001</v>
      </c>
      <c r="O58" s="219">
        <v>46.548321000000001</v>
      </c>
      <c r="P58" s="219">
        <v>47.756633999999998</v>
      </c>
      <c r="Q58" s="219">
        <v>48.983604</v>
      </c>
      <c r="R58" s="219">
        <v>50.236697999999997</v>
      </c>
      <c r="S58" s="219">
        <v>51.516010000000001</v>
      </c>
      <c r="T58" s="219">
        <v>52.821052999999999</v>
      </c>
      <c r="U58" s="219">
        <v>54.150795000000002</v>
      </c>
      <c r="V58" s="219">
        <v>55.505904999999998</v>
      </c>
      <c r="W58" s="219">
        <v>56.886997000000001</v>
      </c>
      <c r="X58" s="219">
        <v>58.293770000000002</v>
      </c>
      <c r="Y58" s="219">
        <v>59.725966999999997</v>
      </c>
      <c r="Z58" s="219">
        <v>61.183010000000003</v>
      </c>
      <c r="AA58" s="219">
        <v>62.647793</v>
      </c>
      <c r="AB58" s="219">
        <v>64.137566000000007</v>
      </c>
      <c r="AC58" s="219">
        <v>65.652901</v>
      </c>
      <c r="AD58" s="219">
        <v>67.194282999999999</v>
      </c>
      <c r="AE58" s="219">
        <v>68.761512999999994</v>
      </c>
      <c r="AF58" s="212">
        <v>3.6292999999999999E-2</v>
      </c>
      <c r="AG58" s="31"/>
    </row>
    <row r="59" spans="1:33">
      <c r="A59" s="30" t="s">
        <v>820</v>
      </c>
      <c r="B59" s="210" t="s">
        <v>821</v>
      </c>
      <c r="C59" s="219">
        <v>2031.443481</v>
      </c>
      <c r="D59" s="219">
        <v>2328.2434079999998</v>
      </c>
      <c r="E59" s="219">
        <v>2534.2822270000001</v>
      </c>
      <c r="F59" s="219">
        <v>2680.9829100000002</v>
      </c>
      <c r="G59" s="219">
        <v>2795.320557</v>
      </c>
      <c r="H59" s="219">
        <v>2898.65625</v>
      </c>
      <c r="I59" s="219">
        <v>3001.3332519999999</v>
      </c>
      <c r="J59" s="219">
        <v>3102.5539549999999</v>
      </c>
      <c r="K59" s="219">
        <v>3202.1518550000001</v>
      </c>
      <c r="L59" s="219">
        <v>3303.5031739999999</v>
      </c>
      <c r="M59" s="219">
        <v>3410.2250979999999</v>
      </c>
      <c r="N59" s="219">
        <v>3520.429932</v>
      </c>
      <c r="O59" s="219">
        <v>3631.625732</v>
      </c>
      <c r="P59" s="219">
        <v>3744.4421390000002</v>
      </c>
      <c r="Q59" s="219">
        <v>3860.4023440000001</v>
      </c>
      <c r="R59" s="219">
        <v>3979.6069339999999</v>
      </c>
      <c r="S59" s="219">
        <v>4101.1762699999999</v>
      </c>
      <c r="T59" s="219">
        <v>4224.7485349999997</v>
      </c>
      <c r="U59" s="219">
        <v>4353.5600590000004</v>
      </c>
      <c r="V59" s="219">
        <v>4484.6152339999999</v>
      </c>
      <c r="W59" s="219">
        <v>4618.6953119999998</v>
      </c>
      <c r="X59" s="219">
        <v>4755.7177730000003</v>
      </c>
      <c r="Y59" s="219">
        <v>4893.7368159999996</v>
      </c>
      <c r="Z59" s="219">
        <v>5032.1762699999999</v>
      </c>
      <c r="AA59" s="219">
        <v>5171.4223629999997</v>
      </c>
      <c r="AB59" s="219">
        <v>5313.576172</v>
      </c>
      <c r="AC59" s="219">
        <v>5457.1420900000003</v>
      </c>
      <c r="AD59" s="219">
        <v>5601.4013670000004</v>
      </c>
      <c r="AE59" s="219">
        <v>5748.1035160000001</v>
      </c>
      <c r="AF59" s="212">
        <v>3.7845999999999998E-2</v>
      </c>
      <c r="AG59" s="31"/>
    </row>
    <row r="60" spans="1:33">
      <c r="A60" s="29"/>
      <c r="B60" s="209" t="s">
        <v>822</v>
      </c>
      <c r="C60" s="31"/>
      <c r="D60" s="31"/>
      <c r="E60" s="31"/>
      <c r="F60" s="31"/>
      <c r="G60" s="31"/>
      <c r="H60" s="31"/>
      <c r="I60" s="31"/>
      <c r="J60" s="31"/>
      <c r="K60" s="31"/>
      <c r="L60" s="31"/>
      <c r="M60" s="31"/>
      <c r="N60" s="31"/>
      <c r="O60" s="31"/>
      <c r="P60" s="31"/>
      <c r="Q60" s="31"/>
      <c r="R60" s="31"/>
      <c r="S60" s="31"/>
      <c r="T60" s="31"/>
      <c r="U60" s="31"/>
      <c r="V60" s="31"/>
      <c r="W60" s="31"/>
      <c r="X60" s="31"/>
      <c r="Y60" s="31"/>
      <c r="Z60" s="31"/>
      <c r="AA60" s="31"/>
      <c r="AB60" s="31"/>
      <c r="AC60" s="31"/>
      <c r="AD60" s="31"/>
      <c r="AE60" s="31"/>
      <c r="AF60" s="31"/>
      <c r="AG60" s="31"/>
    </row>
    <row r="61" spans="1:33" s="248" customFormat="1">
      <c r="A61" s="243" t="s">
        <v>823</v>
      </c>
      <c r="B61" s="244" t="s">
        <v>281</v>
      </c>
      <c r="C61" s="245">
        <v>243.14546200000001</v>
      </c>
      <c r="D61" s="245">
        <v>335.79156499999999</v>
      </c>
      <c r="E61" s="245">
        <v>383.935181</v>
      </c>
      <c r="F61" s="245">
        <v>400.52246100000002</v>
      </c>
      <c r="G61" s="245">
        <v>410.78866599999998</v>
      </c>
      <c r="H61" s="245">
        <v>421.01507600000002</v>
      </c>
      <c r="I61" s="245">
        <v>430.45114100000001</v>
      </c>
      <c r="J61" s="245">
        <v>438.83355699999998</v>
      </c>
      <c r="K61" s="245">
        <v>446.244843</v>
      </c>
      <c r="L61" s="245">
        <v>453.952179</v>
      </c>
      <c r="M61" s="245">
        <v>463.53869600000002</v>
      </c>
      <c r="N61" s="245">
        <v>474.25561499999998</v>
      </c>
      <c r="O61" s="245">
        <v>484.97164900000001</v>
      </c>
      <c r="P61" s="245">
        <v>495.876373</v>
      </c>
      <c r="Q61" s="245">
        <v>507.70068400000002</v>
      </c>
      <c r="R61" s="245">
        <v>520.43481399999996</v>
      </c>
      <c r="S61" s="245">
        <v>533.66839600000003</v>
      </c>
      <c r="T61" s="245">
        <v>547.159851</v>
      </c>
      <c r="U61" s="245">
        <v>562.15612799999997</v>
      </c>
      <c r="V61" s="245">
        <v>577.24011199999995</v>
      </c>
      <c r="W61" s="245">
        <v>592.71466099999998</v>
      </c>
      <c r="X61" s="245">
        <v>608.72131300000001</v>
      </c>
      <c r="Y61" s="245">
        <v>624.60186799999997</v>
      </c>
      <c r="Z61" s="245">
        <v>640.35766599999999</v>
      </c>
      <c r="AA61" s="245">
        <v>656.497253</v>
      </c>
      <c r="AB61" s="245">
        <v>673.70098900000005</v>
      </c>
      <c r="AC61" s="245">
        <v>691.29357900000002</v>
      </c>
      <c r="AD61" s="245">
        <v>709.15142800000001</v>
      </c>
      <c r="AE61" s="245">
        <v>728.31231700000001</v>
      </c>
      <c r="AF61" s="246">
        <v>3.9959000000000001E-2</v>
      </c>
      <c r="AG61" s="247"/>
    </row>
    <row r="62" spans="1:33">
      <c r="A62" s="30" t="s">
        <v>824</v>
      </c>
      <c r="B62" s="210" t="s">
        <v>282</v>
      </c>
      <c r="C62" s="219">
        <v>44.242100000000001</v>
      </c>
      <c r="D62" s="219">
        <v>57.959876999999999</v>
      </c>
      <c r="E62" s="219">
        <v>69.951576000000003</v>
      </c>
      <c r="F62" s="219">
        <v>78.945351000000002</v>
      </c>
      <c r="G62" s="219">
        <v>84.759506000000002</v>
      </c>
      <c r="H62" s="219">
        <v>89.937743999999995</v>
      </c>
      <c r="I62" s="219">
        <v>92.223777999999996</v>
      </c>
      <c r="J62" s="219">
        <v>94.555144999999996</v>
      </c>
      <c r="K62" s="219">
        <v>96.929855000000003</v>
      </c>
      <c r="L62" s="219">
        <v>99.348456999999996</v>
      </c>
      <c r="M62" s="219">
        <v>101.810303</v>
      </c>
      <c r="N62" s="219">
        <v>104.31398</v>
      </c>
      <c r="O62" s="219">
        <v>106.860016</v>
      </c>
      <c r="P62" s="219">
        <v>109.449196</v>
      </c>
      <c r="Q62" s="219">
        <v>112.081863</v>
      </c>
      <c r="R62" s="219">
        <v>114.759064</v>
      </c>
      <c r="S62" s="219">
        <v>117.48131600000001</v>
      </c>
      <c r="T62" s="219">
        <v>120.24996899999999</v>
      </c>
      <c r="U62" s="219">
        <v>123.06551399999999</v>
      </c>
      <c r="V62" s="219">
        <v>125.92826100000001</v>
      </c>
      <c r="W62" s="219">
        <v>128.839752</v>
      </c>
      <c r="X62" s="219">
        <v>131.79995700000001</v>
      </c>
      <c r="Y62" s="219">
        <v>134.81431599999999</v>
      </c>
      <c r="Z62" s="219">
        <v>137.88580300000001</v>
      </c>
      <c r="AA62" s="219">
        <v>141.01591500000001</v>
      </c>
      <c r="AB62" s="219">
        <v>144.20684800000001</v>
      </c>
      <c r="AC62" s="219">
        <v>147.46043399999999</v>
      </c>
      <c r="AD62" s="219">
        <v>150.77969400000001</v>
      </c>
      <c r="AE62" s="219">
        <v>154.16679400000001</v>
      </c>
      <c r="AF62" s="212">
        <v>4.5593000000000002E-2</v>
      </c>
      <c r="AG62" s="31"/>
    </row>
    <row r="63" spans="1:33">
      <c r="A63" s="30" t="s">
        <v>825</v>
      </c>
      <c r="B63" s="210" t="s">
        <v>795</v>
      </c>
      <c r="C63" s="219">
        <v>29.798960000000001</v>
      </c>
      <c r="D63" s="219">
        <v>40.311973999999999</v>
      </c>
      <c r="E63" s="219">
        <v>50.607475000000001</v>
      </c>
      <c r="F63" s="219">
        <v>59.090389000000002</v>
      </c>
      <c r="G63" s="219">
        <v>65.108185000000006</v>
      </c>
      <c r="H63" s="219">
        <v>68.878365000000002</v>
      </c>
      <c r="I63" s="219">
        <v>71.778519000000003</v>
      </c>
      <c r="J63" s="219">
        <v>74.124474000000006</v>
      </c>
      <c r="K63" s="219">
        <v>76.529831000000001</v>
      </c>
      <c r="L63" s="219">
        <v>78.988663000000003</v>
      </c>
      <c r="M63" s="219">
        <v>81.514861999999994</v>
      </c>
      <c r="N63" s="219">
        <v>84.099945000000005</v>
      </c>
      <c r="O63" s="219">
        <v>86.744704999999996</v>
      </c>
      <c r="P63" s="219">
        <v>89.448975000000004</v>
      </c>
      <c r="Q63" s="219">
        <v>92.207825</v>
      </c>
      <c r="R63" s="219">
        <v>95.026832999999996</v>
      </c>
      <c r="S63" s="219">
        <v>97.907409999999999</v>
      </c>
      <c r="T63" s="219">
        <v>100.85034899999999</v>
      </c>
      <c r="U63" s="219">
        <v>103.85659800000001</v>
      </c>
      <c r="V63" s="219">
        <v>106.912582</v>
      </c>
      <c r="W63" s="219">
        <v>110.031853</v>
      </c>
      <c r="X63" s="219">
        <v>113.21547700000001</v>
      </c>
      <c r="Y63" s="219">
        <v>116.464378</v>
      </c>
      <c r="Z63" s="219">
        <v>119.778374</v>
      </c>
      <c r="AA63" s="219">
        <v>123.13962600000001</v>
      </c>
      <c r="AB63" s="219">
        <v>126.56178300000001</v>
      </c>
      <c r="AC63" s="219">
        <v>130.05413799999999</v>
      </c>
      <c r="AD63" s="219">
        <v>133.62745699999999</v>
      </c>
      <c r="AE63" s="219">
        <v>137.290436</v>
      </c>
      <c r="AF63" s="212">
        <v>5.6073999999999999E-2</v>
      </c>
      <c r="AG63" s="31"/>
    </row>
    <row r="64" spans="1:33">
      <c r="A64" s="30" t="s">
        <v>826</v>
      </c>
      <c r="B64" s="210" t="s">
        <v>797</v>
      </c>
      <c r="C64" s="219">
        <v>280.836365</v>
      </c>
      <c r="D64" s="219">
        <v>391.70883199999997</v>
      </c>
      <c r="E64" s="219">
        <v>486.74243200000001</v>
      </c>
      <c r="F64" s="219">
        <v>550.70733600000005</v>
      </c>
      <c r="G64" s="219">
        <v>603.09759499999996</v>
      </c>
      <c r="H64" s="219">
        <v>615.40289299999995</v>
      </c>
      <c r="I64" s="219">
        <v>627.85687299999995</v>
      </c>
      <c r="J64" s="219">
        <v>640.49560499999995</v>
      </c>
      <c r="K64" s="219">
        <v>653.34362799999997</v>
      </c>
      <c r="L64" s="219">
        <v>666.416382</v>
      </c>
      <c r="M64" s="219">
        <v>679.72045900000001</v>
      </c>
      <c r="N64" s="219">
        <v>693.25176999999996</v>
      </c>
      <c r="O64" s="219">
        <v>706.99322500000005</v>
      </c>
      <c r="P64" s="219">
        <v>720.92309599999999</v>
      </c>
      <c r="Q64" s="219">
        <v>735.06103499999995</v>
      </c>
      <c r="R64" s="219">
        <v>749.42907700000001</v>
      </c>
      <c r="S64" s="219">
        <v>764.01898200000005</v>
      </c>
      <c r="T64" s="219">
        <v>778.82794200000001</v>
      </c>
      <c r="U64" s="219">
        <v>793.86084000000005</v>
      </c>
      <c r="V64" s="219">
        <v>809.10955799999999</v>
      </c>
      <c r="W64" s="219">
        <v>824.57147199999997</v>
      </c>
      <c r="X64" s="219">
        <v>840.24200399999995</v>
      </c>
      <c r="Y64" s="219">
        <v>856.11712599999998</v>
      </c>
      <c r="Z64" s="219">
        <v>872.19311500000003</v>
      </c>
      <c r="AA64" s="219">
        <v>888.45996100000002</v>
      </c>
      <c r="AB64" s="219">
        <v>904.91650400000003</v>
      </c>
      <c r="AC64" s="219">
        <v>921.58117700000003</v>
      </c>
      <c r="AD64" s="219">
        <v>938.47827099999995</v>
      </c>
      <c r="AE64" s="219">
        <v>955.62683100000004</v>
      </c>
      <c r="AF64" s="212">
        <v>4.4706000000000003E-2</v>
      </c>
      <c r="AG64" s="31"/>
    </row>
    <row r="65" spans="1:33">
      <c r="A65" s="30" t="s">
        <v>827</v>
      </c>
      <c r="B65" s="210" t="s">
        <v>799</v>
      </c>
      <c r="C65" s="219">
        <v>26.796666999999999</v>
      </c>
      <c r="D65" s="219">
        <v>45.314689999999999</v>
      </c>
      <c r="E65" s="219">
        <v>64.486289999999997</v>
      </c>
      <c r="F65" s="219">
        <v>81.043578999999994</v>
      </c>
      <c r="G65" s="219">
        <v>93.134765999999999</v>
      </c>
      <c r="H65" s="219">
        <v>100.868759</v>
      </c>
      <c r="I65" s="219">
        <v>107.840248</v>
      </c>
      <c r="J65" s="219">
        <v>108.36943100000001</v>
      </c>
      <c r="K65" s="219">
        <v>108.73043800000001</v>
      </c>
      <c r="L65" s="219">
        <v>108.962463</v>
      </c>
      <c r="M65" s="219">
        <v>109.136337</v>
      </c>
      <c r="N65" s="219">
        <v>109.31253100000001</v>
      </c>
      <c r="O65" s="219">
        <v>109.494522</v>
      </c>
      <c r="P65" s="219">
        <v>109.682007</v>
      </c>
      <c r="Q65" s="219">
        <v>109.874374</v>
      </c>
      <c r="R65" s="219">
        <v>110.07062500000001</v>
      </c>
      <c r="S65" s="219">
        <v>110.27067599999999</v>
      </c>
      <c r="T65" s="219">
        <v>110.472984</v>
      </c>
      <c r="U65" s="219">
        <v>110.676666</v>
      </c>
      <c r="V65" s="219">
        <v>110.88208</v>
      </c>
      <c r="W65" s="219">
        <v>111.08747099999999</v>
      </c>
      <c r="X65" s="219">
        <v>111.293312</v>
      </c>
      <c r="Y65" s="219">
        <v>111.50631</v>
      </c>
      <c r="Z65" s="219">
        <v>111.74614699999999</v>
      </c>
      <c r="AA65" s="219">
        <v>112.02600099999999</v>
      </c>
      <c r="AB65" s="219">
        <v>112.349495</v>
      </c>
      <c r="AC65" s="219">
        <v>112.717384</v>
      </c>
      <c r="AD65" s="219">
        <v>113.130196</v>
      </c>
      <c r="AE65" s="219">
        <v>113.58820299999999</v>
      </c>
      <c r="AF65" s="212">
        <v>5.2935999999999997E-2</v>
      </c>
      <c r="AG65" s="31"/>
    </row>
    <row r="66" spans="1:33">
      <c r="A66" s="30" t="s">
        <v>828</v>
      </c>
      <c r="B66" s="210" t="s">
        <v>801</v>
      </c>
      <c r="C66" s="219">
        <v>25.196525999999999</v>
      </c>
      <c r="D66" s="219">
        <v>42.608761000000001</v>
      </c>
      <c r="E66" s="219">
        <v>60.635548</v>
      </c>
      <c r="F66" s="219">
        <v>76.204123999999993</v>
      </c>
      <c r="G66" s="219">
        <v>87.573295999999999</v>
      </c>
      <c r="H66" s="219">
        <v>94.845459000000005</v>
      </c>
      <c r="I66" s="219">
        <v>101.40065800000001</v>
      </c>
      <c r="J66" s="219">
        <v>104.595985</v>
      </c>
      <c r="K66" s="219">
        <v>107.86273199999999</v>
      </c>
      <c r="L66" s="219">
        <v>111.197243</v>
      </c>
      <c r="M66" s="219">
        <v>114.59079</v>
      </c>
      <c r="N66" s="219">
        <v>118.050285</v>
      </c>
      <c r="O66" s="219">
        <v>121.579582</v>
      </c>
      <c r="P66" s="219">
        <v>125.155067</v>
      </c>
      <c r="Q66" s="219">
        <v>128.797516</v>
      </c>
      <c r="R66" s="219">
        <v>132.53035</v>
      </c>
      <c r="S66" s="219">
        <v>136.34974700000001</v>
      </c>
      <c r="T66" s="219">
        <v>140.240295</v>
      </c>
      <c r="U66" s="219">
        <v>144.20495600000001</v>
      </c>
      <c r="V66" s="219">
        <v>148.25529499999999</v>
      </c>
      <c r="W66" s="219">
        <v>152.394699</v>
      </c>
      <c r="X66" s="219">
        <v>156.62347399999999</v>
      </c>
      <c r="Y66" s="219">
        <v>160.942566</v>
      </c>
      <c r="Z66" s="219">
        <v>165.35136399999999</v>
      </c>
      <c r="AA66" s="219">
        <v>169.848938</v>
      </c>
      <c r="AB66" s="219">
        <v>174.436218</v>
      </c>
      <c r="AC66" s="219">
        <v>179.11892700000001</v>
      </c>
      <c r="AD66" s="219">
        <v>183.89915500000001</v>
      </c>
      <c r="AE66" s="219">
        <v>188.77813699999999</v>
      </c>
      <c r="AF66" s="212">
        <v>7.4574000000000001E-2</v>
      </c>
      <c r="AG66" s="31"/>
    </row>
    <row r="67" spans="1:33">
      <c r="A67" s="30" t="s">
        <v>829</v>
      </c>
      <c r="B67" s="210" t="s">
        <v>803</v>
      </c>
      <c r="C67" s="219">
        <v>19.641961999999999</v>
      </c>
      <c r="D67" s="219">
        <v>33.215679000000002</v>
      </c>
      <c r="E67" s="219">
        <v>47.268467000000001</v>
      </c>
      <c r="F67" s="219">
        <v>59.404961</v>
      </c>
      <c r="G67" s="219">
        <v>68.267807000000005</v>
      </c>
      <c r="H67" s="219">
        <v>73.936829000000003</v>
      </c>
      <c r="I67" s="219">
        <v>79.046927999999994</v>
      </c>
      <c r="J67" s="219">
        <v>81.697327000000001</v>
      </c>
      <c r="K67" s="219">
        <v>84.197013999999996</v>
      </c>
      <c r="L67" s="219">
        <v>85.953468000000001</v>
      </c>
      <c r="M67" s="219">
        <v>86.642052000000007</v>
      </c>
      <c r="N67" s="219">
        <v>87.126075999999998</v>
      </c>
      <c r="O67" s="219">
        <v>87.600150999999997</v>
      </c>
      <c r="P67" s="219">
        <v>88.047066000000001</v>
      </c>
      <c r="Q67" s="219">
        <v>88.515472000000003</v>
      </c>
      <c r="R67" s="219">
        <v>88.823288000000005</v>
      </c>
      <c r="S67" s="219">
        <v>88.985320999999999</v>
      </c>
      <c r="T67" s="219">
        <v>89.172111999999998</v>
      </c>
      <c r="U67" s="219">
        <v>89.495384000000001</v>
      </c>
      <c r="V67" s="219">
        <v>90.072411000000002</v>
      </c>
      <c r="W67" s="219">
        <v>90.859511999999995</v>
      </c>
      <c r="X67" s="219">
        <v>91.744774000000007</v>
      </c>
      <c r="Y67" s="219">
        <v>92.696106</v>
      </c>
      <c r="Z67" s="219">
        <v>93.655745999999994</v>
      </c>
      <c r="AA67" s="219">
        <v>94.557418999999996</v>
      </c>
      <c r="AB67" s="219">
        <v>95.400192000000004</v>
      </c>
      <c r="AC67" s="219">
        <v>96.266959999999997</v>
      </c>
      <c r="AD67" s="219">
        <v>97.231399999999994</v>
      </c>
      <c r="AE67" s="219">
        <v>98.346619000000004</v>
      </c>
      <c r="AF67" s="212">
        <v>5.9216999999999999E-2</v>
      </c>
      <c r="AG67" s="31"/>
    </row>
    <row r="68" spans="1:33">
      <c r="A68" s="30" t="s">
        <v>830</v>
      </c>
      <c r="B68" s="210" t="s">
        <v>805</v>
      </c>
      <c r="C68" s="219">
        <v>21.804157</v>
      </c>
      <c r="D68" s="219">
        <v>29.275511000000002</v>
      </c>
      <c r="E68" s="219">
        <v>36.391086999999999</v>
      </c>
      <c r="F68" s="219">
        <v>42.134377000000001</v>
      </c>
      <c r="G68" s="219">
        <v>46.149593000000003</v>
      </c>
      <c r="H68" s="219">
        <v>48.538395000000001</v>
      </c>
      <c r="I68" s="219">
        <v>50.317287</v>
      </c>
      <c r="J68" s="219">
        <v>51.333579999999998</v>
      </c>
      <c r="K68" s="219">
        <v>52.367713999999999</v>
      </c>
      <c r="L68" s="219">
        <v>53.428528</v>
      </c>
      <c r="M68" s="219">
        <v>54.510128000000002</v>
      </c>
      <c r="N68" s="219">
        <v>55.610111000000003</v>
      </c>
      <c r="O68" s="219">
        <v>56.732365000000001</v>
      </c>
      <c r="P68" s="219">
        <v>57.880558000000001</v>
      </c>
      <c r="Q68" s="219">
        <v>59.054034999999999</v>
      </c>
      <c r="R68" s="219">
        <v>60.251175000000003</v>
      </c>
      <c r="S68" s="219">
        <v>61.474559999999997</v>
      </c>
      <c r="T68" s="219">
        <v>62.726730000000003</v>
      </c>
      <c r="U68" s="219">
        <v>64.010589999999993</v>
      </c>
      <c r="V68" s="219">
        <v>65.327087000000006</v>
      </c>
      <c r="W68" s="219">
        <v>66.676070999999993</v>
      </c>
      <c r="X68" s="219">
        <v>68.057311999999996</v>
      </c>
      <c r="Y68" s="219">
        <v>69.470946999999995</v>
      </c>
      <c r="Z68" s="219">
        <v>70.916954000000004</v>
      </c>
      <c r="AA68" s="219">
        <v>72.397980000000004</v>
      </c>
      <c r="AB68" s="219">
        <v>73.914649999999995</v>
      </c>
      <c r="AC68" s="219">
        <v>75.465866000000005</v>
      </c>
      <c r="AD68" s="219">
        <v>77.050514000000007</v>
      </c>
      <c r="AE68" s="219">
        <v>78.666718000000003</v>
      </c>
      <c r="AF68" s="212">
        <v>4.6892000000000003E-2</v>
      </c>
      <c r="AG68" s="31"/>
    </row>
    <row r="69" spans="1:33">
      <c r="A69" s="30" t="s">
        <v>831</v>
      </c>
      <c r="B69" s="210" t="s">
        <v>807</v>
      </c>
      <c r="C69" s="219">
        <v>29.001909000000001</v>
      </c>
      <c r="D69" s="219">
        <v>38.939624999999999</v>
      </c>
      <c r="E69" s="219">
        <v>48.404114</v>
      </c>
      <c r="F69" s="219">
        <v>56.043312</v>
      </c>
      <c r="G69" s="219">
        <v>61.383991000000002</v>
      </c>
      <c r="H69" s="219">
        <v>64.561356000000004</v>
      </c>
      <c r="I69" s="219">
        <v>66.927482999999995</v>
      </c>
      <c r="J69" s="219">
        <v>68.857924999999994</v>
      </c>
      <c r="K69" s="219">
        <v>70.841437999999997</v>
      </c>
      <c r="L69" s="219">
        <v>72.918564000000003</v>
      </c>
      <c r="M69" s="219">
        <v>75.062759</v>
      </c>
      <c r="N69" s="219">
        <v>77.264267000000004</v>
      </c>
      <c r="O69" s="219">
        <v>79.524733999999995</v>
      </c>
      <c r="P69" s="219">
        <v>81.848335000000006</v>
      </c>
      <c r="Q69" s="219">
        <v>84.195853999999997</v>
      </c>
      <c r="R69" s="219">
        <v>86.603179999999995</v>
      </c>
      <c r="S69" s="219">
        <v>89.073074000000005</v>
      </c>
      <c r="T69" s="219">
        <v>91.606102000000007</v>
      </c>
      <c r="U69" s="219">
        <v>94.205521000000005</v>
      </c>
      <c r="V69" s="219">
        <v>96.825774999999993</v>
      </c>
      <c r="W69" s="219">
        <v>99.511925000000005</v>
      </c>
      <c r="X69" s="219">
        <v>102.264999</v>
      </c>
      <c r="Y69" s="219">
        <v>105.084068</v>
      </c>
      <c r="Z69" s="219">
        <v>107.969559</v>
      </c>
      <c r="AA69" s="219">
        <v>110.868172</v>
      </c>
      <c r="AB69" s="219">
        <v>113.832314</v>
      </c>
      <c r="AC69" s="219">
        <v>116.86582900000001</v>
      </c>
      <c r="AD69" s="219">
        <v>119.971458</v>
      </c>
      <c r="AE69" s="219">
        <v>123.15158099999999</v>
      </c>
      <c r="AF69" s="212">
        <v>5.3002000000000001E-2</v>
      </c>
      <c r="AG69" s="31"/>
    </row>
    <row r="70" spans="1:33">
      <c r="A70" s="30" t="s">
        <v>832</v>
      </c>
      <c r="B70" s="210" t="s">
        <v>284</v>
      </c>
      <c r="C70" s="219">
        <v>43.401493000000002</v>
      </c>
      <c r="D70" s="219">
        <v>79.040122999999994</v>
      </c>
      <c r="E70" s="219">
        <v>115.73732800000001</v>
      </c>
      <c r="F70" s="219">
        <v>144.31880200000001</v>
      </c>
      <c r="G70" s="219">
        <v>161.96167</v>
      </c>
      <c r="H70" s="219">
        <v>174.66456600000001</v>
      </c>
      <c r="I70" s="219">
        <v>184.330566</v>
      </c>
      <c r="J70" s="219">
        <v>194.21669</v>
      </c>
      <c r="K70" s="219">
        <v>204.29608200000001</v>
      </c>
      <c r="L70" s="219">
        <v>214.626465</v>
      </c>
      <c r="M70" s="219">
        <v>225.21134900000001</v>
      </c>
      <c r="N70" s="219">
        <v>236.03950499999999</v>
      </c>
      <c r="O70" s="219">
        <v>247.13400300000001</v>
      </c>
      <c r="P70" s="219">
        <v>258.53561400000001</v>
      </c>
      <c r="Q70" s="219">
        <v>270.23638899999997</v>
      </c>
      <c r="R70" s="219">
        <v>282.19741800000003</v>
      </c>
      <c r="S70" s="219">
        <v>294.43173200000001</v>
      </c>
      <c r="T70" s="219">
        <v>306.98468000000003</v>
      </c>
      <c r="U70" s="219">
        <v>319.93069500000001</v>
      </c>
      <c r="V70" s="219">
        <v>333.34088100000002</v>
      </c>
      <c r="W70" s="219">
        <v>347.21804800000001</v>
      </c>
      <c r="X70" s="219">
        <v>361.513214</v>
      </c>
      <c r="Y70" s="219">
        <v>376.16323899999998</v>
      </c>
      <c r="Z70" s="219">
        <v>391.09524499999998</v>
      </c>
      <c r="AA70" s="219">
        <v>406.29702800000001</v>
      </c>
      <c r="AB70" s="219">
        <v>421.81195100000002</v>
      </c>
      <c r="AC70" s="219">
        <v>437.61935399999999</v>
      </c>
      <c r="AD70" s="219">
        <v>453.65158100000002</v>
      </c>
      <c r="AE70" s="219">
        <v>469.833099</v>
      </c>
      <c r="AF70" s="212">
        <v>8.8789999999999994E-2</v>
      </c>
      <c r="AG70" s="31"/>
    </row>
    <row r="71" spans="1:33">
      <c r="A71" s="30" t="s">
        <v>833</v>
      </c>
      <c r="B71" s="210" t="s">
        <v>810</v>
      </c>
      <c r="C71" s="219">
        <v>17.711981000000002</v>
      </c>
      <c r="D71" s="219">
        <v>29.951968999999998</v>
      </c>
      <c r="E71" s="219">
        <v>42.623955000000002</v>
      </c>
      <c r="F71" s="219">
        <v>53.567936000000003</v>
      </c>
      <c r="G71" s="219">
        <v>61.559933000000001</v>
      </c>
      <c r="H71" s="219">
        <v>66.671927999999994</v>
      </c>
      <c r="I71" s="219">
        <v>71.279921999999999</v>
      </c>
      <c r="J71" s="219">
        <v>76.662291999999994</v>
      </c>
      <c r="K71" s="219">
        <v>82.150413999999998</v>
      </c>
      <c r="L71" s="219">
        <v>87.709571999999994</v>
      </c>
      <c r="M71" s="219">
        <v>93.316719000000006</v>
      </c>
      <c r="N71" s="219">
        <v>98.940490999999994</v>
      </c>
      <c r="O71" s="219">
        <v>104.546043</v>
      </c>
      <c r="P71" s="219">
        <v>110.151779</v>
      </c>
      <c r="Q71" s="219">
        <v>115.801529</v>
      </c>
      <c r="R71" s="219">
        <v>121.581558</v>
      </c>
      <c r="S71" s="219">
        <v>127.492592</v>
      </c>
      <c r="T71" s="219">
        <v>133.52624499999999</v>
      </c>
      <c r="U71" s="219">
        <v>139.67248499999999</v>
      </c>
      <c r="V71" s="219">
        <v>145.92378199999999</v>
      </c>
      <c r="W71" s="219">
        <v>152.271759</v>
      </c>
      <c r="X71" s="219">
        <v>158.712219</v>
      </c>
      <c r="Y71" s="219">
        <v>165.230942</v>
      </c>
      <c r="Z71" s="219">
        <v>171.81689499999999</v>
      </c>
      <c r="AA71" s="219">
        <v>178.45689400000001</v>
      </c>
      <c r="AB71" s="219">
        <v>185.13732899999999</v>
      </c>
      <c r="AC71" s="219">
        <v>191.84298699999999</v>
      </c>
      <c r="AD71" s="219">
        <v>198.55867000000001</v>
      </c>
      <c r="AE71" s="219">
        <v>205.27046200000001</v>
      </c>
      <c r="AF71" s="212">
        <v>9.1446E-2</v>
      </c>
      <c r="AG71" s="31"/>
    </row>
    <row r="72" spans="1:33">
      <c r="A72" s="30" t="s">
        <v>834</v>
      </c>
      <c r="B72" s="210" t="s">
        <v>812</v>
      </c>
      <c r="C72" s="219">
        <v>91.279387999999997</v>
      </c>
      <c r="D72" s="219">
        <v>154.35865799999999</v>
      </c>
      <c r="E72" s="219">
        <v>219.66423</v>
      </c>
      <c r="F72" s="219">
        <v>276.06451399999997</v>
      </c>
      <c r="G72" s="219">
        <v>317.25155599999999</v>
      </c>
      <c r="H72" s="219">
        <v>343.596405</v>
      </c>
      <c r="I72" s="219">
        <v>367.34390300000001</v>
      </c>
      <c r="J72" s="219">
        <v>382.82449300000002</v>
      </c>
      <c r="K72" s="219">
        <v>398.53997800000002</v>
      </c>
      <c r="L72" s="219">
        <v>414.53860500000002</v>
      </c>
      <c r="M72" s="219">
        <v>430.96127300000001</v>
      </c>
      <c r="N72" s="219">
        <v>447.81228599999997</v>
      </c>
      <c r="O72" s="219">
        <v>465.11679099999998</v>
      </c>
      <c r="P72" s="219">
        <v>482.90234400000003</v>
      </c>
      <c r="Q72" s="219">
        <v>500.96951300000001</v>
      </c>
      <c r="R72" s="219">
        <v>519.50836200000003</v>
      </c>
      <c r="S72" s="219">
        <v>538.54644800000005</v>
      </c>
      <c r="T72" s="219">
        <v>558.08233600000005</v>
      </c>
      <c r="U72" s="219">
        <v>578.15362500000003</v>
      </c>
      <c r="V72" s="219">
        <v>598.50408900000002</v>
      </c>
      <c r="W72" s="219">
        <v>619.32586700000002</v>
      </c>
      <c r="X72" s="219">
        <v>640.64349400000003</v>
      </c>
      <c r="Y72" s="219">
        <v>662.47534199999996</v>
      </c>
      <c r="Z72" s="219">
        <v>684.81463599999995</v>
      </c>
      <c r="AA72" s="219">
        <v>707.22051999999996</v>
      </c>
      <c r="AB72" s="219">
        <v>730.06036400000005</v>
      </c>
      <c r="AC72" s="219">
        <v>753.42486599999995</v>
      </c>
      <c r="AD72" s="219">
        <v>777.34991500000001</v>
      </c>
      <c r="AE72" s="219">
        <v>801.87402299999997</v>
      </c>
      <c r="AF72" s="212">
        <v>8.0699000000000007E-2</v>
      </c>
      <c r="AG72" s="31"/>
    </row>
    <row r="73" spans="1:33">
      <c r="A73" s="30" t="s">
        <v>835</v>
      </c>
      <c r="B73" s="210" t="s">
        <v>814</v>
      </c>
      <c r="C73" s="219">
        <v>90.713904999999997</v>
      </c>
      <c r="D73" s="219">
        <v>125.583687</v>
      </c>
      <c r="E73" s="219">
        <v>164.386169</v>
      </c>
      <c r="F73" s="219">
        <v>199.255966</v>
      </c>
      <c r="G73" s="219">
        <v>225.73603800000001</v>
      </c>
      <c r="H73" s="219">
        <v>243.039841</v>
      </c>
      <c r="I73" s="219">
        <v>259.55712899999997</v>
      </c>
      <c r="J73" s="219">
        <v>272.453125</v>
      </c>
      <c r="K73" s="219">
        <v>285.794647</v>
      </c>
      <c r="L73" s="219">
        <v>299.19274899999999</v>
      </c>
      <c r="M73" s="219">
        <v>313.14953600000001</v>
      </c>
      <c r="N73" s="219">
        <v>327.69116200000002</v>
      </c>
      <c r="O73" s="219">
        <v>342.84011800000002</v>
      </c>
      <c r="P73" s="219">
        <v>358.61981200000002</v>
      </c>
      <c r="Q73" s="219">
        <v>374.87417599999998</v>
      </c>
      <c r="R73" s="219">
        <v>391.79058800000001</v>
      </c>
      <c r="S73" s="219">
        <v>409.39093000000003</v>
      </c>
      <c r="T73" s="219">
        <v>427.69464099999999</v>
      </c>
      <c r="U73" s="219">
        <v>446.72839399999998</v>
      </c>
      <c r="V73" s="219">
        <v>466.348389</v>
      </c>
      <c r="W73" s="219">
        <v>486.73355099999998</v>
      </c>
      <c r="X73" s="219">
        <v>507.90823399999999</v>
      </c>
      <c r="Y73" s="219">
        <v>529.89691200000004</v>
      </c>
      <c r="Z73" s="219">
        <v>552.73230000000001</v>
      </c>
      <c r="AA73" s="219">
        <v>576.19653300000004</v>
      </c>
      <c r="AB73" s="219">
        <v>600.54156499999999</v>
      </c>
      <c r="AC73" s="219">
        <v>625.79742399999998</v>
      </c>
      <c r="AD73" s="219">
        <v>651.99127199999998</v>
      </c>
      <c r="AE73" s="219">
        <v>679.15313700000002</v>
      </c>
      <c r="AF73" s="212">
        <v>7.4545E-2</v>
      </c>
      <c r="AG73" s="31"/>
    </row>
    <row r="74" spans="1:33">
      <c r="A74" s="30" t="s">
        <v>836</v>
      </c>
      <c r="B74" s="210" t="s">
        <v>283</v>
      </c>
      <c r="C74" s="219">
        <v>41.477749000000003</v>
      </c>
      <c r="D74" s="219">
        <v>56.116959000000001</v>
      </c>
      <c r="E74" s="219">
        <v>70.654503000000005</v>
      </c>
      <c r="F74" s="219">
        <v>82.650513000000004</v>
      </c>
      <c r="G74" s="219">
        <v>91.190062999999995</v>
      </c>
      <c r="H74" s="219">
        <v>96.476439999999997</v>
      </c>
      <c r="I74" s="219">
        <v>100.644547</v>
      </c>
      <c r="J74" s="219">
        <v>105.10861199999999</v>
      </c>
      <c r="K74" s="219">
        <v>109.777794</v>
      </c>
      <c r="L74" s="219">
        <v>114.634125</v>
      </c>
      <c r="M74" s="219">
        <v>119.654022</v>
      </c>
      <c r="N74" s="219">
        <v>124.82345599999999</v>
      </c>
      <c r="O74" s="219">
        <v>130.140533</v>
      </c>
      <c r="P74" s="219">
        <v>135.60420199999999</v>
      </c>
      <c r="Q74" s="219">
        <v>141.26831100000001</v>
      </c>
      <c r="R74" s="219">
        <v>147.09477200000001</v>
      </c>
      <c r="S74" s="219">
        <v>153.074432</v>
      </c>
      <c r="T74" s="219">
        <v>159.205353</v>
      </c>
      <c r="U74" s="219">
        <v>165.49443099999999</v>
      </c>
      <c r="V74" s="219">
        <v>171.99311800000001</v>
      </c>
      <c r="W74" s="219">
        <v>178.657501</v>
      </c>
      <c r="X74" s="219">
        <v>185.48194899999999</v>
      </c>
      <c r="Y74" s="219">
        <v>192.46803299999999</v>
      </c>
      <c r="Z74" s="219">
        <v>199.62287900000001</v>
      </c>
      <c r="AA74" s="219">
        <v>206.99113500000001</v>
      </c>
      <c r="AB74" s="219">
        <v>214.53208900000001</v>
      </c>
      <c r="AC74" s="219">
        <v>222.241882</v>
      </c>
      <c r="AD74" s="219">
        <v>230.12132299999999</v>
      </c>
      <c r="AE74" s="219">
        <v>238.176727</v>
      </c>
      <c r="AF74" s="212">
        <v>6.4412999999999998E-2</v>
      </c>
      <c r="AG74" s="31"/>
    </row>
    <row r="75" spans="1:33">
      <c r="A75" s="30" t="s">
        <v>837</v>
      </c>
      <c r="B75" s="210" t="s">
        <v>817</v>
      </c>
      <c r="C75" s="219">
        <v>18.422384000000001</v>
      </c>
      <c r="D75" s="219">
        <v>24.921766000000002</v>
      </c>
      <c r="E75" s="219">
        <v>31.286677999999998</v>
      </c>
      <c r="F75" s="219">
        <v>36.531010000000002</v>
      </c>
      <c r="G75" s="219">
        <v>40.251339000000002</v>
      </c>
      <c r="H75" s="219">
        <v>42.582152999999998</v>
      </c>
      <c r="I75" s="219">
        <v>44.375087999999998</v>
      </c>
      <c r="J75" s="219">
        <v>45.552967000000002</v>
      </c>
      <c r="K75" s="219">
        <v>46.643486000000003</v>
      </c>
      <c r="L75" s="219">
        <v>47.615417000000001</v>
      </c>
      <c r="M75" s="219">
        <v>48.534264</v>
      </c>
      <c r="N75" s="219">
        <v>49.396385000000002</v>
      </c>
      <c r="O75" s="219">
        <v>50.197502</v>
      </c>
      <c r="P75" s="219">
        <v>50.933815000000003</v>
      </c>
      <c r="Q75" s="219">
        <v>51.605465000000002</v>
      </c>
      <c r="R75" s="219">
        <v>52.221404999999997</v>
      </c>
      <c r="S75" s="219">
        <v>52.787604999999999</v>
      </c>
      <c r="T75" s="219">
        <v>53.310012999999998</v>
      </c>
      <c r="U75" s="219">
        <v>53.794593999999996</v>
      </c>
      <c r="V75" s="219">
        <v>54.246001999999997</v>
      </c>
      <c r="W75" s="219">
        <v>54.667313</v>
      </c>
      <c r="X75" s="219">
        <v>55.060822000000002</v>
      </c>
      <c r="Y75" s="219">
        <v>55.427867999999997</v>
      </c>
      <c r="Z75" s="219">
        <v>55.770457999999998</v>
      </c>
      <c r="AA75" s="219">
        <v>56.094085999999997</v>
      </c>
      <c r="AB75" s="219">
        <v>56.398609</v>
      </c>
      <c r="AC75" s="219">
        <v>56.681601999999998</v>
      </c>
      <c r="AD75" s="219">
        <v>56.938384999999997</v>
      </c>
      <c r="AE75" s="219">
        <v>57.168449000000003</v>
      </c>
      <c r="AF75" s="212">
        <v>4.1272999999999997E-2</v>
      </c>
      <c r="AG75" s="31"/>
    </row>
    <row r="76" spans="1:33">
      <c r="A76" s="30" t="s">
        <v>838</v>
      </c>
      <c r="B76" s="210" t="s">
        <v>819</v>
      </c>
      <c r="C76" s="219">
        <v>37.358677</v>
      </c>
      <c r="D76" s="219">
        <v>50.538738000000002</v>
      </c>
      <c r="E76" s="219">
        <v>63.446117000000001</v>
      </c>
      <c r="F76" s="219">
        <v>74.081069999999997</v>
      </c>
      <c r="G76" s="219">
        <v>81.625525999999994</v>
      </c>
      <c r="H76" s="219">
        <v>86.352164999999999</v>
      </c>
      <c r="I76" s="219">
        <v>89.988045</v>
      </c>
      <c r="J76" s="219">
        <v>93.229279000000005</v>
      </c>
      <c r="K76" s="219">
        <v>96.518051</v>
      </c>
      <c r="L76" s="219">
        <v>99.834007</v>
      </c>
      <c r="M76" s="219">
        <v>103.228836</v>
      </c>
      <c r="N76" s="219">
        <v>106.711052</v>
      </c>
      <c r="O76" s="219">
        <v>110.286186</v>
      </c>
      <c r="P76" s="219">
        <v>113.95946499999999</v>
      </c>
      <c r="Q76" s="219">
        <v>117.72137499999999</v>
      </c>
      <c r="R76" s="219">
        <v>121.58760100000001</v>
      </c>
      <c r="S76" s="219">
        <v>125.559944</v>
      </c>
      <c r="T76" s="219">
        <v>129.63948099999999</v>
      </c>
      <c r="U76" s="219">
        <v>133.82646199999999</v>
      </c>
      <c r="V76" s="219">
        <v>138.11544799999999</v>
      </c>
      <c r="W76" s="219">
        <v>142.51733400000001</v>
      </c>
      <c r="X76" s="219">
        <v>147.03389000000001</v>
      </c>
      <c r="Y76" s="219">
        <v>151.667145</v>
      </c>
      <c r="Z76" s="219">
        <v>156.41830400000001</v>
      </c>
      <c r="AA76" s="219">
        <v>161.26028400000001</v>
      </c>
      <c r="AB76" s="219">
        <v>166.222961</v>
      </c>
      <c r="AC76" s="219">
        <v>171.310562</v>
      </c>
      <c r="AD76" s="219">
        <v>176.52694700000001</v>
      </c>
      <c r="AE76" s="219">
        <v>181.87539699999999</v>
      </c>
      <c r="AF76" s="212">
        <v>5.8154999999999998E-2</v>
      </c>
      <c r="AG76" s="31"/>
    </row>
    <row r="77" spans="1:33">
      <c r="A77" s="30" t="s">
        <v>839</v>
      </c>
      <c r="B77" s="210" t="s">
        <v>840</v>
      </c>
      <c r="C77" s="219">
        <v>1060.8295900000001</v>
      </c>
      <c r="D77" s="219">
        <v>1535.6385499999999</v>
      </c>
      <c r="E77" s="219">
        <v>1956.2210689999999</v>
      </c>
      <c r="F77" s="219">
        <v>2270.5656739999999</v>
      </c>
      <c r="G77" s="219">
        <v>2499.8393550000001</v>
      </c>
      <c r="H77" s="219">
        <v>2631.3684079999998</v>
      </c>
      <c r="I77" s="219">
        <v>2745.3615719999998</v>
      </c>
      <c r="J77" s="219">
        <v>2832.9101559999999</v>
      </c>
      <c r="K77" s="219">
        <v>2920.7680660000001</v>
      </c>
      <c r="L77" s="219">
        <v>3009.3168949999999</v>
      </c>
      <c r="M77" s="219">
        <v>3100.5822750000002</v>
      </c>
      <c r="N77" s="219">
        <v>3194.6989749999998</v>
      </c>
      <c r="O77" s="219">
        <v>3290.7622070000002</v>
      </c>
      <c r="P77" s="219">
        <v>3389.0178219999998</v>
      </c>
      <c r="Q77" s="219">
        <v>3489.9655760000001</v>
      </c>
      <c r="R77" s="219">
        <v>3593.9096679999998</v>
      </c>
      <c r="S77" s="219">
        <v>3700.5131839999999</v>
      </c>
      <c r="T77" s="219">
        <v>3809.749268</v>
      </c>
      <c r="U77" s="219">
        <v>3923.133057</v>
      </c>
      <c r="V77" s="219">
        <v>4039.024414</v>
      </c>
      <c r="W77" s="219">
        <v>4158.0786129999997</v>
      </c>
      <c r="X77" s="219">
        <v>4280.3164059999999</v>
      </c>
      <c r="Y77" s="219">
        <v>4405.0268550000001</v>
      </c>
      <c r="Z77" s="219">
        <v>4532.1254879999997</v>
      </c>
      <c r="AA77" s="219">
        <v>4661.328125</v>
      </c>
      <c r="AB77" s="219">
        <v>4794.0234380000002</v>
      </c>
      <c r="AC77" s="219">
        <v>4929.7426759999998</v>
      </c>
      <c r="AD77" s="219">
        <v>5068.4580079999996</v>
      </c>
      <c r="AE77" s="219">
        <v>5211.2783200000003</v>
      </c>
      <c r="AF77" s="212">
        <v>5.8495999999999999E-2</v>
      </c>
      <c r="AG77" s="31"/>
    </row>
    <row r="78" spans="1:33">
      <c r="A78" s="30" t="s">
        <v>841</v>
      </c>
      <c r="B78" s="210" t="s">
        <v>303</v>
      </c>
      <c r="C78" s="219">
        <v>3092.2739259999998</v>
      </c>
      <c r="D78" s="219">
        <v>3863.8820799999999</v>
      </c>
      <c r="E78" s="219">
        <v>4490.5029299999997</v>
      </c>
      <c r="F78" s="219">
        <v>4951.5483400000003</v>
      </c>
      <c r="G78" s="219">
        <v>5295.1601559999999</v>
      </c>
      <c r="H78" s="219">
        <v>5530.0249020000001</v>
      </c>
      <c r="I78" s="219">
        <v>5746.6953119999998</v>
      </c>
      <c r="J78" s="219">
        <v>5935.4648440000001</v>
      </c>
      <c r="K78" s="219">
        <v>6122.9189450000003</v>
      </c>
      <c r="L78" s="219">
        <v>6312.8193359999996</v>
      </c>
      <c r="M78" s="219">
        <v>6510.8081050000001</v>
      </c>
      <c r="N78" s="219">
        <v>6715.1289059999999</v>
      </c>
      <c r="O78" s="219">
        <v>6922.3872069999998</v>
      </c>
      <c r="P78" s="219">
        <v>7133.4599609999996</v>
      </c>
      <c r="Q78" s="219">
        <v>7350.3686520000001</v>
      </c>
      <c r="R78" s="219">
        <v>7573.517578</v>
      </c>
      <c r="S78" s="219">
        <v>7801.689453</v>
      </c>
      <c r="T78" s="219">
        <v>8034.498047</v>
      </c>
      <c r="U78" s="219">
        <v>8276.6923829999996</v>
      </c>
      <c r="V78" s="219">
        <v>8523.6396480000003</v>
      </c>
      <c r="W78" s="219">
        <v>8776.7744139999995</v>
      </c>
      <c r="X78" s="219">
        <v>9036.0351559999999</v>
      </c>
      <c r="Y78" s="219">
        <v>9298.7636719999991</v>
      </c>
      <c r="Z78" s="219">
        <v>9564.3017579999996</v>
      </c>
      <c r="AA78" s="219">
        <v>9832.75</v>
      </c>
      <c r="AB78" s="219">
        <v>10107.600586</v>
      </c>
      <c r="AC78" s="219">
        <v>10386.885742</v>
      </c>
      <c r="AD78" s="219">
        <v>10669.858398</v>
      </c>
      <c r="AE78" s="219">
        <v>10959.380859000001</v>
      </c>
      <c r="AF78" s="212">
        <v>4.6225000000000002E-2</v>
      </c>
      <c r="AG78" s="31"/>
    </row>
    <row r="79" spans="1:33">
      <c r="A79" s="29"/>
      <c r="B79" s="31"/>
      <c r="C79" s="31"/>
      <c r="D79" s="31"/>
      <c r="E79" s="31"/>
      <c r="F79" s="31"/>
      <c r="G79" s="31"/>
      <c r="H79" s="31"/>
      <c r="I79" s="31"/>
      <c r="J79" s="31"/>
      <c r="K79" s="31"/>
      <c r="L79" s="31"/>
      <c r="M79" s="31"/>
      <c r="N79" s="31"/>
      <c r="O79" s="31"/>
      <c r="P79" s="31"/>
      <c r="Q79" s="31"/>
      <c r="R79" s="31"/>
      <c r="S79" s="31"/>
      <c r="T79" s="31"/>
      <c r="U79" s="31"/>
      <c r="V79" s="31"/>
      <c r="W79" s="31"/>
      <c r="X79" s="31"/>
      <c r="Y79" s="31"/>
      <c r="Z79" s="31"/>
      <c r="AA79" s="31"/>
      <c r="AB79" s="31"/>
      <c r="AC79" s="31"/>
      <c r="AD79" s="31"/>
      <c r="AE79" s="31"/>
      <c r="AF79" s="31"/>
      <c r="AG79" s="31"/>
    </row>
    <row r="80" spans="1:33">
      <c r="A80" s="29"/>
      <c r="B80" s="209" t="s">
        <v>842</v>
      </c>
      <c r="C80" s="31"/>
      <c r="D80" s="31"/>
      <c r="E80" s="31"/>
      <c r="F80" s="31"/>
      <c r="G80" s="31"/>
      <c r="H80" s="31"/>
      <c r="I80" s="31"/>
      <c r="J80" s="31"/>
      <c r="K80" s="31"/>
      <c r="L80" s="31"/>
      <c r="M80" s="31"/>
      <c r="N80" s="31"/>
      <c r="O80" s="31"/>
      <c r="P80" s="31"/>
      <c r="Q80" s="31"/>
      <c r="R80" s="31"/>
      <c r="S80" s="31"/>
      <c r="T80" s="31"/>
      <c r="U80" s="31"/>
      <c r="V80" s="31"/>
      <c r="W80" s="31"/>
      <c r="X80" s="31"/>
      <c r="Y80" s="31"/>
      <c r="Z80" s="31"/>
      <c r="AA80" s="31"/>
      <c r="AB80" s="31"/>
      <c r="AC80" s="31"/>
      <c r="AD80" s="31"/>
      <c r="AE80" s="31"/>
      <c r="AF80" s="31"/>
      <c r="AG80" s="31"/>
    </row>
    <row r="81" spans="1:33" s="228" customFormat="1">
      <c r="A81" s="223" t="s">
        <v>843</v>
      </c>
      <c r="B81" s="224" t="s">
        <v>276</v>
      </c>
      <c r="C81" s="225">
        <v>47.902061000000003</v>
      </c>
      <c r="D81" s="225">
        <v>47.890633000000001</v>
      </c>
      <c r="E81" s="225">
        <v>48.038204</v>
      </c>
      <c r="F81" s="225">
        <v>48.550663</v>
      </c>
      <c r="G81" s="225">
        <v>49.413074000000002</v>
      </c>
      <c r="H81" s="225">
        <v>50.314349999999997</v>
      </c>
      <c r="I81" s="225">
        <v>51.184040000000003</v>
      </c>
      <c r="J81" s="225">
        <v>51.994289000000002</v>
      </c>
      <c r="K81" s="225">
        <v>52.748179999999998</v>
      </c>
      <c r="L81" s="225">
        <v>53.550033999999997</v>
      </c>
      <c r="M81" s="225">
        <v>54.533695000000002</v>
      </c>
      <c r="N81" s="225">
        <v>55.631897000000002</v>
      </c>
      <c r="O81" s="225">
        <v>56.744064000000002</v>
      </c>
      <c r="P81" s="225">
        <v>57.884483000000003</v>
      </c>
      <c r="Q81" s="225">
        <v>59.114531999999997</v>
      </c>
      <c r="R81" s="225">
        <v>60.431891999999998</v>
      </c>
      <c r="S81" s="225">
        <v>61.800179</v>
      </c>
      <c r="T81" s="225">
        <v>63.197701000000002</v>
      </c>
      <c r="U81" s="225">
        <v>64.731223999999997</v>
      </c>
      <c r="V81" s="225">
        <v>66.278328000000002</v>
      </c>
      <c r="W81" s="225">
        <v>67.864982999999995</v>
      </c>
      <c r="X81" s="225">
        <v>69.503112999999999</v>
      </c>
      <c r="Y81" s="225">
        <v>71.136123999999995</v>
      </c>
      <c r="Z81" s="225">
        <v>72.764045999999993</v>
      </c>
      <c r="AA81" s="225">
        <v>74.430274999999995</v>
      </c>
      <c r="AB81" s="225">
        <v>76.193152999999995</v>
      </c>
      <c r="AC81" s="225">
        <v>77.994986999999995</v>
      </c>
      <c r="AD81" s="225">
        <v>79.825203000000002</v>
      </c>
      <c r="AE81" s="225">
        <v>81.772209000000004</v>
      </c>
      <c r="AF81" s="226">
        <v>1.9283000000000002E-2</v>
      </c>
      <c r="AG81" s="227"/>
    </row>
    <row r="82" spans="1:33">
      <c r="A82" s="30" t="s">
        <v>844</v>
      </c>
      <c r="B82" s="210" t="s">
        <v>277</v>
      </c>
      <c r="C82" s="219">
        <v>1.0062629999999999</v>
      </c>
      <c r="D82" s="219">
        <v>1.0441499999999999</v>
      </c>
      <c r="E82" s="219">
        <v>1.0762890000000001</v>
      </c>
      <c r="F82" s="219">
        <v>1.1045970000000001</v>
      </c>
      <c r="G82" s="219">
        <v>1.1287959999999999</v>
      </c>
      <c r="H82" s="219">
        <v>1.1493180000000001</v>
      </c>
      <c r="I82" s="219">
        <v>1.1671069999999999</v>
      </c>
      <c r="J82" s="219">
        <v>1.1826779999999999</v>
      </c>
      <c r="K82" s="219">
        <v>1.1963220000000001</v>
      </c>
      <c r="L82" s="219">
        <v>1.208356</v>
      </c>
      <c r="M82" s="219">
        <v>1.219001</v>
      </c>
      <c r="N82" s="219">
        <v>1.2284360000000001</v>
      </c>
      <c r="O82" s="219">
        <v>1.2368399999999999</v>
      </c>
      <c r="P82" s="219">
        <v>1.2443679999999999</v>
      </c>
      <c r="Q82" s="219">
        <v>1.2511509999999999</v>
      </c>
      <c r="R82" s="219">
        <v>1.2572989999999999</v>
      </c>
      <c r="S82" s="219">
        <v>1.2629079999999999</v>
      </c>
      <c r="T82" s="219">
        <v>1.2680560000000001</v>
      </c>
      <c r="U82" s="219">
        <v>1.2728120000000001</v>
      </c>
      <c r="V82" s="219">
        <v>1.2772349999999999</v>
      </c>
      <c r="W82" s="219">
        <v>1.281374</v>
      </c>
      <c r="X82" s="219">
        <v>1.285269</v>
      </c>
      <c r="Y82" s="219">
        <v>1.2889569999999999</v>
      </c>
      <c r="Z82" s="219">
        <v>1.2924690000000001</v>
      </c>
      <c r="AA82" s="219">
        <v>1.2958289999999999</v>
      </c>
      <c r="AB82" s="219">
        <v>1.299059</v>
      </c>
      <c r="AC82" s="219">
        <v>1.302179</v>
      </c>
      <c r="AD82" s="219">
        <v>1.3052029999999999</v>
      </c>
      <c r="AE82" s="219">
        <v>1.3081449999999999</v>
      </c>
      <c r="AF82" s="212">
        <v>9.4140000000000005E-3</v>
      </c>
      <c r="AG82" s="31"/>
    </row>
    <row r="83" spans="1:33">
      <c r="A83" s="30" t="s">
        <v>845</v>
      </c>
      <c r="B83" s="210" t="s">
        <v>766</v>
      </c>
      <c r="C83" s="219">
        <v>2.2818999999999998</v>
      </c>
      <c r="D83" s="219">
        <v>2.3426399999999998</v>
      </c>
      <c r="E83" s="219">
        <v>2.4650479999999999</v>
      </c>
      <c r="F83" s="219">
        <v>2.5995650000000001</v>
      </c>
      <c r="G83" s="219">
        <v>2.734801</v>
      </c>
      <c r="H83" s="219">
        <v>2.8735569999999999</v>
      </c>
      <c r="I83" s="219">
        <v>3.0144679999999999</v>
      </c>
      <c r="J83" s="219">
        <v>3.1632699999999998</v>
      </c>
      <c r="K83" s="219">
        <v>3.3243580000000001</v>
      </c>
      <c r="L83" s="219">
        <v>3.4972789999999998</v>
      </c>
      <c r="M83" s="219">
        <v>3.6855220000000002</v>
      </c>
      <c r="N83" s="219">
        <v>3.8840870000000001</v>
      </c>
      <c r="O83" s="219">
        <v>4.0934869999999997</v>
      </c>
      <c r="P83" s="219">
        <v>4.3137239999999997</v>
      </c>
      <c r="Q83" s="219">
        <v>4.5410490000000001</v>
      </c>
      <c r="R83" s="219">
        <v>4.7785919999999997</v>
      </c>
      <c r="S83" s="219">
        <v>5.0267689999999998</v>
      </c>
      <c r="T83" s="219">
        <v>5.2857289999999999</v>
      </c>
      <c r="U83" s="219">
        <v>5.555498</v>
      </c>
      <c r="V83" s="219">
        <v>5.8253459999999997</v>
      </c>
      <c r="W83" s="219">
        <v>6.1047849999999997</v>
      </c>
      <c r="X83" s="219">
        <v>6.3940640000000002</v>
      </c>
      <c r="Y83" s="219">
        <v>6.693174</v>
      </c>
      <c r="Z83" s="219">
        <v>7.0021630000000004</v>
      </c>
      <c r="AA83" s="219">
        <v>7.3102840000000002</v>
      </c>
      <c r="AB83" s="219">
        <v>7.6272060000000002</v>
      </c>
      <c r="AC83" s="219">
        <v>7.9528179999999997</v>
      </c>
      <c r="AD83" s="219">
        <v>8.2870039999999996</v>
      </c>
      <c r="AE83" s="219">
        <v>8.6297200000000007</v>
      </c>
      <c r="AF83" s="212">
        <v>4.8654000000000003E-2</v>
      </c>
      <c r="AG83" s="31"/>
    </row>
    <row r="84" spans="1:33">
      <c r="A84" s="30" t="s">
        <v>846</v>
      </c>
      <c r="B84" s="210" t="s">
        <v>768</v>
      </c>
      <c r="C84" s="219">
        <v>21.343447000000001</v>
      </c>
      <c r="D84" s="219">
        <v>23.328316000000001</v>
      </c>
      <c r="E84" s="219">
        <v>25.259329000000001</v>
      </c>
      <c r="F84" s="219">
        <v>26.844503</v>
      </c>
      <c r="G84" s="219">
        <v>28.220020000000002</v>
      </c>
      <c r="H84" s="219">
        <v>29.476091</v>
      </c>
      <c r="I84" s="219">
        <v>30.638822999999999</v>
      </c>
      <c r="J84" s="219">
        <v>31.743164</v>
      </c>
      <c r="K84" s="219">
        <v>32.806507000000003</v>
      </c>
      <c r="L84" s="219">
        <v>33.836029000000003</v>
      </c>
      <c r="M84" s="219">
        <v>34.844954999999999</v>
      </c>
      <c r="N84" s="219">
        <v>35.848754999999997</v>
      </c>
      <c r="O84" s="219">
        <v>36.846347999999999</v>
      </c>
      <c r="P84" s="219">
        <v>37.830382999999998</v>
      </c>
      <c r="Q84" s="219">
        <v>38.820450000000001</v>
      </c>
      <c r="R84" s="219">
        <v>39.828896</v>
      </c>
      <c r="S84" s="219">
        <v>40.849742999999997</v>
      </c>
      <c r="T84" s="219">
        <v>41.884875999999998</v>
      </c>
      <c r="U84" s="219">
        <v>42.945388999999999</v>
      </c>
      <c r="V84" s="219">
        <v>44.021434999999997</v>
      </c>
      <c r="W84" s="219">
        <v>45.112003000000001</v>
      </c>
      <c r="X84" s="219">
        <v>46.216866000000003</v>
      </c>
      <c r="Y84" s="219">
        <v>47.334282000000002</v>
      </c>
      <c r="Z84" s="219">
        <v>48.465243999999998</v>
      </c>
      <c r="AA84" s="219">
        <v>49.616309999999999</v>
      </c>
      <c r="AB84" s="219">
        <v>50.789515999999999</v>
      </c>
      <c r="AC84" s="219">
        <v>51.988506000000001</v>
      </c>
      <c r="AD84" s="219">
        <v>53.218521000000003</v>
      </c>
      <c r="AE84" s="219">
        <v>54.480499000000002</v>
      </c>
      <c r="AF84" s="212">
        <v>3.4034000000000002E-2</v>
      </c>
      <c r="AG84" s="31"/>
    </row>
    <row r="85" spans="1:33">
      <c r="A85" s="30" t="s">
        <v>847</v>
      </c>
      <c r="B85" s="210" t="s">
        <v>770</v>
      </c>
      <c r="C85" s="219">
        <v>4.273352</v>
      </c>
      <c r="D85" s="219">
        <v>4.4791809999999996</v>
      </c>
      <c r="E85" s="219">
        <v>4.6452540000000004</v>
      </c>
      <c r="F85" s="219">
        <v>4.7855220000000003</v>
      </c>
      <c r="G85" s="219">
        <v>4.8974130000000002</v>
      </c>
      <c r="H85" s="219">
        <v>4.9908710000000003</v>
      </c>
      <c r="I85" s="219">
        <v>5.0685380000000002</v>
      </c>
      <c r="J85" s="219">
        <v>5.1330119999999999</v>
      </c>
      <c r="K85" s="219">
        <v>5.1861550000000003</v>
      </c>
      <c r="L85" s="219">
        <v>5.229876</v>
      </c>
      <c r="M85" s="219">
        <v>5.2663859999999998</v>
      </c>
      <c r="N85" s="219">
        <v>5.2975640000000004</v>
      </c>
      <c r="O85" s="219">
        <v>5.3242719999999997</v>
      </c>
      <c r="P85" s="219">
        <v>5.3471760000000002</v>
      </c>
      <c r="Q85" s="219">
        <v>5.3668380000000004</v>
      </c>
      <c r="R85" s="219">
        <v>5.3837380000000001</v>
      </c>
      <c r="S85" s="219">
        <v>5.398288</v>
      </c>
      <c r="T85" s="219">
        <v>5.4108229999999997</v>
      </c>
      <c r="U85" s="219">
        <v>5.4216280000000001</v>
      </c>
      <c r="V85" s="219">
        <v>5.4309770000000004</v>
      </c>
      <c r="W85" s="219">
        <v>5.4390599999999996</v>
      </c>
      <c r="X85" s="219">
        <v>5.4460730000000002</v>
      </c>
      <c r="Y85" s="219">
        <v>5.4522899999999996</v>
      </c>
      <c r="Z85" s="219">
        <v>5.4581390000000001</v>
      </c>
      <c r="AA85" s="219">
        <v>5.4639499999999996</v>
      </c>
      <c r="AB85" s="219">
        <v>5.4698690000000001</v>
      </c>
      <c r="AC85" s="219">
        <v>5.4759849999999997</v>
      </c>
      <c r="AD85" s="219">
        <v>5.4823639999999996</v>
      </c>
      <c r="AE85" s="219">
        <v>5.4890670000000004</v>
      </c>
      <c r="AF85" s="212">
        <v>8.9809999999999994E-3</v>
      </c>
      <c r="AG85" s="31"/>
    </row>
    <row r="86" spans="1:33">
      <c r="A86" s="30" t="s">
        <v>848</v>
      </c>
      <c r="B86" s="210" t="s">
        <v>772</v>
      </c>
      <c r="C86" s="219">
        <v>1.375221</v>
      </c>
      <c r="D86" s="219">
        <v>1.4571829999999999</v>
      </c>
      <c r="E86" s="219">
        <v>1.532079</v>
      </c>
      <c r="F86" s="219">
        <v>1.599677</v>
      </c>
      <c r="G86" s="219">
        <v>1.6609389999999999</v>
      </c>
      <c r="H86" s="219">
        <v>1.716998</v>
      </c>
      <c r="I86" s="219">
        <v>1.7685759999999999</v>
      </c>
      <c r="J86" s="219">
        <v>1.8164849999999999</v>
      </c>
      <c r="K86" s="219">
        <v>1.861445</v>
      </c>
      <c r="L86" s="219">
        <v>1.9036090000000001</v>
      </c>
      <c r="M86" s="219">
        <v>1.9428510000000001</v>
      </c>
      <c r="N86" s="219">
        <v>1.979757</v>
      </c>
      <c r="O86" s="219">
        <v>2.0146850000000001</v>
      </c>
      <c r="P86" s="219">
        <v>2.0465460000000002</v>
      </c>
      <c r="Q86" s="219">
        <v>2.0765380000000002</v>
      </c>
      <c r="R86" s="219">
        <v>2.105925</v>
      </c>
      <c r="S86" s="219">
        <v>2.1345260000000001</v>
      </c>
      <c r="T86" s="219">
        <v>2.1616379999999999</v>
      </c>
      <c r="U86" s="219">
        <v>2.187468</v>
      </c>
      <c r="V86" s="219">
        <v>2.2126380000000001</v>
      </c>
      <c r="W86" s="219">
        <v>2.2373310000000002</v>
      </c>
      <c r="X86" s="219">
        <v>2.2616049999999999</v>
      </c>
      <c r="Y86" s="219">
        <v>2.2854969999999999</v>
      </c>
      <c r="Z86" s="219">
        <v>2.309015</v>
      </c>
      <c r="AA86" s="219">
        <v>2.332131</v>
      </c>
      <c r="AB86" s="219">
        <v>2.3548879999999999</v>
      </c>
      <c r="AC86" s="219">
        <v>2.3775210000000002</v>
      </c>
      <c r="AD86" s="219">
        <v>2.4000759999999999</v>
      </c>
      <c r="AE86" s="219">
        <v>2.4225569999999998</v>
      </c>
      <c r="AF86" s="212">
        <v>2.0428000000000002E-2</v>
      </c>
      <c r="AG86" s="31"/>
    </row>
    <row r="87" spans="1:33">
      <c r="A87" s="30" t="s">
        <v>849</v>
      </c>
      <c r="B87" s="210" t="s">
        <v>774</v>
      </c>
      <c r="C87" s="219">
        <v>5.6156360000000003</v>
      </c>
      <c r="D87" s="219">
        <v>5.721063</v>
      </c>
      <c r="E87" s="219">
        <v>5.844652</v>
      </c>
      <c r="F87" s="219">
        <v>5.9630590000000003</v>
      </c>
      <c r="G87" s="219">
        <v>6.0691499999999996</v>
      </c>
      <c r="H87" s="219">
        <v>6.1706940000000001</v>
      </c>
      <c r="I87" s="219">
        <v>6.2710540000000004</v>
      </c>
      <c r="J87" s="219">
        <v>6.3695250000000003</v>
      </c>
      <c r="K87" s="219">
        <v>6.4658889999999998</v>
      </c>
      <c r="L87" s="219">
        <v>6.5450280000000003</v>
      </c>
      <c r="M87" s="219">
        <v>6.5985740000000002</v>
      </c>
      <c r="N87" s="219">
        <v>6.6477339999999998</v>
      </c>
      <c r="O87" s="219">
        <v>6.6966850000000004</v>
      </c>
      <c r="P87" s="219">
        <v>6.7442919999999997</v>
      </c>
      <c r="Q87" s="219">
        <v>6.7915340000000004</v>
      </c>
      <c r="R87" s="219">
        <v>6.833717</v>
      </c>
      <c r="S87" s="219">
        <v>6.8710649999999998</v>
      </c>
      <c r="T87" s="219">
        <v>6.9078999999999997</v>
      </c>
      <c r="U87" s="219">
        <v>6.9470710000000002</v>
      </c>
      <c r="V87" s="219">
        <v>6.9914050000000003</v>
      </c>
      <c r="W87" s="219">
        <v>7.0396000000000001</v>
      </c>
      <c r="X87" s="219">
        <v>7.0887419999999999</v>
      </c>
      <c r="Y87" s="219">
        <v>7.1380210000000002</v>
      </c>
      <c r="Z87" s="219">
        <v>7.185943</v>
      </c>
      <c r="AA87" s="219">
        <v>7.2306369999999998</v>
      </c>
      <c r="AB87" s="219">
        <v>7.2718730000000003</v>
      </c>
      <c r="AC87" s="219">
        <v>7.3117710000000002</v>
      </c>
      <c r="AD87" s="219">
        <v>7.3521929999999998</v>
      </c>
      <c r="AE87" s="219">
        <v>7.3943680000000001</v>
      </c>
      <c r="AF87" s="212">
        <v>9.8759999999999994E-3</v>
      </c>
      <c r="AG87" s="31"/>
    </row>
    <row r="88" spans="1:33">
      <c r="A88" s="30" t="s">
        <v>850</v>
      </c>
      <c r="B88" s="210" t="s">
        <v>776</v>
      </c>
      <c r="C88" s="219">
        <v>0.63681100000000002</v>
      </c>
      <c r="D88" s="219">
        <v>0.61521599999999999</v>
      </c>
      <c r="E88" s="219">
        <v>0.63014599999999998</v>
      </c>
      <c r="F88" s="219">
        <v>0.64219700000000002</v>
      </c>
      <c r="G88" s="219">
        <v>0.65244100000000005</v>
      </c>
      <c r="H88" s="219">
        <v>0.66163000000000005</v>
      </c>
      <c r="I88" s="219">
        <v>0.67073499999999997</v>
      </c>
      <c r="J88" s="219">
        <v>0.67983400000000005</v>
      </c>
      <c r="K88" s="219">
        <v>0.68894900000000003</v>
      </c>
      <c r="L88" s="219">
        <v>0.69872299999999998</v>
      </c>
      <c r="M88" s="219">
        <v>0.70891099999999996</v>
      </c>
      <c r="N88" s="219">
        <v>0.719198</v>
      </c>
      <c r="O88" s="219">
        <v>0.72959399999999996</v>
      </c>
      <c r="P88" s="219">
        <v>0.74011099999999996</v>
      </c>
      <c r="Q88" s="219">
        <v>0.75076200000000004</v>
      </c>
      <c r="R88" s="219">
        <v>0.76155399999999995</v>
      </c>
      <c r="S88" s="219">
        <v>0.77249699999999999</v>
      </c>
      <c r="T88" s="219">
        <v>0.78360099999999999</v>
      </c>
      <c r="U88" s="219">
        <v>0.79486900000000005</v>
      </c>
      <c r="V88" s="219">
        <v>0.80631200000000003</v>
      </c>
      <c r="W88" s="219">
        <v>0.81793700000000003</v>
      </c>
      <c r="X88" s="219">
        <v>0.82974300000000001</v>
      </c>
      <c r="Y88" s="219">
        <v>0.84174700000000002</v>
      </c>
      <c r="Z88" s="219">
        <v>0.85394800000000004</v>
      </c>
      <c r="AA88" s="219">
        <v>0.86635099999999998</v>
      </c>
      <c r="AB88" s="219">
        <v>0.87896399999999997</v>
      </c>
      <c r="AC88" s="219">
        <v>0.89179200000000003</v>
      </c>
      <c r="AD88" s="219">
        <v>0.90484100000000001</v>
      </c>
      <c r="AE88" s="219">
        <v>0.91811299999999996</v>
      </c>
      <c r="AF88" s="212">
        <v>1.3152E-2</v>
      </c>
      <c r="AG88" s="31"/>
    </row>
    <row r="89" spans="1:33">
      <c r="A89" s="30" t="s">
        <v>851</v>
      </c>
      <c r="B89" s="210" t="s">
        <v>778</v>
      </c>
      <c r="C89" s="219">
        <v>6.5872E-2</v>
      </c>
      <c r="D89" s="219">
        <v>7.6454999999999995E-2</v>
      </c>
      <c r="E89" s="219">
        <v>8.6470000000000005E-2</v>
      </c>
      <c r="F89" s="219">
        <v>9.5138E-2</v>
      </c>
      <c r="G89" s="219">
        <v>0.102715</v>
      </c>
      <c r="H89" s="219">
        <v>0.109502</v>
      </c>
      <c r="I89" s="219">
        <v>0.115657</v>
      </c>
      <c r="J89" s="219">
        <v>0.12130299999999999</v>
      </c>
      <c r="K89" s="219">
        <v>0.12654799999999999</v>
      </c>
      <c r="L89" s="219">
        <v>0.13158</v>
      </c>
      <c r="M89" s="219">
        <v>0.136382</v>
      </c>
      <c r="N89" s="219">
        <v>0.14097000000000001</v>
      </c>
      <c r="O89" s="219">
        <v>0.145394</v>
      </c>
      <c r="P89" s="219">
        <v>0.149704</v>
      </c>
      <c r="Q89" s="219">
        <v>0.15374499999999999</v>
      </c>
      <c r="R89" s="219">
        <v>0.15770600000000001</v>
      </c>
      <c r="S89" s="219">
        <v>0.16161400000000001</v>
      </c>
      <c r="T89" s="219">
        <v>0.16548399999999999</v>
      </c>
      <c r="U89" s="219">
        <v>0.16933799999999999</v>
      </c>
      <c r="V89" s="219">
        <v>0.17303499999999999</v>
      </c>
      <c r="W89" s="219">
        <v>0.176734</v>
      </c>
      <c r="X89" s="219">
        <v>0.180452</v>
      </c>
      <c r="Y89" s="219">
        <v>0.184201</v>
      </c>
      <c r="Z89" s="219">
        <v>0.18798899999999999</v>
      </c>
      <c r="AA89" s="219">
        <v>0.191688</v>
      </c>
      <c r="AB89" s="219">
        <v>0.19542999999999999</v>
      </c>
      <c r="AC89" s="219">
        <v>0.19922300000000001</v>
      </c>
      <c r="AD89" s="219">
        <v>0.203068</v>
      </c>
      <c r="AE89" s="219">
        <v>0.20696800000000001</v>
      </c>
      <c r="AF89" s="212">
        <v>4.1735000000000001E-2</v>
      </c>
      <c r="AG89" s="31"/>
    </row>
    <row r="90" spans="1:33">
      <c r="A90" s="30" t="s">
        <v>852</v>
      </c>
      <c r="B90" s="210" t="s">
        <v>279</v>
      </c>
      <c r="C90" s="219">
        <v>14.291022999999999</v>
      </c>
      <c r="D90" s="219">
        <v>15.403852000000001</v>
      </c>
      <c r="E90" s="219">
        <v>16.466524</v>
      </c>
      <c r="F90" s="219">
        <v>17.484112</v>
      </c>
      <c r="G90" s="219">
        <v>18.438578</v>
      </c>
      <c r="H90" s="219">
        <v>19.337043999999999</v>
      </c>
      <c r="I90" s="219">
        <v>20.187798000000001</v>
      </c>
      <c r="J90" s="219">
        <v>20.994629</v>
      </c>
      <c r="K90" s="219">
        <v>21.758624999999999</v>
      </c>
      <c r="L90" s="219">
        <v>22.490202</v>
      </c>
      <c r="M90" s="219">
        <v>23.192791</v>
      </c>
      <c r="N90" s="219">
        <v>23.867598000000001</v>
      </c>
      <c r="O90" s="219">
        <v>24.519058000000001</v>
      </c>
      <c r="P90" s="219">
        <v>25.152920000000002</v>
      </c>
      <c r="Q90" s="219">
        <v>25.769638</v>
      </c>
      <c r="R90" s="219">
        <v>26.36647</v>
      </c>
      <c r="S90" s="219">
        <v>26.945543000000001</v>
      </c>
      <c r="T90" s="219">
        <v>27.511816</v>
      </c>
      <c r="U90" s="219">
        <v>28.072358999999999</v>
      </c>
      <c r="V90" s="219">
        <v>28.633461</v>
      </c>
      <c r="W90" s="219">
        <v>29.194868</v>
      </c>
      <c r="X90" s="219">
        <v>29.751711</v>
      </c>
      <c r="Y90" s="219">
        <v>30.298272999999998</v>
      </c>
      <c r="Z90" s="219">
        <v>30.82856</v>
      </c>
      <c r="AA90" s="219">
        <v>31.342054000000001</v>
      </c>
      <c r="AB90" s="219">
        <v>31.842524000000001</v>
      </c>
      <c r="AC90" s="219">
        <v>32.328381</v>
      </c>
      <c r="AD90" s="219">
        <v>32.794552000000003</v>
      </c>
      <c r="AE90" s="219">
        <v>33.235858999999998</v>
      </c>
      <c r="AF90" s="212">
        <v>3.0602000000000001E-2</v>
      </c>
      <c r="AG90" s="31"/>
    </row>
    <row r="91" spans="1:33">
      <c r="A91" s="30" t="s">
        <v>853</v>
      </c>
      <c r="B91" s="210" t="s">
        <v>781</v>
      </c>
      <c r="C91" s="219">
        <v>1.729398</v>
      </c>
      <c r="D91" s="219">
        <v>1.9405060000000001</v>
      </c>
      <c r="E91" s="219">
        <v>2.1560890000000001</v>
      </c>
      <c r="F91" s="219">
        <v>2.37439</v>
      </c>
      <c r="G91" s="219">
        <v>2.5902090000000002</v>
      </c>
      <c r="H91" s="219">
        <v>2.7969189999999999</v>
      </c>
      <c r="I91" s="219">
        <v>2.9946679999999999</v>
      </c>
      <c r="J91" s="219">
        <v>3.1840839999999999</v>
      </c>
      <c r="K91" s="219">
        <v>3.365723</v>
      </c>
      <c r="L91" s="219">
        <v>3.5399889999999998</v>
      </c>
      <c r="M91" s="219">
        <v>3.7074400000000001</v>
      </c>
      <c r="N91" s="219">
        <v>3.868322</v>
      </c>
      <c r="O91" s="219">
        <v>4.0227149999999998</v>
      </c>
      <c r="P91" s="219">
        <v>4.1717719999999998</v>
      </c>
      <c r="Q91" s="219">
        <v>4.3170520000000003</v>
      </c>
      <c r="R91" s="219">
        <v>4.4608340000000002</v>
      </c>
      <c r="S91" s="219">
        <v>4.6034769999999998</v>
      </c>
      <c r="T91" s="219">
        <v>4.7450979999999996</v>
      </c>
      <c r="U91" s="219">
        <v>4.8857530000000002</v>
      </c>
      <c r="V91" s="219">
        <v>5.0255089999999996</v>
      </c>
      <c r="W91" s="219">
        <v>5.164409</v>
      </c>
      <c r="X91" s="219">
        <v>5.3025580000000003</v>
      </c>
      <c r="Y91" s="219">
        <v>5.4398660000000003</v>
      </c>
      <c r="Z91" s="219">
        <v>5.5762869999999998</v>
      </c>
      <c r="AA91" s="219">
        <v>5.7117120000000003</v>
      </c>
      <c r="AB91" s="219">
        <v>5.8460159999999997</v>
      </c>
      <c r="AC91" s="219">
        <v>5.9790609999999997</v>
      </c>
      <c r="AD91" s="219">
        <v>6.1107060000000004</v>
      </c>
      <c r="AE91" s="219">
        <v>6.2408289999999997</v>
      </c>
      <c r="AF91" s="212">
        <v>4.6899999999999997E-2</v>
      </c>
      <c r="AG91" s="31"/>
    </row>
    <row r="92" spans="1:33">
      <c r="A92" s="30" t="s">
        <v>854</v>
      </c>
      <c r="B92" s="210" t="s">
        <v>783</v>
      </c>
      <c r="C92" s="219">
        <v>10.97953</v>
      </c>
      <c r="D92" s="219">
        <v>11.478201</v>
      </c>
      <c r="E92" s="219">
        <v>11.913265000000001</v>
      </c>
      <c r="F92" s="219">
        <v>12.294639</v>
      </c>
      <c r="G92" s="219">
        <v>12.627687999999999</v>
      </c>
      <c r="H92" s="219">
        <v>12.920790999999999</v>
      </c>
      <c r="I92" s="219">
        <v>13.179679999999999</v>
      </c>
      <c r="J92" s="219">
        <v>13.408682000000001</v>
      </c>
      <c r="K92" s="219">
        <v>13.611603000000001</v>
      </c>
      <c r="L92" s="219">
        <v>13.793385000000001</v>
      </c>
      <c r="M92" s="219">
        <v>13.957406000000001</v>
      </c>
      <c r="N92" s="219">
        <v>14.106166999999999</v>
      </c>
      <c r="O92" s="219">
        <v>14.242005000000001</v>
      </c>
      <c r="P92" s="219">
        <v>14.366897</v>
      </c>
      <c r="Q92" s="219">
        <v>14.481479999999999</v>
      </c>
      <c r="R92" s="219">
        <v>14.587826</v>
      </c>
      <c r="S92" s="219">
        <v>14.687233000000001</v>
      </c>
      <c r="T92" s="219">
        <v>14.780568000000001</v>
      </c>
      <c r="U92" s="219">
        <v>14.868819999999999</v>
      </c>
      <c r="V92" s="219">
        <v>14.951580999999999</v>
      </c>
      <c r="W92" s="219">
        <v>15.030099999999999</v>
      </c>
      <c r="X92" s="219">
        <v>15.104990000000001</v>
      </c>
      <c r="Y92" s="219">
        <v>15.176742000000001</v>
      </c>
      <c r="Z92" s="219">
        <v>15.245628</v>
      </c>
      <c r="AA92" s="219">
        <v>15.310263000000001</v>
      </c>
      <c r="AB92" s="219">
        <v>15.372285</v>
      </c>
      <c r="AC92" s="219">
        <v>15.432404999999999</v>
      </c>
      <c r="AD92" s="219">
        <v>15.490957999999999</v>
      </c>
      <c r="AE92" s="219">
        <v>15.548268</v>
      </c>
      <c r="AF92" s="212">
        <v>1.2503E-2</v>
      </c>
      <c r="AG92" s="31"/>
    </row>
    <row r="93" spans="1:33">
      <c r="A93" s="30" t="s">
        <v>855</v>
      </c>
      <c r="B93" s="210" t="s">
        <v>785</v>
      </c>
      <c r="C93" s="219">
        <v>1.034492</v>
      </c>
      <c r="D93" s="219">
        <v>0.99601099999999998</v>
      </c>
      <c r="E93" s="219">
        <v>0.96615300000000004</v>
      </c>
      <c r="F93" s="219">
        <v>0.94137499999999996</v>
      </c>
      <c r="G93" s="219">
        <v>0.91805400000000004</v>
      </c>
      <c r="H93" s="219">
        <v>0.89600199999999997</v>
      </c>
      <c r="I93" s="219">
        <v>0.87472399999999995</v>
      </c>
      <c r="J93" s="219">
        <v>0.85463800000000001</v>
      </c>
      <c r="K93" s="219">
        <v>0.83557300000000001</v>
      </c>
      <c r="L93" s="219">
        <v>0.81794</v>
      </c>
      <c r="M93" s="219">
        <v>0.80143900000000001</v>
      </c>
      <c r="N93" s="219">
        <v>0.785694</v>
      </c>
      <c r="O93" s="219">
        <v>0.77058400000000005</v>
      </c>
      <c r="P93" s="219">
        <v>0.75597400000000003</v>
      </c>
      <c r="Q93" s="219">
        <v>0.74202599999999996</v>
      </c>
      <c r="R93" s="219">
        <v>0.728599</v>
      </c>
      <c r="S93" s="219">
        <v>0.71566300000000005</v>
      </c>
      <c r="T93" s="219">
        <v>0.70325800000000005</v>
      </c>
      <c r="U93" s="219">
        <v>0.69134799999999996</v>
      </c>
      <c r="V93" s="219">
        <v>0.67998099999999995</v>
      </c>
      <c r="W93" s="219">
        <v>0.66904200000000003</v>
      </c>
      <c r="X93" s="219">
        <v>0.65848600000000002</v>
      </c>
      <c r="Y93" s="219">
        <v>0.64829400000000004</v>
      </c>
      <c r="Z93" s="219">
        <v>0.63843799999999995</v>
      </c>
      <c r="AA93" s="219">
        <v>0.62902999999999998</v>
      </c>
      <c r="AB93" s="219">
        <v>0.61994700000000003</v>
      </c>
      <c r="AC93" s="219">
        <v>0.61114500000000005</v>
      </c>
      <c r="AD93" s="219">
        <v>0.60261200000000004</v>
      </c>
      <c r="AE93" s="219">
        <v>0.59433100000000005</v>
      </c>
      <c r="AF93" s="212">
        <v>-1.9598999999999998E-2</v>
      </c>
      <c r="AG93" s="31"/>
    </row>
    <row r="94" spans="1:33">
      <c r="A94" s="30" t="s">
        <v>856</v>
      </c>
      <c r="B94" s="210" t="s">
        <v>278</v>
      </c>
      <c r="C94" s="219">
        <v>2.056041</v>
      </c>
      <c r="D94" s="219">
        <v>2.2239300000000002</v>
      </c>
      <c r="E94" s="219">
        <v>2.3859140000000001</v>
      </c>
      <c r="F94" s="219">
        <v>2.5383819999999999</v>
      </c>
      <c r="G94" s="219">
        <v>2.6863220000000001</v>
      </c>
      <c r="H94" s="219">
        <v>2.8267340000000001</v>
      </c>
      <c r="I94" s="219">
        <v>2.9619110000000002</v>
      </c>
      <c r="J94" s="219">
        <v>3.0936409999999999</v>
      </c>
      <c r="K94" s="219">
        <v>3.224078</v>
      </c>
      <c r="L94" s="219">
        <v>3.35331</v>
      </c>
      <c r="M94" s="219">
        <v>3.4810599999999998</v>
      </c>
      <c r="N94" s="219">
        <v>3.6073309999999998</v>
      </c>
      <c r="O94" s="219">
        <v>3.7324109999999999</v>
      </c>
      <c r="P94" s="219">
        <v>3.856554</v>
      </c>
      <c r="Q94" s="219">
        <v>3.9815369999999999</v>
      </c>
      <c r="R94" s="219">
        <v>4.1063970000000003</v>
      </c>
      <c r="S94" s="219">
        <v>4.2310189999999999</v>
      </c>
      <c r="T94" s="219">
        <v>4.3554599999999999</v>
      </c>
      <c r="U94" s="219">
        <v>4.4799889999999998</v>
      </c>
      <c r="V94" s="219">
        <v>4.6060540000000003</v>
      </c>
      <c r="W94" s="219">
        <v>4.7324640000000002</v>
      </c>
      <c r="X94" s="219">
        <v>4.8590929999999997</v>
      </c>
      <c r="Y94" s="219">
        <v>4.9859879999999999</v>
      </c>
      <c r="Z94" s="219">
        <v>5.113321</v>
      </c>
      <c r="AA94" s="219">
        <v>5.2422110000000002</v>
      </c>
      <c r="AB94" s="219">
        <v>5.3715659999999996</v>
      </c>
      <c r="AC94" s="219">
        <v>5.5012590000000001</v>
      </c>
      <c r="AD94" s="219">
        <v>5.6312749999999996</v>
      </c>
      <c r="AE94" s="219">
        <v>5.7617219999999998</v>
      </c>
      <c r="AF94" s="212">
        <v>3.7488E-2</v>
      </c>
      <c r="AG94" s="31"/>
    </row>
    <row r="95" spans="1:33">
      <c r="A95" s="30" t="s">
        <v>857</v>
      </c>
      <c r="B95" s="210" t="s">
        <v>788</v>
      </c>
      <c r="C95" s="219">
        <v>1.315159</v>
      </c>
      <c r="D95" s="219">
        <v>1.3515710000000001</v>
      </c>
      <c r="E95" s="219">
        <v>1.401203</v>
      </c>
      <c r="F95" s="219">
        <v>1.448269</v>
      </c>
      <c r="G95" s="219">
        <v>1.490272</v>
      </c>
      <c r="H95" s="219">
        <v>1.528861</v>
      </c>
      <c r="I95" s="219">
        <v>1.5658209999999999</v>
      </c>
      <c r="J95" s="219">
        <v>1.6010279999999999</v>
      </c>
      <c r="K95" s="219">
        <v>1.632976</v>
      </c>
      <c r="L95" s="219">
        <v>1.661187</v>
      </c>
      <c r="M95" s="219">
        <v>1.687252</v>
      </c>
      <c r="N95" s="219">
        <v>1.71123</v>
      </c>
      <c r="O95" s="219">
        <v>1.7331449999999999</v>
      </c>
      <c r="P95" s="219">
        <v>1.75302</v>
      </c>
      <c r="Q95" s="219">
        <v>1.770937</v>
      </c>
      <c r="R95" s="219">
        <v>1.787161</v>
      </c>
      <c r="S95" s="219">
        <v>1.801885</v>
      </c>
      <c r="T95" s="219">
        <v>1.815293</v>
      </c>
      <c r="U95" s="219">
        <v>1.827555</v>
      </c>
      <c r="V95" s="219">
        <v>1.8388009999999999</v>
      </c>
      <c r="W95" s="219">
        <v>1.849121</v>
      </c>
      <c r="X95" s="219">
        <v>1.8585959999999999</v>
      </c>
      <c r="Y95" s="219">
        <v>1.8672869999999999</v>
      </c>
      <c r="Z95" s="219">
        <v>1.8752530000000001</v>
      </c>
      <c r="AA95" s="219">
        <v>1.8825810000000001</v>
      </c>
      <c r="AB95" s="219">
        <v>1.8892880000000001</v>
      </c>
      <c r="AC95" s="219">
        <v>1.8954009999999999</v>
      </c>
      <c r="AD95" s="219">
        <v>1.900908</v>
      </c>
      <c r="AE95" s="219">
        <v>1.9058569999999999</v>
      </c>
      <c r="AF95" s="212">
        <v>1.3337E-2</v>
      </c>
      <c r="AG95" s="31"/>
    </row>
    <row r="96" spans="1:33">
      <c r="A96" s="30" t="s">
        <v>858</v>
      </c>
      <c r="B96" s="210" t="s">
        <v>790</v>
      </c>
      <c r="C96" s="219">
        <v>1.3873660000000001</v>
      </c>
      <c r="D96" s="219">
        <v>1.5061150000000001</v>
      </c>
      <c r="E96" s="219">
        <v>1.6128100000000001</v>
      </c>
      <c r="F96" s="219">
        <v>1.7258629999999999</v>
      </c>
      <c r="G96" s="219">
        <v>1.854373</v>
      </c>
      <c r="H96" s="219">
        <v>1.978618</v>
      </c>
      <c r="I96" s="219">
        <v>2.0982919999999998</v>
      </c>
      <c r="J96" s="219">
        <v>2.212968</v>
      </c>
      <c r="K96" s="219">
        <v>2.3225889999999998</v>
      </c>
      <c r="L96" s="219">
        <v>2.4248690000000002</v>
      </c>
      <c r="M96" s="219">
        <v>2.5281760000000002</v>
      </c>
      <c r="N96" s="219">
        <v>2.6335980000000001</v>
      </c>
      <c r="O96" s="219">
        <v>2.7414800000000001</v>
      </c>
      <c r="P96" s="219">
        <v>2.8521390000000002</v>
      </c>
      <c r="Q96" s="219">
        <v>2.9651719999999999</v>
      </c>
      <c r="R96" s="219">
        <v>3.081699</v>
      </c>
      <c r="S96" s="219">
        <v>3.2019039999999999</v>
      </c>
      <c r="T96" s="219">
        <v>3.3258559999999999</v>
      </c>
      <c r="U96" s="219">
        <v>3.4535149999999999</v>
      </c>
      <c r="V96" s="219">
        <v>3.585645</v>
      </c>
      <c r="W96" s="219">
        <v>3.7219479999999998</v>
      </c>
      <c r="X96" s="219">
        <v>3.8624550000000002</v>
      </c>
      <c r="Y96" s="219">
        <v>4.0071919999999999</v>
      </c>
      <c r="Z96" s="219">
        <v>4.1561370000000002</v>
      </c>
      <c r="AA96" s="219">
        <v>4.3064840000000002</v>
      </c>
      <c r="AB96" s="219">
        <v>4.4612210000000001</v>
      </c>
      <c r="AC96" s="219">
        <v>4.620444</v>
      </c>
      <c r="AD96" s="219">
        <v>4.7842510000000003</v>
      </c>
      <c r="AE96" s="219">
        <v>4.9525699999999997</v>
      </c>
      <c r="AF96" s="212">
        <v>4.6495000000000002E-2</v>
      </c>
      <c r="AG96" s="31"/>
    </row>
    <row r="97" spans="1:33">
      <c r="A97" s="30" t="s">
        <v>859</v>
      </c>
      <c r="B97" s="210" t="s">
        <v>860</v>
      </c>
      <c r="C97" s="219">
        <v>33.513634000000003</v>
      </c>
      <c r="D97" s="219">
        <v>33.773448999999999</v>
      </c>
      <c r="E97" s="219">
        <v>34.149569999999997</v>
      </c>
      <c r="F97" s="219">
        <v>34.646267000000002</v>
      </c>
      <c r="G97" s="219">
        <v>35.252239000000003</v>
      </c>
      <c r="H97" s="219">
        <v>35.867260000000002</v>
      </c>
      <c r="I97" s="219">
        <v>36.470672999999998</v>
      </c>
      <c r="J97" s="219">
        <v>37.055709999999998</v>
      </c>
      <c r="K97" s="219">
        <v>37.623618999999998</v>
      </c>
      <c r="L97" s="219">
        <v>38.206901999999999</v>
      </c>
      <c r="M97" s="219">
        <v>38.846012000000002</v>
      </c>
      <c r="N97" s="219">
        <v>39.518604000000003</v>
      </c>
      <c r="O97" s="219">
        <v>40.194561</v>
      </c>
      <c r="P97" s="219">
        <v>40.878718999999997</v>
      </c>
      <c r="Q97" s="219">
        <v>41.588965999999999</v>
      </c>
      <c r="R97" s="219">
        <v>42.324451000000003</v>
      </c>
      <c r="S97" s="219">
        <v>43.074202999999997</v>
      </c>
      <c r="T97" s="219">
        <v>43.833011999999997</v>
      </c>
      <c r="U97" s="219">
        <v>44.633330999999998</v>
      </c>
      <c r="V97" s="219">
        <v>45.438353999999997</v>
      </c>
      <c r="W97" s="219">
        <v>46.257075999999998</v>
      </c>
      <c r="X97" s="219">
        <v>47.090983999999999</v>
      </c>
      <c r="Y97" s="219">
        <v>47.922297999999998</v>
      </c>
      <c r="Z97" s="219">
        <v>48.749214000000002</v>
      </c>
      <c r="AA97" s="219">
        <v>49.580649999999999</v>
      </c>
      <c r="AB97" s="219">
        <v>50.435558</v>
      </c>
      <c r="AC97" s="219">
        <v>51.297688000000001</v>
      </c>
      <c r="AD97" s="219">
        <v>52.162868000000003</v>
      </c>
      <c r="AE97" s="219">
        <v>53.052937</v>
      </c>
      <c r="AF97" s="212">
        <v>1.6539999999999999E-2</v>
      </c>
      <c r="AG97" s="31"/>
    </row>
    <row r="98" spans="1:33">
      <c r="A98" s="30" t="s">
        <v>861</v>
      </c>
      <c r="B98" s="210" t="s">
        <v>862</v>
      </c>
      <c r="C98" s="219">
        <v>83.779938000000001</v>
      </c>
      <c r="D98" s="219">
        <v>88.081581</v>
      </c>
      <c r="E98" s="219">
        <v>92.329848999999996</v>
      </c>
      <c r="F98" s="219">
        <v>96.345687999999996</v>
      </c>
      <c r="G98" s="219">
        <v>100.232613</v>
      </c>
      <c r="H98" s="219">
        <v>103.880737</v>
      </c>
      <c r="I98" s="219">
        <v>107.291229</v>
      </c>
      <c r="J98" s="219">
        <v>110.497536</v>
      </c>
      <c r="K98" s="219">
        <v>113.531898</v>
      </c>
      <c r="L98" s="219">
        <v>116.474495</v>
      </c>
      <c r="M98" s="219">
        <v>119.445824</v>
      </c>
      <c r="N98" s="219">
        <v>122.439751</v>
      </c>
      <c r="O98" s="219">
        <v>125.398201</v>
      </c>
      <c r="P98" s="219">
        <v>128.33132900000001</v>
      </c>
      <c r="Q98" s="219">
        <v>131.305466</v>
      </c>
      <c r="R98" s="219">
        <v>134.33384699999999</v>
      </c>
      <c r="S98" s="219">
        <v>137.39012099999999</v>
      </c>
      <c r="T98" s="219">
        <v>140.47015400000001</v>
      </c>
      <c r="U98" s="219">
        <v>143.67131000000001</v>
      </c>
      <c r="V98" s="219">
        <v>146.899384</v>
      </c>
      <c r="W98" s="219">
        <v>150.17868000000001</v>
      </c>
      <c r="X98" s="219">
        <v>153.512833</v>
      </c>
      <c r="Y98" s="219">
        <v>156.85562100000001</v>
      </c>
      <c r="Z98" s="219">
        <v>160.203384</v>
      </c>
      <c r="AA98" s="219">
        <v>163.58116100000001</v>
      </c>
      <c r="AB98" s="219">
        <v>167.047256</v>
      </c>
      <c r="AC98" s="219">
        <v>170.56518600000001</v>
      </c>
      <c r="AD98" s="219">
        <v>174.13085899999999</v>
      </c>
      <c r="AE98" s="219">
        <v>177.808167</v>
      </c>
      <c r="AF98" s="212">
        <v>2.724E-2</v>
      </c>
      <c r="AG98" s="31"/>
    </row>
    <row r="99" spans="1:33">
      <c r="A99" s="30" t="s">
        <v>863</v>
      </c>
      <c r="B99" s="210" t="s">
        <v>303</v>
      </c>
      <c r="C99" s="219">
        <v>117.29357899999999</v>
      </c>
      <c r="D99" s="219">
        <v>121.855034</v>
      </c>
      <c r="E99" s="219">
        <v>126.47942399999999</v>
      </c>
      <c r="F99" s="219">
        <v>130.99195900000001</v>
      </c>
      <c r="G99" s="219">
        <v>135.48486299999999</v>
      </c>
      <c r="H99" s="219">
        <v>139.74797100000001</v>
      </c>
      <c r="I99" s="219">
        <v>143.76187100000001</v>
      </c>
      <c r="J99" s="219">
        <v>147.55323799999999</v>
      </c>
      <c r="K99" s="219">
        <v>151.155518</v>
      </c>
      <c r="L99" s="219">
        <v>154.681366</v>
      </c>
      <c r="M99" s="219">
        <v>158.29184000000001</v>
      </c>
      <c r="N99" s="219">
        <v>161.958313</v>
      </c>
      <c r="O99" s="219">
        <v>165.592758</v>
      </c>
      <c r="P99" s="219">
        <v>169.21006800000001</v>
      </c>
      <c r="Q99" s="219">
        <v>172.89442399999999</v>
      </c>
      <c r="R99" s="219">
        <v>176.65829500000001</v>
      </c>
      <c r="S99" s="219">
        <v>180.464325</v>
      </c>
      <c r="T99" s="219">
        <v>184.303146</v>
      </c>
      <c r="U99" s="219">
        <v>188.30465699999999</v>
      </c>
      <c r="V99" s="219">
        <v>192.337738</v>
      </c>
      <c r="W99" s="219">
        <v>196.43575999999999</v>
      </c>
      <c r="X99" s="219">
        <v>200.60380599999999</v>
      </c>
      <c r="Y99" s="219">
        <v>204.77795399999999</v>
      </c>
      <c r="Z99" s="219">
        <v>208.952606</v>
      </c>
      <c r="AA99" s="219">
        <v>213.16177400000001</v>
      </c>
      <c r="AB99" s="219">
        <v>217.48280299999999</v>
      </c>
      <c r="AC99" s="219">
        <v>221.86283900000001</v>
      </c>
      <c r="AD99" s="219">
        <v>226.29373200000001</v>
      </c>
      <c r="AE99" s="219">
        <v>230.86111500000001</v>
      </c>
      <c r="AF99" s="212">
        <v>2.4478E-2</v>
      </c>
      <c r="AG99" s="31"/>
    </row>
    <row r="100" spans="1:33">
      <c r="A100" s="29"/>
      <c r="B100" s="31"/>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1"/>
      <c r="AB100" s="31"/>
      <c r="AC100" s="31"/>
      <c r="AD100" s="31"/>
      <c r="AE100" s="31"/>
      <c r="AF100" s="31"/>
      <c r="AG100" s="31"/>
    </row>
    <row r="101" spans="1:33">
      <c r="A101" s="29"/>
      <c r="B101" s="209" t="s">
        <v>152</v>
      </c>
      <c r="C101" s="31"/>
      <c r="D101" s="31"/>
      <c r="E101" s="31"/>
      <c r="F101" s="31"/>
      <c r="G101" s="31"/>
      <c r="H101" s="31"/>
      <c r="I101" s="31"/>
      <c r="J101" s="31"/>
      <c r="K101" s="31"/>
      <c r="L101" s="31"/>
      <c r="M101" s="31"/>
      <c r="N101" s="31"/>
      <c r="O101" s="31"/>
      <c r="P101" s="31"/>
      <c r="Q101" s="31"/>
      <c r="R101" s="31"/>
      <c r="S101" s="31"/>
      <c r="T101" s="31"/>
      <c r="U101" s="31"/>
      <c r="V101" s="31"/>
      <c r="W101" s="31"/>
      <c r="X101" s="31"/>
      <c r="Y101" s="31"/>
      <c r="Z101" s="31"/>
      <c r="AA101" s="31"/>
      <c r="AB101" s="31"/>
      <c r="AC101" s="31"/>
      <c r="AD101" s="31"/>
      <c r="AE101" s="31"/>
      <c r="AF101" s="31"/>
      <c r="AG101" s="31"/>
    </row>
    <row r="102" spans="1:33">
      <c r="A102" s="30" t="s">
        <v>864</v>
      </c>
      <c r="B102" s="210" t="s">
        <v>286</v>
      </c>
      <c r="C102" s="219">
        <v>1173.034668</v>
      </c>
      <c r="D102" s="219">
        <v>1318.6945800000001</v>
      </c>
      <c r="E102" s="219">
        <v>1361.6110839999999</v>
      </c>
      <c r="F102" s="219">
        <v>1371.6551509999999</v>
      </c>
      <c r="G102" s="219">
        <v>1402.9279790000001</v>
      </c>
      <c r="H102" s="219">
        <v>1433.8398440000001</v>
      </c>
      <c r="I102" s="219">
        <v>1461.472168</v>
      </c>
      <c r="J102" s="219">
        <v>1484.8291019999999</v>
      </c>
      <c r="K102" s="219">
        <v>1504.2687989999999</v>
      </c>
      <c r="L102" s="219">
        <v>1524.7269289999999</v>
      </c>
      <c r="M102" s="219">
        <v>1552.256836</v>
      </c>
      <c r="N102" s="219">
        <v>1583.9248050000001</v>
      </c>
      <c r="O102" s="219">
        <v>1615.380249</v>
      </c>
      <c r="P102" s="219">
        <v>1647.3461910000001</v>
      </c>
      <c r="Q102" s="219">
        <v>1682.5896</v>
      </c>
      <c r="R102" s="219">
        <v>1721.046875</v>
      </c>
      <c r="S102" s="219">
        <v>1761.139038</v>
      </c>
      <c r="T102" s="219">
        <v>1801.9410399999999</v>
      </c>
      <c r="U102" s="219">
        <v>1848.0720209999999</v>
      </c>
      <c r="V102" s="219">
        <v>1894.2041019999999</v>
      </c>
      <c r="W102" s="219">
        <v>1941.463013</v>
      </c>
      <c r="X102" s="219">
        <v>1990.3642580000001</v>
      </c>
      <c r="Y102" s="219">
        <v>2038.4373780000001</v>
      </c>
      <c r="Z102" s="219">
        <v>2085.6875</v>
      </c>
      <c r="AA102" s="219">
        <v>2134.0048830000001</v>
      </c>
      <c r="AB102" s="219">
        <v>2185.8969729999999</v>
      </c>
      <c r="AC102" s="219">
        <v>2238.836182</v>
      </c>
      <c r="AD102" s="219">
        <v>2292.3554690000001</v>
      </c>
      <c r="AE102" s="219">
        <v>2350.2690429999998</v>
      </c>
      <c r="AF102" s="212">
        <v>2.513E-2</v>
      </c>
      <c r="AG102" s="31"/>
    </row>
    <row r="103" spans="1:33">
      <c r="A103" s="30" t="s">
        <v>865</v>
      </c>
      <c r="B103" s="210" t="s">
        <v>287</v>
      </c>
      <c r="C103" s="219">
        <v>771.93774399999995</v>
      </c>
      <c r="D103" s="219">
        <v>826.14868200000001</v>
      </c>
      <c r="E103" s="219">
        <v>834.42144800000005</v>
      </c>
      <c r="F103" s="219">
        <v>837.44964600000003</v>
      </c>
      <c r="G103" s="219">
        <v>855.71820100000002</v>
      </c>
      <c r="H103" s="219">
        <v>873.71917699999995</v>
      </c>
      <c r="I103" s="219">
        <v>889.59252900000001</v>
      </c>
      <c r="J103" s="219">
        <v>902.71167000000003</v>
      </c>
      <c r="K103" s="219">
        <v>913.31073000000004</v>
      </c>
      <c r="L103" s="219">
        <v>924.53289800000005</v>
      </c>
      <c r="M103" s="219">
        <v>940.21234100000004</v>
      </c>
      <c r="N103" s="219">
        <v>958.47662400000002</v>
      </c>
      <c r="O103" s="219">
        <v>976.56652799999995</v>
      </c>
      <c r="P103" s="219">
        <v>994.93957499999999</v>
      </c>
      <c r="Q103" s="219">
        <v>1015.342712</v>
      </c>
      <c r="R103" s="219">
        <v>1037.7301030000001</v>
      </c>
      <c r="S103" s="219">
        <v>1061.099976</v>
      </c>
      <c r="T103" s="219">
        <v>1084.865845</v>
      </c>
      <c r="U103" s="219">
        <v>1111.9262699999999</v>
      </c>
      <c r="V103" s="219">
        <v>1138.9233400000001</v>
      </c>
      <c r="W103" s="219">
        <v>1166.5638429999999</v>
      </c>
      <c r="X103" s="219">
        <v>1195.170044</v>
      </c>
      <c r="Y103" s="219">
        <v>1223.1854249999999</v>
      </c>
      <c r="Z103" s="219">
        <v>1250.6136469999999</v>
      </c>
      <c r="AA103" s="219">
        <v>1278.6414789999999</v>
      </c>
      <c r="AB103" s="219">
        <v>1308.838501</v>
      </c>
      <c r="AC103" s="219">
        <v>1339.61499</v>
      </c>
      <c r="AD103" s="219">
        <v>1370.6759030000001</v>
      </c>
      <c r="AE103" s="219">
        <v>1404.4072269999999</v>
      </c>
      <c r="AF103" s="212">
        <v>2.1604000000000002E-2</v>
      </c>
      <c r="AG103" s="31"/>
    </row>
    <row r="104" spans="1:33">
      <c r="A104" s="30" t="s">
        <v>866</v>
      </c>
      <c r="B104" s="210" t="s">
        <v>288</v>
      </c>
      <c r="C104" s="219">
        <v>291.44287100000003</v>
      </c>
      <c r="D104" s="219">
        <v>376.62927200000001</v>
      </c>
      <c r="E104" s="219">
        <v>410.72482300000001</v>
      </c>
      <c r="F104" s="219">
        <v>417.44140599999997</v>
      </c>
      <c r="G104" s="219">
        <v>427.931152</v>
      </c>
      <c r="H104" s="219">
        <v>438.36691300000001</v>
      </c>
      <c r="I104" s="219">
        <v>447.951843</v>
      </c>
      <c r="J104" s="219">
        <v>456.40588400000001</v>
      </c>
      <c r="K104" s="219">
        <v>463.81881700000002</v>
      </c>
      <c r="L104" s="219">
        <v>471.540344</v>
      </c>
      <c r="M104" s="219">
        <v>481.249573</v>
      </c>
      <c r="N104" s="219">
        <v>492.14892600000002</v>
      </c>
      <c r="O104" s="219">
        <v>503.03637700000002</v>
      </c>
      <c r="P104" s="219">
        <v>514.11279300000001</v>
      </c>
      <c r="Q104" s="219">
        <v>526.15240500000004</v>
      </c>
      <c r="R104" s="219">
        <v>539.14410399999997</v>
      </c>
      <c r="S104" s="219">
        <v>552.65191700000003</v>
      </c>
      <c r="T104" s="219">
        <v>566.41955600000006</v>
      </c>
      <c r="U104" s="219">
        <v>581.76110800000004</v>
      </c>
      <c r="V104" s="219">
        <v>597.17816200000004</v>
      </c>
      <c r="W104" s="219">
        <v>612.99054000000001</v>
      </c>
      <c r="X104" s="219">
        <v>629.34680200000003</v>
      </c>
      <c r="Y104" s="219">
        <v>645.55127000000005</v>
      </c>
      <c r="Z104" s="219">
        <v>661.60510299999999</v>
      </c>
      <c r="AA104" s="219">
        <v>678.04516599999999</v>
      </c>
      <c r="AB104" s="219">
        <v>695.58856200000002</v>
      </c>
      <c r="AC104" s="219">
        <v>713.52148399999999</v>
      </c>
      <c r="AD104" s="219">
        <v>731.71319600000004</v>
      </c>
      <c r="AE104" s="219">
        <v>751.25647000000004</v>
      </c>
      <c r="AF104" s="212">
        <v>3.4396000000000003E-2</v>
      </c>
      <c r="AG104" s="31"/>
    </row>
    <row r="105" spans="1:33">
      <c r="A105" s="30" t="s">
        <v>867</v>
      </c>
      <c r="B105" s="210" t="s">
        <v>289</v>
      </c>
      <c r="C105" s="219">
        <v>109.65400700000001</v>
      </c>
      <c r="D105" s="219">
        <v>115.916664</v>
      </c>
      <c r="E105" s="219">
        <v>116.46487399999999</v>
      </c>
      <c r="F105" s="219">
        <v>116.764183</v>
      </c>
      <c r="G105" s="219">
        <v>119.278656</v>
      </c>
      <c r="H105" s="219">
        <v>121.753967</v>
      </c>
      <c r="I105" s="219">
        <v>123.927666</v>
      </c>
      <c r="J105" s="219">
        <v>125.71165499999999</v>
      </c>
      <c r="K105" s="219">
        <v>127.139191</v>
      </c>
      <c r="L105" s="219">
        <v>128.65365600000001</v>
      </c>
      <c r="M105" s="219">
        <v>130.79510500000001</v>
      </c>
      <c r="N105" s="219">
        <v>133.299286</v>
      </c>
      <c r="O105" s="219">
        <v>135.77739</v>
      </c>
      <c r="P105" s="219">
        <v>138.29380800000001</v>
      </c>
      <c r="Q105" s="219">
        <v>141.09445199999999</v>
      </c>
      <c r="R105" s="219">
        <v>144.172653</v>
      </c>
      <c r="S105" s="219">
        <v>147.387192</v>
      </c>
      <c r="T105" s="219">
        <v>150.655472</v>
      </c>
      <c r="U105" s="219">
        <v>154.38471999999999</v>
      </c>
      <c r="V105" s="219">
        <v>158.1026</v>
      </c>
      <c r="W105" s="219">
        <v>161.908447</v>
      </c>
      <c r="X105" s="219">
        <v>165.847443</v>
      </c>
      <c r="Y105" s="219">
        <v>169.700684</v>
      </c>
      <c r="Z105" s="219">
        <v>173.46878100000001</v>
      </c>
      <c r="AA105" s="219">
        <v>177.318344</v>
      </c>
      <c r="AB105" s="219">
        <v>181.46984900000001</v>
      </c>
      <c r="AC105" s="219">
        <v>185.699783</v>
      </c>
      <c r="AD105" s="219">
        <v>189.96658300000001</v>
      </c>
      <c r="AE105" s="219">
        <v>194.60526999999999</v>
      </c>
      <c r="AF105" s="212">
        <v>2.0698999999999999E-2</v>
      </c>
      <c r="AG105" s="31"/>
    </row>
    <row r="106" spans="1:33">
      <c r="A106" s="30" t="s">
        <v>868</v>
      </c>
      <c r="B106" s="210" t="s">
        <v>290</v>
      </c>
      <c r="C106" s="219">
        <v>97.788550999999998</v>
      </c>
      <c r="D106" s="219">
        <v>116.537071</v>
      </c>
      <c r="E106" s="219">
        <v>129.851135</v>
      </c>
      <c r="F106" s="219">
        <v>138.94378699999999</v>
      </c>
      <c r="G106" s="219">
        <v>146.62851000000001</v>
      </c>
      <c r="H106" s="219">
        <v>153.51113900000001</v>
      </c>
      <c r="I106" s="219">
        <v>156.930206</v>
      </c>
      <c r="J106" s="219">
        <v>160.421234</v>
      </c>
      <c r="K106" s="219">
        <v>163.97563199999999</v>
      </c>
      <c r="L106" s="219">
        <v>167.596069</v>
      </c>
      <c r="M106" s="219">
        <v>171.27801500000001</v>
      </c>
      <c r="N106" s="219">
        <v>175.01597599999999</v>
      </c>
      <c r="O106" s="219">
        <v>178.81019599999999</v>
      </c>
      <c r="P106" s="219">
        <v>182.661438</v>
      </c>
      <c r="Q106" s="219">
        <v>186.56987000000001</v>
      </c>
      <c r="R106" s="219">
        <v>190.536957</v>
      </c>
      <c r="S106" s="219">
        <v>194.563095</v>
      </c>
      <c r="T106" s="219">
        <v>198.65008499999999</v>
      </c>
      <c r="U106" s="219">
        <v>202.795197</v>
      </c>
      <c r="V106" s="219">
        <v>207.00029000000001</v>
      </c>
      <c r="W106" s="219">
        <v>211.267471</v>
      </c>
      <c r="X106" s="219">
        <v>215.59639000000001</v>
      </c>
      <c r="Y106" s="219">
        <v>219.99505600000001</v>
      </c>
      <c r="Z106" s="219">
        <v>224.46772799999999</v>
      </c>
      <c r="AA106" s="219">
        <v>229.01632699999999</v>
      </c>
      <c r="AB106" s="219">
        <v>233.64376799999999</v>
      </c>
      <c r="AC106" s="219">
        <v>238.35256999999999</v>
      </c>
      <c r="AD106" s="219">
        <v>243.14686599999999</v>
      </c>
      <c r="AE106" s="219">
        <v>248.029572</v>
      </c>
      <c r="AF106" s="212">
        <v>3.3799000000000003E-2</v>
      </c>
      <c r="AG106" s="31"/>
    </row>
    <row r="107" spans="1:33">
      <c r="A107" s="30" t="s">
        <v>869</v>
      </c>
      <c r="B107" s="210" t="s">
        <v>287</v>
      </c>
      <c r="C107" s="219">
        <v>46.483733999999998</v>
      </c>
      <c r="D107" s="219">
        <v>52.576613999999999</v>
      </c>
      <c r="E107" s="219">
        <v>56.012763999999997</v>
      </c>
      <c r="F107" s="219">
        <v>58.483322000000001</v>
      </c>
      <c r="G107" s="219">
        <v>60.800694</v>
      </c>
      <c r="H107" s="219">
        <v>62.895470000000003</v>
      </c>
      <c r="I107" s="219">
        <v>64.119736000000003</v>
      </c>
      <c r="J107" s="219">
        <v>65.371596999999994</v>
      </c>
      <c r="K107" s="219">
        <v>66.645554000000004</v>
      </c>
      <c r="L107" s="219">
        <v>67.943336000000002</v>
      </c>
      <c r="M107" s="219">
        <v>69.261993000000004</v>
      </c>
      <c r="N107" s="219">
        <v>70.597969000000006</v>
      </c>
      <c r="O107" s="219">
        <v>71.951194999999998</v>
      </c>
      <c r="P107" s="219">
        <v>73.321762000000007</v>
      </c>
      <c r="Q107" s="219">
        <v>74.709625000000003</v>
      </c>
      <c r="R107" s="219">
        <v>76.115097000000006</v>
      </c>
      <c r="S107" s="219">
        <v>77.538216000000006</v>
      </c>
      <c r="T107" s="219">
        <v>78.979500000000002</v>
      </c>
      <c r="U107" s="219">
        <v>80.436768000000001</v>
      </c>
      <c r="V107" s="219">
        <v>81.911124999999998</v>
      </c>
      <c r="W107" s="219">
        <v>83.403251999999995</v>
      </c>
      <c r="X107" s="219">
        <v>84.912941000000004</v>
      </c>
      <c r="Y107" s="219">
        <v>86.442954999999998</v>
      </c>
      <c r="Z107" s="219">
        <v>87.994750999999994</v>
      </c>
      <c r="AA107" s="219">
        <v>89.568877999999998</v>
      </c>
      <c r="AB107" s="219">
        <v>91.166283000000007</v>
      </c>
      <c r="AC107" s="219">
        <v>92.787719999999993</v>
      </c>
      <c r="AD107" s="219">
        <v>94.434532000000004</v>
      </c>
      <c r="AE107" s="219">
        <v>96.107642999999996</v>
      </c>
      <c r="AF107" s="212">
        <v>2.6280999999999999E-2</v>
      </c>
      <c r="AG107" s="31"/>
    </row>
    <row r="108" spans="1:33">
      <c r="A108" s="30" t="s">
        <v>870</v>
      </c>
      <c r="B108" s="210" t="s">
        <v>288</v>
      </c>
      <c r="C108" s="219">
        <v>44.320006999999997</v>
      </c>
      <c r="D108" s="219">
        <v>56.016773000000001</v>
      </c>
      <c r="E108" s="219">
        <v>65.242180000000005</v>
      </c>
      <c r="F108" s="219">
        <v>71.493279000000001</v>
      </c>
      <c r="G108" s="219">
        <v>76.510611999999995</v>
      </c>
      <c r="H108" s="219">
        <v>80.981887999999998</v>
      </c>
      <c r="I108" s="219">
        <v>82.990195999999997</v>
      </c>
      <c r="J108" s="219">
        <v>85.038689000000005</v>
      </c>
      <c r="K108" s="219">
        <v>87.125076000000007</v>
      </c>
      <c r="L108" s="219">
        <v>89.250031000000007</v>
      </c>
      <c r="M108" s="219">
        <v>91.412482999999995</v>
      </c>
      <c r="N108" s="219">
        <v>93.610962000000001</v>
      </c>
      <c r="O108" s="219">
        <v>95.845900999999998</v>
      </c>
      <c r="P108" s="219">
        <v>98.117858999999996</v>
      </c>
      <c r="Q108" s="219">
        <v>100.427132</v>
      </c>
      <c r="R108" s="219">
        <v>102.77475</v>
      </c>
      <c r="S108" s="219">
        <v>105.161118</v>
      </c>
      <c r="T108" s="219">
        <v>107.58744</v>
      </c>
      <c r="U108" s="219">
        <v>110.053513</v>
      </c>
      <c r="V108" s="219">
        <v>112.55989099999999</v>
      </c>
      <c r="W108" s="219">
        <v>115.107895</v>
      </c>
      <c r="X108" s="219">
        <v>117.697464</v>
      </c>
      <c r="Y108" s="219">
        <v>120.33337400000001</v>
      </c>
      <c r="Z108" s="219">
        <v>123.01821099999999</v>
      </c>
      <c r="AA108" s="219">
        <v>125.753281</v>
      </c>
      <c r="AB108" s="219">
        <v>128.54042100000001</v>
      </c>
      <c r="AC108" s="219">
        <v>131.38125600000001</v>
      </c>
      <c r="AD108" s="219">
        <v>134.27836600000001</v>
      </c>
      <c r="AE108" s="219">
        <v>137.233643</v>
      </c>
      <c r="AF108" s="212">
        <v>4.1191999999999999E-2</v>
      </c>
      <c r="AG108" s="31"/>
    </row>
    <row r="109" spans="1:33">
      <c r="A109" s="30" t="s">
        <v>871</v>
      </c>
      <c r="B109" s="210" t="s">
        <v>289</v>
      </c>
      <c r="C109" s="219">
        <v>6.9848179999999997</v>
      </c>
      <c r="D109" s="219">
        <v>7.9436809999999998</v>
      </c>
      <c r="E109" s="219">
        <v>8.5961859999999994</v>
      </c>
      <c r="F109" s="219">
        <v>8.9671769999999995</v>
      </c>
      <c r="G109" s="219">
        <v>9.3172130000000006</v>
      </c>
      <c r="H109" s="219">
        <v>9.6337810000000008</v>
      </c>
      <c r="I109" s="219">
        <v>9.8202590000000001</v>
      </c>
      <c r="J109" s="219">
        <v>10.010951</v>
      </c>
      <c r="K109" s="219">
        <v>10.205007999999999</v>
      </c>
      <c r="L109" s="219">
        <v>10.402691000000001</v>
      </c>
      <c r="M109" s="219">
        <v>10.603547000000001</v>
      </c>
      <c r="N109" s="219">
        <v>10.807024</v>
      </c>
      <c r="O109" s="219">
        <v>11.013108000000001</v>
      </c>
      <c r="P109" s="219">
        <v>11.221814</v>
      </c>
      <c r="Q109" s="219">
        <v>11.433130999999999</v>
      </c>
      <c r="R109" s="219">
        <v>11.647105</v>
      </c>
      <c r="S109" s="219">
        <v>11.863749</v>
      </c>
      <c r="T109" s="219">
        <v>12.083130000000001</v>
      </c>
      <c r="U109" s="219">
        <v>12.304914999999999</v>
      </c>
      <c r="V109" s="219">
        <v>12.529273999999999</v>
      </c>
      <c r="W109" s="219">
        <v>12.756309</v>
      </c>
      <c r="X109" s="219">
        <v>12.985987</v>
      </c>
      <c r="Y109" s="219">
        <v>13.218731</v>
      </c>
      <c r="Z109" s="219">
        <v>13.45476</v>
      </c>
      <c r="AA109" s="219">
        <v>13.694159000000001</v>
      </c>
      <c r="AB109" s="219">
        <v>13.937068</v>
      </c>
      <c r="AC109" s="219">
        <v>14.183602</v>
      </c>
      <c r="AD109" s="219">
        <v>14.433968999999999</v>
      </c>
      <c r="AE109" s="219">
        <v>14.688302999999999</v>
      </c>
      <c r="AF109" s="212">
        <v>2.6901999999999999E-2</v>
      </c>
      <c r="AG109" s="31"/>
    </row>
    <row r="110" spans="1:33">
      <c r="A110" s="30" t="s">
        <v>872</v>
      </c>
      <c r="B110" s="210" t="s">
        <v>873</v>
      </c>
      <c r="C110" s="219">
        <v>99.841224999999994</v>
      </c>
      <c r="D110" s="219">
        <v>121.38716100000001</v>
      </c>
      <c r="E110" s="219">
        <v>140.14009100000001</v>
      </c>
      <c r="F110" s="219">
        <v>151.262756</v>
      </c>
      <c r="G110" s="219">
        <v>161.67996199999999</v>
      </c>
      <c r="H110" s="219">
        <v>169.41802999999999</v>
      </c>
      <c r="I110" s="219">
        <v>176.163284</v>
      </c>
      <c r="J110" s="219">
        <v>182.32843</v>
      </c>
      <c r="K110" s="219">
        <v>188.683502</v>
      </c>
      <c r="L110" s="219">
        <v>195.21624800000001</v>
      </c>
      <c r="M110" s="219">
        <v>201.96676600000001</v>
      </c>
      <c r="N110" s="219">
        <v>208.904144</v>
      </c>
      <c r="O110" s="219">
        <v>216.03270000000001</v>
      </c>
      <c r="P110" s="219">
        <v>223.35351600000001</v>
      </c>
      <c r="Q110" s="219">
        <v>230.84750399999999</v>
      </c>
      <c r="R110" s="219">
        <v>238.536697</v>
      </c>
      <c r="S110" s="219">
        <v>246.42671200000001</v>
      </c>
      <c r="T110" s="219">
        <v>254.52114900000001</v>
      </c>
      <c r="U110" s="219">
        <v>262.81677200000001</v>
      </c>
      <c r="V110" s="219">
        <v>271.26284800000002</v>
      </c>
      <c r="W110" s="219">
        <v>279.914154</v>
      </c>
      <c r="X110" s="219">
        <v>288.77542099999999</v>
      </c>
      <c r="Y110" s="219">
        <v>297.85025000000002</v>
      </c>
      <c r="Z110" s="219">
        <v>307.14016700000002</v>
      </c>
      <c r="AA110" s="219">
        <v>316.583099</v>
      </c>
      <c r="AB110" s="219">
        <v>326.23324600000001</v>
      </c>
      <c r="AC110" s="219">
        <v>336.11285400000003</v>
      </c>
      <c r="AD110" s="219">
        <v>346.24740600000001</v>
      </c>
      <c r="AE110" s="219">
        <v>356.65838600000001</v>
      </c>
      <c r="AF110" s="212">
        <v>4.6521E-2</v>
      </c>
      <c r="AG110" s="31"/>
    </row>
    <row r="111" spans="1:33">
      <c r="A111" s="30" t="s">
        <v>874</v>
      </c>
      <c r="B111" s="210" t="s">
        <v>287</v>
      </c>
      <c r="C111" s="219">
        <v>69.764510999999999</v>
      </c>
      <c r="D111" s="219">
        <v>84.004554999999996</v>
      </c>
      <c r="E111" s="219">
        <v>96.466919000000004</v>
      </c>
      <c r="F111" s="219">
        <v>103.140091</v>
      </c>
      <c r="G111" s="219">
        <v>109.625092</v>
      </c>
      <c r="H111" s="219">
        <v>114.665237</v>
      </c>
      <c r="I111" s="219">
        <v>119.181656</v>
      </c>
      <c r="J111" s="219">
        <v>123.406693</v>
      </c>
      <c r="K111" s="219">
        <v>127.766006</v>
      </c>
      <c r="L111" s="219">
        <v>132.25155599999999</v>
      </c>
      <c r="M111" s="219">
        <v>136.891357</v>
      </c>
      <c r="N111" s="219">
        <v>141.66313199999999</v>
      </c>
      <c r="O111" s="219">
        <v>146.57012900000001</v>
      </c>
      <c r="P111" s="219">
        <v>151.61326600000001</v>
      </c>
      <c r="Q111" s="219">
        <v>156.778717</v>
      </c>
      <c r="R111" s="219">
        <v>162.08247399999999</v>
      </c>
      <c r="S111" s="219">
        <v>167.52858000000001</v>
      </c>
      <c r="T111" s="219">
        <v>173.11968999999999</v>
      </c>
      <c r="U111" s="219">
        <v>178.852982</v>
      </c>
      <c r="V111" s="219">
        <v>184.691833</v>
      </c>
      <c r="W111" s="219">
        <v>190.676163</v>
      </c>
      <c r="X111" s="219">
        <v>196.80931100000001</v>
      </c>
      <c r="Y111" s="219">
        <v>203.09402499999999</v>
      </c>
      <c r="Z111" s="219">
        <v>209.53149400000001</v>
      </c>
      <c r="AA111" s="219">
        <v>216.077438</v>
      </c>
      <c r="AB111" s="219">
        <v>222.77117899999999</v>
      </c>
      <c r="AC111" s="219">
        <v>229.627655</v>
      </c>
      <c r="AD111" s="219">
        <v>236.664062</v>
      </c>
      <c r="AE111" s="219">
        <v>243.894913</v>
      </c>
      <c r="AF111" s="212">
        <v>4.5713999999999998E-2</v>
      </c>
      <c r="AG111" s="31"/>
    </row>
    <row r="112" spans="1:33">
      <c r="A112" s="30" t="s">
        <v>875</v>
      </c>
      <c r="B112" s="210" t="s">
        <v>288</v>
      </c>
      <c r="C112" s="219">
        <v>22.082386</v>
      </c>
      <c r="D112" s="219">
        <v>27.943691000000001</v>
      </c>
      <c r="E112" s="219">
        <v>32.981406999999997</v>
      </c>
      <c r="F112" s="219">
        <v>36.874682999999997</v>
      </c>
      <c r="G112" s="219">
        <v>40.216048999999998</v>
      </c>
      <c r="H112" s="219">
        <v>42.408810000000003</v>
      </c>
      <c r="I112" s="219">
        <v>44.160705999999998</v>
      </c>
      <c r="J112" s="219">
        <v>45.636051000000002</v>
      </c>
      <c r="K112" s="219">
        <v>47.151519999999998</v>
      </c>
      <c r="L112" s="219">
        <v>48.703654999999998</v>
      </c>
      <c r="M112" s="219">
        <v>50.301430000000003</v>
      </c>
      <c r="N112" s="219">
        <v>51.938842999999999</v>
      </c>
      <c r="O112" s="219">
        <v>53.616570000000003</v>
      </c>
      <c r="P112" s="219">
        <v>55.334595</v>
      </c>
      <c r="Q112" s="219">
        <v>57.089325000000002</v>
      </c>
      <c r="R112" s="219">
        <v>58.884922000000003</v>
      </c>
      <c r="S112" s="219">
        <v>60.722434999999997</v>
      </c>
      <c r="T112" s="219">
        <v>62.602508999999998</v>
      </c>
      <c r="U112" s="219">
        <v>64.525108000000003</v>
      </c>
      <c r="V112" s="219">
        <v>66.480514999999997</v>
      </c>
      <c r="W112" s="219">
        <v>68.478851000000006</v>
      </c>
      <c r="X112" s="219">
        <v>70.520927</v>
      </c>
      <c r="Y112" s="219">
        <v>72.607429999999994</v>
      </c>
      <c r="Z112" s="219">
        <v>74.738403000000005</v>
      </c>
      <c r="AA112" s="219">
        <v>76.901359999999997</v>
      </c>
      <c r="AB112" s="219">
        <v>79.106399999999994</v>
      </c>
      <c r="AC112" s="219">
        <v>81.359183999999999</v>
      </c>
      <c r="AD112" s="219">
        <v>83.666259999999994</v>
      </c>
      <c r="AE112" s="219">
        <v>86.032966999999999</v>
      </c>
      <c r="AF112" s="212">
        <v>4.9768E-2</v>
      </c>
      <c r="AG112" s="31"/>
    </row>
    <row r="113" spans="1:33">
      <c r="A113" s="30" t="s">
        <v>876</v>
      </c>
      <c r="B113" s="210" t="s">
        <v>289</v>
      </c>
      <c r="C113" s="219">
        <v>7.9943369999999998</v>
      </c>
      <c r="D113" s="219">
        <v>9.4389260000000004</v>
      </c>
      <c r="E113" s="219">
        <v>10.691757000000001</v>
      </c>
      <c r="F113" s="219">
        <v>11.247966999999999</v>
      </c>
      <c r="G113" s="219">
        <v>11.838803</v>
      </c>
      <c r="H113" s="219">
        <v>12.343989000000001</v>
      </c>
      <c r="I113" s="219">
        <v>12.820919</v>
      </c>
      <c r="J113" s="219">
        <v>13.285686999999999</v>
      </c>
      <c r="K113" s="219">
        <v>13.765993</v>
      </c>
      <c r="L113" s="219">
        <v>14.261029000000001</v>
      </c>
      <c r="M113" s="219">
        <v>14.773972000000001</v>
      </c>
      <c r="N113" s="219">
        <v>15.302161999999999</v>
      </c>
      <c r="O113" s="219">
        <v>15.846017</v>
      </c>
      <c r="P113" s="219">
        <v>16.405667999999999</v>
      </c>
      <c r="Q113" s="219">
        <v>16.97946</v>
      </c>
      <c r="R113" s="219">
        <v>17.569309000000001</v>
      </c>
      <c r="S113" s="219">
        <v>18.175705000000001</v>
      </c>
      <c r="T113" s="219">
        <v>18.798973</v>
      </c>
      <c r="U113" s="219">
        <v>19.438686000000001</v>
      </c>
      <c r="V113" s="219">
        <v>20.090475000000001</v>
      </c>
      <c r="W113" s="219">
        <v>20.759160999999999</v>
      </c>
      <c r="X113" s="219">
        <v>21.445156000000001</v>
      </c>
      <c r="Y113" s="219">
        <v>22.148788</v>
      </c>
      <c r="Z113" s="219">
        <v>22.870235000000001</v>
      </c>
      <c r="AA113" s="219">
        <v>23.604284</v>
      </c>
      <c r="AB113" s="219">
        <v>24.355677</v>
      </c>
      <c r="AC113" s="219">
        <v>25.126003000000001</v>
      </c>
      <c r="AD113" s="219">
        <v>25.917096999999998</v>
      </c>
      <c r="AE113" s="219">
        <v>26.730518</v>
      </c>
      <c r="AF113" s="212">
        <v>4.4052000000000001E-2</v>
      </c>
      <c r="AG113" s="31"/>
    </row>
    <row r="114" spans="1:33">
      <c r="A114" s="30" t="s">
        <v>877</v>
      </c>
      <c r="B114" s="210" t="s">
        <v>878</v>
      </c>
      <c r="C114" s="219">
        <v>877.59985400000005</v>
      </c>
      <c r="D114" s="219">
        <v>1119.4864500000001</v>
      </c>
      <c r="E114" s="219">
        <v>1274.9530030000001</v>
      </c>
      <c r="F114" s="219">
        <v>1333.865112</v>
      </c>
      <c r="G114" s="219">
        <v>1422.423706</v>
      </c>
      <c r="H114" s="219">
        <v>1452.9285890000001</v>
      </c>
      <c r="I114" s="219">
        <v>1483.7619629999999</v>
      </c>
      <c r="J114" s="219">
        <v>1515.0489500000001</v>
      </c>
      <c r="K114" s="219">
        <v>1546.865112</v>
      </c>
      <c r="L114" s="219">
        <v>1579.2467039999999</v>
      </c>
      <c r="M114" s="219">
        <v>1612.2222899999999</v>
      </c>
      <c r="N114" s="219">
        <v>1645.8079829999999</v>
      </c>
      <c r="O114" s="219">
        <v>1679.958496</v>
      </c>
      <c r="P114" s="219">
        <v>1714.6062010000001</v>
      </c>
      <c r="Q114" s="219">
        <v>1749.828857</v>
      </c>
      <c r="R114" s="219">
        <v>1785.697144</v>
      </c>
      <c r="S114" s="219">
        <v>1822.179932</v>
      </c>
      <c r="T114" s="219">
        <v>1859.2739260000001</v>
      </c>
      <c r="U114" s="219">
        <v>1897.0032960000001</v>
      </c>
      <c r="V114" s="219">
        <v>1935.334351</v>
      </c>
      <c r="W114" s="219">
        <v>1974.259033</v>
      </c>
      <c r="X114" s="219">
        <v>2013.7669679999999</v>
      </c>
      <c r="Y114" s="219">
        <v>2053.8469239999999</v>
      </c>
      <c r="Z114" s="219">
        <v>2094.4934079999998</v>
      </c>
      <c r="AA114" s="219">
        <v>2135.6967770000001</v>
      </c>
      <c r="AB114" s="219">
        <v>2177.4594729999999</v>
      </c>
      <c r="AC114" s="219">
        <v>2219.830078</v>
      </c>
      <c r="AD114" s="219">
        <v>2262.873047</v>
      </c>
      <c r="AE114" s="219">
        <v>2306.6342770000001</v>
      </c>
      <c r="AF114" s="212">
        <v>3.5115E-2</v>
      </c>
      <c r="AG114" s="31"/>
    </row>
    <row r="115" spans="1:33">
      <c r="A115" s="30" t="s">
        <v>879</v>
      </c>
      <c r="B115" s="210" t="s">
        <v>287</v>
      </c>
      <c r="C115" s="219">
        <v>457.99380500000001</v>
      </c>
      <c r="D115" s="219">
        <v>580.28509499999996</v>
      </c>
      <c r="E115" s="219">
        <v>654.986267</v>
      </c>
      <c r="F115" s="219">
        <v>680.76531999999997</v>
      </c>
      <c r="G115" s="219">
        <v>711.43078600000001</v>
      </c>
      <c r="H115" s="219">
        <v>727.30053699999996</v>
      </c>
      <c r="I115" s="219">
        <v>743.324524</v>
      </c>
      <c r="J115" s="219">
        <v>759.58312999999998</v>
      </c>
      <c r="K115" s="219">
        <v>776.12072799999999</v>
      </c>
      <c r="L115" s="219">
        <v>792.95568800000001</v>
      </c>
      <c r="M115" s="219">
        <v>810.10845900000004</v>
      </c>
      <c r="N115" s="219">
        <v>827.59625200000005</v>
      </c>
      <c r="O115" s="219">
        <v>845.394409</v>
      </c>
      <c r="P115" s="219">
        <v>863.46362299999998</v>
      </c>
      <c r="Q115" s="219">
        <v>881.85449200000005</v>
      </c>
      <c r="R115" s="219">
        <v>900.60906999999997</v>
      </c>
      <c r="S115" s="219">
        <v>919.70696999999996</v>
      </c>
      <c r="T115" s="219">
        <v>939.14758300000005</v>
      </c>
      <c r="U115" s="219">
        <v>958.95074499999998</v>
      </c>
      <c r="V115" s="219">
        <v>979.09222399999999</v>
      </c>
      <c r="W115" s="219">
        <v>999.56774900000005</v>
      </c>
      <c r="X115" s="219">
        <v>1020.372314</v>
      </c>
      <c r="Y115" s="219">
        <v>1041.499268</v>
      </c>
      <c r="Z115" s="219">
        <v>1062.9472659999999</v>
      </c>
      <c r="AA115" s="219">
        <v>1084.717163</v>
      </c>
      <c r="AB115" s="219">
        <v>1106.8122559999999</v>
      </c>
      <c r="AC115" s="219">
        <v>1129.258789</v>
      </c>
      <c r="AD115" s="219">
        <v>1152.091797</v>
      </c>
      <c r="AE115" s="219">
        <v>1175.3342290000001</v>
      </c>
      <c r="AF115" s="212">
        <v>3.4231999999999999E-2</v>
      </c>
      <c r="AG115" s="31"/>
    </row>
    <row r="116" spans="1:33">
      <c r="A116" s="30" t="s">
        <v>880</v>
      </c>
      <c r="B116" s="210" t="s">
        <v>288</v>
      </c>
      <c r="C116" s="219">
        <v>384.73519900000002</v>
      </c>
      <c r="D116" s="219">
        <v>494.32092299999999</v>
      </c>
      <c r="E116" s="219">
        <v>568.28112799999997</v>
      </c>
      <c r="F116" s="219">
        <v>599.45251499999995</v>
      </c>
      <c r="G116" s="219">
        <v>655.16479500000003</v>
      </c>
      <c r="H116" s="219">
        <v>668.54449499999998</v>
      </c>
      <c r="I116" s="219">
        <v>682.08648700000003</v>
      </c>
      <c r="J116" s="219">
        <v>695.82885699999997</v>
      </c>
      <c r="K116" s="219">
        <v>709.79925500000002</v>
      </c>
      <c r="L116" s="219">
        <v>724.01422100000002</v>
      </c>
      <c r="M116" s="219">
        <v>738.48004200000003</v>
      </c>
      <c r="N116" s="219">
        <v>753.19427499999995</v>
      </c>
      <c r="O116" s="219">
        <v>768.13793899999996</v>
      </c>
      <c r="P116" s="219">
        <v>783.28631600000006</v>
      </c>
      <c r="Q116" s="219">
        <v>798.66192599999999</v>
      </c>
      <c r="R116" s="219">
        <v>814.29058799999996</v>
      </c>
      <c r="S116" s="219">
        <v>830.162598</v>
      </c>
      <c r="T116" s="219">
        <v>846.27569600000004</v>
      </c>
      <c r="U116" s="219">
        <v>862.63250700000003</v>
      </c>
      <c r="V116" s="219">
        <v>879.22540300000003</v>
      </c>
      <c r="W116" s="219">
        <v>896.05114700000001</v>
      </c>
      <c r="X116" s="219">
        <v>913.104736</v>
      </c>
      <c r="Y116" s="219">
        <v>930.38195800000005</v>
      </c>
      <c r="Z116" s="219">
        <v>947.878601</v>
      </c>
      <c r="AA116" s="219">
        <v>965.584473</v>
      </c>
      <c r="AB116" s="219">
        <v>983.49823000000004</v>
      </c>
      <c r="AC116" s="219">
        <v>1001.6401980000001</v>
      </c>
      <c r="AD116" s="219">
        <v>1020.036865</v>
      </c>
      <c r="AE116" s="219">
        <v>1038.7089840000001</v>
      </c>
      <c r="AF116" s="212">
        <v>3.6107E-2</v>
      </c>
      <c r="AG116" s="31"/>
    </row>
    <row r="117" spans="1:33" ht="15" customHeight="1">
      <c r="A117" s="30" t="s">
        <v>881</v>
      </c>
      <c r="B117" s="210" t="s">
        <v>289</v>
      </c>
      <c r="C117" s="221">
        <v>34.870902999999998</v>
      </c>
      <c r="D117" s="221">
        <v>44.880547</v>
      </c>
      <c r="E117" s="221">
        <v>51.685589</v>
      </c>
      <c r="F117" s="221">
        <v>53.647475999999997</v>
      </c>
      <c r="G117" s="221">
        <v>55.828116999999999</v>
      </c>
      <c r="H117" s="221">
        <v>57.083621999999998</v>
      </c>
      <c r="I117" s="221">
        <v>58.351047999999999</v>
      </c>
      <c r="J117" s="221">
        <v>59.637023999999997</v>
      </c>
      <c r="K117" s="221">
        <v>60.945126000000002</v>
      </c>
      <c r="L117" s="221">
        <v>62.276809999999998</v>
      </c>
      <c r="M117" s="221">
        <v>63.633769999999998</v>
      </c>
      <c r="N117" s="221">
        <v>65.017516999999998</v>
      </c>
      <c r="O117" s="221">
        <v>66.426085999999998</v>
      </c>
      <c r="P117" s="221">
        <v>67.856292999999994</v>
      </c>
      <c r="Q117" s="221">
        <v>69.312302000000003</v>
      </c>
      <c r="R117" s="221">
        <v>70.797531000000006</v>
      </c>
      <c r="S117" s="221">
        <v>72.310294999999996</v>
      </c>
      <c r="T117" s="221">
        <v>73.850562999999994</v>
      </c>
      <c r="U117" s="221">
        <v>75.420029</v>
      </c>
      <c r="V117" s="221">
        <v>77.016670000000005</v>
      </c>
      <c r="W117" s="221">
        <v>78.640129000000002</v>
      </c>
      <c r="X117" s="221">
        <v>80.290030999999999</v>
      </c>
      <c r="Y117" s="221">
        <v>81.965835999999996</v>
      </c>
      <c r="Z117" s="221">
        <v>83.667450000000002</v>
      </c>
      <c r="AA117" s="221">
        <v>85.395065000000002</v>
      </c>
      <c r="AB117" s="221">
        <v>87.148910999999998</v>
      </c>
      <c r="AC117" s="221">
        <v>88.931160000000006</v>
      </c>
      <c r="AD117" s="221">
        <v>90.744545000000002</v>
      </c>
      <c r="AE117" s="221">
        <v>92.590896999999998</v>
      </c>
      <c r="AF117" s="216">
        <v>3.5492000000000003E-2</v>
      </c>
      <c r="AG117" s="31"/>
    </row>
    <row r="118" spans="1:33">
      <c r="A118" s="30" t="s">
        <v>882</v>
      </c>
      <c r="B118" s="210" t="s">
        <v>883</v>
      </c>
      <c r="C118" s="219">
        <v>101.69902</v>
      </c>
      <c r="D118" s="219">
        <v>148.23710600000001</v>
      </c>
      <c r="E118" s="219">
        <v>171.55920399999999</v>
      </c>
      <c r="F118" s="219">
        <v>184.58833300000001</v>
      </c>
      <c r="G118" s="219">
        <v>200.47425799999999</v>
      </c>
      <c r="H118" s="219">
        <v>210.807739</v>
      </c>
      <c r="I118" s="219">
        <v>220.13314800000001</v>
      </c>
      <c r="J118" s="219">
        <v>221.292801</v>
      </c>
      <c r="K118" s="219">
        <v>222.20796200000001</v>
      </c>
      <c r="L118" s="219">
        <v>222.935303</v>
      </c>
      <c r="M118" s="219">
        <v>223.57605000000001</v>
      </c>
      <c r="N118" s="219">
        <v>224.21723900000001</v>
      </c>
      <c r="O118" s="219">
        <v>224.86488299999999</v>
      </c>
      <c r="P118" s="219">
        <v>225.51828</v>
      </c>
      <c r="Q118" s="219">
        <v>226.176514</v>
      </c>
      <c r="R118" s="219">
        <v>226.83900499999999</v>
      </c>
      <c r="S118" s="219">
        <v>227.50564600000001</v>
      </c>
      <c r="T118" s="219">
        <v>228.174622</v>
      </c>
      <c r="U118" s="219">
        <v>228.840012</v>
      </c>
      <c r="V118" s="219">
        <v>229.505966</v>
      </c>
      <c r="W118" s="219">
        <v>230.17013499999999</v>
      </c>
      <c r="X118" s="219">
        <v>230.83374000000001</v>
      </c>
      <c r="Y118" s="219">
        <v>231.507385</v>
      </c>
      <c r="Z118" s="219">
        <v>232.219131</v>
      </c>
      <c r="AA118" s="219">
        <v>232.98898299999999</v>
      </c>
      <c r="AB118" s="219">
        <v>233.82221999999999</v>
      </c>
      <c r="AC118" s="219">
        <v>234.71961999999999</v>
      </c>
      <c r="AD118" s="219">
        <v>235.681839</v>
      </c>
      <c r="AE118" s="219">
        <v>236.708923</v>
      </c>
      <c r="AF118" s="212">
        <v>3.0632E-2</v>
      </c>
      <c r="AG118" s="31"/>
    </row>
    <row r="119" spans="1:33">
      <c r="A119" s="30" t="s">
        <v>884</v>
      </c>
      <c r="B119" s="210" t="s">
        <v>287</v>
      </c>
      <c r="C119" s="219">
        <v>50.248626999999999</v>
      </c>
      <c r="D119" s="219">
        <v>73.327492000000007</v>
      </c>
      <c r="E119" s="219">
        <v>80.386336999999997</v>
      </c>
      <c r="F119" s="219">
        <v>83.712601000000006</v>
      </c>
      <c r="G119" s="219">
        <v>86.558563000000007</v>
      </c>
      <c r="H119" s="219">
        <v>88.524124</v>
      </c>
      <c r="I119" s="219">
        <v>90.305572999999995</v>
      </c>
      <c r="J119" s="219">
        <v>90.819534000000004</v>
      </c>
      <c r="K119" s="219">
        <v>91.274376000000004</v>
      </c>
      <c r="L119" s="219">
        <v>91.683593999999999</v>
      </c>
      <c r="M119" s="219">
        <v>92.070815999999994</v>
      </c>
      <c r="N119" s="219">
        <v>92.456360000000004</v>
      </c>
      <c r="O119" s="219">
        <v>92.842277999999993</v>
      </c>
      <c r="P119" s="219">
        <v>93.228309999999993</v>
      </c>
      <c r="Q119" s="219">
        <v>93.614204000000001</v>
      </c>
      <c r="R119" s="219">
        <v>94.000174999999999</v>
      </c>
      <c r="S119" s="219">
        <v>94.386238000000006</v>
      </c>
      <c r="T119" s="219">
        <v>94.772171</v>
      </c>
      <c r="U119" s="219">
        <v>95.154160000000005</v>
      </c>
      <c r="V119" s="219">
        <v>95.535126000000005</v>
      </c>
      <c r="W119" s="219">
        <v>95.914664999999999</v>
      </c>
      <c r="X119" s="219">
        <v>96.293319999999994</v>
      </c>
      <c r="Y119" s="219">
        <v>96.674294000000003</v>
      </c>
      <c r="Z119" s="219">
        <v>97.063903999999994</v>
      </c>
      <c r="AA119" s="219">
        <v>97.467574999999997</v>
      </c>
      <c r="AB119" s="219">
        <v>97.886573999999996</v>
      </c>
      <c r="AC119" s="219">
        <v>98.320922999999993</v>
      </c>
      <c r="AD119" s="219">
        <v>98.770683000000005</v>
      </c>
      <c r="AE119" s="219">
        <v>99.235695000000007</v>
      </c>
      <c r="AF119" s="212">
        <v>2.4601999999999999E-2</v>
      </c>
      <c r="AG119" s="31"/>
    </row>
    <row r="120" spans="1:33">
      <c r="A120" s="30" t="s">
        <v>885</v>
      </c>
      <c r="B120" s="210" t="s">
        <v>288</v>
      </c>
      <c r="C120" s="219">
        <v>45.078837999999998</v>
      </c>
      <c r="D120" s="219">
        <v>65.604156000000003</v>
      </c>
      <c r="E120" s="219">
        <v>81.211539999999999</v>
      </c>
      <c r="F120" s="219">
        <v>90.667961000000005</v>
      </c>
      <c r="G120" s="219">
        <v>103.62951700000001</v>
      </c>
      <c r="H120" s="219">
        <v>111.925438</v>
      </c>
      <c r="I120" s="219">
        <v>119.40303</v>
      </c>
      <c r="J120" s="219">
        <v>119.986786</v>
      </c>
      <c r="K120" s="219">
        <v>120.389191</v>
      </c>
      <c r="L120" s="219">
        <v>120.652519</v>
      </c>
      <c r="M120" s="219">
        <v>120.852875</v>
      </c>
      <c r="N120" s="219">
        <v>121.055656</v>
      </c>
      <c r="O120" s="219">
        <v>121.264656</v>
      </c>
      <c r="P120" s="219">
        <v>121.479401</v>
      </c>
      <c r="Q120" s="219">
        <v>121.69931</v>
      </c>
      <c r="R120" s="219">
        <v>121.9235</v>
      </c>
      <c r="S120" s="219">
        <v>122.151825</v>
      </c>
      <c r="T120" s="219">
        <v>122.382729</v>
      </c>
      <c r="U120" s="219">
        <v>122.61462400000001</v>
      </c>
      <c r="V120" s="219">
        <v>122.848282</v>
      </c>
      <c r="W120" s="219">
        <v>123.08181</v>
      </c>
      <c r="X120" s="219">
        <v>123.315765</v>
      </c>
      <c r="Y120" s="219">
        <v>123.557365</v>
      </c>
      <c r="Z120" s="219">
        <v>123.82785</v>
      </c>
      <c r="AA120" s="219">
        <v>124.141457</v>
      </c>
      <c r="AB120" s="219">
        <v>124.50206799999999</v>
      </c>
      <c r="AC120" s="219">
        <v>124.910492</v>
      </c>
      <c r="AD120" s="219">
        <v>125.36726400000001</v>
      </c>
      <c r="AE120" s="219">
        <v>125.872688</v>
      </c>
      <c r="AF120" s="212">
        <v>3.7353999999999998E-2</v>
      </c>
      <c r="AG120" s="31"/>
    </row>
    <row r="121" spans="1:33">
      <c r="A121" s="30" t="s">
        <v>886</v>
      </c>
      <c r="B121" s="210" t="s">
        <v>289</v>
      </c>
      <c r="C121" s="219">
        <v>6.3715529999999996</v>
      </c>
      <c r="D121" s="219">
        <v>9.3054469999999991</v>
      </c>
      <c r="E121" s="219">
        <v>9.9613259999999997</v>
      </c>
      <c r="F121" s="219">
        <v>10.207762000000001</v>
      </c>
      <c r="G121" s="219">
        <v>10.286180999999999</v>
      </c>
      <c r="H121" s="219">
        <v>10.358179</v>
      </c>
      <c r="I121" s="219">
        <v>10.424552</v>
      </c>
      <c r="J121" s="219">
        <v>10.486485999999999</v>
      </c>
      <c r="K121" s="219">
        <v>10.544403000000001</v>
      </c>
      <c r="L121" s="219">
        <v>10.599194000000001</v>
      </c>
      <c r="M121" s="219">
        <v>10.652366000000001</v>
      </c>
      <c r="N121" s="219">
        <v>10.705219</v>
      </c>
      <c r="O121" s="219">
        <v>10.757960000000001</v>
      </c>
      <c r="P121" s="219">
        <v>10.810561</v>
      </c>
      <c r="Q121" s="219">
        <v>10.863001000000001</v>
      </c>
      <c r="R121" s="219">
        <v>10.915336</v>
      </c>
      <c r="S121" s="219">
        <v>10.967572000000001</v>
      </c>
      <c r="T121" s="219">
        <v>11.019721000000001</v>
      </c>
      <c r="U121" s="219">
        <v>11.071241000000001</v>
      </c>
      <c r="V121" s="219">
        <v>11.122562</v>
      </c>
      <c r="W121" s="219">
        <v>11.17367</v>
      </c>
      <c r="X121" s="219">
        <v>11.224634</v>
      </c>
      <c r="Y121" s="219">
        <v>11.275739</v>
      </c>
      <c r="Z121" s="219">
        <v>11.327367000000001</v>
      </c>
      <c r="AA121" s="219">
        <v>11.379951</v>
      </c>
      <c r="AB121" s="219">
        <v>11.433577</v>
      </c>
      <c r="AC121" s="219">
        <v>11.488227</v>
      </c>
      <c r="AD121" s="219">
        <v>11.543894</v>
      </c>
      <c r="AE121" s="219">
        <v>11.600548</v>
      </c>
      <c r="AF121" s="212">
        <v>2.1631000000000001E-2</v>
      </c>
      <c r="AG121" s="31"/>
    </row>
    <row r="122" spans="1:33">
      <c r="A122" s="30" t="s">
        <v>887</v>
      </c>
      <c r="B122" s="210" t="s">
        <v>888</v>
      </c>
      <c r="C122" s="219">
        <v>83.549149</v>
      </c>
      <c r="D122" s="219">
        <v>121.20388</v>
      </c>
      <c r="E122" s="219">
        <v>149.299881</v>
      </c>
      <c r="F122" s="219">
        <v>168.68980400000001</v>
      </c>
      <c r="G122" s="219">
        <v>185.26075700000001</v>
      </c>
      <c r="H122" s="219">
        <v>196.63462799999999</v>
      </c>
      <c r="I122" s="219">
        <v>207.11045799999999</v>
      </c>
      <c r="J122" s="219">
        <v>213.33717300000001</v>
      </c>
      <c r="K122" s="219">
        <v>219.69072</v>
      </c>
      <c r="L122" s="219">
        <v>226.14747600000001</v>
      </c>
      <c r="M122" s="219">
        <v>232.66215500000001</v>
      </c>
      <c r="N122" s="219">
        <v>239.25929300000001</v>
      </c>
      <c r="O122" s="219">
        <v>245.94813500000001</v>
      </c>
      <c r="P122" s="219">
        <v>252.61059599999999</v>
      </c>
      <c r="Q122" s="219">
        <v>259.33639499999998</v>
      </c>
      <c r="R122" s="219">
        <v>266.22772200000003</v>
      </c>
      <c r="S122" s="219">
        <v>273.25830100000002</v>
      </c>
      <c r="T122" s="219">
        <v>280.35229500000003</v>
      </c>
      <c r="U122" s="219">
        <v>287.51351899999997</v>
      </c>
      <c r="V122" s="219">
        <v>294.79525799999999</v>
      </c>
      <c r="W122" s="219">
        <v>302.209137</v>
      </c>
      <c r="X122" s="219">
        <v>309.75473</v>
      </c>
      <c r="Y122" s="219">
        <v>317.43218999999999</v>
      </c>
      <c r="Z122" s="219">
        <v>325.23773199999999</v>
      </c>
      <c r="AA122" s="219">
        <v>333.16507000000001</v>
      </c>
      <c r="AB122" s="219">
        <v>341.21582000000001</v>
      </c>
      <c r="AC122" s="219">
        <v>349.41198700000001</v>
      </c>
      <c r="AD122" s="219">
        <v>357.75805700000001</v>
      </c>
      <c r="AE122" s="219">
        <v>366.25451700000002</v>
      </c>
      <c r="AF122" s="212">
        <v>5.4199999999999998E-2</v>
      </c>
      <c r="AG122" s="31"/>
    </row>
    <row r="123" spans="1:33">
      <c r="A123" s="30" t="s">
        <v>889</v>
      </c>
      <c r="B123" s="210" t="s">
        <v>287</v>
      </c>
      <c r="C123" s="219">
        <v>36.610782999999998</v>
      </c>
      <c r="D123" s="219">
        <v>49.266624</v>
      </c>
      <c r="E123" s="219">
        <v>55.787475999999998</v>
      </c>
      <c r="F123" s="219">
        <v>59.812798000000001</v>
      </c>
      <c r="G123" s="219">
        <v>62.062618000000001</v>
      </c>
      <c r="H123" s="219">
        <v>64.106048999999999</v>
      </c>
      <c r="I123" s="219">
        <v>66.122321999999997</v>
      </c>
      <c r="J123" s="219">
        <v>67.978454999999997</v>
      </c>
      <c r="K123" s="219">
        <v>69.866577000000007</v>
      </c>
      <c r="L123" s="219">
        <v>71.771736000000004</v>
      </c>
      <c r="M123" s="219">
        <v>73.667175</v>
      </c>
      <c r="N123" s="219">
        <v>75.565291999999999</v>
      </c>
      <c r="O123" s="219">
        <v>77.469703999999993</v>
      </c>
      <c r="P123" s="219">
        <v>79.310828999999998</v>
      </c>
      <c r="Q123" s="219">
        <v>81.138930999999999</v>
      </c>
      <c r="R123" s="219">
        <v>83.011398</v>
      </c>
      <c r="S123" s="219">
        <v>84.911300999999995</v>
      </c>
      <c r="T123" s="219">
        <v>86.794128000000001</v>
      </c>
      <c r="U123" s="219">
        <v>88.660561000000001</v>
      </c>
      <c r="V123" s="219">
        <v>90.540947000000003</v>
      </c>
      <c r="W123" s="219">
        <v>92.441147000000001</v>
      </c>
      <c r="X123" s="219">
        <v>94.360625999999996</v>
      </c>
      <c r="Y123" s="219">
        <v>96.298569000000001</v>
      </c>
      <c r="Z123" s="219">
        <v>98.252655000000004</v>
      </c>
      <c r="AA123" s="219">
        <v>100.218834</v>
      </c>
      <c r="AB123" s="219">
        <v>102.197517</v>
      </c>
      <c r="AC123" s="219">
        <v>104.200531</v>
      </c>
      <c r="AD123" s="219">
        <v>106.229347</v>
      </c>
      <c r="AE123" s="219">
        <v>108.28325700000001</v>
      </c>
      <c r="AF123" s="212">
        <v>3.9489000000000003E-2</v>
      </c>
      <c r="AG123" s="31"/>
    </row>
    <row r="124" spans="1:33">
      <c r="A124" s="30" t="s">
        <v>890</v>
      </c>
      <c r="B124" s="210" t="s">
        <v>288</v>
      </c>
      <c r="C124" s="219">
        <v>42.035438999999997</v>
      </c>
      <c r="D124" s="219">
        <v>65.305633999999998</v>
      </c>
      <c r="E124" s="219">
        <v>85.952704999999995</v>
      </c>
      <c r="F124" s="219">
        <v>100.826874</v>
      </c>
      <c r="G124" s="219">
        <v>114.9105</v>
      </c>
      <c r="H124" s="219">
        <v>124.001762</v>
      </c>
      <c r="I124" s="219">
        <v>132.22051999999999</v>
      </c>
      <c r="J124" s="219">
        <v>136.34762599999999</v>
      </c>
      <c r="K124" s="219">
        <v>140.56552099999999</v>
      </c>
      <c r="L124" s="219">
        <v>144.867615</v>
      </c>
      <c r="M124" s="219">
        <v>149.23921200000001</v>
      </c>
      <c r="N124" s="219">
        <v>153.69073499999999</v>
      </c>
      <c r="O124" s="219">
        <v>158.22726399999999</v>
      </c>
      <c r="P124" s="219">
        <v>162.81016500000001</v>
      </c>
      <c r="Q124" s="219">
        <v>167.47184799999999</v>
      </c>
      <c r="R124" s="219">
        <v>172.249008</v>
      </c>
      <c r="S124" s="219">
        <v>177.13464400000001</v>
      </c>
      <c r="T124" s="219">
        <v>182.10375999999999</v>
      </c>
      <c r="U124" s="219">
        <v>187.15948499999999</v>
      </c>
      <c r="V124" s="219">
        <v>192.320404</v>
      </c>
      <c r="W124" s="219">
        <v>197.591431</v>
      </c>
      <c r="X124" s="219">
        <v>202.97283899999999</v>
      </c>
      <c r="Y124" s="219">
        <v>208.46565200000001</v>
      </c>
      <c r="Z124" s="219">
        <v>214.06880200000001</v>
      </c>
      <c r="AA124" s="219">
        <v>219.78054800000001</v>
      </c>
      <c r="AB124" s="219">
        <v>225.60205099999999</v>
      </c>
      <c r="AC124" s="219">
        <v>231.54188500000001</v>
      </c>
      <c r="AD124" s="219">
        <v>237.602844</v>
      </c>
      <c r="AE124" s="219">
        <v>243.78623999999999</v>
      </c>
      <c r="AF124" s="212">
        <v>6.479E-2</v>
      </c>
      <c r="AG124" s="31"/>
    </row>
    <row r="125" spans="1:33">
      <c r="A125" s="30" t="s">
        <v>891</v>
      </c>
      <c r="B125" s="210" t="s">
        <v>289</v>
      </c>
      <c r="C125" s="219">
        <v>4.9029309999999997</v>
      </c>
      <c r="D125" s="219">
        <v>6.6316170000000003</v>
      </c>
      <c r="E125" s="219">
        <v>7.559685</v>
      </c>
      <c r="F125" s="219">
        <v>8.050122</v>
      </c>
      <c r="G125" s="219">
        <v>8.2876220000000007</v>
      </c>
      <c r="H125" s="219">
        <v>8.5268130000000006</v>
      </c>
      <c r="I125" s="219">
        <v>8.7675959999999993</v>
      </c>
      <c r="J125" s="219">
        <v>9.0110759999999992</v>
      </c>
      <c r="K125" s="219">
        <v>9.2586300000000001</v>
      </c>
      <c r="L125" s="219">
        <v>9.5081220000000002</v>
      </c>
      <c r="M125" s="219">
        <v>9.7557609999999997</v>
      </c>
      <c r="N125" s="219">
        <v>10.003282</v>
      </c>
      <c r="O125" s="219">
        <v>10.25118</v>
      </c>
      <c r="P125" s="219">
        <v>10.489587</v>
      </c>
      <c r="Q125" s="219">
        <v>10.725602</v>
      </c>
      <c r="R125" s="219">
        <v>10.967332000000001</v>
      </c>
      <c r="S125" s="219">
        <v>11.212358</v>
      </c>
      <c r="T125" s="219">
        <v>11.454371999999999</v>
      </c>
      <c r="U125" s="219">
        <v>11.693458</v>
      </c>
      <c r="V125" s="219">
        <v>11.933901000000001</v>
      </c>
      <c r="W125" s="219">
        <v>12.176525</v>
      </c>
      <c r="X125" s="219">
        <v>12.421250000000001</v>
      </c>
      <c r="Y125" s="219">
        <v>12.667951</v>
      </c>
      <c r="Z125" s="219">
        <v>12.916296000000001</v>
      </c>
      <c r="AA125" s="219">
        <v>13.165709</v>
      </c>
      <c r="AB125" s="219">
        <v>13.416244000000001</v>
      </c>
      <c r="AC125" s="219">
        <v>13.669560000000001</v>
      </c>
      <c r="AD125" s="219">
        <v>13.925858</v>
      </c>
      <c r="AE125" s="219">
        <v>14.185025</v>
      </c>
      <c r="AF125" s="212">
        <v>3.8670000000000003E-2</v>
      </c>
      <c r="AG125" s="31"/>
    </row>
    <row r="126" spans="1:33">
      <c r="A126" s="30" t="s">
        <v>892</v>
      </c>
      <c r="B126" s="210" t="s">
        <v>893</v>
      </c>
      <c r="C126" s="219">
        <v>47.442936000000003</v>
      </c>
      <c r="D126" s="219">
        <v>63.984814</v>
      </c>
      <c r="E126" s="219">
        <v>76.679648999999998</v>
      </c>
      <c r="F126" s="219">
        <v>84.804374999999993</v>
      </c>
      <c r="G126" s="219">
        <v>96.071860999999998</v>
      </c>
      <c r="H126" s="219">
        <v>103.20470400000001</v>
      </c>
      <c r="I126" s="219">
        <v>109.64166299999999</v>
      </c>
      <c r="J126" s="219">
        <v>113.054253</v>
      </c>
      <c r="K126" s="219">
        <v>116.271835</v>
      </c>
      <c r="L126" s="219">
        <v>118.54128300000001</v>
      </c>
      <c r="M126" s="219">
        <v>119.45050000000001</v>
      </c>
      <c r="N126" s="219">
        <v>120.097984</v>
      </c>
      <c r="O126" s="219">
        <v>120.730469</v>
      </c>
      <c r="P126" s="219">
        <v>121.325287</v>
      </c>
      <c r="Q126" s="219">
        <v>121.94425200000001</v>
      </c>
      <c r="R126" s="219">
        <v>122.356194</v>
      </c>
      <c r="S126" s="219">
        <v>122.580017</v>
      </c>
      <c r="T126" s="219">
        <v>122.83268700000001</v>
      </c>
      <c r="U126" s="219">
        <v>123.255264</v>
      </c>
      <c r="V126" s="219">
        <v>123.997055</v>
      </c>
      <c r="W126" s="219">
        <v>125.002296</v>
      </c>
      <c r="X126" s="219">
        <v>126.128738</v>
      </c>
      <c r="Y126" s="219">
        <v>127.33571600000001</v>
      </c>
      <c r="Z126" s="219">
        <v>128.549927</v>
      </c>
      <c r="AA126" s="219">
        <v>129.68714900000001</v>
      </c>
      <c r="AB126" s="219">
        <v>130.74594099999999</v>
      </c>
      <c r="AC126" s="219">
        <v>131.83163500000001</v>
      </c>
      <c r="AD126" s="219">
        <v>133.03767400000001</v>
      </c>
      <c r="AE126" s="219">
        <v>134.431183</v>
      </c>
      <c r="AF126" s="212">
        <v>3.7898000000000001E-2</v>
      </c>
      <c r="AG126" s="31"/>
    </row>
    <row r="127" spans="1:33">
      <c r="A127" s="30" t="s">
        <v>894</v>
      </c>
      <c r="B127" s="210" t="s">
        <v>287</v>
      </c>
      <c r="C127" s="219">
        <v>18.514890999999999</v>
      </c>
      <c r="D127" s="219">
        <v>23.544308000000001</v>
      </c>
      <c r="E127" s="219">
        <v>27.278258999999998</v>
      </c>
      <c r="F127" s="219">
        <v>29.958317000000001</v>
      </c>
      <c r="G127" s="219">
        <v>33.320217</v>
      </c>
      <c r="H127" s="219">
        <v>35.412486999999999</v>
      </c>
      <c r="I127" s="219">
        <v>37.304820999999997</v>
      </c>
      <c r="J127" s="219">
        <v>38.347121999999999</v>
      </c>
      <c r="K127" s="219">
        <v>39.329655000000002</v>
      </c>
      <c r="L127" s="219">
        <v>40.027821000000003</v>
      </c>
      <c r="M127" s="219">
        <v>40.319026999999998</v>
      </c>
      <c r="N127" s="219">
        <v>40.531295999999998</v>
      </c>
      <c r="O127" s="219">
        <v>40.737929999999999</v>
      </c>
      <c r="P127" s="219">
        <v>40.931778000000001</v>
      </c>
      <c r="Q127" s="219">
        <v>41.131241000000003</v>
      </c>
      <c r="R127" s="219">
        <v>41.267432999999997</v>
      </c>
      <c r="S127" s="219">
        <v>41.346015999999999</v>
      </c>
      <c r="T127" s="219">
        <v>41.431797000000003</v>
      </c>
      <c r="U127" s="219">
        <v>41.566597000000002</v>
      </c>
      <c r="V127" s="219">
        <v>41.795025000000003</v>
      </c>
      <c r="W127" s="219">
        <v>42.100310999999998</v>
      </c>
      <c r="X127" s="219">
        <v>42.440052000000001</v>
      </c>
      <c r="Y127" s="219">
        <v>42.802154999999999</v>
      </c>
      <c r="Z127" s="219">
        <v>43.164817999999997</v>
      </c>
      <c r="AA127" s="219">
        <v>43.502853000000002</v>
      </c>
      <c r="AB127" s="219">
        <v>43.815761999999999</v>
      </c>
      <c r="AC127" s="219">
        <v>44.134929999999997</v>
      </c>
      <c r="AD127" s="219">
        <v>44.488182000000002</v>
      </c>
      <c r="AE127" s="219">
        <v>44.895415999999997</v>
      </c>
      <c r="AF127" s="212">
        <v>3.2140000000000002E-2</v>
      </c>
      <c r="AG127" s="31"/>
    </row>
    <row r="128" spans="1:33">
      <c r="A128" s="30" t="s">
        <v>895</v>
      </c>
      <c r="B128" s="210" t="s">
        <v>288</v>
      </c>
      <c r="C128" s="219">
        <v>28.078714000000002</v>
      </c>
      <c r="D128" s="219">
        <v>39.546764000000003</v>
      </c>
      <c r="E128" s="219">
        <v>48.440437000000003</v>
      </c>
      <c r="F128" s="219">
        <v>53.814338999999997</v>
      </c>
      <c r="G128" s="219">
        <v>61.674225</v>
      </c>
      <c r="H128" s="219">
        <v>66.691176999999996</v>
      </c>
      <c r="I128" s="219">
        <v>71.213875000000002</v>
      </c>
      <c r="J128" s="219">
        <v>73.566772</v>
      </c>
      <c r="K128" s="219">
        <v>75.785445999999993</v>
      </c>
      <c r="L128" s="219">
        <v>77.344414</v>
      </c>
      <c r="M128" s="219">
        <v>77.955794999999995</v>
      </c>
      <c r="N128" s="219">
        <v>78.385551000000007</v>
      </c>
      <c r="O128" s="219">
        <v>78.806213</v>
      </c>
      <c r="P128" s="219">
        <v>79.202354</v>
      </c>
      <c r="Q128" s="219">
        <v>79.617142000000001</v>
      </c>
      <c r="R128" s="219">
        <v>79.889267000000004</v>
      </c>
      <c r="S128" s="219">
        <v>80.031859999999995</v>
      </c>
      <c r="T128" s="219">
        <v>80.196190000000001</v>
      </c>
      <c r="U128" s="219">
        <v>80.480971999999994</v>
      </c>
      <c r="V128" s="219">
        <v>80.990279999999998</v>
      </c>
      <c r="W128" s="219">
        <v>81.685349000000002</v>
      </c>
      <c r="X128" s="219">
        <v>82.466942000000003</v>
      </c>
      <c r="Y128" s="219">
        <v>83.306633000000005</v>
      </c>
      <c r="Z128" s="219">
        <v>84.153221000000002</v>
      </c>
      <c r="AA128" s="219">
        <v>84.947968000000003</v>
      </c>
      <c r="AB128" s="219">
        <v>85.690010000000001</v>
      </c>
      <c r="AC128" s="219">
        <v>86.452820000000003</v>
      </c>
      <c r="AD128" s="219">
        <v>87.301688999999996</v>
      </c>
      <c r="AE128" s="219">
        <v>88.283600000000007</v>
      </c>
      <c r="AF128" s="212">
        <v>4.1761E-2</v>
      </c>
      <c r="AG128" s="31"/>
    </row>
    <row r="129" spans="1:33">
      <c r="A129" s="30" t="s">
        <v>896</v>
      </c>
      <c r="B129" s="210" t="s">
        <v>289</v>
      </c>
      <c r="C129" s="219">
        <v>0.84932799999999997</v>
      </c>
      <c r="D129" s="219">
        <v>0.89373599999999997</v>
      </c>
      <c r="E129" s="219">
        <v>0.960955</v>
      </c>
      <c r="F129" s="219">
        <v>1.031712</v>
      </c>
      <c r="G129" s="219">
        <v>1.077413</v>
      </c>
      <c r="H129" s="219">
        <v>1.10103</v>
      </c>
      <c r="I129" s="219">
        <v>1.1229610000000001</v>
      </c>
      <c r="J129" s="219">
        <v>1.14036</v>
      </c>
      <c r="K129" s="219">
        <v>1.1567350000000001</v>
      </c>
      <c r="L129" s="219">
        <v>1.169046</v>
      </c>
      <c r="M129" s="219">
        <v>1.1756770000000001</v>
      </c>
      <c r="N129" s="219">
        <v>1.1811229999999999</v>
      </c>
      <c r="O129" s="219">
        <v>1.186334</v>
      </c>
      <c r="P129" s="219">
        <v>1.1911659999999999</v>
      </c>
      <c r="Q129" s="219">
        <v>1.1958610000000001</v>
      </c>
      <c r="R129" s="219">
        <v>1.1994929999999999</v>
      </c>
      <c r="S129" s="219">
        <v>1.2021440000000001</v>
      </c>
      <c r="T129" s="219">
        <v>1.2047049999999999</v>
      </c>
      <c r="U129" s="219">
        <v>1.2077059999999999</v>
      </c>
      <c r="V129" s="219">
        <v>1.2117629999999999</v>
      </c>
      <c r="W129" s="219">
        <v>1.2166319999999999</v>
      </c>
      <c r="X129" s="219">
        <v>1.221738</v>
      </c>
      <c r="Y129" s="219">
        <v>1.226926</v>
      </c>
      <c r="Z129" s="219">
        <v>1.231905</v>
      </c>
      <c r="AA129" s="219">
        <v>1.2363299999999999</v>
      </c>
      <c r="AB129" s="219">
        <v>1.2401800000000001</v>
      </c>
      <c r="AC129" s="219">
        <v>1.243879</v>
      </c>
      <c r="AD129" s="219">
        <v>1.247797</v>
      </c>
      <c r="AE129" s="219">
        <v>1.2521850000000001</v>
      </c>
      <c r="AF129" s="212">
        <v>1.3960999999999999E-2</v>
      </c>
      <c r="AG129" s="31"/>
    </row>
    <row r="130" spans="1:33">
      <c r="A130" s="30" t="s">
        <v>897</v>
      </c>
      <c r="B130" s="210" t="s">
        <v>898</v>
      </c>
      <c r="C130" s="219">
        <v>142.31442300000001</v>
      </c>
      <c r="D130" s="219">
        <v>151.89007599999999</v>
      </c>
      <c r="E130" s="219">
        <v>163.864655</v>
      </c>
      <c r="F130" s="219">
        <v>171.73625200000001</v>
      </c>
      <c r="G130" s="219">
        <v>178.46945199999999</v>
      </c>
      <c r="H130" s="219">
        <v>183.10032699999999</v>
      </c>
      <c r="I130" s="219">
        <v>186.982193</v>
      </c>
      <c r="J130" s="219">
        <v>189.93190000000001</v>
      </c>
      <c r="K130" s="219">
        <v>192.93220500000001</v>
      </c>
      <c r="L130" s="219">
        <v>196.037003</v>
      </c>
      <c r="M130" s="219">
        <v>199.21478300000001</v>
      </c>
      <c r="N130" s="219">
        <v>202.44252</v>
      </c>
      <c r="O130" s="219">
        <v>205.73057600000001</v>
      </c>
      <c r="P130" s="219">
        <v>209.08891299999999</v>
      </c>
      <c r="Q130" s="219">
        <v>212.51480100000001</v>
      </c>
      <c r="R130" s="219">
        <v>216.002655</v>
      </c>
      <c r="S130" s="219">
        <v>219.55929599999999</v>
      </c>
      <c r="T130" s="219">
        <v>223.19146699999999</v>
      </c>
      <c r="U130" s="219">
        <v>226.899384</v>
      </c>
      <c r="V130" s="219">
        <v>230.68907200000001</v>
      </c>
      <c r="W130" s="219">
        <v>234.55947900000001</v>
      </c>
      <c r="X130" s="219">
        <v>238.509064</v>
      </c>
      <c r="Y130" s="219">
        <v>242.53810100000001</v>
      </c>
      <c r="Z130" s="219">
        <v>246.64561499999999</v>
      </c>
      <c r="AA130" s="219">
        <v>250.83862300000001</v>
      </c>
      <c r="AB130" s="219">
        <v>255.11831699999999</v>
      </c>
      <c r="AC130" s="219">
        <v>259.48089599999997</v>
      </c>
      <c r="AD130" s="219">
        <v>263.92275999999998</v>
      </c>
      <c r="AE130" s="219">
        <v>268.437927</v>
      </c>
      <c r="AF130" s="212">
        <v>2.2922000000000001E-2</v>
      </c>
      <c r="AG130" s="31"/>
    </row>
    <row r="131" spans="1:33">
      <c r="A131" s="30" t="s">
        <v>899</v>
      </c>
      <c r="B131" s="210" t="s">
        <v>287</v>
      </c>
      <c r="C131" s="219">
        <v>110.081108</v>
      </c>
      <c r="D131" s="219">
        <v>115.58123000000001</v>
      </c>
      <c r="E131" s="219">
        <v>122.967361</v>
      </c>
      <c r="F131" s="219">
        <v>127.819969</v>
      </c>
      <c r="G131" s="219">
        <v>132.20107999999999</v>
      </c>
      <c r="H131" s="219">
        <v>135.314087</v>
      </c>
      <c r="I131" s="219">
        <v>137.98341400000001</v>
      </c>
      <c r="J131" s="219">
        <v>140.101517</v>
      </c>
      <c r="K131" s="219">
        <v>142.25581399999999</v>
      </c>
      <c r="L131" s="219">
        <v>144.48762500000001</v>
      </c>
      <c r="M131" s="219">
        <v>146.77302599999999</v>
      </c>
      <c r="N131" s="219">
        <v>149.094009</v>
      </c>
      <c r="O131" s="219">
        <v>151.45791600000001</v>
      </c>
      <c r="P131" s="219">
        <v>153.87184099999999</v>
      </c>
      <c r="Q131" s="219">
        <v>156.33377100000001</v>
      </c>
      <c r="R131" s="219">
        <v>158.83955399999999</v>
      </c>
      <c r="S131" s="219">
        <v>161.39404300000001</v>
      </c>
      <c r="T131" s="219">
        <v>164.00202899999999</v>
      </c>
      <c r="U131" s="219">
        <v>166.662949</v>
      </c>
      <c r="V131" s="219">
        <v>169.381439</v>
      </c>
      <c r="W131" s="219">
        <v>172.15664699999999</v>
      </c>
      <c r="X131" s="219">
        <v>174.987381</v>
      </c>
      <c r="Y131" s="219">
        <v>177.87385599999999</v>
      </c>
      <c r="Z131" s="219">
        <v>180.81530799999999</v>
      </c>
      <c r="AA131" s="219">
        <v>183.81668099999999</v>
      </c>
      <c r="AB131" s="219">
        <v>186.878784</v>
      </c>
      <c r="AC131" s="219">
        <v>189.99884</v>
      </c>
      <c r="AD131" s="219">
        <v>193.17420999999999</v>
      </c>
      <c r="AE131" s="219">
        <v>196.40057400000001</v>
      </c>
      <c r="AF131" s="212">
        <v>2.0892000000000001E-2</v>
      </c>
      <c r="AG131" s="31"/>
    </row>
    <row r="132" spans="1:33">
      <c r="A132" s="30" t="s">
        <v>900</v>
      </c>
      <c r="B132" s="210" t="s">
        <v>288</v>
      </c>
      <c r="C132" s="219">
        <v>17.723891999999999</v>
      </c>
      <c r="D132" s="219">
        <v>21.558128</v>
      </c>
      <c r="E132" s="219">
        <v>25.640647999999999</v>
      </c>
      <c r="F132" s="219">
        <v>28.409416</v>
      </c>
      <c r="G132" s="219">
        <v>30.442050999999999</v>
      </c>
      <c r="H132" s="219">
        <v>31.694476999999999</v>
      </c>
      <c r="I132" s="219">
        <v>32.657162</v>
      </c>
      <c r="J132" s="219">
        <v>33.257838999999997</v>
      </c>
      <c r="K132" s="219">
        <v>33.868983999999998</v>
      </c>
      <c r="L132" s="219">
        <v>34.497799000000001</v>
      </c>
      <c r="M132" s="219">
        <v>35.139740000000003</v>
      </c>
      <c r="N132" s="219">
        <v>35.792296999999998</v>
      </c>
      <c r="O132" s="219">
        <v>36.457706000000002</v>
      </c>
      <c r="P132" s="219">
        <v>37.138069000000002</v>
      </c>
      <c r="Q132" s="219">
        <v>37.832951000000001</v>
      </c>
      <c r="R132" s="219">
        <v>38.541350999999999</v>
      </c>
      <c r="S132" s="219">
        <v>39.264755000000001</v>
      </c>
      <c r="T132" s="219">
        <v>40.004631000000003</v>
      </c>
      <c r="U132" s="219">
        <v>40.762042999999998</v>
      </c>
      <c r="V132" s="219">
        <v>41.537818999999999</v>
      </c>
      <c r="W132" s="219">
        <v>42.331817999999998</v>
      </c>
      <c r="X132" s="219">
        <v>43.143847999999998</v>
      </c>
      <c r="Y132" s="219">
        <v>43.973972000000003</v>
      </c>
      <c r="Z132" s="219">
        <v>44.822124000000002</v>
      </c>
      <c r="AA132" s="219">
        <v>45.689816</v>
      </c>
      <c r="AB132" s="219">
        <v>46.577365999999998</v>
      </c>
      <c r="AC132" s="219">
        <v>47.484093000000001</v>
      </c>
      <c r="AD132" s="219">
        <v>48.409294000000003</v>
      </c>
      <c r="AE132" s="219">
        <v>49.351832999999999</v>
      </c>
      <c r="AF132" s="212">
        <v>3.7250999999999999E-2</v>
      </c>
      <c r="AG132" s="31"/>
    </row>
    <row r="133" spans="1:33">
      <c r="A133" s="30" t="s">
        <v>901</v>
      </c>
      <c r="B133" s="210" t="s">
        <v>289</v>
      </c>
      <c r="C133" s="219">
        <v>14.50943</v>
      </c>
      <c r="D133" s="219">
        <v>14.750728000000001</v>
      </c>
      <c r="E133" s="219">
        <v>15.256656</v>
      </c>
      <c r="F133" s="219">
        <v>15.506875000000001</v>
      </c>
      <c r="G133" s="219">
        <v>15.82633</v>
      </c>
      <c r="H133" s="219">
        <v>16.091740000000001</v>
      </c>
      <c r="I133" s="219">
        <v>16.341602000000002</v>
      </c>
      <c r="J133" s="219">
        <v>16.572548000000001</v>
      </c>
      <c r="K133" s="219">
        <v>16.807404999999999</v>
      </c>
      <c r="L133" s="219">
        <v>17.051577000000002</v>
      </c>
      <c r="M133" s="219">
        <v>17.302004</v>
      </c>
      <c r="N133" s="219">
        <v>17.556206</v>
      </c>
      <c r="O133" s="219">
        <v>17.814955000000001</v>
      </c>
      <c r="P133" s="219">
        <v>18.079001999999999</v>
      </c>
      <c r="Q133" s="219">
        <v>18.348101</v>
      </c>
      <c r="R133" s="219">
        <v>18.621765</v>
      </c>
      <c r="S133" s="219">
        <v>18.900500999999998</v>
      </c>
      <c r="T133" s="219">
        <v>19.184811</v>
      </c>
      <c r="U133" s="219">
        <v>19.474388000000001</v>
      </c>
      <c r="V133" s="219">
        <v>19.769831</v>
      </c>
      <c r="W133" s="219">
        <v>20.071031999999999</v>
      </c>
      <c r="X133" s="219">
        <v>20.377831</v>
      </c>
      <c r="Y133" s="219">
        <v>20.690248</v>
      </c>
      <c r="Z133" s="219">
        <v>21.008171000000001</v>
      </c>
      <c r="AA133" s="219">
        <v>21.332118999999999</v>
      </c>
      <c r="AB133" s="219">
        <v>21.662158999999999</v>
      </c>
      <c r="AC133" s="219">
        <v>21.997971</v>
      </c>
      <c r="AD133" s="219">
        <v>22.339255999999999</v>
      </c>
      <c r="AE133" s="219">
        <v>22.685524000000001</v>
      </c>
      <c r="AF133" s="212">
        <v>1.609E-2</v>
      </c>
      <c r="AG133" s="31"/>
    </row>
    <row r="134" spans="1:33">
      <c r="A134" s="30" t="s">
        <v>902</v>
      </c>
      <c r="B134" s="210" t="s">
        <v>903</v>
      </c>
      <c r="C134" s="219">
        <v>48.721522999999998</v>
      </c>
      <c r="D134" s="219">
        <v>61.768990000000002</v>
      </c>
      <c r="E134" s="219">
        <v>73.845116000000004</v>
      </c>
      <c r="F134" s="219">
        <v>82.664268000000007</v>
      </c>
      <c r="G134" s="219">
        <v>90.551765000000003</v>
      </c>
      <c r="H134" s="219">
        <v>94.869156000000004</v>
      </c>
      <c r="I134" s="219">
        <v>98.194419999999994</v>
      </c>
      <c r="J134" s="219">
        <v>100.99239300000001</v>
      </c>
      <c r="K134" s="219">
        <v>103.867386</v>
      </c>
      <c r="L134" s="219">
        <v>106.882401</v>
      </c>
      <c r="M134" s="219">
        <v>109.995766</v>
      </c>
      <c r="N134" s="219">
        <v>113.19216900000001</v>
      </c>
      <c r="O134" s="219">
        <v>116.47422</v>
      </c>
      <c r="P134" s="219">
        <v>119.84822800000001</v>
      </c>
      <c r="Q134" s="219">
        <v>123.249786</v>
      </c>
      <c r="R134" s="219">
        <v>126.73764799999999</v>
      </c>
      <c r="S134" s="219">
        <v>130.315765</v>
      </c>
      <c r="T134" s="219">
        <v>133.98472599999999</v>
      </c>
      <c r="U134" s="219">
        <v>137.747986</v>
      </c>
      <c r="V134" s="219">
        <v>141.534378</v>
      </c>
      <c r="W134" s="219">
        <v>145.41456600000001</v>
      </c>
      <c r="X134" s="219">
        <v>149.39035000000001</v>
      </c>
      <c r="Y134" s="219">
        <v>153.46047999999999</v>
      </c>
      <c r="Z134" s="219">
        <v>157.62562600000001</v>
      </c>
      <c r="AA134" s="219">
        <v>161.804001</v>
      </c>
      <c r="AB134" s="219">
        <v>166.075638</v>
      </c>
      <c r="AC134" s="219">
        <v>170.446091</v>
      </c>
      <c r="AD134" s="219">
        <v>174.919006</v>
      </c>
      <c r="AE134" s="219">
        <v>179.497559</v>
      </c>
      <c r="AF134" s="212">
        <v>4.7674000000000001E-2</v>
      </c>
      <c r="AG134" s="31"/>
    </row>
    <row r="135" spans="1:33">
      <c r="A135" s="30" t="s">
        <v>904</v>
      </c>
      <c r="B135" s="210" t="s">
        <v>287</v>
      </c>
      <c r="C135" s="219">
        <v>40.367882000000002</v>
      </c>
      <c r="D135" s="219">
        <v>51.182053000000003</v>
      </c>
      <c r="E135" s="219">
        <v>61.307991000000001</v>
      </c>
      <c r="F135" s="219">
        <v>68.604468999999995</v>
      </c>
      <c r="G135" s="219">
        <v>75.149856999999997</v>
      </c>
      <c r="H135" s="219">
        <v>78.746758</v>
      </c>
      <c r="I135" s="219">
        <v>81.512482000000006</v>
      </c>
      <c r="J135" s="219">
        <v>83.836219999999997</v>
      </c>
      <c r="K135" s="219">
        <v>86.223915000000005</v>
      </c>
      <c r="L135" s="219">
        <v>88.727737000000005</v>
      </c>
      <c r="M135" s="219">
        <v>91.313179000000005</v>
      </c>
      <c r="N135" s="219">
        <v>93.967590000000001</v>
      </c>
      <c r="O135" s="219">
        <v>96.693107999999995</v>
      </c>
      <c r="P135" s="219">
        <v>99.494986999999995</v>
      </c>
      <c r="Q135" s="219">
        <v>102.32</v>
      </c>
      <c r="R135" s="219">
        <v>105.216705</v>
      </c>
      <c r="S135" s="219">
        <v>108.188377</v>
      </c>
      <c r="T135" s="219">
        <v>111.235527</v>
      </c>
      <c r="U135" s="219">
        <v>114.361046</v>
      </c>
      <c r="V135" s="219">
        <v>117.506035</v>
      </c>
      <c r="W135" s="219">
        <v>120.728973</v>
      </c>
      <c r="X135" s="219">
        <v>124.031364</v>
      </c>
      <c r="Y135" s="219">
        <v>127.412148</v>
      </c>
      <c r="Z135" s="219">
        <v>130.871872</v>
      </c>
      <c r="AA135" s="219">
        <v>134.342804</v>
      </c>
      <c r="AB135" s="219">
        <v>137.89123499999999</v>
      </c>
      <c r="AC135" s="219">
        <v>141.52177399999999</v>
      </c>
      <c r="AD135" s="219">
        <v>145.23748800000001</v>
      </c>
      <c r="AE135" s="219">
        <v>149.04101600000001</v>
      </c>
      <c r="AF135" s="212">
        <v>4.7754999999999999E-2</v>
      </c>
      <c r="AG135" s="31"/>
    </row>
    <row r="136" spans="1:33">
      <c r="A136" s="30" t="s">
        <v>905</v>
      </c>
      <c r="B136" s="210" t="s">
        <v>288</v>
      </c>
      <c r="C136" s="219">
        <v>4.8107499999999996</v>
      </c>
      <c r="D136" s="219">
        <v>6.1307200000000002</v>
      </c>
      <c r="E136" s="219">
        <v>7.171532</v>
      </c>
      <c r="F136" s="219">
        <v>7.9921449999999998</v>
      </c>
      <c r="G136" s="219">
        <v>8.7539029999999993</v>
      </c>
      <c r="H136" s="219">
        <v>9.1908320000000003</v>
      </c>
      <c r="I136" s="219">
        <v>9.5208630000000003</v>
      </c>
      <c r="J136" s="219">
        <v>9.7937060000000002</v>
      </c>
      <c r="K136" s="219">
        <v>10.074055</v>
      </c>
      <c r="L136" s="219">
        <v>10.367825</v>
      </c>
      <c r="M136" s="219">
        <v>10.671106999999999</v>
      </c>
      <c r="N136" s="219">
        <v>10.982485</v>
      </c>
      <c r="O136" s="219">
        <v>11.302196</v>
      </c>
      <c r="P136" s="219">
        <v>11.630836</v>
      </c>
      <c r="Q136" s="219">
        <v>11.962536999999999</v>
      </c>
      <c r="R136" s="219">
        <v>12.302671</v>
      </c>
      <c r="S136" s="219">
        <v>12.651629</v>
      </c>
      <c r="T136" s="219">
        <v>13.009482</v>
      </c>
      <c r="U136" s="219">
        <v>13.376611</v>
      </c>
      <c r="V136" s="219">
        <v>13.746362</v>
      </c>
      <c r="W136" s="219">
        <v>14.125339</v>
      </c>
      <c r="X136" s="219">
        <v>14.513700999999999</v>
      </c>
      <c r="Y136" s="219">
        <v>14.911319000000001</v>
      </c>
      <c r="Z136" s="219">
        <v>15.318254</v>
      </c>
      <c r="AA136" s="219">
        <v>15.726773</v>
      </c>
      <c r="AB136" s="219">
        <v>16.144462999999998</v>
      </c>
      <c r="AC136" s="219">
        <v>16.571867000000001</v>
      </c>
      <c r="AD136" s="219">
        <v>17.009353999999998</v>
      </c>
      <c r="AE136" s="219">
        <v>17.457253999999999</v>
      </c>
      <c r="AF136" s="212">
        <v>4.7107999999999997E-2</v>
      </c>
      <c r="AG136" s="31"/>
    </row>
    <row r="137" spans="1:33">
      <c r="A137" s="30" t="s">
        <v>906</v>
      </c>
      <c r="B137" s="210" t="s">
        <v>289</v>
      </c>
      <c r="C137" s="219">
        <v>3.542891</v>
      </c>
      <c r="D137" s="219">
        <v>4.4562160000000004</v>
      </c>
      <c r="E137" s="219">
        <v>5.3655970000000002</v>
      </c>
      <c r="F137" s="219">
        <v>6.0676459999999999</v>
      </c>
      <c r="G137" s="219">
        <v>6.6479980000000003</v>
      </c>
      <c r="H137" s="219">
        <v>6.9315740000000003</v>
      </c>
      <c r="I137" s="219">
        <v>7.161073</v>
      </c>
      <c r="J137" s="219">
        <v>7.3624660000000004</v>
      </c>
      <c r="K137" s="219">
        <v>7.5694160000000004</v>
      </c>
      <c r="L137" s="219">
        <v>7.7868430000000002</v>
      </c>
      <c r="M137" s="219">
        <v>8.0114780000000003</v>
      </c>
      <c r="N137" s="219">
        <v>8.2420969999999993</v>
      </c>
      <c r="O137" s="219">
        <v>8.4789100000000008</v>
      </c>
      <c r="P137" s="219">
        <v>8.7224079999999997</v>
      </c>
      <c r="Q137" s="219">
        <v>8.9672540000000005</v>
      </c>
      <c r="R137" s="219">
        <v>9.2182739999999992</v>
      </c>
      <c r="S137" s="219">
        <v>9.4757580000000008</v>
      </c>
      <c r="T137" s="219">
        <v>9.7397179999999999</v>
      </c>
      <c r="U137" s="219">
        <v>10.010329</v>
      </c>
      <c r="V137" s="219">
        <v>10.281976999999999</v>
      </c>
      <c r="W137" s="219">
        <v>10.560243</v>
      </c>
      <c r="X137" s="219">
        <v>10.845281999999999</v>
      </c>
      <c r="Y137" s="219">
        <v>11.137014000000001</v>
      </c>
      <c r="Z137" s="219">
        <v>11.435499999999999</v>
      </c>
      <c r="AA137" s="219">
        <v>11.734435</v>
      </c>
      <c r="AB137" s="219">
        <v>12.039953000000001</v>
      </c>
      <c r="AC137" s="219">
        <v>12.352451</v>
      </c>
      <c r="AD137" s="219">
        <v>12.67216</v>
      </c>
      <c r="AE137" s="219">
        <v>12.999294000000001</v>
      </c>
      <c r="AF137" s="212">
        <v>4.7521000000000001E-2</v>
      </c>
      <c r="AG137" s="31"/>
    </row>
    <row r="138" spans="1:33">
      <c r="A138" s="30" t="s">
        <v>907</v>
      </c>
      <c r="B138" s="210" t="s">
        <v>297</v>
      </c>
      <c r="C138" s="219">
        <v>782.72277799999995</v>
      </c>
      <c r="D138" s="219">
        <v>779.99255400000004</v>
      </c>
      <c r="E138" s="219">
        <v>777.24194299999999</v>
      </c>
      <c r="F138" s="219">
        <v>836.20019500000001</v>
      </c>
      <c r="G138" s="219">
        <v>900.88647500000002</v>
      </c>
      <c r="H138" s="219">
        <v>959.77856399999996</v>
      </c>
      <c r="I138" s="219">
        <v>1015.328857</v>
      </c>
      <c r="J138" s="219">
        <v>1071.4494629999999</v>
      </c>
      <c r="K138" s="219">
        <v>1127.8001710000001</v>
      </c>
      <c r="L138" s="219">
        <v>1184.857544</v>
      </c>
      <c r="M138" s="219">
        <v>1242.602173</v>
      </c>
      <c r="N138" s="219">
        <v>1300.8637699999999</v>
      </c>
      <c r="O138" s="219">
        <v>1359.7788089999999</v>
      </c>
      <c r="P138" s="219">
        <v>1419.6533199999999</v>
      </c>
      <c r="Q138" s="219">
        <v>1480.3670649999999</v>
      </c>
      <c r="R138" s="219">
        <v>1541.5150149999999</v>
      </c>
      <c r="S138" s="219">
        <v>1603.139404</v>
      </c>
      <c r="T138" s="219">
        <v>1665.5854489999999</v>
      </c>
      <c r="U138" s="219">
        <v>1729.3858640000001</v>
      </c>
      <c r="V138" s="219">
        <v>1795.155029</v>
      </c>
      <c r="W138" s="219">
        <v>1862.857422</v>
      </c>
      <c r="X138" s="219">
        <v>1931.973999</v>
      </c>
      <c r="Y138" s="219">
        <v>2001.8626710000001</v>
      </c>
      <c r="Z138" s="219">
        <v>2071.8183589999999</v>
      </c>
      <c r="AA138" s="219">
        <v>2141.7058109999998</v>
      </c>
      <c r="AB138" s="219">
        <v>2211.8625489999999</v>
      </c>
      <c r="AC138" s="219">
        <v>2282.0432129999999</v>
      </c>
      <c r="AD138" s="219">
        <v>2351.5871579999998</v>
      </c>
      <c r="AE138" s="219">
        <v>2419.7944339999999</v>
      </c>
      <c r="AF138" s="212">
        <v>4.1133000000000003E-2</v>
      </c>
      <c r="AG138" s="31"/>
    </row>
    <row r="139" spans="1:33">
      <c r="A139" s="30" t="s">
        <v>908</v>
      </c>
      <c r="B139" s="210" t="s">
        <v>287</v>
      </c>
      <c r="C139" s="219">
        <v>607.629639</v>
      </c>
      <c r="D139" s="219">
        <v>579.78564500000005</v>
      </c>
      <c r="E139" s="219">
        <v>554.85424799999998</v>
      </c>
      <c r="F139" s="219">
        <v>591.023865</v>
      </c>
      <c r="G139" s="219">
        <v>632.18890399999998</v>
      </c>
      <c r="H139" s="219">
        <v>672.03393600000004</v>
      </c>
      <c r="I139" s="219">
        <v>711.24945100000002</v>
      </c>
      <c r="J139" s="219">
        <v>750.78301999999996</v>
      </c>
      <c r="K139" s="219">
        <v>790.37164299999995</v>
      </c>
      <c r="L139" s="219">
        <v>830.36956799999996</v>
      </c>
      <c r="M139" s="219">
        <v>870.75842299999999</v>
      </c>
      <c r="N139" s="219">
        <v>911.40508999999997</v>
      </c>
      <c r="O139" s="219">
        <v>952.40625</v>
      </c>
      <c r="P139" s="219">
        <v>993.98687700000005</v>
      </c>
      <c r="Q139" s="219">
        <v>1036.053101</v>
      </c>
      <c r="R139" s="219">
        <v>1078.296143</v>
      </c>
      <c r="S139" s="219">
        <v>1120.742432</v>
      </c>
      <c r="T139" s="219">
        <v>1163.6453859999999</v>
      </c>
      <c r="U139" s="219">
        <v>1207.394775</v>
      </c>
      <c r="V139" s="219">
        <v>1252.449341</v>
      </c>
      <c r="W139" s="219">
        <v>1298.7775879999999</v>
      </c>
      <c r="X139" s="219">
        <v>1345.984375</v>
      </c>
      <c r="Y139" s="219">
        <v>1393.5820309999999</v>
      </c>
      <c r="Z139" s="219">
        <v>1441.0375979999999</v>
      </c>
      <c r="AA139" s="219">
        <v>1488.2482910000001</v>
      </c>
      <c r="AB139" s="219">
        <v>1535.4626459999999</v>
      </c>
      <c r="AC139" s="219">
        <v>1582.492432</v>
      </c>
      <c r="AD139" s="219">
        <v>1628.837769</v>
      </c>
      <c r="AE139" s="219">
        <v>1673.9719239999999</v>
      </c>
      <c r="AF139" s="212">
        <v>3.6854999999999999E-2</v>
      </c>
      <c r="AG139" s="31"/>
    </row>
    <row r="140" spans="1:33">
      <c r="A140" s="30" t="s">
        <v>909</v>
      </c>
      <c r="B140" s="210" t="s">
        <v>288</v>
      </c>
      <c r="C140" s="219">
        <v>87.702171000000007</v>
      </c>
      <c r="D140" s="219">
        <v>118.64717899999999</v>
      </c>
      <c r="E140" s="219">
        <v>145.718872</v>
      </c>
      <c r="F140" s="219">
        <v>163.990128</v>
      </c>
      <c r="G140" s="219">
        <v>182.23019400000001</v>
      </c>
      <c r="H140" s="219">
        <v>195.94972200000001</v>
      </c>
      <c r="I140" s="219">
        <v>206.901611</v>
      </c>
      <c r="J140" s="219">
        <v>218.06899999999999</v>
      </c>
      <c r="K140" s="219">
        <v>229.41262800000001</v>
      </c>
      <c r="L140" s="219">
        <v>241.004807</v>
      </c>
      <c r="M140" s="219">
        <v>252.84724399999999</v>
      </c>
      <c r="N140" s="219">
        <v>264.92242399999998</v>
      </c>
      <c r="O140" s="219">
        <v>277.25662199999999</v>
      </c>
      <c r="P140" s="219">
        <v>289.89932299999998</v>
      </c>
      <c r="Q140" s="219">
        <v>302.83795199999997</v>
      </c>
      <c r="R140" s="219">
        <v>316.01998900000001</v>
      </c>
      <c r="S140" s="219">
        <v>329.458618</v>
      </c>
      <c r="T140" s="219">
        <v>343.209473</v>
      </c>
      <c r="U140" s="219">
        <v>357.36090100000001</v>
      </c>
      <c r="V140" s="219">
        <v>372.00381499999997</v>
      </c>
      <c r="W140" s="219">
        <v>387.13888500000002</v>
      </c>
      <c r="X140" s="219">
        <v>402.69903599999998</v>
      </c>
      <c r="Y140" s="219">
        <v>418.59939600000001</v>
      </c>
      <c r="Z140" s="219">
        <v>434.743561</v>
      </c>
      <c r="AA140" s="219">
        <v>451.11456299999998</v>
      </c>
      <c r="AB140" s="219">
        <v>467.76574699999998</v>
      </c>
      <c r="AC140" s="219">
        <v>484.66757200000001</v>
      </c>
      <c r="AD140" s="219">
        <v>501.73037699999998</v>
      </c>
      <c r="AE140" s="219">
        <v>518.85571300000004</v>
      </c>
      <c r="AF140" s="212">
        <v>6.5546999999999994E-2</v>
      </c>
      <c r="AG140" s="31"/>
    </row>
    <row r="141" spans="1:33">
      <c r="A141" s="30" t="s">
        <v>910</v>
      </c>
      <c r="B141" s="210" t="s">
        <v>289</v>
      </c>
      <c r="C141" s="219">
        <v>87.390906999999999</v>
      </c>
      <c r="D141" s="219">
        <v>81.559792000000002</v>
      </c>
      <c r="E141" s="219">
        <v>76.668800000000005</v>
      </c>
      <c r="F141" s="219">
        <v>81.186179999999993</v>
      </c>
      <c r="G141" s="219">
        <v>86.467392000000004</v>
      </c>
      <c r="H141" s="219">
        <v>91.794830000000005</v>
      </c>
      <c r="I141" s="219">
        <v>97.177802999999997</v>
      </c>
      <c r="J141" s="219">
        <v>102.597488</v>
      </c>
      <c r="K141" s="219">
        <v>108.01593800000001</v>
      </c>
      <c r="L141" s="219">
        <v>113.483192</v>
      </c>
      <c r="M141" s="219">
        <v>118.996407</v>
      </c>
      <c r="N141" s="219">
        <v>124.536186</v>
      </c>
      <c r="O141" s="219">
        <v>130.11586</v>
      </c>
      <c r="P141" s="219">
        <v>135.76705899999999</v>
      </c>
      <c r="Q141" s="219">
        <v>141.47612000000001</v>
      </c>
      <c r="R141" s="219">
        <v>147.198837</v>
      </c>
      <c r="S141" s="219">
        <v>152.938492</v>
      </c>
      <c r="T141" s="219">
        <v>158.73074299999999</v>
      </c>
      <c r="U141" s="219">
        <v>164.63017300000001</v>
      </c>
      <c r="V141" s="219">
        <v>170.70181299999999</v>
      </c>
      <c r="W141" s="219">
        <v>176.94079600000001</v>
      </c>
      <c r="X141" s="219">
        <v>183.29051200000001</v>
      </c>
      <c r="Y141" s="219">
        <v>189.68124399999999</v>
      </c>
      <c r="Z141" s="219">
        <v>196.03698700000001</v>
      </c>
      <c r="AA141" s="219">
        <v>202.342896</v>
      </c>
      <c r="AB141" s="219">
        <v>208.634064</v>
      </c>
      <c r="AC141" s="219">
        <v>214.88330099999999</v>
      </c>
      <c r="AD141" s="219">
        <v>221.019318</v>
      </c>
      <c r="AE141" s="219">
        <v>226.96713299999999</v>
      </c>
      <c r="AF141" s="212">
        <v>3.4674000000000003E-2</v>
      </c>
      <c r="AG141" s="31"/>
    </row>
    <row r="142" spans="1:33">
      <c r="A142" s="30" t="s">
        <v>911</v>
      </c>
      <c r="B142" s="210" t="s">
        <v>912</v>
      </c>
      <c r="C142" s="219">
        <v>105.801849</v>
      </c>
      <c r="D142" s="219">
        <v>131.08637999999999</v>
      </c>
      <c r="E142" s="219">
        <v>148.97323600000001</v>
      </c>
      <c r="F142" s="219">
        <v>162.49697900000001</v>
      </c>
      <c r="G142" s="219">
        <v>182.242538</v>
      </c>
      <c r="H142" s="219">
        <v>199.04045099999999</v>
      </c>
      <c r="I142" s="219">
        <v>215.68579099999999</v>
      </c>
      <c r="J142" s="219">
        <v>233.66879299999999</v>
      </c>
      <c r="K142" s="219">
        <v>252.08363299999999</v>
      </c>
      <c r="L142" s="219">
        <v>270.79431199999999</v>
      </c>
      <c r="M142" s="219">
        <v>289.70480300000003</v>
      </c>
      <c r="N142" s="219">
        <v>308.69137599999999</v>
      </c>
      <c r="O142" s="219">
        <v>327.61547899999999</v>
      </c>
      <c r="P142" s="219">
        <v>346.53881799999999</v>
      </c>
      <c r="Q142" s="219">
        <v>365.61932400000001</v>
      </c>
      <c r="R142" s="219">
        <v>385.17947400000003</v>
      </c>
      <c r="S142" s="219">
        <v>405.21984900000001</v>
      </c>
      <c r="T142" s="219">
        <v>425.707581</v>
      </c>
      <c r="U142" s="219">
        <v>446.58886699999999</v>
      </c>
      <c r="V142" s="219">
        <v>467.84079000000003</v>
      </c>
      <c r="W142" s="219">
        <v>489.42877199999998</v>
      </c>
      <c r="X142" s="219">
        <v>511.33187900000001</v>
      </c>
      <c r="Y142" s="219">
        <v>533.48980700000004</v>
      </c>
      <c r="Z142" s="219">
        <v>555.85424799999998</v>
      </c>
      <c r="AA142" s="219">
        <v>578.37213099999997</v>
      </c>
      <c r="AB142" s="219">
        <v>600.98870799999997</v>
      </c>
      <c r="AC142" s="219">
        <v>623.63964799999997</v>
      </c>
      <c r="AD142" s="219">
        <v>646.26062000000002</v>
      </c>
      <c r="AE142" s="219">
        <v>668.79229699999996</v>
      </c>
      <c r="AF142" s="212">
        <v>6.8071000000000007E-2</v>
      </c>
      <c r="AG142" s="31"/>
    </row>
    <row r="143" spans="1:33">
      <c r="A143" s="30" t="s">
        <v>913</v>
      </c>
      <c r="B143" s="210" t="s">
        <v>287</v>
      </c>
      <c r="C143" s="219">
        <v>75.193489</v>
      </c>
      <c r="D143" s="219">
        <v>88.749320999999995</v>
      </c>
      <c r="E143" s="219">
        <v>96.573020999999997</v>
      </c>
      <c r="F143" s="219">
        <v>102.475159</v>
      </c>
      <c r="G143" s="219">
        <v>114.042053</v>
      </c>
      <c r="H143" s="219">
        <v>124.892517</v>
      </c>
      <c r="I143" s="219">
        <v>135.918442</v>
      </c>
      <c r="J143" s="219">
        <v>147.58873</v>
      </c>
      <c r="K143" s="219">
        <v>159.55355800000001</v>
      </c>
      <c r="L143" s="219">
        <v>171.721115</v>
      </c>
      <c r="M143" s="219">
        <v>184.025848</v>
      </c>
      <c r="N143" s="219">
        <v>196.38386499999999</v>
      </c>
      <c r="O143" s="219">
        <v>208.70137</v>
      </c>
      <c r="P143" s="219">
        <v>221.01852400000001</v>
      </c>
      <c r="Q143" s="219">
        <v>233.43985000000001</v>
      </c>
      <c r="R143" s="219">
        <v>246.18055699999999</v>
      </c>
      <c r="S143" s="219">
        <v>259.24078400000002</v>
      </c>
      <c r="T143" s="219">
        <v>272.59823599999999</v>
      </c>
      <c r="U143" s="219">
        <v>286.21472199999999</v>
      </c>
      <c r="V143" s="219">
        <v>300.07556199999999</v>
      </c>
      <c r="W143" s="219">
        <v>314.157196</v>
      </c>
      <c r="X143" s="219">
        <v>328.44482399999998</v>
      </c>
      <c r="Y143" s="219">
        <v>342.89700299999998</v>
      </c>
      <c r="Z143" s="219">
        <v>357.48037699999998</v>
      </c>
      <c r="AA143" s="219">
        <v>372.15881300000001</v>
      </c>
      <c r="AB143" s="219">
        <v>386.89511099999999</v>
      </c>
      <c r="AC143" s="219">
        <v>401.64532500000001</v>
      </c>
      <c r="AD143" s="219">
        <v>416.36498999999998</v>
      </c>
      <c r="AE143" s="219">
        <v>431.01361100000003</v>
      </c>
      <c r="AF143" s="212">
        <v>6.4344999999999999E-2</v>
      </c>
      <c r="AG143" s="31"/>
    </row>
    <row r="144" spans="1:33">
      <c r="A144" s="30" t="s">
        <v>914</v>
      </c>
      <c r="B144" s="210" t="s">
        <v>288</v>
      </c>
      <c r="C144" s="219">
        <v>20.681094999999999</v>
      </c>
      <c r="D144" s="219">
        <v>31.151104</v>
      </c>
      <c r="E144" s="219">
        <v>40.734214999999999</v>
      </c>
      <c r="F144" s="219">
        <v>48.025737999999997</v>
      </c>
      <c r="G144" s="219">
        <v>54.971947</v>
      </c>
      <c r="H144" s="219">
        <v>59.613852999999999</v>
      </c>
      <c r="I144" s="219">
        <v>63.869911000000002</v>
      </c>
      <c r="J144" s="219">
        <v>68.771148999999994</v>
      </c>
      <c r="K144" s="219">
        <v>73.772148000000001</v>
      </c>
      <c r="L144" s="219">
        <v>78.840309000000005</v>
      </c>
      <c r="M144" s="219">
        <v>83.953598</v>
      </c>
      <c r="N144" s="219">
        <v>89.082618999999994</v>
      </c>
      <c r="O144" s="219">
        <v>94.194580000000002</v>
      </c>
      <c r="P144" s="219">
        <v>99.306160000000006</v>
      </c>
      <c r="Q144" s="219">
        <v>104.45790100000001</v>
      </c>
      <c r="R144" s="219">
        <v>109.730125</v>
      </c>
      <c r="S144" s="219">
        <v>115.12342099999999</v>
      </c>
      <c r="T144" s="219">
        <v>120.629929</v>
      </c>
      <c r="U144" s="219">
        <v>126.239189</v>
      </c>
      <c r="V144" s="219">
        <v>131.944626</v>
      </c>
      <c r="W144" s="219">
        <v>137.73826600000001</v>
      </c>
      <c r="X144" s="219">
        <v>143.61595199999999</v>
      </c>
      <c r="Y144" s="219">
        <v>149.56410199999999</v>
      </c>
      <c r="Z144" s="219">
        <v>155.57214400000001</v>
      </c>
      <c r="AA144" s="219">
        <v>161.627579</v>
      </c>
      <c r="AB144" s="219">
        <v>167.71759</v>
      </c>
      <c r="AC144" s="219">
        <v>173.827698</v>
      </c>
      <c r="AD144" s="219">
        <v>179.94335899999999</v>
      </c>
      <c r="AE144" s="219">
        <v>186.051331</v>
      </c>
      <c r="AF144" s="212">
        <v>8.1616999999999995E-2</v>
      </c>
      <c r="AG144" s="31"/>
    </row>
    <row r="145" spans="1:33">
      <c r="A145" s="30" t="s">
        <v>915</v>
      </c>
      <c r="B145" s="210" t="s">
        <v>289</v>
      </c>
      <c r="C145" s="219">
        <v>9.9272690000000008</v>
      </c>
      <c r="D145" s="219">
        <v>11.185945</v>
      </c>
      <c r="E145" s="219">
        <v>11.666002000000001</v>
      </c>
      <c r="F145" s="219">
        <v>11.996092000000001</v>
      </c>
      <c r="G145" s="219">
        <v>13.228529999999999</v>
      </c>
      <c r="H145" s="219">
        <v>14.534067</v>
      </c>
      <c r="I145" s="219">
        <v>15.897460000000001</v>
      </c>
      <c r="J145" s="219">
        <v>17.308926</v>
      </c>
      <c r="K145" s="219">
        <v>18.757919000000001</v>
      </c>
      <c r="L145" s="219">
        <v>20.232868</v>
      </c>
      <c r="M145" s="219">
        <v>21.725401000000002</v>
      </c>
      <c r="N145" s="219">
        <v>23.224907000000002</v>
      </c>
      <c r="O145" s="219">
        <v>24.719524</v>
      </c>
      <c r="P145" s="219">
        <v>26.214109000000001</v>
      </c>
      <c r="Q145" s="219">
        <v>27.721582000000001</v>
      </c>
      <c r="R145" s="219">
        <v>29.26877</v>
      </c>
      <c r="S145" s="219">
        <v>30.855650000000001</v>
      </c>
      <c r="T145" s="219">
        <v>32.479407999999999</v>
      </c>
      <c r="U145" s="219">
        <v>34.134968000000001</v>
      </c>
      <c r="V145" s="219">
        <v>35.820602000000001</v>
      </c>
      <c r="W145" s="219">
        <v>37.533295000000003</v>
      </c>
      <c r="X145" s="219">
        <v>39.271095000000003</v>
      </c>
      <c r="Y145" s="219">
        <v>41.028694000000002</v>
      </c>
      <c r="Z145" s="219">
        <v>42.801788000000002</v>
      </c>
      <c r="AA145" s="219">
        <v>44.585773000000003</v>
      </c>
      <c r="AB145" s="219">
        <v>46.375937999999998</v>
      </c>
      <c r="AC145" s="219">
        <v>48.166649</v>
      </c>
      <c r="AD145" s="219">
        <v>49.952205999999997</v>
      </c>
      <c r="AE145" s="219">
        <v>51.727398000000001</v>
      </c>
      <c r="AF145" s="212">
        <v>6.0726000000000002E-2</v>
      </c>
      <c r="AG145" s="31"/>
    </row>
    <row r="146" spans="1:33">
      <c r="A146" s="30" t="s">
        <v>916</v>
      </c>
      <c r="B146" s="210" t="s">
        <v>917</v>
      </c>
      <c r="C146" s="219">
        <v>375.91976899999997</v>
      </c>
      <c r="D146" s="219">
        <v>481.70532200000002</v>
      </c>
      <c r="E146" s="219">
        <v>566.80071999999996</v>
      </c>
      <c r="F146" s="219">
        <v>619.48498500000005</v>
      </c>
      <c r="G146" s="219">
        <v>692.50787400000002</v>
      </c>
      <c r="H146" s="219">
        <v>742.44305399999996</v>
      </c>
      <c r="I146" s="219">
        <v>789.48498500000005</v>
      </c>
      <c r="J146" s="219">
        <v>826.39794900000004</v>
      </c>
      <c r="K146" s="219">
        <v>863.72631799999999</v>
      </c>
      <c r="L146" s="219">
        <v>901.85369900000001</v>
      </c>
      <c r="M146" s="219">
        <v>941.02893100000006</v>
      </c>
      <c r="N146" s="219">
        <v>981.25726299999997</v>
      </c>
      <c r="O146" s="219">
        <v>1022.627808</v>
      </c>
      <c r="P146" s="219">
        <v>1065.224731</v>
      </c>
      <c r="Q146" s="219">
        <v>1108.5661620000001</v>
      </c>
      <c r="R146" s="219">
        <v>1153.0804439999999</v>
      </c>
      <c r="S146" s="219">
        <v>1198.8654790000001</v>
      </c>
      <c r="T146" s="219">
        <v>1245.9023440000001</v>
      </c>
      <c r="U146" s="219">
        <v>1294.303101</v>
      </c>
      <c r="V146" s="219">
        <v>1343.3957519999999</v>
      </c>
      <c r="W146" s="219">
        <v>1393.615845</v>
      </c>
      <c r="X146" s="219">
        <v>1445.0317379999999</v>
      </c>
      <c r="Y146" s="219">
        <v>1497.6895750000001</v>
      </c>
      <c r="Z146" s="219">
        <v>1551.5473629999999</v>
      </c>
      <c r="AA146" s="219">
        <v>1605.368774</v>
      </c>
      <c r="AB146" s="219">
        <v>1660.1064449999999</v>
      </c>
      <c r="AC146" s="219">
        <v>1716.0744629999999</v>
      </c>
      <c r="AD146" s="219">
        <v>1773.384644</v>
      </c>
      <c r="AE146" s="219">
        <v>1832.1719969999999</v>
      </c>
      <c r="AF146" s="212">
        <v>5.8198E-2</v>
      </c>
      <c r="AG146" s="31"/>
    </row>
    <row r="147" spans="1:33">
      <c r="A147" s="30" t="s">
        <v>918</v>
      </c>
      <c r="B147" s="210" t="s">
        <v>287</v>
      </c>
      <c r="C147" s="219">
        <v>202.08255</v>
      </c>
      <c r="D147" s="219">
        <v>239.99041700000001</v>
      </c>
      <c r="E147" s="219">
        <v>264.53637700000002</v>
      </c>
      <c r="F147" s="219">
        <v>278.37924199999998</v>
      </c>
      <c r="G147" s="219">
        <v>305.40206899999998</v>
      </c>
      <c r="H147" s="219">
        <v>325.109375</v>
      </c>
      <c r="I147" s="219">
        <v>344.39532500000001</v>
      </c>
      <c r="J147" s="219">
        <v>361.64950599999997</v>
      </c>
      <c r="K147" s="219">
        <v>379.05777</v>
      </c>
      <c r="L147" s="219">
        <v>396.874908</v>
      </c>
      <c r="M147" s="219">
        <v>415.19317599999999</v>
      </c>
      <c r="N147" s="219">
        <v>434.01336700000002</v>
      </c>
      <c r="O147" s="219">
        <v>453.38519300000002</v>
      </c>
      <c r="P147" s="219">
        <v>473.35357699999997</v>
      </c>
      <c r="Q147" s="219">
        <v>493.69140599999997</v>
      </c>
      <c r="R147" s="219">
        <v>514.59161400000005</v>
      </c>
      <c r="S147" s="219">
        <v>536.10888699999998</v>
      </c>
      <c r="T147" s="219">
        <v>558.22985800000004</v>
      </c>
      <c r="U147" s="219">
        <v>581.01440400000001</v>
      </c>
      <c r="V147" s="219">
        <v>604.13098100000002</v>
      </c>
      <c r="W147" s="219">
        <v>627.776794</v>
      </c>
      <c r="X147" s="219">
        <v>651.98644999999999</v>
      </c>
      <c r="Y147" s="219">
        <v>676.78234899999995</v>
      </c>
      <c r="Z147" s="219">
        <v>702.13751200000002</v>
      </c>
      <c r="AA147" s="219">
        <v>727.42218000000003</v>
      </c>
      <c r="AB147" s="219">
        <v>753.10339399999998</v>
      </c>
      <c r="AC147" s="219">
        <v>779.35504200000003</v>
      </c>
      <c r="AD147" s="219">
        <v>806.23724400000003</v>
      </c>
      <c r="AE147" s="219">
        <v>833.82495100000006</v>
      </c>
      <c r="AF147" s="212">
        <v>5.1922999999999997E-2</v>
      </c>
      <c r="AG147" s="31"/>
    </row>
    <row r="148" spans="1:33">
      <c r="A148" s="30" t="s">
        <v>919</v>
      </c>
      <c r="B148" s="210" t="s">
        <v>288</v>
      </c>
      <c r="C148" s="219">
        <v>155.46173099999999</v>
      </c>
      <c r="D148" s="219">
        <v>220.74285900000001</v>
      </c>
      <c r="E148" s="219">
        <v>279.43624899999998</v>
      </c>
      <c r="F148" s="219">
        <v>317.849243</v>
      </c>
      <c r="G148" s="219">
        <v>362.02066000000002</v>
      </c>
      <c r="H148" s="219">
        <v>390.80450400000001</v>
      </c>
      <c r="I148" s="219">
        <v>417.08648699999998</v>
      </c>
      <c r="J148" s="219">
        <v>435.25451700000002</v>
      </c>
      <c r="K148" s="219">
        <v>453.67334</v>
      </c>
      <c r="L148" s="219">
        <v>472.444458</v>
      </c>
      <c r="M148" s="219">
        <v>491.71816999999999</v>
      </c>
      <c r="N148" s="219">
        <v>511.49902300000002</v>
      </c>
      <c r="O148" s="219">
        <v>531.82147199999997</v>
      </c>
      <c r="P148" s="219">
        <v>552.72070299999996</v>
      </c>
      <c r="Q148" s="219">
        <v>573.96124299999997</v>
      </c>
      <c r="R148" s="219">
        <v>595.76293899999996</v>
      </c>
      <c r="S148" s="219">
        <v>618.16339100000005</v>
      </c>
      <c r="T148" s="219">
        <v>641.15844700000002</v>
      </c>
      <c r="U148" s="219">
        <v>664.79449499999998</v>
      </c>
      <c r="V148" s="219">
        <v>688.76110800000004</v>
      </c>
      <c r="W148" s="219">
        <v>713.28021200000001</v>
      </c>
      <c r="X148" s="219">
        <v>738.38207999999997</v>
      </c>
      <c r="Y148" s="219">
        <v>764.08868399999994</v>
      </c>
      <c r="Z148" s="219">
        <v>790.38763400000005</v>
      </c>
      <c r="AA148" s="219">
        <v>816.730591</v>
      </c>
      <c r="AB148" s="219">
        <v>843.56140100000005</v>
      </c>
      <c r="AC148" s="219">
        <v>871.00286900000003</v>
      </c>
      <c r="AD148" s="219">
        <v>899.10162400000002</v>
      </c>
      <c r="AE148" s="219">
        <v>927.90972899999997</v>
      </c>
      <c r="AF148" s="212">
        <v>6.5883999999999998E-2</v>
      </c>
      <c r="AG148" s="31"/>
    </row>
    <row r="149" spans="1:33">
      <c r="A149" s="30" t="s">
        <v>920</v>
      </c>
      <c r="B149" s="210" t="s">
        <v>289</v>
      </c>
      <c r="C149" s="219">
        <v>18.375473</v>
      </c>
      <c r="D149" s="219">
        <v>20.972035999999999</v>
      </c>
      <c r="E149" s="219">
        <v>22.828130999999999</v>
      </c>
      <c r="F149" s="219">
        <v>23.256474000000001</v>
      </c>
      <c r="G149" s="219">
        <v>25.085111999999999</v>
      </c>
      <c r="H149" s="219">
        <v>26.529171000000002</v>
      </c>
      <c r="I149" s="219">
        <v>28.003108999999998</v>
      </c>
      <c r="J149" s="219">
        <v>29.493925000000001</v>
      </c>
      <c r="K149" s="219">
        <v>30.995201000000002</v>
      </c>
      <c r="L149" s="219">
        <v>32.534325000000003</v>
      </c>
      <c r="M149" s="219">
        <v>34.117558000000002</v>
      </c>
      <c r="N149" s="219">
        <v>35.744843000000003</v>
      </c>
      <c r="O149" s="219">
        <v>37.421059</v>
      </c>
      <c r="P149" s="219">
        <v>39.150475</v>
      </c>
      <c r="Q149" s="219">
        <v>40.913345</v>
      </c>
      <c r="R149" s="219">
        <v>42.7258</v>
      </c>
      <c r="S149" s="219">
        <v>44.593226999999999</v>
      </c>
      <c r="T149" s="219">
        <v>46.514130000000002</v>
      </c>
      <c r="U149" s="219">
        <v>48.494213000000002</v>
      </c>
      <c r="V149" s="219">
        <v>50.503624000000002</v>
      </c>
      <c r="W149" s="219">
        <v>52.558903000000001</v>
      </c>
      <c r="X149" s="219">
        <v>54.663254000000002</v>
      </c>
      <c r="Y149" s="219">
        <v>56.818660999999999</v>
      </c>
      <c r="Z149" s="219">
        <v>59.022284999999997</v>
      </c>
      <c r="AA149" s="219">
        <v>61.216000000000001</v>
      </c>
      <c r="AB149" s="219">
        <v>63.441715000000002</v>
      </c>
      <c r="AC149" s="219">
        <v>65.716399999999993</v>
      </c>
      <c r="AD149" s="219">
        <v>68.045783999999998</v>
      </c>
      <c r="AE149" s="219">
        <v>70.437195000000003</v>
      </c>
      <c r="AF149" s="212">
        <v>4.9160000000000002E-2</v>
      </c>
      <c r="AG149" s="31"/>
    </row>
    <row r="150" spans="1:33">
      <c r="A150" s="30" t="s">
        <v>921</v>
      </c>
      <c r="B150" s="210" t="s">
        <v>922</v>
      </c>
      <c r="C150" s="219">
        <v>162.27954099999999</v>
      </c>
      <c r="D150" s="219">
        <v>220.34437600000001</v>
      </c>
      <c r="E150" s="219">
        <v>283.60168499999997</v>
      </c>
      <c r="F150" s="219">
        <v>335.28662100000003</v>
      </c>
      <c r="G150" s="219">
        <v>373.78436299999998</v>
      </c>
      <c r="H150" s="219">
        <v>399.65692100000001</v>
      </c>
      <c r="I150" s="219">
        <v>424.588165</v>
      </c>
      <c r="J150" s="219">
        <v>444.73553500000003</v>
      </c>
      <c r="K150" s="219">
        <v>465.55981400000002</v>
      </c>
      <c r="L150" s="219">
        <v>486.492706</v>
      </c>
      <c r="M150" s="219">
        <v>508.21795700000001</v>
      </c>
      <c r="N150" s="219">
        <v>530.80432099999996</v>
      </c>
      <c r="O150" s="219">
        <v>554.29113800000005</v>
      </c>
      <c r="P150" s="219">
        <v>578.72289999999998</v>
      </c>
      <c r="Q150" s="219">
        <v>603.86834699999997</v>
      </c>
      <c r="R150" s="219">
        <v>629.992615</v>
      </c>
      <c r="S150" s="219">
        <v>657.12609899999995</v>
      </c>
      <c r="T150" s="219">
        <v>685.28576699999996</v>
      </c>
      <c r="U150" s="219">
        <v>714.50665300000003</v>
      </c>
      <c r="V150" s="219">
        <v>744.58624299999997</v>
      </c>
      <c r="W150" s="219">
        <v>775.77813700000002</v>
      </c>
      <c r="X150" s="219">
        <v>808.120544</v>
      </c>
      <c r="Y150" s="219">
        <v>841.64727800000003</v>
      </c>
      <c r="Z150" s="219">
        <v>876.40563999999995</v>
      </c>
      <c r="AA150" s="219">
        <v>912.07891800000004</v>
      </c>
      <c r="AB150" s="219">
        <v>949.02533000000005</v>
      </c>
      <c r="AC150" s="219">
        <v>987.29339600000003</v>
      </c>
      <c r="AD150" s="219">
        <v>1026.921143</v>
      </c>
      <c r="AE150" s="219">
        <v>1067.9521480000001</v>
      </c>
      <c r="AF150" s="212">
        <v>6.9608000000000003E-2</v>
      </c>
      <c r="AG150" s="31"/>
    </row>
    <row r="151" spans="1:33">
      <c r="A151" s="30" t="s">
        <v>923</v>
      </c>
      <c r="B151" s="210" t="s">
        <v>287</v>
      </c>
      <c r="C151" s="219">
        <v>47.925185999999997</v>
      </c>
      <c r="D151" s="219">
        <v>65.206665000000001</v>
      </c>
      <c r="E151" s="219">
        <v>84.260093999999995</v>
      </c>
      <c r="F151" s="219">
        <v>98.283669000000003</v>
      </c>
      <c r="G151" s="219">
        <v>106.965828</v>
      </c>
      <c r="H151" s="219">
        <v>113.162628</v>
      </c>
      <c r="I151" s="219">
        <v>119.248817</v>
      </c>
      <c r="J151" s="219">
        <v>124.49781</v>
      </c>
      <c r="K151" s="219">
        <v>129.91471899999999</v>
      </c>
      <c r="L151" s="219">
        <v>135.37001000000001</v>
      </c>
      <c r="M151" s="219">
        <v>140.99529999999999</v>
      </c>
      <c r="N151" s="219">
        <v>146.82103000000001</v>
      </c>
      <c r="O151" s="219">
        <v>152.85952800000001</v>
      </c>
      <c r="P151" s="219">
        <v>159.126328</v>
      </c>
      <c r="Q151" s="219">
        <v>165.56712300000001</v>
      </c>
      <c r="R151" s="219">
        <v>172.23751799999999</v>
      </c>
      <c r="S151" s="219">
        <v>179.143967</v>
      </c>
      <c r="T151" s="219">
        <v>186.28448499999999</v>
      </c>
      <c r="U151" s="219">
        <v>193.666122</v>
      </c>
      <c r="V151" s="219">
        <v>201.24624600000001</v>
      </c>
      <c r="W151" s="219">
        <v>209.07875100000001</v>
      </c>
      <c r="X151" s="219">
        <v>217.173676</v>
      </c>
      <c r="Y151" s="219">
        <v>225.537994</v>
      </c>
      <c r="Z151" s="219">
        <v>234.18237300000001</v>
      </c>
      <c r="AA151" s="219">
        <v>243.03521699999999</v>
      </c>
      <c r="AB151" s="219">
        <v>252.17364499999999</v>
      </c>
      <c r="AC151" s="219">
        <v>261.61105300000003</v>
      </c>
      <c r="AD151" s="219">
        <v>271.35537699999998</v>
      </c>
      <c r="AE151" s="219">
        <v>281.41656499999999</v>
      </c>
      <c r="AF151" s="212">
        <v>6.5263000000000002E-2</v>
      </c>
      <c r="AG151" s="31"/>
    </row>
    <row r="152" spans="1:33">
      <c r="A152" s="30" t="s">
        <v>924</v>
      </c>
      <c r="B152" s="210" t="s">
        <v>288</v>
      </c>
      <c r="C152" s="219">
        <v>111.985527</v>
      </c>
      <c r="D152" s="219">
        <v>151.942352</v>
      </c>
      <c r="E152" s="219">
        <v>195.23732000000001</v>
      </c>
      <c r="F152" s="219">
        <v>232.306488</v>
      </c>
      <c r="G152" s="219">
        <v>261.88717700000001</v>
      </c>
      <c r="H152" s="219">
        <v>281.36276199999998</v>
      </c>
      <c r="I152" s="219">
        <v>300.00149499999998</v>
      </c>
      <c r="J152" s="219">
        <v>314.694458</v>
      </c>
      <c r="K152" s="219">
        <v>329.890533</v>
      </c>
      <c r="L152" s="219">
        <v>345.15454099999999</v>
      </c>
      <c r="M152" s="219">
        <v>361.03707900000001</v>
      </c>
      <c r="N152" s="219">
        <v>377.57427999999999</v>
      </c>
      <c r="O152" s="219">
        <v>394.79260299999999</v>
      </c>
      <c r="P152" s="219">
        <v>412.71994000000001</v>
      </c>
      <c r="Q152" s="219">
        <v>431.18127399999997</v>
      </c>
      <c r="R152" s="219">
        <v>450.384613</v>
      </c>
      <c r="S152" s="219">
        <v>470.35406499999999</v>
      </c>
      <c r="T152" s="219">
        <v>491.10906999999997</v>
      </c>
      <c r="U152" s="219">
        <v>512.677368</v>
      </c>
      <c r="V152" s="219">
        <v>534.90020800000002</v>
      </c>
      <c r="W152" s="219">
        <v>557.97601299999997</v>
      </c>
      <c r="X152" s="219">
        <v>581.93243399999994</v>
      </c>
      <c r="Y152" s="219">
        <v>606.79632600000002</v>
      </c>
      <c r="Z152" s="219">
        <v>632.60412599999995</v>
      </c>
      <c r="AA152" s="219">
        <v>659.11236599999995</v>
      </c>
      <c r="AB152" s="219">
        <v>686.60070800000005</v>
      </c>
      <c r="AC152" s="219">
        <v>715.10357699999997</v>
      </c>
      <c r="AD152" s="219">
        <v>744.650757</v>
      </c>
      <c r="AE152" s="219">
        <v>775.27581799999996</v>
      </c>
      <c r="AF152" s="212">
        <v>7.1544999999999997E-2</v>
      </c>
      <c r="AG152" s="31"/>
    </row>
    <row r="153" spans="1:33">
      <c r="A153" s="30" t="s">
        <v>925</v>
      </c>
      <c r="B153" s="210" t="s">
        <v>289</v>
      </c>
      <c r="C153" s="219">
        <v>2.3688289999999999</v>
      </c>
      <c r="D153" s="219">
        <v>3.1953429999999998</v>
      </c>
      <c r="E153" s="219">
        <v>4.1042870000000002</v>
      </c>
      <c r="F153" s="219">
        <v>4.6964689999999996</v>
      </c>
      <c r="G153" s="219">
        <v>4.9313560000000001</v>
      </c>
      <c r="H153" s="219">
        <v>5.1315350000000004</v>
      </c>
      <c r="I153" s="219">
        <v>5.3378620000000003</v>
      </c>
      <c r="J153" s="219">
        <v>5.5432589999999999</v>
      </c>
      <c r="K153" s="219">
        <v>5.7545710000000003</v>
      </c>
      <c r="L153" s="219">
        <v>5.968172</v>
      </c>
      <c r="M153" s="219">
        <v>6.1855859999999998</v>
      </c>
      <c r="N153" s="219">
        <v>6.4089879999999999</v>
      </c>
      <c r="O153" s="219">
        <v>6.6390180000000001</v>
      </c>
      <c r="P153" s="219">
        <v>6.8765869999999998</v>
      </c>
      <c r="Q153" s="219">
        <v>7.1200349999999997</v>
      </c>
      <c r="R153" s="219">
        <v>7.3704929999999997</v>
      </c>
      <c r="S153" s="219">
        <v>7.6280970000000003</v>
      </c>
      <c r="T153" s="219">
        <v>7.8922679999999996</v>
      </c>
      <c r="U153" s="219">
        <v>8.1631269999999994</v>
      </c>
      <c r="V153" s="219">
        <v>8.4397870000000008</v>
      </c>
      <c r="W153" s="219">
        <v>8.7234130000000007</v>
      </c>
      <c r="X153" s="219">
        <v>9.0144040000000007</v>
      </c>
      <c r="Y153" s="219">
        <v>9.3128930000000008</v>
      </c>
      <c r="Z153" s="219">
        <v>9.6191580000000005</v>
      </c>
      <c r="AA153" s="219">
        <v>9.93126</v>
      </c>
      <c r="AB153" s="219">
        <v>10.250947</v>
      </c>
      <c r="AC153" s="219">
        <v>10.578808</v>
      </c>
      <c r="AD153" s="219">
        <v>10.914996</v>
      </c>
      <c r="AE153" s="219">
        <v>11.259789</v>
      </c>
      <c r="AF153" s="212">
        <v>5.7251999999999997E-2</v>
      </c>
      <c r="AG153" s="31"/>
    </row>
    <row r="154" spans="1:33">
      <c r="A154" s="30" t="s">
        <v>926</v>
      </c>
      <c r="B154" s="210" t="s">
        <v>294</v>
      </c>
      <c r="C154" s="219">
        <v>108.068314</v>
      </c>
      <c r="D154" s="219">
        <v>134.33866900000001</v>
      </c>
      <c r="E154" s="219">
        <v>160.460846</v>
      </c>
      <c r="F154" s="219">
        <v>175.372849</v>
      </c>
      <c r="G154" s="219">
        <v>190.59790000000001</v>
      </c>
      <c r="H154" s="219">
        <v>200.96203600000001</v>
      </c>
      <c r="I154" s="219">
        <v>209.95349100000001</v>
      </c>
      <c r="J154" s="219">
        <v>219.482651</v>
      </c>
      <c r="K154" s="219">
        <v>229.459</v>
      </c>
      <c r="L154" s="219">
        <v>239.86399800000001</v>
      </c>
      <c r="M154" s="219">
        <v>250.63970900000001</v>
      </c>
      <c r="N154" s="219">
        <v>261.76123000000001</v>
      </c>
      <c r="O154" s="219">
        <v>273.22671500000001</v>
      </c>
      <c r="P154" s="219">
        <v>285.03585800000002</v>
      </c>
      <c r="Q154" s="219">
        <v>297.30960099999999</v>
      </c>
      <c r="R154" s="219">
        <v>309.96319599999998</v>
      </c>
      <c r="S154" s="219">
        <v>322.98092700000001</v>
      </c>
      <c r="T154" s="219">
        <v>336.36114500000002</v>
      </c>
      <c r="U154" s="219">
        <v>350.11276199999998</v>
      </c>
      <c r="V154" s="219">
        <v>364.35461400000003</v>
      </c>
      <c r="W154" s="219">
        <v>378.99136399999998</v>
      </c>
      <c r="X154" s="219">
        <v>394.01416</v>
      </c>
      <c r="Y154" s="219">
        <v>409.428406</v>
      </c>
      <c r="Z154" s="219">
        <v>425.250519</v>
      </c>
      <c r="AA154" s="219">
        <v>441.58010899999999</v>
      </c>
      <c r="AB154" s="219">
        <v>458.33084100000002</v>
      </c>
      <c r="AC154" s="219">
        <v>475.49792500000001</v>
      </c>
      <c r="AD154" s="219">
        <v>493.08587599999998</v>
      </c>
      <c r="AE154" s="219">
        <v>511.11007699999999</v>
      </c>
      <c r="AF154" s="212">
        <v>5.7062000000000002E-2</v>
      </c>
      <c r="AG154" s="31"/>
    </row>
    <row r="155" spans="1:33">
      <c r="A155" s="30" t="s">
        <v>927</v>
      </c>
      <c r="B155" s="210" t="s">
        <v>287</v>
      </c>
      <c r="C155" s="219">
        <v>45.485579999999999</v>
      </c>
      <c r="D155" s="219">
        <v>55.676124999999999</v>
      </c>
      <c r="E155" s="219">
        <v>66.977654000000001</v>
      </c>
      <c r="F155" s="219">
        <v>72.654563999999993</v>
      </c>
      <c r="G155" s="219">
        <v>78.271675000000002</v>
      </c>
      <c r="H155" s="219">
        <v>82.364295999999996</v>
      </c>
      <c r="I155" s="219">
        <v>86.127701000000002</v>
      </c>
      <c r="J155" s="219">
        <v>90.092490999999995</v>
      </c>
      <c r="K155" s="219">
        <v>94.245590000000007</v>
      </c>
      <c r="L155" s="219">
        <v>98.584045000000003</v>
      </c>
      <c r="M155" s="219">
        <v>103.082115</v>
      </c>
      <c r="N155" s="219">
        <v>107.73053</v>
      </c>
      <c r="O155" s="219">
        <v>112.529045</v>
      </c>
      <c r="P155" s="219">
        <v>117.478104</v>
      </c>
      <c r="Q155" s="219">
        <v>122.62938699999999</v>
      </c>
      <c r="R155" s="219">
        <v>127.946747</v>
      </c>
      <c r="S155" s="219">
        <v>133.42456100000001</v>
      </c>
      <c r="T155" s="219">
        <v>139.062714</v>
      </c>
      <c r="U155" s="219">
        <v>144.863831</v>
      </c>
      <c r="V155" s="219">
        <v>150.87931800000001</v>
      </c>
      <c r="W155" s="219">
        <v>157.06916799999999</v>
      </c>
      <c r="X155" s="219">
        <v>163.43048099999999</v>
      </c>
      <c r="Y155" s="219">
        <v>169.96601899999999</v>
      </c>
      <c r="Z155" s="219">
        <v>176.68287699999999</v>
      </c>
      <c r="AA155" s="219">
        <v>183.623535</v>
      </c>
      <c r="AB155" s="219">
        <v>190.75221300000001</v>
      </c>
      <c r="AC155" s="219">
        <v>198.06779499999999</v>
      </c>
      <c r="AD155" s="219">
        <v>205.57281499999999</v>
      </c>
      <c r="AE155" s="219">
        <v>213.27409399999999</v>
      </c>
      <c r="AF155" s="212">
        <v>5.6736000000000002E-2</v>
      </c>
      <c r="AG155" s="31"/>
    </row>
    <row r="156" spans="1:33">
      <c r="A156" s="30" t="s">
        <v>928</v>
      </c>
      <c r="B156" s="210" t="s">
        <v>288</v>
      </c>
      <c r="C156" s="219">
        <v>57.727024</v>
      </c>
      <c r="D156" s="219">
        <v>72.771004000000005</v>
      </c>
      <c r="E156" s="219">
        <v>86.377089999999995</v>
      </c>
      <c r="F156" s="219">
        <v>95.095618999999999</v>
      </c>
      <c r="G156" s="219">
        <v>104.223206</v>
      </c>
      <c r="H156" s="219">
        <v>110.09704600000001</v>
      </c>
      <c r="I156" s="219">
        <v>114.92420199999999</v>
      </c>
      <c r="J156" s="219">
        <v>120.06993900000001</v>
      </c>
      <c r="K156" s="219">
        <v>125.454285</v>
      </c>
      <c r="L156" s="219">
        <v>131.06126399999999</v>
      </c>
      <c r="M156" s="219">
        <v>136.86163300000001</v>
      </c>
      <c r="N156" s="219">
        <v>142.84060700000001</v>
      </c>
      <c r="O156" s="219">
        <v>148.99646000000001</v>
      </c>
      <c r="P156" s="219">
        <v>155.32835399999999</v>
      </c>
      <c r="Q156" s="219">
        <v>161.89987199999999</v>
      </c>
      <c r="R156" s="219">
        <v>168.666382</v>
      </c>
      <c r="S156" s="219">
        <v>175.618225</v>
      </c>
      <c r="T156" s="219">
        <v>182.753784</v>
      </c>
      <c r="U156" s="219">
        <v>190.07925399999999</v>
      </c>
      <c r="V156" s="219">
        <v>197.656296</v>
      </c>
      <c r="W156" s="219">
        <v>205.43386799999999</v>
      </c>
      <c r="X156" s="219">
        <v>213.40623500000001</v>
      </c>
      <c r="Y156" s="219">
        <v>221.57566800000001</v>
      </c>
      <c r="Z156" s="219">
        <v>229.95066800000001</v>
      </c>
      <c r="AA156" s="219">
        <v>238.58374000000001</v>
      </c>
      <c r="AB156" s="219">
        <v>247.42799400000001</v>
      </c>
      <c r="AC156" s="219">
        <v>256.47988900000001</v>
      </c>
      <c r="AD156" s="219">
        <v>265.74093599999998</v>
      </c>
      <c r="AE156" s="219">
        <v>275.21890300000001</v>
      </c>
      <c r="AF156" s="212">
        <v>5.7364999999999999E-2</v>
      </c>
      <c r="AG156" s="31"/>
    </row>
    <row r="157" spans="1:33">
      <c r="A157" s="30" t="s">
        <v>929</v>
      </c>
      <c r="B157" s="210" t="s">
        <v>289</v>
      </c>
      <c r="C157" s="219">
        <v>4.855702</v>
      </c>
      <c r="D157" s="219">
        <v>5.891534</v>
      </c>
      <c r="E157" s="219">
        <v>7.1060939999999997</v>
      </c>
      <c r="F157" s="219">
        <v>7.6226510000000003</v>
      </c>
      <c r="G157" s="219">
        <v>8.1030320000000007</v>
      </c>
      <c r="H157" s="219">
        <v>8.5006830000000004</v>
      </c>
      <c r="I157" s="219">
        <v>8.9015810000000002</v>
      </c>
      <c r="J157" s="219">
        <v>9.3202309999999997</v>
      </c>
      <c r="K157" s="219">
        <v>9.7591210000000004</v>
      </c>
      <c r="L157" s="219">
        <v>10.218685000000001</v>
      </c>
      <c r="M157" s="219">
        <v>10.695945999999999</v>
      </c>
      <c r="N157" s="219">
        <v>11.190096</v>
      </c>
      <c r="O157" s="219">
        <v>11.701198</v>
      </c>
      <c r="P157" s="219">
        <v>12.229378000000001</v>
      </c>
      <c r="Q157" s="219">
        <v>12.780315999999999</v>
      </c>
      <c r="R157" s="219">
        <v>13.350054</v>
      </c>
      <c r="S157" s="219">
        <v>13.938138</v>
      </c>
      <c r="T157" s="219">
        <v>14.544650000000001</v>
      </c>
      <c r="U157" s="219">
        <v>15.169689</v>
      </c>
      <c r="V157" s="219">
        <v>15.819004</v>
      </c>
      <c r="W157" s="219">
        <v>16.488309999999998</v>
      </c>
      <c r="X157" s="219">
        <v>17.177424999999999</v>
      </c>
      <c r="Y157" s="219">
        <v>17.886718999999999</v>
      </c>
      <c r="Z157" s="219">
        <v>18.616985</v>
      </c>
      <c r="AA157" s="219">
        <v>19.372869000000001</v>
      </c>
      <c r="AB157" s="219">
        <v>20.150623</v>
      </c>
      <c r="AC157" s="219">
        <v>20.950258000000002</v>
      </c>
      <c r="AD157" s="219">
        <v>21.772144000000001</v>
      </c>
      <c r="AE157" s="219">
        <v>22.617076999999998</v>
      </c>
      <c r="AF157" s="212">
        <v>5.6486000000000001E-2</v>
      </c>
      <c r="AG157" s="31"/>
    </row>
    <row r="158" spans="1:33">
      <c r="A158" s="30" t="s">
        <v>930</v>
      </c>
      <c r="B158" s="210" t="s">
        <v>931</v>
      </c>
      <c r="C158" s="219">
        <v>87.274039999999999</v>
      </c>
      <c r="D158" s="219">
        <v>97.675728000000007</v>
      </c>
      <c r="E158" s="219">
        <v>104.957893</v>
      </c>
      <c r="F158" s="219">
        <v>111.186455</v>
      </c>
      <c r="G158" s="219">
        <v>117.21154</v>
      </c>
      <c r="H158" s="219">
        <v>121.512398</v>
      </c>
      <c r="I158" s="219">
        <v>125.17572</v>
      </c>
      <c r="J158" s="219">
        <v>128.093277</v>
      </c>
      <c r="K158" s="219">
        <v>130.81806900000001</v>
      </c>
      <c r="L158" s="219">
        <v>133.28259299999999</v>
      </c>
      <c r="M158" s="219">
        <v>135.629974</v>
      </c>
      <c r="N158" s="219">
        <v>137.85252399999999</v>
      </c>
      <c r="O158" s="219">
        <v>139.94085699999999</v>
      </c>
      <c r="P158" s="219">
        <v>141.886719</v>
      </c>
      <c r="Q158" s="219">
        <v>143.68980400000001</v>
      </c>
      <c r="R158" s="219">
        <v>145.369553</v>
      </c>
      <c r="S158" s="219">
        <v>146.93897999999999</v>
      </c>
      <c r="T158" s="219">
        <v>148.411224</v>
      </c>
      <c r="U158" s="219">
        <v>149.79480000000001</v>
      </c>
      <c r="V158" s="219">
        <v>151.101685</v>
      </c>
      <c r="W158" s="219">
        <v>152.338089</v>
      </c>
      <c r="X158" s="219">
        <v>153.50933800000001</v>
      </c>
      <c r="Y158" s="219">
        <v>154.61885100000001</v>
      </c>
      <c r="Z158" s="219">
        <v>155.67060900000001</v>
      </c>
      <c r="AA158" s="219">
        <v>156.67411799999999</v>
      </c>
      <c r="AB158" s="219">
        <v>157.629074</v>
      </c>
      <c r="AC158" s="219">
        <v>158.53407300000001</v>
      </c>
      <c r="AD158" s="219">
        <v>159.38314800000001</v>
      </c>
      <c r="AE158" s="219">
        <v>160.178146</v>
      </c>
      <c r="AF158" s="212">
        <v>2.1923999999999999E-2</v>
      </c>
      <c r="AG158" s="31"/>
    </row>
    <row r="159" spans="1:33">
      <c r="A159" s="30" t="s">
        <v>932</v>
      </c>
      <c r="B159" s="210" t="s">
        <v>287</v>
      </c>
      <c r="C159" s="219">
        <v>55.069285999999998</v>
      </c>
      <c r="D159" s="219">
        <v>58.950187999999997</v>
      </c>
      <c r="E159" s="219">
        <v>60.784492</v>
      </c>
      <c r="F159" s="219">
        <v>63.028281999999997</v>
      </c>
      <c r="G159" s="219">
        <v>65.069220999999999</v>
      </c>
      <c r="H159" s="219">
        <v>66.783760000000001</v>
      </c>
      <c r="I159" s="219">
        <v>68.396538000000007</v>
      </c>
      <c r="J159" s="219">
        <v>69.879149999999996</v>
      </c>
      <c r="K159" s="219">
        <v>71.271529999999998</v>
      </c>
      <c r="L159" s="219">
        <v>72.542534000000003</v>
      </c>
      <c r="M159" s="219">
        <v>73.758780999999999</v>
      </c>
      <c r="N159" s="219">
        <v>74.916718000000003</v>
      </c>
      <c r="O159" s="219">
        <v>76.011939999999996</v>
      </c>
      <c r="P159" s="219">
        <v>77.040688000000003</v>
      </c>
      <c r="Q159" s="219">
        <v>78.002571000000003</v>
      </c>
      <c r="R159" s="219">
        <v>78.906502000000003</v>
      </c>
      <c r="S159" s="219">
        <v>79.758544999999998</v>
      </c>
      <c r="T159" s="219">
        <v>80.564812000000003</v>
      </c>
      <c r="U159" s="219">
        <v>81.327788999999996</v>
      </c>
      <c r="V159" s="219">
        <v>82.053589000000002</v>
      </c>
      <c r="W159" s="219">
        <v>82.744964999999993</v>
      </c>
      <c r="X159" s="219">
        <v>83.404449</v>
      </c>
      <c r="Y159" s="219">
        <v>84.033835999999994</v>
      </c>
      <c r="Z159" s="219">
        <v>84.634856999999997</v>
      </c>
      <c r="AA159" s="219">
        <v>85.210953000000003</v>
      </c>
      <c r="AB159" s="219">
        <v>85.762046999999995</v>
      </c>
      <c r="AC159" s="219">
        <v>86.288871999999998</v>
      </c>
      <c r="AD159" s="219">
        <v>86.790169000000006</v>
      </c>
      <c r="AE159" s="219">
        <v>87.267905999999996</v>
      </c>
      <c r="AF159" s="212">
        <v>1.6577999999999999E-2</v>
      </c>
      <c r="AG159" s="31"/>
    </row>
    <row r="160" spans="1:33">
      <c r="A160" s="30" t="s">
        <v>933</v>
      </c>
      <c r="B160" s="210" t="s">
        <v>288</v>
      </c>
      <c r="C160" s="219">
        <v>24.418623</v>
      </c>
      <c r="D160" s="219">
        <v>30.534485</v>
      </c>
      <c r="E160" s="219">
        <v>35.821396</v>
      </c>
      <c r="F160" s="219">
        <v>39.563567999999997</v>
      </c>
      <c r="G160" s="219">
        <v>43.337069999999997</v>
      </c>
      <c r="H160" s="219">
        <v>45.72522</v>
      </c>
      <c r="I160" s="219">
        <v>47.578659000000002</v>
      </c>
      <c r="J160" s="219">
        <v>48.819865999999998</v>
      </c>
      <c r="K160" s="219">
        <v>49.969912999999998</v>
      </c>
      <c r="L160" s="219">
        <v>50.996322999999997</v>
      </c>
      <c r="M160" s="219">
        <v>51.967243000000003</v>
      </c>
      <c r="N160" s="219">
        <v>52.878990000000002</v>
      </c>
      <c r="O160" s="219">
        <v>53.727093000000004</v>
      </c>
      <c r="P160" s="219">
        <v>54.507576</v>
      </c>
      <c r="Q160" s="219">
        <v>55.220581000000003</v>
      </c>
      <c r="R160" s="219">
        <v>55.875506999999999</v>
      </c>
      <c r="S160" s="219">
        <v>56.478569</v>
      </c>
      <c r="T160" s="219">
        <v>57.035995</v>
      </c>
      <c r="U160" s="219">
        <v>57.553618999999998</v>
      </c>
      <c r="V160" s="219">
        <v>58.036453000000002</v>
      </c>
      <c r="W160" s="219">
        <v>58.487693999999998</v>
      </c>
      <c r="X160" s="219">
        <v>58.909728999999999</v>
      </c>
      <c r="Y160" s="219">
        <v>59.304004999999997</v>
      </c>
      <c r="Z160" s="219">
        <v>59.672576999999997</v>
      </c>
      <c r="AA160" s="219">
        <v>60.021061000000003</v>
      </c>
      <c r="AB160" s="219">
        <v>60.349293000000003</v>
      </c>
      <c r="AC160" s="219">
        <v>60.654957000000003</v>
      </c>
      <c r="AD160" s="219">
        <v>60.933376000000003</v>
      </c>
      <c r="AE160" s="219">
        <v>61.184170000000002</v>
      </c>
      <c r="AF160" s="212">
        <v>3.3348999999999997E-2</v>
      </c>
      <c r="AG160" s="31"/>
    </row>
    <row r="161" spans="1:33">
      <c r="A161" s="30" t="s">
        <v>934</v>
      </c>
      <c r="B161" s="210" t="s">
        <v>289</v>
      </c>
      <c r="C161" s="219">
        <v>7.7861359999999999</v>
      </c>
      <c r="D161" s="219">
        <v>8.1910520000000009</v>
      </c>
      <c r="E161" s="219">
        <v>8.3520000000000003</v>
      </c>
      <c r="F161" s="219">
        <v>8.5946079999999991</v>
      </c>
      <c r="G161" s="219">
        <v>8.8052489999999999</v>
      </c>
      <c r="H161" s="219">
        <v>9.0034290000000006</v>
      </c>
      <c r="I161" s="219">
        <v>9.2005160000000004</v>
      </c>
      <c r="J161" s="219">
        <v>9.3942560000000004</v>
      </c>
      <c r="K161" s="219">
        <v>9.5766290000000005</v>
      </c>
      <c r="L161" s="219">
        <v>9.7437380000000005</v>
      </c>
      <c r="M161" s="219">
        <v>9.9039549999999998</v>
      </c>
      <c r="N161" s="219">
        <v>10.056832999999999</v>
      </c>
      <c r="O161" s="219">
        <v>10.201817999999999</v>
      </c>
      <c r="P161" s="219">
        <v>10.338438999999999</v>
      </c>
      <c r="Q161" s="219">
        <v>10.46664</v>
      </c>
      <c r="R161" s="219">
        <v>10.587524</v>
      </c>
      <c r="S161" s="219">
        <v>10.701859000000001</v>
      </c>
      <c r="T161" s="219">
        <v>10.810409999999999</v>
      </c>
      <c r="U161" s="219">
        <v>10.913398000000001</v>
      </c>
      <c r="V161" s="219">
        <v>11.011628</v>
      </c>
      <c r="W161" s="219">
        <v>11.105437</v>
      </c>
      <c r="X161" s="219">
        <v>11.195148</v>
      </c>
      <c r="Y161" s="219">
        <v>11.280993</v>
      </c>
      <c r="Z161" s="219">
        <v>11.363185</v>
      </c>
      <c r="AA161" s="219">
        <v>11.442098</v>
      </c>
      <c r="AB161" s="219">
        <v>11.517728</v>
      </c>
      <c r="AC161" s="219">
        <v>11.590244</v>
      </c>
      <c r="AD161" s="219">
        <v>11.659587999999999</v>
      </c>
      <c r="AE161" s="219">
        <v>11.726065</v>
      </c>
      <c r="AF161" s="212">
        <v>1.4730999999999999E-2</v>
      </c>
      <c r="AG161" s="31"/>
    </row>
    <row r="162" spans="1:33">
      <c r="A162" s="30" t="s">
        <v>935</v>
      </c>
      <c r="B162" s="210" t="s">
        <v>936</v>
      </c>
      <c r="C162" s="219">
        <v>79.301177999999993</v>
      </c>
      <c r="D162" s="219">
        <v>101.63005099999999</v>
      </c>
      <c r="E162" s="219">
        <v>121.146072</v>
      </c>
      <c r="F162" s="219">
        <v>133.75103799999999</v>
      </c>
      <c r="G162" s="219">
        <v>144.38346899999999</v>
      </c>
      <c r="H162" s="219">
        <v>151.58453399999999</v>
      </c>
      <c r="I162" s="219">
        <v>157.44383199999999</v>
      </c>
      <c r="J162" s="219">
        <v>162.801773</v>
      </c>
      <c r="K162" s="219">
        <v>168.194412</v>
      </c>
      <c r="L162" s="219">
        <v>173.57832300000001</v>
      </c>
      <c r="M162" s="219">
        <v>179.07577499999999</v>
      </c>
      <c r="N162" s="219">
        <v>184.704071</v>
      </c>
      <c r="O162" s="219">
        <v>190.47181699999999</v>
      </c>
      <c r="P162" s="219">
        <v>196.386841</v>
      </c>
      <c r="Q162" s="219">
        <v>202.43138099999999</v>
      </c>
      <c r="R162" s="219">
        <v>208.633804</v>
      </c>
      <c r="S162" s="219">
        <v>214.996399</v>
      </c>
      <c r="T162" s="219">
        <v>221.51997399999999</v>
      </c>
      <c r="U162" s="219">
        <v>228.20277400000001</v>
      </c>
      <c r="V162" s="219">
        <v>235.039368</v>
      </c>
      <c r="W162" s="219">
        <v>242.04367099999999</v>
      </c>
      <c r="X162" s="219">
        <v>249.21748400000001</v>
      </c>
      <c r="Y162" s="219">
        <v>256.56286599999999</v>
      </c>
      <c r="Z162" s="219">
        <v>264.08050500000002</v>
      </c>
      <c r="AA162" s="219">
        <v>271.71682700000002</v>
      </c>
      <c r="AB162" s="219">
        <v>279.52886999999998</v>
      </c>
      <c r="AC162" s="219">
        <v>287.52255200000002</v>
      </c>
      <c r="AD162" s="219">
        <v>295.70309400000002</v>
      </c>
      <c r="AE162" s="219">
        <v>304.07415800000001</v>
      </c>
      <c r="AF162" s="212">
        <v>4.9170999999999999E-2</v>
      </c>
      <c r="AG162" s="31"/>
    </row>
    <row r="163" spans="1:33">
      <c r="A163" s="30" t="s">
        <v>937</v>
      </c>
      <c r="B163" s="210" t="s">
        <v>287</v>
      </c>
      <c r="C163" s="219">
        <v>47.678085000000003</v>
      </c>
      <c r="D163" s="219">
        <v>60.579250000000002</v>
      </c>
      <c r="E163" s="219">
        <v>71.433159000000003</v>
      </c>
      <c r="F163" s="219">
        <v>77.759079</v>
      </c>
      <c r="G163" s="219">
        <v>83.222747999999996</v>
      </c>
      <c r="H163" s="219">
        <v>87.090667999999994</v>
      </c>
      <c r="I163" s="219">
        <v>90.329620000000006</v>
      </c>
      <c r="J163" s="219">
        <v>93.328048999999993</v>
      </c>
      <c r="K163" s="219">
        <v>96.334464999999994</v>
      </c>
      <c r="L163" s="219">
        <v>99.321999000000005</v>
      </c>
      <c r="M163" s="219">
        <v>102.368782</v>
      </c>
      <c r="N163" s="219">
        <v>105.485298</v>
      </c>
      <c r="O163" s="219">
        <v>108.67620100000001</v>
      </c>
      <c r="P163" s="219">
        <v>111.94573200000001</v>
      </c>
      <c r="Q163" s="219">
        <v>115.283394</v>
      </c>
      <c r="R163" s="219">
        <v>118.70564299999999</v>
      </c>
      <c r="S163" s="219">
        <v>122.213562</v>
      </c>
      <c r="T163" s="219">
        <v>125.807327</v>
      </c>
      <c r="U163" s="219">
        <v>129.48561100000001</v>
      </c>
      <c r="V163" s="219">
        <v>133.24620100000001</v>
      </c>
      <c r="W163" s="219">
        <v>137.09582499999999</v>
      </c>
      <c r="X163" s="219">
        <v>141.03517199999999</v>
      </c>
      <c r="Y163" s="219">
        <v>145.06509399999999</v>
      </c>
      <c r="Z163" s="219">
        <v>149.185654</v>
      </c>
      <c r="AA163" s="219">
        <v>153.36450199999999</v>
      </c>
      <c r="AB163" s="219">
        <v>157.63568100000001</v>
      </c>
      <c r="AC163" s="219">
        <v>162.00212099999999</v>
      </c>
      <c r="AD163" s="219">
        <v>166.46650700000001</v>
      </c>
      <c r="AE163" s="219">
        <v>171.03038000000001</v>
      </c>
      <c r="AF163" s="212">
        <v>4.6677000000000003E-2</v>
      </c>
      <c r="AG163" s="31"/>
    </row>
    <row r="164" spans="1:33">
      <c r="A164" s="30" t="s">
        <v>938</v>
      </c>
      <c r="B164" s="210" t="s">
        <v>288</v>
      </c>
      <c r="C164" s="219">
        <v>27.672314</v>
      </c>
      <c r="D164" s="219">
        <v>36.190651000000003</v>
      </c>
      <c r="E164" s="219">
        <v>44.102626999999998</v>
      </c>
      <c r="F164" s="219">
        <v>50.092044999999999</v>
      </c>
      <c r="G164" s="219">
        <v>54.982585999999998</v>
      </c>
      <c r="H164" s="219">
        <v>58.082782999999999</v>
      </c>
      <c r="I164" s="219">
        <v>60.489162</v>
      </c>
      <c r="J164" s="219">
        <v>62.643284000000001</v>
      </c>
      <c r="K164" s="219">
        <v>64.825858999999994</v>
      </c>
      <c r="L164" s="219">
        <v>67.022644</v>
      </c>
      <c r="M164" s="219">
        <v>69.270484999999994</v>
      </c>
      <c r="N164" s="219">
        <v>71.575378000000001</v>
      </c>
      <c r="O164" s="219">
        <v>73.940926000000005</v>
      </c>
      <c r="P164" s="219">
        <v>76.370498999999995</v>
      </c>
      <c r="Q164" s="219">
        <v>78.857642999999996</v>
      </c>
      <c r="R164" s="219">
        <v>81.413055</v>
      </c>
      <c r="S164" s="219">
        <v>84.037871999999993</v>
      </c>
      <c r="T164" s="219">
        <v>86.732758000000004</v>
      </c>
      <c r="U164" s="219">
        <v>89.497505000000004</v>
      </c>
      <c r="V164" s="219">
        <v>92.328818999999996</v>
      </c>
      <c r="W164" s="219">
        <v>95.233681000000004</v>
      </c>
      <c r="X164" s="219">
        <v>98.213158000000007</v>
      </c>
      <c r="Y164" s="219">
        <v>101.268517</v>
      </c>
      <c r="Z164" s="219">
        <v>104.400452</v>
      </c>
      <c r="AA164" s="219">
        <v>107.59034</v>
      </c>
      <c r="AB164" s="219">
        <v>110.858566</v>
      </c>
      <c r="AC164" s="219">
        <v>114.207832</v>
      </c>
      <c r="AD164" s="219">
        <v>117.64065600000001</v>
      </c>
      <c r="AE164" s="219">
        <v>121.159058</v>
      </c>
      <c r="AF164" s="212">
        <v>5.4154000000000001E-2</v>
      </c>
      <c r="AG164" s="31"/>
    </row>
    <row r="165" spans="1:33">
      <c r="A165" s="30" t="s">
        <v>939</v>
      </c>
      <c r="B165" s="210" t="s">
        <v>289</v>
      </c>
      <c r="C165" s="219">
        <v>3.9507759999999998</v>
      </c>
      <c r="D165" s="219">
        <v>4.8601390000000002</v>
      </c>
      <c r="E165" s="219">
        <v>5.6102879999999997</v>
      </c>
      <c r="F165" s="219">
        <v>5.8999009999999998</v>
      </c>
      <c r="G165" s="219">
        <v>6.1781309999999996</v>
      </c>
      <c r="H165" s="219">
        <v>6.4110950000000004</v>
      </c>
      <c r="I165" s="219">
        <v>6.6250410000000004</v>
      </c>
      <c r="J165" s="219">
        <v>6.8304140000000002</v>
      </c>
      <c r="K165" s="219">
        <v>7.0340759999999998</v>
      </c>
      <c r="L165" s="219">
        <v>7.2336809999999998</v>
      </c>
      <c r="M165" s="219">
        <v>7.4365009999999998</v>
      </c>
      <c r="N165" s="219">
        <v>7.6434049999999996</v>
      </c>
      <c r="O165" s="219">
        <v>7.8546870000000002</v>
      </c>
      <c r="P165" s="219">
        <v>8.0706039999999994</v>
      </c>
      <c r="Q165" s="219">
        <v>8.2903300000000009</v>
      </c>
      <c r="R165" s="219">
        <v>8.5151039999999991</v>
      </c>
      <c r="S165" s="219">
        <v>8.7449670000000008</v>
      </c>
      <c r="T165" s="219">
        <v>8.9798720000000003</v>
      </c>
      <c r="U165" s="219">
        <v>9.2196569999999998</v>
      </c>
      <c r="V165" s="219">
        <v>9.4643420000000003</v>
      </c>
      <c r="W165" s="219">
        <v>9.7141710000000003</v>
      </c>
      <c r="X165" s="219">
        <v>9.9691340000000004</v>
      </c>
      <c r="Y165" s="219">
        <v>10.229227</v>
      </c>
      <c r="Z165" s="219">
        <v>10.494389999999999</v>
      </c>
      <c r="AA165" s="219">
        <v>10.761946999999999</v>
      </c>
      <c r="AB165" s="219">
        <v>11.034632999999999</v>
      </c>
      <c r="AC165" s="219">
        <v>11.31259</v>
      </c>
      <c r="AD165" s="219">
        <v>11.595942000000001</v>
      </c>
      <c r="AE165" s="219">
        <v>11.884709000000001</v>
      </c>
      <c r="AF165" s="212">
        <v>4.0117E-2</v>
      </c>
      <c r="AG165" s="31"/>
    </row>
    <row r="166" spans="1:33">
      <c r="A166" s="30" t="s">
        <v>940</v>
      </c>
      <c r="B166" s="210" t="s">
        <v>941</v>
      </c>
      <c r="C166" s="219">
        <v>4373.3583980000003</v>
      </c>
      <c r="D166" s="219">
        <v>5169.9628910000001</v>
      </c>
      <c r="E166" s="219">
        <v>5704.986328</v>
      </c>
      <c r="F166" s="219">
        <v>6061.9882809999999</v>
      </c>
      <c r="G166" s="219">
        <v>6486.1030270000001</v>
      </c>
      <c r="H166" s="219">
        <v>6773.2924800000001</v>
      </c>
      <c r="I166" s="219">
        <v>7038.0502930000002</v>
      </c>
      <c r="J166" s="219">
        <v>7267.8666990000002</v>
      </c>
      <c r="K166" s="219">
        <v>7496.404297</v>
      </c>
      <c r="L166" s="219">
        <v>7728.0527339999999</v>
      </c>
      <c r="M166" s="219">
        <v>7969.5229490000002</v>
      </c>
      <c r="N166" s="219">
        <v>8218.796875</v>
      </c>
      <c r="O166" s="219">
        <v>8471.8828119999998</v>
      </c>
      <c r="P166" s="219">
        <v>8729.8085940000001</v>
      </c>
      <c r="Q166" s="219">
        <v>8994.9101559999999</v>
      </c>
      <c r="R166" s="219">
        <v>9267.7148440000001</v>
      </c>
      <c r="S166" s="219">
        <v>9546.7949219999991</v>
      </c>
      <c r="T166" s="219">
        <v>9831.6953119999998</v>
      </c>
      <c r="U166" s="219">
        <v>10127.839844</v>
      </c>
      <c r="V166" s="219">
        <v>10429.796875</v>
      </c>
      <c r="W166" s="219">
        <v>10739.313477</v>
      </c>
      <c r="X166" s="219">
        <v>11056.318359000001</v>
      </c>
      <c r="Y166" s="219">
        <v>11377.703125</v>
      </c>
      <c r="Z166" s="219">
        <v>11702.694336</v>
      </c>
      <c r="AA166" s="219">
        <v>12031.28125</v>
      </c>
      <c r="AB166" s="219">
        <v>12367.683594</v>
      </c>
      <c r="AC166" s="219">
        <v>12709.627930000001</v>
      </c>
      <c r="AD166" s="219">
        <v>13056.267578000001</v>
      </c>
      <c r="AE166" s="219">
        <v>13410.994140999999</v>
      </c>
      <c r="AF166" s="212">
        <v>4.0830999999999999E-2</v>
      </c>
      <c r="AG166" s="31"/>
    </row>
    <row r="167" spans="1:33">
      <c r="A167" s="30" t="s">
        <v>942</v>
      </c>
      <c r="B167" s="210" t="s">
        <v>943</v>
      </c>
      <c r="C167" s="219">
        <v>2683.0664059999999</v>
      </c>
      <c r="D167" s="219">
        <v>3004.8544919999999</v>
      </c>
      <c r="E167" s="219">
        <v>3189.0339359999998</v>
      </c>
      <c r="F167" s="219">
        <v>3333.350586</v>
      </c>
      <c r="G167" s="219">
        <v>3512.0295409999999</v>
      </c>
      <c r="H167" s="219">
        <v>3652.1213379999999</v>
      </c>
      <c r="I167" s="219">
        <v>3785.1130370000001</v>
      </c>
      <c r="J167" s="219">
        <v>3909.9748540000001</v>
      </c>
      <c r="K167" s="219">
        <v>4033.5424800000001</v>
      </c>
      <c r="L167" s="219">
        <v>4159.1660160000001</v>
      </c>
      <c r="M167" s="219">
        <v>4290.7993159999996</v>
      </c>
      <c r="N167" s="219">
        <v>4426.7041019999997</v>
      </c>
      <c r="O167" s="219">
        <v>4564.2529299999997</v>
      </c>
      <c r="P167" s="219">
        <v>4704.125</v>
      </c>
      <c r="Q167" s="219">
        <v>4847.890625</v>
      </c>
      <c r="R167" s="219">
        <v>4995.7368159999996</v>
      </c>
      <c r="S167" s="219">
        <v>5146.732422</v>
      </c>
      <c r="T167" s="219">
        <v>5300.5415039999998</v>
      </c>
      <c r="U167" s="219">
        <v>5460.5395509999998</v>
      </c>
      <c r="V167" s="219">
        <v>5623.4580079999996</v>
      </c>
      <c r="W167" s="219">
        <v>5790.2529299999997</v>
      </c>
      <c r="X167" s="219">
        <v>5960.8364259999998</v>
      </c>
      <c r="Y167" s="219">
        <v>6133.1469729999999</v>
      </c>
      <c r="Z167" s="219">
        <v>6306.5971680000002</v>
      </c>
      <c r="AA167" s="219">
        <v>6481.4169920000004</v>
      </c>
      <c r="AB167" s="219">
        <v>6660.0419920000004</v>
      </c>
      <c r="AC167" s="219">
        <v>6840.9291990000002</v>
      </c>
      <c r="AD167" s="219">
        <v>7023.3911129999997</v>
      </c>
      <c r="AE167" s="219">
        <v>7209.3994140000004</v>
      </c>
      <c r="AF167" s="212">
        <v>3.5930999999999998E-2</v>
      </c>
      <c r="AG167" s="31"/>
    </row>
    <row r="168" spans="1:33">
      <c r="A168" s="30" t="s">
        <v>944</v>
      </c>
      <c r="B168" s="210" t="s">
        <v>945</v>
      </c>
      <c r="C168" s="219">
        <v>1365.956543</v>
      </c>
      <c r="D168" s="219">
        <v>1815.0357670000001</v>
      </c>
      <c r="E168" s="219">
        <v>2153.0739749999998</v>
      </c>
      <c r="F168" s="219">
        <v>2353.8952640000002</v>
      </c>
      <c r="G168" s="219">
        <v>2582.8857419999999</v>
      </c>
      <c r="H168" s="219">
        <v>2715.4416500000002</v>
      </c>
      <c r="I168" s="219">
        <v>2833.0561520000001</v>
      </c>
      <c r="J168" s="219">
        <v>2924.1845699999999</v>
      </c>
      <c r="K168" s="219">
        <v>3015.576172</v>
      </c>
      <c r="L168" s="219">
        <v>3107.7626949999999</v>
      </c>
      <c r="M168" s="219">
        <v>3202.9577640000002</v>
      </c>
      <c r="N168" s="219">
        <v>3301.172607</v>
      </c>
      <c r="O168" s="219">
        <v>3401.4245609999998</v>
      </c>
      <c r="P168" s="219">
        <v>3503.9650879999999</v>
      </c>
      <c r="Q168" s="219">
        <v>3609.3312989999999</v>
      </c>
      <c r="R168" s="219">
        <v>3717.852539</v>
      </c>
      <c r="S168" s="219">
        <v>3829.1669919999999</v>
      </c>
      <c r="T168" s="219">
        <v>3943.2114259999998</v>
      </c>
      <c r="U168" s="219">
        <v>4061.5683589999999</v>
      </c>
      <c r="V168" s="219">
        <v>4182.5180659999996</v>
      </c>
      <c r="W168" s="219">
        <v>4306.732422</v>
      </c>
      <c r="X168" s="219">
        <v>4434.2412109999996</v>
      </c>
      <c r="Y168" s="219">
        <v>4564.2856449999999</v>
      </c>
      <c r="Z168" s="219">
        <v>4696.7617190000001</v>
      </c>
      <c r="AA168" s="219">
        <v>4831.3510740000002</v>
      </c>
      <c r="AB168" s="219">
        <v>4969.5302730000003</v>
      </c>
      <c r="AC168" s="219">
        <v>5110.8076170000004</v>
      </c>
      <c r="AD168" s="219">
        <v>5255.1259769999997</v>
      </c>
      <c r="AE168" s="219">
        <v>5403.6381840000004</v>
      </c>
      <c r="AF168" s="212">
        <v>5.0340999999999997E-2</v>
      </c>
      <c r="AG168" s="31"/>
    </row>
    <row r="169" spans="1:33">
      <c r="A169" s="30" t="s">
        <v>302</v>
      </c>
      <c r="B169" s="210" t="s">
        <v>946</v>
      </c>
      <c r="C169" s="219">
        <v>324.33532700000001</v>
      </c>
      <c r="D169" s="219">
        <v>350.07336400000003</v>
      </c>
      <c r="E169" s="219">
        <v>362.87820399999998</v>
      </c>
      <c r="F169" s="219">
        <v>374.74331699999999</v>
      </c>
      <c r="G169" s="219">
        <v>391.18713400000001</v>
      </c>
      <c r="H169" s="219">
        <v>405.72949199999999</v>
      </c>
      <c r="I169" s="219">
        <v>419.88110399999999</v>
      </c>
      <c r="J169" s="219">
        <v>433.70675699999998</v>
      </c>
      <c r="K169" s="219">
        <v>447.28530899999998</v>
      </c>
      <c r="L169" s="219">
        <v>461.123627</v>
      </c>
      <c r="M169" s="219">
        <v>475.76504499999999</v>
      </c>
      <c r="N169" s="219">
        <v>490.91918900000002</v>
      </c>
      <c r="O169" s="219">
        <v>506.20510899999999</v>
      </c>
      <c r="P169" s="219">
        <v>521.71698000000004</v>
      </c>
      <c r="Q169" s="219">
        <v>537.6875</v>
      </c>
      <c r="R169" s="219">
        <v>554.12542699999995</v>
      </c>
      <c r="S169" s="219">
        <v>570.89569100000006</v>
      </c>
      <c r="T169" s="219">
        <v>587.94293200000004</v>
      </c>
      <c r="U169" s="219">
        <v>605.730774</v>
      </c>
      <c r="V169" s="219">
        <v>623.81982400000004</v>
      </c>
      <c r="W169" s="219">
        <v>642.32647699999995</v>
      </c>
      <c r="X169" s="219">
        <v>661.24029499999995</v>
      </c>
      <c r="Y169" s="219">
        <v>680.27038600000003</v>
      </c>
      <c r="Z169" s="219">
        <v>699.33538799999997</v>
      </c>
      <c r="AA169" s="219">
        <v>718.51324499999998</v>
      </c>
      <c r="AB169" s="219">
        <v>738.10925299999997</v>
      </c>
      <c r="AC169" s="219">
        <v>757.89080799999999</v>
      </c>
      <c r="AD169" s="219">
        <v>777.75109899999995</v>
      </c>
      <c r="AE169" s="219">
        <v>797.95684800000004</v>
      </c>
      <c r="AF169" s="212">
        <v>3.2675000000000003E-2</v>
      </c>
      <c r="AG169" s="31"/>
    </row>
    <row r="170" spans="1:33">
      <c r="A170" s="29"/>
      <c r="B170" s="31"/>
      <c r="C170" s="31"/>
      <c r="D170" s="31"/>
      <c r="E170" s="31"/>
      <c r="F170" s="31"/>
      <c r="G170" s="31"/>
      <c r="H170" s="31"/>
      <c r="I170" s="31"/>
      <c r="J170" s="31"/>
      <c r="K170" s="31"/>
      <c r="L170" s="31"/>
      <c r="M170" s="31"/>
      <c r="N170" s="31"/>
      <c r="O170" s="31"/>
      <c r="P170" s="31"/>
      <c r="Q170" s="31"/>
      <c r="R170" s="31"/>
      <c r="S170" s="31"/>
      <c r="T170" s="31"/>
      <c r="U170" s="31"/>
      <c r="V170" s="31"/>
      <c r="W170" s="31"/>
      <c r="X170" s="31"/>
      <c r="Y170" s="31"/>
      <c r="Z170" s="31"/>
      <c r="AA170" s="31"/>
      <c r="AB170" s="31"/>
      <c r="AC170" s="31"/>
      <c r="AD170" s="31"/>
      <c r="AE170" s="31"/>
      <c r="AF170" s="31"/>
      <c r="AG170" s="31"/>
    </row>
    <row r="171" spans="1:33">
      <c r="A171" s="29"/>
      <c r="B171" s="209" t="s">
        <v>947</v>
      </c>
      <c r="C171" s="31"/>
      <c r="D171" s="31"/>
      <c r="E171" s="31"/>
      <c r="F171" s="31"/>
      <c r="G171" s="31"/>
      <c r="H171" s="31"/>
      <c r="I171" s="31"/>
      <c r="J171" s="31"/>
      <c r="K171" s="31"/>
      <c r="L171" s="31"/>
      <c r="M171" s="31"/>
      <c r="N171" s="31"/>
      <c r="O171" s="31"/>
      <c r="P171" s="31"/>
      <c r="Q171" s="31"/>
      <c r="R171" s="31"/>
      <c r="S171" s="31"/>
      <c r="T171" s="31"/>
      <c r="U171" s="31"/>
      <c r="V171" s="31"/>
      <c r="W171" s="31"/>
      <c r="X171" s="31"/>
      <c r="Y171" s="31"/>
      <c r="Z171" s="31"/>
      <c r="AA171" s="31"/>
      <c r="AB171" s="31"/>
      <c r="AC171" s="31"/>
      <c r="AD171" s="31"/>
      <c r="AE171" s="31"/>
      <c r="AF171" s="31"/>
      <c r="AG171" s="31"/>
    </row>
    <row r="172" spans="1:33">
      <c r="A172" s="30" t="s">
        <v>948</v>
      </c>
      <c r="B172" s="210" t="s">
        <v>286</v>
      </c>
      <c r="C172" s="219">
        <v>539.82806400000004</v>
      </c>
      <c r="D172" s="219">
        <v>555.01080300000001</v>
      </c>
      <c r="E172" s="219">
        <v>240.10987900000001</v>
      </c>
      <c r="F172" s="219">
        <v>195.879456</v>
      </c>
      <c r="G172" s="219">
        <v>383.18585200000001</v>
      </c>
      <c r="H172" s="219">
        <v>397.42700200000002</v>
      </c>
      <c r="I172" s="219">
        <v>389.21536300000002</v>
      </c>
      <c r="J172" s="219">
        <v>374.38278200000002</v>
      </c>
      <c r="K172" s="219">
        <v>360.36273199999999</v>
      </c>
      <c r="L172" s="219">
        <v>371.35995500000001</v>
      </c>
      <c r="M172" s="219">
        <v>413.48968500000001</v>
      </c>
      <c r="N172" s="219">
        <v>439.33099399999998</v>
      </c>
      <c r="O172" s="219">
        <v>441.440155</v>
      </c>
      <c r="P172" s="219">
        <v>446.81085200000001</v>
      </c>
      <c r="Q172" s="219">
        <v>466.78561400000001</v>
      </c>
      <c r="R172" s="219">
        <v>486.83136000000002</v>
      </c>
      <c r="S172" s="219">
        <v>499.04101600000001</v>
      </c>
      <c r="T172" s="219">
        <v>506.68572999999998</v>
      </c>
      <c r="U172" s="219">
        <v>538.37341300000003</v>
      </c>
      <c r="V172" s="219">
        <v>543.35778800000003</v>
      </c>
      <c r="W172" s="219">
        <v>554.06219499999997</v>
      </c>
      <c r="X172" s="219">
        <v>567.82055700000001</v>
      </c>
      <c r="Y172" s="219">
        <v>569.10339399999998</v>
      </c>
      <c r="Z172" s="219">
        <v>570.74981700000001</v>
      </c>
      <c r="AA172" s="219">
        <v>582.32244900000001</v>
      </c>
      <c r="AB172" s="219">
        <v>606.70001200000002</v>
      </c>
      <c r="AC172" s="219">
        <v>618.58166500000004</v>
      </c>
      <c r="AD172" s="219">
        <v>628.19116199999996</v>
      </c>
      <c r="AE172" s="219">
        <v>657.48895300000004</v>
      </c>
      <c r="AF172" s="212">
        <v>7.0670000000000004E-3</v>
      </c>
      <c r="AG172" s="31"/>
    </row>
    <row r="173" spans="1:33">
      <c r="A173" s="30" t="s">
        <v>949</v>
      </c>
      <c r="B173" s="210" t="s">
        <v>287</v>
      </c>
      <c r="C173" s="219">
        <v>335.96209700000003</v>
      </c>
      <c r="D173" s="219">
        <v>350.61816399999998</v>
      </c>
      <c r="E173" s="219">
        <v>145.26670799999999</v>
      </c>
      <c r="F173" s="219">
        <v>129.51503</v>
      </c>
      <c r="G173" s="219">
        <v>208.80259699999999</v>
      </c>
      <c r="H173" s="219">
        <v>214.47662399999999</v>
      </c>
      <c r="I173" s="219">
        <v>210.31191999999999</v>
      </c>
      <c r="J173" s="219">
        <v>202.565887</v>
      </c>
      <c r="K173" s="219">
        <v>195.35475199999999</v>
      </c>
      <c r="L173" s="219">
        <v>202.117279</v>
      </c>
      <c r="M173" s="219">
        <v>226.17236299999999</v>
      </c>
      <c r="N173" s="219">
        <v>240.87524400000001</v>
      </c>
      <c r="O173" s="219">
        <v>242.455566</v>
      </c>
      <c r="P173" s="219">
        <v>245.90283199999999</v>
      </c>
      <c r="Q173" s="219">
        <v>257.31298800000002</v>
      </c>
      <c r="R173" s="219">
        <v>268.57910199999998</v>
      </c>
      <c r="S173" s="219">
        <v>275.35498000000001</v>
      </c>
      <c r="T173" s="219">
        <v>279.55126999999999</v>
      </c>
      <c r="U173" s="219">
        <v>297.056152</v>
      </c>
      <c r="V173" s="219">
        <v>299.58154300000001</v>
      </c>
      <c r="W173" s="219">
        <v>305.335938</v>
      </c>
      <c r="X173" s="219">
        <v>312.82226600000001</v>
      </c>
      <c r="Y173" s="219">
        <v>313.44476300000002</v>
      </c>
      <c r="Z173" s="219">
        <v>314.49087500000002</v>
      </c>
      <c r="AA173" s="219">
        <v>321.07968099999999</v>
      </c>
      <c r="AB173" s="219">
        <v>334.69555700000001</v>
      </c>
      <c r="AC173" s="219">
        <v>341.29492199999999</v>
      </c>
      <c r="AD173" s="219">
        <v>346.57534800000002</v>
      </c>
      <c r="AE173" s="219">
        <v>362.83862299999998</v>
      </c>
      <c r="AF173" s="212">
        <v>2.7520000000000001E-3</v>
      </c>
      <c r="AG173" s="31"/>
    </row>
    <row r="174" spans="1:33">
      <c r="A174" s="30" t="s">
        <v>950</v>
      </c>
      <c r="B174" s="210" t="s">
        <v>288</v>
      </c>
      <c r="C174" s="219">
        <v>0</v>
      </c>
      <c r="D174" s="219">
        <v>39.340881000000003</v>
      </c>
      <c r="E174" s="219">
        <v>38.709868999999998</v>
      </c>
      <c r="F174" s="219">
        <v>12.628342</v>
      </c>
      <c r="G174" s="219">
        <v>71.145934999999994</v>
      </c>
      <c r="H174" s="219">
        <v>75.438416000000004</v>
      </c>
      <c r="I174" s="219">
        <v>73.298705999999996</v>
      </c>
      <c r="J174" s="219">
        <v>70.090332000000004</v>
      </c>
      <c r="K174" s="219">
        <v>66.757262999999995</v>
      </c>
      <c r="L174" s="219">
        <v>66.275634999999994</v>
      </c>
      <c r="M174" s="219">
        <v>69.520447000000004</v>
      </c>
      <c r="N174" s="219">
        <v>70.853438999999995</v>
      </c>
      <c r="O174" s="219">
        <v>69.180381999999994</v>
      </c>
      <c r="P174" s="219">
        <v>68.041573</v>
      </c>
      <c r="Q174" s="219">
        <v>69.126677999999998</v>
      </c>
      <c r="R174" s="219">
        <v>70.625564999999995</v>
      </c>
      <c r="S174" s="219">
        <v>71.534912000000006</v>
      </c>
      <c r="T174" s="219">
        <v>72.152512000000002</v>
      </c>
      <c r="U174" s="219">
        <v>76.074096999999995</v>
      </c>
      <c r="V174" s="219">
        <v>76.887848000000005</v>
      </c>
      <c r="W174" s="219">
        <v>78.550735000000003</v>
      </c>
      <c r="X174" s="219">
        <v>80.678496999999993</v>
      </c>
      <c r="Y174" s="219">
        <v>81.193016</v>
      </c>
      <c r="Z174" s="219">
        <v>81.704009999999997</v>
      </c>
      <c r="AA174" s="219">
        <v>83.519371000000007</v>
      </c>
      <c r="AB174" s="219">
        <v>86.947097999999997</v>
      </c>
      <c r="AC174" s="219">
        <v>88.823836999999997</v>
      </c>
      <c r="AD174" s="219">
        <v>90.511550999999997</v>
      </c>
      <c r="AE174" s="219">
        <v>94.700371000000004</v>
      </c>
      <c r="AF174" s="212" t="s">
        <v>340</v>
      </c>
      <c r="AG174" s="31"/>
    </row>
    <row r="175" spans="1:33">
      <c r="A175" s="30" t="s">
        <v>951</v>
      </c>
      <c r="B175" s="210" t="s">
        <v>289</v>
      </c>
      <c r="C175" s="219">
        <v>203.86596700000001</v>
      </c>
      <c r="D175" s="219">
        <v>165.05175800000001</v>
      </c>
      <c r="E175" s="219">
        <v>56.133301000000003</v>
      </c>
      <c r="F175" s="219">
        <v>53.736083999999998</v>
      </c>
      <c r="G175" s="219">
        <v>103.23730500000001</v>
      </c>
      <c r="H175" s="219">
        <v>107.51196299999999</v>
      </c>
      <c r="I175" s="219">
        <v>105.604736</v>
      </c>
      <c r="J175" s="219">
        <v>101.726562</v>
      </c>
      <c r="K175" s="219">
        <v>98.250731999999999</v>
      </c>
      <c r="L175" s="219">
        <v>102.96704099999999</v>
      </c>
      <c r="M175" s="219">
        <v>117.796875</v>
      </c>
      <c r="N175" s="219">
        <v>127.602295</v>
      </c>
      <c r="O175" s="219">
        <v>129.80419900000001</v>
      </c>
      <c r="P175" s="219">
        <v>132.866455</v>
      </c>
      <c r="Q175" s="219">
        <v>140.345947</v>
      </c>
      <c r="R175" s="219">
        <v>147.62670900000001</v>
      </c>
      <c r="S175" s="219">
        <v>152.15112300000001</v>
      </c>
      <c r="T175" s="219">
        <v>154.981934</v>
      </c>
      <c r="U175" s="219">
        <v>165.24316400000001</v>
      </c>
      <c r="V175" s="219">
        <v>166.888428</v>
      </c>
      <c r="W175" s="219">
        <v>170.17553699999999</v>
      </c>
      <c r="X175" s="219">
        <v>174.31982400000001</v>
      </c>
      <c r="Y175" s="219">
        <v>174.465576</v>
      </c>
      <c r="Z175" s="219">
        <v>174.55493200000001</v>
      </c>
      <c r="AA175" s="219">
        <v>177.723389</v>
      </c>
      <c r="AB175" s="219">
        <v>185.05737300000001</v>
      </c>
      <c r="AC175" s="219">
        <v>188.46289100000001</v>
      </c>
      <c r="AD175" s="219">
        <v>191.10424800000001</v>
      </c>
      <c r="AE175" s="219">
        <v>199.949951</v>
      </c>
      <c r="AF175" s="212">
        <v>-6.9200000000000002E-4</v>
      </c>
      <c r="AG175" s="31"/>
    </row>
    <row r="176" spans="1:33">
      <c r="A176" s="30" t="s">
        <v>952</v>
      </c>
      <c r="B176" s="210" t="s">
        <v>290</v>
      </c>
      <c r="C176" s="219">
        <v>0</v>
      </c>
      <c r="D176" s="219">
        <v>15.678391</v>
      </c>
      <c r="E176" s="219">
        <v>51.316887000000001</v>
      </c>
      <c r="F176" s="219">
        <v>50.117165</v>
      </c>
      <c r="G176" s="219">
        <v>52.954346000000001</v>
      </c>
      <c r="H176" s="219">
        <v>57.051322999999996</v>
      </c>
      <c r="I176" s="219">
        <v>44.861697999999997</v>
      </c>
      <c r="J176" s="219">
        <v>46.635117000000001</v>
      </c>
      <c r="K176" s="219">
        <v>49.951324</v>
      </c>
      <c r="L176" s="219">
        <v>50.769165000000001</v>
      </c>
      <c r="M176" s="219">
        <v>51.472060999999997</v>
      </c>
      <c r="N176" s="219">
        <v>52.399932999999997</v>
      </c>
      <c r="O176" s="219">
        <v>53.103180000000002</v>
      </c>
      <c r="P176" s="219">
        <v>53.605300999999997</v>
      </c>
      <c r="Q176" s="219">
        <v>56.171036000000001</v>
      </c>
      <c r="R176" s="219">
        <v>56.427169999999997</v>
      </c>
      <c r="S176" s="219">
        <v>57.608795000000001</v>
      </c>
      <c r="T176" s="219">
        <v>58.449553999999999</v>
      </c>
      <c r="U176" s="219">
        <v>58.490127999999999</v>
      </c>
      <c r="V176" s="219">
        <v>58.666182999999997</v>
      </c>
      <c r="W176" s="219">
        <v>58.960326999999999</v>
      </c>
      <c r="X176" s="219">
        <v>59.343628000000002</v>
      </c>
      <c r="Y176" s="219">
        <v>59.845576999999999</v>
      </c>
      <c r="Z176" s="219">
        <v>60.470764000000003</v>
      </c>
      <c r="AA176" s="219">
        <v>61.182304000000002</v>
      </c>
      <c r="AB176" s="219">
        <v>61.965812999999997</v>
      </c>
      <c r="AC176" s="219">
        <v>62.802154999999999</v>
      </c>
      <c r="AD176" s="219">
        <v>63.733001999999999</v>
      </c>
      <c r="AE176" s="219">
        <v>64.763489000000007</v>
      </c>
      <c r="AF176" s="212" t="s">
        <v>340</v>
      </c>
      <c r="AG176" s="31"/>
    </row>
    <row r="177" spans="1:33">
      <c r="A177" s="30" t="s">
        <v>953</v>
      </c>
      <c r="B177" s="210" t="s">
        <v>287</v>
      </c>
      <c r="C177" s="219">
        <v>0</v>
      </c>
      <c r="D177" s="219">
        <v>0</v>
      </c>
      <c r="E177" s="219">
        <v>17.463474000000001</v>
      </c>
      <c r="F177" s="219">
        <v>21.329653</v>
      </c>
      <c r="G177" s="219">
        <v>24.371399</v>
      </c>
      <c r="H177" s="219">
        <v>23.494506999999999</v>
      </c>
      <c r="I177" s="219">
        <v>18.943511999999998</v>
      </c>
      <c r="J177" s="219">
        <v>19.374298</v>
      </c>
      <c r="K177" s="219">
        <v>19.766327</v>
      </c>
      <c r="L177" s="219">
        <v>20.132964999999999</v>
      </c>
      <c r="M177" s="219">
        <v>20.452881000000001</v>
      </c>
      <c r="N177" s="219">
        <v>20.728363000000002</v>
      </c>
      <c r="O177" s="219">
        <v>20.983429000000001</v>
      </c>
      <c r="P177" s="219">
        <v>21.226134999999999</v>
      </c>
      <c r="Q177" s="219">
        <v>23.542083999999999</v>
      </c>
      <c r="R177" s="219">
        <v>23.546509</v>
      </c>
      <c r="S177" s="219">
        <v>23.508330999999998</v>
      </c>
      <c r="T177" s="219">
        <v>23.525696</v>
      </c>
      <c r="U177" s="219">
        <v>23.583984000000001</v>
      </c>
      <c r="V177" s="219">
        <v>23.695709000000001</v>
      </c>
      <c r="W177" s="219">
        <v>23.852905</v>
      </c>
      <c r="X177" s="219">
        <v>24.047637999999999</v>
      </c>
      <c r="Y177" s="219">
        <v>24.291533999999999</v>
      </c>
      <c r="Z177" s="219">
        <v>24.574981999999999</v>
      </c>
      <c r="AA177" s="219">
        <v>24.892365000000002</v>
      </c>
      <c r="AB177" s="219">
        <v>25.243469000000001</v>
      </c>
      <c r="AC177" s="219">
        <v>25.627898999999999</v>
      </c>
      <c r="AD177" s="219">
        <v>26.047516000000002</v>
      </c>
      <c r="AE177" s="219">
        <v>26.498474000000002</v>
      </c>
      <c r="AF177" s="212" t="s">
        <v>340</v>
      </c>
      <c r="AG177" s="31"/>
    </row>
    <row r="178" spans="1:33">
      <c r="A178" s="30" t="s">
        <v>954</v>
      </c>
      <c r="B178" s="210" t="s">
        <v>288</v>
      </c>
      <c r="C178" s="219">
        <v>0</v>
      </c>
      <c r="D178" s="219">
        <v>0</v>
      </c>
      <c r="E178" s="219">
        <v>2.6847050000000001</v>
      </c>
      <c r="F178" s="219">
        <v>8.6334879999999998</v>
      </c>
      <c r="G178" s="219">
        <v>7.5640429999999999</v>
      </c>
      <c r="H178" s="219">
        <v>7.6775729999999998</v>
      </c>
      <c r="I178" s="219">
        <v>4.8536409999999997</v>
      </c>
      <c r="J178" s="219">
        <v>5.8987879999999997</v>
      </c>
      <c r="K178" s="219">
        <v>8.4926449999999996</v>
      </c>
      <c r="L178" s="219">
        <v>8.6243289999999995</v>
      </c>
      <c r="M178" s="219">
        <v>8.7234649999999991</v>
      </c>
      <c r="N178" s="219">
        <v>8.8013309999999993</v>
      </c>
      <c r="O178" s="219">
        <v>8.8686830000000008</v>
      </c>
      <c r="P178" s="219">
        <v>8.9318390000000001</v>
      </c>
      <c r="Q178" s="219">
        <v>8.9949490000000001</v>
      </c>
      <c r="R178" s="219">
        <v>9.0618739999999995</v>
      </c>
      <c r="S178" s="219">
        <v>10.095367</v>
      </c>
      <c r="T178" s="219">
        <v>10.726288</v>
      </c>
      <c r="U178" s="219">
        <v>10.520554000000001</v>
      </c>
      <c r="V178" s="219">
        <v>10.378677</v>
      </c>
      <c r="W178" s="219">
        <v>10.290741000000001</v>
      </c>
      <c r="X178" s="219">
        <v>10.238586</v>
      </c>
      <c r="Y178" s="219">
        <v>10.221401</v>
      </c>
      <c r="Z178" s="219">
        <v>10.25827</v>
      </c>
      <c r="AA178" s="219">
        <v>10.321465</v>
      </c>
      <c r="AB178" s="219">
        <v>10.393303</v>
      </c>
      <c r="AC178" s="219">
        <v>10.454742</v>
      </c>
      <c r="AD178" s="219">
        <v>10.542479999999999</v>
      </c>
      <c r="AE178" s="219">
        <v>10.666687</v>
      </c>
      <c r="AF178" s="212" t="s">
        <v>340</v>
      </c>
      <c r="AG178" s="31"/>
    </row>
    <row r="179" spans="1:33">
      <c r="A179" s="30" t="s">
        <v>955</v>
      </c>
      <c r="B179" s="210" t="s">
        <v>289</v>
      </c>
      <c r="C179" s="219">
        <v>0</v>
      </c>
      <c r="D179" s="219">
        <v>15.678391</v>
      </c>
      <c r="E179" s="219">
        <v>31.168710999999998</v>
      </c>
      <c r="F179" s="219">
        <v>20.154024</v>
      </c>
      <c r="G179" s="219">
        <v>21.018902000000001</v>
      </c>
      <c r="H179" s="219">
        <v>25.879242000000001</v>
      </c>
      <c r="I179" s="219">
        <v>21.064544999999999</v>
      </c>
      <c r="J179" s="219">
        <v>21.362030000000001</v>
      </c>
      <c r="K179" s="219">
        <v>21.692352</v>
      </c>
      <c r="L179" s="219">
        <v>22.011870999999999</v>
      </c>
      <c r="M179" s="219">
        <v>22.295715000000001</v>
      </c>
      <c r="N179" s="219">
        <v>22.870239000000002</v>
      </c>
      <c r="O179" s="219">
        <v>23.251068</v>
      </c>
      <c r="P179" s="219">
        <v>23.447327000000001</v>
      </c>
      <c r="Q179" s="219">
        <v>23.634003</v>
      </c>
      <c r="R179" s="219">
        <v>23.818787</v>
      </c>
      <c r="S179" s="219">
        <v>24.005096000000002</v>
      </c>
      <c r="T179" s="219">
        <v>24.197571</v>
      </c>
      <c r="U179" s="219">
        <v>24.385590000000001</v>
      </c>
      <c r="V179" s="219">
        <v>24.591797</v>
      </c>
      <c r="W179" s="219">
        <v>24.816680999999999</v>
      </c>
      <c r="X179" s="219">
        <v>25.057403999999998</v>
      </c>
      <c r="Y179" s="219">
        <v>25.332642</v>
      </c>
      <c r="Z179" s="219">
        <v>25.637512000000001</v>
      </c>
      <c r="AA179" s="219">
        <v>25.968475000000002</v>
      </c>
      <c r="AB179" s="219">
        <v>26.329041</v>
      </c>
      <c r="AC179" s="219">
        <v>26.719512999999999</v>
      </c>
      <c r="AD179" s="219">
        <v>27.143004999999999</v>
      </c>
      <c r="AE179" s="219">
        <v>27.598327999999999</v>
      </c>
      <c r="AF179" s="212" t="s">
        <v>340</v>
      </c>
      <c r="AG179" s="31"/>
    </row>
    <row r="180" spans="1:33">
      <c r="A180" s="30" t="s">
        <v>956</v>
      </c>
      <c r="B180" s="210" t="s">
        <v>873</v>
      </c>
      <c r="C180" s="219">
        <v>0</v>
      </c>
      <c r="D180" s="219">
        <v>22.792006000000001</v>
      </c>
      <c r="E180" s="219">
        <v>74.402717999999993</v>
      </c>
      <c r="F180" s="219">
        <v>44.716248</v>
      </c>
      <c r="G180" s="219">
        <v>57.993133999999998</v>
      </c>
      <c r="H180" s="219">
        <v>54.273457000000001</v>
      </c>
      <c r="I180" s="219">
        <v>51.795287999999999</v>
      </c>
      <c r="J180" s="219">
        <v>51.212234000000002</v>
      </c>
      <c r="K180" s="219">
        <v>52.077075999999998</v>
      </c>
      <c r="L180" s="219">
        <v>54.758178999999998</v>
      </c>
      <c r="M180" s="219">
        <v>57.779369000000003</v>
      </c>
      <c r="N180" s="219">
        <v>61.833809000000002</v>
      </c>
      <c r="O180" s="219">
        <v>66.168610000000001</v>
      </c>
      <c r="P180" s="219">
        <v>69.022034000000005</v>
      </c>
      <c r="Q180" s="219">
        <v>71.720344999999995</v>
      </c>
      <c r="R180" s="219">
        <v>74.601128000000003</v>
      </c>
      <c r="S180" s="219">
        <v>77.492294000000001</v>
      </c>
      <c r="T180" s="219">
        <v>80.764747999999997</v>
      </c>
      <c r="U180" s="219">
        <v>83.840393000000006</v>
      </c>
      <c r="V180" s="219">
        <v>85.916290000000004</v>
      </c>
      <c r="W180" s="219">
        <v>88.354316999999995</v>
      </c>
      <c r="X180" s="219">
        <v>90.725646999999995</v>
      </c>
      <c r="Y180" s="219">
        <v>93.012282999999996</v>
      </c>
      <c r="Z180" s="219">
        <v>95.275702999999993</v>
      </c>
      <c r="AA180" s="219">
        <v>96.930526999999998</v>
      </c>
      <c r="AB180" s="219">
        <v>99.070449999999994</v>
      </c>
      <c r="AC180" s="219">
        <v>101.387764</v>
      </c>
      <c r="AD180" s="219">
        <v>103.807503</v>
      </c>
      <c r="AE180" s="219">
        <v>106.413315</v>
      </c>
      <c r="AF180" s="212" t="s">
        <v>340</v>
      </c>
      <c r="AG180" s="31"/>
    </row>
    <row r="181" spans="1:33">
      <c r="A181" s="30" t="s">
        <v>957</v>
      </c>
      <c r="B181" s="210" t="s">
        <v>287</v>
      </c>
      <c r="C181" s="219">
        <v>0</v>
      </c>
      <c r="D181" s="219">
        <v>3.6042939999999999</v>
      </c>
      <c r="E181" s="219">
        <v>47.323338</v>
      </c>
      <c r="F181" s="219">
        <v>25.081547</v>
      </c>
      <c r="G181" s="219">
        <v>36.088225999999999</v>
      </c>
      <c r="H181" s="219">
        <v>35.250145000000003</v>
      </c>
      <c r="I181" s="219">
        <v>33.467136000000004</v>
      </c>
      <c r="J181" s="219">
        <v>32.919186000000003</v>
      </c>
      <c r="K181" s="219">
        <v>34.377158999999999</v>
      </c>
      <c r="L181" s="219">
        <v>35.893459</v>
      </c>
      <c r="M181" s="219">
        <v>37.667839000000001</v>
      </c>
      <c r="N181" s="219">
        <v>39.338538999999997</v>
      </c>
      <c r="O181" s="219">
        <v>41.088473999999998</v>
      </c>
      <c r="P181" s="219">
        <v>42.883583000000002</v>
      </c>
      <c r="Q181" s="219">
        <v>44.583351</v>
      </c>
      <c r="R181" s="219">
        <v>46.405234999999998</v>
      </c>
      <c r="S181" s="219">
        <v>48.237968000000002</v>
      </c>
      <c r="T181" s="219">
        <v>50.054909000000002</v>
      </c>
      <c r="U181" s="219">
        <v>51.816090000000003</v>
      </c>
      <c r="V181" s="219">
        <v>53.149906000000001</v>
      </c>
      <c r="W181" s="219">
        <v>54.709114</v>
      </c>
      <c r="X181" s="219">
        <v>56.237555999999998</v>
      </c>
      <c r="Y181" s="219">
        <v>57.744278000000001</v>
      </c>
      <c r="Z181" s="219">
        <v>59.240203999999999</v>
      </c>
      <c r="AA181" s="219">
        <v>60.373123</v>
      </c>
      <c r="AB181" s="219">
        <v>61.808743</v>
      </c>
      <c r="AC181" s="219">
        <v>63.379292</v>
      </c>
      <c r="AD181" s="219">
        <v>65.004767999999999</v>
      </c>
      <c r="AE181" s="219">
        <v>66.742683</v>
      </c>
      <c r="AF181" s="212" t="s">
        <v>340</v>
      </c>
      <c r="AG181" s="31"/>
    </row>
    <row r="182" spans="1:33">
      <c r="A182" s="30" t="s">
        <v>958</v>
      </c>
      <c r="B182" s="210" t="s">
        <v>288</v>
      </c>
      <c r="C182" s="219">
        <v>0</v>
      </c>
      <c r="D182" s="219">
        <v>0</v>
      </c>
      <c r="E182" s="219">
        <v>1.1706829999999999</v>
      </c>
      <c r="F182" s="219">
        <v>6.5943160000000001</v>
      </c>
      <c r="G182" s="219">
        <v>5.9159930000000003</v>
      </c>
      <c r="H182" s="219">
        <v>4.2207160000000004</v>
      </c>
      <c r="I182" s="219">
        <v>3.7680630000000002</v>
      </c>
      <c r="J182" s="219">
        <v>3.664326</v>
      </c>
      <c r="K182" s="219">
        <v>2.497312</v>
      </c>
      <c r="L182" s="219">
        <v>3.0966079999999998</v>
      </c>
      <c r="M182" s="219">
        <v>3.723773</v>
      </c>
      <c r="N182" s="219">
        <v>5.5370480000000004</v>
      </c>
      <c r="O182" s="219">
        <v>7.546837</v>
      </c>
      <c r="P182" s="219">
        <v>8.0298370000000006</v>
      </c>
      <c r="Q182" s="219">
        <v>8.4824219999999997</v>
      </c>
      <c r="R182" s="219">
        <v>8.9627379999999999</v>
      </c>
      <c r="S182" s="219">
        <v>9.4329149999999995</v>
      </c>
      <c r="T182" s="219">
        <v>9.8785399999999992</v>
      </c>
      <c r="U182" s="219">
        <v>10.28767</v>
      </c>
      <c r="V182" s="219">
        <v>10.555084000000001</v>
      </c>
      <c r="W182" s="219">
        <v>10.858917</v>
      </c>
      <c r="X182" s="219">
        <v>11.105093</v>
      </c>
      <c r="Y182" s="219">
        <v>11.269012999999999</v>
      </c>
      <c r="Z182" s="219">
        <v>11.400671000000001</v>
      </c>
      <c r="AA182" s="219">
        <v>11.372805</v>
      </c>
      <c r="AB182" s="219">
        <v>11.416981</v>
      </c>
      <c r="AC182" s="219">
        <v>11.454242000000001</v>
      </c>
      <c r="AD182" s="219">
        <v>11.487852</v>
      </c>
      <c r="AE182" s="219">
        <v>11.547215</v>
      </c>
      <c r="AF182" s="212" t="s">
        <v>340</v>
      </c>
      <c r="AG182" s="31"/>
    </row>
    <row r="183" spans="1:33">
      <c r="A183" s="30" t="s">
        <v>959</v>
      </c>
      <c r="B183" s="210" t="s">
        <v>289</v>
      </c>
      <c r="C183" s="219">
        <v>0</v>
      </c>
      <c r="D183" s="219">
        <v>19.187712000000001</v>
      </c>
      <c r="E183" s="219">
        <v>25.908698999999999</v>
      </c>
      <c r="F183" s="219">
        <v>13.040388</v>
      </c>
      <c r="G183" s="219">
        <v>15.988916</v>
      </c>
      <c r="H183" s="219">
        <v>14.802597</v>
      </c>
      <c r="I183" s="219">
        <v>14.560089</v>
      </c>
      <c r="J183" s="219">
        <v>14.628723000000001</v>
      </c>
      <c r="K183" s="219">
        <v>15.202605999999999</v>
      </c>
      <c r="L183" s="219">
        <v>15.768112</v>
      </c>
      <c r="M183" s="219">
        <v>16.387756</v>
      </c>
      <c r="N183" s="219">
        <v>16.958221000000002</v>
      </c>
      <c r="O183" s="219">
        <v>17.533294999999999</v>
      </c>
      <c r="P183" s="219">
        <v>18.108612000000001</v>
      </c>
      <c r="Q183" s="219">
        <v>18.654572000000002</v>
      </c>
      <c r="R183" s="219">
        <v>19.233153999999999</v>
      </c>
      <c r="S183" s="219">
        <v>19.821411000000001</v>
      </c>
      <c r="T183" s="219">
        <v>20.831299000000001</v>
      </c>
      <c r="U183" s="219">
        <v>21.736633000000001</v>
      </c>
      <c r="V183" s="219">
        <v>22.211303999999998</v>
      </c>
      <c r="W183" s="219">
        <v>22.786284999999999</v>
      </c>
      <c r="X183" s="219">
        <v>23.382995999999999</v>
      </c>
      <c r="Y183" s="219">
        <v>23.998992999999999</v>
      </c>
      <c r="Z183" s="219">
        <v>24.634827000000001</v>
      </c>
      <c r="AA183" s="219">
        <v>25.184601000000001</v>
      </c>
      <c r="AB183" s="219">
        <v>25.844726999999999</v>
      </c>
      <c r="AC183" s="219">
        <v>26.55423</v>
      </c>
      <c r="AD183" s="219">
        <v>27.314879999999999</v>
      </c>
      <c r="AE183" s="219">
        <v>28.123412999999999</v>
      </c>
      <c r="AF183" s="212" t="s">
        <v>340</v>
      </c>
      <c r="AG183" s="31"/>
    </row>
    <row r="184" spans="1:33">
      <c r="A184" s="30" t="s">
        <v>960</v>
      </c>
      <c r="B184" s="210" t="s">
        <v>878</v>
      </c>
      <c r="C184" s="219">
        <v>0</v>
      </c>
      <c r="D184" s="219">
        <v>209.46492000000001</v>
      </c>
      <c r="E184" s="219">
        <v>460.13586400000003</v>
      </c>
      <c r="F184" s="219">
        <v>229.08583100000001</v>
      </c>
      <c r="G184" s="219">
        <v>317.47808800000001</v>
      </c>
      <c r="H184" s="219">
        <v>187.26048299999999</v>
      </c>
      <c r="I184" s="219">
        <v>214.348862</v>
      </c>
      <c r="J184" s="219">
        <v>249.834259</v>
      </c>
      <c r="K184" s="219">
        <v>296.81411700000001</v>
      </c>
      <c r="L184" s="219">
        <v>319.17443800000001</v>
      </c>
      <c r="M184" s="219">
        <v>339.22967499999999</v>
      </c>
      <c r="N184" s="219">
        <v>397.25842299999999</v>
      </c>
      <c r="O184" s="219">
        <v>406.20275900000001</v>
      </c>
      <c r="P184" s="219">
        <v>413.12435900000003</v>
      </c>
      <c r="Q184" s="219">
        <v>419.67819200000002</v>
      </c>
      <c r="R184" s="219">
        <v>426.31133999999997</v>
      </c>
      <c r="S184" s="219">
        <v>432.356964</v>
      </c>
      <c r="T184" s="219">
        <v>437.99243200000001</v>
      </c>
      <c r="U184" s="219">
        <v>444.01953099999997</v>
      </c>
      <c r="V184" s="219">
        <v>449.06921399999999</v>
      </c>
      <c r="W184" s="219">
        <v>453.67553700000002</v>
      </c>
      <c r="X184" s="219">
        <v>457.88363600000002</v>
      </c>
      <c r="Y184" s="219">
        <v>461.77047700000003</v>
      </c>
      <c r="Z184" s="219">
        <v>465.51147500000002</v>
      </c>
      <c r="AA184" s="219">
        <v>469.37573200000003</v>
      </c>
      <c r="AB184" s="219">
        <v>473.366669</v>
      </c>
      <c r="AC184" s="219">
        <v>477.805969</v>
      </c>
      <c r="AD184" s="219">
        <v>483.20083599999998</v>
      </c>
      <c r="AE184" s="219">
        <v>489.35626200000002</v>
      </c>
      <c r="AF184" s="212" t="s">
        <v>340</v>
      </c>
      <c r="AG184" s="31"/>
    </row>
    <row r="185" spans="1:33">
      <c r="A185" s="30" t="s">
        <v>961</v>
      </c>
      <c r="B185" s="210" t="s">
        <v>287</v>
      </c>
      <c r="C185" s="219">
        <v>0</v>
      </c>
      <c r="D185" s="219">
        <v>0</v>
      </c>
      <c r="E185" s="219">
        <v>221.829926</v>
      </c>
      <c r="F185" s="219">
        <v>120.38294999999999</v>
      </c>
      <c r="G185" s="219">
        <v>159.10351600000001</v>
      </c>
      <c r="H185" s="219">
        <v>105.838966</v>
      </c>
      <c r="I185" s="219">
        <v>123.445007</v>
      </c>
      <c r="J185" s="219">
        <v>142.73538199999999</v>
      </c>
      <c r="K185" s="219">
        <v>161.134232</v>
      </c>
      <c r="L185" s="219">
        <v>178.18235799999999</v>
      </c>
      <c r="M185" s="219">
        <v>193.75765999999999</v>
      </c>
      <c r="N185" s="219">
        <v>247.382935</v>
      </c>
      <c r="O185" s="219">
        <v>252.203857</v>
      </c>
      <c r="P185" s="219">
        <v>255.38964799999999</v>
      </c>
      <c r="Q185" s="219">
        <v>258.36474600000003</v>
      </c>
      <c r="R185" s="219">
        <v>261.22705100000002</v>
      </c>
      <c r="S185" s="219">
        <v>263.53198200000003</v>
      </c>
      <c r="T185" s="219">
        <v>265.51074199999999</v>
      </c>
      <c r="U185" s="219">
        <v>267.742188</v>
      </c>
      <c r="V185" s="219">
        <v>269.3125</v>
      </c>
      <c r="W185" s="219">
        <v>270.68798800000002</v>
      </c>
      <c r="X185" s="219">
        <v>271.945312</v>
      </c>
      <c r="Y185" s="219">
        <v>273.14111300000002</v>
      </c>
      <c r="Z185" s="219">
        <v>274.41601600000001</v>
      </c>
      <c r="AA185" s="219">
        <v>275.93505900000002</v>
      </c>
      <c r="AB185" s="219">
        <v>277.73779300000001</v>
      </c>
      <c r="AC185" s="219">
        <v>280.03198200000003</v>
      </c>
      <c r="AD185" s="219">
        <v>283.20404100000002</v>
      </c>
      <c r="AE185" s="219">
        <v>286.96154799999999</v>
      </c>
      <c r="AF185" s="212" t="s">
        <v>340</v>
      </c>
      <c r="AG185" s="31"/>
    </row>
    <row r="186" spans="1:33">
      <c r="A186" s="30" t="s">
        <v>962</v>
      </c>
      <c r="B186" s="210" t="s">
        <v>288</v>
      </c>
      <c r="C186" s="219">
        <v>0</v>
      </c>
      <c r="D186" s="219">
        <v>0</v>
      </c>
      <c r="E186" s="219">
        <v>47.794128000000001</v>
      </c>
      <c r="F186" s="219">
        <v>34.290160999999998</v>
      </c>
      <c r="G186" s="219">
        <v>78.167045999999999</v>
      </c>
      <c r="H186" s="219">
        <v>21.906136</v>
      </c>
      <c r="I186" s="219">
        <v>29.046921000000001</v>
      </c>
      <c r="J186" s="219">
        <v>42.34742</v>
      </c>
      <c r="K186" s="219">
        <v>67.976646000000002</v>
      </c>
      <c r="L186" s="219">
        <v>70.347549000000001</v>
      </c>
      <c r="M186" s="219">
        <v>71.901809999999998</v>
      </c>
      <c r="N186" s="219">
        <v>73.409531000000001</v>
      </c>
      <c r="O186" s="219">
        <v>74.759415000000004</v>
      </c>
      <c r="P186" s="219">
        <v>75.880463000000006</v>
      </c>
      <c r="Q186" s="219">
        <v>76.833099000000004</v>
      </c>
      <c r="R186" s="219">
        <v>77.983086</v>
      </c>
      <c r="S186" s="219">
        <v>79.231110000000001</v>
      </c>
      <c r="T186" s="219">
        <v>80.483269000000007</v>
      </c>
      <c r="U186" s="219">
        <v>81.913345000000007</v>
      </c>
      <c r="V186" s="219">
        <v>83.149544000000006</v>
      </c>
      <c r="W186" s="219">
        <v>84.208145000000002</v>
      </c>
      <c r="X186" s="219">
        <v>85.047950999999998</v>
      </c>
      <c r="Y186" s="219">
        <v>85.678557999999995</v>
      </c>
      <c r="Z186" s="219">
        <v>86.113647</v>
      </c>
      <c r="AA186" s="219">
        <v>86.440674000000001</v>
      </c>
      <c r="AB186" s="219">
        <v>86.611412000000001</v>
      </c>
      <c r="AC186" s="219">
        <v>86.682541000000001</v>
      </c>
      <c r="AD186" s="219">
        <v>86.753997999999996</v>
      </c>
      <c r="AE186" s="219">
        <v>86.938659999999999</v>
      </c>
      <c r="AF186" s="212" t="s">
        <v>340</v>
      </c>
      <c r="AG186" s="31"/>
    </row>
    <row r="187" spans="1:33">
      <c r="A187" s="30" t="s">
        <v>963</v>
      </c>
      <c r="B187" s="210" t="s">
        <v>289</v>
      </c>
      <c r="C187" s="219">
        <v>0</v>
      </c>
      <c r="D187" s="219">
        <v>209.46492000000001</v>
      </c>
      <c r="E187" s="219">
        <v>190.51182600000001</v>
      </c>
      <c r="F187" s="219">
        <v>74.412719999999993</v>
      </c>
      <c r="G187" s="219">
        <v>80.207520000000002</v>
      </c>
      <c r="H187" s="219">
        <v>59.515380999999998</v>
      </c>
      <c r="I187" s="219">
        <v>61.856934000000003</v>
      </c>
      <c r="J187" s="219">
        <v>64.751464999999996</v>
      </c>
      <c r="K187" s="219">
        <v>67.703247000000005</v>
      </c>
      <c r="L187" s="219">
        <v>70.644531000000001</v>
      </c>
      <c r="M187" s="219">
        <v>73.570189999999997</v>
      </c>
      <c r="N187" s="219">
        <v>76.465941999999998</v>
      </c>
      <c r="O187" s="219">
        <v>79.239502000000002</v>
      </c>
      <c r="P187" s="219">
        <v>81.854247999999998</v>
      </c>
      <c r="Q187" s="219">
        <v>84.480346999999995</v>
      </c>
      <c r="R187" s="219">
        <v>87.101196000000002</v>
      </c>
      <c r="S187" s="219">
        <v>89.593872000000005</v>
      </c>
      <c r="T187" s="219">
        <v>91.998412999999999</v>
      </c>
      <c r="U187" s="219">
        <v>94.364013999999997</v>
      </c>
      <c r="V187" s="219">
        <v>96.607178000000005</v>
      </c>
      <c r="W187" s="219">
        <v>98.779419000000004</v>
      </c>
      <c r="X187" s="219">
        <v>100.890381</v>
      </c>
      <c r="Y187" s="219">
        <v>102.950806</v>
      </c>
      <c r="Z187" s="219">
        <v>104.98181200000001</v>
      </c>
      <c r="AA187" s="219">
        <v>107</v>
      </c>
      <c r="AB187" s="219">
        <v>109.017456</v>
      </c>
      <c r="AC187" s="219">
        <v>111.091431</v>
      </c>
      <c r="AD187" s="219">
        <v>113.24279799999999</v>
      </c>
      <c r="AE187" s="219">
        <v>115.45605500000001</v>
      </c>
      <c r="AF187" s="212" t="s">
        <v>340</v>
      </c>
      <c r="AG187" s="31"/>
    </row>
    <row r="188" spans="1:33">
      <c r="A188" s="30" t="s">
        <v>964</v>
      </c>
      <c r="B188" s="210" t="s">
        <v>883</v>
      </c>
      <c r="C188" s="219">
        <v>0.79372399999999999</v>
      </c>
      <c r="D188" s="219">
        <v>12.980262</v>
      </c>
      <c r="E188" s="219">
        <v>13.87327</v>
      </c>
      <c r="F188" s="219">
        <v>26.350292</v>
      </c>
      <c r="G188" s="219">
        <v>34.025683999999998</v>
      </c>
      <c r="H188" s="219">
        <v>23.44116</v>
      </c>
      <c r="I188" s="219">
        <v>23.946943000000001</v>
      </c>
      <c r="J188" s="219">
        <v>7.5498479999999999</v>
      </c>
      <c r="K188" s="219">
        <v>10.049531999999999</v>
      </c>
      <c r="L188" s="219">
        <v>12.750522999999999</v>
      </c>
      <c r="M188" s="219">
        <v>15.652850000000001</v>
      </c>
      <c r="N188" s="219">
        <v>19.172958000000001</v>
      </c>
      <c r="O188" s="219">
        <v>21.966609999999999</v>
      </c>
      <c r="P188" s="219">
        <v>24.430050000000001</v>
      </c>
      <c r="Q188" s="219">
        <v>26.608149000000001</v>
      </c>
      <c r="R188" s="219">
        <v>29.806080000000001</v>
      </c>
      <c r="S188" s="219">
        <v>31.115946000000001</v>
      </c>
      <c r="T188" s="219">
        <v>32.410407999999997</v>
      </c>
      <c r="U188" s="219">
        <v>32.874062000000002</v>
      </c>
      <c r="V188" s="219">
        <v>33.091309000000003</v>
      </c>
      <c r="W188" s="219">
        <v>35.272255000000001</v>
      </c>
      <c r="X188" s="219">
        <v>35.527016000000003</v>
      </c>
      <c r="Y188" s="219">
        <v>34.892966999999999</v>
      </c>
      <c r="Z188" s="219">
        <v>34.265090999999998</v>
      </c>
      <c r="AA188" s="219">
        <v>33.642463999999997</v>
      </c>
      <c r="AB188" s="219">
        <v>33.005409</v>
      </c>
      <c r="AC188" s="219">
        <v>32.366652999999999</v>
      </c>
      <c r="AD188" s="219">
        <v>31.752213000000001</v>
      </c>
      <c r="AE188" s="219">
        <v>31.186401</v>
      </c>
      <c r="AF188" s="212">
        <v>0.14008999999999999</v>
      </c>
      <c r="AG188" s="31"/>
    </row>
    <row r="189" spans="1:33">
      <c r="A189" s="30" t="s">
        <v>965</v>
      </c>
      <c r="B189" s="210" t="s">
        <v>287</v>
      </c>
      <c r="C189" s="219">
        <v>0.79372399999999999</v>
      </c>
      <c r="D189" s="219">
        <v>7.4462910000000004</v>
      </c>
      <c r="E189" s="219">
        <v>10.540979</v>
      </c>
      <c r="F189" s="219">
        <v>9.1241839999999996</v>
      </c>
      <c r="G189" s="219">
        <v>8.5874229999999994</v>
      </c>
      <c r="H189" s="219">
        <v>6.9385599999999998</v>
      </c>
      <c r="I189" s="219">
        <v>7.4051960000000001</v>
      </c>
      <c r="J189" s="219">
        <v>4.6872920000000002</v>
      </c>
      <c r="K189" s="219">
        <v>5.5550129999999998</v>
      </c>
      <c r="L189" s="219">
        <v>6.4856889999999998</v>
      </c>
      <c r="M189" s="219">
        <v>7.4760400000000002</v>
      </c>
      <c r="N189" s="219">
        <v>8.5032789999999991</v>
      </c>
      <c r="O189" s="219">
        <v>9.4984909999999996</v>
      </c>
      <c r="P189" s="219">
        <v>10.436935999999999</v>
      </c>
      <c r="Q189" s="219">
        <v>11.300264</v>
      </c>
      <c r="R189" s="219">
        <v>12.071911</v>
      </c>
      <c r="S189" s="219">
        <v>13.071901</v>
      </c>
      <c r="T189" s="219">
        <v>14.14739</v>
      </c>
      <c r="U189" s="219">
        <v>14.482977</v>
      </c>
      <c r="V189" s="219">
        <v>14.647125000000001</v>
      </c>
      <c r="W189" s="219">
        <v>14.705292</v>
      </c>
      <c r="X189" s="219">
        <v>14.677673</v>
      </c>
      <c r="Y189" s="219">
        <v>14.582153</v>
      </c>
      <c r="Z189" s="219">
        <v>14.438843</v>
      </c>
      <c r="AA189" s="219">
        <v>14.260223</v>
      </c>
      <c r="AB189" s="219">
        <v>14.050934</v>
      </c>
      <c r="AC189" s="219">
        <v>13.821960000000001</v>
      </c>
      <c r="AD189" s="219">
        <v>13.586792000000001</v>
      </c>
      <c r="AE189" s="219">
        <v>13.356964</v>
      </c>
      <c r="AF189" s="212">
        <v>0.10608099999999999</v>
      </c>
      <c r="AG189" s="31"/>
    </row>
    <row r="190" spans="1:33">
      <c r="A190" s="30" t="s">
        <v>966</v>
      </c>
      <c r="B190" s="210" t="s">
        <v>288</v>
      </c>
      <c r="C190" s="219">
        <v>0</v>
      </c>
      <c r="D190" s="219">
        <v>0</v>
      </c>
      <c r="E190" s="219">
        <v>0.42932500000000001</v>
      </c>
      <c r="F190" s="219">
        <v>14.579053</v>
      </c>
      <c r="G190" s="219">
        <v>24.163519000000001</v>
      </c>
      <c r="H190" s="219">
        <v>14.927294</v>
      </c>
      <c r="I190" s="219">
        <v>14.637105999999999</v>
      </c>
      <c r="J190" s="219">
        <v>0.63064600000000004</v>
      </c>
      <c r="K190" s="219">
        <v>1.9469030000000001</v>
      </c>
      <c r="L190" s="219">
        <v>3.405764</v>
      </c>
      <c r="M190" s="219">
        <v>4.9879540000000002</v>
      </c>
      <c r="N190" s="219">
        <v>6.6358100000000002</v>
      </c>
      <c r="O190" s="219">
        <v>8.1877010000000006</v>
      </c>
      <c r="P190" s="219">
        <v>9.5605790000000006</v>
      </c>
      <c r="Q190" s="219">
        <v>10.737700999999999</v>
      </c>
      <c r="R190" s="219">
        <v>13.039307000000001</v>
      </c>
      <c r="S190" s="219">
        <v>13.238830999999999</v>
      </c>
      <c r="T190" s="219">
        <v>13.362273999999999</v>
      </c>
      <c r="U190" s="219">
        <v>13.415436</v>
      </c>
      <c r="V190" s="219">
        <v>13.404968</v>
      </c>
      <c r="W190" s="219">
        <v>15.479445999999999</v>
      </c>
      <c r="X190" s="219">
        <v>15.727722</v>
      </c>
      <c r="Y190" s="219">
        <v>15.166382</v>
      </c>
      <c r="Z190" s="219">
        <v>14.668182</v>
      </c>
      <c r="AA190" s="219">
        <v>14.217926</v>
      </c>
      <c r="AB190" s="219">
        <v>13.793549000000001</v>
      </c>
      <c r="AC190" s="219">
        <v>13.395325</v>
      </c>
      <c r="AD190" s="219">
        <v>13.034515000000001</v>
      </c>
      <c r="AE190" s="219">
        <v>12.721436000000001</v>
      </c>
      <c r="AF190" s="212" t="s">
        <v>340</v>
      </c>
      <c r="AG190" s="31"/>
    </row>
    <row r="191" spans="1:33">
      <c r="A191" s="30" t="s">
        <v>967</v>
      </c>
      <c r="B191" s="210" t="s">
        <v>289</v>
      </c>
      <c r="C191" s="219">
        <v>0</v>
      </c>
      <c r="D191" s="219">
        <v>5.5339710000000002</v>
      </c>
      <c r="E191" s="219">
        <v>2.9029660000000002</v>
      </c>
      <c r="F191" s="219">
        <v>2.6470570000000002</v>
      </c>
      <c r="G191" s="219">
        <v>1.2747409999999999</v>
      </c>
      <c r="H191" s="219">
        <v>1.5753060000000001</v>
      </c>
      <c r="I191" s="219">
        <v>1.9046419999999999</v>
      </c>
      <c r="J191" s="219">
        <v>2.2319100000000001</v>
      </c>
      <c r="K191" s="219">
        <v>2.5476160000000001</v>
      </c>
      <c r="L191" s="219">
        <v>2.8590689999999999</v>
      </c>
      <c r="M191" s="219">
        <v>3.1888550000000002</v>
      </c>
      <c r="N191" s="219">
        <v>4.0338690000000001</v>
      </c>
      <c r="O191" s="219">
        <v>4.2804180000000001</v>
      </c>
      <c r="P191" s="219">
        <v>4.4325330000000003</v>
      </c>
      <c r="Q191" s="219">
        <v>4.5701830000000001</v>
      </c>
      <c r="R191" s="219">
        <v>4.6948619999999996</v>
      </c>
      <c r="S191" s="219">
        <v>4.8052140000000003</v>
      </c>
      <c r="T191" s="219">
        <v>4.9007420000000002</v>
      </c>
      <c r="U191" s="219">
        <v>4.9756470000000004</v>
      </c>
      <c r="V191" s="219">
        <v>5.0392150000000004</v>
      </c>
      <c r="W191" s="219">
        <v>5.0875170000000001</v>
      </c>
      <c r="X191" s="219">
        <v>5.1216200000000001</v>
      </c>
      <c r="Y191" s="219">
        <v>5.1444320000000001</v>
      </c>
      <c r="Z191" s="219">
        <v>5.1580659999999998</v>
      </c>
      <c r="AA191" s="219">
        <v>5.1643140000000001</v>
      </c>
      <c r="AB191" s="219">
        <v>5.160927</v>
      </c>
      <c r="AC191" s="219">
        <v>5.1493679999999999</v>
      </c>
      <c r="AD191" s="219">
        <v>5.1309050000000003</v>
      </c>
      <c r="AE191" s="219">
        <v>5.1080019999999999</v>
      </c>
      <c r="AF191" s="212" t="s">
        <v>340</v>
      </c>
      <c r="AG191" s="31"/>
    </row>
    <row r="192" spans="1:33">
      <c r="A192" s="30" t="s">
        <v>968</v>
      </c>
      <c r="B192" s="210" t="s">
        <v>888</v>
      </c>
      <c r="C192" s="219">
        <v>0</v>
      </c>
      <c r="D192" s="219">
        <v>8.2998980000000007</v>
      </c>
      <c r="E192" s="219">
        <v>38.095581000000003</v>
      </c>
      <c r="F192" s="219">
        <v>52.605324000000003</v>
      </c>
      <c r="G192" s="219">
        <v>38.831344999999999</v>
      </c>
      <c r="H192" s="219">
        <v>36.263339999999999</v>
      </c>
      <c r="I192" s="219">
        <v>38.536208999999999</v>
      </c>
      <c r="J192" s="219">
        <v>37.579514000000003</v>
      </c>
      <c r="K192" s="219">
        <v>40.607680999999999</v>
      </c>
      <c r="L192" s="219">
        <v>43.308140000000002</v>
      </c>
      <c r="M192" s="219">
        <v>45.546779999999998</v>
      </c>
      <c r="N192" s="219">
        <v>51.024161999999997</v>
      </c>
      <c r="O192" s="219">
        <v>55.126358000000003</v>
      </c>
      <c r="P192" s="219">
        <v>55.12912</v>
      </c>
      <c r="Q192" s="219">
        <v>55.547545999999997</v>
      </c>
      <c r="R192" s="219">
        <v>56.460537000000002</v>
      </c>
      <c r="S192" s="219">
        <v>57.931061</v>
      </c>
      <c r="T192" s="219">
        <v>57.521850999999998</v>
      </c>
      <c r="U192" s="219">
        <v>61.387970000000003</v>
      </c>
      <c r="V192" s="219">
        <v>62.124954000000002</v>
      </c>
      <c r="W192" s="219">
        <v>63.149524999999997</v>
      </c>
      <c r="X192" s="219">
        <v>64.233458999999996</v>
      </c>
      <c r="Y192" s="219">
        <v>65.384048000000007</v>
      </c>
      <c r="Z192" s="219">
        <v>66.553618999999998</v>
      </c>
      <c r="AA192" s="219">
        <v>67.687691000000001</v>
      </c>
      <c r="AB192" s="219">
        <v>68.894240999999994</v>
      </c>
      <c r="AC192" s="219">
        <v>70.257583999999994</v>
      </c>
      <c r="AD192" s="219">
        <v>71.682845999999998</v>
      </c>
      <c r="AE192" s="219">
        <v>73.041831999999999</v>
      </c>
      <c r="AF192" s="212" t="s">
        <v>340</v>
      </c>
      <c r="AG192" s="31"/>
    </row>
    <row r="193" spans="1:33">
      <c r="A193" s="30" t="s">
        <v>969</v>
      </c>
      <c r="B193" s="210" t="s">
        <v>287</v>
      </c>
      <c r="C193" s="219">
        <v>0</v>
      </c>
      <c r="D193" s="219">
        <v>0</v>
      </c>
      <c r="E193" s="219">
        <v>2.1184859999999999</v>
      </c>
      <c r="F193" s="219">
        <v>14.333235</v>
      </c>
      <c r="G193" s="219">
        <v>8.4892459999999996</v>
      </c>
      <c r="H193" s="219">
        <v>9.3029770000000003</v>
      </c>
      <c r="I193" s="219">
        <v>11.527939</v>
      </c>
      <c r="J193" s="219">
        <v>13.043364</v>
      </c>
      <c r="K193" s="219">
        <v>15.177201</v>
      </c>
      <c r="L193" s="219">
        <v>17.062756</v>
      </c>
      <c r="M193" s="219">
        <v>18.632449999999999</v>
      </c>
      <c r="N193" s="219">
        <v>23.383787000000002</v>
      </c>
      <c r="O193" s="219">
        <v>26.739440999999999</v>
      </c>
      <c r="P193" s="219">
        <v>26.429901000000001</v>
      </c>
      <c r="Q193" s="219">
        <v>26.310669000000001</v>
      </c>
      <c r="R193" s="219">
        <v>26.42334</v>
      </c>
      <c r="S193" s="219">
        <v>26.262481999999999</v>
      </c>
      <c r="T193" s="219">
        <v>25.816986</v>
      </c>
      <c r="U193" s="219">
        <v>29.670959</v>
      </c>
      <c r="V193" s="219">
        <v>30.239594</v>
      </c>
      <c r="W193" s="219">
        <v>31.060184</v>
      </c>
      <c r="X193" s="219">
        <v>31.933064000000002</v>
      </c>
      <c r="Y193" s="219">
        <v>32.858215000000001</v>
      </c>
      <c r="Z193" s="219">
        <v>33.782725999999997</v>
      </c>
      <c r="AA193" s="219">
        <v>34.653114000000002</v>
      </c>
      <c r="AB193" s="219">
        <v>35.545791999999999</v>
      </c>
      <c r="AC193" s="219">
        <v>36.475109000000003</v>
      </c>
      <c r="AD193" s="219">
        <v>37.396743999999998</v>
      </c>
      <c r="AE193" s="219">
        <v>38.194510999999999</v>
      </c>
      <c r="AF193" s="212" t="s">
        <v>340</v>
      </c>
      <c r="AG193" s="31"/>
    </row>
    <row r="194" spans="1:33">
      <c r="A194" s="30" t="s">
        <v>970</v>
      </c>
      <c r="B194" s="210" t="s">
        <v>288</v>
      </c>
      <c r="C194" s="219">
        <v>0</v>
      </c>
      <c r="D194" s="219">
        <v>0</v>
      </c>
      <c r="E194" s="219">
        <v>2.6404640000000001</v>
      </c>
      <c r="F194" s="219">
        <v>8.6513419999999996</v>
      </c>
      <c r="G194" s="219">
        <v>8.5475119999999993</v>
      </c>
      <c r="H194" s="219">
        <v>5.0834099999999998</v>
      </c>
      <c r="I194" s="219">
        <v>4.9653910000000003</v>
      </c>
      <c r="J194" s="219">
        <v>2.3322020000000001</v>
      </c>
      <c r="K194" s="219">
        <v>3.053315</v>
      </c>
      <c r="L194" s="219">
        <v>3.8036720000000002</v>
      </c>
      <c r="M194" s="219">
        <v>4.5707329999999997</v>
      </c>
      <c r="N194" s="219">
        <v>5.3463390000000004</v>
      </c>
      <c r="O194" s="219">
        <v>6.1272130000000002</v>
      </c>
      <c r="P194" s="219">
        <v>6.8328249999999997</v>
      </c>
      <c r="Q194" s="219">
        <v>7.5031720000000002</v>
      </c>
      <c r="R194" s="219">
        <v>8.1220660000000002</v>
      </c>
      <c r="S194" s="219">
        <v>9.6340640000000004</v>
      </c>
      <c r="T194" s="219">
        <v>9.7615359999999995</v>
      </c>
      <c r="U194" s="219">
        <v>9.8415529999999993</v>
      </c>
      <c r="V194" s="219">
        <v>9.8936919999999997</v>
      </c>
      <c r="W194" s="219">
        <v>9.9146879999999999</v>
      </c>
      <c r="X194" s="219">
        <v>9.9091640000000005</v>
      </c>
      <c r="Y194" s="219">
        <v>9.8867650000000005</v>
      </c>
      <c r="Z194" s="219">
        <v>9.8553010000000008</v>
      </c>
      <c r="AA194" s="219">
        <v>9.8242189999999994</v>
      </c>
      <c r="AB194" s="219">
        <v>9.8048400000000004</v>
      </c>
      <c r="AC194" s="219">
        <v>9.8116149999999998</v>
      </c>
      <c r="AD194" s="219">
        <v>9.8472600000000003</v>
      </c>
      <c r="AE194" s="219">
        <v>9.9160160000000008</v>
      </c>
      <c r="AF194" s="212" t="s">
        <v>340</v>
      </c>
      <c r="AG194" s="31"/>
    </row>
    <row r="195" spans="1:33">
      <c r="A195" s="30" t="s">
        <v>971</v>
      </c>
      <c r="B195" s="210" t="s">
        <v>289</v>
      </c>
      <c r="C195" s="219">
        <v>0</v>
      </c>
      <c r="D195" s="219">
        <v>8.2998980000000007</v>
      </c>
      <c r="E195" s="219">
        <v>33.336632000000002</v>
      </c>
      <c r="F195" s="219">
        <v>29.620747000000001</v>
      </c>
      <c r="G195" s="219">
        <v>21.794585999999999</v>
      </c>
      <c r="H195" s="219">
        <v>21.876953</v>
      </c>
      <c r="I195" s="219">
        <v>22.042877000000001</v>
      </c>
      <c r="J195" s="219">
        <v>22.203949000000001</v>
      </c>
      <c r="K195" s="219">
        <v>22.377167</v>
      </c>
      <c r="L195" s="219">
        <v>22.441711000000002</v>
      </c>
      <c r="M195" s="219">
        <v>22.343596999999999</v>
      </c>
      <c r="N195" s="219">
        <v>22.294036999999999</v>
      </c>
      <c r="O195" s="219">
        <v>22.259705</v>
      </c>
      <c r="P195" s="219">
        <v>21.866394</v>
      </c>
      <c r="Q195" s="219">
        <v>21.733703999999999</v>
      </c>
      <c r="R195" s="219">
        <v>21.915130999999999</v>
      </c>
      <c r="S195" s="219">
        <v>22.034514999999999</v>
      </c>
      <c r="T195" s="219">
        <v>21.943328999999999</v>
      </c>
      <c r="U195" s="219">
        <v>21.875457999999998</v>
      </c>
      <c r="V195" s="219">
        <v>21.991669000000002</v>
      </c>
      <c r="W195" s="219">
        <v>22.174651999999998</v>
      </c>
      <c r="X195" s="219">
        <v>22.391235000000002</v>
      </c>
      <c r="Y195" s="219">
        <v>22.639068999999999</v>
      </c>
      <c r="Z195" s="219">
        <v>22.915588</v>
      </c>
      <c r="AA195" s="219">
        <v>23.210357999999999</v>
      </c>
      <c r="AB195" s="219">
        <v>23.543610000000001</v>
      </c>
      <c r="AC195" s="219">
        <v>23.970856000000001</v>
      </c>
      <c r="AD195" s="219">
        <v>24.438842999999999</v>
      </c>
      <c r="AE195" s="219">
        <v>24.931304999999998</v>
      </c>
      <c r="AF195" s="212" t="s">
        <v>340</v>
      </c>
      <c r="AG195" s="31"/>
    </row>
    <row r="196" spans="1:33">
      <c r="A196" s="30" t="s">
        <v>972</v>
      </c>
      <c r="B196" s="210" t="s">
        <v>893</v>
      </c>
      <c r="C196" s="219">
        <v>1.548062</v>
      </c>
      <c r="D196" s="219">
        <v>0.40694900000000001</v>
      </c>
      <c r="E196" s="219">
        <v>4.8166710000000004</v>
      </c>
      <c r="F196" s="219">
        <v>20.534969</v>
      </c>
      <c r="G196" s="219">
        <v>32.079707999999997</v>
      </c>
      <c r="H196" s="219">
        <v>20.609804</v>
      </c>
      <c r="I196" s="219">
        <v>20.630108</v>
      </c>
      <c r="J196" s="219">
        <v>13.326860999999999</v>
      </c>
      <c r="K196" s="219">
        <v>15.014462</v>
      </c>
      <c r="L196" s="219">
        <v>14.232529</v>
      </c>
      <c r="M196" s="219">
        <v>11.986039</v>
      </c>
      <c r="N196" s="219">
        <v>15.703169000000001</v>
      </c>
      <c r="O196" s="219">
        <v>17.806175</v>
      </c>
      <c r="P196" s="219">
        <v>18.755282999999999</v>
      </c>
      <c r="Q196" s="219">
        <v>21.919620999999999</v>
      </c>
      <c r="R196" s="219">
        <v>21.439056000000001</v>
      </c>
      <c r="S196" s="219">
        <v>20.925242999999998</v>
      </c>
      <c r="T196" s="219">
        <v>21.061748999999999</v>
      </c>
      <c r="U196" s="219">
        <v>21.5837</v>
      </c>
      <c r="V196" s="219">
        <v>22.559345</v>
      </c>
      <c r="W196" s="219">
        <v>23.275272000000001</v>
      </c>
      <c r="X196" s="219">
        <v>23.497261000000002</v>
      </c>
      <c r="Y196" s="219">
        <v>23.522503</v>
      </c>
      <c r="Z196" s="219">
        <v>23.249434999999998</v>
      </c>
      <c r="AA196" s="219">
        <v>22.661169000000001</v>
      </c>
      <c r="AB196" s="219">
        <v>22.079357000000002</v>
      </c>
      <c r="AC196" s="219">
        <v>21.822834</v>
      </c>
      <c r="AD196" s="219">
        <v>21.902353000000002</v>
      </c>
      <c r="AE196" s="219">
        <v>22.206213000000002</v>
      </c>
      <c r="AF196" s="212">
        <v>9.9791000000000005E-2</v>
      </c>
      <c r="AG196" s="31"/>
    </row>
    <row r="197" spans="1:33">
      <c r="A197" s="30" t="s">
        <v>973</v>
      </c>
      <c r="B197" s="210" t="s">
        <v>287</v>
      </c>
      <c r="C197" s="219">
        <v>0</v>
      </c>
      <c r="D197" s="219">
        <v>0</v>
      </c>
      <c r="E197" s="219">
        <v>0</v>
      </c>
      <c r="F197" s="219">
        <v>10.911906999999999</v>
      </c>
      <c r="G197" s="219">
        <v>16.296938000000001</v>
      </c>
      <c r="H197" s="219">
        <v>10.302027000000001</v>
      </c>
      <c r="I197" s="219">
        <v>10.519545000000001</v>
      </c>
      <c r="J197" s="219">
        <v>7.0495219999999996</v>
      </c>
      <c r="K197" s="219">
        <v>8.0902919999999998</v>
      </c>
      <c r="L197" s="219">
        <v>7.8387279999999997</v>
      </c>
      <c r="M197" s="219">
        <v>6.8081899999999997</v>
      </c>
      <c r="N197" s="219">
        <v>7.5327210000000004</v>
      </c>
      <c r="O197" s="219">
        <v>8.5408380000000008</v>
      </c>
      <c r="P197" s="219">
        <v>9.3576350000000001</v>
      </c>
      <c r="Q197" s="219">
        <v>12.303055000000001</v>
      </c>
      <c r="R197" s="219">
        <v>12.014191</v>
      </c>
      <c r="S197" s="219">
        <v>11.662108999999999</v>
      </c>
      <c r="T197" s="219">
        <v>11.604355</v>
      </c>
      <c r="U197" s="219">
        <v>11.726746</v>
      </c>
      <c r="V197" s="219">
        <v>12.056839</v>
      </c>
      <c r="W197" s="219">
        <v>12.26825</v>
      </c>
      <c r="X197" s="219">
        <v>12.228882</v>
      </c>
      <c r="Y197" s="219">
        <v>12.117050000000001</v>
      </c>
      <c r="Z197" s="219">
        <v>11.890594</v>
      </c>
      <c r="AA197" s="219">
        <v>11.539612</v>
      </c>
      <c r="AB197" s="219">
        <v>11.207397</v>
      </c>
      <c r="AC197" s="219">
        <v>11.077102999999999</v>
      </c>
      <c r="AD197" s="219">
        <v>11.135910000000001</v>
      </c>
      <c r="AE197" s="219">
        <v>11.343048</v>
      </c>
      <c r="AF197" s="212" t="s">
        <v>340</v>
      </c>
      <c r="AG197" s="31"/>
    </row>
    <row r="198" spans="1:33">
      <c r="A198" s="30" t="s">
        <v>974</v>
      </c>
      <c r="B198" s="210" t="s">
        <v>288</v>
      </c>
      <c r="C198" s="219">
        <v>0</v>
      </c>
      <c r="D198" s="219">
        <v>0</v>
      </c>
      <c r="E198" s="219">
        <v>4.2203200000000001</v>
      </c>
      <c r="F198" s="219">
        <v>8.9817909999999994</v>
      </c>
      <c r="G198" s="219">
        <v>15.300864000000001</v>
      </c>
      <c r="H198" s="219">
        <v>9.8738729999999997</v>
      </c>
      <c r="I198" s="219">
        <v>9.6676289999999998</v>
      </c>
      <c r="J198" s="219">
        <v>5.8619880000000002</v>
      </c>
      <c r="K198" s="219">
        <v>6.5125869999999999</v>
      </c>
      <c r="L198" s="219">
        <v>6.0127410000000001</v>
      </c>
      <c r="M198" s="219">
        <v>4.8427749999999996</v>
      </c>
      <c r="N198" s="219">
        <v>7.8420709999999998</v>
      </c>
      <c r="O198" s="219">
        <v>8.9356120000000008</v>
      </c>
      <c r="P198" s="219">
        <v>9.0690570000000008</v>
      </c>
      <c r="Q198" s="219">
        <v>9.2871439999999996</v>
      </c>
      <c r="R198" s="219">
        <v>9.1031060000000004</v>
      </c>
      <c r="S198" s="219">
        <v>8.948658</v>
      </c>
      <c r="T198" s="219">
        <v>9.1422129999999999</v>
      </c>
      <c r="U198" s="219">
        <v>9.5360320000000005</v>
      </c>
      <c r="V198" s="219">
        <v>10.170254999999999</v>
      </c>
      <c r="W198" s="219">
        <v>10.665497</v>
      </c>
      <c r="X198" s="219">
        <v>10.922416999999999</v>
      </c>
      <c r="Y198" s="219">
        <v>11.056387000000001</v>
      </c>
      <c r="Z198" s="219">
        <v>11.009218000000001</v>
      </c>
      <c r="AA198" s="219">
        <v>10.773937999999999</v>
      </c>
      <c r="AB198" s="219">
        <v>10.526306</v>
      </c>
      <c r="AC198" s="219">
        <v>10.397843999999999</v>
      </c>
      <c r="AD198" s="219">
        <v>10.412478</v>
      </c>
      <c r="AE198" s="219">
        <v>10.500457000000001</v>
      </c>
      <c r="AF198" s="212" t="s">
        <v>340</v>
      </c>
      <c r="AG198" s="31"/>
    </row>
    <row r="199" spans="1:33">
      <c r="A199" s="30" t="s">
        <v>975</v>
      </c>
      <c r="B199" s="210" t="s">
        <v>289</v>
      </c>
      <c r="C199" s="219">
        <v>1.548062</v>
      </c>
      <c r="D199" s="219">
        <v>0.40694900000000001</v>
      </c>
      <c r="E199" s="219">
        <v>0.59635099999999996</v>
      </c>
      <c r="F199" s="219">
        <v>0.64127100000000004</v>
      </c>
      <c r="G199" s="219">
        <v>0.481906</v>
      </c>
      <c r="H199" s="219">
        <v>0.43390400000000001</v>
      </c>
      <c r="I199" s="219">
        <v>0.44293300000000002</v>
      </c>
      <c r="J199" s="219">
        <v>0.41535100000000003</v>
      </c>
      <c r="K199" s="219">
        <v>0.41158400000000001</v>
      </c>
      <c r="L199" s="219">
        <v>0.38105899999999998</v>
      </c>
      <c r="M199" s="219">
        <v>0.33507399999999998</v>
      </c>
      <c r="N199" s="219">
        <v>0.32837699999999997</v>
      </c>
      <c r="O199" s="219">
        <v>0.32972499999999999</v>
      </c>
      <c r="P199" s="219">
        <v>0.32858900000000002</v>
      </c>
      <c r="Q199" s="219">
        <v>0.32942300000000002</v>
      </c>
      <c r="R199" s="219">
        <v>0.32175900000000002</v>
      </c>
      <c r="S199" s="219">
        <v>0.31447599999999998</v>
      </c>
      <c r="T199" s="219">
        <v>0.31518099999999999</v>
      </c>
      <c r="U199" s="219">
        <v>0.32092300000000001</v>
      </c>
      <c r="V199" s="219">
        <v>0.33225300000000002</v>
      </c>
      <c r="W199" s="219">
        <v>0.34152500000000002</v>
      </c>
      <c r="X199" s="219">
        <v>0.34596300000000002</v>
      </c>
      <c r="Y199" s="219">
        <v>0.34906500000000001</v>
      </c>
      <c r="Z199" s="219">
        <v>0.34962300000000002</v>
      </c>
      <c r="AA199" s="219">
        <v>0.34761999999999998</v>
      </c>
      <c r="AB199" s="219">
        <v>0.34565400000000002</v>
      </c>
      <c r="AC199" s="219">
        <v>0.347887</v>
      </c>
      <c r="AD199" s="219">
        <v>0.35396300000000003</v>
      </c>
      <c r="AE199" s="219">
        <v>0.36270599999999997</v>
      </c>
      <c r="AF199" s="212">
        <v>-5.0507000000000003E-2</v>
      </c>
      <c r="AG199" s="31"/>
    </row>
    <row r="200" spans="1:33">
      <c r="A200" s="30" t="s">
        <v>976</v>
      </c>
      <c r="B200" s="210" t="s">
        <v>898</v>
      </c>
      <c r="C200" s="219">
        <v>42.537201000000003</v>
      </c>
      <c r="D200" s="219">
        <v>46.682068000000001</v>
      </c>
      <c r="E200" s="219">
        <v>72.607048000000006</v>
      </c>
      <c r="F200" s="219">
        <v>53.570805</v>
      </c>
      <c r="G200" s="219">
        <v>52.307175000000001</v>
      </c>
      <c r="H200" s="219">
        <v>46.307720000000003</v>
      </c>
      <c r="I200" s="219">
        <v>46.639373999999997</v>
      </c>
      <c r="J200" s="219">
        <v>44.061912999999997</v>
      </c>
      <c r="K200" s="219">
        <v>45.929980999999998</v>
      </c>
      <c r="L200" s="219">
        <v>48.113509999999998</v>
      </c>
      <c r="M200" s="219">
        <v>50.033737000000002</v>
      </c>
      <c r="N200" s="219">
        <v>51.740509000000003</v>
      </c>
      <c r="O200" s="219">
        <v>53.489006000000003</v>
      </c>
      <c r="P200" s="219">
        <v>55.207909000000001</v>
      </c>
      <c r="Q200" s="219">
        <v>56.873610999999997</v>
      </c>
      <c r="R200" s="219">
        <v>58.480736</v>
      </c>
      <c r="S200" s="219">
        <v>60.160851000000001</v>
      </c>
      <c r="T200" s="219">
        <v>63.030822999999998</v>
      </c>
      <c r="U200" s="219">
        <v>64.656334000000001</v>
      </c>
      <c r="V200" s="219">
        <v>66.313468999999998</v>
      </c>
      <c r="W200" s="219">
        <v>67.954903000000002</v>
      </c>
      <c r="X200" s="219">
        <v>69.566649999999996</v>
      </c>
      <c r="Y200" s="219">
        <v>71.175880000000006</v>
      </c>
      <c r="Z200" s="219">
        <v>72.77655</v>
      </c>
      <c r="AA200" s="219">
        <v>74.328766000000002</v>
      </c>
      <c r="AB200" s="219">
        <v>75.799423000000004</v>
      </c>
      <c r="AC200" s="219">
        <v>77.223754999999997</v>
      </c>
      <c r="AD200" s="219">
        <v>78.564887999999996</v>
      </c>
      <c r="AE200" s="219">
        <v>79.808670000000006</v>
      </c>
      <c r="AF200" s="212">
        <v>2.2728000000000002E-2</v>
      </c>
      <c r="AG200" s="31"/>
    </row>
    <row r="201" spans="1:33">
      <c r="A201" s="30" t="s">
        <v>977</v>
      </c>
      <c r="B201" s="210" t="s">
        <v>287</v>
      </c>
      <c r="C201" s="219">
        <v>17.589843999999999</v>
      </c>
      <c r="D201" s="219">
        <v>37.309508999999998</v>
      </c>
      <c r="E201" s="219">
        <v>48.998595999999999</v>
      </c>
      <c r="F201" s="219">
        <v>37.353088</v>
      </c>
      <c r="G201" s="219">
        <v>35.851115999999998</v>
      </c>
      <c r="H201" s="219">
        <v>30.517347000000001</v>
      </c>
      <c r="I201" s="219">
        <v>29.273925999999999</v>
      </c>
      <c r="J201" s="219">
        <v>27.503081999999999</v>
      </c>
      <c r="K201" s="219">
        <v>28.547916000000001</v>
      </c>
      <c r="L201" s="219">
        <v>29.790039</v>
      </c>
      <c r="M201" s="219">
        <v>30.867187999999999</v>
      </c>
      <c r="N201" s="219">
        <v>31.817748999999999</v>
      </c>
      <c r="O201" s="219">
        <v>32.78302</v>
      </c>
      <c r="P201" s="219">
        <v>33.770935000000001</v>
      </c>
      <c r="Q201" s="219">
        <v>34.748168999999997</v>
      </c>
      <c r="R201" s="219">
        <v>35.713684000000001</v>
      </c>
      <c r="S201" s="219">
        <v>36.717224000000002</v>
      </c>
      <c r="T201" s="219">
        <v>37.763184000000003</v>
      </c>
      <c r="U201" s="219">
        <v>38.828978999999997</v>
      </c>
      <c r="V201" s="219">
        <v>39.938170999999997</v>
      </c>
      <c r="W201" s="219">
        <v>41.061278999999999</v>
      </c>
      <c r="X201" s="219">
        <v>42.187012000000003</v>
      </c>
      <c r="Y201" s="219">
        <v>43.312927000000002</v>
      </c>
      <c r="Z201" s="219">
        <v>44.426940999999999</v>
      </c>
      <c r="AA201" s="219">
        <v>45.539856</v>
      </c>
      <c r="AB201" s="219">
        <v>46.608459000000003</v>
      </c>
      <c r="AC201" s="219">
        <v>47.610962000000001</v>
      </c>
      <c r="AD201" s="219">
        <v>48.541809000000001</v>
      </c>
      <c r="AE201" s="219">
        <v>49.383423000000001</v>
      </c>
      <c r="AF201" s="212">
        <v>3.7555999999999999E-2</v>
      </c>
      <c r="AG201" s="31"/>
    </row>
    <row r="202" spans="1:33">
      <c r="A202" s="30" t="s">
        <v>978</v>
      </c>
      <c r="B202" s="210" t="s">
        <v>288</v>
      </c>
      <c r="C202" s="219">
        <v>0</v>
      </c>
      <c r="D202" s="219">
        <v>0</v>
      </c>
      <c r="E202" s="219">
        <v>8.5974660000000007</v>
      </c>
      <c r="F202" s="219">
        <v>5.9324389999999996</v>
      </c>
      <c r="G202" s="219">
        <v>4.411505</v>
      </c>
      <c r="H202" s="219">
        <v>4.3788140000000002</v>
      </c>
      <c r="I202" s="219">
        <v>5.8503109999999996</v>
      </c>
      <c r="J202" s="219">
        <v>4.9938890000000002</v>
      </c>
      <c r="K202" s="219">
        <v>5.3139500000000002</v>
      </c>
      <c r="L202" s="219">
        <v>5.6372530000000003</v>
      </c>
      <c r="M202" s="219">
        <v>5.9198459999999997</v>
      </c>
      <c r="N202" s="219">
        <v>6.1641539999999999</v>
      </c>
      <c r="O202" s="219">
        <v>6.382225</v>
      </c>
      <c r="P202" s="219">
        <v>6.5721049999999996</v>
      </c>
      <c r="Q202" s="219">
        <v>6.7250819999999996</v>
      </c>
      <c r="R202" s="219">
        <v>6.8400189999999998</v>
      </c>
      <c r="S202" s="219">
        <v>6.9813460000000003</v>
      </c>
      <c r="T202" s="219">
        <v>8.2631530000000009</v>
      </c>
      <c r="U202" s="219">
        <v>8.2911000000000001</v>
      </c>
      <c r="V202" s="219">
        <v>8.3037030000000005</v>
      </c>
      <c r="W202" s="219">
        <v>8.2986830000000005</v>
      </c>
      <c r="X202" s="219">
        <v>8.2781040000000008</v>
      </c>
      <c r="Y202" s="219">
        <v>8.2707879999999996</v>
      </c>
      <c r="Z202" s="219">
        <v>8.2884239999999991</v>
      </c>
      <c r="AA202" s="219">
        <v>8.2699239999999996</v>
      </c>
      <c r="AB202" s="219">
        <v>8.2352419999999995</v>
      </c>
      <c r="AC202" s="219">
        <v>8.2510630000000003</v>
      </c>
      <c r="AD202" s="219">
        <v>8.2850420000000007</v>
      </c>
      <c r="AE202" s="219">
        <v>8.3432750000000002</v>
      </c>
      <c r="AF202" s="212" t="s">
        <v>340</v>
      </c>
      <c r="AG202" s="31"/>
    </row>
    <row r="203" spans="1:33">
      <c r="A203" s="30" t="s">
        <v>979</v>
      </c>
      <c r="B203" s="210" t="s">
        <v>289</v>
      </c>
      <c r="C203" s="219">
        <v>24.947357</v>
      </c>
      <c r="D203" s="219">
        <v>9.3725590000000008</v>
      </c>
      <c r="E203" s="219">
        <v>15.010986000000001</v>
      </c>
      <c r="F203" s="219">
        <v>10.285278</v>
      </c>
      <c r="G203" s="219">
        <v>12.044556</v>
      </c>
      <c r="H203" s="219">
        <v>11.41156</v>
      </c>
      <c r="I203" s="219">
        <v>11.515136999999999</v>
      </c>
      <c r="J203" s="219">
        <v>11.564940999999999</v>
      </c>
      <c r="K203" s="219">
        <v>12.068115000000001</v>
      </c>
      <c r="L203" s="219">
        <v>12.686218</v>
      </c>
      <c r="M203" s="219">
        <v>13.246703999999999</v>
      </c>
      <c r="N203" s="219">
        <v>13.758606</v>
      </c>
      <c r="O203" s="219">
        <v>14.323760999999999</v>
      </c>
      <c r="P203" s="219">
        <v>14.864868</v>
      </c>
      <c r="Q203" s="219">
        <v>15.400359999999999</v>
      </c>
      <c r="R203" s="219">
        <v>15.927032000000001</v>
      </c>
      <c r="S203" s="219">
        <v>16.46228</v>
      </c>
      <c r="T203" s="219">
        <v>17.004486</v>
      </c>
      <c r="U203" s="219">
        <v>17.536255000000001</v>
      </c>
      <c r="V203" s="219">
        <v>18.071594000000001</v>
      </c>
      <c r="W203" s="219">
        <v>18.594940000000001</v>
      </c>
      <c r="X203" s="219">
        <v>19.101531999999999</v>
      </c>
      <c r="Y203" s="219">
        <v>19.592162999999999</v>
      </c>
      <c r="Z203" s="219">
        <v>20.061188000000001</v>
      </c>
      <c r="AA203" s="219">
        <v>20.518982000000001</v>
      </c>
      <c r="AB203" s="219">
        <v>20.955718999999998</v>
      </c>
      <c r="AC203" s="219">
        <v>21.361725</v>
      </c>
      <c r="AD203" s="219">
        <v>21.738036999999998</v>
      </c>
      <c r="AE203" s="219">
        <v>22.081969999999998</v>
      </c>
      <c r="AF203" s="212">
        <v>-4.3480000000000003E-3</v>
      </c>
      <c r="AG203" s="31"/>
    </row>
    <row r="204" spans="1:33">
      <c r="A204" s="30" t="s">
        <v>980</v>
      </c>
      <c r="B204" s="210" t="s">
        <v>903</v>
      </c>
      <c r="C204" s="219">
        <v>0</v>
      </c>
      <c r="D204" s="219">
        <v>0</v>
      </c>
      <c r="E204" s="219">
        <v>11.400624000000001</v>
      </c>
      <c r="F204" s="219">
        <v>28.608160000000002</v>
      </c>
      <c r="G204" s="219">
        <v>27.450500000000002</v>
      </c>
      <c r="H204" s="219">
        <v>10.437824000000001</v>
      </c>
      <c r="I204" s="219">
        <v>10.705201000000001</v>
      </c>
      <c r="J204" s="219">
        <v>17.573795</v>
      </c>
      <c r="K204" s="219">
        <v>23.538584</v>
      </c>
      <c r="L204" s="219">
        <v>34.001067999999997</v>
      </c>
      <c r="M204" s="219">
        <v>45.988883999999999</v>
      </c>
      <c r="N204" s="219">
        <v>48.363425999999997</v>
      </c>
      <c r="O204" s="219">
        <v>49.233001999999999</v>
      </c>
      <c r="P204" s="219">
        <v>50.046734000000001</v>
      </c>
      <c r="Q204" s="219">
        <v>50.387711000000003</v>
      </c>
      <c r="R204" s="219">
        <v>51.022582999999997</v>
      </c>
      <c r="S204" s="219">
        <v>51.635016999999998</v>
      </c>
      <c r="T204" s="219">
        <v>52.211258000000001</v>
      </c>
      <c r="U204" s="219">
        <v>54.691260999999997</v>
      </c>
      <c r="V204" s="219">
        <v>56.252898999999999</v>
      </c>
      <c r="W204" s="219">
        <v>56.312221999999998</v>
      </c>
      <c r="X204" s="219">
        <v>56.506599000000001</v>
      </c>
      <c r="Y204" s="219">
        <v>56.766818999999998</v>
      </c>
      <c r="Z204" s="219">
        <v>57.069298000000003</v>
      </c>
      <c r="AA204" s="219">
        <v>56.914524</v>
      </c>
      <c r="AB204" s="219">
        <v>57.307701000000002</v>
      </c>
      <c r="AC204" s="219">
        <v>57.811962000000001</v>
      </c>
      <c r="AD204" s="219">
        <v>58.449829000000001</v>
      </c>
      <c r="AE204" s="219">
        <v>59.263297999999999</v>
      </c>
      <c r="AF204" s="212" t="s">
        <v>340</v>
      </c>
      <c r="AG204" s="31"/>
    </row>
    <row r="205" spans="1:33">
      <c r="A205" s="30" t="s">
        <v>981</v>
      </c>
      <c r="B205" s="210" t="s">
        <v>287</v>
      </c>
      <c r="C205" s="219">
        <v>0</v>
      </c>
      <c r="D205" s="219">
        <v>0</v>
      </c>
      <c r="E205" s="219">
        <v>0</v>
      </c>
      <c r="F205" s="219">
        <v>13.281041999999999</v>
      </c>
      <c r="G205" s="219">
        <v>13.797884</v>
      </c>
      <c r="H205" s="219">
        <v>3.919664</v>
      </c>
      <c r="I205" s="219">
        <v>4.5410389999999996</v>
      </c>
      <c r="J205" s="219">
        <v>7.1247809999999996</v>
      </c>
      <c r="K205" s="219">
        <v>11.895087999999999</v>
      </c>
      <c r="L205" s="219">
        <v>21.353241000000001</v>
      </c>
      <c r="M205" s="219">
        <v>32.486815999999997</v>
      </c>
      <c r="N205" s="219">
        <v>33.063201999999997</v>
      </c>
      <c r="O205" s="219">
        <v>33.509796000000001</v>
      </c>
      <c r="P205" s="219">
        <v>33.918151999999999</v>
      </c>
      <c r="Q205" s="219">
        <v>34.029724000000002</v>
      </c>
      <c r="R205" s="219">
        <v>34.326202000000002</v>
      </c>
      <c r="S205" s="219">
        <v>34.609985000000002</v>
      </c>
      <c r="T205" s="219">
        <v>34.874054000000001</v>
      </c>
      <c r="U205" s="219">
        <v>36.248077000000002</v>
      </c>
      <c r="V205" s="219">
        <v>36.147308000000002</v>
      </c>
      <c r="W205" s="219">
        <v>36.240234000000001</v>
      </c>
      <c r="X205" s="219">
        <v>36.358215000000001</v>
      </c>
      <c r="Y205" s="219">
        <v>36.489319000000002</v>
      </c>
      <c r="Z205" s="219">
        <v>36.645752000000002</v>
      </c>
      <c r="AA205" s="219">
        <v>36.515503000000002</v>
      </c>
      <c r="AB205" s="219">
        <v>36.736145</v>
      </c>
      <c r="AC205" s="219">
        <v>37.036681999999999</v>
      </c>
      <c r="AD205" s="219">
        <v>37.424804999999999</v>
      </c>
      <c r="AE205" s="219">
        <v>37.911926000000001</v>
      </c>
      <c r="AF205" s="212" t="s">
        <v>340</v>
      </c>
      <c r="AG205" s="31"/>
    </row>
    <row r="206" spans="1:33">
      <c r="A206" s="30" t="s">
        <v>982</v>
      </c>
      <c r="B206" s="210" t="s">
        <v>288</v>
      </c>
      <c r="C206" s="219">
        <v>0</v>
      </c>
      <c r="D206" s="219">
        <v>0</v>
      </c>
      <c r="E206" s="219">
        <v>0</v>
      </c>
      <c r="F206" s="219">
        <v>1.662442</v>
      </c>
      <c r="G206" s="219">
        <v>1.7636639999999999</v>
      </c>
      <c r="H206" s="219">
        <v>0.694241</v>
      </c>
      <c r="I206" s="219">
        <v>0.65227100000000005</v>
      </c>
      <c r="J206" s="219">
        <v>0.86325600000000002</v>
      </c>
      <c r="K206" s="219">
        <v>1.358935</v>
      </c>
      <c r="L206" s="219">
        <v>1.874633</v>
      </c>
      <c r="M206" s="219">
        <v>2.333412</v>
      </c>
      <c r="N206" s="219">
        <v>3.7786330000000001</v>
      </c>
      <c r="O206" s="219">
        <v>3.8557130000000002</v>
      </c>
      <c r="P206" s="219">
        <v>3.914669</v>
      </c>
      <c r="Q206" s="219">
        <v>3.931702</v>
      </c>
      <c r="R206" s="219">
        <v>3.9577330000000002</v>
      </c>
      <c r="S206" s="219">
        <v>3.9734729999999998</v>
      </c>
      <c r="T206" s="219">
        <v>3.979263</v>
      </c>
      <c r="U206" s="219">
        <v>4.7802809999999996</v>
      </c>
      <c r="V206" s="219">
        <v>6.2711940000000004</v>
      </c>
      <c r="W206" s="219">
        <v>5.9429439999999998</v>
      </c>
      <c r="X206" s="219">
        <v>5.7203900000000001</v>
      </c>
      <c r="Y206" s="219">
        <v>5.5504810000000004</v>
      </c>
      <c r="Z206" s="219">
        <v>5.3932409999999997</v>
      </c>
      <c r="AA206" s="219">
        <v>5.2043340000000002</v>
      </c>
      <c r="AB206" s="219">
        <v>5.0682010000000002</v>
      </c>
      <c r="AC206" s="219">
        <v>4.9422410000000001</v>
      </c>
      <c r="AD206" s="219">
        <v>4.8455830000000004</v>
      </c>
      <c r="AE206" s="219">
        <v>4.8084319999999998</v>
      </c>
      <c r="AF206" s="212" t="s">
        <v>340</v>
      </c>
      <c r="AG206" s="31"/>
    </row>
    <row r="207" spans="1:33">
      <c r="A207" s="30" t="s">
        <v>983</v>
      </c>
      <c r="B207" s="210" t="s">
        <v>289</v>
      </c>
      <c r="C207" s="219">
        <v>0</v>
      </c>
      <c r="D207" s="219">
        <v>0</v>
      </c>
      <c r="E207" s="219">
        <v>11.400624000000001</v>
      </c>
      <c r="F207" s="219">
        <v>13.664676999999999</v>
      </c>
      <c r="G207" s="219">
        <v>11.888952</v>
      </c>
      <c r="H207" s="219">
        <v>5.8239190000000001</v>
      </c>
      <c r="I207" s="219">
        <v>5.5118910000000003</v>
      </c>
      <c r="J207" s="219">
        <v>9.5857600000000005</v>
      </c>
      <c r="K207" s="219">
        <v>10.284561</v>
      </c>
      <c r="L207" s="219">
        <v>10.773192999999999</v>
      </c>
      <c r="M207" s="219">
        <v>11.168654999999999</v>
      </c>
      <c r="N207" s="219">
        <v>11.521591000000001</v>
      </c>
      <c r="O207" s="219">
        <v>11.867493</v>
      </c>
      <c r="P207" s="219">
        <v>12.213913</v>
      </c>
      <c r="Q207" s="219">
        <v>12.426285</v>
      </c>
      <c r="R207" s="219">
        <v>12.738647</v>
      </c>
      <c r="S207" s="219">
        <v>13.051558999999999</v>
      </c>
      <c r="T207" s="219">
        <v>13.357941</v>
      </c>
      <c r="U207" s="219">
        <v>13.662903</v>
      </c>
      <c r="V207" s="219">
        <v>13.834396</v>
      </c>
      <c r="W207" s="219">
        <v>14.129044</v>
      </c>
      <c r="X207" s="219">
        <v>14.427994</v>
      </c>
      <c r="Y207" s="219">
        <v>14.72702</v>
      </c>
      <c r="Z207" s="219">
        <v>15.030303999999999</v>
      </c>
      <c r="AA207" s="219">
        <v>15.194687</v>
      </c>
      <c r="AB207" s="219">
        <v>15.503356999999999</v>
      </c>
      <c r="AC207" s="219">
        <v>15.833038</v>
      </c>
      <c r="AD207" s="219">
        <v>16.179442999999999</v>
      </c>
      <c r="AE207" s="219">
        <v>16.542937999999999</v>
      </c>
      <c r="AF207" s="212" t="s">
        <v>340</v>
      </c>
      <c r="AG207" s="31"/>
    </row>
    <row r="208" spans="1:33">
      <c r="A208" s="30" t="s">
        <v>984</v>
      </c>
      <c r="B208" s="210" t="s">
        <v>297</v>
      </c>
      <c r="C208" s="219">
        <v>317.549194</v>
      </c>
      <c r="D208" s="219">
        <v>1.758273</v>
      </c>
      <c r="E208" s="219">
        <v>168.91333</v>
      </c>
      <c r="F208" s="219">
        <v>238.54864499999999</v>
      </c>
      <c r="G208" s="219">
        <v>283.53619400000002</v>
      </c>
      <c r="H208" s="219">
        <v>274.57504299999999</v>
      </c>
      <c r="I208" s="219">
        <v>283.61230499999999</v>
      </c>
      <c r="J208" s="219">
        <v>303.40252700000002</v>
      </c>
      <c r="K208" s="219">
        <v>320.147583</v>
      </c>
      <c r="L208" s="219">
        <v>340.08663899999999</v>
      </c>
      <c r="M208" s="219">
        <v>360.24667399999998</v>
      </c>
      <c r="N208" s="219">
        <v>383.15853900000002</v>
      </c>
      <c r="O208" s="219">
        <v>410.91729700000002</v>
      </c>
      <c r="P208" s="219">
        <v>441.58975199999998</v>
      </c>
      <c r="Q208" s="219">
        <v>469.80987499999998</v>
      </c>
      <c r="R208" s="219">
        <v>483.945831</v>
      </c>
      <c r="S208" s="219">
        <v>497.86975100000001</v>
      </c>
      <c r="T208" s="219">
        <v>512.85089100000005</v>
      </c>
      <c r="U208" s="219">
        <v>529.68298300000004</v>
      </c>
      <c r="V208" s="219">
        <v>548.31646699999999</v>
      </c>
      <c r="W208" s="219">
        <v>565.95513900000003</v>
      </c>
      <c r="X208" s="219">
        <v>580.40490699999998</v>
      </c>
      <c r="Y208" s="219">
        <v>591.05664100000001</v>
      </c>
      <c r="Z208" s="219">
        <v>597.67596400000002</v>
      </c>
      <c r="AA208" s="219">
        <v>603.14685099999997</v>
      </c>
      <c r="AB208" s="219">
        <v>609.84252900000001</v>
      </c>
      <c r="AC208" s="219">
        <v>615.32525599999997</v>
      </c>
      <c r="AD208" s="219">
        <v>617.96179199999995</v>
      </c>
      <c r="AE208" s="219">
        <v>617.78692599999999</v>
      </c>
      <c r="AF208" s="212">
        <v>2.4053000000000001E-2</v>
      </c>
      <c r="AG208" s="31"/>
    </row>
    <row r="209" spans="1:33">
      <c r="A209" s="30" t="s">
        <v>985</v>
      </c>
      <c r="B209" s="210" t="s">
        <v>287</v>
      </c>
      <c r="C209" s="219">
        <v>257.63265999999999</v>
      </c>
      <c r="D209" s="219">
        <v>0</v>
      </c>
      <c r="E209" s="219">
        <v>107.223663</v>
      </c>
      <c r="F209" s="219">
        <v>181.98464999999999</v>
      </c>
      <c r="G209" s="219">
        <v>220.65786700000001</v>
      </c>
      <c r="H209" s="219">
        <v>225.57939099999999</v>
      </c>
      <c r="I209" s="219">
        <v>234.46928399999999</v>
      </c>
      <c r="J209" s="219">
        <v>248.778381</v>
      </c>
      <c r="K209" s="219">
        <v>262.13681000000003</v>
      </c>
      <c r="L209" s="219">
        <v>277.70367399999998</v>
      </c>
      <c r="M209" s="219">
        <v>293.36627199999998</v>
      </c>
      <c r="N209" s="219">
        <v>308.38406400000002</v>
      </c>
      <c r="O209" s="219">
        <v>323.80810500000001</v>
      </c>
      <c r="P209" s="219">
        <v>350.23843399999998</v>
      </c>
      <c r="Q209" s="219">
        <v>374.19927999999999</v>
      </c>
      <c r="R209" s="219">
        <v>384.34942599999999</v>
      </c>
      <c r="S209" s="219">
        <v>394.26177999999999</v>
      </c>
      <c r="T209" s="219">
        <v>405.03121900000002</v>
      </c>
      <c r="U209" s="219">
        <v>417.30566399999998</v>
      </c>
      <c r="V209" s="219">
        <v>431.12255900000002</v>
      </c>
      <c r="W209" s="219">
        <v>444.23486300000002</v>
      </c>
      <c r="X209" s="219">
        <v>454.86328099999997</v>
      </c>
      <c r="Y209" s="219">
        <v>462.55566399999998</v>
      </c>
      <c r="Z209" s="219">
        <v>467.16845699999999</v>
      </c>
      <c r="AA209" s="219">
        <v>470.984375</v>
      </c>
      <c r="AB209" s="219">
        <v>475.98486300000002</v>
      </c>
      <c r="AC209" s="219">
        <v>480.09179699999999</v>
      </c>
      <c r="AD209" s="219">
        <v>481.84716800000001</v>
      </c>
      <c r="AE209" s="219">
        <v>481.23046900000003</v>
      </c>
      <c r="AF209" s="212">
        <v>2.2565000000000002E-2</v>
      </c>
      <c r="AG209" s="31"/>
    </row>
    <row r="210" spans="1:33">
      <c r="A210" s="30" t="s">
        <v>986</v>
      </c>
      <c r="B210" s="210" t="s">
        <v>288</v>
      </c>
      <c r="C210" s="219">
        <v>0</v>
      </c>
      <c r="D210" s="219">
        <v>1.758273</v>
      </c>
      <c r="E210" s="219">
        <v>40.168472000000001</v>
      </c>
      <c r="F210" s="219">
        <v>50.282882999999998</v>
      </c>
      <c r="G210" s="219">
        <v>53.445442</v>
      </c>
      <c r="H210" s="219">
        <v>38.153796999999997</v>
      </c>
      <c r="I210" s="219">
        <v>36.912163</v>
      </c>
      <c r="J210" s="219">
        <v>37.020930999999997</v>
      </c>
      <c r="K210" s="219">
        <v>37.949924000000003</v>
      </c>
      <c r="L210" s="219">
        <v>41.662593999999999</v>
      </c>
      <c r="M210" s="219">
        <v>45.507534</v>
      </c>
      <c r="N210" s="219">
        <v>52.775832999999999</v>
      </c>
      <c r="O210" s="219">
        <v>64.423462000000001</v>
      </c>
      <c r="P210" s="219">
        <v>67.867737000000005</v>
      </c>
      <c r="Q210" s="219">
        <v>71.344559000000004</v>
      </c>
      <c r="R210" s="219">
        <v>74.652694999999994</v>
      </c>
      <c r="S210" s="219">
        <v>77.966949</v>
      </c>
      <c r="T210" s="219">
        <v>81.374542000000005</v>
      </c>
      <c r="U210" s="219">
        <v>84.935364000000007</v>
      </c>
      <c r="V210" s="219">
        <v>88.598358000000005</v>
      </c>
      <c r="W210" s="219">
        <v>91.978866999999994</v>
      </c>
      <c r="X210" s="219">
        <v>94.808730999999995</v>
      </c>
      <c r="Y210" s="219">
        <v>96.973022</v>
      </c>
      <c r="Z210" s="219">
        <v>98.404961</v>
      </c>
      <c r="AA210" s="219">
        <v>99.545792000000006</v>
      </c>
      <c r="AB210" s="219">
        <v>100.646912</v>
      </c>
      <c r="AC210" s="219">
        <v>101.51385500000001</v>
      </c>
      <c r="AD210" s="219">
        <v>102.091965</v>
      </c>
      <c r="AE210" s="219">
        <v>102.451241</v>
      </c>
      <c r="AF210" s="212" t="s">
        <v>340</v>
      </c>
      <c r="AG210" s="31"/>
    </row>
    <row r="211" spans="1:33">
      <c r="A211" s="30" t="s">
        <v>987</v>
      </c>
      <c r="B211" s="210" t="s">
        <v>289</v>
      </c>
      <c r="C211" s="219">
        <v>59.916533999999999</v>
      </c>
      <c r="D211" s="219">
        <v>0</v>
      </c>
      <c r="E211" s="219">
        <v>21.5212</v>
      </c>
      <c r="F211" s="219">
        <v>6.2811130000000004</v>
      </c>
      <c r="G211" s="219">
        <v>9.4328769999999995</v>
      </c>
      <c r="H211" s="219">
        <v>10.841856999999999</v>
      </c>
      <c r="I211" s="219">
        <v>12.230865</v>
      </c>
      <c r="J211" s="219">
        <v>17.603210000000001</v>
      </c>
      <c r="K211" s="219">
        <v>20.060842999999998</v>
      </c>
      <c r="L211" s="219">
        <v>20.720371</v>
      </c>
      <c r="M211" s="219">
        <v>21.372868</v>
      </c>
      <c r="N211" s="219">
        <v>21.998633999999999</v>
      </c>
      <c r="O211" s="219">
        <v>22.685734</v>
      </c>
      <c r="P211" s="219">
        <v>23.483592999999999</v>
      </c>
      <c r="Q211" s="219">
        <v>24.266041000000001</v>
      </c>
      <c r="R211" s="219">
        <v>24.943691000000001</v>
      </c>
      <c r="S211" s="219">
        <v>25.641026</v>
      </c>
      <c r="T211" s="219">
        <v>26.445122000000001</v>
      </c>
      <c r="U211" s="219">
        <v>27.441925000000001</v>
      </c>
      <c r="V211" s="219">
        <v>28.595510000000001</v>
      </c>
      <c r="W211" s="219">
        <v>29.741382999999999</v>
      </c>
      <c r="X211" s="219">
        <v>30.732894999999999</v>
      </c>
      <c r="Y211" s="219">
        <v>31.527985000000001</v>
      </c>
      <c r="Z211" s="219">
        <v>32.102539</v>
      </c>
      <c r="AA211" s="219">
        <v>32.616669000000002</v>
      </c>
      <c r="AB211" s="219">
        <v>33.210754000000001</v>
      </c>
      <c r="AC211" s="219">
        <v>33.719603999999997</v>
      </c>
      <c r="AD211" s="219">
        <v>34.022644</v>
      </c>
      <c r="AE211" s="219">
        <v>34.105224999999997</v>
      </c>
      <c r="AF211" s="212">
        <v>-1.9924000000000001E-2</v>
      </c>
      <c r="AG211" s="31"/>
    </row>
    <row r="212" spans="1:33">
      <c r="A212" s="30" t="s">
        <v>988</v>
      </c>
      <c r="B212" s="210" t="s">
        <v>912</v>
      </c>
      <c r="C212" s="219">
        <v>0</v>
      </c>
      <c r="D212" s="219">
        <v>0</v>
      </c>
      <c r="E212" s="219">
        <v>5.0176939999999997</v>
      </c>
      <c r="F212" s="219">
        <v>23.650314000000002</v>
      </c>
      <c r="G212" s="219">
        <v>59.674458000000001</v>
      </c>
      <c r="H212" s="219">
        <v>59.042358</v>
      </c>
      <c r="I212" s="219">
        <v>64.032500999999996</v>
      </c>
      <c r="J212" s="219">
        <v>71.131805</v>
      </c>
      <c r="K212" s="219">
        <v>76.315956</v>
      </c>
      <c r="L212" s="219">
        <v>80.666138000000004</v>
      </c>
      <c r="M212" s="219">
        <v>84.930260000000004</v>
      </c>
      <c r="N212" s="219">
        <v>88.747298999999998</v>
      </c>
      <c r="O212" s="219">
        <v>92.026611000000003</v>
      </c>
      <c r="P212" s="219">
        <v>95.498016000000007</v>
      </c>
      <c r="Q212" s="219">
        <v>100.07872</v>
      </c>
      <c r="R212" s="219">
        <v>109.75142700000001</v>
      </c>
      <c r="S212" s="219">
        <v>113.69274900000001</v>
      </c>
      <c r="T212" s="219">
        <v>117.415527</v>
      </c>
      <c r="U212" s="219">
        <v>120.846054</v>
      </c>
      <c r="V212" s="219">
        <v>124.081642</v>
      </c>
      <c r="W212" s="219">
        <v>127.11803399999999</v>
      </c>
      <c r="X212" s="219">
        <v>130.02526900000001</v>
      </c>
      <c r="Y212" s="219">
        <v>132.669983</v>
      </c>
      <c r="Z212" s="219">
        <v>135.120575</v>
      </c>
      <c r="AA212" s="219">
        <v>137.38848899999999</v>
      </c>
      <c r="AB212" s="219">
        <v>139.49830600000001</v>
      </c>
      <c r="AC212" s="219">
        <v>141.44528199999999</v>
      </c>
      <c r="AD212" s="219">
        <v>143.25952100000001</v>
      </c>
      <c r="AE212" s="219">
        <v>144.991547</v>
      </c>
      <c r="AF212" s="212" t="s">
        <v>340</v>
      </c>
      <c r="AG212" s="31"/>
    </row>
    <row r="213" spans="1:33">
      <c r="A213" s="30" t="s">
        <v>989</v>
      </c>
      <c r="B213" s="210" t="s">
        <v>287</v>
      </c>
      <c r="C213" s="219">
        <v>0</v>
      </c>
      <c r="D213" s="219">
        <v>0</v>
      </c>
      <c r="E213" s="219">
        <v>0</v>
      </c>
      <c r="F213" s="219">
        <v>16.618320000000001</v>
      </c>
      <c r="G213" s="219">
        <v>45.079574999999998</v>
      </c>
      <c r="H213" s="219">
        <v>44.557136999999997</v>
      </c>
      <c r="I213" s="219">
        <v>47.969909999999999</v>
      </c>
      <c r="J213" s="219">
        <v>53.577140999999997</v>
      </c>
      <c r="K213" s="219">
        <v>57.730133000000002</v>
      </c>
      <c r="L213" s="219">
        <v>61.515498999999998</v>
      </c>
      <c r="M213" s="219">
        <v>65.042045999999999</v>
      </c>
      <c r="N213" s="219">
        <v>68.204193000000004</v>
      </c>
      <c r="O213" s="219">
        <v>70.926841999999994</v>
      </c>
      <c r="P213" s="219">
        <v>73.773292999999995</v>
      </c>
      <c r="Q213" s="219">
        <v>76.994392000000005</v>
      </c>
      <c r="R213" s="219">
        <v>85.720061999999999</v>
      </c>
      <c r="S213" s="219">
        <v>88.710341999999997</v>
      </c>
      <c r="T213" s="219">
        <v>91.517082000000002</v>
      </c>
      <c r="U213" s="219">
        <v>94.093506000000005</v>
      </c>
      <c r="V213" s="219">
        <v>96.513794000000004</v>
      </c>
      <c r="W213" s="219">
        <v>98.782959000000005</v>
      </c>
      <c r="X213" s="219">
        <v>100.95996100000001</v>
      </c>
      <c r="Y213" s="219">
        <v>102.94433600000001</v>
      </c>
      <c r="Z213" s="219">
        <v>104.78613300000001</v>
      </c>
      <c r="AA213" s="219">
        <v>106.494141</v>
      </c>
      <c r="AB213" s="219">
        <v>108.08606</v>
      </c>
      <c r="AC213" s="219">
        <v>109.558228</v>
      </c>
      <c r="AD213" s="219">
        <v>110.934326</v>
      </c>
      <c r="AE213" s="219">
        <v>112.253906</v>
      </c>
      <c r="AF213" s="212" t="s">
        <v>340</v>
      </c>
      <c r="AG213" s="31"/>
    </row>
    <row r="214" spans="1:33">
      <c r="A214" s="30" t="s">
        <v>990</v>
      </c>
      <c r="B214" s="210" t="s">
        <v>288</v>
      </c>
      <c r="C214" s="219">
        <v>0</v>
      </c>
      <c r="D214" s="219">
        <v>0</v>
      </c>
      <c r="E214" s="219">
        <v>2.534602</v>
      </c>
      <c r="F214" s="219">
        <v>4.97403</v>
      </c>
      <c r="G214" s="219">
        <v>4.8972329999999999</v>
      </c>
      <c r="H214" s="219">
        <v>3.1133090000000001</v>
      </c>
      <c r="I214" s="219">
        <v>3.0171329999999998</v>
      </c>
      <c r="J214" s="219">
        <v>3.8845890000000001</v>
      </c>
      <c r="K214" s="219">
        <v>4.3719729999999997</v>
      </c>
      <c r="L214" s="219">
        <v>4.4676119999999999</v>
      </c>
      <c r="M214" s="219">
        <v>4.7862999999999998</v>
      </c>
      <c r="N214" s="219">
        <v>5.0911</v>
      </c>
      <c r="O214" s="219">
        <v>5.3782629999999996</v>
      </c>
      <c r="P214" s="219">
        <v>5.6866300000000001</v>
      </c>
      <c r="Q214" s="219">
        <v>6.6198379999999997</v>
      </c>
      <c r="R214" s="219">
        <v>6.9235670000000002</v>
      </c>
      <c r="S214" s="219">
        <v>7.2199619999999998</v>
      </c>
      <c r="T214" s="219">
        <v>7.4963300000000004</v>
      </c>
      <c r="U214" s="219">
        <v>7.7454999999999998</v>
      </c>
      <c r="V214" s="219">
        <v>7.9671079999999996</v>
      </c>
      <c r="W214" s="219">
        <v>8.1587720000000008</v>
      </c>
      <c r="X214" s="219">
        <v>8.3243179999999999</v>
      </c>
      <c r="Y214" s="219">
        <v>8.4554369999999999</v>
      </c>
      <c r="Z214" s="219">
        <v>8.5629650000000002</v>
      </c>
      <c r="AA214" s="219">
        <v>8.6511150000000008</v>
      </c>
      <c r="AB214" s="219">
        <v>8.7259060000000002</v>
      </c>
      <c r="AC214" s="219">
        <v>8.7922969999999996</v>
      </c>
      <c r="AD214" s="219">
        <v>8.8566590000000005</v>
      </c>
      <c r="AE214" s="219">
        <v>8.9255069999999996</v>
      </c>
      <c r="AF214" s="212" t="s">
        <v>340</v>
      </c>
      <c r="AG214" s="31"/>
    </row>
    <row r="215" spans="1:33">
      <c r="A215" s="30" t="s">
        <v>991</v>
      </c>
      <c r="B215" s="210" t="s">
        <v>289</v>
      </c>
      <c r="C215" s="219">
        <v>0</v>
      </c>
      <c r="D215" s="219">
        <v>0</v>
      </c>
      <c r="E215" s="219">
        <v>2.4830920000000001</v>
      </c>
      <c r="F215" s="219">
        <v>2.0579640000000001</v>
      </c>
      <c r="G215" s="219">
        <v>9.6976519999999997</v>
      </c>
      <c r="H215" s="219">
        <v>11.371916000000001</v>
      </c>
      <c r="I215" s="219">
        <v>13.045462000000001</v>
      </c>
      <c r="J215" s="219">
        <v>13.670071</v>
      </c>
      <c r="K215" s="219">
        <v>14.213851</v>
      </c>
      <c r="L215" s="219">
        <v>14.683032000000001</v>
      </c>
      <c r="M215" s="219">
        <v>15.101913</v>
      </c>
      <c r="N215" s="219">
        <v>15.452002999999999</v>
      </c>
      <c r="O215" s="219">
        <v>15.721505000000001</v>
      </c>
      <c r="P215" s="219">
        <v>16.038094000000001</v>
      </c>
      <c r="Q215" s="219">
        <v>16.464493000000001</v>
      </c>
      <c r="R215" s="219">
        <v>17.107793999999998</v>
      </c>
      <c r="S215" s="219">
        <v>17.762445</v>
      </c>
      <c r="T215" s="219">
        <v>18.402114999999998</v>
      </c>
      <c r="U215" s="219">
        <v>19.00705</v>
      </c>
      <c r="V215" s="219">
        <v>19.600739000000001</v>
      </c>
      <c r="W215" s="219">
        <v>20.176300000000001</v>
      </c>
      <c r="X215" s="219">
        <v>20.740997</v>
      </c>
      <c r="Y215" s="219">
        <v>21.270202999999999</v>
      </c>
      <c r="Z215" s="219">
        <v>21.771484000000001</v>
      </c>
      <c r="AA215" s="219">
        <v>22.243224999999999</v>
      </c>
      <c r="AB215" s="219">
        <v>22.686340000000001</v>
      </c>
      <c r="AC215" s="219">
        <v>23.094757000000001</v>
      </c>
      <c r="AD215" s="219">
        <v>23.468536</v>
      </c>
      <c r="AE215" s="219">
        <v>23.812134</v>
      </c>
      <c r="AF215" s="212" t="s">
        <v>340</v>
      </c>
      <c r="AG215" s="31"/>
    </row>
    <row r="216" spans="1:33">
      <c r="A216" s="30" t="s">
        <v>992</v>
      </c>
      <c r="B216" s="210" t="s">
        <v>917</v>
      </c>
      <c r="C216" s="219">
        <v>0</v>
      </c>
      <c r="D216" s="219">
        <v>5.4372860000000003</v>
      </c>
      <c r="E216" s="219">
        <v>112.70214799999999</v>
      </c>
      <c r="F216" s="219">
        <v>89.573447999999999</v>
      </c>
      <c r="G216" s="219">
        <v>185.740646</v>
      </c>
      <c r="H216" s="219">
        <v>138.78949</v>
      </c>
      <c r="I216" s="219">
        <v>162.21469099999999</v>
      </c>
      <c r="J216" s="219">
        <v>154.65458699999999</v>
      </c>
      <c r="K216" s="219">
        <v>162.83642599999999</v>
      </c>
      <c r="L216" s="219">
        <v>173.161102</v>
      </c>
      <c r="M216" s="219">
        <v>184.47088600000001</v>
      </c>
      <c r="N216" s="219">
        <v>196.08961500000001</v>
      </c>
      <c r="O216" s="219">
        <v>208.08810399999999</v>
      </c>
      <c r="P216" s="219">
        <v>221.18241900000001</v>
      </c>
      <c r="Q216" s="219">
        <v>239.93948399999999</v>
      </c>
      <c r="R216" s="219">
        <v>249.20379600000001</v>
      </c>
      <c r="S216" s="219">
        <v>258.58880599999998</v>
      </c>
      <c r="T216" s="219">
        <v>267.52673299999998</v>
      </c>
      <c r="U216" s="219">
        <v>276.525757</v>
      </c>
      <c r="V216" s="219">
        <v>282.98516799999999</v>
      </c>
      <c r="W216" s="219">
        <v>290.41168199999998</v>
      </c>
      <c r="X216" s="219">
        <v>297.73962399999999</v>
      </c>
      <c r="Y216" s="219">
        <v>304.91387900000001</v>
      </c>
      <c r="Z216" s="219">
        <v>311.67602499999998</v>
      </c>
      <c r="AA216" s="219">
        <v>314.135559</v>
      </c>
      <c r="AB216" s="219">
        <v>319.592285</v>
      </c>
      <c r="AC216" s="219">
        <v>326.29675300000002</v>
      </c>
      <c r="AD216" s="219">
        <v>333.62133799999998</v>
      </c>
      <c r="AE216" s="219">
        <v>341.78308099999998</v>
      </c>
      <c r="AF216" s="212" t="s">
        <v>340</v>
      </c>
      <c r="AG216" s="31"/>
    </row>
    <row r="217" spans="1:33">
      <c r="A217" s="30" t="s">
        <v>993</v>
      </c>
      <c r="B217" s="210" t="s">
        <v>287</v>
      </c>
      <c r="C217" s="219">
        <v>0</v>
      </c>
      <c r="D217" s="219">
        <v>5.4372860000000003</v>
      </c>
      <c r="E217" s="219">
        <v>76.470284000000007</v>
      </c>
      <c r="F217" s="219">
        <v>49.427382999999999</v>
      </c>
      <c r="G217" s="219">
        <v>106.27594000000001</v>
      </c>
      <c r="H217" s="219">
        <v>82.392234999999999</v>
      </c>
      <c r="I217" s="219">
        <v>99.058036999999999</v>
      </c>
      <c r="J217" s="219">
        <v>96.598495</v>
      </c>
      <c r="K217" s="219">
        <v>99.957886000000002</v>
      </c>
      <c r="L217" s="219">
        <v>104.55500000000001</v>
      </c>
      <c r="M217" s="219">
        <v>109.671745</v>
      </c>
      <c r="N217" s="219">
        <v>114.907211</v>
      </c>
      <c r="O217" s="219">
        <v>120.39743</v>
      </c>
      <c r="P217" s="219">
        <v>126.07197600000001</v>
      </c>
      <c r="Q217" s="219">
        <v>130.83337399999999</v>
      </c>
      <c r="R217" s="219">
        <v>136.22524999999999</v>
      </c>
      <c r="S217" s="219">
        <v>141.68043499999999</v>
      </c>
      <c r="T217" s="219">
        <v>146.903076</v>
      </c>
      <c r="U217" s="219">
        <v>152.11596700000001</v>
      </c>
      <c r="V217" s="219">
        <v>155.854736</v>
      </c>
      <c r="W217" s="219">
        <v>160.12011699999999</v>
      </c>
      <c r="X217" s="219">
        <v>164.33935500000001</v>
      </c>
      <c r="Y217" s="219">
        <v>168.50756799999999</v>
      </c>
      <c r="Z217" s="219">
        <v>172.49243200000001</v>
      </c>
      <c r="AA217" s="219">
        <v>174.09106399999999</v>
      </c>
      <c r="AB217" s="219">
        <v>177.482178</v>
      </c>
      <c r="AC217" s="219">
        <v>181.68945299999999</v>
      </c>
      <c r="AD217" s="219">
        <v>186.32226600000001</v>
      </c>
      <c r="AE217" s="219">
        <v>191.489014</v>
      </c>
      <c r="AF217" s="212" t="s">
        <v>340</v>
      </c>
      <c r="AG217" s="31"/>
    </row>
    <row r="218" spans="1:33">
      <c r="A218" s="30" t="s">
        <v>994</v>
      </c>
      <c r="B218" s="210" t="s">
        <v>288</v>
      </c>
      <c r="C218" s="219">
        <v>0</v>
      </c>
      <c r="D218" s="219">
        <v>0</v>
      </c>
      <c r="E218" s="219">
        <v>7.4641489999999999</v>
      </c>
      <c r="F218" s="219">
        <v>32.670985999999999</v>
      </c>
      <c r="G218" s="219">
        <v>43.411385000000003</v>
      </c>
      <c r="H218" s="219">
        <v>25.061415</v>
      </c>
      <c r="I218" s="219">
        <v>24.533463000000001</v>
      </c>
      <c r="J218" s="219">
        <v>16.549866000000002</v>
      </c>
      <c r="K218" s="219">
        <v>20.238346</v>
      </c>
      <c r="L218" s="219">
        <v>24.344996999999999</v>
      </c>
      <c r="M218" s="219">
        <v>28.787796</v>
      </c>
      <c r="N218" s="219">
        <v>33.417084000000003</v>
      </c>
      <c r="O218" s="219">
        <v>38.081116000000002</v>
      </c>
      <c r="P218" s="219">
        <v>43.577418999999999</v>
      </c>
      <c r="Q218" s="219">
        <v>56.013511999999999</v>
      </c>
      <c r="R218" s="219">
        <v>58.042262999999998</v>
      </c>
      <c r="S218" s="219">
        <v>60.030822999999998</v>
      </c>
      <c r="T218" s="219">
        <v>61.834105999999998</v>
      </c>
      <c r="U218" s="219">
        <v>63.609253000000002</v>
      </c>
      <c r="V218" s="219">
        <v>64.860718000000006</v>
      </c>
      <c r="W218" s="219">
        <v>66.264893000000001</v>
      </c>
      <c r="X218" s="219">
        <v>67.550292999999996</v>
      </c>
      <c r="Y218" s="219">
        <v>68.688903999999994</v>
      </c>
      <c r="Z218" s="219">
        <v>69.633422999999993</v>
      </c>
      <c r="AA218" s="219">
        <v>69.6922</v>
      </c>
      <c r="AB218" s="219">
        <v>70.197143999999994</v>
      </c>
      <c r="AC218" s="219">
        <v>70.779906999999994</v>
      </c>
      <c r="AD218" s="219">
        <v>71.402343999999999</v>
      </c>
      <c r="AE218" s="219">
        <v>72.140868999999995</v>
      </c>
      <c r="AF218" s="212" t="s">
        <v>340</v>
      </c>
      <c r="AG218" s="31"/>
    </row>
    <row r="219" spans="1:33">
      <c r="A219" s="30" t="s">
        <v>995</v>
      </c>
      <c r="B219" s="210" t="s">
        <v>289</v>
      </c>
      <c r="C219" s="219">
        <v>0</v>
      </c>
      <c r="D219" s="219">
        <v>0</v>
      </c>
      <c r="E219" s="219">
        <v>28.767719</v>
      </c>
      <c r="F219" s="219">
        <v>7.4750750000000004</v>
      </c>
      <c r="G219" s="219">
        <v>36.053328999999998</v>
      </c>
      <c r="H219" s="219">
        <v>31.335837999999999</v>
      </c>
      <c r="I219" s="219">
        <v>38.623184000000002</v>
      </c>
      <c r="J219" s="219">
        <v>41.506225999999998</v>
      </c>
      <c r="K219" s="219">
        <v>42.640197999999998</v>
      </c>
      <c r="L219" s="219">
        <v>44.261108</v>
      </c>
      <c r="M219" s="219">
        <v>46.011353</v>
      </c>
      <c r="N219" s="219">
        <v>47.765320000000003</v>
      </c>
      <c r="O219" s="219">
        <v>49.609558</v>
      </c>
      <c r="P219" s="219">
        <v>51.53302</v>
      </c>
      <c r="Q219" s="219">
        <v>53.092590000000001</v>
      </c>
      <c r="R219" s="219">
        <v>54.936278999999999</v>
      </c>
      <c r="S219" s="219">
        <v>56.877563000000002</v>
      </c>
      <c r="T219" s="219">
        <v>58.789551000000003</v>
      </c>
      <c r="U219" s="219">
        <v>60.800536999999998</v>
      </c>
      <c r="V219" s="219">
        <v>62.269714</v>
      </c>
      <c r="W219" s="219">
        <v>64.026672000000005</v>
      </c>
      <c r="X219" s="219">
        <v>65.849975999999998</v>
      </c>
      <c r="Y219" s="219">
        <v>67.717406999999994</v>
      </c>
      <c r="Z219" s="219">
        <v>69.550171000000006</v>
      </c>
      <c r="AA219" s="219">
        <v>70.352294999999998</v>
      </c>
      <c r="AB219" s="219">
        <v>71.912964000000002</v>
      </c>
      <c r="AC219" s="219">
        <v>73.827393000000001</v>
      </c>
      <c r="AD219" s="219">
        <v>75.896728999999993</v>
      </c>
      <c r="AE219" s="219">
        <v>78.153198000000003</v>
      </c>
      <c r="AF219" s="212" t="s">
        <v>340</v>
      </c>
      <c r="AG219" s="31"/>
    </row>
    <row r="220" spans="1:33">
      <c r="A220" s="30" t="s">
        <v>996</v>
      </c>
      <c r="B220" s="210" t="s">
        <v>922</v>
      </c>
      <c r="C220" s="219">
        <v>0</v>
      </c>
      <c r="D220" s="219">
        <v>6.4839760000000002</v>
      </c>
      <c r="E220" s="219">
        <v>65.655174000000002</v>
      </c>
      <c r="F220" s="219">
        <v>136.72659300000001</v>
      </c>
      <c r="G220" s="219">
        <v>87.343277</v>
      </c>
      <c r="H220" s="219">
        <v>59.887782999999999</v>
      </c>
      <c r="I220" s="219">
        <v>65.008987000000005</v>
      </c>
      <c r="J220" s="219">
        <v>59.581435999999997</v>
      </c>
      <c r="K220" s="219">
        <v>69.668128999999993</v>
      </c>
      <c r="L220" s="219">
        <v>78.167664000000002</v>
      </c>
      <c r="M220" s="219">
        <v>97.479079999999996</v>
      </c>
      <c r="N220" s="219">
        <v>107.185974</v>
      </c>
      <c r="O220" s="219">
        <v>115.742386</v>
      </c>
      <c r="P220" s="219">
        <v>124.491539</v>
      </c>
      <c r="Q220" s="219">
        <v>132.53221099999999</v>
      </c>
      <c r="R220" s="219">
        <v>149.129074</v>
      </c>
      <c r="S220" s="219">
        <v>155.356628</v>
      </c>
      <c r="T220" s="219">
        <v>161.377319</v>
      </c>
      <c r="U220" s="219">
        <v>167.24667400000001</v>
      </c>
      <c r="V220" s="219">
        <v>172.74606299999999</v>
      </c>
      <c r="W220" s="219">
        <v>178.09411600000001</v>
      </c>
      <c r="X220" s="219">
        <v>183.263733</v>
      </c>
      <c r="Y220" s="219">
        <v>188.24258399999999</v>
      </c>
      <c r="Z220" s="219">
        <v>193.104645</v>
      </c>
      <c r="AA220" s="219">
        <v>196.84274300000001</v>
      </c>
      <c r="AB220" s="219">
        <v>204.55044599999999</v>
      </c>
      <c r="AC220" s="219">
        <v>210.32486</v>
      </c>
      <c r="AD220" s="219">
        <v>214.87603799999999</v>
      </c>
      <c r="AE220" s="219">
        <v>219.82165499999999</v>
      </c>
      <c r="AF220" s="212" t="s">
        <v>340</v>
      </c>
      <c r="AG220" s="31"/>
    </row>
    <row r="221" spans="1:33">
      <c r="A221" s="30" t="s">
        <v>997</v>
      </c>
      <c r="B221" s="210" t="s">
        <v>287</v>
      </c>
      <c r="C221" s="219">
        <v>0</v>
      </c>
      <c r="D221" s="219">
        <v>0</v>
      </c>
      <c r="E221" s="219">
        <v>33.785888999999997</v>
      </c>
      <c r="F221" s="219">
        <v>53.847774999999999</v>
      </c>
      <c r="G221" s="219">
        <v>30.331448000000002</v>
      </c>
      <c r="H221" s="219">
        <v>21.30883</v>
      </c>
      <c r="I221" s="219">
        <v>24.555008000000001</v>
      </c>
      <c r="J221" s="219">
        <v>24.473627</v>
      </c>
      <c r="K221" s="219">
        <v>29.460901</v>
      </c>
      <c r="L221" s="219">
        <v>33.729008</v>
      </c>
      <c r="M221" s="219">
        <v>47.309856000000003</v>
      </c>
      <c r="N221" s="219">
        <v>50.860106999999999</v>
      </c>
      <c r="O221" s="219">
        <v>52.923949999999998</v>
      </c>
      <c r="P221" s="219">
        <v>55.029541000000002</v>
      </c>
      <c r="Q221" s="219">
        <v>56.84375</v>
      </c>
      <c r="R221" s="219">
        <v>58.885559000000001</v>
      </c>
      <c r="S221" s="219">
        <v>60.913879000000001</v>
      </c>
      <c r="T221" s="219">
        <v>62.880614999999999</v>
      </c>
      <c r="U221" s="219">
        <v>64.824768000000006</v>
      </c>
      <c r="V221" s="219">
        <v>67.001830999999996</v>
      </c>
      <c r="W221" s="219">
        <v>68.808166999999997</v>
      </c>
      <c r="X221" s="219">
        <v>70.631591999999998</v>
      </c>
      <c r="Y221" s="219">
        <v>72.473877000000002</v>
      </c>
      <c r="Z221" s="219">
        <v>74.368774000000002</v>
      </c>
      <c r="AA221" s="219">
        <v>75.949950999999999</v>
      </c>
      <c r="AB221" s="219">
        <v>77.937134</v>
      </c>
      <c r="AC221" s="219">
        <v>80.061035000000004</v>
      </c>
      <c r="AD221" s="219">
        <v>82.315674000000001</v>
      </c>
      <c r="AE221" s="219">
        <v>84.728271000000007</v>
      </c>
      <c r="AF221" s="212" t="s">
        <v>340</v>
      </c>
      <c r="AG221" s="31"/>
    </row>
    <row r="222" spans="1:33">
      <c r="A222" s="30" t="s">
        <v>998</v>
      </c>
      <c r="B222" s="210" t="s">
        <v>288</v>
      </c>
      <c r="C222" s="219">
        <v>0</v>
      </c>
      <c r="D222" s="219">
        <v>0</v>
      </c>
      <c r="E222" s="219">
        <v>1.237724</v>
      </c>
      <c r="F222" s="219">
        <v>60.396301000000001</v>
      </c>
      <c r="G222" s="219">
        <v>46.365257</v>
      </c>
      <c r="H222" s="219">
        <v>26.417698000000001</v>
      </c>
      <c r="I222" s="219">
        <v>27.912457</v>
      </c>
      <c r="J222" s="219">
        <v>22.461169999999999</v>
      </c>
      <c r="K222" s="219">
        <v>27.240627</v>
      </c>
      <c r="L222" s="219">
        <v>31.278912999999999</v>
      </c>
      <c r="M222" s="219">
        <v>36.773018</v>
      </c>
      <c r="N222" s="219">
        <v>42.622314000000003</v>
      </c>
      <c r="O222" s="219">
        <v>48.784022999999998</v>
      </c>
      <c r="P222" s="219">
        <v>55.06176</v>
      </c>
      <c r="Q222" s="219">
        <v>60.969836999999998</v>
      </c>
      <c r="R222" s="219">
        <v>75.160156000000001</v>
      </c>
      <c r="S222" s="219">
        <v>78.977294999999998</v>
      </c>
      <c r="T222" s="219">
        <v>82.653198000000003</v>
      </c>
      <c r="U222" s="219">
        <v>86.182495000000003</v>
      </c>
      <c r="V222" s="219">
        <v>89.120604999999998</v>
      </c>
      <c r="W222" s="219">
        <v>92.220703</v>
      </c>
      <c r="X222" s="219">
        <v>95.091187000000005</v>
      </c>
      <c r="Y222" s="219">
        <v>97.725464000000002</v>
      </c>
      <c r="Z222" s="219">
        <v>100.159424</v>
      </c>
      <c r="AA222" s="219">
        <v>101.824219</v>
      </c>
      <c r="AB222" s="219">
        <v>106.975708</v>
      </c>
      <c r="AC222" s="219">
        <v>110.01696800000001</v>
      </c>
      <c r="AD222" s="219">
        <v>111.678955</v>
      </c>
      <c r="AE222" s="219">
        <v>113.550415</v>
      </c>
      <c r="AF222" s="212" t="s">
        <v>340</v>
      </c>
      <c r="AG222" s="31"/>
    </row>
    <row r="223" spans="1:33">
      <c r="A223" s="30" t="s">
        <v>999</v>
      </c>
      <c r="B223" s="210" t="s">
        <v>289</v>
      </c>
      <c r="C223" s="219">
        <v>0</v>
      </c>
      <c r="D223" s="219">
        <v>6.4839760000000002</v>
      </c>
      <c r="E223" s="219">
        <v>30.631561000000001</v>
      </c>
      <c r="F223" s="219">
        <v>22.482513000000001</v>
      </c>
      <c r="G223" s="219">
        <v>10.646577000000001</v>
      </c>
      <c r="H223" s="219">
        <v>12.161255000000001</v>
      </c>
      <c r="I223" s="219">
        <v>12.541518999999999</v>
      </c>
      <c r="J223" s="219">
        <v>12.646637</v>
      </c>
      <c r="K223" s="219">
        <v>12.966599</v>
      </c>
      <c r="L223" s="219">
        <v>13.159744</v>
      </c>
      <c r="M223" s="219">
        <v>13.39621</v>
      </c>
      <c r="N223" s="219">
        <v>13.703552</v>
      </c>
      <c r="O223" s="219">
        <v>14.034409</v>
      </c>
      <c r="P223" s="219">
        <v>14.400238</v>
      </c>
      <c r="Q223" s="219">
        <v>14.718628000000001</v>
      </c>
      <c r="R223" s="219">
        <v>15.083359</v>
      </c>
      <c r="S223" s="219">
        <v>15.465453999999999</v>
      </c>
      <c r="T223" s="219">
        <v>15.843506</v>
      </c>
      <c r="U223" s="219">
        <v>16.239409999999999</v>
      </c>
      <c r="V223" s="219">
        <v>16.623626999999999</v>
      </c>
      <c r="W223" s="219">
        <v>17.065246999999999</v>
      </c>
      <c r="X223" s="219">
        <v>17.540955</v>
      </c>
      <c r="Y223" s="219">
        <v>18.043243</v>
      </c>
      <c r="Z223" s="219">
        <v>18.576447000000002</v>
      </c>
      <c r="AA223" s="219">
        <v>19.068573000000001</v>
      </c>
      <c r="AB223" s="219">
        <v>19.637604</v>
      </c>
      <c r="AC223" s="219">
        <v>20.246856999999999</v>
      </c>
      <c r="AD223" s="219">
        <v>20.881409000000001</v>
      </c>
      <c r="AE223" s="219">
        <v>21.542968999999999</v>
      </c>
      <c r="AF223" s="212" t="s">
        <v>340</v>
      </c>
      <c r="AG223" s="31"/>
    </row>
    <row r="224" spans="1:33">
      <c r="A224" s="30" t="s">
        <v>1000</v>
      </c>
      <c r="B224" s="210" t="s">
        <v>294</v>
      </c>
      <c r="C224" s="219">
        <v>0</v>
      </c>
      <c r="D224" s="219">
        <v>95.570221000000004</v>
      </c>
      <c r="E224" s="219">
        <v>158.937592</v>
      </c>
      <c r="F224" s="219">
        <v>90.262816999999998</v>
      </c>
      <c r="G224" s="219">
        <v>103.488022</v>
      </c>
      <c r="H224" s="219">
        <v>86.662529000000006</v>
      </c>
      <c r="I224" s="219">
        <v>93.80986</v>
      </c>
      <c r="J224" s="219">
        <v>106.975342</v>
      </c>
      <c r="K224" s="219">
        <v>111.882698</v>
      </c>
      <c r="L224" s="219">
        <v>116.59922</v>
      </c>
      <c r="M224" s="219">
        <v>122.813896</v>
      </c>
      <c r="N224" s="219">
        <v>126.772369</v>
      </c>
      <c r="O224" s="219">
        <v>130.55931100000001</v>
      </c>
      <c r="P224" s="219">
        <v>134.30990600000001</v>
      </c>
      <c r="Q224" s="219">
        <v>138.94132999999999</v>
      </c>
      <c r="R224" s="219">
        <v>143.02919</v>
      </c>
      <c r="S224" s="219">
        <v>147.11927800000001</v>
      </c>
      <c r="T224" s="219">
        <v>151.292374</v>
      </c>
      <c r="U224" s="219">
        <v>155.555115</v>
      </c>
      <c r="V224" s="219">
        <v>160.74430799999999</v>
      </c>
      <c r="W224" s="219">
        <v>165.402466</v>
      </c>
      <c r="X224" s="219">
        <v>170.20541399999999</v>
      </c>
      <c r="Y224" s="219">
        <v>175.20356799999999</v>
      </c>
      <c r="Z224" s="219">
        <v>180.50953699999999</v>
      </c>
      <c r="AA224" s="219">
        <v>186.63502500000001</v>
      </c>
      <c r="AB224" s="219">
        <v>192.495499</v>
      </c>
      <c r="AC224" s="219">
        <v>198.630371</v>
      </c>
      <c r="AD224" s="219">
        <v>204.97837799999999</v>
      </c>
      <c r="AE224" s="219">
        <v>211.68373099999999</v>
      </c>
      <c r="AF224" s="212" t="s">
        <v>340</v>
      </c>
      <c r="AG224" s="31"/>
    </row>
    <row r="225" spans="1:33">
      <c r="A225" s="30" t="s">
        <v>1001</v>
      </c>
      <c r="B225" s="210" t="s">
        <v>287</v>
      </c>
      <c r="C225" s="219">
        <v>0</v>
      </c>
      <c r="D225" s="219">
        <v>16.152573</v>
      </c>
      <c r="E225" s="219">
        <v>74.385323</v>
      </c>
      <c r="F225" s="219">
        <v>44.418120999999999</v>
      </c>
      <c r="G225" s="219">
        <v>56.281497999999999</v>
      </c>
      <c r="H225" s="219">
        <v>46.858376</v>
      </c>
      <c r="I225" s="219">
        <v>45.260803000000003</v>
      </c>
      <c r="J225" s="219">
        <v>47.178879000000002</v>
      </c>
      <c r="K225" s="219">
        <v>49.045569999999998</v>
      </c>
      <c r="L225" s="219">
        <v>50.850254</v>
      </c>
      <c r="M225" s="219">
        <v>52.437424</v>
      </c>
      <c r="N225" s="219">
        <v>53.918830999999997</v>
      </c>
      <c r="O225" s="219">
        <v>55.272826999999999</v>
      </c>
      <c r="P225" s="219">
        <v>56.578246999999998</v>
      </c>
      <c r="Q225" s="219">
        <v>58.250194999999998</v>
      </c>
      <c r="R225" s="219">
        <v>59.701050000000002</v>
      </c>
      <c r="S225" s="219">
        <v>61.174374</v>
      </c>
      <c r="T225" s="219">
        <v>62.695816000000001</v>
      </c>
      <c r="U225" s="219">
        <v>64.303291000000002</v>
      </c>
      <c r="V225" s="219">
        <v>66.291870000000003</v>
      </c>
      <c r="W225" s="219">
        <v>68.032318000000004</v>
      </c>
      <c r="X225" s="219">
        <v>69.907364000000001</v>
      </c>
      <c r="Y225" s="219">
        <v>71.927443999999994</v>
      </c>
      <c r="Z225" s="219">
        <v>74.189528999999993</v>
      </c>
      <c r="AA225" s="219">
        <v>76.835526000000002</v>
      </c>
      <c r="AB225" s="219">
        <v>79.443588000000005</v>
      </c>
      <c r="AC225" s="219">
        <v>82.244560000000007</v>
      </c>
      <c r="AD225" s="219">
        <v>85.175903000000005</v>
      </c>
      <c r="AE225" s="219">
        <v>88.275108000000003</v>
      </c>
      <c r="AF225" s="212" t="s">
        <v>340</v>
      </c>
      <c r="AG225" s="31"/>
    </row>
    <row r="226" spans="1:33">
      <c r="A226" s="30" t="s">
        <v>1002</v>
      </c>
      <c r="B226" s="210" t="s">
        <v>288</v>
      </c>
      <c r="C226" s="219">
        <v>0</v>
      </c>
      <c r="D226" s="219">
        <v>0</v>
      </c>
      <c r="E226" s="219">
        <v>13.907534</v>
      </c>
      <c r="F226" s="219">
        <v>11.581135</v>
      </c>
      <c r="G226" s="219">
        <v>13.285769</v>
      </c>
      <c r="H226" s="219">
        <v>8.7865739999999999</v>
      </c>
      <c r="I226" s="219">
        <v>11.912839999999999</v>
      </c>
      <c r="J226" s="219">
        <v>14.229506000000001</v>
      </c>
      <c r="K226" s="219">
        <v>14.96176</v>
      </c>
      <c r="L226" s="219">
        <v>15.676151000000001</v>
      </c>
      <c r="M226" s="219">
        <v>16.351693999999998</v>
      </c>
      <c r="N226" s="219">
        <v>17.011806</v>
      </c>
      <c r="O226" s="219">
        <v>17.684864000000001</v>
      </c>
      <c r="P226" s="219">
        <v>18.374672</v>
      </c>
      <c r="Q226" s="219">
        <v>19.195830999999998</v>
      </c>
      <c r="R226" s="219">
        <v>19.947098</v>
      </c>
      <c r="S226" s="219">
        <v>20.696186000000001</v>
      </c>
      <c r="T226" s="219">
        <v>21.447388</v>
      </c>
      <c r="U226" s="219">
        <v>22.153858</v>
      </c>
      <c r="V226" s="219">
        <v>22.969529999999999</v>
      </c>
      <c r="W226" s="219">
        <v>23.723488</v>
      </c>
      <c r="X226" s="219">
        <v>24.439530999999999</v>
      </c>
      <c r="Y226" s="219">
        <v>25.104008</v>
      </c>
      <c r="Z226" s="219">
        <v>25.697693000000001</v>
      </c>
      <c r="AA226" s="219">
        <v>26.327818000000001</v>
      </c>
      <c r="AB226" s="219">
        <v>26.879307000000001</v>
      </c>
      <c r="AC226" s="219">
        <v>27.422423999999999</v>
      </c>
      <c r="AD226" s="219">
        <v>27.929182000000001</v>
      </c>
      <c r="AE226" s="219">
        <v>28.481864999999999</v>
      </c>
      <c r="AF226" s="212" t="s">
        <v>340</v>
      </c>
      <c r="AG226" s="31"/>
    </row>
    <row r="227" spans="1:33">
      <c r="A227" s="30" t="s">
        <v>1003</v>
      </c>
      <c r="B227" s="210" t="s">
        <v>289</v>
      </c>
      <c r="C227" s="219">
        <v>0</v>
      </c>
      <c r="D227" s="219">
        <v>79.417648</v>
      </c>
      <c r="E227" s="219">
        <v>70.644729999999996</v>
      </c>
      <c r="F227" s="219">
        <v>34.263565</v>
      </c>
      <c r="G227" s="219">
        <v>33.920757000000002</v>
      </c>
      <c r="H227" s="219">
        <v>31.017579999999999</v>
      </c>
      <c r="I227" s="219">
        <v>36.636215</v>
      </c>
      <c r="J227" s="219">
        <v>45.566955999999998</v>
      </c>
      <c r="K227" s="219">
        <v>47.875366</v>
      </c>
      <c r="L227" s="219">
        <v>50.072814999999999</v>
      </c>
      <c r="M227" s="219">
        <v>54.02478</v>
      </c>
      <c r="N227" s="219">
        <v>55.841735999999997</v>
      </c>
      <c r="O227" s="219">
        <v>57.601624000000001</v>
      </c>
      <c r="P227" s="219">
        <v>59.356994999999998</v>
      </c>
      <c r="Q227" s="219">
        <v>61.4953</v>
      </c>
      <c r="R227" s="219">
        <v>63.381042000000001</v>
      </c>
      <c r="S227" s="219">
        <v>65.248717999999997</v>
      </c>
      <c r="T227" s="219">
        <v>67.149169999999998</v>
      </c>
      <c r="U227" s="219">
        <v>69.097960999999998</v>
      </c>
      <c r="V227" s="219">
        <v>71.482910000000004</v>
      </c>
      <c r="W227" s="219">
        <v>73.646666999999994</v>
      </c>
      <c r="X227" s="219">
        <v>75.858520999999996</v>
      </c>
      <c r="Y227" s="219">
        <v>78.172118999999995</v>
      </c>
      <c r="Z227" s="219">
        <v>80.622314000000003</v>
      </c>
      <c r="AA227" s="219">
        <v>83.471680000000006</v>
      </c>
      <c r="AB227" s="219">
        <v>86.172606999999999</v>
      </c>
      <c r="AC227" s="219">
        <v>88.963379000000003</v>
      </c>
      <c r="AD227" s="219">
        <v>91.873290999999995</v>
      </c>
      <c r="AE227" s="219">
        <v>94.926758000000007</v>
      </c>
      <c r="AF227" s="212" t="s">
        <v>340</v>
      </c>
      <c r="AG227" s="31"/>
    </row>
    <row r="228" spans="1:33">
      <c r="A228" s="30" t="s">
        <v>1004</v>
      </c>
      <c r="B228" s="210" t="s">
        <v>931</v>
      </c>
      <c r="C228" s="219">
        <v>4.6944059999999999</v>
      </c>
      <c r="D228" s="219">
        <v>0</v>
      </c>
      <c r="E228" s="219">
        <v>9.9030819999999995</v>
      </c>
      <c r="F228" s="219">
        <v>18.713218999999999</v>
      </c>
      <c r="G228" s="219">
        <v>20.190556000000001</v>
      </c>
      <c r="H228" s="219">
        <v>24.707723999999999</v>
      </c>
      <c r="I228" s="219">
        <v>26.178903999999999</v>
      </c>
      <c r="J228" s="219">
        <v>26.187021000000001</v>
      </c>
      <c r="K228" s="219">
        <v>26.578914999999999</v>
      </c>
      <c r="L228" s="219">
        <v>26.732208</v>
      </c>
      <c r="M228" s="219">
        <v>27.393591000000001</v>
      </c>
      <c r="N228" s="219">
        <v>27.984928</v>
      </c>
      <c r="O228" s="219">
        <v>28.617878000000001</v>
      </c>
      <c r="P228" s="219">
        <v>29.507937999999999</v>
      </c>
      <c r="Q228" s="219">
        <v>29.673779</v>
      </c>
      <c r="R228" s="219">
        <v>29.754950999999998</v>
      </c>
      <c r="S228" s="219">
        <v>29.810558</v>
      </c>
      <c r="T228" s="219">
        <v>29.813227000000001</v>
      </c>
      <c r="U228" s="219">
        <v>29.743130000000001</v>
      </c>
      <c r="V228" s="219">
        <v>29.627026000000001</v>
      </c>
      <c r="W228" s="219">
        <v>29.397304999999999</v>
      </c>
      <c r="X228" s="219">
        <v>29.095371</v>
      </c>
      <c r="Y228" s="219">
        <v>28.737287999999999</v>
      </c>
      <c r="Z228" s="219">
        <v>28.342614999999999</v>
      </c>
      <c r="AA228" s="219">
        <v>27.983851999999999</v>
      </c>
      <c r="AB228" s="219">
        <v>27.615227000000001</v>
      </c>
      <c r="AC228" s="219">
        <v>27.270102999999999</v>
      </c>
      <c r="AD228" s="219">
        <v>26.951415999999998</v>
      </c>
      <c r="AE228" s="219">
        <v>26.697842000000001</v>
      </c>
      <c r="AF228" s="212">
        <v>6.4046000000000006E-2</v>
      </c>
      <c r="AG228" s="31"/>
    </row>
    <row r="229" spans="1:33">
      <c r="A229" s="30" t="s">
        <v>1005</v>
      </c>
      <c r="B229" s="210" t="s">
        <v>287</v>
      </c>
      <c r="C229" s="219">
        <v>4.6944059999999999</v>
      </c>
      <c r="D229" s="219">
        <v>0</v>
      </c>
      <c r="E229" s="219">
        <v>6.7475829999999997</v>
      </c>
      <c r="F229" s="219">
        <v>11.778551999999999</v>
      </c>
      <c r="G229" s="219">
        <v>12.884046</v>
      </c>
      <c r="H229" s="219">
        <v>16.942501</v>
      </c>
      <c r="I229" s="219">
        <v>17.098953000000002</v>
      </c>
      <c r="J229" s="219">
        <v>17.136088999999998</v>
      </c>
      <c r="K229" s="219">
        <v>17.307739000000002</v>
      </c>
      <c r="L229" s="219">
        <v>17.323554999999999</v>
      </c>
      <c r="M229" s="219">
        <v>17.642493999999999</v>
      </c>
      <c r="N229" s="219">
        <v>17.916205999999999</v>
      </c>
      <c r="O229" s="219">
        <v>18.128070999999998</v>
      </c>
      <c r="P229" s="219">
        <v>18.270206000000002</v>
      </c>
      <c r="Q229" s="219">
        <v>18.349886000000001</v>
      </c>
      <c r="R229" s="219">
        <v>18.360924000000001</v>
      </c>
      <c r="S229" s="219">
        <v>18.368248000000001</v>
      </c>
      <c r="T229" s="219">
        <v>18.336587999999999</v>
      </c>
      <c r="U229" s="219">
        <v>18.249237000000001</v>
      </c>
      <c r="V229" s="219">
        <v>18.137756</v>
      </c>
      <c r="W229" s="219">
        <v>17.946503</v>
      </c>
      <c r="X229" s="219">
        <v>17.723602</v>
      </c>
      <c r="Y229" s="219">
        <v>17.473815999999999</v>
      </c>
      <c r="Z229" s="219">
        <v>17.208832000000001</v>
      </c>
      <c r="AA229" s="219">
        <v>16.985443</v>
      </c>
      <c r="AB229" s="219">
        <v>16.774260999999999</v>
      </c>
      <c r="AC229" s="219">
        <v>16.590485000000001</v>
      </c>
      <c r="AD229" s="219">
        <v>16.435058999999999</v>
      </c>
      <c r="AE229" s="219">
        <v>16.330780000000001</v>
      </c>
      <c r="AF229" s="212">
        <v>4.5530000000000001E-2</v>
      </c>
      <c r="AG229" s="31"/>
    </row>
    <row r="230" spans="1:33">
      <c r="A230" s="30" t="s">
        <v>1006</v>
      </c>
      <c r="B230" s="210" t="s">
        <v>288</v>
      </c>
      <c r="C230" s="219">
        <v>0</v>
      </c>
      <c r="D230" s="219">
        <v>0</v>
      </c>
      <c r="E230" s="219">
        <v>0.123136</v>
      </c>
      <c r="F230" s="219">
        <v>1.9343319999999999</v>
      </c>
      <c r="G230" s="219">
        <v>2.1494490000000002</v>
      </c>
      <c r="H230" s="219">
        <v>1.225752</v>
      </c>
      <c r="I230" s="219">
        <v>1.002186</v>
      </c>
      <c r="J230" s="219">
        <v>0.72661200000000004</v>
      </c>
      <c r="K230" s="219">
        <v>0.87561500000000003</v>
      </c>
      <c r="L230" s="219">
        <v>1.0253829999999999</v>
      </c>
      <c r="M230" s="219">
        <v>1.2474810000000001</v>
      </c>
      <c r="N230" s="219">
        <v>1.4651149999999999</v>
      </c>
      <c r="O230" s="219">
        <v>1.8116300000000001</v>
      </c>
      <c r="P230" s="219">
        <v>2.5099939999999998</v>
      </c>
      <c r="Q230" s="219">
        <v>2.5653329999999999</v>
      </c>
      <c r="R230" s="219">
        <v>2.604568</v>
      </c>
      <c r="S230" s="219">
        <v>2.6278419999999998</v>
      </c>
      <c r="T230" s="219">
        <v>2.6438899999999999</v>
      </c>
      <c r="U230" s="219">
        <v>2.6589619999999998</v>
      </c>
      <c r="V230" s="219">
        <v>2.6583519999999998</v>
      </c>
      <c r="W230" s="219">
        <v>2.6367910000000001</v>
      </c>
      <c r="X230" s="219">
        <v>2.5863839999999998</v>
      </c>
      <c r="Y230" s="219">
        <v>2.5181110000000002</v>
      </c>
      <c r="Z230" s="219">
        <v>2.4389129999999999</v>
      </c>
      <c r="AA230" s="219">
        <v>2.357037</v>
      </c>
      <c r="AB230" s="219">
        <v>2.2597580000000002</v>
      </c>
      <c r="AC230" s="219">
        <v>2.1587450000000001</v>
      </c>
      <c r="AD230" s="219">
        <v>2.0570369999999998</v>
      </c>
      <c r="AE230" s="219">
        <v>1.96191</v>
      </c>
      <c r="AF230" s="212" t="s">
        <v>340</v>
      </c>
      <c r="AG230" s="31"/>
    </row>
    <row r="231" spans="1:33">
      <c r="A231" s="30" t="s">
        <v>1007</v>
      </c>
      <c r="B231" s="210" t="s">
        <v>289</v>
      </c>
      <c r="C231" s="219">
        <v>0</v>
      </c>
      <c r="D231" s="219">
        <v>0</v>
      </c>
      <c r="E231" s="219">
        <v>3.0323630000000001</v>
      </c>
      <c r="F231" s="219">
        <v>5.0003349999999998</v>
      </c>
      <c r="G231" s="219">
        <v>5.1570600000000004</v>
      </c>
      <c r="H231" s="219">
        <v>6.5394709999999998</v>
      </c>
      <c r="I231" s="219">
        <v>8.0777649999999994</v>
      </c>
      <c r="J231" s="219">
        <v>8.3243200000000002</v>
      </c>
      <c r="K231" s="219">
        <v>8.3955590000000004</v>
      </c>
      <c r="L231" s="219">
        <v>8.3832699999999996</v>
      </c>
      <c r="M231" s="219">
        <v>8.5036159999999992</v>
      </c>
      <c r="N231" s="219">
        <v>8.6036070000000002</v>
      </c>
      <c r="O231" s="219">
        <v>8.6781769999999998</v>
      </c>
      <c r="P231" s="219">
        <v>8.7277369999999994</v>
      </c>
      <c r="Q231" s="219">
        <v>8.7585599999999992</v>
      </c>
      <c r="R231" s="219">
        <v>8.7894590000000008</v>
      </c>
      <c r="S231" s="219">
        <v>8.8144679999999997</v>
      </c>
      <c r="T231" s="219">
        <v>8.8327480000000005</v>
      </c>
      <c r="U231" s="219">
        <v>8.8349299999999999</v>
      </c>
      <c r="V231" s="219">
        <v>8.8309169999999995</v>
      </c>
      <c r="W231" s="219">
        <v>8.8140110000000007</v>
      </c>
      <c r="X231" s="219">
        <v>8.7853849999999998</v>
      </c>
      <c r="Y231" s="219">
        <v>8.7453610000000008</v>
      </c>
      <c r="Z231" s="219">
        <v>8.6948699999999999</v>
      </c>
      <c r="AA231" s="219">
        <v>8.6413729999999997</v>
      </c>
      <c r="AB231" s="219">
        <v>8.5812069999999991</v>
      </c>
      <c r="AC231" s="219">
        <v>8.5208739999999992</v>
      </c>
      <c r="AD231" s="219">
        <v>8.45932</v>
      </c>
      <c r="AE231" s="219">
        <v>8.405151</v>
      </c>
      <c r="AF231" s="212" t="s">
        <v>340</v>
      </c>
      <c r="AG231" s="31"/>
    </row>
    <row r="232" spans="1:33">
      <c r="A232" s="30" t="s">
        <v>1008</v>
      </c>
      <c r="B232" s="210" t="s">
        <v>936</v>
      </c>
      <c r="C232" s="219">
        <v>0</v>
      </c>
      <c r="D232" s="219">
        <v>16.212554999999998</v>
      </c>
      <c r="E232" s="219">
        <v>72.479491999999993</v>
      </c>
      <c r="F232" s="219">
        <v>40.945121999999998</v>
      </c>
      <c r="G232" s="219">
        <v>45.360497000000002</v>
      </c>
      <c r="H232" s="219">
        <v>47.086692999999997</v>
      </c>
      <c r="I232" s="219">
        <v>44.219219000000002</v>
      </c>
      <c r="J232" s="219">
        <v>43.437472999999997</v>
      </c>
      <c r="K232" s="219">
        <v>44.078677999999996</v>
      </c>
      <c r="L232" s="219">
        <v>44.448982000000001</v>
      </c>
      <c r="M232" s="219">
        <v>45.430968999999997</v>
      </c>
      <c r="N232" s="219">
        <v>46.471218</v>
      </c>
      <c r="O232" s="219">
        <v>47.524146999999999</v>
      </c>
      <c r="P232" s="219">
        <v>48.588408999999999</v>
      </c>
      <c r="Q232" s="219">
        <v>49.558253999999998</v>
      </c>
      <c r="R232" s="219">
        <v>50.636077999999998</v>
      </c>
      <c r="S232" s="219">
        <v>51.724097999999998</v>
      </c>
      <c r="T232" s="219">
        <v>52.793083000000003</v>
      </c>
      <c r="U232" s="219">
        <v>53.866115999999998</v>
      </c>
      <c r="V232" s="219">
        <v>54.935673000000001</v>
      </c>
      <c r="W232" s="219">
        <v>56.067089000000003</v>
      </c>
      <c r="X232" s="219">
        <v>57.238425999999997</v>
      </c>
      <c r="Y232" s="219">
        <v>58.484650000000002</v>
      </c>
      <c r="Z232" s="219">
        <v>59.774197000000001</v>
      </c>
      <c r="AA232" s="219">
        <v>60.846770999999997</v>
      </c>
      <c r="AB232" s="219">
        <v>62.294235</v>
      </c>
      <c r="AC232" s="219">
        <v>63.859734000000003</v>
      </c>
      <c r="AD232" s="219">
        <v>65.543030000000002</v>
      </c>
      <c r="AE232" s="219">
        <v>67.304428000000001</v>
      </c>
      <c r="AF232" s="212" t="s">
        <v>340</v>
      </c>
      <c r="AG232" s="31"/>
    </row>
    <row r="233" spans="1:33">
      <c r="A233" s="30" t="s">
        <v>1009</v>
      </c>
      <c r="B233" s="210" t="s">
        <v>287</v>
      </c>
      <c r="C233" s="219">
        <v>0</v>
      </c>
      <c r="D233" s="219">
        <v>5.8114030000000003</v>
      </c>
      <c r="E233" s="219">
        <v>42.121963999999998</v>
      </c>
      <c r="F233" s="219">
        <v>25.662416</v>
      </c>
      <c r="G233" s="219">
        <v>27.793472000000001</v>
      </c>
      <c r="H233" s="219">
        <v>28.183192999999999</v>
      </c>
      <c r="I233" s="219">
        <v>26.023641999999999</v>
      </c>
      <c r="J233" s="219">
        <v>25.516463999999999</v>
      </c>
      <c r="K233" s="219">
        <v>26.058325</v>
      </c>
      <c r="L233" s="219">
        <v>26.448975000000001</v>
      </c>
      <c r="M233" s="219">
        <v>27.170258</v>
      </c>
      <c r="N233" s="219">
        <v>27.915710000000001</v>
      </c>
      <c r="O233" s="219">
        <v>28.664702999999999</v>
      </c>
      <c r="P233" s="219">
        <v>29.415619</v>
      </c>
      <c r="Q233" s="219">
        <v>30.099364999999999</v>
      </c>
      <c r="R233" s="219">
        <v>30.841248</v>
      </c>
      <c r="S233" s="219">
        <v>31.57132</v>
      </c>
      <c r="T233" s="219">
        <v>32.287776999999998</v>
      </c>
      <c r="U233" s="219">
        <v>32.994903999999998</v>
      </c>
      <c r="V233" s="219">
        <v>33.685364</v>
      </c>
      <c r="W233" s="219">
        <v>34.397095</v>
      </c>
      <c r="X233" s="219">
        <v>35.129173000000002</v>
      </c>
      <c r="Y233" s="219">
        <v>35.915416999999998</v>
      </c>
      <c r="Z233" s="219">
        <v>36.718688999999998</v>
      </c>
      <c r="AA233" s="219">
        <v>37.396667000000001</v>
      </c>
      <c r="AB233" s="219">
        <v>38.285400000000003</v>
      </c>
      <c r="AC233" s="219">
        <v>39.248534999999997</v>
      </c>
      <c r="AD233" s="219">
        <v>40.288939999999997</v>
      </c>
      <c r="AE233" s="219">
        <v>41.382384999999999</v>
      </c>
      <c r="AF233" s="212" t="s">
        <v>340</v>
      </c>
      <c r="AG233" s="31"/>
    </row>
    <row r="234" spans="1:33">
      <c r="A234" s="30" t="s">
        <v>1010</v>
      </c>
      <c r="B234" s="210" t="s">
        <v>288</v>
      </c>
      <c r="C234" s="219">
        <v>0</v>
      </c>
      <c r="D234" s="219">
        <v>2.1028440000000002</v>
      </c>
      <c r="E234" s="219">
        <v>5.2317850000000004</v>
      </c>
      <c r="F234" s="219">
        <v>5.1375019999999996</v>
      </c>
      <c r="G234" s="219">
        <v>5.0140370000000001</v>
      </c>
      <c r="H234" s="219">
        <v>3.894466</v>
      </c>
      <c r="I234" s="219">
        <v>3.4408159999999999</v>
      </c>
      <c r="J234" s="219">
        <v>3.2471969999999999</v>
      </c>
      <c r="K234" s="219">
        <v>3.2134369999999999</v>
      </c>
      <c r="L234" s="219">
        <v>3.1581950000000001</v>
      </c>
      <c r="M234" s="219">
        <v>3.1293950000000001</v>
      </c>
      <c r="N234" s="219">
        <v>3.1110509999999998</v>
      </c>
      <c r="O234" s="219">
        <v>3.1012360000000001</v>
      </c>
      <c r="P234" s="219">
        <v>3.100142</v>
      </c>
      <c r="Q234" s="219">
        <v>3.1067480000000001</v>
      </c>
      <c r="R234" s="219">
        <v>3.1233499999999998</v>
      </c>
      <c r="S234" s="219">
        <v>3.1619969999999999</v>
      </c>
      <c r="T234" s="219">
        <v>3.1970779999999999</v>
      </c>
      <c r="U234" s="219">
        <v>3.2490489999999999</v>
      </c>
      <c r="V234" s="219">
        <v>3.3071929999999998</v>
      </c>
      <c r="W234" s="219">
        <v>3.3916439999999999</v>
      </c>
      <c r="X234" s="219">
        <v>3.4865710000000001</v>
      </c>
      <c r="Y234" s="219">
        <v>3.5925790000000002</v>
      </c>
      <c r="Z234" s="219">
        <v>3.712062</v>
      </c>
      <c r="AA234" s="219">
        <v>3.817904</v>
      </c>
      <c r="AB234" s="219">
        <v>3.9742289999999998</v>
      </c>
      <c r="AC234" s="219">
        <v>4.1493169999999999</v>
      </c>
      <c r="AD234" s="219">
        <v>4.3417969999999997</v>
      </c>
      <c r="AE234" s="219">
        <v>4.539593</v>
      </c>
      <c r="AF234" s="212" t="s">
        <v>340</v>
      </c>
      <c r="AG234" s="31"/>
    </row>
    <row r="235" spans="1:33">
      <c r="A235" s="30" t="s">
        <v>1011</v>
      </c>
      <c r="B235" s="210" t="s">
        <v>289</v>
      </c>
      <c r="C235" s="219">
        <v>0</v>
      </c>
      <c r="D235" s="219">
        <v>8.2983069999999994</v>
      </c>
      <c r="E235" s="219">
        <v>25.125741999999999</v>
      </c>
      <c r="F235" s="219">
        <v>10.145201</v>
      </c>
      <c r="G235" s="219">
        <v>12.552986000000001</v>
      </c>
      <c r="H235" s="219">
        <v>15.009033000000001</v>
      </c>
      <c r="I235" s="219">
        <v>14.754761</v>
      </c>
      <c r="J235" s="219">
        <v>14.673813000000001</v>
      </c>
      <c r="K235" s="219">
        <v>14.806915</v>
      </c>
      <c r="L235" s="219">
        <v>14.841811999999999</v>
      </c>
      <c r="M235" s="219">
        <v>15.131316999999999</v>
      </c>
      <c r="N235" s="219">
        <v>15.444457999999999</v>
      </c>
      <c r="O235" s="219">
        <v>15.758209000000001</v>
      </c>
      <c r="P235" s="219">
        <v>16.072647</v>
      </c>
      <c r="Q235" s="219">
        <v>16.352142000000001</v>
      </c>
      <c r="R235" s="219">
        <v>16.671478</v>
      </c>
      <c r="S235" s="219">
        <v>16.990784000000001</v>
      </c>
      <c r="T235" s="219">
        <v>17.308228</v>
      </c>
      <c r="U235" s="219">
        <v>17.622161999999999</v>
      </c>
      <c r="V235" s="219">
        <v>17.943114999999999</v>
      </c>
      <c r="W235" s="219">
        <v>18.278351000000001</v>
      </c>
      <c r="X235" s="219">
        <v>18.622681</v>
      </c>
      <c r="Y235" s="219">
        <v>18.976654</v>
      </c>
      <c r="Z235" s="219">
        <v>19.343444999999999</v>
      </c>
      <c r="AA235" s="219">
        <v>19.632201999999999</v>
      </c>
      <c r="AB235" s="219">
        <v>20.034607000000001</v>
      </c>
      <c r="AC235" s="219">
        <v>20.461884000000001</v>
      </c>
      <c r="AD235" s="219">
        <v>20.912292000000001</v>
      </c>
      <c r="AE235" s="219">
        <v>21.382446000000002</v>
      </c>
      <c r="AF235" s="212" t="s">
        <v>340</v>
      </c>
      <c r="AG235" s="31"/>
    </row>
    <row r="236" spans="1:33">
      <c r="A236" s="30" t="s">
        <v>1012</v>
      </c>
      <c r="B236" s="210" t="s">
        <v>941</v>
      </c>
      <c r="C236" s="219">
        <v>906.95056199999999</v>
      </c>
      <c r="D236" s="219">
        <v>996.77758800000004</v>
      </c>
      <c r="E236" s="219">
        <v>1560.366943</v>
      </c>
      <c r="F236" s="219">
        <v>1339.888428</v>
      </c>
      <c r="G236" s="219">
        <v>1781.6395259999999</v>
      </c>
      <c r="H236" s="219">
        <v>1523.8237300000001</v>
      </c>
      <c r="I236" s="219">
        <v>1579.755005</v>
      </c>
      <c r="J236" s="219">
        <v>1607.5267329999999</v>
      </c>
      <c r="K236" s="219">
        <v>1705.8538820000001</v>
      </c>
      <c r="L236" s="219">
        <v>1808.3291019999999</v>
      </c>
      <c r="M236" s="219">
        <v>1953.9444579999999</v>
      </c>
      <c r="N236" s="219">
        <v>2113.2377929999998</v>
      </c>
      <c r="O236" s="219">
        <v>2198.0119629999999</v>
      </c>
      <c r="P236" s="219">
        <v>2281.2998050000001</v>
      </c>
      <c r="Q236" s="219">
        <v>2386.2250979999999</v>
      </c>
      <c r="R236" s="219">
        <v>2476.8305660000001</v>
      </c>
      <c r="S236" s="219">
        <v>2542.4284670000002</v>
      </c>
      <c r="T236" s="219">
        <v>2603.1972660000001</v>
      </c>
      <c r="U236" s="219">
        <v>2693.382568</v>
      </c>
      <c r="V236" s="219">
        <v>2750.7878420000002</v>
      </c>
      <c r="W236" s="219">
        <v>2813.4624020000001</v>
      </c>
      <c r="X236" s="219">
        <v>2873.0766600000002</v>
      </c>
      <c r="Y236" s="219">
        <v>2914.782471</v>
      </c>
      <c r="Z236" s="219">
        <v>2952.125732</v>
      </c>
      <c r="AA236" s="219">
        <v>2992.0249020000001</v>
      </c>
      <c r="AB236" s="219">
        <v>3054.0776369999999</v>
      </c>
      <c r="AC236" s="219">
        <v>3103.2128910000001</v>
      </c>
      <c r="AD236" s="219">
        <v>3148.4765619999998</v>
      </c>
      <c r="AE236" s="219">
        <v>3213.5976559999999</v>
      </c>
      <c r="AF236" s="212">
        <v>4.6217000000000001E-2</v>
      </c>
      <c r="AG236" s="31"/>
    </row>
    <row r="237" spans="1:33">
      <c r="A237" s="30" t="s">
        <v>1013</v>
      </c>
      <c r="B237" s="210" t="s">
        <v>943</v>
      </c>
      <c r="C237" s="219">
        <v>616.672729</v>
      </c>
      <c r="D237" s="219">
        <v>426.37951700000002</v>
      </c>
      <c r="E237" s="219">
        <v>834.27612299999998</v>
      </c>
      <c r="F237" s="219">
        <v>765.04986599999995</v>
      </c>
      <c r="G237" s="219">
        <v>1010.692139</v>
      </c>
      <c r="H237" s="219">
        <v>905.86248799999998</v>
      </c>
      <c r="I237" s="219">
        <v>943.87078899999995</v>
      </c>
      <c r="J237" s="219">
        <v>970.26196300000004</v>
      </c>
      <c r="K237" s="219">
        <v>1021.595337</v>
      </c>
      <c r="L237" s="219">
        <v>1090.982422</v>
      </c>
      <c r="M237" s="219">
        <v>1186.9614260000001</v>
      </c>
      <c r="N237" s="219">
        <v>1294.732178</v>
      </c>
      <c r="O237" s="219">
        <v>1337.9248050000001</v>
      </c>
      <c r="P237" s="219">
        <v>1388.693237</v>
      </c>
      <c r="Q237" s="219">
        <v>1448.065308</v>
      </c>
      <c r="R237" s="219">
        <v>1494.3908690000001</v>
      </c>
      <c r="S237" s="219">
        <v>1529.6373289999999</v>
      </c>
      <c r="T237" s="219">
        <v>1562.5006100000001</v>
      </c>
      <c r="U237" s="219">
        <v>1615.0435789999999</v>
      </c>
      <c r="V237" s="219">
        <v>1647.3764650000001</v>
      </c>
      <c r="W237" s="219">
        <v>1682.243164</v>
      </c>
      <c r="X237" s="219">
        <v>1715.9918210000001</v>
      </c>
      <c r="Y237" s="219">
        <v>1739.779663</v>
      </c>
      <c r="Z237" s="219">
        <v>1760.8398440000001</v>
      </c>
      <c r="AA237" s="219">
        <v>1783.525879</v>
      </c>
      <c r="AB237" s="219">
        <v>1817.627808</v>
      </c>
      <c r="AC237" s="219">
        <v>1845.839966</v>
      </c>
      <c r="AD237" s="219">
        <v>1872.237061</v>
      </c>
      <c r="AE237" s="219">
        <v>1908.921143</v>
      </c>
      <c r="AF237" s="212">
        <v>4.1181000000000002E-2</v>
      </c>
      <c r="AG237" s="31"/>
    </row>
    <row r="238" spans="1:33">
      <c r="A238" s="30" t="s">
        <v>1014</v>
      </c>
      <c r="B238" s="210" t="s">
        <v>945</v>
      </c>
      <c r="C238" s="219">
        <v>0</v>
      </c>
      <c r="D238" s="219">
        <v>43.201999999999998</v>
      </c>
      <c r="E238" s="219">
        <v>176.914368</v>
      </c>
      <c r="F238" s="219">
        <v>268.93057299999998</v>
      </c>
      <c r="G238" s="219">
        <v>385.54864500000002</v>
      </c>
      <c r="H238" s="219">
        <v>250.85348500000001</v>
      </c>
      <c r="I238" s="219">
        <v>255.47108499999999</v>
      </c>
      <c r="J238" s="219">
        <v>234.80268899999999</v>
      </c>
      <c r="K238" s="219">
        <v>272.76123000000001</v>
      </c>
      <c r="L238" s="219">
        <v>290.69201700000002</v>
      </c>
      <c r="M238" s="219">
        <v>313.10742199999999</v>
      </c>
      <c r="N238" s="219">
        <v>343.86264</v>
      </c>
      <c r="O238" s="219">
        <v>373.10836799999998</v>
      </c>
      <c r="P238" s="219">
        <v>393.01129200000003</v>
      </c>
      <c r="Q238" s="219">
        <v>421.43762199999998</v>
      </c>
      <c r="R238" s="219">
        <v>448.14917000000003</v>
      </c>
      <c r="S238" s="219">
        <v>463.75173999999998</v>
      </c>
      <c r="T238" s="219">
        <v>478.395599</v>
      </c>
      <c r="U238" s="219">
        <v>495.19457999999997</v>
      </c>
      <c r="V238" s="219">
        <v>508.49685699999998</v>
      </c>
      <c r="W238" s="219">
        <v>522.58496100000002</v>
      </c>
      <c r="X238" s="219">
        <v>533.91491699999995</v>
      </c>
      <c r="Y238" s="219">
        <v>541.35034199999996</v>
      </c>
      <c r="Z238" s="219">
        <v>547.30035399999997</v>
      </c>
      <c r="AA238" s="219">
        <v>552.16076699999996</v>
      </c>
      <c r="AB238" s="219">
        <v>562.45593299999996</v>
      </c>
      <c r="AC238" s="219">
        <v>569.04693599999996</v>
      </c>
      <c r="AD238" s="219">
        <v>574.07873500000005</v>
      </c>
      <c r="AE238" s="219">
        <v>582.19397000000004</v>
      </c>
      <c r="AF238" s="212" t="s">
        <v>340</v>
      </c>
      <c r="AG238" s="31"/>
    </row>
    <row r="239" spans="1:33">
      <c r="A239" s="30" t="s">
        <v>304</v>
      </c>
      <c r="B239" s="209" t="s">
        <v>153</v>
      </c>
      <c r="C239" s="222">
        <v>290.27792399999998</v>
      </c>
      <c r="D239" s="222">
        <v>527.19604500000003</v>
      </c>
      <c r="E239" s="222">
        <v>549.176514</v>
      </c>
      <c r="F239" s="222">
        <v>305.90798999999998</v>
      </c>
      <c r="G239" s="222">
        <v>385.39859000000001</v>
      </c>
      <c r="H239" s="222">
        <v>367.10775799999999</v>
      </c>
      <c r="I239" s="222">
        <v>380.41357399999998</v>
      </c>
      <c r="J239" s="222">
        <v>402.46191399999998</v>
      </c>
      <c r="K239" s="222">
        <v>411.497345</v>
      </c>
      <c r="L239" s="222">
        <v>426.654968</v>
      </c>
      <c r="M239" s="222">
        <v>453.875519</v>
      </c>
      <c r="N239" s="222">
        <v>474.64248700000002</v>
      </c>
      <c r="O239" s="222">
        <v>486.978363</v>
      </c>
      <c r="P239" s="222">
        <v>499.595215</v>
      </c>
      <c r="Q239" s="222">
        <v>516.722534</v>
      </c>
      <c r="R239" s="222">
        <v>534.29040499999996</v>
      </c>
      <c r="S239" s="222">
        <v>549.03997800000002</v>
      </c>
      <c r="T239" s="222">
        <v>562.30139199999996</v>
      </c>
      <c r="U239" s="222">
        <v>583.14465299999995</v>
      </c>
      <c r="V239" s="222">
        <v>594.91436799999997</v>
      </c>
      <c r="W239" s="222">
        <v>608.634277</v>
      </c>
      <c r="X239" s="222">
        <v>623.17040999999995</v>
      </c>
      <c r="Y239" s="222">
        <v>633.65270999999996</v>
      </c>
      <c r="Z239" s="222">
        <v>643.98510699999997</v>
      </c>
      <c r="AA239" s="222">
        <v>656.33850099999995</v>
      </c>
      <c r="AB239" s="222">
        <v>673.99383499999999</v>
      </c>
      <c r="AC239" s="222">
        <v>688.32568400000002</v>
      </c>
      <c r="AD239" s="222">
        <v>702.16033900000002</v>
      </c>
      <c r="AE239" s="222">
        <v>722.48254399999996</v>
      </c>
      <c r="AF239" s="214">
        <v>3.3101999999999999E-2</v>
      </c>
      <c r="AG239" s="31"/>
    </row>
    <row r="240" spans="1:33">
      <c r="A240" s="29"/>
      <c r="B240" s="31"/>
      <c r="C240" s="31"/>
      <c r="D240" s="31"/>
      <c r="E240" s="31"/>
      <c r="F240" s="31"/>
      <c r="G240" s="31"/>
      <c r="H240" s="31"/>
      <c r="I240" s="31"/>
      <c r="J240" s="31"/>
      <c r="K240" s="31"/>
      <c r="L240" s="31"/>
      <c r="M240" s="31"/>
      <c r="N240" s="31"/>
      <c r="O240" s="31"/>
      <c r="P240" s="31"/>
      <c r="Q240" s="31"/>
      <c r="R240" s="31"/>
      <c r="S240" s="31"/>
      <c r="T240" s="31"/>
      <c r="U240" s="31"/>
      <c r="V240" s="31"/>
      <c r="W240" s="31"/>
      <c r="X240" s="31"/>
      <c r="Y240" s="31"/>
      <c r="Z240" s="31"/>
      <c r="AA240" s="31"/>
      <c r="AB240" s="31"/>
      <c r="AC240" s="31"/>
      <c r="AD240" s="31"/>
      <c r="AE240" s="31"/>
      <c r="AF240" s="31"/>
      <c r="AG240" s="31"/>
    </row>
    <row r="241" spans="1:33">
      <c r="A241" s="29"/>
      <c r="B241" s="209" t="s">
        <v>1015</v>
      </c>
      <c r="C241" s="31"/>
      <c r="D241" s="31"/>
      <c r="E241" s="31"/>
      <c r="F241" s="31"/>
      <c r="G241" s="31"/>
      <c r="H241" s="31"/>
      <c r="I241" s="31"/>
      <c r="J241" s="31"/>
      <c r="K241" s="31"/>
      <c r="L241" s="31"/>
      <c r="M241" s="31"/>
      <c r="N241" s="31"/>
      <c r="O241" s="31"/>
      <c r="P241" s="31"/>
      <c r="Q241" s="31"/>
      <c r="R241" s="31"/>
      <c r="S241" s="31"/>
      <c r="T241" s="31"/>
      <c r="U241" s="31"/>
      <c r="V241" s="31"/>
      <c r="W241" s="31"/>
      <c r="X241" s="31"/>
      <c r="Y241" s="31"/>
      <c r="Z241" s="31"/>
      <c r="AA241" s="31"/>
      <c r="AB241" s="31"/>
      <c r="AC241" s="31"/>
      <c r="AD241" s="31"/>
      <c r="AE241" s="31"/>
      <c r="AF241" s="31"/>
      <c r="AG241" s="31"/>
    </row>
    <row r="242" spans="1:33">
      <c r="A242" s="29"/>
      <c r="B242" s="209" t="s">
        <v>305</v>
      </c>
      <c r="C242" s="31"/>
      <c r="D242" s="31"/>
      <c r="E242" s="31"/>
      <c r="F242" s="31"/>
      <c r="G242" s="31"/>
      <c r="H242" s="31"/>
      <c r="I242" s="31"/>
      <c r="J242" s="31"/>
      <c r="K242" s="31"/>
      <c r="L242" s="31"/>
      <c r="M242" s="31"/>
      <c r="N242" s="31"/>
      <c r="O242" s="31"/>
      <c r="P242" s="31"/>
      <c r="Q242" s="31"/>
      <c r="R242" s="31"/>
      <c r="S242" s="31"/>
      <c r="T242" s="31"/>
      <c r="U242" s="31"/>
      <c r="V242" s="31"/>
      <c r="W242" s="31"/>
      <c r="X242" s="31"/>
      <c r="Y242" s="31"/>
      <c r="Z242" s="31"/>
      <c r="AA242" s="31"/>
      <c r="AB242" s="31"/>
      <c r="AC242" s="31"/>
      <c r="AD242" s="31"/>
      <c r="AE242" s="31"/>
      <c r="AF242" s="31"/>
      <c r="AG242" s="31"/>
    </row>
    <row r="243" spans="1:33">
      <c r="A243" s="30" t="s">
        <v>306</v>
      </c>
      <c r="B243" s="210" t="s">
        <v>287</v>
      </c>
      <c r="C243" s="211">
        <v>74.871787999999995</v>
      </c>
      <c r="D243" s="211">
        <v>74.824341000000004</v>
      </c>
      <c r="E243" s="211">
        <v>74.870009999999994</v>
      </c>
      <c r="F243" s="211">
        <v>75.377182000000005</v>
      </c>
      <c r="G243" s="211">
        <v>75.942390000000003</v>
      </c>
      <c r="H243" s="211">
        <v>76.569298000000003</v>
      </c>
      <c r="I243" s="211">
        <v>77.191185000000004</v>
      </c>
      <c r="J243" s="211">
        <v>77.822379999999995</v>
      </c>
      <c r="K243" s="211">
        <v>78.449370999999999</v>
      </c>
      <c r="L243" s="211">
        <v>79.082160999999999</v>
      </c>
      <c r="M243" s="211">
        <v>79.729331999999999</v>
      </c>
      <c r="N243" s="211">
        <v>80.384322999999995</v>
      </c>
      <c r="O243" s="211">
        <v>81.040702999999993</v>
      </c>
      <c r="P243" s="211">
        <v>81.700325000000007</v>
      </c>
      <c r="Q243" s="211">
        <v>82.36721</v>
      </c>
      <c r="R243" s="211">
        <v>83.039787000000004</v>
      </c>
      <c r="S243" s="211">
        <v>83.715835999999996</v>
      </c>
      <c r="T243" s="211">
        <v>84.394936000000001</v>
      </c>
      <c r="U243" s="211">
        <v>85.083740000000006</v>
      </c>
      <c r="V243" s="211">
        <v>85.777321000000001</v>
      </c>
      <c r="W243" s="211">
        <v>86.476578000000003</v>
      </c>
      <c r="X243" s="211">
        <v>87.181197999999995</v>
      </c>
      <c r="Y243" s="211">
        <v>87.887107999999998</v>
      </c>
      <c r="Z243" s="211">
        <v>88.593413999999996</v>
      </c>
      <c r="AA243" s="211">
        <v>89.304077000000007</v>
      </c>
      <c r="AB243" s="211">
        <v>90.021133000000006</v>
      </c>
      <c r="AC243" s="211">
        <v>90.740951999999993</v>
      </c>
      <c r="AD243" s="211">
        <v>91.461951999999997</v>
      </c>
      <c r="AE243" s="211">
        <v>92.186836</v>
      </c>
      <c r="AF243" s="212">
        <v>7.4580000000000002E-3</v>
      </c>
      <c r="AG243" s="31"/>
    </row>
    <row r="244" spans="1:33">
      <c r="A244" s="30" t="s">
        <v>307</v>
      </c>
      <c r="B244" s="210" t="s">
        <v>288</v>
      </c>
      <c r="C244" s="211">
        <v>95.571944999999999</v>
      </c>
      <c r="D244" s="211">
        <v>96.332038999999995</v>
      </c>
      <c r="E244" s="211">
        <v>96.948357000000001</v>
      </c>
      <c r="F244" s="211">
        <v>97.558082999999996</v>
      </c>
      <c r="G244" s="211">
        <v>98.270415999999997</v>
      </c>
      <c r="H244" s="211">
        <v>99.001427000000007</v>
      </c>
      <c r="I244" s="211">
        <v>99.742217999999994</v>
      </c>
      <c r="J244" s="211">
        <v>100.54795799999999</v>
      </c>
      <c r="K244" s="211">
        <v>101.357468</v>
      </c>
      <c r="L244" s="211">
        <v>102.176247</v>
      </c>
      <c r="M244" s="211">
        <v>103.00419599999999</v>
      </c>
      <c r="N244" s="211">
        <v>103.837914</v>
      </c>
      <c r="O244" s="211">
        <v>104.675499</v>
      </c>
      <c r="P244" s="211">
        <v>105.517685</v>
      </c>
      <c r="Q244" s="211">
        <v>106.36638600000001</v>
      </c>
      <c r="R244" s="211">
        <v>107.221107</v>
      </c>
      <c r="S244" s="211">
        <v>108.081337</v>
      </c>
      <c r="T244" s="211">
        <v>108.94696</v>
      </c>
      <c r="U244" s="211">
        <v>109.81945</v>
      </c>
      <c r="V244" s="211">
        <v>110.698303</v>
      </c>
      <c r="W244" s="211">
        <v>111.58322099999999</v>
      </c>
      <c r="X244" s="211">
        <v>112.474045</v>
      </c>
      <c r="Y244" s="211">
        <v>113.369934</v>
      </c>
      <c r="Z244" s="211">
        <v>114.270432</v>
      </c>
      <c r="AA244" s="211">
        <v>115.17746699999999</v>
      </c>
      <c r="AB244" s="211">
        <v>116.090721</v>
      </c>
      <c r="AC244" s="211">
        <v>117.009277</v>
      </c>
      <c r="AD244" s="211">
        <v>117.93248</v>
      </c>
      <c r="AE244" s="211">
        <v>118.860939</v>
      </c>
      <c r="AF244" s="212">
        <v>7.8189999999999996E-3</v>
      </c>
      <c r="AG244" s="31"/>
    </row>
    <row r="245" spans="1:33">
      <c r="A245" s="30" t="s">
        <v>308</v>
      </c>
      <c r="B245" s="210" t="s">
        <v>289</v>
      </c>
      <c r="C245" s="211">
        <v>53.707275000000003</v>
      </c>
      <c r="D245" s="211">
        <v>54.124397000000002</v>
      </c>
      <c r="E245" s="211">
        <v>54.517155000000002</v>
      </c>
      <c r="F245" s="211">
        <v>55.057952999999998</v>
      </c>
      <c r="G245" s="211">
        <v>55.602271999999999</v>
      </c>
      <c r="H245" s="211">
        <v>56.153022999999997</v>
      </c>
      <c r="I245" s="211">
        <v>56.707245</v>
      </c>
      <c r="J245" s="211">
        <v>57.267493999999999</v>
      </c>
      <c r="K245" s="211">
        <v>57.832068999999997</v>
      </c>
      <c r="L245" s="211">
        <v>58.395541999999999</v>
      </c>
      <c r="M245" s="211">
        <v>58.951411999999998</v>
      </c>
      <c r="N245" s="211">
        <v>59.503132000000001</v>
      </c>
      <c r="O245" s="211">
        <v>60.055945999999999</v>
      </c>
      <c r="P245" s="211">
        <v>60.609138000000002</v>
      </c>
      <c r="Q245" s="211">
        <v>61.15992</v>
      </c>
      <c r="R245" s="211">
        <v>61.709805000000003</v>
      </c>
      <c r="S245" s="211">
        <v>62.260795999999999</v>
      </c>
      <c r="T245" s="211">
        <v>62.813918999999999</v>
      </c>
      <c r="U245" s="211">
        <v>63.364795999999998</v>
      </c>
      <c r="V245" s="211">
        <v>63.919387999999998</v>
      </c>
      <c r="W245" s="211">
        <v>64.476928999999998</v>
      </c>
      <c r="X245" s="211">
        <v>65.036681999999999</v>
      </c>
      <c r="Y245" s="211">
        <v>65.600577999999999</v>
      </c>
      <c r="Z245" s="211">
        <v>66.168068000000005</v>
      </c>
      <c r="AA245" s="211">
        <v>66.736427000000006</v>
      </c>
      <c r="AB245" s="211">
        <v>67.304244999999995</v>
      </c>
      <c r="AC245" s="211">
        <v>67.874115000000003</v>
      </c>
      <c r="AD245" s="211">
        <v>68.446205000000006</v>
      </c>
      <c r="AE245" s="211">
        <v>69.016655</v>
      </c>
      <c r="AF245" s="212">
        <v>8.9969999999999998E-3</v>
      </c>
      <c r="AG245" s="31"/>
    </row>
    <row r="246" spans="1:33">
      <c r="A246" s="30" t="s">
        <v>309</v>
      </c>
      <c r="B246" s="210" t="s">
        <v>310</v>
      </c>
      <c r="C246" s="211">
        <v>77.863677999999993</v>
      </c>
      <c r="D246" s="211">
        <v>78.969109000000003</v>
      </c>
      <c r="E246" s="211">
        <v>79.835860999999994</v>
      </c>
      <c r="F246" s="211">
        <v>80.657959000000005</v>
      </c>
      <c r="G246" s="211">
        <v>81.519676000000004</v>
      </c>
      <c r="H246" s="211">
        <v>82.249397000000002</v>
      </c>
      <c r="I246" s="211">
        <v>82.953147999999999</v>
      </c>
      <c r="J246" s="211">
        <v>83.636619999999994</v>
      </c>
      <c r="K246" s="211">
        <v>84.322136</v>
      </c>
      <c r="L246" s="211">
        <v>85.012176999999994</v>
      </c>
      <c r="M246" s="211">
        <v>85.709496000000001</v>
      </c>
      <c r="N246" s="211">
        <v>86.412520999999998</v>
      </c>
      <c r="O246" s="211">
        <v>87.119552999999996</v>
      </c>
      <c r="P246" s="211">
        <v>87.831146000000004</v>
      </c>
      <c r="Q246" s="211">
        <v>88.548659999999998</v>
      </c>
      <c r="R246" s="211">
        <v>89.271477000000004</v>
      </c>
      <c r="S246" s="211">
        <v>89.999092000000005</v>
      </c>
      <c r="T246" s="211">
        <v>90.731505999999996</v>
      </c>
      <c r="U246" s="211">
        <v>91.470969999999994</v>
      </c>
      <c r="V246" s="211">
        <v>92.216414999999998</v>
      </c>
      <c r="W246" s="211">
        <v>92.968033000000005</v>
      </c>
      <c r="X246" s="211">
        <v>93.725632000000004</v>
      </c>
      <c r="Y246" s="211">
        <v>94.487938</v>
      </c>
      <c r="Z246" s="211">
        <v>95.254531999999998</v>
      </c>
      <c r="AA246" s="211">
        <v>96.027145000000004</v>
      </c>
      <c r="AB246" s="211">
        <v>96.806197999999995</v>
      </c>
      <c r="AC246" s="211">
        <v>97.590369999999993</v>
      </c>
      <c r="AD246" s="211">
        <v>98.379210999999998</v>
      </c>
      <c r="AE246" s="211">
        <v>99.173316999999997</v>
      </c>
      <c r="AF246" s="212">
        <v>8.6770000000000007E-3</v>
      </c>
      <c r="AG246" s="31"/>
    </row>
    <row r="247" spans="1:33">
      <c r="A247" s="29"/>
      <c r="B247" s="209" t="s">
        <v>311</v>
      </c>
      <c r="C247" s="31"/>
      <c r="D247" s="31"/>
      <c r="E247" s="31"/>
      <c r="F247" s="31"/>
      <c r="G247" s="31"/>
      <c r="H247" s="31"/>
      <c r="I247" s="31"/>
      <c r="J247" s="31"/>
      <c r="K247" s="31"/>
      <c r="L247" s="31"/>
      <c r="M247" s="31"/>
      <c r="N247" s="31"/>
      <c r="O247" s="31"/>
      <c r="P247" s="31"/>
      <c r="Q247" s="31"/>
      <c r="R247" s="31"/>
      <c r="S247" s="31"/>
      <c r="T247" s="31"/>
      <c r="U247" s="31"/>
      <c r="V247" s="31"/>
      <c r="W247" s="31"/>
      <c r="X247" s="31"/>
      <c r="Y247" s="31"/>
      <c r="Z247" s="31"/>
      <c r="AA247" s="31"/>
      <c r="AB247" s="31"/>
      <c r="AC247" s="31"/>
      <c r="AD247" s="31"/>
      <c r="AE247" s="31"/>
      <c r="AF247" s="31"/>
      <c r="AG247" s="31"/>
    </row>
    <row r="248" spans="1:33">
      <c r="A248" s="30" t="s">
        <v>312</v>
      </c>
      <c r="B248" s="210" t="s">
        <v>287</v>
      </c>
      <c r="C248" s="211">
        <v>69.404342999999997</v>
      </c>
      <c r="D248" s="211">
        <v>68.895920000000004</v>
      </c>
      <c r="E248" s="211">
        <v>68.630829000000006</v>
      </c>
      <c r="F248" s="211">
        <v>68.891907000000003</v>
      </c>
      <c r="G248" s="211">
        <v>69.300231999999994</v>
      </c>
      <c r="H248" s="211">
        <v>69.722228999999999</v>
      </c>
      <c r="I248" s="211">
        <v>70.168892</v>
      </c>
      <c r="J248" s="211">
        <v>70.613258000000002</v>
      </c>
      <c r="K248" s="211">
        <v>71.081558000000001</v>
      </c>
      <c r="L248" s="211">
        <v>71.603188000000003</v>
      </c>
      <c r="M248" s="211">
        <v>72.200873999999999</v>
      </c>
      <c r="N248" s="211">
        <v>72.858924999999999</v>
      </c>
      <c r="O248" s="211">
        <v>73.550514000000007</v>
      </c>
      <c r="P248" s="211">
        <v>74.262778999999995</v>
      </c>
      <c r="Q248" s="211">
        <v>74.988715999999997</v>
      </c>
      <c r="R248" s="211">
        <v>75.726799</v>
      </c>
      <c r="S248" s="211">
        <v>76.461326999999997</v>
      </c>
      <c r="T248" s="211">
        <v>77.176651000000007</v>
      </c>
      <c r="U248" s="211">
        <v>77.910781999999998</v>
      </c>
      <c r="V248" s="211">
        <v>78.648719999999997</v>
      </c>
      <c r="W248" s="211">
        <v>79.381186999999997</v>
      </c>
      <c r="X248" s="211">
        <v>80.116866999999999</v>
      </c>
      <c r="Y248" s="211">
        <v>80.829612999999995</v>
      </c>
      <c r="Z248" s="211">
        <v>81.53801</v>
      </c>
      <c r="AA248" s="211">
        <v>82.235602999999998</v>
      </c>
      <c r="AB248" s="211">
        <v>82.927436999999998</v>
      </c>
      <c r="AC248" s="211">
        <v>83.602469999999997</v>
      </c>
      <c r="AD248" s="211">
        <v>84.259452999999993</v>
      </c>
      <c r="AE248" s="211">
        <v>84.915665000000004</v>
      </c>
      <c r="AF248" s="212">
        <v>7.2300000000000003E-3</v>
      </c>
      <c r="AG248" s="31"/>
    </row>
    <row r="249" spans="1:33">
      <c r="A249" s="30" t="s">
        <v>313</v>
      </c>
      <c r="B249" s="210" t="s">
        <v>288</v>
      </c>
      <c r="C249" s="211">
        <v>89.569159999999997</v>
      </c>
      <c r="D249" s="211">
        <v>88.941719000000006</v>
      </c>
      <c r="E249" s="211">
        <v>88.894287000000006</v>
      </c>
      <c r="F249" s="211">
        <v>89.236144999999993</v>
      </c>
      <c r="G249" s="211">
        <v>89.800033999999997</v>
      </c>
      <c r="H249" s="211">
        <v>90.115662</v>
      </c>
      <c r="I249" s="211">
        <v>90.499519000000006</v>
      </c>
      <c r="J249" s="211">
        <v>90.917557000000002</v>
      </c>
      <c r="K249" s="211">
        <v>91.391418000000002</v>
      </c>
      <c r="L249" s="211">
        <v>91.932579000000004</v>
      </c>
      <c r="M249" s="211">
        <v>92.548034999999999</v>
      </c>
      <c r="N249" s="211">
        <v>93.305465999999996</v>
      </c>
      <c r="O249" s="211">
        <v>94.161636000000001</v>
      </c>
      <c r="P249" s="211">
        <v>95.085915</v>
      </c>
      <c r="Q249" s="211">
        <v>96.011429000000007</v>
      </c>
      <c r="R249" s="211">
        <v>96.952156000000002</v>
      </c>
      <c r="S249" s="211">
        <v>97.951210000000003</v>
      </c>
      <c r="T249" s="211">
        <v>98.911338999999998</v>
      </c>
      <c r="U249" s="211">
        <v>99.875298000000001</v>
      </c>
      <c r="V249" s="211">
        <v>100.84637499999999</v>
      </c>
      <c r="W249" s="211">
        <v>101.832611</v>
      </c>
      <c r="X249" s="211">
        <v>102.854393</v>
      </c>
      <c r="Y249" s="211">
        <v>103.876465</v>
      </c>
      <c r="Z249" s="211">
        <v>104.88228599999999</v>
      </c>
      <c r="AA249" s="211">
        <v>105.8536</v>
      </c>
      <c r="AB249" s="211">
        <v>106.830742</v>
      </c>
      <c r="AC249" s="211">
        <v>107.797173</v>
      </c>
      <c r="AD249" s="211">
        <v>108.74147000000001</v>
      </c>
      <c r="AE249" s="211">
        <v>109.648453</v>
      </c>
      <c r="AF249" s="212">
        <v>7.2500000000000004E-3</v>
      </c>
      <c r="AG249" s="31"/>
    </row>
    <row r="250" spans="1:33">
      <c r="A250" s="30" t="s">
        <v>314</v>
      </c>
      <c r="B250" s="210" t="s">
        <v>289</v>
      </c>
      <c r="C250" s="211">
        <v>52.032425000000003</v>
      </c>
      <c r="D250" s="211">
        <v>52.165076999999997</v>
      </c>
      <c r="E250" s="211">
        <v>52.290520000000001</v>
      </c>
      <c r="F250" s="211">
        <v>52.522742999999998</v>
      </c>
      <c r="G250" s="211">
        <v>52.811751999999998</v>
      </c>
      <c r="H250" s="211">
        <v>53.117607</v>
      </c>
      <c r="I250" s="211">
        <v>53.433143999999999</v>
      </c>
      <c r="J250" s="211">
        <v>53.777199000000003</v>
      </c>
      <c r="K250" s="211">
        <v>54.147812000000002</v>
      </c>
      <c r="L250" s="211">
        <v>54.540801999999999</v>
      </c>
      <c r="M250" s="211">
        <v>54.928631000000003</v>
      </c>
      <c r="N250" s="211">
        <v>55.329391000000001</v>
      </c>
      <c r="O250" s="211">
        <v>55.719692000000002</v>
      </c>
      <c r="P250" s="211">
        <v>56.119872999999998</v>
      </c>
      <c r="Q250" s="211">
        <v>56.527348000000003</v>
      </c>
      <c r="R250" s="211">
        <v>56.944797999999999</v>
      </c>
      <c r="S250" s="211">
        <v>57.368217000000001</v>
      </c>
      <c r="T250" s="211">
        <v>57.796500999999999</v>
      </c>
      <c r="U250" s="211">
        <v>58.240608000000002</v>
      </c>
      <c r="V250" s="211">
        <v>58.703544999999998</v>
      </c>
      <c r="W250" s="211">
        <v>59.166580000000003</v>
      </c>
      <c r="X250" s="211">
        <v>59.640532999999998</v>
      </c>
      <c r="Y250" s="211">
        <v>60.111350999999999</v>
      </c>
      <c r="Z250" s="211">
        <v>60.590248000000003</v>
      </c>
      <c r="AA250" s="211">
        <v>61.072071000000001</v>
      </c>
      <c r="AB250" s="211">
        <v>61.554789999999997</v>
      </c>
      <c r="AC250" s="211">
        <v>62.04092</v>
      </c>
      <c r="AD250" s="211">
        <v>62.528530000000003</v>
      </c>
      <c r="AE250" s="211">
        <v>63.020488999999998</v>
      </c>
      <c r="AF250" s="212">
        <v>6.8659999999999997E-3</v>
      </c>
      <c r="AG250" s="31"/>
    </row>
    <row r="251" spans="1:33">
      <c r="A251" s="30" t="s">
        <v>315</v>
      </c>
      <c r="B251" s="210" t="s">
        <v>310</v>
      </c>
      <c r="C251" s="211">
        <v>72.717087000000006</v>
      </c>
      <c r="D251" s="211">
        <v>73.091971999999998</v>
      </c>
      <c r="E251" s="211">
        <v>73.492531</v>
      </c>
      <c r="F251" s="211">
        <v>74.018456</v>
      </c>
      <c r="G251" s="211">
        <v>74.683121</v>
      </c>
      <c r="H251" s="211">
        <v>75.131766999999996</v>
      </c>
      <c r="I251" s="211">
        <v>75.592140000000001</v>
      </c>
      <c r="J251" s="211">
        <v>76.024017000000001</v>
      </c>
      <c r="K251" s="211">
        <v>76.492362999999997</v>
      </c>
      <c r="L251" s="211">
        <v>77.014213999999996</v>
      </c>
      <c r="M251" s="211">
        <v>77.600960000000001</v>
      </c>
      <c r="N251" s="211">
        <v>78.266677999999999</v>
      </c>
      <c r="O251" s="211">
        <v>78.981505999999996</v>
      </c>
      <c r="P251" s="211">
        <v>79.730591000000004</v>
      </c>
      <c r="Q251" s="211">
        <v>80.489220000000003</v>
      </c>
      <c r="R251" s="211">
        <v>81.260979000000006</v>
      </c>
      <c r="S251" s="211">
        <v>82.048454000000007</v>
      </c>
      <c r="T251" s="211">
        <v>82.814575000000005</v>
      </c>
      <c r="U251" s="211">
        <v>83.594772000000006</v>
      </c>
      <c r="V251" s="211">
        <v>84.382309000000006</v>
      </c>
      <c r="W251" s="211">
        <v>85.171204000000003</v>
      </c>
      <c r="X251" s="211">
        <v>85.974022000000005</v>
      </c>
      <c r="Y251" s="211">
        <v>86.764037999999999</v>
      </c>
      <c r="Z251" s="211">
        <v>87.549926999999997</v>
      </c>
      <c r="AA251" s="211">
        <v>88.321090999999996</v>
      </c>
      <c r="AB251" s="211">
        <v>89.091155999999998</v>
      </c>
      <c r="AC251" s="211">
        <v>89.849761999999998</v>
      </c>
      <c r="AD251" s="211">
        <v>90.593376000000006</v>
      </c>
      <c r="AE251" s="211">
        <v>91.328147999999999</v>
      </c>
      <c r="AF251" s="212">
        <v>8.1720000000000004E-3</v>
      </c>
      <c r="AG251" s="31"/>
    </row>
    <row r="252" spans="1:33">
      <c r="A252" s="29"/>
      <c r="B252" s="31"/>
      <c r="C252" s="31"/>
      <c r="D252" s="31"/>
      <c r="E252" s="31"/>
      <c r="F252" s="31"/>
      <c r="G252" s="31"/>
      <c r="H252" s="31"/>
      <c r="I252" s="31"/>
      <c r="J252" s="31"/>
      <c r="K252" s="31"/>
      <c r="L252" s="31"/>
      <c r="M252" s="31"/>
      <c r="N252" s="31"/>
      <c r="O252" s="31"/>
      <c r="P252" s="31"/>
      <c r="Q252" s="31"/>
      <c r="R252" s="31"/>
      <c r="S252" s="31"/>
      <c r="T252" s="31"/>
      <c r="U252" s="31"/>
      <c r="V252" s="31"/>
      <c r="W252" s="31"/>
      <c r="X252" s="31"/>
      <c r="Y252" s="31"/>
      <c r="Z252" s="31"/>
      <c r="AA252" s="31"/>
      <c r="AB252" s="31"/>
      <c r="AC252" s="31"/>
      <c r="AD252" s="31"/>
      <c r="AE252" s="31"/>
      <c r="AF252" s="31"/>
      <c r="AG252" s="31"/>
    </row>
    <row r="253" spans="1:33">
      <c r="A253" s="29"/>
      <c r="B253" s="209" t="s">
        <v>154</v>
      </c>
      <c r="C253" s="31"/>
      <c r="D253" s="31"/>
      <c r="E253" s="31"/>
      <c r="F253" s="31"/>
      <c r="G253" s="31"/>
      <c r="H253" s="31"/>
      <c r="I253" s="31"/>
      <c r="J253" s="31"/>
      <c r="K253" s="31"/>
      <c r="L253" s="31"/>
      <c r="M253" s="31"/>
      <c r="N253" s="31"/>
      <c r="O253" s="31"/>
      <c r="P253" s="31"/>
      <c r="Q253" s="31"/>
      <c r="R253" s="31"/>
      <c r="S253" s="31"/>
      <c r="T253" s="31"/>
      <c r="U253" s="31"/>
      <c r="V253" s="31"/>
      <c r="W253" s="31"/>
      <c r="X253" s="31"/>
      <c r="Y253" s="31"/>
      <c r="Z253" s="31"/>
      <c r="AA253" s="31"/>
      <c r="AB253" s="31"/>
      <c r="AC253" s="31"/>
      <c r="AD253" s="31"/>
      <c r="AE253" s="31"/>
      <c r="AF253" s="31"/>
      <c r="AG253" s="31"/>
    </row>
    <row r="254" spans="1:33">
      <c r="A254" s="29"/>
      <c r="B254" s="209" t="s">
        <v>316</v>
      </c>
      <c r="C254" s="31"/>
      <c r="D254" s="31"/>
      <c r="E254" s="31"/>
      <c r="F254" s="31"/>
      <c r="G254" s="31"/>
      <c r="H254" s="31"/>
      <c r="I254" s="31"/>
      <c r="J254" s="31"/>
      <c r="K254" s="31"/>
      <c r="L254" s="31"/>
      <c r="M254" s="31"/>
      <c r="N254" s="31"/>
      <c r="O254" s="31"/>
      <c r="P254" s="31"/>
      <c r="Q254" s="31"/>
      <c r="R254" s="31"/>
      <c r="S254" s="31"/>
      <c r="T254" s="31"/>
      <c r="U254" s="31"/>
      <c r="V254" s="31"/>
      <c r="W254" s="31"/>
      <c r="X254" s="31"/>
      <c r="Y254" s="31"/>
      <c r="Z254" s="31"/>
      <c r="AA254" s="31"/>
      <c r="AB254" s="31"/>
      <c r="AC254" s="31"/>
      <c r="AD254" s="31"/>
      <c r="AE254" s="31"/>
      <c r="AF254" s="31"/>
      <c r="AG254" s="31"/>
    </row>
    <row r="255" spans="1:33">
      <c r="A255" s="30" t="s">
        <v>1016</v>
      </c>
      <c r="B255" s="210" t="s">
        <v>276</v>
      </c>
      <c r="C255" s="219">
        <v>2780.3857419999999</v>
      </c>
      <c r="D255" s="219">
        <v>2985.7573240000002</v>
      </c>
      <c r="E255" s="219">
        <v>3028.8010250000002</v>
      </c>
      <c r="F255" s="219">
        <v>3034.7165530000002</v>
      </c>
      <c r="G255" s="219">
        <v>3073.5104980000001</v>
      </c>
      <c r="H255" s="219">
        <v>3111.8442380000001</v>
      </c>
      <c r="I255" s="219">
        <v>3142.173096</v>
      </c>
      <c r="J255" s="219">
        <v>3164.733154</v>
      </c>
      <c r="K255" s="219">
        <v>3180.5661620000001</v>
      </c>
      <c r="L255" s="219">
        <v>3196.413086</v>
      </c>
      <c r="M255" s="219">
        <v>3221.5686040000001</v>
      </c>
      <c r="N255" s="219">
        <v>3248.0820309999999</v>
      </c>
      <c r="O255" s="219">
        <v>3272.0385740000002</v>
      </c>
      <c r="P255" s="219">
        <v>3300.560547</v>
      </c>
      <c r="Q255" s="219">
        <v>3337.4621579999998</v>
      </c>
      <c r="R255" s="219">
        <v>3381.5327149999998</v>
      </c>
      <c r="S255" s="219">
        <v>3427.8107909999999</v>
      </c>
      <c r="T255" s="219">
        <v>3476.1276859999998</v>
      </c>
      <c r="U255" s="219">
        <v>3532.2836910000001</v>
      </c>
      <c r="V255" s="219">
        <v>3586.0437010000001</v>
      </c>
      <c r="W255" s="219">
        <v>3640.7380370000001</v>
      </c>
      <c r="X255" s="219">
        <v>3696.2653810000002</v>
      </c>
      <c r="Y255" s="219">
        <v>3751.6508789999998</v>
      </c>
      <c r="Z255" s="219">
        <v>3805.5598140000002</v>
      </c>
      <c r="AA255" s="219">
        <v>3858.0747070000002</v>
      </c>
      <c r="AB255" s="219">
        <v>3914.3793949999999</v>
      </c>
      <c r="AC255" s="219">
        <v>3971.2456050000001</v>
      </c>
      <c r="AD255" s="219">
        <v>4027.2922359999998</v>
      </c>
      <c r="AE255" s="219">
        <v>4089.7993160000001</v>
      </c>
      <c r="AF255" s="212">
        <v>1.3878E-2</v>
      </c>
      <c r="AG255" s="31"/>
    </row>
    <row r="256" spans="1:33">
      <c r="A256" s="30" t="s">
        <v>1017</v>
      </c>
      <c r="B256" s="210" t="s">
        <v>277</v>
      </c>
      <c r="C256" s="219">
        <v>208.645813</v>
      </c>
      <c r="D256" s="219">
        <v>244.10438500000001</v>
      </c>
      <c r="E256" s="219">
        <v>267.99700899999999</v>
      </c>
      <c r="F256" s="219">
        <v>281.98382600000002</v>
      </c>
      <c r="G256" s="219">
        <v>293.084045</v>
      </c>
      <c r="H256" s="219">
        <v>302.626373</v>
      </c>
      <c r="I256" s="219">
        <v>306.38412499999998</v>
      </c>
      <c r="J256" s="219">
        <v>310.086792</v>
      </c>
      <c r="K256" s="219">
        <v>313.02474999999998</v>
      </c>
      <c r="L256" s="219">
        <v>316.04913299999998</v>
      </c>
      <c r="M256" s="219">
        <v>319.02706899999998</v>
      </c>
      <c r="N256" s="219">
        <v>321.92867999999999</v>
      </c>
      <c r="O256" s="219">
        <v>324.786743</v>
      </c>
      <c r="P256" s="219">
        <v>327.64398199999999</v>
      </c>
      <c r="Q256" s="219">
        <v>330.28103599999997</v>
      </c>
      <c r="R256" s="219">
        <v>333.12841800000001</v>
      </c>
      <c r="S256" s="219">
        <v>335.69766199999998</v>
      </c>
      <c r="T256" s="219">
        <v>338.28350799999998</v>
      </c>
      <c r="U256" s="219">
        <v>341.16531400000002</v>
      </c>
      <c r="V256" s="219">
        <v>344.240295</v>
      </c>
      <c r="W256" s="219">
        <v>347.39129600000001</v>
      </c>
      <c r="X256" s="219">
        <v>350.55389400000001</v>
      </c>
      <c r="Y256" s="219">
        <v>354.091522</v>
      </c>
      <c r="Z256" s="219">
        <v>357.82122800000002</v>
      </c>
      <c r="AA256" s="219">
        <v>361.58618200000001</v>
      </c>
      <c r="AB256" s="219">
        <v>365.18158</v>
      </c>
      <c r="AC256" s="219">
        <v>368.808899</v>
      </c>
      <c r="AD256" s="219">
        <v>372.51077299999997</v>
      </c>
      <c r="AE256" s="219">
        <v>376.32229599999999</v>
      </c>
      <c r="AF256" s="212">
        <v>2.1288000000000001E-2</v>
      </c>
      <c r="AG256" s="31"/>
    </row>
    <row r="257" spans="1:33">
      <c r="A257" s="30" t="s">
        <v>1018</v>
      </c>
      <c r="B257" s="210" t="s">
        <v>766</v>
      </c>
      <c r="C257" s="219">
        <v>196.934158</v>
      </c>
      <c r="D257" s="219">
        <v>232.30671699999999</v>
      </c>
      <c r="E257" s="219">
        <v>261.84793100000002</v>
      </c>
      <c r="F257" s="219">
        <v>279.79983499999997</v>
      </c>
      <c r="G257" s="219">
        <v>295.92919899999998</v>
      </c>
      <c r="H257" s="219">
        <v>308.29476899999997</v>
      </c>
      <c r="I257" s="219">
        <v>319.13308699999999</v>
      </c>
      <c r="J257" s="219">
        <v>329.26968399999998</v>
      </c>
      <c r="K257" s="219">
        <v>339.56768799999998</v>
      </c>
      <c r="L257" s="219">
        <v>349.96786500000002</v>
      </c>
      <c r="M257" s="219">
        <v>360.54040500000002</v>
      </c>
      <c r="N257" s="219">
        <v>370.84356700000001</v>
      </c>
      <c r="O257" s="219">
        <v>381.30542000000003</v>
      </c>
      <c r="P257" s="219">
        <v>391.86987299999998</v>
      </c>
      <c r="Q257" s="219">
        <v>402.56347699999998</v>
      </c>
      <c r="R257" s="219">
        <v>413.346588</v>
      </c>
      <c r="S257" s="219">
        <v>424.15704299999999</v>
      </c>
      <c r="T257" s="219">
        <v>435.21081500000003</v>
      </c>
      <c r="U257" s="219">
        <v>446.14224200000001</v>
      </c>
      <c r="V257" s="219">
        <v>456.85961900000001</v>
      </c>
      <c r="W257" s="219">
        <v>467.702789</v>
      </c>
      <c r="X257" s="219">
        <v>478.244598</v>
      </c>
      <c r="Y257" s="219">
        <v>489.21554600000002</v>
      </c>
      <c r="Z257" s="219">
        <v>500.09182700000002</v>
      </c>
      <c r="AA257" s="219">
        <v>511.115723</v>
      </c>
      <c r="AB257" s="219">
        <v>522.51269500000001</v>
      </c>
      <c r="AC257" s="219">
        <v>533.62554899999998</v>
      </c>
      <c r="AD257" s="219">
        <v>545.11084000000005</v>
      </c>
      <c r="AE257" s="219">
        <v>557.21997099999999</v>
      </c>
      <c r="AF257" s="212">
        <v>3.7844999999999997E-2</v>
      </c>
      <c r="AG257" s="31"/>
    </row>
    <row r="258" spans="1:33">
      <c r="A258" s="30" t="s">
        <v>1019</v>
      </c>
      <c r="B258" s="210" t="s">
        <v>768</v>
      </c>
      <c r="C258" s="219">
        <v>1851.2802730000001</v>
      </c>
      <c r="D258" s="219">
        <v>2344.2438959999999</v>
      </c>
      <c r="E258" s="219">
        <v>2656.310547</v>
      </c>
      <c r="F258" s="219">
        <v>2786.9978030000002</v>
      </c>
      <c r="G258" s="219">
        <v>2933.4677729999999</v>
      </c>
      <c r="H258" s="219">
        <v>2993.6411130000001</v>
      </c>
      <c r="I258" s="219">
        <v>3048.8796390000002</v>
      </c>
      <c r="J258" s="219">
        <v>3099.0534670000002</v>
      </c>
      <c r="K258" s="219">
        <v>3146.3701169999999</v>
      </c>
      <c r="L258" s="219">
        <v>3191.6606449999999</v>
      </c>
      <c r="M258" s="219">
        <v>3234.966797</v>
      </c>
      <c r="N258" s="219">
        <v>3273.9794919999999</v>
      </c>
      <c r="O258" s="219">
        <v>3309.195068</v>
      </c>
      <c r="P258" s="219">
        <v>3338.8146969999998</v>
      </c>
      <c r="Q258" s="219">
        <v>3370.470703</v>
      </c>
      <c r="R258" s="219">
        <v>3403.8549800000001</v>
      </c>
      <c r="S258" s="219">
        <v>3437.0017090000001</v>
      </c>
      <c r="T258" s="219">
        <v>3473.2641600000002</v>
      </c>
      <c r="U258" s="219">
        <v>3510.6833499999998</v>
      </c>
      <c r="V258" s="219">
        <v>3548.211182</v>
      </c>
      <c r="W258" s="219">
        <v>3585.3435060000002</v>
      </c>
      <c r="X258" s="219">
        <v>3621.6083979999999</v>
      </c>
      <c r="Y258" s="219">
        <v>3658.6279300000001</v>
      </c>
      <c r="Z258" s="219">
        <v>3696.2770999999998</v>
      </c>
      <c r="AA258" s="219">
        <v>3735.7353520000001</v>
      </c>
      <c r="AB258" s="219">
        <v>3775.4865719999998</v>
      </c>
      <c r="AC258" s="219">
        <v>3816.5454100000002</v>
      </c>
      <c r="AD258" s="219">
        <v>3858.6560060000002</v>
      </c>
      <c r="AE258" s="219">
        <v>3900.7966310000002</v>
      </c>
      <c r="AF258" s="212">
        <v>2.6974999999999999E-2</v>
      </c>
      <c r="AG258" s="31"/>
    </row>
    <row r="259" spans="1:33">
      <c r="A259" s="30" t="s">
        <v>1020</v>
      </c>
      <c r="B259" s="210" t="s">
        <v>770</v>
      </c>
      <c r="C259" s="221">
        <v>221.601868</v>
      </c>
      <c r="D259" s="221">
        <v>305.65100100000001</v>
      </c>
      <c r="E259" s="221">
        <v>351.91027800000001</v>
      </c>
      <c r="F259" s="221">
        <v>374.380157</v>
      </c>
      <c r="G259" s="221">
        <v>397.491669</v>
      </c>
      <c r="H259" s="221">
        <v>412.524384</v>
      </c>
      <c r="I259" s="221">
        <v>425.48336799999998</v>
      </c>
      <c r="J259" s="221">
        <v>427.36166400000002</v>
      </c>
      <c r="K259" s="221">
        <v>428.41531400000002</v>
      </c>
      <c r="L259" s="221">
        <v>428.59774800000002</v>
      </c>
      <c r="M259" s="221">
        <v>427.95602400000001</v>
      </c>
      <c r="N259" s="221">
        <v>426.94494600000002</v>
      </c>
      <c r="O259" s="221">
        <v>425.34710699999999</v>
      </c>
      <c r="P259" s="221">
        <v>423.23867799999999</v>
      </c>
      <c r="Q259" s="221">
        <v>420.81689499999999</v>
      </c>
      <c r="R259" s="221">
        <v>417.70291099999997</v>
      </c>
      <c r="S259" s="221">
        <v>414.47122200000001</v>
      </c>
      <c r="T259" s="221">
        <v>411.232483</v>
      </c>
      <c r="U259" s="221">
        <v>407.90484600000002</v>
      </c>
      <c r="V259" s="221">
        <v>404.43249500000002</v>
      </c>
      <c r="W259" s="221">
        <v>400.351135</v>
      </c>
      <c r="X259" s="221">
        <v>396.24203499999999</v>
      </c>
      <c r="Y259" s="221">
        <v>392.20419299999998</v>
      </c>
      <c r="Z259" s="221">
        <v>388.33065800000003</v>
      </c>
      <c r="AA259" s="221">
        <v>384.79718000000003</v>
      </c>
      <c r="AB259" s="221">
        <v>381.531342</v>
      </c>
      <c r="AC259" s="221">
        <v>378.61096199999997</v>
      </c>
      <c r="AD259" s="221">
        <v>376.006012</v>
      </c>
      <c r="AE259" s="221">
        <v>373.66793799999999</v>
      </c>
      <c r="AF259" s="216">
        <v>1.8835000000000001E-2</v>
      </c>
      <c r="AG259" s="31"/>
    </row>
    <row r="260" spans="1:33">
      <c r="A260" s="30" t="s">
        <v>1021</v>
      </c>
      <c r="B260" s="210" t="s">
        <v>772</v>
      </c>
      <c r="C260" s="219">
        <v>168.51355000000001</v>
      </c>
      <c r="D260" s="219">
        <v>237.92446899999999</v>
      </c>
      <c r="E260" s="219">
        <v>289.254547</v>
      </c>
      <c r="F260" s="219">
        <v>320.81323200000003</v>
      </c>
      <c r="G260" s="219">
        <v>346.70153800000003</v>
      </c>
      <c r="H260" s="219">
        <v>364.45755000000003</v>
      </c>
      <c r="I260" s="219">
        <v>380.39138800000001</v>
      </c>
      <c r="J260" s="219">
        <v>389.99795499999999</v>
      </c>
      <c r="K260" s="219">
        <v>399.15072600000002</v>
      </c>
      <c r="L260" s="219">
        <v>408.00769000000003</v>
      </c>
      <c r="M260" s="219">
        <v>416.19485500000002</v>
      </c>
      <c r="N260" s="219">
        <v>423.83029199999999</v>
      </c>
      <c r="O260" s="219">
        <v>430.96533199999999</v>
      </c>
      <c r="P260" s="219">
        <v>437.64898699999998</v>
      </c>
      <c r="Q260" s="219">
        <v>444.06417800000003</v>
      </c>
      <c r="R260" s="219">
        <v>449.59255999999999</v>
      </c>
      <c r="S260" s="219">
        <v>454.55630500000001</v>
      </c>
      <c r="T260" s="219">
        <v>459.60629299999999</v>
      </c>
      <c r="U260" s="219">
        <v>464.62707499999999</v>
      </c>
      <c r="V260" s="219">
        <v>470.443085</v>
      </c>
      <c r="W260" s="219">
        <v>476.091858</v>
      </c>
      <c r="X260" s="219">
        <v>481.87719700000002</v>
      </c>
      <c r="Y260" s="219">
        <v>487.620544</v>
      </c>
      <c r="Z260" s="219">
        <v>493.388824</v>
      </c>
      <c r="AA260" s="219">
        <v>499.60229500000003</v>
      </c>
      <c r="AB260" s="219">
        <v>505.96167000000003</v>
      </c>
      <c r="AC260" s="219">
        <v>512.96533199999999</v>
      </c>
      <c r="AD260" s="219">
        <v>520.19604500000003</v>
      </c>
      <c r="AE260" s="219">
        <v>527.62707499999999</v>
      </c>
      <c r="AF260" s="212">
        <v>4.1605999999999997E-2</v>
      </c>
      <c r="AG260" s="31"/>
    </row>
    <row r="261" spans="1:33">
      <c r="A261" s="30" t="s">
        <v>1022</v>
      </c>
      <c r="B261" s="210" t="s">
        <v>774</v>
      </c>
      <c r="C261" s="219">
        <v>179.126678</v>
      </c>
      <c r="D261" s="219">
        <v>215.03079199999999</v>
      </c>
      <c r="E261" s="219">
        <v>244.060822</v>
      </c>
      <c r="F261" s="219">
        <v>261.45654300000001</v>
      </c>
      <c r="G261" s="219">
        <v>280.28369099999998</v>
      </c>
      <c r="H261" s="219">
        <v>292.36175500000002</v>
      </c>
      <c r="I261" s="219">
        <v>302.99865699999998</v>
      </c>
      <c r="J261" s="219">
        <v>308.74017300000003</v>
      </c>
      <c r="K261" s="219">
        <v>313.805115</v>
      </c>
      <c r="L261" s="219">
        <v>316.84539799999999</v>
      </c>
      <c r="M261" s="219">
        <v>317.10681199999999</v>
      </c>
      <c r="N261" s="219">
        <v>316.64288299999998</v>
      </c>
      <c r="O261" s="219">
        <v>315.78216600000002</v>
      </c>
      <c r="P261" s="219">
        <v>314.73529100000002</v>
      </c>
      <c r="Q261" s="219">
        <v>313.11498999999998</v>
      </c>
      <c r="R261" s="219">
        <v>311.12240600000001</v>
      </c>
      <c r="S261" s="219">
        <v>308.86721799999998</v>
      </c>
      <c r="T261" s="219">
        <v>306.44967700000001</v>
      </c>
      <c r="U261" s="219">
        <v>304.52310199999999</v>
      </c>
      <c r="V261" s="219">
        <v>302.85192899999998</v>
      </c>
      <c r="W261" s="219">
        <v>301.93472300000002</v>
      </c>
      <c r="X261" s="219">
        <v>301.031586</v>
      </c>
      <c r="Y261" s="219">
        <v>299.95602400000001</v>
      </c>
      <c r="Z261" s="219">
        <v>298.817047</v>
      </c>
      <c r="AA261" s="219">
        <v>298.03195199999999</v>
      </c>
      <c r="AB261" s="219">
        <v>296.93994099999998</v>
      </c>
      <c r="AC261" s="219">
        <v>296.07199100000003</v>
      </c>
      <c r="AD261" s="219">
        <v>295.05017099999998</v>
      </c>
      <c r="AE261" s="219">
        <v>294.96356200000002</v>
      </c>
      <c r="AF261" s="212">
        <v>1.7971999999999998E-2</v>
      </c>
      <c r="AG261" s="31"/>
    </row>
    <row r="262" spans="1:33">
      <c r="A262" s="30" t="s">
        <v>1023</v>
      </c>
      <c r="B262" s="210" t="s">
        <v>776</v>
      </c>
      <c r="C262" s="219">
        <v>416.00412</v>
      </c>
      <c r="D262" s="219">
        <v>435.07611100000003</v>
      </c>
      <c r="E262" s="219">
        <v>459.97994999999997</v>
      </c>
      <c r="F262" s="219">
        <v>476.07449300000002</v>
      </c>
      <c r="G262" s="219">
        <v>489.50857500000001</v>
      </c>
      <c r="H262" s="219">
        <v>497.90765399999998</v>
      </c>
      <c r="I262" s="219">
        <v>504.07409699999999</v>
      </c>
      <c r="J262" s="219">
        <v>508.27261399999998</v>
      </c>
      <c r="K262" s="219">
        <v>511.631958</v>
      </c>
      <c r="L262" s="219">
        <v>515.64855999999997</v>
      </c>
      <c r="M262" s="219">
        <v>519.63006600000006</v>
      </c>
      <c r="N262" s="219">
        <v>523.36047399999995</v>
      </c>
      <c r="O262" s="219">
        <v>527.20733600000005</v>
      </c>
      <c r="P262" s="219">
        <v>531.08386199999995</v>
      </c>
      <c r="Q262" s="219">
        <v>534.912598</v>
      </c>
      <c r="R262" s="219">
        <v>538.74658199999999</v>
      </c>
      <c r="S262" s="219">
        <v>542.65185499999995</v>
      </c>
      <c r="T262" s="219">
        <v>546.45281999999997</v>
      </c>
      <c r="U262" s="219">
        <v>549.711365</v>
      </c>
      <c r="V262" s="219">
        <v>553.53753700000004</v>
      </c>
      <c r="W262" s="219">
        <v>557.36541699999998</v>
      </c>
      <c r="X262" s="219">
        <v>561.29571499999997</v>
      </c>
      <c r="Y262" s="219">
        <v>565.61267099999998</v>
      </c>
      <c r="Z262" s="219">
        <v>569.73651099999995</v>
      </c>
      <c r="AA262" s="219">
        <v>573.75341800000001</v>
      </c>
      <c r="AB262" s="219">
        <v>578.07080099999996</v>
      </c>
      <c r="AC262" s="219">
        <v>582.46887200000003</v>
      </c>
      <c r="AD262" s="219">
        <v>586.97009300000002</v>
      </c>
      <c r="AE262" s="219">
        <v>591.20471199999997</v>
      </c>
      <c r="AF262" s="212">
        <v>1.2632000000000001E-2</v>
      </c>
      <c r="AG262" s="31"/>
    </row>
    <row r="263" spans="1:33">
      <c r="A263" s="30" t="s">
        <v>1024</v>
      </c>
      <c r="B263" s="210" t="s">
        <v>778</v>
      </c>
      <c r="C263" s="219">
        <v>73.955650000000006</v>
      </c>
      <c r="D263" s="219">
        <v>95.126662999999994</v>
      </c>
      <c r="E263" s="219">
        <v>115.192429</v>
      </c>
      <c r="F263" s="219">
        <v>129.06636</v>
      </c>
      <c r="G263" s="219">
        <v>140.716995</v>
      </c>
      <c r="H263" s="219">
        <v>147.306015</v>
      </c>
      <c r="I263" s="219">
        <v>152.34046900000001</v>
      </c>
      <c r="J263" s="219">
        <v>156.239395</v>
      </c>
      <c r="K263" s="219">
        <v>159.975357</v>
      </c>
      <c r="L263" s="219">
        <v>163.19773900000001</v>
      </c>
      <c r="M263" s="219">
        <v>165.568085</v>
      </c>
      <c r="N263" s="219">
        <v>167.91790800000001</v>
      </c>
      <c r="O263" s="219">
        <v>170.270218</v>
      </c>
      <c r="P263" s="219">
        <v>172.59960899999999</v>
      </c>
      <c r="Q263" s="219">
        <v>174.98753400000001</v>
      </c>
      <c r="R263" s="219">
        <v>177.488541</v>
      </c>
      <c r="S263" s="219">
        <v>180.11563100000001</v>
      </c>
      <c r="T263" s="219">
        <v>182.86473100000001</v>
      </c>
      <c r="U263" s="219">
        <v>185.54518100000001</v>
      </c>
      <c r="V263" s="219">
        <v>188.11949200000001</v>
      </c>
      <c r="W263" s="219">
        <v>190.94824199999999</v>
      </c>
      <c r="X263" s="219">
        <v>193.95942700000001</v>
      </c>
      <c r="Y263" s="219">
        <v>197.024719</v>
      </c>
      <c r="Z263" s="219">
        <v>200.15832499999999</v>
      </c>
      <c r="AA263" s="219">
        <v>203.33165</v>
      </c>
      <c r="AB263" s="219">
        <v>206.593491</v>
      </c>
      <c r="AC263" s="219">
        <v>209.972916</v>
      </c>
      <c r="AD263" s="219">
        <v>213.53128100000001</v>
      </c>
      <c r="AE263" s="219">
        <v>217.14962800000001</v>
      </c>
      <c r="AF263" s="212">
        <v>3.9218000000000003E-2</v>
      </c>
      <c r="AG263" s="31"/>
    </row>
    <row r="264" spans="1:33">
      <c r="A264" s="30" t="s">
        <v>1025</v>
      </c>
      <c r="B264" s="210" t="s">
        <v>279</v>
      </c>
      <c r="C264" s="219">
        <v>1451.1182859999999</v>
      </c>
      <c r="D264" s="219">
        <v>1448.4776609999999</v>
      </c>
      <c r="E264" s="219">
        <v>1460.338379</v>
      </c>
      <c r="F264" s="219">
        <v>1552.7242429999999</v>
      </c>
      <c r="G264" s="219">
        <v>1648.0225829999999</v>
      </c>
      <c r="H264" s="219">
        <v>1734.6660159999999</v>
      </c>
      <c r="I264" s="219">
        <v>1815.9964600000001</v>
      </c>
      <c r="J264" s="219">
        <v>1896.059448</v>
      </c>
      <c r="K264" s="219">
        <v>1974.168091</v>
      </c>
      <c r="L264" s="219">
        <v>2049.9370119999999</v>
      </c>
      <c r="M264" s="219">
        <v>2125.3466800000001</v>
      </c>
      <c r="N264" s="219">
        <v>2198.2224120000001</v>
      </c>
      <c r="O264" s="219">
        <v>2269.7983399999998</v>
      </c>
      <c r="P264" s="219">
        <v>2340.0966800000001</v>
      </c>
      <c r="Q264" s="219">
        <v>2409.6188959999999</v>
      </c>
      <c r="R264" s="219">
        <v>2477.8977049999999</v>
      </c>
      <c r="S264" s="219">
        <v>2545.1379390000002</v>
      </c>
      <c r="T264" s="219">
        <v>2612.1066890000002</v>
      </c>
      <c r="U264" s="219">
        <v>2678.4179690000001</v>
      </c>
      <c r="V264" s="219">
        <v>2744.9497070000002</v>
      </c>
      <c r="W264" s="219">
        <v>2813.2739259999998</v>
      </c>
      <c r="X264" s="219">
        <v>2881.1601559999999</v>
      </c>
      <c r="Y264" s="219">
        <v>2947.9079590000001</v>
      </c>
      <c r="Z264" s="219">
        <v>3013.438721</v>
      </c>
      <c r="AA264" s="219">
        <v>3077.5346679999998</v>
      </c>
      <c r="AB264" s="219">
        <v>3140.7070309999999</v>
      </c>
      <c r="AC264" s="219">
        <v>3203.1733399999998</v>
      </c>
      <c r="AD264" s="219">
        <v>3264.3950199999999</v>
      </c>
      <c r="AE264" s="219">
        <v>3322.8706050000001</v>
      </c>
      <c r="AF264" s="212">
        <v>3.0030999999999999E-2</v>
      </c>
      <c r="AG264" s="31"/>
    </row>
    <row r="265" spans="1:33">
      <c r="A265" s="30" t="s">
        <v>1026</v>
      </c>
      <c r="B265" s="210" t="s">
        <v>781</v>
      </c>
      <c r="C265" s="219">
        <v>208.97879</v>
      </c>
      <c r="D265" s="219">
        <v>254.292068</v>
      </c>
      <c r="E265" s="219">
        <v>286.61102299999999</v>
      </c>
      <c r="F265" s="219">
        <v>309.37872299999998</v>
      </c>
      <c r="G265" s="219">
        <v>342.33682299999998</v>
      </c>
      <c r="H265" s="219">
        <v>370.96890300000001</v>
      </c>
      <c r="I265" s="219">
        <v>398.87280299999998</v>
      </c>
      <c r="J265" s="219">
        <v>428.155731</v>
      </c>
      <c r="K265" s="219">
        <v>457.75784299999998</v>
      </c>
      <c r="L265" s="219">
        <v>487.02401700000001</v>
      </c>
      <c r="M265" s="219">
        <v>515.97143600000004</v>
      </c>
      <c r="N265" s="219">
        <v>544.28241000000003</v>
      </c>
      <c r="O265" s="219">
        <v>571.83215299999995</v>
      </c>
      <c r="P265" s="219">
        <v>598.52832000000001</v>
      </c>
      <c r="Q265" s="219">
        <v>624.42962599999998</v>
      </c>
      <c r="R265" s="219">
        <v>650.14923099999999</v>
      </c>
      <c r="S265" s="219">
        <v>675.95190400000001</v>
      </c>
      <c r="T265" s="219">
        <v>702.09271200000001</v>
      </c>
      <c r="U265" s="219">
        <v>728.36053500000003</v>
      </c>
      <c r="V265" s="219">
        <v>754.63989300000003</v>
      </c>
      <c r="W265" s="219">
        <v>780.98950200000002</v>
      </c>
      <c r="X265" s="219">
        <v>807.26147500000002</v>
      </c>
      <c r="Y265" s="219">
        <v>833.47289999999998</v>
      </c>
      <c r="Z265" s="219">
        <v>859.46899399999995</v>
      </c>
      <c r="AA265" s="219">
        <v>885.26336700000002</v>
      </c>
      <c r="AB265" s="219">
        <v>910.78649900000005</v>
      </c>
      <c r="AC265" s="219">
        <v>935.97699</v>
      </c>
      <c r="AD265" s="219">
        <v>960.82641599999999</v>
      </c>
      <c r="AE265" s="219">
        <v>985.28186000000005</v>
      </c>
      <c r="AF265" s="212">
        <v>5.6944000000000002E-2</v>
      </c>
      <c r="AG265" s="31"/>
    </row>
    <row r="266" spans="1:33">
      <c r="A266" s="30" t="s">
        <v>1027</v>
      </c>
      <c r="B266" s="210" t="s">
        <v>783</v>
      </c>
      <c r="C266" s="219">
        <v>867.03515600000003</v>
      </c>
      <c r="D266" s="219">
        <v>1072.595703</v>
      </c>
      <c r="E266" s="219">
        <v>1236.2861330000001</v>
      </c>
      <c r="F266" s="219">
        <v>1338.03772</v>
      </c>
      <c r="G266" s="219">
        <v>1461.0483400000001</v>
      </c>
      <c r="H266" s="219">
        <v>1545.8792719999999</v>
      </c>
      <c r="I266" s="219">
        <v>1622.678467</v>
      </c>
      <c r="J266" s="219">
        <v>1683.805298</v>
      </c>
      <c r="K266" s="219">
        <v>1743.7689210000001</v>
      </c>
      <c r="L266" s="219">
        <v>1802.757202</v>
      </c>
      <c r="M266" s="219">
        <v>1861.040039</v>
      </c>
      <c r="N266" s="219">
        <v>1918.223389</v>
      </c>
      <c r="O266" s="219">
        <v>1974.3983149999999</v>
      </c>
      <c r="P266" s="219">
        <v>2029.987183</v>
      </c>
      <c r="Q266" s="219">
        <v>2083.4384770000001</v>
      </c>
      <c r="R266" s="219">
        <v>2137.2441410000001</v>
      </c>
      <c r="S266" s="219">
        <v>2190.7312010000001</v>
      </c>
      <c r="T266" s="219">
        <v>2245.4086910000001</v>
      </c>
      <c r="U266" s="219">
        <v>2301.0671390000002</v>
      </c>
      <c r="V266" s="219">
        <v>2356.5280760000001</v>
      </c>
      <c r="W266" s="219">
        <v>2412.4572750000002</v>
      </c>
      <c r="X266" s="219">
        <v>2468.8115229999999</v>
      </c>
      <c r="Y266" s="219">
        <v>2525.983154</v>
      </c>
      <c r="Z266" s="219">
        <v>2583.9116210000002</v>
      </c>
      <c r="AA266" s="219">
        <v>2641.3608399999998</v>
      </c>
      <c r="AB266" s="219">
        <v>2699.47876</v>
      </c>
      <c r="AC266" s="219">
        <v>2758.8125</v>
      </c>
      <c r="AD266" s="219">
        <v>2819.6669919999999</v>
      </c>
      <c r="AE266" s="219">
        <v>2881.930664</v>
      </c>
      <c r="AF266" s="212">
        <v>4.3831000000000002E-2</v>
      </c>
      <c r="AG266" s="31"/>
    </row>
    <row r="267" spans="1:33">
      <c r="A267" s="30" t="s">
        <v>1028</v>
      </c>
      <c r="B267" s="210" t="s">
        <v>785</v>
      </c>
      <c r="C267" s="219">
        <v>346.51025399999997</v>
      </c>
      <c r="D267" s="219">
        <v>460.98516799999999</v>
      </c>
      <c r="E267" s="219">
        <v>586.89025900000001</v>
      </c>
      <c r="F267" s="219">
        <v>680.533997</v>
      </c>
      <c r="G267" s="219">
        <v>748.53832999999997</v>
      </c>
      <c r="H267" s="219">
        <v>794.39892599999996</v>
      </c>
      <c r="I267" s="219">
        <v>837.76019299999996</v>
      </c>
      <c r="J267" s="219">
        <v>872.31732199999999</v>
      </c>
      <c r="K267" s="219">
        <v>907.20416299999999</v>
      </c>
      <c r="L267" s="219">
        <v>941.03716999999995</v>
      </c>
      <c r="M267" s="219">
        <v>973.77050799999995</v>
      </c>
      <c r="N267" s="219">
        <v>1006.571594</v>
      </c>
      <c r="O267" s="219">
        <v>1039.2143550000001</v>
      </c>
      <c r="P267" s="219">
        <v>1072.2879640000001</v>
      </c>
      <c r="Q267" s="219">
        <v>1105.6850589999999</v>
      </c>
      <c r="R267" s="219">
        <v>1138.0900879999999</v>
      </c>
      <c r="S267" s="219">
        <v>1171.398682</v>
      </c>
      <c r="T267" s="219">
        <v>1205.82251</v>
      </c>
      <c r="U267" s="219">
        <v>1241.3045649999999</v>
      </c>
      <c r="V267" s="219">
        <v>1277.2060550000001</v>
      </c>
      <c r="W267" s="219">
        <v>1314.159668</v>
      </c>
      <c r="X267" s="219">
        <v>1352.1051030000001</v>
      </c>
      <c r="Y267" s="219">
        <v>1390.8477780000001</v>
      </c>
      <c r="Z267" s="219">
        <v>1431.080322</v>
      </c>
      <c r="AA267" s="219">
        <v>1472.3236079999999</v>
      </c>
      <c r="AB267" s="219">
        <v>1514.3946530000001</v>
      </c>
      <c r="AC267" s="219">
        <v>1557.846436</v>
      </c>
      <c r="AD267" s="219">
        <v>1603.0229489999999</v>
      </c>
      <c r="AE267" s="219">
        <v>1649.9516599999999</v>
      </c>
      <c r="AF267" s="212">
        <v>5.7318000000000001E-2</v>
      </c>
      <c r="AG267" s="31"/>
    </row>
    <row r="268" spans="1:33">
      <c r="A268" s="30" t="s">
        <v>1029</v>
      </c>
      <c r="B268" s="210" t="s">
        <v>278</v>
      </c>
      <c r="C268" s="219">
        <v>238.01660200000001</v>
      </c>
      <c r="D268" s="219">
        <v>292.01559400000002</v>
      </c>
      <c r="E268" s="219">
        <v>342.62622099999999</v>
      </c>
      <c r="F268" s="219">
        <v>371.09878500000002</v>
      </c>
      <c r="G268" s="219">
        <v>397.24188199999998</v>
      </c>
      <c r="H268" s="219">
        <v>415.29754600000001</v>
      </c>
      <c r="I268" s="219">
        <v>430.12527499999999</v>
      </c>
      <c r="J268" s="219">
        <v>445.471924</v>
      </c>
      <c r="K268" s="219">
        <v>461.20977800000003</v>
      </c>
      <c r="L268" s="219">
        <v>477.47970600000002</v>
      </c>
      <c r="M268" s="219">
        <v>493.92965700000002</v>
      </c>
      <c r="N268" s="219">
        <v>509.80444299999999</v>
      </c>
      <c r="O268" s="219">
        <v>525.89868200000001</v>
      </c>
      <c r="P268" s="219">
        <v>542.28320299999996</v>
      </c>
      <c r="Q268" s="219">
        <v>559.28747599999997</v>
      </c>
      <c r="R268" s="219">
        <v>576.76782200000002</v>
      </c>
      <c r="S268" s="219">
        <v>594.41863999999998</v>
      </c>
      <c r="T268" s="219">
        <v>611.94549600000005</v>
      </c>
      <c r="U268" s="219">
        <v>629.67645300000004</v>
      </c>
      <c r="V268" s="219">
        <v>648.33166500000004</v>
      </c>
      <c r="W268" s="219">
        <v>667.59130900000002</v>
      </c>
      <c r="X268" s="219">
        <v>686.76452600000005</v>
      </c>
      <c r="Y268" s="219">
        <v>705.953125</v>
      </c>
      <c r="Z268" s="219">
        <v>725.06225600000005</v>
      </c>
      <c r="AA268" s="219">
        <v>745.34143100000006</v>
      </c>
      <c r="AB268" s="219">
        <v>766.22436500000003</v>
      </c>
      <c r="AC268" s="219">
        <v>786.81048599999997</v>
      </c>
      <c r="AD268" s="219">
        <v>807.81488000000002</v>
      </c>
      <c r="AE268" s="219">
        <v>829.29736300000002</v>
      </c>
      <c r="AF268" s="212">
        <v>4.5588999999999998E-2</v>
      </c>
      <c r="AG268" s="31"/>
    </row>
    <row r="269" spans="1:33">
      <c r="A269" s="30" t="s">
        <v>1030</v>
      </c>
      <c r="B269" s="210" t="s">
        <v>788</v>
      </c>
      <c r="C269" s="219">
        <v>177.623413</v>
      </c>
      <c r="D269" s="219">
        <v>195.50058000000001</v>
      </c>
      <c r="E269" s="219">
        <v>207.707291</v>
      </c>
      <c r="F269" s="219">
        <v>217.55487099999999</v>
      </c>
      <c r="G269" s="219">
        <v>226.44786099999999</v>
      </c>
      <c r="H269" s="219">
        <v>232.75968900000001</v>
      </c>
      <c r="I269" s="219">
        <v>237.95294200000001</v>
      </c>
      <c r="J269" s="219">
        <v>242.19709800000001</v>
      </c>
      <c r="K269" s="219">
        <v>245.968491</v>
      </c>
      <c r="L269" s="219">
        <v>248.83398399999999</v>
      </c>
      <c r="M269" s="219">
        <v>251.384018</v>
      </c>
      <c r="N269" s="219">
        <v>253.604691</v>
      </c>
      <c r="O269" s="219">
        <v>255.25396699999999</v>
      </c>
      <c r="P269" s="219">
        <v>256.37383999999997</v>
      </c>
      <c r="Q269" s="219">
        <v>256.94958500000001</v>
      </c>
      <c r="R269" s="219">
        <v>257.154877</v>
      </c>
      <c r="S269" s="219">
        <v>257.03921500000001</v>
      </c>
      <c r="T269" s="219">
        <v>257.08990499999999</v>
      </c>
      <c r="U269" s="219">
        <v>256.81127900000001</v>
      </c>
      <c r="V269" s="219">
        <v>256.21752900000001</v>
      </c>
      <c r="W269" s="219">
        <v>255.38690199999999</v>
      </c>
      <c r="X269" s="219">
        <v>254.49252300000001</v>
      </c>
      <c r="Y269" s="219">
        <v>253.54028299999999</v>
      </c>
      <c r="Z269" s="219">
        <v>252.629974</v>
      </c>
      <c r="AA269" s="219">
        <v>251.59161399999999</v>
      </c>
      <c r="AB269" s="219">
        <v>250.509827</v>
      </c>
      <c r="AC269" s="219">
        <v>249.387283</v>
      </c>
      <c r="AD269" s="219">
        <v>248.32836900000001</v>
      </c>
      <c r="AE269" s="219">
        <v>247.25846899999999</v>
      </c>
      <c r="AF269" s="212">
        <v>1.1882999999999999E-2</v>
      </c>
      <c r="AG269" s="31"/>
    </row>
    <row r="270" spans="1:33">
      <c r="A270" s="30" t="s">
        <v>1031</v>
      </c>
      <c r="B270" s="210" t="s">
        <v>790</v>
      </c>
      <c r="C270" s="219">
        <v>150.97995</v>
      </c>
      <c r="D270" s="219">
        <v>189.41577100000001</v>
      </c>
      <c r="E270" s="219">
        <v>218.397324</v>
      </c>
      <c r="F270" s="219">
        <v>236.57075499999999</v>
      </c>
      <c r="G270" s="219">
        <v>251.664703</v>
      </c>
      <c r="H270" s="219">
        <v>261.595215</v>
      </c>
      <c r="I270" s="219">
        <v>269.52786300000002</v>
      </c>
      <c r="J270" s="219">
        <v>276.52914399999997</v>
      </c>
      <c r="K270" s="219">
        <v>283.311218</v>
      </c>
      <c r="L270" s="219">
        <v>289.19650300000001</v>
      </c>
      <c r="M270" s="219">
        <v>295.22125199999999</v>
      </c>
      <c r="N270" s="219">
        <v>301.240814</v>
      </c>
      <c r="O270" s="219">
        <v>307.54827899999998</v>
      </c>
      <c r="P270" s="219">
        <v>314.18032799999997</v>
      </c>
      <c r="Q270" s="219">
        <v>320.89300500000002</v>
      </c>
      <c r="R270" s="219">
        <v>328.12811299999998</v>
      </c>
      <c r="S270" s="219">
        <v>335.20141599999999</v>
      </c>
      <c r="T270" s="219">
        <v>342.67227200000002</v>
      </c>
      <c r="U270" s="219">
        <v>350.03781099999998</v>
      </c>
      <c r="V270" s="219">
        <v>357.897919</v>
      </c>
      <c r="W270" s="219">
        <v>365.842804</v>
      </c>
      <c r="X270" s="219">
        <v>373.88610799999998</v>
      </c>
      <c r="Y270" s="219">
        <v>382.03723100000002</v>
      </c>
      <c r="Z270" s="219">
        <v>389.91238399999997</v>
      </c>
      <c r="AA270" s="219">
        <v>398.19494600000002</v>
      </c>
      <c r="AB270" s="219">
        <v>406.56213400000001</v>
      </c>
      <c r="AC270" s="219">
        <v>415.03152499999999</v>
      </c>
      <c r="AD270" s="219">
        <v>423.346497</v>
      </c>
      <c r="AE270" s="219">
        <v>431.970215</v>
      </c>
      <c r="AF270" s="212">
        <v>3.8256999999999999E-2</v>
      </c>
      <c r="AG270" s="31"/>
    </row>
    <row r="271" spans="1:33">
      <c r="A271" s="30" t="s">
        <v>317</v>
      </c>
      <c r="B271" s="210" t="s">
        <v>285</v>
      </c>
      <c r="C271" s="219">
        <v>9536.7089840000008</v>
      </c>
      <c r="D271" s="219">
        <v>11008.503906</v>
      </c>
      <c r="E271" s="219">
        <v>12014.211914</v>
      </c>
      <c r="F271" s="219">
        <v>12651.188477</v>
      </c>
      <c r="G271" s="219">
        <v>13325.995117</v>
      </c>
      <c r="H271" s="219">
        <v>13786.527344</v>
      </c>
      <c r="I271" s="219">
        <v>14194.772461</v>
      </c>
      <c r="J271" s="219">
        <v>14538.291015999999</v>
      </c>
      <c r="K271" s="219">
        <v>14865.896484000001</v>
      </c>
      <c r="L271" s="219">
        <v>15182.652344</v>
      </c>
      <c r="M271" s="219">
        <v>15499.222656</v>
      </c>
      <c r="N271" s="219">
        <v>15805.480469</v>
      </c>
      <c r="O271" s="219">
        <v>16100.840819999999</v>
      </c>
      <c r="P271" s="219">
        <v>16391.933593999998</v>
      </c>
      <c r="Q271" s="219">
        <v>16688.974609000001</v>
      </c>
      <c r="R271" s="219">
        <v>16991.947265999999</v>
      </c>
      <c r="S271" s="219">
        <v>17295.207031000002</v>
      </c>
      <c r="T271" s="219">
        <v>17606.628906000002</v>
      </c>
      <c r="U271" s="219">
        <v>17928.259765999999</v>
      </c>
      <c r="V271" s="219">
        <v>18250.509765999999</v>
      </c>
      <c r="W271" s="219">
        <v>18577.568359000001</v>
      </c>
      <c r="X271" s="219">
        <v>18905.558593999998</v>
      </c>
      <c r="Y271" s="219">
        <v>19235.746093999998</v>
      </c>
      <c r="Z271" s="219">
        <v>19565.685547000001</v>
      </c>
      <c r="AA271" s="219">
        <v>19897.642577999999</v>
      </c>
      <c r="AB271" s="219">
        <v>20235.322265999999</v>
      </c>
      <c r="AC271" s="219">
        <v>20577.353515999999</v>
      </c>
      <c r="AD271" s="219">
        <v>20922.722656000002</v>
      </c>
      <c r="AE271" s="219">
        <v>21277.3125</v>
      </c>
      <c r="AF271" s="212">
        <v>2.9075E-2</v>
      </c>
      <c r="AG271" s="31"/>
    </row>
    <row r="272" spans="1:33">
      <c r="A272" s="30" t="s">
        <v>318</v>
      </c>
      <c r="B272" s="210" t="s">
        <v>319</v>
      </c>
      <c r="C272" s="219">
        <v>22.421617999999999</v>
      </c>
      <c r="D272" s="219">
        <v>22.410634999999999</v>
      </c>
      <c r="E272" s="219">
        <v>22.401547999999998</v>
      </c>
      <c r="F272" s="219">
        <v>22.394031999999999</v>
      </c>
      <c r="G272" s="219">
        <v>22.387812</v>
      </c>
      <c r="H272" s="219">
        <v>22.382666</v>
      </c>
      <c r="I272" s="219">
        <v>22.378406999999999</v>
      </c>
      <c r="J272" s="219">
        <v>22.374884000000002</v>
      </c>
      <c r="K272" s="219">
        <v>22.371969</v>
      </c>
      <c r="L272" s="219">
        <v>22.369558000000001</v>
      </c>
      <c r="M272" s="219">
        <v>22.367563000000001</v>
      </c>
      <c r="N272" s="219">
        <v>22.365911000000001</v>
      </c>
      <c r="O272" s="219">
        <v>22.364546000000001</v>
      </c>
      <c r="P272" s="219">
        <v>22.363416999999998</v>
      </c>
      <c r="Q272" s="219">
        <v>22.362480000000001</v>
      </c>
      <c r="R272" s="219">
        <v>22.361708</v>
      </c>
      <c r="S272" s="219">
        <v>22.361066999999998</v>
      </c>
      <c r="T272" s="219">
        <v>22.360537999999998</v>
      </c>
      <c r="U272" s="219">
        <v>22.360099999999999</v>
      </c>
      <c r="V272" s="219">
        <v>22.359736999999999</v>
      </c>
      <c r="W272" s="219">
        <v>22.359438000000001</v>
      </c>
      <c r="X272" s="219">
        <v>22.359190000000002</v>
      </c>
      <c r="Y272" s="219">
        <v>22.358984</v>
      </c>
      <c r="Z272" s="219">
        <v>22.358813999999999</v>
      </c>
      <c r="AA272" s="219">
        <v>22.358673</v>
      </c>
      <c r="AB272" s="219">
        <v>22.358557000000001</v>
      </c>
      <c r="AC272" s="219">
        <v>22.358460999999998</v>
      </c>
      <c r="AD272" s="219">
        <v>22.358381000000001</v>
      </c>
      <c r="AE272" s="219">
        <v>22.358315000000001</v>
      </c>
      <c r="AF272" s="212">
        <v>-1.01E-4</v>
      </c>
      <c r="AG272" s="31"/>
    </row>
    <row r="273" spans="1:34">
      <c r="A273" s="30" t="s">
        <v>320</v>
      </c>
      <c r="B273" s="210" t="s">
        <v>321</v>
      </c>
      <c r="C273" s="219">
        <v>334.448914</v>
      </c>
      <c r="D273" s="219">
        <v>336.233856</v>
      </c>
      <c r="E273" s="219">
        <v>336.88305700000001</v>
      </c>
      <c r="F273" s="219">
        <v>337.39593500000001</v>
      </c>
      <c r="G273" s="219">
        <v>337.81005900000002</v>
      </c>
      <c r="H273" s="219">
        <v>338.41980000000001</v>
      </c>
      <c r="I273" s="219">
        <v>338.85339399999998</v>
      </c>
      <c r="J273" s="219">
        <v>339.19924900000001</v>
      </c>
      <c r="K273" s="219">
        <v>339.49490400000002</v>
      </c>
      <c r="L273" s="219">
        <v>339.68457000000001</v>
      </c>
      <c r="M273" s="219">
        <v>339.81463600000001</v>
      </c>
      <c r="N273" s="219">
        <v>339.87893700000001</v>
      </c>
      <c r="O273" s="219">
        <v>339.90338100000002</v>
      </c>
      <c r="P273" s="219">
        <v>339.91986100000003</v>
      </c>
      <c r="Q273" s="219">
        <v>340.01638800000001</v>
      </c>
      <c r="R273" s="219">
        <v>340.170929</v>
      </c>
      <c r="S273" s="219">
        <v>340.33325200000002</v>
      </c>
      <c r="T273" s="219">
        <v>340.50292999999999</v>
      </c>
      <c r="U273" s="219">
        <v>340.67941300000001</v>
      </c>
      <c r="V273" s="219">
        <v>340.86196899999999</v>
      </c>
      <c r="W273" s="219">
        <v>341.050049</v>
      </c>
      <c r="X273" s="219">
        <v>341.24316399999998</v>
      </c>
      <c r="Y273" s="219">
        <v>341.44085699999999</v>
      </c>
      <c r="Z273" s="219">
        <v>341.64276100000001</v>
      </c>
      <c r="AA273" s="219">
        <v>341.84848</v>
      </c>
      <c r="AB273" s="219">
        <v>342.05758700000001</v>
      </c>
      <c r="AC273" s="219">
        <v>342.269836</v>
      </c>
      <c r="AD273" s="219">
        <v>342.48501599999997</v>
      </c>
      <c r="AE273" s="219">
        <v>342.70288099999999</v>
      </c>
      <c r="AF273" s="212">
        <v>8.7100000000000003E-4</v>
      </c>
      <c r="AG273" s="31"/>
      <c r="AH273" s="29"/>
    </row>
    <row r="274" spans="1:34" ht="15.5" thickBot="1">
      <c r="A274" s="29"/>
      <c r="B274" s="31"/>
      <c r="C274" s="31"/>
      <c r="D274" s="31"/>
      <c r="E274" s="31"/>
      <c r="F274" s="31"/>
      <c r="G274" s="31"/>
      <c r="H274" s="31"/>
      <c r="I274" s="31"/>
      <c r="J274" s="31"/>
      <c r="K274" s="31"/>
      <c r="L274" s="31"/>
      <c r="M274" s="31"/>
      <c r="N274" s="31"/>
      <c r="O274" s="31"/>
      <c r="P274" s="31"/>
      <c r="Q274" s="31"/>
      <c r="R274" s="31"/>
      <c r="S274" s="31"/>
      <c r="T274" s="31"/>
      <c r="U274" s="31"/>
      <c r="V274" s="31"/>
      <c r="W274" s="31"/>
      <c r="X274" s="31"/>
      <c r="Y274" s="31"/>
      <c r="Z274" s="31"/>
      <c r="AA274" s="31"/>
      <c r="AB274" s="31"/>
      <c r="AC274" s="31"/>
      <c r="AD274" s="31"/>
      <c r="AE274" s="31"/>
      <c r="AF274" s="31"/>
      <c r="AG274" s="31"/>
      <c r="AH274" s="29"/>
    </row>
    <row r="275" spans="1:34" ht="15" customHeight="1">
      <c r="A275" s="29"/>
      <c r="B275" s="220" t="s">
        <v>1032</v>
      </c>
      <c r="C275" s="32"/>
      <c r="D275" s="32"/>
      <c r="E275" s="32"/>
      <c r="F275" s="32"/>
      <c r="G275" s="32"/>
      <c r="H275" s="32"/>
      <c r="I275" s="32"/>
      <c r="J275" s="32"/>
      <c r="K275" s="32"/>
      <c r="L275" s="32"/>
      <c r="M275" s="32"/>
      <c r="N275" s="32"/>
      <c r="O275" s="32"/>
      <c r="P275" s="32"/>
      <c r="Q275" s="32"/>
      <c r="R275" s="32"/>
      <c r="S275" s="32"/>
      <c r="T275" s="32"/>
      <c r="U275" s="32"/>
      <c r="V275" s="32"/>
      <c r="W275" s="32"/>
      <c r="X275" s="32"/>
      <c r="Y275" s="32"/>
      <c r="Z275" s="32"/>
      <c r="AA275" s="32"/>
      <c r="AB275" s="32"/>
      <c r="AC275" s="32"/>
      <c r="AD275" s="32"/>
      <c r="AE275" s="32"/>
      <c r="AF275" s="32"/>
      <c r="AG275" s="32"/>
      <c r="AH275" s="32"/>
    </row>
    <row r="276" spans="1:34">
      <c r="A276" s="29"/>
      <c r="B276" s="31" t="s">
        <v>1033</v>
      </c>
      <c r="C276" s="31"/>
      <c r="D276" s="31"/>
      <c r="E276" s="31"/>
      <c r="F276" s="31"/>
      <c r="G276" s="31"/>
      <c r="H276" s="31"/>
      <c r="I276" s="31"/>
      <c r="J276" s="31"/>
      <c r="K276" s="31"/>
      <c r="L276" s="31"/>
      <c r="M276" s="31"/>
      <c r="N276" s="31"/>
      <c r="O276" s="31"/>
      <c r="P276" s="31"/>
      <c r="Q276" s="31"/>
      <c r="R276" s="31"/>
      <c r="S276" s="31"/>
      <c r="T276" s="31"/>
      <c r="U276" s="31"/>
      <c r="V276" s="31"/>
      <c r="W276" s="31"/>
      <c r="X276" s="31"/>
      <c r="Y276" s="31"/>
      <c r="Z276" s="31"/>
      <c r="AA276" s="31"/>
      <c r="AB276" s="31"/>
      <c r="AC276" s="31"/>
      <c r="AD276" s="31"/>
      <c r="AE276" s="31"/>
      <c r="AF276" s="31"/>
      <c r="AG276" s="31"/>
      <c r="AH276" s="29"/>
    </row>
    <row r="277" spans="1:34">
      <c r="A277" s="29"/>
      <c r="B277" s="31" t="s">
        <v>1034</v>
      </c>
      <c r="C277" s="31"/>
      <c r="D277" s="31"/>
      <c r="E277" s="31"/>
      <c r="F277" s="31"/>
      <c r="G277" s="31"/>
      <c r="H277" s="31"/>
      <c r="I277" s="31"/>
      <c r="J277" s="31"/>
      <c r="K277" s="31"/>
      <c r="L277" s="31"/>
      <c r="M277" s="31"/>
      <c r="N277" s="31"/>
      <c r="O277" s="31"/>
      <c r="P277" s="31"/>
      <c r="Q277" s="31"/>
      <c r="R277" s="31"/>
      <c r="S277" s="31"/>
      <c r="T277" s="31"/>
      <c r="U277" s="31"/>
      <c r="V277" s="31"/>
      <c r="W277" s="31"/>
      <c r="X277" s="31"/>
      <c r="Y277" s="31"/>
      <c r="Z277" s="31"/>
      <c r="AA277" s="31"/>
      <c r="AB277" s="31"/>
      <c r="AC277" s="31"/>
      <c r="AD277" s="31"/>
      <c r="AE277" s="31"/>
      <c r="AF277" s="31"/>
      <c r="AG277" s="31"/>
      <c r="AH277" s="29"/>
    </row>
    <row r="278" spans="1:34">
      <c r="A278" s="29"/>
      <c r="B278" s="31" t="s">
        <v>411</v>
      </c>
      <c r="C278" s="31"/>
      <c r="D278" s="31"/>
      <c r="E278" s="31"/>
      <c r="F278" s="31"/>
      <c r="G278" s="31"/>
      <c r="H278" s="31"/>
      <c r="I278" s="31"/>
      <c r="J278" s="31"/>
      <c r="K278" s="31"/>
      <c r="L278" s="31"/>
      <c r="M278" s="31"/>
      <c r="N278" s="31"/>
      <c r="O278" s="31"/>
      <c r="P278" s="31"/>
      <c r="Q278" s="31"/>
      <c r="R278" s="31"/>
      <c r="S278" s="31"/>
      <c r="T278" s="31"/>
      <c r="U278" s="31"/>
      <c r="V278" s="31"/>
      <c r="W278" s="31"/>
      <c r="X278" s="31"/>
      <c r="Y278" s="31"/>
      <c r="Z278" s="31"/>
      <c r="AA278" s="31"/>
      <c r="AB278" s="31"/>
      <c r="AC278" s="31"/>
      <c r="AD278" s="31"/>
      <c r="AE278" s="31"/>
      <c r="AF278" s="31"/>
      <c r="AG278" s="31"/>
      <c r="AH278" s="29"/>
    </row>
    <row r="279" spans="1:34">
      <c r="A279" s="29"/>
      <c r="B279" s="31" t="s">
        <v>328</v>
      </c>
      <c r="C279" s="31"/>
      <c r="D279" s="31"/>
      <c r="E279" s="31"/>
      <c r="F279" s="31"/>
      <c r="G279" s="31"/>
      <c r="H279" s="31"/>
      <c r="I279" s="31"/>
      <c r="J279" s="31"/>
      <c r="K279" s="31"/>
      <c r="L279" s="31"/>
      <c r="M279" s="31"/>
      <c r="N279" s="31"/>
      <c r="O279" s="31"/>
      <c r="P279" s="31"/>
      <c r="Q279" s="31"/>
      <c r="R279" s="31"/>
      <c r="S279" s="31"/>
      <c r="T279" s="31"/>
      <c r="U279" s="31"/>
      <c r="V279" s="31"/>
      <c r="W279" s="31"/>
      <c r="X279" s="31"/>
      <c r="Y279" s="31"/>
      <c r="Z279" s="31"/>
      <c r="AA279" s="31"/>
      <c r="AB279" s="31"/>
      <c r="AC279" s="31"/>
      <c r="AD279" s="31"/>
      <c r="AE279" s="31"/>
      <c r="AF279" s="31"/>
      <c r="AG279" s="31"/>
      <c r="AH279" s="29"/>
    </row>
    <row r="280" spans="1:34">
      <c r="A280" s="29"/>
      <c r="B280" s="31" t="s">
        <v>409</v>
      </c>
      <c r="C280" s="31"/>
      <c r="D280" s="31"/>
      <c r="E280" s="31"/>
      <c r="F280" s="31"/>
      <c r="G280" s="31"/>
      <c r="H280" s="31"/>
      <c r="I280" s="31"/>
      <c r="J280" s="31"/>
      <c r="K280" s="31"/>
      <c r="L280" s="31"/>
      <c r="M280" s="31"/>
      <c r="N280" s="31"/>
      <c r="O280" s="31"/>
      <c r="P280" s="31"/>
      <c r="Q280" s="31"/>
      <c r="R280" s="31"/>
      <c r="S280" s="31"/>
      <c r="T280" s="31"/>
      <c r="U280" s="31"/>
      <c r="V280" s="31"/>
      <c r="W280" s="31"/>
      <c r="X280" s="31"/>
      <c r="Y280" s="31"/>
      <c r="Z280" s="31"/>
      <c r="AA280" s="31"/>
      <c r="AB280" s="31"/>
      <c r="AC280" s="31"/>
      <c r="AD280" s="31"/>
      <c r="AE280" s="31"/>
      <c r="AF280" s="31"/>
      <c r="AG280" s="31"/>
      <c r="AH280" s="29"/>
    </row>
    <row r="281" spans="1:34">
      <c r="A281" s="29"/>
      <c r="B281" s="31" t="s">
        <v>329</v>
      </c>
      <c r="C281" s="31"/>
      <c r="D281" s="31"/>
      <c r="E281" s="31"/>
      <c r="F281" s="31"/>
      <c r="G281" s="31"/>
      <c r="H281" s="31"/>
      <c r="I281" s="31"/>
      <c r="J281" s="31"/>
      <c r="K281" s="31"/>
      <c r="L281" s="31"/>
      <c r="M281" s="31"/>
      <c r="N281" s="31"/>
      <c r="O281" s="31"/>
      <c r="P281" s="31"/>
      <c r="Q281" s="31"/>
      <c r="R281" s="31"/>
      <c r="S281" s="31"/>
      <c r="T281" s="31"/>
      <c r="U281" s="31"/>
      <c r="V281" s="31"/>
      <c r="W281" s="31"/>
      <c r="X281" s="31"/>
      <c r="Y281" s="31"/>
      <c r="Z281" s="31"/>
      <c r="AA281" s="31"/>
      <c r="AB281" s="31"/>
      <c r="AC281" s="31"/>
      <c r="AD281" s="31"/>
      <c r="AE281" s="31"/>
      <c r="AF281" s="31"/>
      <c r="AG281" s="31"/>
      <c r="AH281" s="29"/>
    </row>
    <row r="282" spans="1:34">
      <c r="A282" s="29"/>
      <c r="B282" s="31" t="s">
        <v>665</v>
      </c>
      <c r="C282" s="31"/>
      <c r="D282" s="31"/>
      <c r="E282" s="31"/>
      <c r="F282" s="31"/>
      <c r="G282" s="31"/>
      <c r="H282" s="31"/>
      <c r="I282" s="31"/>
      <c r="J282" s="31"/>
      <c r="K282" s="31"/>
      <c r="L282" s="31"/>
      <c r="M282" s="31"/>
      <c r="N282" s="31"/>
      <c r="O282" s="31"/>
      <c r="P282" s="31"/>
      <c r="Q282" s="31"/>
      <c r="R282" s="31"/>
      <c r="S282" s="31"/>
      <c r="T282" s="31"/>
      <c r="U282" s="31"/>
      <c r="V282" s="31"/>
      <c r="W282" s="31"/>
      <c r="X282" s="31"/>
      <c r="Y282" s="31"/>
      <c r="Z282" s="31"/>
      <c r="AA282" s="31"/>
      <c r="AB282" s="31"/>
      <c r="AC282" s="31"/>
      <c r="AD282" s="31"/>
      <c r="AE282" s="31"/>
      <c r="AF282" s="31"/>
      <c r="AG282" s="31"/>
      <c r="AH282" s="29"/>
    </row>
    <row r="283" spans="1:34">
      <c r="A283" s="29"/>
      <c r="B283" s="31" t="s">
        <v>1035</v>
      </c>
      <c r="C283" s="31"/>
      <c r="D283" s="31"/>
      <c r="E283" s="31"/>
      <c r="F283" s="31"/>
      <c r="G283" s="31"/>
      <c r="H283" s="31"/>
      <c r="I283" s="31"/>
      <c r="J283" s="31"/>
      <c r="K283" s="31"/>
      <c r="L283" s="31"/>
      <c r="M283" s="31"/>
      <c r="N283" s="31"/>
      <c r="O283" s="31"/>
      <c r="P283" s="31"/>
      <c r="Q283" s="31"/>
      <c r="R283" s="31"/>
      <c r="S283" s="31"/>
      <c r="T283" s="31"/>
      <c r="U283" s="31"/>
      <c r="V283" s="31"/>
      <c r="W283" s="31"/>
      <c r="X283" s="31"/>
      <c r="Y283" s="31"/>
      <c r="Z283" s="31"/>
      <c r="AA283" s="31"/>
      <c r="AB283" s="31"/>
      <c r="AC283" s="31"/>
      <c r="AD283" s="31"/>
      <c r="AE283" s="31"/>
      <c r="AF283" s="31"/>
      <c r="AG283" s="31"/>
      <c r="AH283" s="29"/>
    </row>
    <row r="284" spans="1:34">
      <c r="A284" s="29"/>
      <c r="B284" s="31"/>
      <c r="C284" s="31"/>
      <c r="D284" s="31"/>
      <c r="E284" s="31"/>
      <c r="F284" s="31"/>
      <c r="G284" s="31"/>
      <c r="H284" s="31"/>
      <c r="I284" s="31"/>
      <c r="J284" s="31"/>
      <c r="K284" s="31"/>
      <c r="L284" s="31"/>
      <c r="M284" s="31"/>
      <c r="N284" s="31"/>
      <c r="O284" s="31"/>
      <c r="P284" s="31"/>
      <c r="Q284" s="31"/>
      <c r="R284" s="31"/>
      <c r="S284" s="31"/>
      <c r="T284" s="31"/>
      <c r="U284" s="31"/>
      <c r="V284" s="31"/>
      <c r="W284" s="31"/>
      <c r="X284" s="31"/>
      <c r="Y284" s="31"/>
      <c r="Z284" s="31"/>
      <c r="AA284" s="31"/>
      <c r="AB284" s="31"/>
      <c r="AC284" s="31"/>
      <c r="AD284" s="31"/>
      <c r="AE284" s="31"/>
      <c r="AF284" s="31"/>
      <c r="AG284" s="31"/>
      <c r="AH284" s="29"/>
    </row>
    <row r="285" spans="1:34">
      <c r="A285" s="29"/>
      <c r="B285" s="31"/>
      <c r="C285" s="31"/>
      <c r="D285" s="31"/>
      <c r="E285" s="31"/>
      <c r="F285" s="31"/>
      <c r="G285" s="31"/>
      <c r="H285" s="31"/>
      <c r="I285" s="31"/>
      <c r="J285" s="31"/>
      <c r="K285" s="31"/>
      <c r="L285" s="31"/>
      <c r="M285" s="31"/>
      <c r="N285" s="31"/>
      <c r="O285" s="31"/>
      <c r="P285" s="31"/>
      <c r="Q285" s="31"/>
      <c r="R285" s="31"/>
      <c r="S285" s="31"/>
      <c r="T285" s="31"/>
      <c r="U285" s="31"/>
      <c r="V285" s="31"/>
      <c r="W285" s="31"/>
      <c r="X285" s="31"/>
      <c r="Y285" s="31"/>
      <c r="Z285" s="31"/>
      <c r="AA285" s="31"/>
      <c r="AB285" s="31"/>
      <c r="AC285" s="31"/>
      <c r="AD285" s="31"/>
      <c r="AE285" s="31"/>
      <c r="AF285" s="31"/>
      <c r="AG285" s="31"/>
      <c r="AH285" s="29"/>
    </row>
    <row r="286" spans="1:34">
      <c r="A286" s="29"/>
      <c r="B286" s="31"/>
      <c r="C286" s="31"/>
      <c r="D286" s="31"/>
      <c r="E286" s="31"/>
      <c r="F286" s="31"/>
      <c r="G286" s="31"/>
      <c r="H286" s="31"/>
      <c r="I286" s="31"/>
      <c r="J286" s="31"/>
      <c r="K286" s="31"/>
      <c r="L286" s="31"/>
      <c r="M286" s="31"/>
      <c r="N286" s="31"/>
      <c r="O286" s="31"/>
      <c r="P286" s="31"/>
      <c r="Q286" s="31"/>
      <c r="R286" s="31"/>
      <c r="S286" s="31"/>
      <c r="T286" s="31"/>
      <c r="U286" s="31"/>
      <c r="V286" s="31"/>
      <c r="W286" s="31"/>
      <c r="X286" s="31"/>
      <c r="Y286" s="31"/>
      <c r="Z286" s="31"/>
      <c r="AA286" s="31"/>
      <c r="AB286" s="31"/>
      <c r="AC286" s="31"/>
      <c r="AD286" s="31"/>
      <c r="AE286" s="31"/>
      <c r="AF286" s="31"/>
      <c r="AG286" s="31"/>
      <c r="AH286" s="29"/>
    </row>
    <row r="287" spans="1:34">
      <c r="A287" s="29"/>
      <c r="B287" s="31"/>
      <c r="C287" s="31"/>
      <c r="D287" s="31"/>
      <c r="E287" s="31"/>
      <c r="F287" s="31"/>
      <c r="G287" s="31"/>
      <c r="H287" s="31"/>
      <c r="I287" s="31"/>
      <c r="J287" s="31"/>
      <c r="K287" s="31"/>
      <c r="L287" s="31"/>
      <c r="M287" s="31"/>
      <c r="N287" s="31"/>
      <c r="O287" s="31"/>
      <c r="P287" s="31"/>
      <c r="Q287" s="31"/>
      <c r="R287" s="31"/>
      <c r="S287" s="31"/>
      <c r="T287" s="31"/>
      <c r="U287" s="31"/>
      <c r="V287" s="31"/>
      <c r="W287" s="31"/>
      <c r="X287" s="31"/>
      <c r="Y287" s="31"/>
      <c r="Z287" s="31"/>
      <c r="AA287" s="31"/>
      <c r="AB287" s="31"/>
      <c r="AC287" s="31"/>
      <c r="AD287" s="31"/>
      <c r="AE287" s="31"/>
      <c r="AF287" s="31"/>
      <c r="AG287" s="31"/>
      <c r="AH287" s="29"/>
    </row>
    <row r="288" spans="1:34">
      <c r="A288" s="29"/>
      <c r="B288" s="31"/>
      <c r="C288" s="31"/>
      <c r="D288" s="31"/>
      <c r="E288" s="31"/>
      <c r="F288" s="31"/>
      <c r="G288" s="31"/>
      <c r="H288" s="31"/>
      <c r="I288" s="31"/>
      <c r="J288" s="31"/>
      <c r="K288" s="31"/>
      <c r="L288" s="31"/>
      <c r="M288" s="31"/>
      <c r="N288" s="31"/>
      <c r="O288" s="31"/>
      <c r="P288" s="31"/>
      <c r="Q288" s="31"/>
      <c r="R288" s="31"/>
      <c r="S288" s="31"/>
      <c r="T288" s="31"/>
      <c r="U288" s="31"/>
      <c r="V288" s="31"/>
      <c r="W288" s="31"/>
      <c r="X288" s="31"/>
      <c r="Y288" s="31"/>
      <c r="Z288" s="31"/>
      <c r="AA288" s="31"/>
      <c r="AB288" s="31"/>
      <c r="AC288" s="31"/>
      <c r="AD288" s="31"/>
      <c r="AE288" s="31"/>
      <c r="AF288" s="31"/>
      <c r="AG288" s="31"/>
      <c r="AH288" s="29"/>
    </row>
    <row r="289" spans="2:33">
      <c r="B289" s="31"/>
      <c r="C289" s="31"/>
      <c r="D289" s="31"/>
      <c r="E289" s="31"/>
      <c r="F289" s="31"/>
      <c r="G289" s="31"/>
      <c r="H289" s="31"/>
      <c r="I289" s="31"/>
      <c r="J289" s="31"/>
      <c r="K289" s="31"/>
      <c r="L289" s="31"/>
      <c r="M289" s="31"/>
      <c r="N289" s="31"/>
      <c r="O289" s="31"/>
      <c r="P289" s="31"/>
      <c r="Q289" s="31"/>
      <c r="R289" s="31"/>
      <c r="S289" s="31"/>
      <c r="T289" s="31"/>
      <c r="U289" s="31"/>
      <c r="V289" s="31"/>
      <c r="W289" s="31"/>
      <c r="X289" s="31"/>
      <c r="Y289" s="31"/>
      <c r="Z289" s="31"/>
      <c r="AA289" s="31"/>
      <c r="AB289" s="31"/>
      <c r="AC289" s="31"/>
      <c r="AD289" s="31"/>
      <c r="AE289" s="31"/>
      <c r="AF289" s="31"/>
      <c r="AG289" s="31"/>
    </row>
    <row r="290" spans="2:33">
      <c r="B290" s="31"/>
      <c r="C290" s="31"/>
      <c r="D290" s="31"/>
      <c r="E290" s="31"/>
      <c r="F290" s="31"/>
      <c r="G290" s="31"/>
      <c r="H290" s="31"/>
      <c r="I290" s="31"/>
      <c r="J290" s="31"/>
      <c r="K290" s="31"/>
      <c r="L290" s="31"/>
      <c r="M290" s="31"/>
      <c r="N290" s="31"/>
      <c r="O290" s="31"/>
      <c r="P290" s="31"/>
      <c r="Q290" s="31"/>
      <c r="R290" s="31"/>
      <c r="S290" s="31"/>
      <c r="T290" s="31"/>
      <c r="U290" s="31"/>
      <c r="V290" s="31"/>
      <c r="W290" s="31"/>
      <c r="X290" s="31"/>
      <c r="Y290" s="31"/>
      <c r="Z290" s="31"/>
      <c r="AA290" s="31"/>
      <c r="AB290" s="31"/>
      <c r="AC290" s="31"/>
      <c r="AD290" s="31"/>
      <c r="AE290" s="31"/>
      <c r="AF290" s="31"/>
      <c r="AG290" s="31"/>
    </row>
    <row r="291" spans="2:33">
      <c r="B291" s="31"/>
      <c r="C291" s="31"/>
      <c r="D291" s="31"/>
      <c r="E291" s="31"/>
      <c r="F291" s="31"/>
      <c r="G291" s="31"/>
      <c r="H291" s="31"/>
      <c r="I291" s="31"/>
      <c r="J291" s="31"/>
      <c r="K291" s="31"/>
      <c r="L291" s="31"/>
      <c r="M291" s="31"/>
      <c r="N291" s="31"/>
      <c r="O291" s="31"/>
      <c r="P291" s="31"/>
      <c r="Q291" s="31"/>
      <c r="R291" s="31"/>
      <c r="S291" s="31"/>
      <c r="T291" s="31"/>
      <c r="U291" s="31"/>
      <c r="V291" s="31"/>
      <c r="W291" s="31"/>
      <c r="X291" s="31"/>
      <c r="Y291" s="31"/>
      <c r="Z291" s="31"/>
      <c r="AA291" s="31"/>
      <c r="AB291" s="31"/>
      <c r="AC291" s="31"/>
      <c r="AD291" s="31"/>
      <c r="AE291" s="31"/>
      <c r="AF291" s="31"/>
      <c r="AG291" s="31"/>
    </row>
    <row r="292" spans="2:33">
      <c r="B292" s="31"/>
      <c r="C292" s="31"/>
      <c r="D292" s="31"/>
      <c r="E292" s="31"/>
      <c r="F292" s="31"/>
      <c r="G292" s="31"/>
      <c r="H292" s="31"/>
      <c r="I292" s="31"/>
      <c r="J292" s="31"/>
      <c r="K292" s="31"/>
      <c r="L292" s="31"/>
      <c r="M292" s="31"/>
      <c r="N292" s="31"/>
      <c r="O292" s="31"/>
      <c r="P292" s="31"/>
      <c r="Q292" s="31"/>
      <c r="R292" s="31"/>
      <c r="S292" s="31"/>
      <c r="T292" s="31"/>
      <c r="U292" s="31"/>
      <c r="V292" s="31"/>
      <c r="W292" s="31"/>
      <c r="X292" s="31"/>
      <c r="Y292" s="31"/>
      <c r="Z292" s="31"/>
      <c r="AA292" s="31"/>
      <c r="AB292" s="31"/>
      <c r="AC292" s="31"/>
      <c r="AD292" s="31"/>
      <c r="AE292" s="31"/>
      <c r="AF292" s="31"/>
      <c r="AG292" s="31"/>
    </row>
    <row r="293" spans="2:33">
      <c r="B293" s="31"/>
      <c r="C293" s="31"/>
      <c r="D293" s="31"/>
      <c r="E293" s="31"/>
      <c r="F293" s="31"/>
      <c r="G293" s="31"/>
      <c r="H293" s="31"/>
      <c r="I293" s="31"/>
      <c r="J293" s="31"/>
      <c r="K293" s="31"/>
      <c r="L293" s="31"/>
      <c r="M293" s="31"/>
      <c r="N293" s="31"/>
      <c r="O293" s="31"/>
      <c r="P293" s="31"/>
      <c r="Q293" s="31"/>
      <c r="R293" s="31"/>
      <c r="S293" s="31"/>
      <c r="T293" s="31"/>
      <c r="U293" s="31"/>
      <c r="V293" s="31"/>
      <c r="W293" s="31"/>
      <c r="X293" s="31"/>
      <c r="Y293" s="31"/>
      <c r="Z293" s="31"/>
      <c r="AA293" s="31"/>
      <c r="AB293" s="31"/>
      <c r="AC293" s="31"/>
      <c r="AD293" s="31"/>
      <c r="AE293" s="31"/>
      <c r="AF293" s="31"/>
      <c r="AG293" s="31"/>
    </row>
    <row r="294" spans="2:33">
      <c r="B294" s="31"/>
      <c r="C294" s="31"/>
      <c r="D294" s="31"/>
      <c r="E294" s="31"/>
      <c r="F294" s="31"/>
      <c r="G294" s="31"/>
      <c r="H294" s="31"/>
      <c r="I294" s="31"/>
      <c r="J294" s="31"/>
      <c r="K294" s="31"/>
      <c r="L294" s="31"/>
      <c r="M294" s="31"/>
      <c r="N294" s="31"/>
      <c r="O294" s="31"/>
      <c r="P294" s="31"/>
      <c r="Q294" s="31"/>
      <c r="R294" s="31"/>
      <c r="S294" s="31"/>
      <c r="T294" s="31"/>
      <c r="U294" s="31"/>
      <c r="V294" s="31"/>
      <c r="W294" s="31"/>
      <c r="X294" s="31"/>
      <c r="Y294" s="31"/>
      <c r="Z294" s="31"/>
      <c r="AA294" s="31"/>
      <c r="AB294" s="31"/>
      <c r="AC294" s="31"/>
      <c r="AD294" s="31"/>
      <c r="AE294" s="31"/>
      <c r="AF294" s="31"/>
      <c r="AG294" s="31"/>
    </row>
    <row r="295" spans="2:33">
      <c r="B295" s="31"/>
      <c r="C295" s="31"/>
      <c r="D295" s="31"/>
      <c r="E295" s="31"/>
      <c r="F295" s="31"/>
      <c r="G295" s="31"/>
      <c r="H295" s="31"/>
      <c r="I295" s="31"/>
      <c r="J295" s="31"/>
      <c r="K295" s="31"/>
      <c r="L295" s="31"/>
      <c r="M295" s="31"/>
      <c r="N295" s="31"/>
      <c r="O295" s="31"/>
      <c r="P295" s="31"/>
      <c r="Q295" s="31"/>
      <c r="R295" s="31"/>
      <c r="S295" s="31"/>
      <c r="T295" s="31"/>
      <c r="U295" s="31"/>
      <c r="V295" s="31"/>
      <c r="W295" s="31"/>
      <c r="X295" s="31"/>
      <c r="Y295" s="31"/>
      <c r="Z295" s="31"/>
      <c r="AA295" s="31"/>
      <c r="AB295" s="31"/>
      <c r="AC295" s="31"/>
      <c r="AD295" s="31"/>
      <c r="AE295" s="31"/>
      <c r="AF295" s="31"/>
      <c r="AG295" s="31"/>
    </row>
    <row r="296" spans="2:33">
      <c r="B296" s="31"/>
      <c r="C296" s="31"/>
      <c r="D296" s="31"/>
      <c r="E296" s="31"/>
      <c r="F296" s="31"/>
      <c r="G296" s="31"/>
      <c r="H296" s="31"/>
      <c r="I296" s="31"/>
      <c r="J296" s="31"/>
      <c r="K296" s="31"/>
      <c r="L296" s="31"/>
      <c r="M296" s="31"/>
      <c r="N296" s="31"/>
      <c r="O296" s="31"/>
      <c r="P296" s="31"/>
      <c r="Q296" s="31"/>
      <c r="R296" s="31"/>
      <c r="S296" s="31"/>
      <c r="T296" s="31"/>
      <c r="U296" s="31"/>
      <c r="V296" s="31"/>
      <c r="W296" s="31"/>
      <c r="X296" s="31"/>
      <c r="Y296" s="31"/>
      <c r="Z296" s="31"/>
      <c r="AA296" s="31"/>
      <c r="AB296" s="31"/>
      <c r="AC296" s="31"/>
      <c r="AD296" s="31"/>
      <c r="AE296" s="31"/>
      <c r="AF296" s="31"/>
      <c r="AG296" s="31"/>
    </row>
    <row r="297" spans="2:33">
      <c r="B297" s="31"/>
      <c r="C297" s="31"/>
      <c r="D297" s="31"/>
      <c r="E297" s="31"/>
      <c r="F297" s="31"/>
      <c r="G297" s="31"/>
      <c r="H297" s="31"/>
      <c r="I297" s="31"/>
      <c r="J297" s="31"/>
      <c r="K297" s="31"/>
      <c r="L297" s="31"/>
      <c r="M297" s="31"/>
      <c r="N297" s="31"/>
      <c r="O297" s="31"/>
      <c r="P297" s="31"/>
      <c r="Q297" s="31"/>
      <c r="R297" s="31"/>
      <c r="S297" s="31"/>
      <c r="T297" s="31"/>
      <c r="U297" s="31"/>
      <c r="V297" s="31"/>
      <c r="W297" s="31"/>
      <c r="X297" s="31"/>
      <c r="Y297" s="31"/>
      <c r="Z297" s="31"/>
      <c r="AA297" s="31"/>
      <c r="AB297" s="31"/>
      <c r="AC297" s="31"/>
      <c r="AD297" s="31"/>
      <c r="AE297" s="31"/>
      <c r="AF297" s="31"/>
      <c r="AG297" s="31"/>
    </row>
    <row r="298" spans="2:33">
      <c r="B298" s="31"/>
      <c r="C298" s="31"/>
      <c r="D298" s="31"/>
      <c r="E298" s="31"/>
      <c r="F298" s="31"/>
      <c r="G298" s="31"/>
      <c r="H298" s="31"/>
      <c r="I298" s="31"/>
      <c r="J298" s="31"/>
      <c r="K298" s="31"/>
      <c r="L298" s="31"/>
      <c r="M298" s="31"/>
      <c r="N298" s="31"/>
      <c r="O298" s="31"/>
      <c r="P298" s="31"/>
      <c r="Q298" s="31"/>
      <c r="R298" s="31"/>
      <c r="S298" s="31"/>
      <c r="T298" s="31"/>
      <c r="U298" s="31"/>
      <c r="V298" s="31"/>
      <c r="W298" s="31"/>
      <c r="X298" s="31"/>
      <c r="Y298" s="31"/>
      <c r="Z298" s="31"/>
      <c r="AA298" s="31"/>
      <c r="AB298" s="31"/>
      <c r="AC298" s="31"/>
      <c r="AD298" s="31"/>
      <c r="AE298" s="31"/>
      <c r="AF298" s="31"/>
      <c r="AG298" s="31"/>
    </row>
    <row r="299" spans="2:33">
      <c r="B299" s="31"/>
      <c r="C299" s="31"/>
      <c r="D299" s="31"/>
      <c r="E299" s="31"/>
      <c r="F299" s="31"/>
      <c r="G299" s="31"/>
      <c r="H299" s="31"/>
      <c r="I299" s="31"/>
      <c r="J299" s="31"/>
      <c r="K299" s="31"/>
      <c r="L299" s="31"/>
      <c r="M299" s="31"/>
      <c r="N299" s="31"/>
      <c r="O299" s="31"/>
      <c r="P299" s="31"/>
      <c r="Q299" s="31"/>
      <c r="R299" s="31"/>
      <c r="S299" s="31"/>
      <c r="T299" s="31"/>
      <c r="U299" s="31"/>
      <c r="V299" s="31"/>
      <c r="W299" s="31"/>
      <c r="X299" s="31"/>
      <c r="Y299" s="31"/>
      <c r="Z299" s="31"/>
      <c r="AA299" s="31"/>
      <c r="AB299" s="31"/>
      <c r="AC299" s="31"/>
      <c r="AD299" s="31"/>
      <c r="AE299" s="31"/>
      <c r="AF299" s="31"/>
      <c r="AG299" s="31"/>
    </row>
    <row r="300" spans="2:33">
      <c r="B300" s="31"/>
      <c r="C300" s="31"/>
      <c r="D300" s="31"/>
      <c r="E300" s="31"/>
      <c r="F300" s="31"/>
      <c r="G300" s="31"/>
      <c r="H300" s="31"/>
      <c r="I300" s="31"/>
      <c r="J300" s="31"/>
      <c r="K300" s="31"/>
      <c r="L300" s="31"/>
      <c r="M300" s="31"/>
      <c r="N300" s="31"/>
      <c r="O300" s="31"/>
      <c r="P300" s="31"/>
      <c r="Q300" s="31"/>
      <c r="R300" s="31"/>
      <c r="S300" s="31"/>
      <c r="T300" s="31"/>
      <c r="U300" s="31"/>
      <c r="V300" s="31"/>
      <c r="W300" s="31"/>
      <c r="X300" s="31"/>
      <c r="Y300" s="31"/>
      <c r="Z300" s="31"/>
      <c r="AA300" s="31"/>
      <c r="AB300" s="31"/>
      <c r="AC300" s="31"/>
      <c r="AD300" s="31"/>
      <c r="AE300" s="31"/>
      <c r="AF300" s="31"/>
      <c r="AG300" s="31"/>
    </row>
    <row r="301" spans="2:33">
      <c r="B301" s="31"/>
      <c r="C301" s="31"/>
      <c r="D301" s="31"/>
      <c r="E301" s="31"/>
      <c r="F301" s="31"/>
      <c r="G301" s="31"/>
      <c r="H301" s="31"/>
      <c r="I301" s="31"/>
      <c r="J301" s="31"/>
      <c r="K301" s="31"/>
      <c r="L301" s="31"/>
      <c r="M301" s="31"/>
      <c r="N301" s="31"/>
      <c r="O301" s="31"/>
      <c r="P301" s="31"/>
      <c r="Q301" s="31"/>
      <c r="R301" s="31"/>
      <c r="S301" s="31"/>
      <c r="T301" s="31"/>
      <c r="U301" s="31"/>
      <c r="V301" s="31"/>
      <c r="W301" s="31"/>
      <c r="X301" s="31"/>
      <c r="Y301" s="31"/>
      <c r="Z301" s="31"/>
      <c r="AA301" s="31"/>
      <c r="AB301" s="31"/>
      <c r="AC301" s="31"/>
      <c r="AD301" s="31"/>
      <c r="AE301" s="31"/>
      <c r="AF301" s="31"/>
      <c r="AG301" s="31"/>
    </row>
    <row r="302" spans="2:33">
      <c r="B302" s="31"/>
      <c r="C302" s="31"/>
      <c r="D302" s="31"/>
      <c r="E302" s="31"/>
      <c r="F302" s="31"/>
      <c r="G302" s="31"/>
      <c r="H302" s="31"/>
      <c r="I302" s="31"/>
      <c r="J302" s="31"/>
      <c r="K302" s="31"/>
      <c r="L302" s="31"/>
      <c r="M302" s="31"/>
      <c r="N302" s="31"/>
      <c r="O302" s="31"/>
      <c r="P302" s="31"/>
      <c r="Q302" s="31"/>
      <c r="R302" s="31"/>
      <c r="S302" s="31"/>
      <c r="T302" s="31"/>
      <c r="U302" s="31"/>
      <c r="V302" s="31"/>
      <c r="W302" s="31"/>
      <c r="X302" s="31"/>
      <c r="Y302" s="31"/>
      <c r="Z302" s="31"/>
      <c r="AA302" s="31"/>
      <c r="AB302" s="31"/>
      <c r="AC302" s="31"/>
      <c r="AD302" s="31"/>
      <c r="AE302" s="31"/>
      <c r="AF302" s="31"/>
      <c r="AG302" s="31"/>
    </row>
    <row r="303" spans="2:33">
      <c r="B303" s="31"/>
      <c r="C303" s="31"/>
      <c r="D303" s="31"/>
      <c r="E303" s="31"/>
      <c r="F303" s="31"/>
      <c r="G303" s="31"/>
      <c r="H303" s="31"/>
      <c r="I303" s="31"/>
      <c r="J303" s="31"/>
      <c r="K303" s="31"/>
      <c r="L303" s="31"/>
      <c r="M303" s="31"/>
      <c r="N303" s="31"/>
      <c r="O303" s="31"/>
      <c r="P303" s="31"/>
      <c r="Q303" s="31"/>
      <c r="R303" s="31"/>
      <c r="S303" s="31"/>
      <c r="T303" s="31"/>
      <c r="U303" s="31"/>
      <c r="V303" s="31"/>
      <c r="W303" s="31"/>
      <c r="X303" s="31"/>
      <c r="Y303" s="31"/>
      <c r="Z303" s="31"/>
      <c r="AA303" s="31"/>
      <c r="AB303" s="31"/>
      <c r="AC303" s="31"/>
      <c r="AD303" s="31"/>
      <c r="AE303" s="31"/>
      <c r="AF303" s="31"/>
      <c r="AG303" s="31"/>
    </row>
    <row r="304" spans="2:33">
      <c r="B304" s="31"/>
      <c r="C304" s="31"/>
      <c r="D304" s="31"/>
      <c r="E304" s="31"/>
      <c r="F304" s="31"/>
      <c r="G304" s="31"/>
      <c r="H304" s="31"/>
      <c r="I304" s="31"/>
      <c r="J304" s="31"/>
      <c r="K304" s="31"/>
      <c r="L304" s="31"/>
      <c r="M304" s="31"/>
      <c r="N304" s="31"/>
      <c r="O304" s="31"/>
      <c r="P304" s="31"/>
      <c r="Q304" s="31"/>
      <c r="R304" s="31"/>
      <c r="S304" s="31"/>
      <c r="T304" s="31"/>
      <c r="U304" s="31"/>
      <c r="V304" s="31"/>
      <c r="W304" s="31"/>
      <c r="X304" s="31"/>
      <c r="Y304" s="31"/>
      <c r="Z304" s="31"/>
      <c r="AA304" s="31"/>
      <c r="AB304" s="31"/>
      <c r="AC304" s="31"/>
      <c r="AD304" s="31"/>
      <c r="AE304" s="31"/>
      <c r="AF304" s="31"/>
      <c r="AG304" s="31"/>
    </row>
    <row r="305" spans="2:33">
      <c r="B305" s="31"/>
      <c r="C305" s="31"/>
      <c r="D305" s="31"/>
      <c r="E305" s="31"/>
      <c r="F305" s="31"/>
      <c r="G305" s="31"/>
      <c r="H305" s="31"/>
      <c r="I305" s="31"/>
      <c r="J305" s="31"/>
      <c r="K305" s="31"/>
      <c r="L305" s="31"/>
      <c r="M305" s="31"/>
      <c r="N305" s="31"/>
      <c r="O305" s="31"/>
      <c r="P305" s="31"/>
      <c r="Q305" s="31"/>
      <c r="R305" s="31"/>
      <c r="S305" s="31"/>
      <c r="T305" s="31"/>
      <c r="U305" s="31"/>
      <c r="V305" s="31"/>
      <c r="W305" s="31"/>
      <c r="X305" s="31"/>
      <c r="Y305" s="31"/>
      <c r="Z305" s="31"/>
      <c r="AA305" s="31"/>
      <c r="AB305" s="31"/>
      <c r="AC305" s="31"/>
      <c r="AD305" s="31"/>
      <c r="AE305" s="31"/>
      <c r="AF305" s="31"/>
      <c r="AG305" s="31"/>
    </row>
    <row r="306" spans="2:33">
      <c r="B306" s="31"/>
      <c r="C306" s="31"/>
      <c r="D306" s="31"/>
      <c r="E306" s="31"/>
      <c r="F306" s="31"/>
      <c r="G306" s="31"/>
      <c r="H306" s="31"/>
      <c r="I306" s="31"/>
      <c r="J306" s="31"/>
      <c r="K306" s="31"/>
      <c r="L306" s="31"/>
      <c r="M306" s="31"/>
      <c r="N306" s="31"/>
      <c r="O306" s="31"/>
      <c r="P306" s="31"/>
      <c r="Q306" s="31"/>
      <c r="R306" s="31"/>
      <c r="S306" s="31"/>
      <c r="T306" s="31"/>
      <c r="U306" s="31"/>
      <c r="V306" s="31"/>
      <c r="W306" s="31"/>
      <c r="X306" s="31"/>
      <c r="Y306" s="31"/>
      <c r="Z306" s="31"/>
      <c r="AA306" s="31"/>
      <c r="AB306" s="31"/>
      <c r="AC306" s="31"/>
      <c r="AD306" s="31"/>
      <c r="AE306" s="31"/>
      <c r="AF306" s="31"/>
      <c r="AG306" s="31"/>
    </row>
    <row r="307" spans="2:33">
      <c r="B307" s="31"/>
      <c r="C307" s="31"/>
      <c r="D307" s="31"/>
      <c r="E307" s="31"/>
      <c r="F307" s="31"/>
      <c r="G307" s="31"/>
      <c r="H307" s="31"/>
      <c r="I307" s="31"/>
      <c r="J307" s="31"/>
      <c r="K307" s="31"/>
      <c r="L307" s="31"/>
      <c r="M307" s="31"/>
      <c r="N307" s="31"/>
      <c r="O307" s="31"/>
      <c r="P307" s="31"/>
      <c r="Q307" s="31"/>
      <c r="R307" s="31"/>
      <c r="S307" s="31"/>
      <c r="T307" s="31"/>
      <c r="U307" s="31"/>
      <c r="V307" s="31"/>
      <c r="W307" s="31"/>
      <c r="X307" s="31"/>
      <c r="Y307" s="31"/>
      <c r="Z307" s="31"/>
      <c r="AA307" s="31"/>
      <c r="AB307" s="31"/>
      <c r="AC307" s="31"/>
      <c r="AD307" s="31"/>
      <c r="AE307" s="31"/>
      <c r="AF307" s="31"/>
      <c r="AG307" s="31"/>
    </row>
    <row r="308" spans="2:33">
      <c r="B308" s="31"/>
      <c r="C308" s="31"/>
      <c r="D308" s="31"/>
      <c r="E308" s="31"/>
      <c r="F308" s="31"/>
      <c r="G308" s="31"/>
      <c r="H308" s="31"/>
      <c r="I308" s="31"/>
      <c r="J308" s="31"/>
      <c r="K308" s="31"/>
      <c r="L308" s="31"/>
      <c r="M308" s="31"/>
      <c r="N308" s="31"/>
      <c r="O308" s="31"/>
      <c r="P308" s="31"/>
      <c r="Q308" s="31"/>
      <c r="R308" s="31"/>
      <c r="S308" s="31"/>
      <c r="T308" s="31"/>
      <c r="U308" s="31"/>
      <c r="V308" s="31"/>
      <c r="W308" s="31"/>
      <c r="X308" s="31"/>
      <c r="Y308" s="31"/>
      <c r="Z308" s="31"/>
      <c r="AA308" s="31"/>
      <c r="AB308" s="31"/>
      <c r="AC308" s="31"/>
      <c r="AD308" s="31"/>
      <c r="AE308" s="31"/>
      <c r="AF308" s="31"/>
      <c r="AG308" s="31"/>
    </row>
    <row r="309" spans="2:33">
      <c r="B309" s="31"/>
      <c r="C309" s="31"/>
      <c r="D309" s="31"/>
      <c r="E309" s="31"/>
      <c r="F309" s="31"/>
      <c r="G309" s="31"/>
      <c r="H309" s="31"/>
      <c r="I309" s="31"/>
      <c r="J309" s="31"/>
      <c r="K309" s="31"/>
      <c r="L309" s="31"/>
      <c r="M309" s="31"/>
      <c r="N309" s="31"/>
      <c r="O309" s="31"/>
      <c r="P309" s="31"/>
      <c r="Q309" s="31"/>
      <c r="R309" s="31"/>
      <c r="S309" s="31"/>
      <c r="T309" s="31"/>
      <c r="U309" s="31"/>
      <c r="V309" s="31"/>
      <c r="W309" s="31"/>
      <c r="X309" s="31"/>
      <c r="Y309" s="31"/>
      <c r="Z309" s="31"/>
      <c r="AA309" s="31"/>
      <c r="AB309" s="31"/>
      <c r="AC309" s="31"/>
      <c r="AD309" s="31"/>
      <c r="AE309" s="31"/>
      <c r="AF309" s="31" t="s">
        <v>655</v>
      </c>
      <c r="AG309" s="31"/>
    </row>
    <row r="310" spans="2:33">
      <c r="B310" s="29"/>
      <c r="C310" s="29"/>
      <c r="D310" s="29"/>
      <c r="E310" s="29"/>
      <c r="F310" s="29"/>
      <c r="G310" s="29"/>
      <c r="H310" s="29"/>
      <c r="I310" s="29"/>
      <c r="J310" s="29"/>
      <c r="K310" s="29"/>
      <c r="L310" s="29"/>
      <c r="M310" s="29"/>
      <c r="N310" s="29"/>
      <c r="O310" s="29"/>
      <c r="P310" s="29"/>
      <c r="Q310" s="29"/>
      <c r="R310" s="29"/>
      <c r="S310" s="29"/>
      <c r="T310" s="29"/>
      <c r="U310" s="29"/>
      <c r="V310" s="29"/>
      <c r="W310" s="29"/>
      <c r="X310" s="29"/>
      <c r="Y310" s="29"/>
      <c r="Z310" s="29"/>
      <c r="AA310" s="29"/>
      <c r="AB310" s="29"/>
      <c r="AC310" s="29"/>
      <c r="AD310" s="29"/>
      <c r="AE310" s="29"/>
      <c r="AF310" s="29"/>
      <c r="AG310" s="29"/>
    </row>
    <row r="338" spans="2:32">
      <c r="B338" s="29"/>
      <c r="C338" s="29"/>
      <c r="D338" s="29"/>
      <c r="E338" s="29"/>
      <c r="F338" s="29"/>
      <c r="G338" s="29"/>
      <c r="H338" s="29"/>
      <c r="I338" s="29"/>
      <c r="J338" s="29"/>
      <c r="K338" s="29"/>
      <c r="L338" s="29"/>
      <c r="M338" s="29"/>
      <c r="N338" s="29"/>
      <c r="O338" s="29"/>
      <c r="P338" s="29"/>
      <c r="Q338" s="29"/>
      <c r="R338" s="29"/>
      <c r="S338" s="29"/>
      <c r="T338" s="29"/>
      <c r="U338" s="29"/>
      <c r="V338" s="29"/>
      <c r="W338" s="29"/>
      <c r="X338" s="29"/>
      <c r="Y338" s="29"/>
      <c r="Z338" s="29"/>
      <c r="AA338" s="29"/>
      <c r="AB338" s="29"/>
      <c r="AC338" s="29"/>
      <c r="AD338" s="29"/>
      <c r="AE338" s="29"/>
      <c r="AF338" s="29"/>
    </row>
    <row r="339" spans="2:32">
      <c r="B339" s="29"/>
      <c r="C339" s="29"/>
      <c r="D339" s="29"/>
      <c r="E339" s="29"/>
      <c r="F339" s="29"/>
      <c r="G339" s="29"/>
      <c r="H339" s="29"/>
      <c r="I339" s="29"/>
      <c r="J339" s="29"/>
      <c r="K339" s="29"/>
      <c r="L339" s="29"/>
      <c r="M339" s="29"/>
      <c r="N339" s="29"/>
      <c r="O339" s="29"/>
      <c r="P339" s="29"/>
      <c r="Q339" s="29"/>
      <c r="R339" s="29"/>
      <c r="S339" s="29"/>
      <c r="T339" s="29"/>
      <c r="U339" s="29"/>
      <c r="V339" s="29"/>
      <c r="W339" s="29"/>
      <c r="X339" s="29"/>
      <c r="Y339" s="29"/>
      <c r="Z339" s="29"/>
      <c r="AA339" s="29"/>
      <c r="AB339" s="29"/>
      <c r="AC339" s="29"/>
      <c r="AD339" s="29"/>
      <c r="AE339" s="29"/>
      <c r="AF339" s="29"/>
    </row>
    <row r="348" spans="2:32">
      <c r="B348" s="29"/>
      <c r="C348" s="29"/>
      <c r="D348" s="29"/>
      <c r="E348" s="29"/>
      <c r="F348" s="29"/>
      <c r="G348" s="29"/>
      <c r="H348" s="29"/>
      <c r="I348" s="29"/>
      <c r="J348" s="29"/>
      <c r="K348" s="29"/>
      <c r="L348" s="29"/>
      <c r="M348" s="29"/>
      <c r="N348" s="29"/>
      <c r="O348" s="29"/>
      <c r="P348" s="29"/>
      <c r="Q348" s="29"/>
      <c r="R348" s="29"/>
      <c r="S348" s="29"/>
      <c r="T348" s="29"/>
      <c r="U348" s="29"/>
      <c r="V348" s="29"/>
      <c r="W348" s="29"/>
      <c r="X348" s="29"/>
      <c r="Y348" s="29"/>
      <c r="Z348" s="29"/>
      <c r="AA348" s="29"/>
      <c r="AB348" s="29"/>
      <c r="AC348" s="29"/>
      <c r="AD348" s="29"/>
      <c r="AE348" s="29"/>
      <c r="AF348" s="29"/>
    </row>
    <row r="349" spans="2:32">
      <c r="B349" s="29"/>
      <c r="C349" s="29"/>
      <c r="D349" s="29"/>
      <c r="E349" s="29"/>
      <c r="F349" s="29"/>
      <c r="G349" s="29"/>
      <c r="H349" s="29"/>
      <c r="I349" s="29"/>
      <c r="J349" s="29"/>
      <c r="K349" s="29"/>
      <c r="L349" s="29"/>
      <c r="M349" s="29"/>
      <c r="N349" s="29"/>
      <c r="O349" s="29"/>
      <c r="P349" s="29"/>
      <c r="Q349" s="29"/>
      <c r="R349" s="29"/>
      <c r="S349" s="29"/>
      <c r="T349" s="29"/>
      <c r="U349" s="29"/>
      <c r="V349" s="29"/>
      <c r="W349" s="29"/>
      <c r="X349" s="29"/>
      <c r="Y349" s="29"/>
      <c r="Z349" s="29"/>
      <c r="AA349" s="29"/>
      <c r="AB349" s="29"/>
      <c r="AC349" s="29"/>
      <c r="AD349" s="29"/>
      <c r="AE349" s="29"/>
      <c r="AF349" s="29"/>
    </row>
    <row r="350" spans="2:32">
      <c r="B350" s="29"/>
      <c r="C350" s="29"/>
      <c r="D350" s="29"/>
      <c r="E350" s="29"/>
      <c r="F350" s="29"/>
      <c r="G350" s="29"/>
      <c r="H350" s="29"/>
      <c r="I350" s="29"/>
      <c r="J350" s="29"/>
      <c r="K350" s="29"/>
      <c r="L350" s="29"/>
      <c r="M350" s="29"/>
      <c r="N350" s="29"/>
      <c r="O350" s="29"/>
      <c r="P350" s="29"/>
      <c r="Q350" s="29"/>
      <c r="R350" s="29"/>
      <c r="S350" s="29"/>
      <c r="T350" s="29"/>
      <c r="U350" s="29"/>
      <c r="V350" s="29"/>
      <c r="W350" s="29"/>
      <c r="X350" s="29"/>
      <c r="Y350" s="29"/>
      <c r="Z350" s="29"/>
      <c r="AA350" s="29"/>
      <c r="AB350" s="29"/>
      <c r="AC350" s="29"/>
      <c r="AD350" s="29"/>
      <c r="AE350" s="29"/>
      <c r="AF350" s="29"/>
    </row>
    <row r="351" spans="2:32">
      <c r="B351" s="29"/>
      <c r="C351" s="29"/>
      <c r="D351" s="29"/>
      <c r="E351" s="29"/>
      <c r="F351" s="29"/>
      <c r="G351" s="29"/>
      <c r="H351" s="29"/>
      <c r="I351" s="29"/>
      <c r="J351" s="29"/>
      <c r="K351" s="29"/>
      <c r="L351" s="29"/>
      <c r="M351" s="29"/>
      <c r="N351" s="29"/>
      <c r="O351" s="29"/>
      <c r="P351" s="29"/>
      <c r="Q351" s="29"/>
      <c r="R351" s="29"/>
      <c r="S351" s="29"/>
      <c r="T351" s="29"/>
      <c r="U351" s="29"/>
      <c r="V351" s="29"/>
      <c r="W351" s="29"/>
      <c r="X351" s="29"/>
      <c r="Y351" s="29"/>
      <c r="Z351" s="29"/>
      <c r="AA351" s="29"/>
      <c r="AB351" s="29"/>
      <c r="AC351" s="29"/>
      <c r="AD351" s="29"/>
      <c r="AE351" s="29"/>
      <c r="AF351" s="29"/>
    </row>
    <row r="352" spans="2:32">
      <c r="B352" s="29"/>
      <c r="C352" s="29"/>
      <c r="D352" s="29"/>
      <c r="E352" s="29"/>
      <c r="F352" s="29"/>
      <c r="G352" s="29"/>
      <c r="H352" s="29"/>
      <c r="I352" s="29"/>
      <c r="J352" s="29"/>
      <c r="K352" s="29"/>
      <c r="L352" s="29"/>
      <c r="M352" s="29"/>
      <c r="N352" s="29"/>
      <c r="O352" s="29"/>
      <c r="P352" s="29"/>
      <c r="Q352" s="29"/>
      <c r="R352" s="29"/>
      <c r="S352" s="29"/>
      <c r="T352" s="29"/>
      <c r="U352" s="29"/>
      <c r="V352" s="29"/>
      <c r="W352" s="29"/>
      <c r="X352" s="29"/>
      <c r="Y352" s="29"/>
      <c r="Z352" s="29"/>
      <c r="AA352" s="29"/>
      <c r="AB352" s="29"/>
      <c r="AC352" s="29"/>
      <c r="AD352" s="29"/>
      <c r="AE352" s="29"/>
      <c r="AF352" s="29"/>
    </row>
    <row r="449" spans="2:32">
      <c r="B449" s="29"/>
      <c r="C449" s="29"/>
      <c r="D449" s="29"/>
      <c r="E449" s="29"/>
      <c r="F449" s="29"/>
      <c r="G449" s="29"/>
      <c r="H449" s="29"/>
      <c r="I449" s="29"/>
      <c r="J449" s="29"/>
      <c r="K449" s="29"/>
      <c r="L449" s="29"/>
      <c r="M449" s="29"/>
      <c r="N449" s="29"/>
      <c r="O449" s="29"/>
      <c r="P449" s="29"/>
      <c r="Q449" s="29"/>
      <c r="R449" s="29"/>
      <c r="S449" s="29"/>
      <c r="T449" s="29"/>
      <c r="U449" s="29"/>
      <c r="V449" s="29"/>
      <c r="W449" s="29"/>
      <c r="X449" s="29"/>
      <c r="Y449" s="29"/>
      <c r="Z449" s="29"/>
      <c r="AA449" s="29"/>
      <c r="AB449" s="29"/>
      <c r="AC449" s="29"/>
      <c r="AD449" s="29"/>
      <c r="AE449" s="29"/>
      <c r="AF449" s="29"/>
    </row>
    <row r="451" spans="2:32">
      <c r="B451" s="29"/>
      <c r="C451" s="29"/>
      <c r="D451" s="29"/>
      <c r="E451" s="29"/>
      <c r="F451" s="29"/>
      <c r="G451" s="29"/>
      <c r="H451" s="29"/>
      <c r="I451" s="29"/>
      <c r="J451" s="29"/>
      <c r="K451" s="29"/>
      <c r="L451" s="29"/>
      <c r="M451" s="29"/>
      <c r="N451" s="29"/>
      <c r="O451" s="29"/>
      <c r="P451" s="29"/>
      <c r="Q451" s="29"/>
      <c r="R451" s="29"/>
      <c r="S451" s="29"/>
      <c r="T451" s="29"/>
      <c r="U451" s="29"/>
      <c r="V451" s="29"/>
      <c r="W451" s="29"/>
      <c r="X451" s="29"/>
      <c r="Y451" s="29"/>
      <c r="Z451" s="29"/>
      <c r="AA451" s="29"/>
      <c r="AB451" s="29"/>
      <c r="AC451" s="29"/>
      <c r="AD451" s="29"/>
      <c r="AE451" s="29"/>
      <c r="AF451" s="29"/>
    </row>
    <row r="452" spans="2:32">
      <c r="B452" s="29"/>
      <c r="C452" s="29"/>
      <c r="D452" s="29"/>
      <c r="E452" s="29"/>
      <c r="F452" s="29"/>
      <c r="G452" s="29"/>
      <c r="H452" s="29"/>
      <c r="I452" s="29"/>
      <c r="J452" s="29"/>
      <c r="K452" s="29"/>
      <c r="L452" s="29"/>
      <c r="M452" s="29"/>
      <c r="N452" s="29"/>
      <c r="O452" s="29"/>
      <c r="P452" s="29"/>
      <c r="Q452" s="29"/>
      <c r="R452" s="29"/>
      <c r="S452" s="29"/>
      <c r="T452" s="29"/>
      <c r="U452" s="29"/>
      <c r="V452" s="29"/>
      <c r="W452" s="29"/>
      <c r="X452" s="29"/>
      <c r="Y452" s="29"/>
      <c r="Z452" s="29"/>
      <c r="AA452" s="29"/>
      <c r="AB452" s="29"/>
      <c r="AC452" s="29"/>
      <c r="AD452" s="29"/>
      <c r="AE452" s="29"/>
      <c r="AF452" s="29"/>
    </row>
    <row r="461" spans="2:32">
      <c r="B461" s="29"/>
      <c r="C461" s="29"/>
      <c r="D461" s="29"/>
      <c r="E461" s="29"/>
      <c r="F461" s="29"/>
      <c r="G461" s="29"/>
      <c r="H461" s="29"/>
      <c r="I461" s="29"/>
      <c r="J461" s="29"/>
      <c r="K461" s="29"/>
      <c r="L461" s="29"/>
      <c r="M461" s="29"/>
      <c r="N461" s="29"/>
      <c r="O461" s="29"/>
      <c r="P461" s="29"/>
      <c r="Q461" s="29"/>
      <c r="R461" s="29"/>
      <c r="S461" s="29"/>
      <c r="T461" s="29"/>
      <c r="U461" s="29"/>
      <c r="V461" s="29"/>
      <c r="W461" s="29"/>
      <c r="X461" s="29"/>
      <c r="Y461" s="29"/>
      <c r="Z461" s="29"/>
      <c r="AA461" s="29"/>
      <c r="AB461" s="29"/>
      <c r="AC461" s="29"/>
      <c r="AD461" s="29"/>
      <c r="AE461" s="29"/>
      <c r="AF461" s="29"/>
    </row>
    <row r="462" spans="2:32">
      <c r="B462" s="29"/>
      <c r="C462" s="29"/>
      <c r="D462" s="29"/>
      <c r="E462" s="29"/>
      <c r="F462" s="29"/>
      <c r="G462" s="29"/>
      <c r="H462" s="29"/>
      <c r="I462" s="29"/>
      <c r="J462" s="29"/>
      <c r="K462" s="29"/>
      <c r="L462" s="29"/>
      <c r="M462" s="29"/>
      <c r="N462" s="29"/>
      <c r="O462" s="29"/>
      <c r="P462" s="29"/>
      <c r="Q462" s="29"/>
      <c r="R462" s="29"/>
      <c r="S462" s="29"/>
      <c r="T462" s="29"/>
      <c r="U462" s="29"/>
      <c r="V462" s="29"/>
      <c r="W462" s="29"/>
      <c r="X462" s="29"/>
      <c r="Y462" s="29"/>
      <c r="Z462" s="29"/>
      <c r="AA462" s="29"/>
      <c r="AB462" s="29"/>
      <c r="AC462" s="29"/>
      <c r="AD462" s="29"/>
      <c r="AE462" s="29"/>
      <c r="AF462" s="29"/>
    </row>
    <row r="463" spans="2:32">
      <c r="B463" s="29"/>
      <c r="C463" s="29"/>
      <c r="D463" s="29"/>
      <c r="E463" s="29"/>
      <c r="F463" s="29"/>
      <c r="G463" s="29"/>
      <c r="H463" s="29"/>
      <c r="I463" s="29"/>
      <c r="J463" s="29"/>
      <c r="K463" s="29"/>
      <c r="L463" s="29"/>
      <c r="M463" s="29"/>
      <c r="N463" s="29"/>
      <c r="O463" s="29"/>
      <c r="P463" s="29"/>
      <c r="Q463" s="29"/>
      <c r="R463" s="29"/>
      <c r="S463" s="29"/>
      <c r="T463" s="29"/>
      <c r="U463" s="29"/>
      <c r="V463" s="29"/>
      <c r="W463" s="29"/>
      <c r="X463" s="29"/>
      <c r="Y463" s="29"/>
      <c r="Z463" s="29"/>
      <c r="AA463" s="29"/>
      <c r="AB463" s="29"/>
      <c r="AC463" s="29"/>
      <c r="AD463" s="29"/>
      <c r="AE463" s="29"/>
      <c r="AF463" s="29"/>
    </row>
    <row r="464" spans="2:32">
      <c r="B464" s="29"/>
      <c r="C464" s="29"/>
      <c r="D464" s="29"/>
      <c r="E464" s="29"/>
      <c r="F464" s="29"/>
      <c r="G464" s="29"/>
      <c r="H464" s="29"/>
      <c r="I464" s="29"/>
      <c r="J464" s="29"/>
      <c r="K464" s="29"/>
      <c r="L464" s="29"/>
      <c r="M464" s="29"/>
      <c r="N464" s="29"/>
      <c r="O464" s="29"/>
      <c r="P464" s="29"/>
      <c r="Q464" s="29"/>
      <c r="R464" s="29"/>
      <c r="S464" s="29"/>
      <c r="T464" s="29"/>
      <c r="U464" s="29"/>
      <c r="V464" s="29"/>
      <c r="W464" s="29"/>
      <c r="X464" s="29"/>
      <c r="Y464" s="29"/>
      <c r="Z464" s="29"/>
      <c r="AA464" s="29"/>
      <c r="AB464" s="29"/>
      <c r="AC464" s="29"/>
      <c r="AD464" s="29"/>
      <c r="AE464" s="29"/>
      <c r="AF464" s="29"/>
    </row>
    <row r="564" spans="2:32">
      <c r="B564" s="29"/>
      <c r="C564" s="29"/>
      <c r="D564" s="29"/>
      <c r="E564" s="29"/>
      <c r="F564" s="29"/>
      <c r="G564" s="29"/>
      <c r="H564" s="29"/>
      <c r="I564" s="29"/>
      <c r="J564" s="29"/>
      <c r="K564" s="29"/>
      <c r="L564" s="29"/>
      <c r="M564" s="29"/>
      <c r="N564" s="29"/>
      <c r="O564" s="29"/>
      <c r="P564" s="29"/>
      <c r="Q564" s="29"/>
      <c r="R564" s="29"/>
      <c r="S564" s="29"/>
      <c r="T564" s="29"/>
      <c r="U564" s="29"/>
      <c r="V564" s="29"/>
      <c r="W564" s="29"/>
      <c r="X564" s="29"/>
      <c r="Y564" s="29"/>
      <c r="Z564" s="29"/>
      <c r="AA564" s="29"/>
      <c r="AB564" s="29"/>
      <c r="AC564" s="29"/>
      <c r="AD564" s="29"/>
      <c r="AE564" s="29"/>
      <c r="AF564" s="29"/>
    </row>
    <row r="565" spans="2:32">
      <c r="B565" s="29"/>
      <c r="C565" s="29"/>
      <c r="D565" s="29"/>
      <c r="E565" s="29"/>
      <c r="F565" s="29"/>
      <c r="G565" s="29"/>
      <c r="H565" s="29"/>
      <c r="I565" s="29"/>
      <c r="J565" s="29"/>
      <c r="K565" s="29"/>
      <c r="L565" s="29"/>
      <c r="M565" s="29"/>
      <c r="N565" s="29"/>
      <c r="O565" s="29"/>
      <c r="P565" s="29"/>
      <c r="Q565" s="29"/>
      <c r="R565" s="29"/>
      <c r="S565" s="29"/>
      <c r="T565" s="29"/>
      <c r="U565" s="29"/>
      <c r="V565" s="29"/>
      <c r="W565" s="29"/>
      <c r="X565" s="29"/>
      <c r="Y565" s="29"/>
      <c r="Z565" s="29"/>
      <c r="AA565" s="29"/>
      <c r="AB565" s="29"/>
      <c r="AC565" s="29"/>
      <c r="AD565" s="29"/>
      <c r="AE565" s="29"/>
      <c r="AF565" s="29"/>
    </row>
    <row r="571" spans="2:32">
      <c r="B571" s="29"/>
      <c r="C571" s="29"/>
      <c r="D571" s="29"/>
      <c r="E571" s="29"/>
      <c r="F571" s="29"/>
      <c r="G571" s="29"/>
      <c r="H571" s="29"/>
      <c r="I571" s="29"/>
      <c r="J571" s="29"/>
      <c r="K571" s="29"/>
      <c r="L571" s="29"/>
      <c r="M571" s="29"/>
      <c r="N571" s="29"/>
      <c r="O571" s="29"/>
      <c r="P571" s="29"/>
      <c r="Q571" s="29"/>
      <c r="R571" s="29"/>
      <c r="S571" s="29"/>
      <c r="T571" s="29"/>
      <c r="U571" s="29"/>
      <c r="V571" s="29"/>
      <c r="W571" s="29"/>
      <c r="X571" s="29"/>
      <c r="Y571" s="29"/>
      <c r="Z571" s="29"/>
      <c r="AA571" s="29"/>
      <c r="AB571" s="29"/>
      <c r="AC571" s="29"/>
      <c r="AD571" s="29"/>
      <c r="AE571" s="29"/>
      <c r="AF571" s="29"/>
    </row>
    <row r="572" spans="2:32">
      <c r="B572" s="29"/>
      <c r="C572" s="29"/>
      <c r="D572" s="29"/>
      <c r="E572" s="29"/>
      <c r="F572" s="29"/>
      <c r="G572" s="29"/>
      <c r="H572" s="29"/>
      <c r="I572" s="29"/>
      <c r="J572" s="29"/>
      <c r="K572" s="29"/>
      <c r="L572" s="29"/>
      <c r="M572" s="29"/>
      <c r="N572" s="29"/>
      <c r="O572" s="29"/>
      <c r="P572" s="29"/>
      <c r="Q572" s="29"/>
      <c r="R572" s="29"/>
      <c r="S572" s="29"/>
      <c r="T572" s="29"/>
      <c r="U572" s="29"/>
      <c r="V572" s="29"/>
      <c r="W572" s="29"/>
      <c r="X572" s="29"/>
      <c r="Y572" s="29"/>
      <c r="Z572" s="29"/>
      <c r="AA572" s="29"/>
      <c r="AB572" s="29"/>
      <c r="AC572" s="29"/>
      <c r="AD572" s="29"/>
      <c r="AE572" s="29"/>
      <c r="AF572" s="29"/>
    </row>
    <row r="573" spans="2:32">
      <c r="B573" s="29"/>
      <c r="C573" s="29"/>
      <c r="D573" s="29"/>
      <c r="E573" s="29"/>
      <c r="F573" s="29"/>
      <c r="G573" s="29"/>
      <c r="H573" s="29"/>
      <c r="I573" s="29"/>
      <c r="J573" s="29"/>
      <c r="K573" s="29"/>
      <c r="L573" s="29"/>
      <c r="M573" s="29"/>
      <c r="N573" s="29"/>
      <c r="O573" s="29"/>
      <c r="P573" s="29"/>
      <c r="Q573" s="29"/>
      <c r="R573" s="29"/>
      <c r="S573" s="29"/>
      <c r="T573" s="29"/>
      <c r="U573" s="29"/>
      <c r="V573" s="29"/>
      <c r="W573" s="29"/>
      <c r="X573" s="29"/>
      <c r="Y573" s="29"/>
      <c r="Z573" s="29"/>
      <c r="AA573" s="29"/>
      <c r="AB573" s="29"/>
      <c r="AC573" s="29"/>
      <c r="AD573" s="29"/>
      <c r="AE573" s="29"/>
      <c r="AF573" s="29"/>
    </row>
    <row r="574" spans="2:32">
      <c r="B574" s="29"/>
      <c r="C574" s="29"/>
      <c r="D574" s="29"/>
      <c r="E574" s="29"/>
      <c r="F574" s="29"/>
      <c r="G574" s="29"/>
      <c r="H574" s="29"/>
      <c r="I574" s="29"/>
      <c r="J574" s="29"/>
      <c r="K574" s="29"/>
      <c r="L574" s="29"/>
      <c r="M574" s="29"/>
      <c r="N574" s="29"/>
      <c r="O574" s="29"/>
      <c r="P574" s="29"/>
      <c r="Q574" s="29"/>
      <c r="R574" s="29"/>
      <c r="S574" s="29"/>
      <c r="T574" s="29"/>
      <c r="U574" s="29"/>
      <c r="V574" s="29"/>
      <c r="W574" s="29"/>
      <c r="X574" s="29"/>
      <c r="Y574" s="29"/>
      <c r="Z574" s="29"/>
      <c r="AA574" s="29"/>
      <c r="AB574" s="29"/>
      <c r="AC574" s="29"/>
      <c r="AD574" s="29"/>
      <c r="AE574" s="29"/>
      <c r="AF574" s="29"/>
    </row>
    <row r="575" spans="2:32">
      <c r="B575" s="29"/>
      <c r="C575" s="29"/>
      <c r="D575" s="29"/>
      <c r="E575" s="29"/>
      <c r="F575" s="29"/>
      <c r="G575" s="29"/>
      <c r="H575" s="29"/>
      <c r="I575" s="29"/>
      <c r="J575" s="29"/>
      <c r="K575" s="29"/>
      <c r="L575" s="29"/>
      <c r="M575" s="29"/>
      <c r="N575" s="29"/>
      <c r="O575" s="29"/>
      <c r="P575" s="29"/>
      <c r="Q575" s="29"/>
      <c r="R575" s="29"/>
      <c r="S575" s="29"/>
      <c r="T575" s="29"/>
      <c r="U575" s="29"/>
      <c r="V575" s="29"/>
      <c r="W575" s="29"/>
      <c r="X575" s="29"/>
      <c r="Y575" s="29"/>
      <c r="Z575" s="29"/>
      <c r="AA575" s="29"/>
      <c r="AB575" s="29"/>
      <c r="AC575" s="29"/>
      <c r="AD575" s="29"/>
      <c r="AE575" s="29"/>
      <c r="AF575" s="29"/>
    </row>
    <row r="576" spans="2:32">
      <c r="B576" s="29"/>
      <c r="C576" s="29"/>
      <c r="D576" s="29"/>
      <c r="E576" s="29"/>
      <c r="F576" s="29"/>
      <c r="G576" s="29"/>
      <c r="H576" s="29"/>
      <c r="I576" s="29"/>
      <c r="J576" s="29"/>
      <c r="K576" s="29"/>
      <c r="L576" s="29"/>
      <c r="M576" s="29"/>
      <c r="N576" s="29"/>
      <c r="O576" s="29"/>
      <c r="P576" s="29"/>
      <c r="Q576" s="29"/>
      <c r="R576" s="29"/>
      <c r="S576" s="29"/>
      <c r="T576" s="29"/>
      <c r="U576" s="29"/>
      <c r="V576" s="29"/>
      <c r="W576" s="29"/>
      <c r="X576" s="29"/>
      <c r="Y576" s="29"/>
      <c r="Z576" s="29"/>
      <c r="AA576" s="29"/>
      <c r="AB576" s="29"/>
      <c r="AC576" s="29"/>
      <c r="AD576" s="29"/>
      <c r="AE576" s="29"/>
      <c r="AF576" s="29"/>
    </row>
    <row r="657" spans="2:32">
      <c r="B657" s="29"/>
      <c r="C657" s="29"/>
      <c r="D657" s="29"/>
      <c r="E657" s="29"/>
      <c r="F657" s="29"/>
      <c r="G657" s="29"/>
      <c r="H657" s="29"/>
      <c r="I657" s="29"/>
      <c r="J657" s="29"/>
      <c r="K657" s="29"/>
      <c r="L657" s="29"/>
      <c r="M657" s="29"/>
      <c r="N657" s="29"/>
      <c r="O657" s="29"/>
      <c r="P657" s="29"/>
      <c r="Q657" s="29"/>
      <c r="R657" s="29"/>
      <c r="S657" s="29"/>
      <c r="T657" s="29"/>
      <c r="U657" s="29"/>
      <c r="V657" s="29"/>
      <c r="W657" s="29"/>
      <c r="X657" s="29"/>
      <c r="Y657" s="29"/>
      <c r="Z657" s="29"/>
      <c r="AA657" s="29"/>
      <c r="AB657" s="29"/>
      <c r="AC657" s="29"/>
      <c r="AD657" s="29"/>
      <c r="AE657" s="29"/>
      <c r="AF657" s="29"/>
    </row>
    <row r="658" spans="2:32">
      <c r="B658" s="29"/>
      <c r="C658" s="29"/>
      <c r="D658" s="29"/>
      <c r="E658" s="29"/>
      <c r="F658" s="29"/>
      <c r="G658" s="29"/>
      <c r="H658" s="29"/>
      <c r="I658" s="29"/>
      <c r="J658" s="29"/>
      <c r="K658" s="29"/>
      <c r="L658" s="29"/>
      <c r="M658" s="29"/>
      <c r="N658" s="29"/>
      <c r="O658" s="29"/>
      <c r="P658" s="29"/>
      <c r="Q658" s="29"/>
      <c r="R658" s="29"/>
      <c r="S658" s="29"/>
      <c r="T658" s="29"/>
      <c r="U658" s="29"/>
      <c r="V658" s="29"/>
      <c r="W658" s="29"/>
      <c r="X658" s="29"/>
      <c r="Y658" s="29"/>
      <c r="Z658" s="29"/>
      <c r="AA658" s="29"/>
      <c r="AB658" s="29"/>
      <c r="AC658" s="29"/>
      <c r="AD658" s="29"/>
      <c r="AE658" s="29"/>
      <c r="AF658" s="29"/>
    </row>
    <row r="660" spans="2:32">
      <c r="B660" s="29"/>
      <c r="C660" s="29"/>
      <c r="D660" s="29"/>
      <c r="E660" s="29"/>
      <c r="F660" s="29"/>
      <c r="G660" s="29"/>
      <c r="H660" s="29"/>
      <c r="I660" s="29"/>
      <c r="J660" s="29"/>
      <c r="K660" s="29"/>
      <c r="L660" s="29"/>
      <c r="M660" s="29"/>
      <c r="N660" s="29"/>
      <c r="O660" s="29"/>
      <c r="P660" s="29"/>
      <c r="Q660" s="29"/>
      <c r="R660" s="29"/>
      <c r="S660" s="29"/>
      <c r="T660" s="29"/>
      <c r="U660" s="29"/>
      <c r="V660" s="29"/>
      <c r="W660" s="29"/>
      <c r="X660" s="29"/>
      <c r="Y660" s="29"/>
      <c r="Z660" s="29"/>
      <c r="AA660" s="29"/>
      <c r="AB660" s="29"/>
      <c r="AC660" s="29"/>
      <c r="AD660" s="29"/>
      <c r="AE660" s="29"/>
      <c r="AF660" s="29"/>
    </row>
    <row r="662" spans="2:32">
      <c r="B662" s="29"/>
      <c r="C662" s="29"/>
      <c r="D662" s="29"/>
      <c r="E662" s="29"/>
      <c r="F662" s="29"/>
      <c r="G662" s="29"/>
      <c r="H662" s="29"/>
      <c r="I662" s="29"/>
      <c r="J662" s="29"/>
      <c r="K662" s="29"/>
      <c r="L662" s="29"/>
      <c r="M662" s="29"/>
      <c r="N662" s="29"/>
      <c r="O662" s="29"/>
      <c r="P662" s="29"/>
      <c r="Q662" s="29"/>
      <c r="R662" s="29"/>
      <c r="S662" s="29"/>
      <c r="T662" s="29"/>
      <c r="U662" s="29"/>
      <c r="V662" s="29"/>
      <c r="W662" s="29"/>
      <c r="X662" s="29"/>
      <c r="Y662" s="29"/>
      <c r="Z662" s="29"/>
      <c r="AA662" s="29"/>
      <c r="AB662" s="29"/>
      <c r="AC662" s="29"/>
      <c r="AD662" s="29"/>
      <c r="AE662" s="29"/>
      <c r="AF662" s="29"/>
    </row>
    <row r="663" spans="2:32">
      <c r="B663" s="29"/>
      <c r="C663" s="29"/>
      <c r="D663" s="29"/>
      <c r="E663" s="29"/>
      <c r="F663" s="29"/>
      <c r="G663" s="29"/>
      <c r="H663" s="29"/>
      <c r="I663" s="29"/>
      <c r="J663" s="29"/>
      <c r="K663" s="29"/>
      <c r="L663" s="29"/>
      <c r="M663" s="29"/>
      <c r="N663" s="29"/>
      <c r="O663" s="29"/>
      <c r="P663" s="29"/>
      <c r="Q663" s="29"/>
      <c r="R663" s="29"/>
      <c r="S663" s="29"/>
      <c r="T663" s="29"/>
      <c r="U663" s="29"/>
      <c r="V663" s="29"/>
      <c r="W663" s="29"/>
      <c r="X663" s="29"/>
      <c r="Y663" s="29"/>
      <c r="Z663" s="29"/>
      <c r="AA663" s="29"/>
      <c r="AB663" s="29"/>
      <c r="AC663" s="29"/>
      <c r="AD663" s="29"/>
      <c r="AE663" s="29"/>
      <c r="AF663" s="29"/>
    </row>
    <row r="669" spans="2:32">
      <c r="B669" s="29"/>
      <c r="C669" s="29"/>
      <c r="D669" s="29"/>
      <c r="E669" s="29"/>
      <c r="F669" s="29"/>
      <c r="G669" s="29"/>
      <c r="H669" s="29"/>
      <c r="I669" s="29"/>
      <c r="J669" s="29"/>
      <c r="K669" s="29"/>
      <c r="L669" s="29"/>
      <c r="M669" s="29"/>
      <c r="N669" s="29"/>
      <c r="O669" s="29"/>
      <c r="P669" s="29"/>
      <c r="Q669" s="29"/>
      <c r="R669" s="29"/>
      <c r="S669" s="29"/>
      <c r="T669" s="29"/>
      <c r="U669" s="29"/>
      <c r="V669" s="29"/>
      <c r="W669" s="29"/>
      <c r="X669" s="29"/>
      <c r="Y669" s="29"/>
      <c r="Z669" s="29"/>
      <c r="AA669" s="29"/>
      <c r="AB669" s="29"/>
      <c r="AC669" s="29"/>
      <c r="AD669" s="29"/>
      <c r="AE669" s="29"/>
      <c r="AF669" s="29"/>
    </row>
    <row r="670" spans="2:32">
      <c r="B670" s="29"/>
      <c r="C670" s="29"/>
      <c r="D670" s="29"/>
      <c r="E670" s="29"/>
      <c r="F670" s="29"/>
      <c r="G670" s="29"/>
      <c r="H670" s="29"/>
      <c r="I670" s="29"/>
      <c r="J670" s="29"/>
      <c r="K670" s="29"/>
      <c r="L670" s="29"/>
      <c r="M670" s="29"/>
      <c r="N670" s="29"/>
      <c r="O670" s="29"/>
      <c r="P670" s="29"/>
      <c r="Q670" s="29"/>
      <c r="R670" s="29"/>
      <c r="S670" s="29"/>
      <c r="T670" s="29"/>
      <c r="U670" s="29"/>
      <c r="V670" s="29"/>
      <c r="W670" s="29"/>
      <c r="X670" s="29"/>
      <c r="Y670" s="29"/>
      <c r="Z670" s="29"/>
      <c r="AA670" s="29"/>
      <c r="AB670" s="29"/>
      <c r="AC670" s="29"/>
      <c r="AD670" s="29"/>
      <c r="AE670" s="29"/>
      <c r="AF670" s="29"/>
    </row>
    <row r="671" spans="2:32">
      <c r="B671" s="29"/>
      <c r="C671" s="29"/>
      <c r="D671" s="29"/>
      <c r="E671" s="29"/>
      <c r="F671" s="29"/>
      <c r="G671" s="29"/>
      <c r="H671" s="29"/>
      <c r="I671" s="29"/>
      <c r="J671" s="29"/>
      <c r="K671" s="29"/>
      <c r="L671" s="29"/>
      <c r="M671" s="29"/>
      <c r="N671" s="29"/>
      <c r="O671" s="29"/>
      <c r="P671" s="29"/>
      <c r="Q671" s="29"/>
      <c r="R671" s="29"/>
      <c r="S671" s="29"/>
      <c r="T671" s="29"/>
      <c r="U671" s="29"/>
      <c r="V671" s="29"/>
      <c r="W671" s="29"/>
      <c r="X671" s="29"/>
      <c r="Y671" s="29"/>
      <c r="Z671" s="29"/>
      <c r="AA671" s="29"/>
      <c r="AB671" s="29"/>
      <c r="AC671" s="29"/>
      <c r="AD671" s="29"/>
      <c r="AE671" s="29"/>
      <c r="AF671" s="29"/>
    </row>
    <row r="672" spans="2:32">
      <c r="B672" s="29"/>
      <c r="C672" s="29"/>
      <c r="D672" s="29"/>
      <c r="E672" s="29"/>
      <c r="F672" s="29"/>
      <c r="G672" s="29"/>
      <c r="H672" s="29"/>
      <c r="I672" s="29"/>
      <c r="J672" s="29"/>
      <c r="K672" s="29"/>
      <c r="L672" s="29"/>
      <c r="M672" s="29"/>
      <c r="N672" s="29"/>
      <c r="O672" s="29"/>
      <c r="P672" s="29"/>
      <c r="Q672" s="29"/>
      <c r="R672" s="29"/>
      <c r="S672" s="29"/>
      <c r="T672" s="29"/>
      <c r="U672" s="29"/>
      <c r="V672" s="29"/>
      <c r="W672" s="29"/>
      <c r="X672" s="29"/>
      <c r="Y672" s="29"/>
      <c r="Z672" s="29"/>
      <c r="AA672" s="29"/>
      <c r="AB672" s="29"/>
      <c r="AC672" s="29"/>
      <c r="AD672" s="29"/>
      <c r="AE672" s="29"/>
      <c r="AF672" s="29"/>
    </row>
    <row r="723" spans="2:32">
      <c r="B723" s="29"/>
      <c r="C723" s="29"/>
      <c r="D723" s="29"/>
      <c r="E723" s="29"/>
      <c r="F723" s="29"/>
      <c r="G723" s="29"/>
      <c r="H723" s="29"/>
      <c r="I723" s="29"/>
      <c r="J723" s="29"/>
      <c r="K723" s="29"/>
      <c r="L723" s="29"/>
      <c r="M723" s="29"/>
      <c r="N723" s="29"/>
      <c r="O723" s="29"/>
      <c r="P723" s="29"/>
      <c r="Q723" s="29"/>
      <c r="R723" s="29"/>
      <c r="S723" s="29"/>
      <c r="T723" s="29"/>
      <c r="U723" s="29"/>
      <c r="V723" s="29"/>
      <c r="W723" s="29"/>
      <c r="X723" s="29"/>
      <c r="Y723" s="29"/>
      <c r="Z723" s="29"/>
      <c r="AA723" s="29"/>
      <c r="AB723" s="29"/>
      <c r="AC723" s="29"/>
      <c r="AD723" s="29"/>
      <c r="AE723" s="29"/>
      <c r="AF723" s="29"/>
    </row>
    <row r="728" spans="2:32">
      <c r="B728" s="29"/>
      <c r="C728" s="29"/>
      <c r="D728" s="29"/>
      <c r="E728" s="29"/>
      <c r="F728" s="29"/>
      <c r="G728" s="29"/>
      <c r="H728" s="29"/>
      <c r="I728" s="29"/>
      <c r="J728" s="29"/>
      <c r="K728" s="29"/>
      <c r="L728" s="29"/>
      <c r="M728" s="29"/>
      <c r="N728" s="29"/>
      <c r="O728" s="29"/>
      <c r="P728" s="29"/>
      <c r="Q728" s="29"/>
      <c r="R728" s="29"/>
      <c r="S728" s="29"/>
      <c r="T728" s="29"/>
      <c r="U728" s="29"/>
      <c r="V728" s="29"/>
      <c r="W728" s="29"/>
      <c r="X728" s="29"/>
      <c r="Y728" s="29"/>
      <c r="Z728" s="29"/>
      <c r="AA728" s="29"/>
      <c r="AB728" s="29"/>
      <c r="AC728" s="29"/>
      <c r="AD728" s="29"/>
      <c r="AE728" s="29"/>
      <c r="AF728" s="29"/>
    </row>
    <row r="734" spans="2:32">
      <c r="B734" s="29"/>
      <c r="C734" s="29"/>
      <c r="D734" s="29"/>
      <c r="E734" s="29"/>
      <c r="F734" s="29"/>
      <c r="G734" s="29"/>
      <c r="H734" s="29"/>
      <c r="I734" s="29"/>
      <c r="J734" s="29"/>
      <c r="K734" s="29"/>
      <c r="L734" s="29"/>
      <c r="M734" s="29"/>
      <c r="N734" s="29"/>
      <c r="O734" s="29"/>
      <c r="P734" s="29"/>
      <c r="Q734" s="29"/>
      <c r="R734" s="29"/>
      <c r="S734" s="29"/>
      <c r="T734" s="29"/>
      <c r="U734" s="29"/>
      <c r="V734" s="29"/>
      <c r="W734" s="29"/>
      <c r="X734" s="29"/>
      <c r="Y734" s="29"/>
      <c r="Z734" s="29"/>
      <c r="AA734" s="29"/>
      <c r="AB734" s="29"/>
      <c r="AC734" s="29"/>
      <c r="AD734" s="29"/>
      <c r="AE734" s="29"/>
      <c r="AF734" s="29"/>
    </row>
    <row r="735" spans="2:32">
      <c r="B735" s="29"/>
      <c r="C735" s="29"/>
      <c r="D735" s="29"/>
      <c r="E735" s="29"/>
      <c r="F735" s="29"/>
      <c r="G735" s="29"/>
      <c r="H735" s="29"/>
      <c r="I735" s="29"/>
      <c r="J735" s="29"/>
      <c r="K735" s="29"/>
      <c r="L735" s="29"/>
      <c r="M735" s="29"/>
      <c r="N735" s="29"/>
      <c r="O735" s="29"/>
      <c r="P735" s="29"/>
      <c r="Q735" s="29"/>
      <c r="R735" s="29"/>
      <c r="S735" s="29"/>
      <c r="T735" s="29"/>
      <c r="U735" s="29"/>
      <c r="V735" s="29"/>
      <c r="W735" s="29"/>
      <c r="X735" s="29"/>
      <c r="Y735" s="29"/>
      <c r="Z735" s="29"/>
      <c r="AA735" s="29"/>
      <c r="AB735" s="29"/>
      <c r="AC735" s="29"/>
      <c r="AD735" s="29"/>
      <c r="AE735" s="29"/>
      <c r="AF735" s="29"/>
    </row>
    <row r="906" spans="2:32">
      <c r="B906" s="29"/>
      <c r="C906" s="29"/>
      <c r="D906" s="29"/>
      <c r="E906" s="29"/>
      <c r="F906" s="29"/>
      <c r="G906" s="29"/>
      <c r="H906" s="29"/>
      <c r="I906" s="29"/>
      <c r="J906" s="29"/>
      <c r="K906" s="29"/>
      <c r="L906" s="29"/>
      <c r="M906" s="29"/>
      <c r="N906" s="29"/>
      <c r="O906" s="29"/>
      <c r="P906" s="29"/>
      <c r="Q906" s="29"/>
      <c r="R906" s="29"/>
      <c r="S906" s="29"/>
      <c r="T906" s="29"/>
      <c r="U906" s="29"/>
      <c r="V906" s="29"/>
      <c r="W906" s="29"/>
      <c r="X906" s="29"/>
      <c r="Y906" s="29"/>
      <c r="Z906" s="29"/>
      <c r="AA906" s="29"/>
      <c r="AB906" s="29"/>
      <c r="AC906" s="29"/>
      <c r="AD906" s="29"/>
      <c r="AE906" s="29"/>
      <c r="AF906" s="29"/>
    </row>
    <row r="910" spans="2:32">
      <c r="B910" s="29"/>
      <c r="C910" s="29"/>
      <c r="D910" s="29"/>
      <c r="E910" s="29"/>
      <c r="F910" s="29"/>
      <c r="G910" s="29"/>
      <c r="H910" s="29"/>
      <c r="I910" s="29"/>
      <c r="J910" s="29"/>
      <c r="K910" s="29"/>
      <c r="L910" s="29"/>
      <c r="M910" s="29"/>
      <c r="N910" s="29"/>
      <c r="O910" s="29"/>
      <c r="P910" s="29"/>
      <c r="Q910" s="29"/>
      <c r="R910" s="29"/>
      <c r="S910" s="29"/>
      <c r="T910" s="29"/>
      <c r="U910" s="29"/>
      <c r="V910" s="29"/>
      <c r="W910" s="29"/>
      <c r="X910" s="29"/>
      <c r="Y910" s="29"/>
      <c r="Z910" s="29"/>
      <c r="AA910" s="29"/>
      <c r="AB910" s="29"/>
      <c r="AC910" s="29"/>
      <c r="AD910" s="29"/>
      <c r="AE910" s="29"/>
      <c r="AF910" s="29"/>
    </row>
    <row r="911" spans="2:32">
      <c r="B911" s="29"/>
      <c r="C911" s="29"/>
      <c r="D911" s="29"/>
      <c r="E911" s="29"/>
      <c r="F911" s="29"/>
      <c r="G911" s="29"/>
      <c r="H911" s="29"/>
      <c r="I911" s="29"/>
      <c r="J911" s="29"/>
      <c r="K911" s="29"/>
      <c r="L911" s="29"/>
      <c r="M911" s="29"/>
      <c r="N911" s="29"/>
      <c r="O911" s="29"/>
      <c r="P911" s="29"/>
      <c r="Q911" s="29"/>
      <c r="R911" s="29"/>
      <c r="S911" s="29"/>
      <c r="T911" s="29"/>
      <c r="U911" s="29"/>
      <c r="V911" s="29"/>
      <c r="W911" s="29"/>
      <c r="X911" s="29"/>
      <c r="Y911" s="29"/>
      <c r="Z911" s="29"/>
      <c r="AA911" s="29"/>
      <c r="AB911" s="29"/>
      <c r="AC911" s="29"/>
      <c r="AD911" s="29"/>
      <c r="AE911" s="29"/>
      <c r="AF911" s="29"/>
    </row>
    <row r="993" spans="2:32">
      <c r="B993" s="29"/>
      <c r="C993" s="29"/>
      <c r="D993" s="29"/>
      <c r="E993" s="29"/>
      <c r="F993" s="29"/>
      <c r="G993" s="29"/>
      <c r="H993" s="29"/>
      <c r="I993" s="29"/>
      <c r="J993" s="29"/>
      <c r="K993" s="29"/>
      <c r="L993" s="29"/>
      <c r="M993" s="29"/>
      <c r="N993" s="29"/>
      <c r="O993" s="29"/>
      <c r="P993" s="29"/>
      <c r="Q993" s="29"/>
      <c r="R993" s="29"/>
      <c r="S993" s="29"/>
      <c r="T993" s="29"/>
      <c r="U993" s="29"/>
      <c r="V993" s="29"/>
      <c r="W993" s="29"/>
      <c r="X993" s="29"/>
      <c r="Y993" s="29"/>
      <c r="Z993" s="29"/>
      <c r="AA993" s="29"/>
      <c r="AB993" s="29"/>
      <c r="AC993" s="29"/>
      <c r="AD993" s="29"/>
      <c r="AE993" s="29"/>
      <c r="AF993" s="29"/>
    </row>
    <row r="994" spans="2:32">
      <c r="B994" s="29"/>
      <c r="C994" s="29"/>
      <c r="D994" s="29"/>
      <c r="E994" s="29"/>
      <c r="F994" s="29"/>
      <c r="G994" s="29"/>
      <c r="H994" s="29"/>
      <c r="I994" s="29"/>
      <c r="J994" s="29"/>
      <c r="K994" s="29"/>
      <c r="L994" s="29"/>
      <c r="M994" s="29"/>
      <c r="N994" s="29"/>
      <c r="O994" s="29"/>
      <c r="P994" s="29"/>
      <c r="Q994" s="29"/>
      <c r="R994" s="29"/>
      <c r="S994" s="29"/>
      <c r="T994" s="29"/>
      <c r="U994" s="29"/>
      <c r="V994" s="29"/>
      <c r="W994" s="29"/>
      <c r="X994" s="29"/>
      <c r="Y994" s="29"/>
      <c r="Z994" s="29"/>
      <c r="AA994" s="29"/>
      <c r="AB994" s="29"/>
      <c r="AC994" s="29"/>
      <c r="AD994" s="29"/>
      <c r="AE994" s="29"/>
      <c r="AF994" s="29"/>
    </row>
    <row r="1001" spans="2:32">
      <c r="B1001" s="29"/>
      <c r="C1001" s="29"/>
      <c r="D1001" s="29"/>
      <c r="E1001" s="29"/>
      <c r="F1001" s="29"/>
      <c r="G1001" s="29"/>
      <c r="H1001" s="29"/>
      <c r="I1001" s="29"/>
      <c r="J1001" s="29"/>
      <c r="K1001" s="29"/>
      <c r="L1001" s="29"/>
      <c r="M1001" s="29"/>
      <c r="N1001" s="29"/>
      <c r="O1001" s="29"/>
      <c r="P1001" s="29"/>
      <c r="Q1001" s="29"/>
      <c r="R1001" s="29"/>
      <c r="S1001" s="29"/>
      <c r="T1001" s="29"/>
      <c r="U1001" s="29"/>
      <c r="V1001" s="29"/>
      <c r="W1001" s="29"/>
      <c r="X1001" s="29"/>
      <c r="Y1001" s="29"/>
      <c r="Z1001" s="29"/>
      <c r="AA1001" s="29"/>
      <c r="AB1001" s="29"/>
      <c r="AC1001" s="29"/>
      <c r="AD1001" s="29"/>
      <c r="AE1001" s="29"/>
      <c r="AF1001" s="29"/>
    </row>
    <row r="1002" spans="2:32">
      <c r="B1002" s="29"/>
      <c r="C1002" s="29"/>
      <c r="D1002" s="29"/>
      <c r="E1002" s="29"/>
      <c r="F1002" s="29"/>
      <c r="G1002" s="29"/>
      <c r="H1002" s="29"/>
      <c r="I1002" s="29"/>
      <c r="J1002" s="29"/>
      <c r="K1002" s="29"/>
      <c r="L1002" s="29"/>
      <c r="M1002" s="29"/>
      <c r="N1002" s="29"/>
      <c r="O1002" s="29"/>
      <c r="P1002" s="29"/>
      <c r="Q1002" s="29"/>
      <c r="R1002" s="29"/>
      <c r="S1002" s="29"/>
      <c r="T1002" s="29"/>
      <c r="U1002" s="29"/>
      <c r="V1002" s="29"/>
      <c r="W1002" s="29"/>
      <c r="X1002" s="29"/>
      <c r="Y1002" s="29"/>
      <c r="Z1002" s="29"/>
      <c r="AA1002" s="29"/>
      <c r="AB1002" s="29"/>
      <c r="AC1002" s="29"/>
      <c r="AD1002" s="29"/>
      <c r="AE1002" s="29"/>
      <c r="AF1002" s="29"/>
    </row>
    <row r="1003" spans="2:32">
      <c r="B1003" s="29"/>
      <c r="C1003" s="29"/>
      <c r="D1003" s="29"/>
      <c r="E1003" s="29"/>
      <c r="F1003" s="29"/>
      <c r="G1003" s="29"/>
      <c r="H1003" s="29"/>
      <c r="I1003" s="29"/>
      <c r="J1003" s="29"/>
      <c r="K1003" s="29"/>
      <c r="L1003" s="29"/>
      <c r="M1003" s="29"/>
      <c r="N1003" s="29"/>
      <c r="O1003" s="29"/>
      <c r="P1003" s="29"/>
      <c r="Q1003" s="29"/>
      <c r="R1003" s="29"/>
      <c r="S1003" s="29"/>
      <c r="T1003" s="29"/>
      <c r="U1003" s="29"/>
      <c r="V1003" s="29"/>
      <c r="W1003" s="29"/>
      <c r="X1003" s="29"/>
      <c r="Y1003" s="29"/>
      <c r="Z1003" s="29"/>
      <c r="AA1003" s="29"/>
      <c r="AB1003" s="29"/>
      <c r="AC1003" s="29"/>
      <c r="AD1003" s="29"/>
      <c r="AE1003" s="29"/>
      <c r="AF1003" s="29"/>
    </row>
    <row r="1004" spans="2:32">
      <c r="B1004" s="29"/>
      <c r="C1004" s="29"/>
      <c r="D1004" s="29"/>
      <c r="E1004" s="29"/>
      <c r="F1004" s="29"/>
      <c r="G1004" s="29"/>
      <c r="H1004" s="29"/>
      <c r="I1004" s="29"/>
      <c r="J1004" s="29"/>
      <c r="K1004" s="29"/>
      <c r="L1004" s="29"/>
      <c r="M1004" s="29"/>
      <c r="N1004" s="29"/>
      <c r="O1004" s="29"/>
      <c r="P1004" s="29"/>
      <c r="Q1004" s="29"/>
      <c r="R1004" s="29"/>
      <c r="S1004" s="29"/>
      <c r="T1004" s="29"/>
      <c r="U1004" s="29"/>
      <c r="V1004" s="29"/>
      <c r="W1004" s="29"/>
      <c r="X1004" s="29"/>
      <c r="Y1004" s="29"/>
      <c r="Z1004" s="29"/>
      <c r="AA1004" s="29"/>
      <c r="AB1004" s="29"/>
      <c r="AC1004" s="29"/>
      <c r="AD1004" s="29"/>
      <c r="AE1004" s="29"/>
      <c r="AF1004" s="29"/>
    </row>
    <row r="1005" spans="2:32">
      <c r="B1005" s="29"/>
      <c r="C1005" s="29"/>
      <c r="D1005" s="29"/>
      <c r="E1005" s="29"/>
      <c r="F1005" s="29"/>
      <c r="G1005" s="29"/>
      <c r="H1005" s="29"/>
      <c r="I1005" s="29"/>
      <c r="J1005" s="29"/>
      <c r="K1005" s="29"/>
      <c r="L1005" s="29"/>
      <c r="M1005" s="29"/>
      <c r="N1005" s="29"/>
      <c r="O1005" s="29"/>
      <c r="P1005" s="29"/>
      <c r="Q1005" s="29"/>
      <c r="R1005" s="29"/>
      <c r="S1005" s="29"/>
      <c r="T1005" s="29"/>
      <c r="U1005" s="29"/>
      <c r="V1005" s="29"/>
      <c r="W1005" s="29"/>
      <c r="X1005" s="29"/>
      <c r="Y1005" s="29"/>
      <c r="Z1005" s="29"/>
      <c r="AA1005" s="29"/>
      <c r="AB1005" s="29"/>
      <c r="AC1005" s="29"/>
      <c r="AD1005" s="29"/>
      <c r="AE1005" s="29"/>
      <c r="AF1005" s="29"/>
    </row>
    <row r="1006" spans="2:32">
      <c r="B1006" s="29"/>
      <c r="C1006" s="29"/>
      <c r="D1006" s="29"/>
      <c r="E1006" s="29"/>
      <c r="F1006" s="29"/>
      <c r="G1006" s="29"/>
      <c r="H1006" s="29"/>
      <c r="I1006" s="29"/>
      <c r="J1006" s="29"/>
      <c r="K1006" s="29"/>
      <c r="L1006" s="29"/>
      <c r="M1006" s="29"/>
      <c r="N1006" s="29"/>
      <c r="O1006" s="29"/>
      <c r="P1006" s="29"/>
      <c r="Q1006" s="29"/>
      <c r="R1006" s="29"/>
      <c r="S1006" s="29"/>
      <c r="T1006" s="29"/>
      <c r="U1006" s="29"/>
      <c r="V1006" s="29"/>
      <c r="W1006" s="29"/>
      <c r="X1006" s="29"/>
      <c r="Y1006" s="29"/>
      <c r="Z1006" s="29"/>
      <c r="AA1006" s="29"/>
      <c r="AB1006" s="29"/>
      <c r="AC1006" s="29"/>
      <c r="AD1006" s="29"/>
      <c r="AE1006" s="29"/>
      <c r="AF1006" s="29"/>
    </row>
    <row r="1007" spans="2:32">
      <c r="B1007" s="29"/>
      <c r="C1007" s="29"/>
      <c r="D1007" s="29"/>
      <c r="E1007" s="29"/>
      <c r="F1007" s="29"/>
      <c r="G1007" s="29"/>
      <c r="H1007" s="29"/>
      <c r="I1007" s="29"/>
      <c r="J1007" s="29"/>
      <c r="K1007" s="29"/>
      <c r="L1007" s="29"/>
      <c r="M1007" s="29"/>
      <c r="N1007" s="29"/>
      <c r="O1007" s="29"/>
      <c r="P1007" s="29"/>
      <c r="Q1007" s="29"/>
      <c r="R1007" s="29"/>
      <c r="S1007" s="29"/>
      <c r="T1007" s="29"/>
      <c r="U1007" s="29"/>
      <c r="V1007" s="29"/>
      <c r="W1007" s="29"/>
      <c r="X1007" s="29"/>
      <c r="Y1007" s="29"/>
      <c r="Z1007" s="29"/>
      <c r="AA1007" s="29"/>
      <c r="AB1007" s="29"/>
      <c r="AC1007" s="29"/>
      <c r="AD1007" s="29"/>
      <c r="AE1007" s="29"/>
      <c r="AF1007" s="29"/>
    </row>
    <row r="1008" spans="2:32">
      <c r="B1008" s="29"/>
      <c r="C1008" s="29"/>
      <c r="D1008" s="29"/>
      <c r="E1008" s="29"/>
      <c r="F1008" s="29"/>
      <c r="G1008" s="29"/>
      <c r="H1008" s="29"/>
      <c r="I1008" s="29"/>
      <c r="J1008" s="29"/>
      <c r="K1008" s="29"/>
      <c r="L1008" s="29"/>
      <c r="M1008" s="29"/>
      <c r="N1008" s="29"/>
      <c r="O1008" s="29"/>
      <c r="P1008" s="29"/>
      <c r="Q1008" s="29"/>
      <c r="R1008" s="29"/>
      <c r="S1008" s="29"/>
      <c r="T1008" s="29"/>
      <c r="U1008" s="29"/>
      <c r="V1008" s="29"/>
      <c r="W1008" s="29"/>
      <c r="X1008" s="29"/>
      <c r="Y1008" s="29"/>
      <c r="Z1008" s="29"/>
      <c r="AA1008" s="29"/>
      <c r="AB1008" s="29"/>
      <c r="AC1008" s="29"/>
      <c r="AD1008" s="29"/>
      <c r="AE1008" s="29"/>
      <c r="AF1008" s="29"/>
    </row>
    <row r="1095" spans="2:32">
      <c r="B1095" s="29"/>
      <c r="C1095" s="29"/>
      <c r="D1095" s="29"/>
      <c r="E1095" s="29"/>
      <c r="F1095" s="29"/>
      <c r="G1095" s="29"/>
      <c r="H1095" s="29"/>
      <c r="I1095" s="29"/>
      <c r="J1095" s="29"/>
      <c r="K1095" s="29"/>
      <c r="L1095" s="29"/>
      <c r="M1095" s="29"/>
      <c r="N1095" s="29"/>
      <c r="O1095" s="29"/>
      <c r="P1095" s="29"/>
      <c r="Q1095" s="29"/>
      <c r="R1095" s="29"/>
      <c r="S1095" s="29"/>
      <c r="T1095" s="29"/>
      <c r="U1095" s="29"/>
      <c r="V1095" s="29"/>
      <c r="W1095" s="29"/>
      <c r="X1095" s="29"/>
      <c r="Y1095" s="29"/>
      <c r="Z1095" s="29"/>
      <c r="AA1095" s="29"/>
      <c r="AB1095" s="29"/>
      <c r="AC1095" s="29"/>
      <c r="AD1095" s="29"/>
      <c r="AE1095" s="29"/>
      <c r="AF1095" s="29"/>
    </row>
    <row r="1096" spans="2:32">
      <c r="B1096" s="29"/>
      <c r="C1096" s="29"/>
      <c r="D1096" s="29"/>
      <c r="E1096" s="29"/>
      <c r="F1096" s="29"/>
      <c r="G1096" s="29"/>
      <c r="H1096" s="29"/>
      <c r="I1096" s="29"/>
      <c r="J1096" s="29"/>
      <c r="K1096" s="29"/>
      <c r="L1096" s="29"/>
      <c r="M1096" s="29"/>
      <c r="N1096" s="29"/>
      <c r="O1096" s="29"/>
      <c r="P1096" s="29"/>
      <c r="Q1096" s="29"/>
      <c r="R1096" s="29"/>
      <c r="S1096" s="29"/>
      <c r="T1096" s="29"/>
      <c r="U1096" s="29"/>
      <c r="V1096" s="29"/>
      <c r="W1096" s="29"/>
      <c r="X1096" s="29"/>
      <c r="Y1096" s="29"/>
      <c r="Z1096" s="29"/>
      <c r="AA1096" s="29"/>
      <c r="AB1096" s="29"/>
      <c r="AC1096" s="29"/>
      <c r="AD1096" s="29"/>
      <c r="AE1096" s="29"/>
      <c r="AF1096" s="29"/>
    </row>
    <row r="1103" spans="2:32">
      <c r="B1103" s="29"/>
      <c r="C1103" s="29"/>
      <c r="D1103" s="29"/>
      <c r="E1103" s="29"/>
      <c r="F1103" s="29"/>
      <c r="G1103" s="29"/>
      <c r="H1103" s="29"/>
      <c r="I1103" s="29"/>
      <c r="J1103" s="29"/>
      <c r="K1103" s="29"/>
      <c r="L1103" s="29"/>
      <c r="M1103" s="29"/>
      <c r="N1103" s="29"/>
      <c r="O1103" s="29"/>
      <c r="P1103" s="29"/>
      <c r="Q1103" s="29"/>
      <c r="R1103" s="29"/>
      <c r="S1103" s="29"/>
      <c r="T1103" s="29"/>
      <c r="U1103" s="29"/>
      <c r="V1103" s="29"/>
      <c r="W1103" s="29"/>
      <c r="X1103" s="29"/>
      <c r="Y1103" s="29"/>
      <c r="Z1103" s="29"/>
      <c r="AA1103" s="29"/>
      <c r="AB1103" s="29"/>
      <c r="AC1103" s="29"/>
      <c r="AD1103" s="29"/>
      <c r="AE1103" s="29"/>
      <c r="AF1103" s="29"/>
    </row>
    <row r="1104" spans="2:32">
      <c r="B1104" s="29"/>
      <c r="C1104" s="29"/>
      <c r="D1104" s="29"/>
      <c r="E1104" s="29"/>
      <c r="F1104" s="29"/>
      <c r="G1104" s="29"/>
      <c r="H1104" s="29"/>
      <c r="I1104" s="29"/>
      <c r="J1104" s="29"/>
      <c r="K1104" s="29"/>
      <c r="L1104" s="29"/>
      <c r="M1104" s="29"/>
      <c r="N1104" s="29"/>
      <c r="O1104" s="29"/>
      <c r="P1104" s="29"/>
      <c r="Q1104" s="29"/>
      <c r="R1104" s="29"/>
      <c r="S1104" s="29"/>
      <c r="T1104" s="29"/>
      <c r="U1104" s="29"/>
      <c r="V1104" s="29"/>
      <c r="W1104" s="29"/>
      <c r="X1104" s="29"/>
      <c r="Y1104" s="29"/>
      <c r="Z1104" s="29"/>
      <c r="AA1104" s="29"/>
      <c r="AB1104" s="29"/>
      <c r="AC1104" s="29"/>
      <c r="AD1104" s="29"/>
      <c r="AE1104" s="29"/>
      <c r="AF1104" s="29"/>
    </row>
    <row r="1193" spans="2:32">
      <c r="B1193" s="29"/>
      <c r="C1193" s="29"/>
      <c r="D1193" s="29"/>
      <c r="E1193" s="29"/>
      <c r="F1193" s="29"/>
      <c r="G1193" s="29"/>
      <c r="H1193" s="29"/>
      <c r="I1193" s="29"/>
      <c r="J1193" s="29"/>
      <c r="K1193" s="29"/>
      <c r="L1193" s="29"/>
      <c r="M1193" s="29"/>
      <c r="N1193" s="29"/>
      <c r="O1193" s="29"/>
      <c r="P1193" s="29"/>
      <c r="Q1193" s="29"/>
      <c r="R1193" s="29"/>
      <c r="S1193" s="29"/>
      <c r="T1193" s="29"/>
      <c r="U1193" s="29"/>
      <c r="V1193" s="29"/>
      <c r="W1193" s="29"/>
      <c r="X1193" s="29"/>
      <c r="Y1193" s="29"/>
      <c r="Z1193" s="29"/>
      <c r="AA1193" s="29"/>
      <c r="AB1193" s="29"/>
      <c r="AC1193" s="29"/>
      <c r="AD1193" s="29"/>
      <c r="AE1193" s="29"/>
      <c r="AF1193" s="29"/>
    </row>
    <row r="1194" spans="2:32">
      <c r="B1194" s="29"/>
      <c r="C1194" s="29"/>
      <c r="D1194" s="29"/>
      <c r="E1194" s="29"/>
      <c r="F1194" s="29"/>
      <c r="G1194" s="29"/>
      <c r="H1194" s="29"/>
      <c r="I1194" s="29"/>
      <c r="J1194" s="29"/>
      <c r="K1194" s="29"/>
      <c r="L1194" s="29"/>
      <c r="M1194" s="29"/>
      <c r="N1194" s="29"/>
      <c r="O1194" s="29"/>
      <c r="P1194" s="29"/>
      <c r="Q1194" s="29"/>
      <c r="R1194" s="29"/>
      <c r="S1194" s="29"/>
      <c r="T1194" s="29"/>
      <c r="U1194" s="29"/>
      <c r="V1194" s="29"/>
      <c r="W1194" s="29"/>
      <c r="X1194" s="29"/>
      <c r="Y1194" s="29"/>
      <c r="Z1194" s="29"/>
      <c r="AA1194" s="29"/>
      <c r="AB1194" s="29"/>
      <c r="AC1194" s="29"/>
      <c r="AD1194" s="29"/>
      <c r="AE1194" s="29"/>
      <c r="AF1194" s="29"/>
    </row>
    <row r="1281" spans="2:32">
      <c r="B1281" s="29"/>
      <c r="C1281" s="29"/>
      <c r="D1281" s="29"/>
      <c r="E1281" s="29"/>
      <c r="F1281" s="29"/>
      <c r="G1281" s="29"/>
      <c r="H1281" s="29"/>
      <c r="I1281" s="29"/>
      <c r="J1281" s="29"/>
      <c r="K1281" s="29"/>
      <c r="L1281" s="29"/>
      <c r="M1281" s="29"/>
      <c r="N1281" s="29"/>
      <c r="O1281" s="29"/>
      <c r="P1281" s="29"/>
      <c r="Q1281" s="29"/>
      <c r="R1281" s="29"/>
      <c r="S1281" s="29"/>
      <c r="T1281" s="29"/>
      <c r="U1281" s="29"/>
      <c r="V1281" s="29"/>
      <c r="W1281" s="29"/>
      <c r="X1281" s="29"/>
      <c r="Y1281" s="29"/>
      <c r="Z1281" s="29"/>
      <c r="AA1281" s="29"/>
      <c r="AB1281" s="29"/>
      <c r="AC1281" s="29"/>
      <c r="AD1281" s="29"/>
      <c r="AE1281" s="29"/>
      <c r="AF1281" s="29"/>
    </row>
    <row r="1293" spans="2:32">
      <c r="B1293" s="29"/>
      <c r="C1293" s="29"/>
      <c r="D1293" s="29"/>
      <c r="E1293" s="29"/>
      <c r="F1293" s="29"/>
      <c r="G1293" s="29"/>
      <c r="H1293" s="29"/>
      <c r="I1293" s="29"/>
      <c r="J1293" s="29"/>
      <c r="K1293" s="29"/>
      <c r="L1293" s="29"/>
      <c r="M1293" s="29"/>
      <c r="N1293" s="29"/>
      <c r="O1293" s="29"/>
      <c r="P1293" s="29"/>
      <c r="Q1293" s="29"/>
      <c r="R1293" s="29"/>
      <c r="S1293" s="29"/>
      <c r="T1293" s="29"/>
      <c r="U1293" s="29"/>
      <c r="V1293" s="29"/>
      <c r="W1293" s="29"/>
      <c r="X1293" s="29"/>
      <c r="Y1293" s="29"/>
      <c r="Z1293" s="29"/>
      <c r="AA1293" s="29"/>
      <c r="AB1293" s="29"/>
      <c r="AC1293" s="29"/>
      <c r="AD1293" s="29"/>
      <c r="AE1293" s="29"/>
      <c r="AF1293" s="29"/>
    </row>
    <row r="1294" spans="2:32">
      <c r="B1294" s="29"/>
      <c r="C1294" s="29"/>
      <c r="D1294" s="29"/>
      <c r="E1294" s="29"/>
      <c r="F1294" s="29"/>
      <c r="G1294" s="29"/>
      <c r="H1294" s="29"/>
      <c r="I1294" s="29"/>
      <c r="J1294" s="29"/>
      <c r="K1294" s="29"/>
      <c r="L1294" s="29"/>
      <c r="M1294" s="29"/>
      <c r="N1294" s="29"/>
      <c r="O1294" s="29"/>
      <c r="P1294" s="29"/>
      <c r="Q1294" s="29"/>
      <c r="R1294" s="29"/>
      <c r="S1294" s="29"/>
      <c r="T1294" s="29"/>
      <c r="U1294" s="29"/>
      <c r="V1294" s="29"/>
      <c r="W1294" s="29"/>
      <c r="X1294" s="29"/>
      <c r="Y1294" s="29"/>
      <c r="Z1294" s="29"/>
      <c r="AA1294" s="29"/>
      <c r="AB1294" s="29"/>
      <c r="AC1294" s="29"/>
      <c r="AD1294" s="29"/>
      <c r="AE1294" s="29"/>
      <c r="AF1294" s="29"/>
    </row>
    <row r="1589" spans="2:32">
      <c r="B1589" s="29"/>
      <c r="C1589" s="29"/>
      <c r="D1589" s="29"/>
      <c r="E1589" s="29"/>
      <c r="F1589" s="29"/>
      <c r="G1589" s="29"/>
      <c r="H1589" s="29"/>
      <c r="I1589" s="29"/>
      <c r="J1589" s="29"/>
      <c r="K1589" s="29"/>
      <c r="L1589" s="29"/>
      <c r="M1589" s="29"/>
      <c r="N1589" s="29"/>
      <c r="O1589" s="29"/>
      <c r="P1589" s="29"/>
      <c r="Q1589" s="29"/>
      <c r="R1589" s="29"/>
      <c r="S1589" s="29"/>
      <c r="T1589" s="29"/>
      <c r="U1589" s="29"/>
      <c r="V1589" s="29"/>
      <c r="W1589" s="29"/>
      <c r="X1589" s="29"/>
      <c r="Y1589" s="29"/>
      <c r="Z1589" s="29"/>
      <c r="AA1589" s="29"/>
      <c r="AB1589" s="29"/>
      <c r="AC1589" s="29"/>
      <c r="AD1589" s="29"/>
      <c r="AE1589" s="29"/>
      <c r="AF1589" s="29"/>
    </row>
    <row r="1590" spans="2:32">
      <c r="B1590" s="29"/>
      <c r="C1590" s="29"/>
      <c r="D1590" s="29"/>
      <c r="E1590" s="29"/>
      <c r="F1590" s="29"/>
      <c r="G1590" s="29"/>
      <c r="H1590" s="29"/>
      <c r="I1590" s="29"/>
      <c r="J1590" s="29"/>
      <c r="K1590" s="29"/>
      <c r="L1590" s="29"/>
      <c r="M1590" s="29"/>
      <c r="N1590" s="29"/>
      <c r="O1590" s="29"/>
      <c r="P1590" s="29"/>
      <c r="Q1590" s="29"/>
      <c r="R1590" s="29"/>
      <c r="S1590" s="29"/>
      <c r="T1590" s="29"/>
      <c r="U1590" s="29"/>
      <c r="V1590" s="29"/>
      <c r="W1590" s="29"/>
      <c r="X1590" s="29"/>
      <c r="Y1590" s="29"/>
      <c r="Z1590" s="29"/>
      <c r="AA1590" s="29"/>
      <c r="AB1590" s="29"/>
      <c r="AC1590" s="29"/>
      <c r="AD1590" s="29"/>
      <c r="AE1590" s="29"/>
      <c r="AF1590" s="29"/>
    </row>
    <row r="1599" spans="2:32">
      <c r="B1599" s="29"/>
      <c r="C1599" s="29"/>
      <c r="D1599" s="29"/>
      <c r="E1599" s="29"/>
      <c r="F1599" s="29"/>
      <c r="G1599" s="29"/>
      <c r="H1599" s="29"/>
      <c r="I1599" s="29"/>
      <c r="J1599" s="29"/>
      <c r="K1599" s="29"/>
      <c r="L1599" s="29"/>
      <c r="M1599" s="29"/>
      <c r="N1599" s="29"/>
      <c r="O1599" s="29"/>
      <c r="P1599" s="29"/>
      <c r="Q1599" s="29"/>
      <c r="R1599" s="29"/>
      <c r="S1599" s="29"/>
      <c r="T1599" s="29"/>
      <c r="U1599" s="29"/>
      <c r="V1599" s="29"/>
      <c r="W1599" s="29"/>
      <c r="X1599" s="29"/>
      <c r="Y1599" s="29"/>
      <c r="Z1599" s="29"/>
      <c r="AA1599" s="29"/>
      <c r="AB1599" s="29"/>
      <c r="AC1599" s="29"/>
      <c r="AD1599" s="29"/>
      <c r="AE1599" s="29"/>
      <c r="AF1599" s="29"/>
    </row>
    <row r="1600" spans="2:32">
      <c r="B1600" s="29"/>
      <c r="C1600" s="29"/>
      <c r="D1600" s="29"/>
      <c r="E1600" s="29"/>
      <c r="F1600" s="29"/>
      <c r="G1600" s="29"/>
      <c r="H1600" s="29"/>
      <c r="I1600" s="29"/>
      <c r="J1600" s="29"/>
      <c r="K1600" s="29"/>
      <c r="L1600" s="29"/>
      <c r="M1600" s="29"/>
      <c r="N1600" s="29"/>
      <c r="O1600" s="29"/>
      <c r="P1600" s="29"/>
      <c r="Q1600" s="29"/>
      <c r="R1600" s="29"/>
      <c r="S1600" s="29"/>
      <c r="T1600" s="29"/>
      <c r="U1600" s="29"/>
      <c r="V1600" s="29"/>
      <c r="W1600" s="29"/>
      <c r="X1600" s="29"/>
      <c r="Y1600" s="29"/>
      <c r="Z1600" s="29"/>
      <c r="AA1600" s="29"/>
      <c r="AB1600" s="29"/>
      <c r="AC1600" s="29"/>
      <c r="AD1600" s="29"/>
      <c r="AE1600" s="29"/>
      <c r="AF1600" s="29"/>
    </row>
    <row r="1812" spans="2:32">
      <c r="B1812" s="29"/>
      <c r="C1812" s="29"/>
      <c r="D1812" s="29"/>
      <c r="E1812" s="29"/>
      <c r="F1812" s="29"/>
      <c r="G1812" s="29"/>
      <c r="H1812" s="29"/>
      <c r="I1812" s="29"/>
      <c r="J1812" s="29"/>
      <c r="K1812" s="29"/>
      <c r="L1812" s="29"/>
      <c r="M1812" s="29"/>
      <c r="N1812" s="29"/>
      <c r="O1812" s="29"/>
      <c r="P1812" s="29"/>
      <c r="Q1812" s="29"/>
      <c r="R1812" s="29"/>
      <c r="S1812" s="29"/>
      <c r="T1812" s="29"/>
      <c r="U1812" s="29"/>
      <c r="V1812" s="29"/>
      <c r="W1812" s="29"/>
      <c r="X1812" s="29"/>
      <c r="Y1812" s="29"/>
      <c r="Z1812" s="29"/>
      <c r="AA1812" s="29"/>
      <c r="AB1812" s="29"/>
      <c r="AC1812" s="29"/>
      <c r="AD1812" s="29"/>
      <c r="AE1812" s="29"/>
      <c r="AF1812" s="29"/>
    </row>
    <row r="1813" spans="2:32">
      <c r="B1813" s="29"/>
      <c r="C1813" s="29"/>
      <c r="D1813" s="29"/>
      <c r="E1813" s="29"/>
      <c r="F1813" s="29"/>
      <c r="G1813" s="29"/>
      <c r="H1813" s="29"/>
      <c r="I1813" s="29"/>
      <c r="J1813" s="29"/>
      <c r="K1813" s="29"/>
      <c r="L1813" s="29"/>
      <c r="M1813" s="29"/>
      <c r="N1813" s="29"/>
      <c r="O1813" s="29"/>
      <c r="P1813" s="29"/>
      <c r="Q1813" s="29"/>
      <c r="R1813" s="29"/>
      <c r="S1813" s="29"/>
      <c r="T1813" s="29"/>
      <c r="U1813" s="29"/>
      <c r="V1813" s="29"/>
      <c r="W1813" s="29"/>
      <c r="X1813" s="29"/>
      <c r="Y1813" s="29"/>
      <c r="Z1813" s="29"/>
      <c r="AA1813" s="29"/>
      <c r="AB1813" s="29"/>
      <c r="AC1813" s="29"/>
      <c r="AD1813" s="29"/>
      <c r="AE1813" s="29"/>
      <c r="AF1813" s="29"/>
    </row>
    <row r="1814" spans="2:32">
      <c r="B1814" s="29"/>
      <c r="C1814" s="29"/>
      <c r="D1814" s="29"/>
      <c r="E1814" s="29"/>
      <c r="F1814" s="29"/>
      <c r="G1814" s="29"/>
      <c r="H1814" s="29"/>
      <c r="I1814" s="29"/>
      <c r="J1814" s="29"/>
      <c r="K1814" s="29"/>
      <c r="L1814" s="29"/>
      <c r="M1814" s="29"/>
      <c r="N1814" s="29"/>
      <c r="O1814" s="29"/>
      <c r="P1814" s="29"/>
      <c r="Q1814" s="29"/>
      <c r="R1814" s="29"/>
      <c r="S1814" s="29"/>
      <c r="T1814" s="29"/>
      <c r="U1814" s="29"/>
      <c r="V1814" s="29"/>
      <c r="W1814" s="29"/>
      <c r="X1814" s="29"/>
      <c r="Y1814" s="29"/>
      <c r="Z1814" s="29"/>
      <c r="AA1814" s="29"/>
      <c r="AB1814" s="29"/>
      <c r="AC1814" s="29"/>
      <c r="AD1814" s="29"/>
      <c r="AE1814" s="29"/>
      <c r="AF1814" s="29"/>
    </row>
    <row r="1815" spans="2:32">
      <c r="B1815" s="29"/>
      <c r="C1815" s="29"/>
      <c r="D1815" s="29"/>
      <c r="E1815" s="29"/>
      <c r="F1815" s="29"/>
      <c r="G1815" s="29"/>
      <c r="H1815" s="29"/>
      <c r="I1815" s="29"/>
      <c r="J1815" s="29"/>
      <c r="K1815" s="29"/>
      <c r="L1815" s="29"/>
      <c r="M1815" s="29"/>
      <c r="N1815" s="29"/>
      <c r="O1815" s="29"/>
      <c r="P1815" s="29"/>
      <c r="Q1815" s="29"/>
      <c r="R1815" s="29"/>
      <c r="S1815" s="29"/>
      <c r="T1815" s="29"/>
      <c r="U1815" s="29"/>
      <c r="V1815" s="29"/>
      <c r="W1815" s="29"/>
      <c r="X1815" s="29"/>
      <c r="Y1815" s="29"/>
      <c r="Z1815" s="29"/>
      <c r="AA1815" s="29"/>
      <c r="AB1815" s="29"/>
      <c r="AC1815" s="29"/>
      <c r="AD1815" s="29"/>
      <c r="AE1815" s="29"/>
      <c r="AF1815" s="29"/>
    </row>
    <row r="1816" spans="2:32">
      <c r="B1816" s="29"/>
      <c r="C1816" s="29"/>
      <c r="D1816" s="29"/>
      <c r="E1816" s="29"/>
      <c r="F1816" s="29"/>
      <c r="G1816" s="29"/>
      <c r="H1816" s="29"/>
      <c r="I1816" s="29"/>
      <c r="J1816" s="29"/>
      <c r="K1816" s="29"/>
      <c r="L1816" s="29"/>
      <c r="M1816" s="29"/>
      <c r="N1816" s="29"/>
      <c r="O1816" s="29"/>
      <c r="P1816" s="29"/>
      <c r="Q1816" s="29"/>
      <c r="R1816" s="29"/>
      <c r="S1816" s="29"/>
      <c r="T1816" s="29"/>
      <c r="U1816" s="29"/>
      <c r="V1816" s="29"/>
      <c r="W1816" s="29"/>
      <c r="X1816" s="29"/>
      <c r="Y1816" s="29"/>
      <c r="Z1816" s="29"/>
      <c r="AA1816" s="29"/>
      <c r="AB1816" s="29"/>
      <c r="AC1816" s="29"/>
      <c r="AD1816" s="29"/>
      <c r="AE1816" s="29"/>
      <c r="AF1816" s="29"/>
    </row>
    <row r="1817" spans="2:32">
      <c r="B1817" s="29"/>
      <c r="C1817" s="29"/>
      <c r="D1817" s="29"/>
      <c r="E1817" s="29"/>
      <c r="F1817" s="29"/>
      <c r="G1817" s="29"/>
      <c r="H1817" s="29"/>
      <c r="I1817" s="29"/>
      <c r="J1817" s="29"/>
      <c r="K1817" s="29"/>
      <c r="L1817" s="29"/>
      <c r="M1817" s="29"/>
      <c r="N1817" s="29"/>
      <c r="O1817" s="29"/>
      <c r="P1817" s="29"/>
      <c r="Q1817" s="29"/>
      <c r="R1817" s="29"/>
      <c r="S1817" s="29"/>
      <c r="T1817" s="29"/>
      <c r="U1817" s="29"/>
      <c r="V1817" s="29"/>
      <c r="W1817" s="29"/>
      <c r="X1817" s="29"/>
      <c r="Y1817" s="29"/>
      <c r="Z1817" s="29"/>
      <c r="AA1817" s="29"/>
      <c r="AB1817" s="29"/>
      <c r="AC1817" s="29"/>
      <c r="AD1817" s="29"/>
      <c r="AE1817" s="29"/>
      <c r="AF1817" s="29"/>
    </row>
    <row r="1818" spans="2:32">
      <c r="B1818" s="29"/>
      <c r="C1818" s="29"/>
      <c r="D1818" s="29"/>
      <c r="E1818" s="29"/>
      <c r="F1818" s="29"/>
      <c r="G1818" s="29"/>
      <c r="H1818" s="29"/>
      <c r="I1818" s="29"/>
      <c r="J1818" s="29"/>
      <c r="K1818" s="29"/>
      <c r="L1818" s="29"/>
      <c r="M1818" s="29"/>
      <c r="N1818" s="29"/>
      <c r="O1818" s="29"/>
      <c r="P1818" s="29"/>
      <c r="Q1818" s="29"/>
      <c r="R1818" s="29"/>
      <c r="S1818" s="29"/>
      <c r="T1818" s="29"/>
      <c r="U1818" s="29"/>
      <c r="V1818" s="29"/>
      <c r="W1818" s="29"/>
      <c r="X1818" s="29"/>
      <c r="Y1818" s="29"/>
      <c r="Z1818" s="29"/>
      <c r="AA1818" s="29"/>
      <c r="AB1818" s="29"/>
      <c r="AC1818" s="29"/>
      <c r="AD1818" s="29"/>
      <c r="AE1818" s="29"/>
      <c r="AF1818" s="29"/>
    </row>
    <row r="1819" spans="2:32">
      <c r="B1819" s="29"/>
      <c r="C1819" s="29"/>
      <c r="D1819" s="29"/>
      <c r="E1819" s="29"/>
      <c r="F1819" s="29"/>
      <c r="G1819" s="29"/>
      <c r="H1819" s="29"/>
      <c r="I1819" s="29"/>
      <c r="J1819" s="29"/>
      <c r="K1819" s="29"/>
      <c r="L1819" s="29"/>
      <c r="M1819" s="29"/>
      <c r="N1819" s="29"/>
      <c r="O1819" s="29"/>
      <c r="P1819" s="29"/>
      <c r="Q1819" s="29"/>
      <c r="R1819" s="29"/>
      <c r="S1819" s="29"/>
      <c r="T1819" s="29"/>
      <c r="U1819" s="29"/>
      <c r="V1819" s="29"/>
      <c r="W1819" s="29"/>
      <c r="X1819" s="29"/>
      <c r="Y1819" s="29"/>
      <c r="Z1819" s="29"/>
      <c r="AA1819" s="29"/>
      <c r="AB1819" s="29"/>
      <c r="AC1819" s="29"/>
      <c r="AD1819" s="29"/>
      <c r="AE1819" s="29"/>
      <c r="AF1819" s="29"/>
    </row>
    <row r="1820" spans="2:32">
      <c r="B1820" s="29"/>
      <c r="C1820" s="29"/>
      <c r="D1820" s="29"/>
      <c r="E1820" s="29"/>
      <c r="F1820" s="29"/>
      <c r="G1820" s="29"/>
      <c r="H1820" s="29"/>
      <c r="I1820" s="29"/>
      <c r="J1820" s="29"/>
      <c r="K1820" s="29"/>
      <c r="L1820" s="29"/>
      <c r="M1820" s="29"/>
      <c r="N1820" s="29"/>
      <c r="O1820" s="29"/>
      <c r="P1820" s="29"/>
      <c r="Q1820" s="29"/>
      <c r="R1820" s="29"/>
      <c r="S1820" s="29"/>
      <c r="T1820" s="29"/>
      <c r="U1820" s="29"/>
      <c r="V1820" s="29"/>
      <c r="W1820" s="29"/>
      <c r="X1820" s="29"/>
      <c r="Y1820" s="29"/>
      <c r="Z1820" s="29"/>
      <c r="AA1820" s="29"/>
      <c r="AB1820" s="29"/>
      <c r="AC1820" s="29"/>
      <c r="AD1820" s="29"/>
      <c r="AE1820" s="29"/>
      <c r="AF1820" s="29"/>
    </row>
    <row r="1821" spans="2:32">
      <c r="B1821" s="29"/>
      <c r="C1821" s="29"/>
      <c r="D1821" s="29"/>
      <c r="E1821" s="29"/>
      <c r="F1821" s="29"/>
      <c r="G1821" s="29"/>
      <c r="H1821" s="29"/>
      <c r="I1821" s="29"/>
      <c r="J1821" s="29"/>
      <c r="K1821" s="29"/>
      <c r="L1821" s="29"/>
      <c r="M1821" s="29"/>
      <c r="N1821" s="29"/>
      <c r="O1821" s="29"/>
      <c r="P1821" s="29"/>
      <c r="Q1821" s="29"/>
      <c r="R1821" s="29"/>
      <c r="S1821" s="29"/>
      <c r="T1821" s="29"/>
      <c r="U1821" s="29"/>
      <c r="V1821" s="29"/>
      <c r="W1821" s="29"/>
      <c r="X1821" s="29"/>
      <c r="Y1821" s="29"/>
      <c r="Z1821" s="29"/>
      <c r="AA1821" s="29"/>
      <c r="AB1821" s="29"/>
      <c r="AC1821" s="29"/>
      <c r="AD1821" s="29"/>
      <c r="AE1821" s="29"/>
      <c r="AF1821" s="29"/>
    </row>
    <row r="1822" spans="2:32">
      <c r="B1822" s="29"/>
      <c r="C1822" s="29"/>
      <c r="D1822" s="29"/>
      <c r="E1822" s="29"/>
      <c r="F1822" s="29"/>
      <c r="G1822" s="29"/>
      <c r="H1822" s="29"/>
      <c r="I1822" s="29"/>
      <c r="J1822" s="29"/>
      <c r="K1822" s="29"/>
      <c r="L1822" s="29"/>
      <c r="M1822" s="29"/>
      <c r="N1822" s="29"/>
      <c r="O1822" s="29"/>
      <c r="P1822" s="29"/>
      <c r="Q1822" s="29"/>
      <c r="R1822" s="29"/>
      <c r="S1822" s="29"/>
      <c r="T1822" s="29"/>
      <c r="U1822" s="29"/>
      <c r="V1822" s="29"/>
      <c r="W1822" s="29"/>
      <c r="X1822" s="29"/>
      <c r="Y1822" s="29"/>
      <c r="Z1822" s="29"/>
      <c r="AA1822" s="29"/>
      <c r="AB1822" s="29"/>
      <c r="AC1822" s="29"/>
      <c r="AD1822" s="29"/>
      <c r="AE1822" s="29"/>
      <c r="AF1822" s="29"/>
    </row>
    <row r="1823" spans="2:32">
      <c r="B1823" s="29"/>
      <c r="C1823" s="29"/>
      <c r="D1823" s="29"/>
      <c r="E1823" s="29"/>
      <c r="F1823" s="29"/>
      <c r="G1823" s="29"/>
      <c r="H1823" s="29"/>
      <c r="I1823" s="29"/>
      <c r="J1823" s="29"/>
      <c r="K1823" s="29"/>
      <c r="L1823" s="29"/>
      <c r="M1823" s="29"/>
      <c r="N1823" s="29"/>
      <c r="O1823" s="29"/>
      <c r="P1823" s="29"/>
      <c r="Q1823" s="29"/>
      <c r="R1823" s="29"/>
      <c r="S1823" s="29"/>
      <c r="T1823" s="29"/>
      <c r="U1823" s="29"/>
      <c r="V1823" s="29"/>
      <c r="W1823" s="29"/>
      <c r="X1823" s="29"/>
      <c r="Y1823" s="29"/>
      <c r="Z1823" s="29"/>
      <c r="AA1823" s="29"/>
      <c r="AB1823" s="29"/>
      <c r="AC1823" s="29"/>
      <c r="AD1823" s="29"/>
      <c r="AE1823" s="29"/>
      <c r="AF1823" s="29"/>
    </row>
    <row r="1824" spans="2:32">
      <c r="B1824" s="29"/>
      <c r="C1824" s="29"/>
      <c r="D1824" s="29"/>
      <c r="E1824" s="29"/>
      <c r="F1824" s="29"/>
      <c r="G1824" s="29"/>
      <c r="H1824" s="29"/>
      <c r="I1824" s="29"/>
      <c r="J1824" s="29"/>
      <c r="K1824" s="29"/>
      <c r="L1824" s="29"/>
      <c r="M1824" s="29"/>
      <c r="N1824" s="29"/>
      <c r="O1824" s="29"/>
      <c r="P1824" s="29"/>
      <c r="Q1824" s="29"/>
      <c r="R1824" s="29"/>
      <c r="S1824" s="29"/>
      <c r="T1824" s="29"/>
      <c r="U1824" s="29"/>
      <c r="V1824" s="29"/>
      <c r="W1824" s="29"/>
      <c r="X1824" s="29"/>
      <c r="Y1824" s="29"/>
      <c r="Z1824" s="29"/>
      <c r="AA1824" s="29"/>
      <c r="AB1824" s="29"/>
      <c r="AC1824" s="29"/>
      <c r="AD1824" s="29"/>
      <c r="AE1824" s="29"/>
      <c r="AF1824" s="29"/>
    </row>
    <row r="2089" spans="2:32">
      <c r="B2089" s="29"/>
      <c r="C2089" s="29"/>
      <c r="D2089" s="29"/>
      <c r="E2089" s="29"/>
      <c r="F2089" s="29"/>
      <c r="G2089" s="29"/>
      <c r="H2089" s="29"/>
      <c r="I2089" s="29"/>
      <c r="J2089" s="29"/>
      <c r="K2089" s="29"/>
      <c r="L2089" s="29"/>
      <c r="M2089" s="29"/>
      <c r="N2089" s="29"/>
      <c r="O2089" s="29"/>
      <c r="P2089" s="29"/>
      <c r="Q2089" s="29"/>
      <c r="R2089" s="29"/>
      <c r="S2089" s="29"/>
      <c r="T2089" s="29"/>
      <c r="U2089" s="29"/>
      <c r="V2089" s="29"/>
      <c r="W2089" s="29"/>
      <c r="X2089" s="29"/>
      <c r="Y2089" s="29"/>
      <c r="Z2089" s="29"/>
      <c r="AA2089" s="29"/>
      <c r="AB2089" s="29"/>
      <c r="AC2089" s="29"/>
      <c r="AD2089" s="29"/>
      <c r="AE2089" s="29"/>
      <c r="AF2089" s="29"/>
    </row>
    <row r="2090" spans="2:32">
      <c r="B2090" s="29"/>
      <c r="C2090" s="29"/>
      <c r="D2090" s="29"/>
      <c r="E2090" s="29"/>
      <c r="F2090" s="29"/>
      <c r="G2090" s="29"/>
      <c r="H2090" s="29"/>
      <c r="I2090" s="29"/>
      <c r="J2090" s="29"/>
      <c r="K2090" s="29"/>
      <c r="L2090" s="29"/>
      <c r="M2090" s="29"/>
      <c r="N2090" s="29"/>
      <c r="O2090" s="29"/>
      <c r="P2090" s="29"/>
      <c r="Q2090" s="29"/>
      <c r="R2090" s="29"/>
      <c r="S2090" s="29"/>
      <c r="T2090" s="29"/>
      <c r="U2090" s="29"/>
      <c r="V2090" s="29"/>
      <c r="W2090" s="29"/>
      <c r="X2090" s="29"/>
      <c r="Y2090" s="29"/>
      <c r="Z2090" s="29"/>
      <c r="AA2090" s="29"/>
      <c r="AB2090" s="29"/>
      <c r="AC2090" s="29"/>
      <c r="AD2090" s="29"/>
      <c r="AE2090" s="29"/>
      <c r="AF2090" s="29"/>
    </row>
    <row r="2424" spans="2:32">
      <c r="B2424" s="29"/>
      <c r="C2424" s="29"/>
      <c r="D2424" s="29"/>
      <c r="E2424" s="29"/>
      <c r="F2424" s="29"/>
      <c r="G2424" s="29"/>
      <c r="H2424" s="29"/>
      <c r="I2424" s="29"/>
      <c r="J2424" s="29"/>
      <c r="K2424" s="29"/>
      <c r="L2424" s="29"/>
      <c r="M2424" s="29"/>
      <c r="N2424" s="29"/>
      <c r="O2424" s="29"/>
      <c r="P2424" s="29"/>
      <c r="Q2424" s="29"/>
      <c r="R2424" s="29"/>
      <c r="S2424" s="29"/>
      <c r="T2424" s="29"/>
      <c r="U2424" s="29"/>
      <c r="V2424" s="29"/>
      <c r="W2424" s="29"/>
      <c r="X2424" s="29"/>
      <c r="Y2424" s="29"/>
      <c r="Z2424" s="29"/>
      <c r="AA2424" s="29"/>
      <c r="AB2424" s="29"/>
      <c r="AC2424" s="29"/>
      <c r="AD2424" s="29"/>
      <c r="AE2424" s="29"/>
      <c r="AF2424" s="29"/>
    </row>
    <row r="2425" spans="2:32">
      <c r="B2425" s="29"/>
      <c r="C2425" s="29"/>
      <c r="D2425" s="29"/>
      <c r="E2425" s="29"/>
      <c r="F2425" s="29"/>
      <c r="G2425" s="29"/>
      <c r="H2425" s="29"/>
      <c r="I2425" s="29"/>
      <c r="J2425" s="29"/>
      <c r="K2425" s="29"/>
      <c r="L2425" s="29"/>
      <c r="M2425" s="29"/>
      <c r="N2425" s="29"/>
      <c r="O2425" s="29"/>
      <c r="P2425" s="29"/>
      <c r="Q2425" s="29"/>
      <c r="R2425" s="29"/>
      <c r="S2425" s="29"/>
      <c r="T2425" s="29"/>
      <c r="U2425" s="29"/>
      <c r="V2425" s="29"/>
      <c r="W2425" s="29"/>
      <c r="X2425" s="29"/>
      <c r="Y2425" s="29"/>
      <c r="Z2425" s="29"/>
      <c r="AA2425" s="29"/>
      <c r="AB2425" s="29"/>
      <c r="AC2425" s="29"/>
      <c r="AD2425" s="29"/>
      <c r="AE2425" s="29"/>
      <c r="AF2425" s="29"/>
    </row>
    <row r="2744" spans="2:32">
      <c r="B2744" s="29"/>
      <c r="C2744" s="29"/>
      <c r="D2744" s="29"/>
      <c r="E2744" s="29"/>
      <c r="F2744" s="29"/>
      <c r="G2744" s="29"/>
      <c r="H2744" s="29"/>
      <c r="I2744" s="29"/>
      <c r="J2744" s="29"/>
      <c r="K2744" s="29"/>
      <c r="L2744" s="29"/>
      <c r="M2744" s="29"/>
      <c r="N2744" s="29"/>
      <c r="O2744" s="29"/>
      <c r="P2744" s="29"/>
      <c r="Q2744" s="29"/>
      <c r="R2744" s="29"/>
      <c r="S2744" s="29"/>
      <c r="T2744" s="29"/>
      <c r="U2744" s="29"/>
      <c r="V2744" s="29"/>
      <c r="W2744" s="29"/>
      <c r="X2744" s="29"/>
      <c r="Y2744" s="29"/>
      <c r="Z2744" s="29"/>
      <c r="AA2744" s="29"/>
      <c r="AB2744" s="29"/>
      <c r="AC2744" s="29"/>
      <c r="AD2744" s="29"/>
      <c r="AE2744" s="29"/>
      <c r="AF2744" s="29"/>
    </row>
    <row r="2745" spans="2:32">
      <c r="B2745" s="29"/>
      <c r="C2745" s="29"/>
      <c r="D2745" s="29"/>
      <c r="E2745" s="29"/>
      <c r="F2745" s="29"/>
      <c r="G2745" s="29"/>
      <c r="H2745" s="29"/>
      <c r="I2745" s="29"/>
      <c r="J2745" s="29"/>
      <c r="K2745" s="29"/>
      <c r="L2745" s="29"/>
      <c r="M2745" s="29"/>
      <c r="N2745" s="29"/>
      <c r="O2745" s="29"/>
      <c r="P2745" s="29"/>
      <c r="Q2745" s="29"/>
      <c r="R2745" s="29"/>
      <c r="S2745" s="29"/>
      <c r="T2745" s="29"/>
      <c r="U2745" s="29"/>
      <c r="V2745" s="29"/>
      <c r="W2745" s="29"/>
      <c r="X2745" s="29"/>
      <c r="Y2745" s="29"/>
      <c r="Z2745" s="29"/>
      <c r="AA2745" s="29"/>
      <c r="AB2745" s="29"/>
      <c r="AC2745" s="29"/>
      <c r="AD2745" s="29"/>
      <c r="AE2745" s="29"/>
      <c r="AF2745" s="29"/>
    </row>
    <row r="2747" spans="2:32">
      <c r="B2747" s="29"/>
      <c r="C2747" s="29"/>
      <c r="D2747" s="29"/>
      <c r="E2747" s="29"/>
      <c r="F2747" s="29"/>
      <c r="G2747" s="29"/>
      <c r="H2747" s="29"/>
      <c r="I2747" s="29"/>
      <c r="J2747" s="29"/>
      <c r="K2747" s="29"/>
      <c r="L2747" s="29"/>
      <c r="M2747" s="29"/>
      <c r="N2747" s="29"/>
      <c r="O2747" s="29"/>
      <c r="P2747" s="29"/>
      <c r="Q2747" s="29"/>
      <c r="R2747" s="29"/>
      <c r="S2747" s="29"/>
      <c r="T2747" s="29"/>
      <c r="U2747" s="29"/>
      <c r="V2747" s="29"/>
      <c r="W2747" s="29"/>
      <c r="X2747" s="29"/>
      <c r="Y2747" s="29"/>
      <c r="Z2747" s="29"/>
      <c r="AA2747" s="29"/>
      <c r="AB2747" s="29"/>
      <c r="AC2747" s="29"/>
      <c r="AD2747" s="29"/>
      <c r="AE2747" s="29"/>
      <c r="AF2747" s="29"/>
    </row>
    <row r="2748" spans="2:32">
      <c r="B2748" s="29"/>
      <c r="C2748" s="29"/>
      <c r="D2748" s="29"/>
      <c r="E2748" s="29"/>
      <c r="F2748" s="29"/>
      <c r="G2748" s="29"/>
      <c r="H2748" s="29"/>
      <c r="I2748" s="29"/>
      <c r="J2748" s="29"/>
      <c r="K2748" s="29"/>
      <c r="L2748" s="29"/>
      <c r="M2748" s="29"/>
      <c r="N2748" s="29"/>
      <c r="O2748" s="29"/>
      <c r="P2748" s="29"/>
      <c r="Q2748" s="29"/>
      <c r="R2748" s="29"/>
      <c r="S2748" s="29"/>
      <c r="T2748" s="29"/>
      <c r="U2748" s="29"/>
      <c r="V2748" s="29"/>
      <c r="W2748" s="29"/>
      <c r="X2748" s="29"/>
      <c r="Y2748" s="29"/>
      <c r="Z2748" s="29"/>
      <c r="AA2748" s="29"/>
      <c r="AB2748" s="29"/>
      <c r="AC2748" s="29"/>
      <c r="AD2748" s="29"/>
      <c r="AE2748" s="29"/>
      <c r="AF2748" s="29"/>
    </row>
    <row r="2749" spans="2:32">
      <c r="B2749" s="29"/>
      <c r="C2749" s="29"/>
      <c r="D2749" s="29"/>
      <c r="E2749" s="29"/>
      <c r="F2749" s="29"/>
      <c r="G2749" s="29"/>
      <c r="H2749" s="29"/>
      <c r="I2749" s="29"/>
      <c r="J2749" s="29"/>
      <c r="K2749" s="29"/>
      <c r="L2749" s="29"/>
      <c r="M2749" s="29"/>
      <c r="N2749" s="29"/>
      <c r="O2749" s="29"/>
      <c r="P2749" s="29"/>
      <c r="Q2749" s="29"/>
      <c r="R2749" s="29"/>
      <c r="S2749" s="29"/>
      <c r="T2749" s="29"/>
      <c r="U2749" s="29"/>
      <c r="V2749" s="29"/>
      <c r="W2749" s="29"/>
      <c r="X2749" s="29"/>
      <c r="Y2749" s="29"/>
      <c r="Z2749" s="29"/>
      <c r="AA2749" s="29"/>
      <c r="AB2749" s="29"/>
      <c r="AC2749" s="29"/>
      <c r="AD2749" s="29"/>
      <c r="AE2749" s="29"/>
      <c r="AF2749" s="29"/>
    </row>
    <row r="2750" spans="2:32">
      <c r="B2750" s="29"/>
      <c r="C2750" s="29"/>
      <c r="D2750" s="29"/>
      <c r="E2750" s="29"/>
      <c r="F2750" s="29"/>
      <c r="G2750" s="29"/>
      <c r="H2750" s="29"/>
      <c r="I2750" s="29"/>
      <c r="J2750" s="29"/>
      <c r="K2750" s="29"/>
      <c r="L2750" s="29"/>
      <c r="M2750" s="29"/>
      <c r="N2750" s="29"/>
      <c r="O2750" s="29"/>
      <c r="P2750" s="29"/>
      <c r="Q2750" s="29"/>
      <c r="R2750" s="29"/>
      <c r="S2750" s="29"/>
      <c r="T2750" s="29"/>
      <c r="U2750" s="29"/>
      <c r="V2750" s="29"/>
      <c r="W2750" s="29"/>
      <c r="X2750" s="29"/>
      <c r="Y2750" s="29"/>
      <c r="Z2750" s="29"/>
      <c r="AA2750" s="29"/>
      <c r="AB2750" s="29"/>
      <c r="AC2750" s="29"/>
      <c r="AD2750" s="29"/>
      <c r="AE2750" s="29"/>
      <c r="AF2750" s="29"/>
    </row>
    <row r="2751" spans="2:32">
      <c r="B2751" s="29"/>
      <c r="C2751" s="29"/>
      <c r="D2751" s="29"/>
      <c r="E2751" s="29"/>
      <c r="F2751" s="29"/>
      <c r="G2751" s="29"/>
      <c r="H2751" s="29"/>
      <c r="I2751" s="29"/>
      <c r="J2751" s="29"/>
      <c r="K2751" s="29"/>
      <c r="L2751" s="29"/>
      <c r="M2751" s="29"/>
      <c r="N2751" s="29"/>
      <c r="O2751" s="29"/>
      <c r="P2751" s="29"/>
      <c r="Q2751" s="29"/>
      <c r="R2751" s="29"/>
      <c r="S2751" s="29"/>
      <c r="T2751" s="29"/>
      <c r="U2751" s="29"/>
      <c r="V2751" s="29"/>
      <c r="W2751" s="29"/>
      <c r="X2751" s="29"/>
      <c r="Y2751" s="29"/>
      <c r="Z2751" s="29"/>
      <c r="AA2751" s="29"/>
      <c r="AB2751" s="29"/>
      <c r="AC2751" s="29"/>
      <c r="AD2751" s="29"/>
      <c r="AE2751" s="29"/>
      <c r="AF2751" s="29"/>
    </row>
    <row r="2752" spans="2:32">
      <c r="B2752" s="29"/>
      <c r="C2752" s="29"/>
      <c r="D2752" s="29"/>
      <c r="E2752" s="29"/>
      <c r="F2752" s="29"/>
      <c r="G2752" s="29"/>
      <c r="H2752" s="29"/>
      <c r="I2752" s="29"/>
      <c r="J2752" s="29"/>
      <c r="K2752" s="29"/>
      <c r="L2752" s="29"/>
      <c r="M2752" s="29"/>
      <c r="N2752" s="29"/>
      <c r="O2752" s="29"/>
      <c r="P2752" s="29"/>
      <c r="Q2752" s="29"/>
      <c r="R2752" s="29"/>
      <c r="S2752" s="29"/>
      <c r="T2752" s="29"/>
      <c r="U2752" s="29"/>
      <c r="V2752" s="29"/>
      <c r="W2752" s="29"/>
      <c r="X2752" s="29"/>
      <c r="Y2752" s="29"/>
      <c r="Z2752" s="29"/>
      <c r="AA2752" s="29"/>
      <c r="AB2752" s="29"/>
      <c r="AC2752" s="29"/>
      <c r="AD2752" s="29"/>
      <c r="AE2752" s="29"/>
      <c r="AF2752" s="29"/>
    </row>
    <row r="3075" spans="2:32">
      <c r="B3075" s="29"/>
      <c r="C3075" s="29"/>
      <c r="D3075" s="29"/>
      <c r="E3075" s="29"/>
      <c r="F3075" s="29"/>
      <c r="G3075" s="29"/>
      <c r="H3075" s="29"/>
      <c r="I3075" s="29"/>
      <c r="J3075" s="29"/>
      <c r="K3075" s="29"/>
      <c r="L3075" s="29"/>
      <c r="M3075" s="29"/>
      <c r="N3075" s="29"/>
      <c r="O3075" s="29"/>
      <c r="P3075" s="29"/>
      <c r="Q3075" s="29"/>
      <c r="R3075" s="29"/>
      <c r="S3075" s="29"/>
      <c r="T3075" s="29"/>
      <c r="U3075" s="29"/>
      <c r="V3075" s="29"/>
      <c r="W3075" s="29"/>
      <c r="X3075" s="29"/>
      <c r="Y3075" s="29"/>
      <c r="Z3075" s="29"/>
      <c r="AA3075" s="29"/>
      <c r="AB3075" s="29"/>
      <c r="AC3075" s="29"/>
      <c r="AD3075" s="29"/>
      <c r="AE3075" s="29"/>
      <c r="AF3075" s="29"/>
    </row>
    <row r="3076" spans="2:32">
      <c r="B3076" s="29"/>
      <c r="C3076" s="29"/>
      <c r="D3076" s="29"/>
      <c r="E3076" s="29"/>
      <c r="F3076" s="29"/>
      <c r="G3076" s="29"/>
      <c r="H3076" s="29"/>
      <c r="I3076" s="29"/>
      <c r="J3076" s="29"/>
      <c r="K3076" s="29"/>
      <c r="L3076" s="29"/>
      <c r="M3076" s="29"/>
      <c r="N3076" s="29"/>
      <c r="O3076" s="29"/>
      <c r="P3076" s="29"/>
      <c r="Q3076" s="29"/>
      <c r="R3076" s="29"/>
      <c r="S3076" s="29"/>
      <c r="T3076" s="29"/>
      <c r="U3076" s="29"/>
      <c r="V3076" s="29"/>
      <c r="W3076" s="29"/>
      <c r="X3076" s="29"/>
      <c r="Y3076" s="29"/>
      <c r="Z3076" s="29"/>
      <c r="AA3076" s="29"/>
      <c r="AB3076" s="29"/>
      <c r="AC3076" s="29"/>
      <c r="AD3076" s="29"/>
      <c r="AE3076" s="29"/>
      <c r="AF3076" s="29"/>
    </row>
    <row r="3079" spans="2:32">
      <c r="B3079" s="29"/>
      <c r="C3079" s="29"/>
      <c r="D3079" s="29"/>
      <c r="E3079" s="29"/>
      <c r="F3079" s="29"/>
      <c r="G3079" s="29"/>
      <c r="H3079" s="29"/>
      <c r="I3079" s="29"/>
      <c r="J3079" s="29"/>
      <c r="K3079" s="29"/>
      <c r="L3079" s="29"/>
      <c r="M3079" s="29"/>
      <c r="N3079" s="29"/>
      <c r="O3079" s="29"/>
      <c r="P3079" s="29"/>
      <c r="Q3079" s="29"/>
      <c r="R3079" s="29"/>
      <c r="S3079" s="29"/>
      <c r="T3079" s="29"/>
      <c r="U3079" s="29"/>
      <c r="V3079" s="29"/>
      <c r="W3079" s="29"/>
      <c r="X3079" s="29"/>
      <c r="Y3079" s="29"/>
      <c r="Z3079" s="29"/>
      <c r="AA3079" s="29"/>
      <c r="AB3079" s="29"/>
      <c r="AC3079" s="29"/>
      <c r="AD3079" s="29"/>
      <c r="AE3079" s="29"/>
      <c r="AF3079" s="29"/>
    </row>
    <row r="3080" spans="2:32">
      <c r="B3080" s="29"/>
      <c r="C3080" s="29"/>
      <c r="D3080" s="29"/>
      <c r="E3080" s="29"/>
      <c r="F3080" s="29"/>
      <c r="G3080" s="29"/>
      <c r="H3080" s="29"/>
      <c r="I3080" s="29"/>
      <c r="J3080" s="29"/>
      <c r="K3080" s="29"/>
      <c r="L3080" s="29"/>
      <c r="M3080" s="29"/>
      <c r="N3080" s="29"/>
      <c r="O3080" s="29"/>
      <c r="P3080" s="29"/>
      <c r="Q3080" s="29"/>
      <c r="R3080" s="29"/>
      <c r="S3080" s="29"/>
      <c r="T3080" s="29"/>
      <c r="U3080" s="29"/>
      <c r="V3080" s="29"/>
      <c r="W3080" s="29"/>
      <c r="X3080" s="29"/>
      <c r="Y3080" s="29"/>
      <c r="Z3080" s="29"/>
      <c r="AA3080" s="29"/>
      <c r="AB3080" s="29"/>
      <c r="AC3080" s="29"/>
      <c r="AD3080" s="29"/>
      <c r="AE3080" s="29"/>
      <c r="AF3080" s="29"/>
    </row>
    <row r="3081" spans="2:32">
      <c r="B3081" s="29"/>
      <c r="C3081" s="29"/>
      <c r="D3081" s="29"/>
      <c r="E3081" s="29"/>
      <c r="F3081" s="29"/>
      <c r="G3081" s="29"/>
      <c r="H3081" s="29"/>
      <c r="I3081" s="29"/>
      <c r="J3081" s="29"/>
      <c r="K3081" s="29"/>
      <c r="L3081" s="29"/>
      <c r="M3081" s="29"/>
      <c r="N3081" s="29"/>
      <c r="O3081" s="29"/>
      <c r="P3081" s="29"/>
      <c r="Q3081" s="29"/>
      <c r="R3081" s="29"/>
      <c r="S3081" s="29"/>
      <c r="T3081" s="29"/>
      <c r="U3081" s="29"/>
      <c r="V3081" s="29"/>
      <c r="W3081" s="29"/>
      <c r="X3081" s="29"/>
      <c r="Y3081" s="29"/>
      <c r="Z3081" s="29"/>
      <c r="AA3081" s="29"/>
      <c r="AB3081" s="29"/>
      <c r="AC3081" s="29"/>
      <c r="AD3081" s="29"/>
      <c r="AE3081" s="29"/>
      <c r="AF3081" s="29"/>
    </row>
    <row r="3082" spans="2:32">
      <c r="B3082" s="29"/>
      <c r="C3082" s="29"/>
      <c r="D3082" s="29"/>
      <c r="E3082" s="29"/>
      <c r="F3082" s="29"/>
      <c r="G3082" s="29"/>
      <c r="H3082" s="29"/>
      <c r="I3082" s="29"/>
      <c r="J3082" s="29"/>
      <c r="K3082" s="29"/>
      <c r="L3082" s="29"/>
      <c r="M3082" s="29"/>
      <c r="N3082" s="29"/>
      <c r="O3082" s="29"/>
      <c r="P3082" s="29"/>
      <c r="Q3082" s="29"/>
      <c r="R3082" s="29"/>
      <c r="S3082" s="29"/>
      <c r="T3082" s="29"/>
      <c r="U3082" s="29"/>
      <c r="V3082" s="29"/>
      <c r="W3082" s="29"/>
      <c r="X3082" s="29"/>
      <c r="Y3082" s="29"/>
      <c r="Z3082" s="29"/>
      <c r="AA3082" s="29"/>
      <c r="AB3082" s="29"/>
      <c r="AC3082" s="29"/>
      <c r="AD3082" s="29"/>
      <c r="AE3082" s="29"/>
      <c r="AF3082" s="29"/>
    </row>
    <row r="3083" spans="2:32">
      <c r="B3083" s="29"/>
      <c r="C3083" s="29"/>
      <c r="D3083" s="29"/>
      <c r="E3083" s="29"/>
      <c r="F3083" s="29"/>
      <c r="G3083" s="29"/>
      <c r="H3083" s="29"/>
      <c r="I3083" s="29"/>
      <c r="J3083" s="29"/>
      <c r="K3083" s="29"/>
      <c r="L3083" s="29"/>
      <c r="M3083" s="29"/>
      <c r="N3083" s="29"/>
      <c r="O3083" s="29"/>
      <c r="P3083" s="29"/>
      <c r="Q3083" s="29"/>
      <c r="R3083" s="29"/>
      <c r="S3083" s="29"/>
      <c r="T3083" s="29"/>
      <c r="U3083" s="29"/>
      <c r="V3083" s="29"/>
      <c r="W3083" s="29"/>
      <c r="X3083" s="29"/>
      <c r="Y3083" s="29"/>
      <c r="Z3083" s="29"/>
      <c r="AA3083" s="29"/>
      <c r="AB3083" s="29"/>
      <c r="AC3083" s="29"/>
      <c r="AD3083" s="29"/>
      <c r="AE3083" s="29"/>
      <c r="AF3083" s="29"/>
    </row>
    <row r="3084" spans="2:32">
      <c r="B3084" s="29"/>
      <c r="C3084" s="29"/>
      <c r="D3084" s="29"/>
      <c r="E3084" s="29"/>
      <c r="F3084" s="29"/>
      <c r="G3084" s="29"/>
      <c r="H3084" s="29"/>
      <c r="I3084" s="29"/>
      <c r="J3084" s="29"/>
      <c r="K3084" s="29"/>
      <c r="L3084" s="29"/>
      <c r="M3084" s="29"/>
      <c r="N3084" s="29"/>
      <c r="O3084" s="29"/>
      <c r="P3084" s="29"/>
      <c r="Q3084" s="29"/>
      <c r="R3084" s="29"/>
      <c r="S3084" s="29"/>
      <c r="T3084" s="29"/>
      <c r="U3084" s="29"/>
      <c r="V3084" s="29"/>
      <c r="W3084" s="29"/>
      <c r="X3084" s="29"/>
      <c r="Y3084" s="29"/>
      <c r="Z3084" s="29"/>
      <c r="AA3084" s="29"/>
      <c r="AB3084" s="29"/>
      <c r="AC3084" s="29"/>
      <c r="AD3084" s="29"/>
      <c r="AE3084" s="29"/>
      <c r="AF3084" s="29"/>
    </row>
    <row r="3085" spans="2:32">
      <c r="B3085" s="29"/>
      <c r="C3085" s="29"/>
      <c r="D3085" s="29"/>
      <c r="E3085" s="29"/>
      <c r="F3085" s="29"/>
      <c r="G3085" s="29"/>
      <c r="H3085" s="29"/>
      <c r="I3085" s="29"/>
      <c r="J3085" s="29"/>
      <c r="K3085" s="29"/>
      <c r="L3085" s="29"/>
      <c r="M3085" s="29"/>
      <c r="N3085" s="29"/>
      <c r="O3085" s="29"/>
      <c r="P3085" s="29"/>
      <c r="Q3085" s="29"/>
      <c r="R3085" s="29"/>
      <c r="S3085" s="29"/>
      <c r="T3085" s="29"/>
      <c r="U3085" s="29"/>
      <c r="V3085" s="29"/>
      <c r="W3085" s="29"/>
      <c r="X3085" s="29"/>
      <c r="Y3085" s="29"/>
      <c r="Z3085" s="29"/>
      <c r="AA3085" s="29"/>
      <c r="AB3085" s="29"/>
      <c r="AC3085" s="29"/>
      <c r="AD3085" s="29"/>
      <c r="AE3085" s="29"/>
      <c r="AF3085" s="29"/>
    </row>
    <row r="3086" spans="2:32">
      <c r="B3086" s="29"/>
      <c r="C3086" s="29"/>
      <c r="D3086" s="29"/>
      <c r="E3086" s="29"/>
      <c r="F3086" s="29"/>
      <c r="G3086" s="29"/>
      <c r="H3086" s="29"/>
      <c r="I3086" s="29"/>
      <c r="J3086" s="29"/>
      <c r="K3086" s="29"/>
      <c r="L3086" s="29"/>
      <c r="M3086" s="29"/>
      <c r="N3086" s="29"/>
      <c r="O3086" s="29"/>
      <c r="P3086" s="29"/>
      <c r="Q3086" s="29"/>
      <c r="R3086" s="29"/>
      <c r="S3086" s="29"/>
      <c r="T3086" s="29"/>
      <c r="U3086" s="29"/>
      <c r="V3086" s="29"/>
      <c r="W3086" s="29"/>
      <c r="X3086" s="29"/>
      <c r="Y3086" s="29"/>
      <c r="Z3086" s="29"/>
      <c r="AA3086" s="29"/>
      <c r="AB3086" s="29"/>
      <c r="AC3086" s="29"/>
      <c r="AD3086" s="29"/>
      <c r="AE3086" s="29"/>
      <c r="AF3086" s="29"/>
    </row>
    <row r="3087" spans="2:32">
      <c r="B3087" s="29"/>
      <c r="C3087" s="29"/>
      <c r="D3087" s="29"/>
      <c r="E3087" s="29"/>
      <c r="F3087" s="29"/>
      <c r="G3087" s="29"/>
      <c r="H3087" s="29"/>
      <c r="I3087" s="29"/>
      <c r="J3087" s="29"/>
      <c r="K3087" s="29"/>
      <c r="L3087" s="29"/>
      <c r="M3087" s="29"/>
      <c r="N3087" s="29"/>
      <c r="O3087" s="29"/>
      <c r="P3087" s="29"/>
      <c r="Q3087" s="29"/>
      <c r="R3087" s="29"/>
      <c r="S3087" s="29"/>
      <c r="T3087" s="29"/>
      <c r="U3087" s="29"/>
      <c r="V3087" s="29"/>
      <c r="W3087" s="29"/>
      <c r="X3087" s="29"/>
      <c r="Y3087" s="29"/>
      <c r="Z3087" s="29"/>
      <c r="AA3087" s="29"/>
      <c r="AB3087" s="29"/>
      <c r="AC3087" s="29"/>
      <c r="AD3087" s="29"/>
      <c r="AE3087" s="29"/>
      <c r="AF3087" s="29"/>
    </row>
    <row r="3088" spans="2:32">
      <c r="B3088" s="29"/>
      <c r="C3088" s="29"/>
      <c r="D3088" s="29"/>
      <c r="E3088" s="29"/>
      <c r="F3088" s="29"/>
      <c r="G3088" s="29"/>
      <c r="H3088" s="29"/>
      <c r="I3088" s="29"/>
      <c r="J3088" s="29"/>
      <c r="K3088" s="29"/>
      <c r="L3088" s="29"/>
      <c r="M3088" s="29"/>
      <c r="N3088" s="29"/>
      <c r="O3088" s="29"/>
      <c r="P3088" s="29"/>
      <c r="Q3088" s="29"/>
      <c r="R3088" s="29"/>
      <c r="S3088" s="29"/>
      <c r="T3088" s="29"/>
      <c r="U3088" s="29"/>
      <c r="V3088" s="29"/>
      <c r="W3088" s="29"/>
      <c r="X3088" s="29"/>
      <c r="Y3088" s="29"/>
      <c r="Z3088" s="29"/>
      <c r="AA3088" s="29"/>
      <c r="AB3088" s="29"/>
      <c r="AC3088" s="29"/>
      <c r="AD3088" s="29"/>
      <c r="AE3088" s="29"/>
      <c r="AF3088" s="29"/>
    </row>
    <row r="3393" spans="2:32">
      <c r="B3393" s="29"/>
      <c r="C3393" s="29"/>
      <c r="D3393" s="29"/>
      <c r="E3393" s="29"/>
      <c r="F3393" s="29"/>
      <c r="G3393" s="29"/>
      <c r="H3393" s="29"/>
      <c r="I3393" s="29"/>
      <c r="J3393" s="29"/>
      <c r="K3393" s="29"/>
      <c r="L3393" s="29"/>
      <c r="M3393" s="29"/>
      <c r="N3393" s="29"/>
      <c r="O3393" s="29"/>
      <c r="P3393" s="29"/>
      <c r="Q3393" s="29"/>
      <c r="R3393" s="29"/>
      <c r="S3393" s="29"/>
      <c r="T3393" s="29"/>
      <c r="U3393" s="29"/>
      <c r="V3393" s="29"/>
      <c r="W3393" s="29"/>
      <c r="X3393" s="29"/>
      <c r="Y3393" s="29"/>
      <c r="Z3393" s="29"/>
      <c r="AA3393" s="29"/>
      <c r="AB3393" s="29"/>
      <c r="AC3393" s="29"/>
      <c r="AD3393" s="29"/>
      <c r="AE3393" s="29"/>
      <c r="AF3393" s="29"/>
    </row>
    <row r="3394" spans="2:32">
      <c r="B3394" s="29"/>
      <c r="C3394" s="29"/>
      <c r="D3394" s="29"/>
      <c r="E3394" s="29"/>
      <c r="F3394" s="29"/>
      <c r="G3394" s="29"/>
      <c r="H3394" s="29"/>
      <c r="I3394" s="29"/>
      <c r="J3394" s="29"/>
      <c r="K3394" s="29"/>
      <c r="L3394" s="29"/>
      <c r="M3394" s="29"/>
      <c r="N3394" s="29"/>
      <c r="O3394" s="29"/>
      <c r="P3394" s="29"/>
      <c r="Q3394" s="29"/>
      <c r="R3394" s="29"/>
      <c r="S3394" s="29"/>
      <c r="T3394" s="29"/>
      <c r="U3394" s="29"/>
      <c r="V3394" s="29"/>
      <c r="W3394" s="29"/>
      <c r="X3394" s="29"/>
      <c r="Y3394" s="29"/>
      <c r="Z3394" s="29"/>
      <c r="AA3394" s="29"/>
      <c r="AB3394" s="29"/>
      <c r="AC3394" s="29"/>
      <c r="AD3394" s="29"/>
      <c r="AE3394" s="29"/>
      <c r="AF3394" s="29"/>
    </row>
    <row r="3395" spans="2:32">
      <c r="B3395" s="29"/>
      <c r="C3395" s="29"/>
      <c r="D3395" s="29"/>
      <c r="E3395" s="29"/>
      <c r="F3395" s="29"/>
      <c r="G3395" s="29"/>
      <c r="H3395" s="29"/>
      <c r="I3395" s="29"/>
      <c r="J3395" s="29"/>
      <c r="K3395" s="29"/>
      <c r="L3395" s="29"/>
      <c r="M3395" s="29"/>
      <c r="N3395" s="29"/>
      <c r="O3395" s="29"/>
      <c r="P3395" s="29"/>
      <c r="Q3395" s="29"/>
      <c r="R3395" s="29"/>
      <c r="S3395" s="29"/>
      <c r="T3395" s="29"/>
      <c r="U3395" s="29"/>
      <c r="V3395" s="29"/>
      <c r="W3395" s="29"/>
      <c r="X3395" s="29"/>
      <c r="Y3395" s="29"/>
      <c r="Z3395" s="29"/>
      <c r="AA3395" s="29"/>
      <c r="AB3395" s="29"/>
      <c r="AC3395" s="29"/>
      <c r="AD3395" s="29"/>
      <c r="AE3395" s="29"/>
      <c r="AF3395" s="29"/>
    </row>
    <row r="3396" spans="2:32">
      <c r="B3396" s="29"/>
      <c r="C3396" s="29"/>
      <c r="D3396" s="29"/>
      <c r="E3396" s="29"/>
      <c r="F3396" s="29"/>
      <c r="G3396" s="29"/>
      <c r="H3396" s="29"/>
      <c r="I3396" s="29"/>
      <c r="J3396" s="29"/>
      <c r="K3396" s="29"/>
      <c r="L3396" s="29"/>
      <c r="M3396" s="29"/>
      <c r="N3396" s="29"/>
      <c r="O3396" s="29"/>
      <c r="P3396" s="29"/>
      <c r="Q3396" s="29"/>
      <c r="R3396" s="29"/>
      <c r="S3396" s="29"/>
      <c r="T3396" s="29"/>
      <c r="U3396" s="29"/>
      <c r="V3396" s="29"/>
      <c r="W3396" s="29"/>
      <c r="X3396" s="29"/>
      <c r="Y3396" s="29"/>
      <c r="Z3396" s="29"/>
      <c r="AA3396" s="29"/>
      <c r="AB3396" s="29"/>
      <c r="AC3396" s="29"/>
      <c r="AD3396" s="29"/>
      <c r="AE3396" s="29"/>
      <c r="AF3396" s="29"/>
    </row>
    <row r="3397" spans="2:32">
      <c r="B3397" s="29"/>
      <c r="C3397" s="29"/>
      <c r="D3397" s="29"/>
      <c r="E3397" s="29"/>
      <c r="F3397" s="29"/>
      <c r="G3397" s="29"/>
      <c r="H3397" s="29"/>
      <c r="I3397" s="29"/>
      <c r="J3397" s="29"/>
      <c r="K3397" s="29"/>
      <c r="L3397" s="29"/>
      <c r="M3397" s="29"/>
      <c r="N3397" s="29"/>
      <c r="O3397" s="29"/>
      <c r="P3397" s="29"/>
      <c r="Q3397" s="29"/>
      <c r="R3397" s="29"/>
      <c r="S3397" s="29"/>
      <c r="T3397" s="29"/>
      <c r="U3397" s="29"/>
      <c r="V3397" s="29"/>
      <c r="W3397" s="29"/>
      <c r="X3397" s="29"/>
      <c r="Y3397" s="29"/>
      <c r="Z3397" s="29"/>
      <c r="AA3397" s="29"/>
      <c r="AB3397" s="29"/>
      <c r="AC3397" s="29"/>
      <c r="AD3397" s="29"/>
      <c r="AE3397" s="29"/>
      <c r="AF3397" s="29"/>
    </row>
    <row r="3398" spans="2:32">
      <c r="B3398" s="29"/>
      <c r="C3398" s="29"/>
      <c r="D3398" s="29"/>
      <c r="E3398" s="29"/>
      <c r="F3398" s="29"/>
      <c r="G3398" s="29"/>
      <c r="H3398" s="29"/>
      <c r="I3398" s="29"/>
      <c r="J3398" s="29"/>
      <c r="K3398" s="29"/>
      <c r="L3398" s="29"/>
      <c r="M3398" s="29"/>
      <c r="N3398" s="29"/>
      <c r="O3398" s="29"/>
      <c r="P3398" s="29"/>
      <c r="Q3398" s="29"/>
      <c r="R3398" s="29"/>
      <c r="S3398" s="29"/>
      <c r="T3398" s="29"/>
      <c r="U3398" s="29"/>
      <c r="V3398" s="29"/>
      <c r="W3398" s="29"/>
      <c r="X3398" s="29"/>
      <c r="Y3398" s="29"/>
      <c r="Z3398" s="29"/>
      <c r="AA3398" s="29"/>
      <c r="AB3398" s="29"/>
      <c r="AC3398" s="29"/>
      <c r="AD3398" s="29"/>
      <c r="AE3398" s="29"/>
      <c r="AF3398" s="29"/>
    </row>
    <row r="3399" spans="2:32">
      <c r="B3399" s="29"/>
      <c r="C3399" s="29"/>
      <c r="D3399" s="29"/>
      <c r="E3399" s="29"/>
      <c r="F3399" s="29"/>
      <c r="G3399" s="29"/>
      <c r="H3399" s="29"/>
      <c r="I3399" s="29"/>
      <c r="J3399" s="29"/>
      <c r="K3399" s="29"/>
      <c r="L3399" s="29"/>
      <c r="M3399" s="29"/>
      <c r="N3399" s="29"/>
      <c r="O3399" s="29"/>
      <c r="P3399" s="29"/>
      <c r="Q3399" s="29"/>
      <c r="R3399" s="29"/>
      <c r="S3399" s="29"/>
      <c r="T3399" s="29"/>
      <c r="U3399" s="29"/>
      <c r="V3399" s="29"/>
      <c r="W3399" s="29"/>
      <c r="X3399" s="29"/>
      <c r="Y3399" s="29"/>
      <c r="Z3399" s="29"/>
      <c r="AA3399" s="29"/>
      <c r="AB3399" s="29"/>
      <c r="AC3399" s="29"/>
      <c r="AD3399" s="29"/>
      <c r="AE3399" s="29"/>
      <c r="AF3399" s="29"/>
    </row>
    <row r="3400" spans="2:32">
      <c r="B3400" s="29"/>
      <c r="C3400" s="29"/>
      <c r="D3400" s="29"/>
      <c r="E3400" s="29"/>
      <c r="F3400" s="29"/>
      <c r="G3400" s="29"/>
      <c r="H3400" s="29"/>
      <c r="I3400" s="29"/>
      <c r="J3400" s="29"/>
      <c r="K3400" s="29"/>
      <c r="L3400" s="29"/>
      <c r="M3400" s="29"/>
      <c r="N3400" s="29"/>
      <c r="O3400" s="29"/>
      <c r="P3400" s="29"/>
      <c r="Q3400" s="29"/>
      <c r="R3400" s="29"/>
      <c r="S3400" s="29"/>
      <c r="T3400" s="29"/>
      <c r="U3400" s="29"/>
      <c r="V3400" s="29"/>
      <c r="W3400" s="29"/>
      <c r="X3400" s="29"/>
      <c r="Y3400" s="29"/>
      <c r="Z3400" s="29"/>
      <c r="AA3400" s="29"/>
      <c r="AB3400" s="29"/>
      <c r="AC3400" s="29"/>
      <c r="AD3400" s="29"/>
      <c r="AE3400" s="29"/>
      <c r="AF3400" s="29"/>
    </row>
    <row r="3401" spans="2:32">
      <c r="B3401" s="29"/>
      <c r="C3401" s="29"/>
      <c r="D3401" s="29"/>
      <c r="E3401" s="29"/>
      <c r="F3401" s="29"/>
      <c r="G3401" s="29"/>
      <c r="H3401" s="29"/>
      <c r="I3401" s="29"/>
      <c r="J3401" s="29"/>
      <c r="K3401" s="29"/>
      <c r="L3401" s="29"/>
      <c r="M3401" s="29"/>
      <c r="N3401" s="29"/>
      <c r="O3401" s="29"/>
      <c r="P3401" s="29"/>
      <c r="Q3401" s="29"/>
      <c r="R3401" s="29"/>
      <c r="S3401" s="29"/>
      <c r="T3401" s="29"/>
      <c r="U3401" s="29"/>
      <c r="V3401" s="29"/>
      <c r="W3401" s="29"/>
      <c r="X3401" s="29"/>
      <c r="Y3401" s="29"/>
      <c r="Z3401" s="29"/>
      <c r="AA3401" s="29"/>
      <c r="AB3401" s="29"/>
      <c r="AC3401" s="29"/>
      <c r="AD3401" s="29"/>
      <c r="AE3401" s="29"/>
      <c r="AF3401" s="29"/>
    </row>
    <row r="3402" spans="2:32">
      <c r="B3402" s="29"/>
      <c r="C3402" s="29"/>
      <c r="D3402" s="29"/>
      <c r="E3402" s="29"/>
      <c r="F3402" s="29"/>
      <c r="G3402" s="29"/>
      <c r="H3402" s="29"/>
      <c r="I3402" s="29"/>
      <c r="J3402" s="29"/>
      <c r="K3402" s="29"/>
      <c r="L3402" s="29"/>
      <c r="M3402" s="29"/>
      <c r="N3402" s="29"/>
      <c r="O3402" s="29"/>
      <c r="P3402" s="29"/>
      <c r="Q3402" s="29"/>
      <c r="R3402" s="29"/>
      <c r="S3402" s="29"/>
      <c r="T3402" s="29"/>
      <c r="U3402" s="29"/>
      <c r="V3402" s="29"/>
      <c r="W3402" s="29"/>
      <c r="X3402" s="29"/>
      <c r="Y3402" s="29"/>
      <c r="Z3402" s="29"/>
      <c r="AA3402" s="29"/>
      <c r="AB3402" s="29"/>
      <c r="AC3402" s="29"/>
      <c r="AD3402" s="29"/>
      <c r="AE3402" s="29"/>
      <c r="AF3402" s="29"/>
    </row>
    <row r="3403" spans="2:32">
      <c r="B3403" s="29"/>
      <c r="C3403" s="29"/>
      <c r="D3403" s="29"/>
      <c r="E3403" s="29"/>
      <c r="F3403" s="29"/>
      <c r="G3403" s="29"/>
      <c r="H3403" s="29"/>
      <c r="I3403" s="29"/>
      <c r="J3403" s="29"/>
      <c r="K3403" s="29"/>
      <c r="L3403" s="29"/>
      <c r="M3403" s="29"/>
      <c r="N3403" s="29"/>
      <c r="O3403" s="29"/>
      <c r="P3403" s="29"/>
      <c r="Q3403" s="29"/>
      <c r="R3403" s="29"/>
      <c r="S3403" s="29"/>
      <c r="T3403" s="29"/>
      <c r="U3403" s="29"/>
      <c r="V3403" s="29"/>
      <c r="W3403" s="29"/>
      <c r="X3403" s="29"/>
      <c r="Y3403" s="29"/>
      <c r="Z3403" s="29"/>
      <c r="AA3403" s="29"/>
      <c r="AB3403" s="29"/>
      <c r="AC3403" s="29"/>
      <c r="AD3403" s="29"/>
      <c r="AE3403" s="29"/>
      <c r="AF3403" s="29"/>
    </row>
    <row r="3404" spans="2:32">
      <c r="B3404" s="29"/>
      <c r="C3404" s="29"/>
      <c r="D3404" s="29"/>
      <c r="E3404" s="29"/>
      <c r="F3404" s="29"/>
      <c r="G3404" s="29"/>
      <c r="H3404" s="29"/>
      <c r="I3404" s="29"/>
      <c r="J3404" s="29"/>
      <c r="K3404" s="29"/>
      <c r="L3404" s="29"/>
      <c r="M3404" s="29"/>
      <c r="N3404" s="29"/>
      <c r="O3404" s="29"/>
      <c r="P3404" s="29"/>
      <c r="Q3404" s="29"/>
      <c r="R3404" s="29"/>
      <c r="S3404" s="29"/>
      <c r="T3404" s="29"/>
      <c r="U3404" s="29"/>
      <c r="V3404" s="29"/>
      <c r="W3404" s="29"/>
      <c r="X3404" s="29"/>
      <c r="Y3404" s="29"/>
      <c r="Z3404" s="29"/>
      <c r="AA3404" s="29"/>
      <c r="AB3404" s="29"/>
      <c r="AC3404" s="29"/>
      <c r="AD3404" s="29"/>
      <c r="AE3404" s="29"/>
      <c r="AF3404" s="29"/>
    </row>
    <row r="3405" spans="2:32">
      <c r="B3405" s="29"/>
      <c r="C3405" s="29"/>
      <c r="D3405" s="29"/>
      <c r="E3405" s="29"/>
      <c r="F3405" s="29"/>
      <c r="G3405" s="29"/>
      <c r="H3405" s="29"/>
      <c r="I3405" s="29"/>
      <c r="J3405" s="29"/>
      <c r="K3405" s="29"/>
      <c r="L3405" s="29"/>
      <c r="M3405" s="29"/>
      <c r="N3405" s="29"/>
      <c r="O3405" s="29"/>
      <c r="P3405" s="29"/>
      <c r="Q3405" s="29"/>
      <c r="R3405" s="29"/>
      <c r="S3405" s="29"/>
      <c r="T3405" s="29"/>
      <c r="U3405" s="29"/>
      <c r="V3405" s="29"/>
      <c r="W3405" s="29"/>
      <c r="X3405" s="29"/>
      <c r="Y3405" s="29"/>
      <c r="Z3405" s="29"/>
      <c r="AA3405" s="29"/>
      <c r="AB3405" s="29"/>
      <c r="AC3405" s="29"/>
      <c r="AD3405" s="29"/>
      <c r="AE3405" s="29"/>
      <c r="AF3405" s="29"/>
    </row>
    <row r="3406" spans="2:32">
      <c r="B3406" s="29"/>
      <c r="C3406" s="29"/>
      <c r="D3406" s="29"/>
      <c r="E3406" s="29"/>
      <c r="F3406" s="29"/>
      <c r="G3406" s="29"/>
      <c r="H3406" s="29"/>
      <c r="I3406" s="29"/>
      <c r="J3406" s="29"/>
      <c r="K3406" s="29"/>
      <c r="L3406" s="29"/>
      <c r="M3406" s="29"/>
      <c r="N3406" s="29"/>
      <c r="O3406" s="29"/>
      <c r="P3406" s="29"/>
      <c r="Q3406" s="29"/>
      <c r="R3406" s="29"/>
      <c r="S3406" s="29"/>
      <c r="T3406" s="29"/>
      <c r="U3406" s="29"/>
      <c r="V3406" s="29"/>
      <c r="W3406" s="29"/>
      <c r="X3406" s="29"/>
      <c r="Y3406" s="29"/>
      <c r="Z3406" s="29"/>
      <c r="AA3406" s="29"/>
      <c r="AB3406" s="29"/>
      <c r="AC3406" s="29"/>
      <c r="AD3406" s="29"/>
      <c r="AE3406" s="29"/>
      <c r="AF3406" s="29"/>
    </row>
    <row r="3407" spans="2:32">
      <c r="B3407" s="29"/>
      <c r="C3407" s="29"/>
      <c r="D3407" s="29"/>
      <c r="E3407" s="29"/>
      <c r="F3407" s="29"/>
      <c r="G3407" s="29"/>
      <c r="H3407" s="29"/>
      <c r="I3407" s="29"/>
      <c r="J3407" s="29"/>
      <c r="K3407" s="29"/>
      <c r="L3407" s="29"/>
      <c r="M3407" s="29"/>
      <c r="N3407" s="29"/>
      <c r="O3407" s="29"/>
      <c r="P3407" s="29"/>
      <c r="Q3407" s="29"/>
      <c r="R3407" s="29"/>
      <c r="S3407" s="29"/>
      <c r="T3407" s="29"/>
      <c r="U3407" s="29"/>
      <c r="V3407" s="29"/>
      <c r="W3407" s="29"/>
      <c r="X3407" s="29"/>
      <c r="Y3407" s="29"/>
      <c r="Z3407" s="29"/>
      <c r="AA3407" s="29"/>
      <c r="AB3407" s="29"/>
      <c r="AC3407" s="29"/>
      <c r="AD3407" s="29"/>
      <c r="AE3407" s="29"/>
      <c r="AF3407" s="29"/>
    </row>
    <row r="3408" spans="2:32">
      <c r="B3408" s="29"/>
      <c r="C3408" s="29"/>
      <c r="D3408" s="29"/>
      <c r="E3408" s="29"/>
      <c r="F3408" s="29"/>
      <c r="G3408" s="29"/>
      <c r="H3408" s="29"/>
      <c r="I3408" s="29"/>
      <c r="J3408" s="29"/>
      <c r="K3408" s="29"/>
      <c r="L3408" s="29"/>
      <c r="M3408" s="29"/>
      <c r="N3408" s="29"/>
      <c r="O3408" s="29"/>
      <c r="P3408" s="29"/>
      <c r="Q3408" s="29"/>
      <c r="R3408" s="29"/>
      <c r="S3408" s="29"/>
      <c r="T3408" s="29"/>
      <c r="U3408" s="29"/>
      <c r="V3408" s="29"/>
      <c r="W3408" s="29"/>
      <c r="X3408" s="29"/>
      <c r="Y3408" s="29"/>
      <c r="Z3408" s="29"/>
      <c r="AA3408" s="29"/>
      <c r="AB3408" s="29"/>
      <c r="AC3408" s="29"/>
      <c r="AD3408" s="29"/>
      <c r="AE3408" s="29"/>
      <c r="AF3408" s="29"/>
    </row>
    <row r="3496" spans="2:32">
      <c r="B3496" s="29"/>
      <c r="C3496" s="29"/>
      <c r="D3496" s="29"/>
      <c r="E3496" s="29"/>
      <c r="F3496" s="29"/>
      <c r="G3496" s="29"/>
      <c r="H3496" s="29"/>
      <c r="I3496" s="29"/>
      <c r="J3496" s="29"/>
      <c r="K3496" s="29"/>
      <c r="L3496" s="29"/>
      <c r="M3496" s="29"/>
      <c r="N3496" s="29"/>
      <c r="O3496" s="29"/>
      <c r="P3496" s="29"/>
      <c r="Q3496" s="29"/>
      <c r="R3496" s="29"/>
      <c r="S3496" s="29"/>
      <c r="T3496" s="29"/>
      <c r="U3496" s="29"/>
      <c r="V3496" s="29"/>
      <c r="W3496" s="29"/>
      <c r="X3496" s="29"/>
      <c r="Y3496" s="29"/>
      <c r="Z3496" s="29"/>
      <c r="AA3496" s="29"/>
      <c r="AB3496" s="29"/>
      <c r="AC3496" s="29"/>
      <c r="AD3496" s="29"/>
      <c r="AE3496" s="29"/>
      <c r="AF3496" s="29"/>
    </row>
    <row r="3499" spans="2:32">
      <c r="B3499" s="29"/>
      <c r="C3499" s="29"/>
      <c r="D3499" s="29"/>
      <c r="E3499" s="29"/>
      <c r="F3499" s="29"/>
      <c r="G3499" s="29"/>
      <c r="H3499" s="29"/>
      <c r="I3499" s="29"/>
      <c r="J3499" s="29"/>
      <c r="K3499" s="29"/>
      <c r="L3499" s="29"/>
      <c r="M3499" s="29"/>
      <c r="N3499" s="29"/>
      <c r="O3499" s="29"/>
      <c r="P3499" s="29"/>
      <c r="Q3499" s="29"/>
      <c r="R3499" s="29"/>
      <c r="S3499" s="29"/>
      <c r="T3499" s="29"/>
      <c r="U3499" s="29"/>
      <c r="V3499" s="29"/>
      <c r="W3499" s="29"/>
      <c r="X3499" s="29"/>
      <c r="Y3499" s="29"/>
      <c r="Z3499" s="29"/>
      <c r="AA3499" s="29"/>
      <c r="AB3499" s="29"/>
      <c r="AC3499" s="29"/>
      <c r="AD3499" s="29"/>
      <c r="AE3499" s="29"/>
      <c r="AF3499" s="29"/>
    </row>
    <row r="3501" spans="2:32">
      <c r="B3501" s="29"/>
      <c r="C3501" s="29"/>
      <c r="D3501" s="29"/>
      <c r="E3501" s="29"/>
      <c r="F3501" s="29"/>
      <c r="G3501" s="29"/>
      <c r="H3501" s="29"/>
      <c r="I3501" s="29"/>
      <c r="J3501" s="29"/>
      <c r="K3501" s="29"/>
      <c r="L3501" s="29"/>
      <c r="M3501" s="29"/>
      <c r="N3501" s="29"/>
      <c r="O3501" s="29"/>
      <c r="P3501" s="29"/>
      <c r="Q3501" s="29"/>
      <c r="R3501" s="29"/>
      <c r="S3501" s="29"/>
      <c r="T3501" s="29"/>
      <c r="U3501" s="29"/>
      <c r="V3501" s="29"/>
      <c r="W3501" s="29"/>
      <c r="X3501" s="29"/>
      <c r="Y3501" s="29"/>
      <c r="Z3501" s="29"/>
      <c r="AA3501" s="29"/>
      <c r="AB3501" s="29"/>
      <c r="AC3501" s="29"/>
      <c r="AD3501" s="29"/>
      <c r="AE3501" s="29"/>
      <c r="AF3501" s="29"/>
    </row>
    <row r="3502" spans="2:32">
      <c r="B3502" s="29"/>
      <c r="C3502" s="29"/>
      <c r="D3502" s="29"/>
      <c r="E3502" s="29"/>
      <c r="F3502" s="29"/>
      <c r="G3502" s="29"/>
      <c r="H3502" s="29"/>
      <c r="I3502" s="29"/>
      <c r="J3502" s="29"/>
      <c r="K3502" s="29"/>
      <c r="L3502" s="29"/>
      <c r="M3502" s="29"/>
      <c r="N3502" s="29"/>
      <c r="O3502" s="29"/>
      <c r="P3502" s="29"/>
      <c r="Q3502" s="29"/>
      <c r="R3502" s="29"/>
      <c r="S3502" s="29"/>
      <c r="T3502" s="29"/>
      <c r="U3502" s="29"/>
      <c r="V3502" s="29"/>
      <c r="W3502" s="29"/>
      <c r="X3502" s="29"/>
      <c r="Y3502" s="29"/>
      <c r="Z3502" s="29"/>
      <c r="AA3502" s="29"/>
      <c r="AB3502" s="29"/>
      <c r="AC3502" s="29"/>
      <c r="AD3502" s="29"/>
      <c r="AE3502" s="29"/>
      <c r="AF3502" s="29"/>
    </row>
    <row r="3621" spans="2:32">
      <c r="B3621" s="29"/>
      <c r="C3621" s="29"/>
      <c r="D3621" s="29"/>
      <c r="E3621" s="29"/>
      <c r="F3621" s="29"/>
      <c r="G3621" s="29"/>
      <c r="H3621" s="29"/>
      <c r="I3621" s="29"/>
      <c r="J3621" s="29"/>
      <c r="K3621" s="29"/>
      <c r="L3621" s="29"/>
      <c r="M3621" s="29"/>
      <c r="N3621" s="29"/>
      <c r="O3621" s="29"/>
      <c r="P3621" s="29"/>
      <c r="Q3621" s="29"/>
      <c r="R3621" s="29"/>
      <c r="S3621" s="29"/>
      <c r="T3621" s="29"/>
      <c r="U3621" s="29"/>
      <c r="V3621" s="29"/>
      <c r="W3621" s="29"/>
      <c r="X3621" s="29"/>
      <c r="Y3621" s="29"/>
      <c r="Z3621" s="29"/>
      <c r="AA3621" s="29"/>
      <c r="AB3621" s="29"/>
      <c r="AC3621" s="29"/>
      <c r="AD3621" s="29"/>
      <c r="AE3621" s="29"/>
      <c r="AF3621" s="29"/>
    </row>
    <row r="3624" spans="2:32">
      <c r="B3624" s="29"/>
      <c r="C3624" s="29"/>
      <c r="D3624" s="29"/>
      <c r="E3624" s="29"/>
      <c r="F3624" s="29"/>
      <c r="G3624" s="29"/>
      <c r="H3624" s="29"/>
      <c r="I3624" s="29"/>
      <c r="J3624" s="29"/>
      <c r="K3624" s="29"/>
      <c r="L3624" s="29"/>
      <c r="M3624" s="29"/>
      <c r="N3624" s="29"/>
      <c r="O3624" s="29"/>
      <c r="P3624" s="29"/>
      <c r="Q3624" s="29"/>
      <c r="R3624" s="29"/>
      <c r="S3624" s="29"/>
      <c r="T3624" s="29"/>
      <c r="U3624" s="29"/>
      <c r="V3624" s="29"/>
      <c r="W3624" s="29"/>
      <c r="X3624" s="29"/>
      <c r="Y3624" s="29"/>
      <c r="Z3624" s="29"/>
      <c r="AA3624" s="29"/>
      <c r="AB3624" s="29"/>
      <c r="AC3624" s="29"/>
      <c r="AD3624" s="29"/>
      <c r="AE3624" s="29"/>
      <c r="AF3624" s="29"/>
    </row>
    <row r="3626" spans="2:32">
      <c r="B3626" s="29"/>
      <c r="C3626" s="29"/>
      <c r="D3626" s="29"/>
      <c r="E3626" s="29"/>
      <c r="F3626" s="29"/>
      <c r="G3626" s="29"/>
      <c r="H3626" s="29"/>
      <c r="I3626" s="29"/>
      <c r="J3626" s="29"/>
      <c r="K3626" s="29"/>
      <c r="L3626" s="29"/>
      <c r="M3626" s="29"/>
      <c r="N3626" s="29"/>
      <c r="O3626" s="29"/>
      <c r="P3626" s="29"/>
      <c r="Q3626" s="29"/>
      <c r="R3626" s="29"/>
      <c r="S3626" s="29"/>
      <c r="T3626" s="29"/>
      <c r="U3626" s="29"/>
      <c r="V3626" s="29"/>
      <c r="W3626" s="29"/>
      <c r="X3626" s="29"/>
      <c r="Y3626" s="29"/>
      <c r="Z3626" s="29"/>
      <c r="AA3626" s="29"/>
      <c r="AB3626" s="29"/>
      <c r="AC3626" s="29"/>
      <c r="AD3626" s="29"/>
      <c r="AE3626" s="29"/>
      <c r="AF3626" s="29"/>
    </row>
    <row r="3627" spans="2:32">
      <c r="B3627" s="29"/>
      <c r="C3627" s="29"/>
      <c r="D3627" s="29"/>
      <c r="E3627" s="29"/>
      <c r="F3627" s="29"/>
      <c r="G3627" s="29"/>
      <c r="H3627" s="29"/>
      <c r="I3627" s="29"/>
      <c r="J3627" s="29"/>
      <c r="K3627" s="29"/>
      <c r="L3627" s="29"/>
      <c r="M3627" s="29"/>
      <c r="N3627" s="29"/>
      <c r="O3627" s="29"/>
      <c r="P3627" s="29"/>
      <c r="Q3627" s="29"/>
      <c r="R3627" s="29"/>
      <c r="S3627" s="29"/>
      <c r="T3627" s="29"/>
      <c r="U3627" s="29"/>
      <c r="V3627" s="29"/>
      <c r="W3627" s="29"/>
      <c r="X3627" s="29"/>
      <c r="Y3627" s="29"/>
      <c r="Z3627" s="29"/>
      <c r="AA3627" s="29"/>
      <c r="AB3627" s="29"/>
      <c r="AC3627" s="29"/>
      <c r="AD3627" s="29"/>
      <c r="AE3627" s="29"/>
      <c r="AF3627" s="29"/>
    </row>
    <row r="3746" spans="2:32">
      <c r="B3746" s="29"/>
      <c r="C3746" s="29"/>
      <c r="D3746" s="29"/>
      <c r="E3746" s="29"/>
      <c r="F3746" s="29"/>
      <c r="G3746" s="29"/>
      <c r="H3746" s="29"/>
      <c r="I3746" s="29"/>
      <c r="J3746" s="29"/>
      <c r="K3746" s="29"/>
      <c r="L3746" s="29"/>
      <c r="M3746" s="29"/>
      <c r="N3746" s="29"/>
      <c r="O3746" s="29"/>
      <c r="P3746" s="29"/>
      <c r="Q3746" s="29"/>
      <c r="R3746" s="29"/>
      <c r="S3746" s="29"/>
      <c r="T3746" s="29"/>
      <c r="U3746" s="29"/>
      <c r="V3746" s="29"/>
      <c r="W3746" s="29"/>
      <c r="X3746" s="29"/>
      <c r="Y3746" s="29"/>
      <c r="Z3746" s="29"/>
      <c r="AA3746" s="29"/>
      <c r="AB3746" s="29"/>
      <c r="AC3746" s="29"/>
      <c r="AD3746" s="29"/>
      <c r="AE3746" s="29"/>
      <c r="AF3746" s="29"/>
    </row>
    <row r="3749" spans="2:32">
      <c r="B3749" s="29"/>
      <c r="C3749" s="29"/>
      <c r="D3749" s="29"/>
      <c r="E3749" s="29"/>
      <c r="F3749" s="29"/>
      <c r="G3749" s="29"/>
      <c r="H3749" s="29"/>
      <c r="I3749" s="29"/>
      <c r="J3749" s="29"/>
      <c r="K3749" s="29"/>
      <c r="L3749" s="29"/>
      <c r="M3749" s="29"/>
      <c r="N3749" s="29"/>
      <c r="O3749" s="29"/>
      <c r="P3749" s="29"/>
      <c r="Q3749" s="29"/>
      <c r="R3749" s="29"/>
      <c r="S3749" s="29"/>
      <c r="T3749" s="29"/>
      <c r="U3749" s="29"/>
      <c r="V3749" s="29"/>
      <c r="W3749" s="29"/>
      <c r="X3749" s="29"/>
      <c r="Y3749" s="29"/>
      <c r="Z3749" s="29"/>
      <c r="AA3749" s="29"/>
      <c r="AB3749" s="29"/>
      <c r="AC3749" s="29"/>
      <c r="AD3749" s="29"/>
      <c r="AE3749" s="29"/>
      <c r="AF3749" s="29"/>
    </row>
    <row r="3751" spans="2:32">
      <c r="B3751" s="29"/>
      <c r="C3751" s="29"/>
      <c r="D3751" s="29"/>
      <c r="E3751" s="29"/>
      <c r="F3751" s="29"/>
      <c r="G3751" s="29"/>
      <c r="H3751" s="29"/>
      <c r="I3751" s="29"/>
      <c r="J3751" s="29"/>
      <c r="K3751" s="29"/>
      <c r="L3751" s="29"/>
      <c r="M3751" s="29"/>
      <c r="N3751" s="29"/>
      <c r="O3751" s="29"/>
      <c r="P3751" s="29"/>
      <c r="Q3751" s="29"/>
      <c r="R3751" s="29"/>
      <c r="S3751" s="29"/>
      <c r="T3751" s="29"/>
      <c r="U3751" s="29"/>
      <c r="V3751" s="29"/>
      <c r="W3751" s="29"/>
      <c r="X3751" s="29"/>
      <c r="Y3751" s="29"/>
      <c r="Z3751" s="29"/>
      <c r="AA3751" s="29"/>
      <c r="AB3751" s="29"/>
      <c r="AC3751" s="29"/>
      <c r="AD3751" s="29"/>
      <c r="AE3751" s="29"/>
      <c r="AF3751" s="29"/>
    </row>
    <row r="3752" spans="2:32">
      <c r="B3752" s="29"/>
      <c r="C3752" s="29"/>
      <c r="D3752" s="29"/>
      <c r="E3752" s="29"/>
      <c r="F3752" s="29"/>
      <c r="G3752" s="29"/>
      <c r="H3752" s="29"/>
      <c r="I3752" s="29"/>
      <c r="J3752" s="29"/>
      <c r="K3752" s="29"/>
      <c r="L3752" s="29"/>
      <c r="M3752" s="29"/>
      <c r="N3752" s="29"/>
      <c r="O3752" s="29"/>
      <c r="P3752" s="29"/>
      <c r="Q3752" s="29"/>
      <c r="R3752" s="29"/>
      <c r="S3752" s="29"/>
      <c r="T3752" s="29"/>
      <c r="U3752" s="29"/>
      <c r="V3752" s="29"/>
      <c r="W3752" s="29"/>
      <c r="X3752" s="29"/>
      <c r="Y3752" s="29"/>
      <c r="Z3752" s="29"/>
      <c r="AA3752" s="29"/>
      <c r="AB3752" s="29"/>
      <c r="AC3752" s="29"/>
      <c r="AD3752" s="29"/>
      <c r="AE3752" s="29"/>
      <c r="AF3752" s="29"/>
    </row>
    <row r="3874" spans="2:32">
      <c r="B3874" s="29"/>
      <c r="C3874" s="29"/>
      <c r="D3874" s="29"/>
      <c r="E3874" s="29"/>
      <c r="F3874" s="29"/>
      <c r="G3874" s="29"/>
      <c r="H3874" s="29"/>
      <c r="I3874" s="29"/>
      <c r="J3874" s="29"/>
      <c r="K3874" s="29"/>
      <c r="L3874" s="29"/>
      <c r="M3874" s="29"/>
      <c r="N3874" s="29"/>
      <c r="O3874" s="29"/>
      <c r="P3874" s="29"/>
      <c r="Q3874" s="29"/>
      <c r="R3874" s="29"/>
      <c r="S3874" s="29"/>
      <c r="T3874" s="29"/>
      <c r="U3874" s="29"/>
      <c r="V3874" s="29"/>
      <c r="W3874" s="29"/>
      <c r="X3874" s="29"/>
      <c r="Y3874" s="29"/>
      <c r="Z3874" s="29"/>
      <c r="AA3874" s="29"/>
      <c r="AB3874" s="29"/>
      <c r="AC3874" s="29"/>
      <c r="AD3874" s="29"/>
      <c r="AE3874" s="29"/>
      <c r="AF3874" s="29"/>
    </row>
    <row r="3876" spans="2:32">
      <c r="B3876" s="29"/>
      <c r="C3876" s="29"/>
      <c r="D3876" s="29"/>
      <c r="E3876" s="29"/>
      <c r="F3876" s="29"/>
      <c r="G3876" s="29"/>
      <c r="H3876" s="29"/>
      <c r="I3876" s="29"/>
      <c r="J3876" s="29"/>
      <c r="K3876" s="29"/>
      <c r="L3876" s="29"/>
      <c r="M3876" s="29"/>
      <c r="N3876" s="29"/>
      <c r="O3876" s="29"/>
      <c r="P3876" s="29"/>
      <c r="Q3876" s="29"/>
      <c r="R3876" s="29"/>
      <c r="S3876" s="29"/>
      <c r="T3876" s="29"/>
      <c r="U3876" s="29"/>
      <c r="V3876" s="29"/>
      <c r="W3876" s="29"/>
      <c r="X3876" s="29"/>
      <c r="Y3876" s="29"/>
      <c r="Z3876" s="29"/>
      <c r="AA3876" s="29"/>
      <c r="AB3876" s="29"/>
      <c r="AC3876" s="29"/>
      <c r="AD3876" s="29"/>
      <c r="AE3876" s="29"/>
      <c r="AF3876" s="29"/>
    </row>
    <row r="3877" spans="2:32">
      <c r="B3877" s="29"/>
      <c r="C3877" s="29"/>
      <c r="D3877" s="29"/>
      <c r="E3877" s="29"/>
      <c r="F3877" s="29"/>
      <c r="G3877" s="29"/>
      <c r="H3877" s="29"/>
      <c r="I3877" s="29"/>
      <c r="J3877" s="29"/>
      <c r="K3877" s="29"/>
      <c r="L3877" s="29"/>
      <c r="M3877" s="29"/>
      <c r="N3877" s="29"/>
      <c r="O3877" s="29"/>
      <c r="P3877" s="29"/>
      <c r="Q3877" s="29"/>
      <c r="R3877" s="29"/>
      <c r="S3877" s="29"/>
      <c r="T3877" s="29"/>
      <c r="U3877" s="29"/>
      <c r="V3877" s="29"/>
      <c r="W3877" s="29"/>
      <c r="X3877" s="29"/>
      <c r="Y3877" s="29"/>
      <c r="Z3877" s="29"/>
      <c r="AA3877" s="29"/>
      <c r="AB3877" s="29"/>
      <c r="AC3877" s="29"/>
      <c r="AD3877" s="29"/>
      <c r="AE3877" s="29"/>
      <c r="AF3877" s="29"/>
    </row>
    <row r="3886" spans="2:32">
      <c r="B3886" s="29"/>
      <c r="C3886" s="29"/>
      <c r="D3886" s="29"/>
      <c r="E3886" s="29"/>
      <c r="F3886" s="29"/>
      <c r="G3886" s="29"/>
      <c r="H3886" s="29"/>
      <c r="I3886" s="29"/>
      <c r="J3886" s="29"/>
      <c r="K3886" s="29"/>
      <c r="L3886" s="29"/>
      <c r="M3886" s="29"/>
      <c r="N3886" s="29"/>
      <c r="O3886" s="29"/>
      <c r="P3886" s="29"/>
      <c r="Q3886" s="29"/>
      <c r="R3886" s="29"/>
      <c r="S3886" s="29"/>
      <c r="T3886" s="29"/>
      <c r="U3886" s="29"/>
      <c r="V3886" s="29"/>
      <c r="W3886" s="29"/>
      <c r="X3886" s="29"/>
      <c r="Y3886" s="29"/>
      <c r="Z3886" s="29"/>
      <c r="AA3886" s="29"/>
      <c r="AB3886" s="29"/>
      <c r="AC3886" s="29"/>
      <c r="AD3886" s="29"/>
      <c r="AE3886" s="29"/>
      <c r="AF3886" s="29"/>
    </row>
    <row r="3887" spans="2:32">
      <c r="B3887" s="29"/>
      <c r="C3887" s="29"/>
      <c r="D3887" s="29"/>
      <c r="E3887" s="29"/>
      <c r="F3887" s="29"/>
      <c r="G3887" s="29"/>
      <c r="H3887" s="29"/>
      <c r="I3887" s="29"/>
      <c r="J3887" s="29"/>
      <c r="K3887" s="29"/>
      <c r="L3887" s="29"/>
      <c r="M3887" s="29"/>
      <c r="N3887" s="29"/>
      <c r="O3887" s="29"/>
      <c r="P3887" s="29"/>
      <c r="Q3887" s="29"/>
      <c r="R3887" s="29"/>
      <c r="S3887" s="29"/>
      <c r="T3887" s="29"/>
      <c r="U3887" s="29"/>
      <c r="V3887" s="29"/>
      <c r="W3887" s="29"/>
      <c r="X3887" s="29"/>
      <c r="Y3887" s="29"/>
      <c r="Z3887" s="29"/>
      <c r="AA3887" s="29"/>
      <c r="AB3887" s="29"/>
      <c r="AC3887" s="29"/>
      <c r="AD3887" s="29"/>
      <c r="AE3887" s="29"/>
      <c r="AF3887" s="29"/>
    </row>
    <row r="3888" spans="2:32">
      <c r="B3888" s="29"/>
      <c r="C3888" s="29"/>
      <c r="D3888" s="29"/>
      <c r="E3888" s="29"/>
      <c r="F3888" s="29"/>
      <c r="G3888" s="29"/>
      <c r="H3888" s="29"/>
      <c r="I3888" s="29"/>
      <c r="J3888" s="29"/>
      <c r="K3888" s="29"/>
      <c r="L3888" s="29"/>
      <c r="M3888" s="29"/>
      <c r="N3888" s="29"/>
      <c r="O3888" s="29"/>
      <c r="P3888" s="29"/>
      <c r="Q3888" s="29"/>
      <c r="R3888" s="29"/>
      <c r="S3888" s="29"/>
      <c r="T3888" s="29"/>
      <c r="U3888" s="29"/>
      <c r="V3888" s="29"/>
      <c r="W3888" s="29"/>
      <c r="X3888" s="29"/>
      <c r="Y3888" s="29"/>
      <c r="Z3888" s="29"/>
      <c r="AA3888" s="29"/>
      <c r="AB3888" s="29"/>
      <c r="AC3888" s="29"/>
      <c r="AD3888" s="29"/>
      <c r="AE3888" s="29"/>
      <c r="AF3888" s="29"/>
    </row>
    <row r="4001" spans="2:32">
      <c r="B4001" s="29"/>
      <c r="C4001" s="29"/>
      <c r="D4001" s="29"/>
      <c r="E4001" s="29"/>
      <c r="F4001" s="29"/>
      <c r="G4001" s="29"/>
      <c r="H4001" s="29"/>
      <c r="I4001" s="29"/>
      <c r="J4001" s="29"/>
      <c r="K4001" s="29"/>
      <c r="L4001" s="29"/>
      <c r="M4001" s="29"/>
      <c r="N4001" s="29"/>
      <c r="O4001" s="29"/>
      <c r="P4001" s="29"/>
      <c r="Q4001" s="29"/>
      <c r="R4001" s="29"/>
      <c r="S4001" s="29"/>
      <c r="T4001" s="29"/>
      <c r="U4001" s="29"/>
      <c r="V4001" s="29"/>
      <c r="W4001" s="29"/>
      <c r="X4001" s="29"/>
      <c r="Y4001" s="29"/>
      <c r="Z4001" s="29"/>
      <c r="AA4001" s="29"/>
      <c r="AB4001" s="29"/>
      <c r="AC4001" s="29"/>
      <c r="AD4001" s="29"/>
      <c r="AE4001" s="29"/>
      <c r="AF4001" s="29"/>
    </row>
    <row r="4002" spans="2:32">
      <c r="B4002" s="29"/>
      <c r="C4002" s="29"/>
      <c r="D4002" s="29"/>
      <c r="E4002" s="29"/>
      <c r="F4002" s="29"/>
      <c r="G4002" s="29"/>
      <c r="H4002" s="29"/>
      <c r="I4002" s="29"/>
      <c r="J4002" s="29"/>
      <c r="K4002" s="29"/>
      <c r="L4002" s="29"/>
      <c r="M4002" s="29"/>
      <c r="N4002" s="29"/>
      <c r="O4002" s="29"/>
      <c r="P4002" s="29"/>
      <c r="Q4002" s="29"/>
      <c r="R4002" s="29"/>
      <c r="S4002" s="29"/>
      <c r="T4002" s="29"/>
      <c r="U4002" s="29"/>
      <c r="V4002" s="29"/>
      <c r="W4002" s="29"/>
      <c r="X4002" s="29"/>
      <c r="Y4002" s="29"/>
      <c r="Z4002" s="29"/>
      <c r="AA4002" s="29"/>
      <c r="AB4002" s="29"/>
      <c r="AC4002" s="29"/>
      <c r="AD4002" s="29"/>
      <c r="AE4002" s="29"/>
      <c r="AF4002" s="29"/>
    </row>
    <row r="4011" spans="2:32">
      <c r="B4011" s="29"/>
      <c r="C4011" s="29"/>
      <c r="D4011" s="29"/>
      <c r="E4011" s="29"/>
      <c r="F4011" s="29"/>
      <c r="G4011" s="29"/>
      <c r="H4011" s="29"/>
      <c r="I4011" s="29"/>
      <c r="J4011" s="29"/>
      <c r="K4011" s="29"/>
      <c r="L4011" s="29"/>
      <c r="M4011" s="29"/>
      <c r="N4011" s="29"/>
      <c r="O4011" s="29"/>
      <c r="P4011" s="29"/>
      <c r="Q4011" s="29"/>
      <c r="R4011" s="29"/>
      <c r="S4011" s="29"/>
      <c r="T4011" s="29"/>
      <c r="U4011" s="29"/>
      <c r="V4011" s="29"/>
      <c r="W4011" s="29"/>
      <c r="X4011" s="29"/>
      <c r="Y4011" s="29"/>
      <c r="Z4011" s="29"/>
      <c r="AA4011" s="29"/>
      <c r="AB4011" s="29"/>
      <c r="AC4011" s="29"/>
      <c r="AD4011" s="29"/>
      <c r="AE4011" s="29"/>
      <c r="AF4011" s="29"/>
    </row>
    <row r="4012" spans="2:32">
      <c r="B4012" s="29"/>
      <c r="C4012" s="29"/>
      <c r="D4012" s="29"/>
      <c r="E4012" s="29"/>
      <c r="F4012" s="29"/>
      <c r="G4012" s="29"/>
      <c r="H4012" s="29"/>
      <c r="I4012" s="29"/>
      <c r="J4012" s="29"/>
      <c r="K4012" s="29"/>
      <c r="L4012" s="29"/>
      <c r="M4012" s="29"/>
      <c r="N4012" s="29"/>
      <c r="O4012" s="29"/>
      <c r="P4012" s="29"/>
      <c r="Q4012" s="29"/>
      <c r="R4012" s="29"/>
      <c r="S4012" s="29"/>
      <c r="T4012" s="29"/>
      <c r="U4012" s="29"/>
      <c r="V4012" s="29"/>
      <c r="W4012" s="29"/>
      <c r="X4012" s="29"/>
      <c r="Y4012" s="29"/>
      <c r="Z4012" s="29"/>
      <c r="AA4012" s="29"/>
      <c r="AB4012" s="29"/>
      <c r="AC4012" s="29"/>
      <c r="AD4012" s="29"/>
      <c r="AE4012" s="29"/>
      <c r="AF4012" s="29"/>
    </row>
    <row r="4013" spans="2:32">
      <c r="B4013" s="29"/>
      <c r="C4013" s="29"/>
      <c r="D4013" s="29"/>
      <c r="E4013" s="29"/>
      <c r="F4013" s="29"/>
      <c r="G4013" s="29"/>
      <c r="H4013" s="29"/>
      <c r="I4013" s="29"/>
      <c r="J4013" s="29"/>
      <c r="K4013" s="29"/>
      <c r="L4013" s="29"/>
      <c r="M4013" s="29"/>
      <c r="N4013" s="29"/>
      <c r="O4013" s="29"/>
      <c r="P4013" s="29"/>
      <c r="Q4013" s="29"/>
      <c r="R4013" s="29"/>
      <c r="S4013" s="29"/>
      <c r="T4013" s="29"/>
      <c r="U4013" s="29"/>
      <c r="V4013" s="29"/>
      <c r="W4013" s="29"/>
      <c r="X4013" s="29"/>
      <c r="Y4013" s="29"/>
      <c r="Z4013" s="29"/>
      <c r="AA4013" s="29"/>
      <c r="AB4013" s="29"/>
      <c r="AC4013" s="29"/>
      <c r="AD4013" s="29"/>
      <c r="AE4013" s="29"/>
      <c r="AF4013" s="29"/>
    </row>
    <row r="4014" spans="2:32">
      <c r="B4014" s="29"/>
      <c r="C4014" s="29"/>
      <c r="D4014" s="29"/>
      <c r="E4014" s="29"/>
      <c r="F4014" s="29"/>
      <c r="G4014" s="29"/>
      <c r="H4014" s="29"/>
      <c r="I4014" s="29"/>
      <c r="J4014" s="29"/>
      <c r="K4014" s="29"/>
      <c r="L4014" s="29"/>
      <c r="M4014" s="29"/>
      <c r="N4014" s="29"/>
      <c r="O4014" s="29"/>
      <c r="P4014" s="29"/>
      <c r="Q4014" s="29"/>
      <c r="R4014" s="29"/>
      <c r="S4014" s="29"/>
      <c r="T4014" s="29"/>
      <c r="U4014" s="29"/>
      <c r="V4014" s="29"/>
      <c r="W4014" s="29"/>
      <c r="X4014" s="29"/>
      <c r="Y4014" s="29"/>
      <c r="Z4014" s="29"/>
      <c r="AA4014" s="29"/>
      <c r="AB4014" s="29"/>
      <c r="AC4014" s="29"/>
      <c r="AD4014" s="29"/>
      <c r="AE4014" s="29"/>
      <c r="AF4014" s="29"/>
    </row>
    <row r="4015" spans="2:32">
      <c r="B4015" s="29"/>
      <c r="C4015" s="29"/>
      <c r="D4015" s="29"/>
      <c r="E4015" s="29"/>
      <c r="F4015" s="29"/>
      <c r="G4015" s="29"/>
      <c r="H4015" s="29"/>
      <c r="I4015" s="29"/>
      <c r="J4015" s="29"/>
      <c r="K4015" s="29"/>
      <c r="L4015" s="29"/>
      <c r="M4015" s="29"/>
      <c r="N4015" s="29"/>
      <c r="O4015" s="29"/>
      <c r="P4015" s="29"/>
      <c r="Q4015" s="29"/>
      <c r="R4015" s="29"/>
      <c r="S4015" s="29"/>
      <c r="T4015" s="29"/>
      <c r="U4015" s="29"/>
      <c r="V4015" s="29"/>
      <c r="W4015" s="29"/>
      <c r="X4015" s="29"/>
      <c r="Y4015" s="29"/>
      <c r="Z4015" s="29"/>
      <c r="AA4015" s="29"/>
      <c r="AB4015" s="29"/>
      <c r="AC4015" s="29"/>
      <c r="AD4015" s="29"/>
      <c r="AE4015" s="29"/>
      <c r="AF4015" s="29"/>
    </row>
    <row r="4016" spans="2:32">
      <c r="B4016" s="29"/>
      <c r="C4016" s="29"/>
      <c r="D4016" s="29"/>
      <c r="E4016" s="29"/>
      <c r="F4016" s="29"/>
      <c r="G4016" s="29"/>
      <c r="H4016" s="29"/>
      <c r="I4016" s="29"/>
      <c r="J4016" s="29"/>
      <c r="K4016" s="29"/>
      <c r="L4016" s="29"/>
      <c r="M4016" s="29"/>
      <c r="N4016" s="29"/>
      <c r="O4016" s="29"/>
      <c r="P4016" s="29"/>
      <c r="Q4016" s="29"/>
      <c r="R4016" s="29"/>
      <c r="S4016" s="29"/>
      <c r="T4016" s="29"/>
      <c r="U4016" s="29"/>
      <c r="V4016" s="29"/>
      <c r="W4016" s="29"/>
      <c r="X4016" s="29"/>
      <c r="Y4016" s="29"/>
      <c r="Z4016" s="29"/>
      <c r="AA4016" s="29"/>
      <c r="AB4016" s="29"/>
      <c r="AC4016" s="29"/>
      <c r="AD4016" s="29"/>
      <c r="AE4016" s="29"/>
      <c r="AF4016" s="29"/>
    </row>
    <row r="4121" spans="2:32">
      <c r="B4121" s="29"/>
      <c r="C4121" s="29"/>
      <c r="D4121" s="29"/>
      <c r="E4121" s="29"/>
      <c r="F4121" s="29"/>
      <c r="G4121" s="29"/>
      <c r="H4121" s="29"/>
      <c r="I4121" s="29"/>
      <c r="J4121" s="29"/>
      <c r="K4121" s="29"/>
      <c r="L4121" s="29"/>
      <c r="M4121" s="29"/>
      <c r="N4121" s="29"/>
      <c r="O4121" s="29"/>
      <c r="P4121" s="29"/>
      <c r="Q4121" s="29"/>
      <c r="R4121" s="29"/>
      <c r="S4121" s="29"/>
      <c r="T4121" s="29"/>
      <c r="U4121" s="29"/>
      <c r="V4121" s="29"/>
      <c r="W4121" s="29"/>
      <c r="X4121" s="29"/>
      <c r="Y4121" s="29"/>
      <c r="Z4121" s="29"/>
      <c r="AA4121" s="29"/>
      <c r="AB4121" s="29"/>
      <c r="AC4121" s="29"/>
      <c r="AD4121" s="29"/>
      <c r="AE4121" s="29"/>
      <c r="AF4121" s="29"/>
    </row>
    <row r="4124" spans="2:32">
      <c r="B4124" s="29"/>
      <c r="C4124" s="29"/>
      <c r="D4124" s="29"/>
      <c r="E4124" s="29"/>
      <c r="F4124" s="29"/>
      <c r="G4124" s="29"/>
      <c r="H4124" s="29"/>
      <c r="I4124" s="29"/>
      <c r="J4124" s="29"/>
      <c r="K4124" s="29"/>
      <c r="L4124" s="29"/>
      <c r="M4124" s="29"/>
      <c r="N4124" s="29"/>
      <c r="O4124" s="29"/>
      <c r="P4124" s="29"/>
      <c r="Q4124" s="29"/>
      <c r="R4124" s="29"/>
      <c r="S4124" s="29"/>
      <c r="T4124" s="29"/>
      <c r="U4124" s="29"/>
      <c r="V4124" s="29"/>
      <c r="W4124" s="29"/>
      <c r="X4124" s="29"/>
      <c r="Y4124" s="29"/>
      <c r="Z4124" s="29"/>
      <c r="AA4124" s="29"/>
      <c r="AB4124" s="29"/>
      <c r="AC4124" s="29"/>
      <c r="AD4124" s="29"/>
      <c r="AE4124" s="29"/>
      <c r="AF4124" s="29"/>
    </row>
    <row r="4126" spans="2:32">
      <c r="B4126" s="29"/>
      <c r="C4126" s="29"/>
      <c r="D4126" s="29"/>
      <c r="E4126" s="29"/>
      <c r="F4126" s="29"/>
      <c r="G4126" s="29"/>
      <c r="H4126" s="29"/>
      <c r="I4126" s="29"/>
      <c r="J4126" s="29"/>
      <c r="K4126" s="29"/>
      <c r="L4126" s="29"/>
      <c r="M4126" s="29"/>
      <c r="N4126" s="29"/>
      <c r="O4126" s="29"/>
      <c r="P4126" s="29"/>
      <c r="Q4126" s="29"/>
      <c r="R4126" s="29"/>
      <c r="S4126" s="29"/>
      <c r="T4126" s="29"/>
      <c r="U4126" s="29"/>
      <c r="V4126" s="29"/>
      <c r="W4126" s="29"/>
      <c r="X4126" s="29"/>
      <c r="Y4126" s="29"/>
      <c r="Z4126" s="29"/>
      <c r="AA4126" s="29"/>
      <c r="AB4126" s="29"/>
      <c r="AC4126" s="29"/>
      <c r="AD4126" s="29"/>
      <c r="AE4126" s="29"/>
      <c r="AF4126" s="29"/>
    </row>
    <row r="4127" spans="2:32">
      <c r="B4127" s="29"/>
      <c r="C4127" s="29"/>
      <c r="D4127" s="29"/>
      <c r="E4127" s="29"/>
      <c r="F4127" s="29"/>
      <c r="G4127" s="29"/>
      <c r="H4127" s="29"/>
      <c r="I4127" s="29"/>
      <c r="J4127" s="29"/>
      <c r="K4127" s="29"/>
      <c r="L4127" s="29"/>
      <c r="M4127" s="29"/>
      <c r="N4127" s="29"/>
      <c r="O4127" s="29"/>
      <c r="P4127" s="29"/>
      <c r="Q4127" s="29"/>
      <c r="R4127" s="29"/>
      <c r="S4127" s="29"/>
      <c r="T4127" s="29"/>
      <c r="U4127" s="29"/>
      <c r="V4127" s="29"/>
      <c r="W4127" s="29"/>
      <c r="X4127" s="29"/>
      <c r="Y4127" s="29"/>
      <c r="Z4127" s="29"/>
      <c r="AA4127" s="29"/>
      <c r="AB4127" s="29"/>
      <c r="AC4127" s="29"/>
      <c r="AD4127" s="29"/>
      <c r="AE4127" s="29"/>
      <c r="AF4127" s="29"/>
    </row>
    <row r="4246" spans="2:32">
      <c r="B4246" s="29"/>
      <c r="C4246" s="29"/>
      <c r="D4246" s="29"/>
      <c r="E4246" s="29"/>
      <c r="F4246" s="29"/>
      <c r="G4246" s="29"/>
      <c r="H4246" s="29"/>
      <c r="I4246" s="29"/>
      <c r="J4246" s="29"/>
      <c r="K4246" s="29"/>
      <c r="L4246" s="29"/>
      <c r="M4246" s="29"/>
      <c r="N4246" s="29"/>
      <c r="O4246" s="29"/>
      <c r="P4246" s="29"/>
      <c r="Q4246" s="29"/>
      <c r="R4246" s="29"/>
      <c r="S4246" s="29"/>
      <c r="T4246" s="29"/>
      <c r="U4246" s="29"/>
      <c r="V4246" s="29"/>
      <c r="W4246" s="29"/>
      <c r="X4246" s="29"/>
      <c r="Y4246" s="29"/>
      <c r="Z4246" s="29"/>
      <c r="AA4246" s="29"/>
      <c r="AB4246" s="29"/>
      <c r="AC4246" s="29"/>
      <c r="AD4246" s="29"/>
      <c r="AE4246" s="29"/>
      <c r="AF4246" s="29"/>
    </row>
    <row r="4249" spans="2:32">
      <c r="B4249" s="29"/>
      <c r="C4249" s="29"/>
      <c r="D4249" s="29"/>
      <c r="E4249" s="29"/>
      <c r="F4249" s="29"/>
      <c r="G4249" s="29"/>
      <c r="H4249" s="29"/>
      <c r="I4249" s="29"/>
      <c r="J4249" s="29"/>
      <c r="K4249" s="29"/>
      <c r="L4249" s="29"/>
      <c r="M4249" s="29"/>
      <c r="N4249" s="29"/>
      <c r="O4249" s="29"/>
      <c r="P4249" s="29"/>
      <c r="Q4249" s="29"/>
      <c r="R4249" s="29"/>
      <c r="S4249" s="29"/>
      <c r="T4249" s="29"/>
      <c r="U4249" s="29"/>
      <c r="V4249" s="29"/>
      <c r="W4249" s="29"/>
      <c r="X4249" s="29"/>
      <c r="Y4249" s="29"/>
      <c r="Z4249" s="29"/>
      <c r="AA4249" s="29"/>
      <c r="AB4249" s="29"/>
      <c r="AC4249" s="29"/>
      <c r="AD4249" s="29"/>
      <c r="AE4249" s="29"/>
      <c r="AF4249" s="29"/>
    </row>
    <row r="4251" spans="2:32">
      <c r="B4251" s="29"/>
      <c r="C4251" s="29"/>
      <c r="D4251" s="29"/>
      <c r="E4251" s="29"/>
      <c r="F4251" s="29"/>
      <c r="G4251" s="29"/>
      <c r="H4251" s="29"/>
      <c r="I4251" s="29"/>
      <c r="J4251" s="29"/>
      <c r="K4251" s="29"/>
      <c r="L4251" s="29"/>
      <c r="M4251" s="29"/>
      <c r="N4251" s="29"/>
      <c r="O4251" s="29"/>
      <c r="P4251" s="29"/>
      <c r="Q4251" s="29"/>
      <c r="R4251" s="29"/>
      <c r="S4251" s="29"/>
      <c r="T4251" s="29"/>
      <c r="U4251" s="29"/>
      <c r="V4251" s="29"/>
      <c r="W4251" s="29"/>
      <c r="X4251" s="29"/>
      <c r="Y4251" s="29"/>
      <c r="Z4251" s="29"/>
      <c r="AA4251" s="29"/>
      <c r="AB4251" s="29"/>
      <c r="AC4251" s="29"/>
      <c r="AD4251" s="29"/>
      <c r="AE4251" s="29"/>
      <c r="AF4251" s="29"/>
    </row>
    <row r="4252" spans="2:32">
      <c r="B4252" s="29"/>
      <c r="C4252" s="29"/>
      <c r="D4252" s="29"/>
      <c r="E4252" s="29"/>
      <c r="F4252" s="29"/>
      <c r="G4252" s="29"/>
      <c r="H4252" s="29"/>
      <c r="I4252" s="29"/>
      <c r="J4252" s="29"/>
      <c r="K4252" s="29"/>
      <c r="L4252" s="29"/>
      <c r="M4252" s="29"/>
      <c r="N4252" s="29"/>
      <c r="O4252" s="29"/>
      <c r="P4252" s="29"/>
      <c r="Q4252" s="29"/>
      <c r="R4252" s="29"/>
      <c r="S4252" s="29"/>
      <c r="T4252" s="29"/>
      <c r="U4252" s="29"/>
      <c r="V4252" s="29"/>
      <c r="W4252" s="29"/>
      <c r="X4252" s="29"/>
      <c r="Y4252" s="29"/>
      <c r="Z4252" s="29"/>
      <c r="AA4252" s="29"/>
      <c r="AB4252" s="29"/>
      <c r="AC4252" s="29"/>
      <c r="AD4252" s="29"/>
      <c r="AE4252" s="29"/>
      <c r="AF4252" s="29"/>
    </row>
    <row r="4371" spans="2:32">
      <c r="B4371" s="29"/>
      <c r="C4371" s="29"/>
      <c r="D4371" s="29"/>
      <c r="E4371" s="29"/>
      <c r="F4371" s="29"/>
      <c r="G4371" s="29"/>
      <c r="H4371" s="29"/>
      <c r="I4371" s="29"/>
      <c r="J4371" s="29"/>
      <c r="K4371" s="29"/>
      <c r="L4371" s="29"/>
      <c r="M4371" s="29"/>
      <c r="N4371" s="29"/>
      <c r="O4371" s="29"/>
      <c r="P4371" s="29"/>
      <c r="Q4371" s="29"/>
      <c r="R4371" s="29"/>
      <c r="S4371" s="29"/>
      <c r="T4371" s="29"/>
      <c r="U4371" s="29"/>
      <c r="V4371" s="29"/>
      <c r="W4371" s="29"/>
      <c r="X4371" s="29"/>
      <c r="Y4371" s="29"/>
      <c r="Z4371" s="29"/>
      <c r="AA4371" s="29"/>
      <c r="AB4371" s="29"/>
      <c r="AC4371" s="29"/>
      <c r="AD4371" s="29"/>
      <c r="AE4371" s="29"/>
      <c r="AF4371" s="29"/>
    </row>
    <row r="4374" spans="2:32">
      <c r="B4374" s="29"/>
      <c r="C4374" s="29"/>
      <c r="D4374" s="29"/>
      <c r="E4374" s="29"/>
      <c r="F4374" s="29"/>
      <c r="G4374" s="29"/>
      <c r="H4374" s="29"/>
      <c r="I4374" s="29"/>
      <c r="J4374" s="29"/>
      <c r="K4374" s="29"/>
      <c r="L4374" s="29"/>
      <c r="M4374" s="29"/>
      <c r="N4374" s="29"/>
      <c r="O4374" s="29"/>
      <c r="P4374" s="29"/>
      <c r="Q4374" s="29"/>
      <c r="R4374" s="29"/>
      <c r="S4374" s="29"/>
      <c r="T4374" s="29"/>
      <c r="U4374" s="29"/>
      <c r="V4374" s="29"/>
      <c r="W4374" s="29"/>
      <c r="X4374" s="29"/>
      <c r="Y4374" s="29"/>
      <c r="Z4374" s="29"/>
      <c r="AA4374" s="29"/>
      <c r="AB4374" s="29"/>
      <c r="AC4374" s="29"/>
      <c r="AD4374" s="29"/>
      <c r="AE4374" s="29"/>
      <c r="AF4374" s="29"/>
    </row>
    <row r="4376" spans="2:32">
      <c r="B4376" s="29"/>
      <c r="C4376" s="29"/>
      <c r="D4376" s="29"/>
      <c r="E4376" s="29"/>
      <c r="F4376" s="29"/>
      <c r="G4376" s="29"/>
      <c r="H4376" s="29"/>
      <c r="I4376" s="29"/>
      <c r="J4376" s="29"/>
      <c r="K4376" s="29"/>
      <c r="L4376" s="29"/>
      <c r="M4376" s="29"/>
      <c r="N4376" s="29"/>
      <c r="O4376" s="29"/>
      <c r="P4376" s="29"/>
      <c r="Q4376" s="29"/>
      <c r="R4376" s="29"/>
      <c r="S4376" s="29"/>
      <c r="T4376" s="29"/>
      <c r="U4376" s="29"/>
      <c r="V4376" s="29"/>
      <c r="W4376" s="29"/>
      <c r="X4376" s="29"/>
      <c r="Y4376" s="29"/>
      <c r="Z4376" s="29"/>
      <c r="AA4376" s="29"/>
      <c r="AB4376" s="29"/>
      <c r="AC4376" s="29"/>
      <c r="AD4376" s="29"/>
      <c r="AE4376" s="29"/>
      <c r="AF4376" s="29"/>
    </row>
    <row r="4377" spans="2:32">
      <c r="B4377" s="29"/>
      <c r="C4377" s="29"/>
      <c r="D4377" s="29"/>
      <c r="E4377" s="29"/>
      <c r="F4377" s="29"/>
      <c r="G4377" s="29"/>
      <c r="H4377" s="29"/>
      <c r="I4377" s="29"/>
      <c r="J4377" s="29"/>
      <c r="K4377" s="29"/>
      <c r="L4377" s="29"/>
      <c r="M4377" s="29"/>
      <c r="N4377" s="29"/>
      <c r="O4377" s="29"/>
      <c r="P4377" s="29"/>
      <c r="Q4377" s="29"/>
      <c r="R4377" s="29"/>
      <c r="S4377" s="29"/>
      <c r="T4377" s="29"/>
      <c r="U4377" s="29"/>
      <c r="V4377" s="29"/>
      <c r="W4377" s="29"/>
      <c r="X4377" s="29"/>
      <c r="Y4377" s="29"/>
      <c r="Z4377" s="29"/>
      <c r="AA4377" s="29"/>
      <c r="AB4377" s="29"/>
      <c r="AC4377" s="29"/>
      <c r="AD4377" s="29"/>
      <c r="AE4377" s="29"/>
      <c r="AF4377" s="29"/>
    </row>
    <row r="4499" spans="2:32">
      <c r="B4499" s="29"/>
      <c r="C4499" s="29"/>
      <c r="D4499" s="29"/>
      <c r="E4499" s="29"/>
      <c r="F4499" s="29"/>
      <c r="G4499" s="29"/>
      <c r="H4499" s="29"/>
      <c r="I4499" s="29"/>
      <c r="J4499" s="29"/>
      <c r="K4499" s="29"/>
      <c r="L4499" s="29"/>
      <c r="M4499" s="29"/>
      <c r="N4499" s="29"/>
      <c r="O4499" s="29"/>
      <c r="P4499" s="29"/>
      <c r="Q4499" s="29"/>
      <c r="R4499" s="29"/>
      <c r="S4499" s="29"/>
      <c r="T4499" s="29"/>
      <c r="U4499" s="29"/>
      <c r="V4499" s="29"/>
      <c r="W4499" s="29"/>
      <c r="X4499" s="29"/>
      <c r="Y4499" s="29"/>
      <c r="Z4499" s="29"/>
      <c r="AA4499" s="29"/>
      <c r="AB4499" s="29"/>
      <c r="AC4499" s="29"/>
      <c r="AD4499" s="29"/>
      <c r="AE4499" s="29"/>
      <c r="AF4499" s="29"/>
    </row>
    <row r="4501" spans="2:32">
      <c r="B4501" s="29"/>
      <c r="C4501" s="29"/>
      <c r="D4501" s="29"/>
      <c r="E4501" s="29"/>
      <c r="F4501" s="29"/>
      <c r="G4501" s="29"/>
      <c r="H4501" s="29"/>
      <c r="I4501" s="29"/>
      <c r="J4501" s="29"/>
      <c r="K4501" s="29"/>
      <c r="L4501" s="29"/>
      <c r="M4501" s="29"/>
      <c r="N4501" s="29"/>
      <c r="O4501" s="29"/>
      <c r="P4501" s="29"/>
      <c r="Q4501" s="29"/>
      <c r="R4501" s="29"/>
      <c r="S4501" s="29"/>
      <c r="T4501" s="29"/>
      <c r="U4501" s="29"/>
      <c r="V4501" s="29"/>
      <c r="W4501" s="29"/>
      <c r="X4501" s="29"/>
      <c r="Y4501" s="29"/>
      <c r="Z4501" s="29"/>
      <c r="AA4501" s="29"/>
      <c r="AB4501" s="29"/>
      <c r="AC4501" s="29"/>
      <c r="AD4501" s="29"/>
      <c r="AE4501" s="29"/>
      <c r="AF4501" s="29"/>
    </row>
    <row r="4502" spans="2:32">
      <c r="B4502" s="29"/>
      <c r="C4502" s="29"/>
      <c r="D4502" s="29"/>
      <c r="E4502" s="29"/>
      <c r="F4502" s="29"/>
      <c r="G4502" s="29"/>
      <c r="H4502" s="29"/>
      <c r="I4502" s="29"/>
      <c r="J4502" s="29"/>
      <c r="K4502" s="29"/>
      <c r="L4502" s="29"/>
      <c r="M4502" s="29"/>
      <c r="N4502" s="29"/>
      <c r="O4502" s="29"/>
      <c r="P4502" s="29"/>
      <c r="Q4502" s="29"/>
      <c r="R4502" s="29"/>
      <c r="S4502" s="29"/>
      <c r="T4502" s="29"/>
      <c r="U4502" s="29"/>
      <c r="V4502" s="29"/>
      <c r="W4502" s="29"/>
      <c r="X4502" s="29"/>
      <c r="Y4502" s="29"/>
      <c r="Z4502" s="29"/>
      <c r="AA4502" s="29"/>
      <c r="AB4502" s="29"/>
      <c r="AC4502" s="29"/>
      <c r="AD4502" s="29"/>
      <c r="AE4502" s="29"/>
      <c r="AF4502" s="29"/>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428C28-7B7A-4BE7-A413-A8B59D6809B0}">
  <dimension ref="A1:AG4502"/>
  <sheetViews>
    <sheetView workbookViewId="0"/>
    <sheetView workbookViewId="1"/>
  </sheetViews>
  <sheetFormatPr defaultRowHeight="14.75"/>
  <cols>
    <col min="2" max="2" width="41" customWidth="1"/>
  </cols>
  <sheetData>
    <row r="1" spans="1:33" ht="15.5" thickBot="1">
      <c r="A1" s="29"/>
      <c r="B1" s="34" t="s">
        <v>649</v>
      </c>
      <c r="C1" s="207">
        <v>2022</v>
      </c>
      <c r="D1" s="207">
        <v>2023</v>
      </c>
      <c r="E1" s="207">
        <v>2024</v>
      </c>
      <c r="F1" s="207">
        <v>2025</v>
      </c>
      <c r="G1" s="207">
        <v>2026</v>
      </c>
      <c r="H1" s="207">
        <v>2027</v>
      </c>
      <c r="I1" s="207">
        <v>2028</v>
      </c>
      <c r="J1" s="207">
        <v>2029</v>
      </c>
      <c r="K1" s="207">
        <v>2030</v>
      </c>
      <c r="L1" s="207">
        <v>2031</v>
      </c>
      <c r="M1" s="207">
        <v>2032</v>
      </c>
      <c r="N1" s="207">
        <v>2033</v>
      </c>
      <c r="O1" s="207">
        <v>2034</v>
      </c>
      <c r="P1" s="207">
        <v>2035</v>
      </c>
      <c r="Q1" s="207">
        <v>2036</v>
      </c>
      <c r="R1" s="207">
        <v>2037</v>
      </c>
      <c r="S1" s="207">
        <v>2038</v>
      </c>
      <c r="T1" s="207">
        <v>2039</v>
      </c>
      <c r="U1" s="207">
        <v>2040</v>
      </c>
      <c r="V1" s="207">
        <v>2041</v>
      </c>
      <c r="W1" s="207">
        <v>2042</v>
      </c>
      <c r="X1" s="207">
        <v>2043</v>
      </c>
      <c r="Y1" s="207">
        <v>2044</v>
      </c>
      <c r="Z1" s="207">
        <v>2045</v>
      </c>
      <c r="AA1" s="207">
        <v>2046</v>
      </c>
      <c r="AB1" s="207">
        <v>2047</v>
      </c>
      <c r="AC1" s="207">
        <v>2048</v>
      </c>
      <c r="AD1" s="207">
        <v>2049</v>
      </c>
      <c r="AE1" s="207">
        <v>2050</v>
      </c>
      <c r="AF1" s="29"/>
      <c r="AG1" s="29"/>
    </row>
    <row r="2" spans="1:33" ht="15.5" thickTop="1">
      <c r="A2" s="29"/>
      <c r="B2" s="29"/>
      <c r="C2" s="29"/>
      <c r="D2" s="29"/>
      <c r="E2" s="29"/>
      <c r="F2" s="29"/>
      <c r="G2" s="29"/>
      <c r="H2" s="29"/>
      <c r="I2" s="29"/>
      <c r="J2" s="29"/>
      <c r="K2" s="29"/>
      <c r="L2" s="29"/>
      <c r="M2" s="29"/>
      <c r="N2" s="29"/>
      <c r="O2" s="29"/>
      <c r="P2" s="29"/>
      <c r="Q2" s="29"/>
      <c r="R2" s="29"/>
      <c r="S2" s="29"/>
      <c r="T2" s="29"/>
      <c r="U2" s="29"/>
      <c r="V2" s="29"/>
      <c r="W2" s="29"/>
      <c r="X2" s="29"/>
      <c r="Y2" s="29"/>
      <c r="Z2" s="29"/>
      <c r="AA2" s="29"/>
      <c r="AB2" s="29"/>
      <c r="AC2" s="29"/>
      <c r="AD2" s="29"/>
      <c r="AE2" s="29"/>
      <c r="AF2" s="29"/>
      <c r="AG2" s="29"/>
    </row>
    <row r="3" spans="1:33">
      <c r="A3" s="29"/>
      <c r="B3" s="29"/>
      <c r="C3" s="40" t="s">
        <v>265</v>
      </c>
      <c r="D3" s="40" t="s">
        <v>650</v>
      </c>
      <c r="E3" s="36"/>
      <c r="F3" s="36"/>
      <c r="G3" s="36"/>
      <c r="H3" s="29"/>
      <c r="I3" s="29"/>
      <c r="J3" s="29"/>
      <c r="K3" s="29"/>
      <c r="L3" s="29"/>
      <c r="M3" s="29"/>
      <c r="N3" s="29"/>
      <c r="O3" s="29"/>
      <c r="P3" s="29"/>
      <c r="Q3" s="29"/>
      <c r="R3" s="29"/>
      <c r="S3" s="29"/>
      <c r="T3" s="29"/>
      <c r="U3" s="29"/>
      <c r="V3" s="29"/>
      <c r="W3" s="29"/>
      <c r="X3" s="29"/>
      <c r="Y3" s="29"/>
      <c r="Z3" s="29"/>
      <c r="AA3" s="29"/>
      <c r="AB3" s="29"/>
      <c r="AC3" s="29"/>
      <c r="AD3" s="29"/>
      <c r="AE3" s="29"/>
      <c r="AF3" s="29"/>
      <c r="AG3" s="29"/>
    </row>
    <row r="4" spans="1:33">
      <c r="A4" s="29"/>
      <c r="B4" s="29"/>
      <c r="C4" s="40" t="s">
        <v>266</v>
      </c>
      <c r="D4" s="40" t="s">
        <v>651</v>
      </c>
      <c r="E4" s="36"/>
      <c r="F4" s="36"/>
      <c r="G4" s="40" t="s">
        <v>652</v>
      </c>
      <c r="H4" s="29"/>
      <c r="I4" s="29"/>
      <c r="J4" s="29"/>
      <c r="K4" s="29"/>
      <c r="L4" s="29"/>
      <c r="M4" s="29"/>
      <c r="N4" s="29"/>
      <c r="O4" s="29"/>
      <c r="P4" s="29"/>
      <c r="Q4" s="29"/>
      <c r="R4" s="29"/>
      <c r="S4" s="29"/>
      <c r="T4" s="29"/>
      <c r="U4" s="29"/>
      <c r="V4" s="29"/>
      <c r="W4" s="29"/>
      <c r="X4" s="29"/>
      <c r="Y4" s="29"/>
      <c r="Z4" s="29"/>
      <c r="AA4" s="29"/>
      <c r="AB4" s="29"/>
      <c r="AC4" s="29"/>
      <c r="AD4" s="29"/>
      <c r="AE4" s="29"/>
      <c r="AF4" s="29"/>
      <c r="AG4" s="29"/>
    </row>
    <row r="5" spans="1:33">
      <c r="A5" s="29"/>
      <c r="B5" s="29"/>
      <c r="C5" s="40" t="s">
        <v>267</v>
      </c>
      <c r="D5" s="40" t="s">
        <v>653</v>
      </c>
      <c r="E5" s="36"/>
      <c r="F5" s="36"/>
      <c r="G5" s="36"/>
      <c r="H5" s="29"/>
      <c r="I5" s="29"/>
      <c r="J5" s="29"/>
      <c r="K5" s="29"/>
      <c r="L5" s="29"/>
      <c r="M5" s="29"/>
      <c r="N5" s="29"/>
      <c r="O5" s="29"/>
      <c r="P5" s="29"/>
      <c r="Q5" s="29"/>
      <c r="R5" s="29"/>
      <c r="S5" s="29"/>
      <c r="T5" s="29"/>
      <c r="U5" s="29"/>
      <c r="V5" s="29"/>
      <c r="W5" s="29"/>
      <c r="X5" s="29"/>
      <c r="Y5" s="29"/>
      <c r="Z5" s="29"/>
      <c r="AA5" s="29"/>
      <c r="AB5" s="29"/>
      <c r="AC5" s="29"/>
      <c r="AD5" s="29"/>
      <c r="AE5" s="29"/>
      <c r="AF5" s="29"/>
      <c r="AG5" s="29"/>
    </row>
    <row r="6" spans="1:33">
      <c r="A6" s="29"/>
      <c r="B6" s="29"/>
      <c r="C6" s="40" t="s">
        <v>268</v>
      </c>
      <c r="D6" s="36"/>
      <c r="E6" s="40" t="s">
        <v>654</v>
      </c>
      <c r="F6" s="36"/>
      <c r="G6" s="36"/>
      <c r="H6" s="29"/>
      <c r="I6" s="29"/>
      <c r="J6" s="29"/>
      <c r="K6" s="29"/>
      <c r="L6" s="29"/>
      <c r="M6" s="29"/>
      <c r="N6" s="29"/>
      <c r="O6" s="29"/>
      <c r="P6" s="29"/>
      <c r="Q6" s="29"/>
      <c r="R6" s="29"/>
      <c r="S6" s="29"/>
      <c r="T6" s="29"/>
      <c r="U6" s="29"/>
      <c r="V6" s="29"/>
      <c r="W6" s="29"/>
      <c r="X6" s="29"/>
      <c r="Y6" s="29"/>
      <c r="Z6" s="29"/>
      <c r="AA6" s="29"/>
      <c r="AB6" s="29"/>
      <c r="AC6" s="29"/>
      <c r="AD6" s="29"/>
      <c r="AE6" s="29"/>
      <c r="AF6" s="29"/>
      <c r="AG6" s="29"/>
    </row>
    <row r="7" spans="1:33">
      <c r="A7" s="29"/>
      <c r="B7" s="29"/>
      <c r="C7" s="29"/>
      <c r="D7" s="29"/>
      <c r="E7" s="29"/>
      <c r="F7" s="29"/>
      <c r="G7" s="29"/>
      <c r="H7" s="29"/>
      <c r="I7" s="29"/>
      <c r="J7" s="29"/>
      <c r="K7" s="29"/>
      <c r="L7" s="29"/>
      <c r="M7" s="29"/>
      <c r="N7" s="29"/>
      <c r="O7" s="29"/>
      <c r="P7" s="29"/>
      <c r="Q7" s="29"/>
      <c r="R7" s="29"/>
      <c r="S7" s="29"/>
      <c r="T7" s="29"/>
      <c r="U7" s="29"/>
      <c r="V7" s="29"/>
      <c r="W7" s="29"/>
      <c r="X7" s="29"/>
      <c r="Y7" s="29"/>
      <c r="Z7" s="29"/>
      <c r="AA7" s="29"/>
      <c r="AB7" s="29"/>
      <c r="AC7" s="29"/>
      <c r="AD7" s="29"/>
      <c r="AE7" s="29"/>
      <c r="AF7" s="29"/>
      <c r="AG7" s="29"/>
    </row>
    <row r="8" spans="1:33">
      <c r="A8" s="29"/>
      <c r="B8" s="29"/>
      <c r="C8" s="29"/>
      <c r="D8" s="29"/>
      <c r="E8" s="29"/>
      <c r="F8" s="29"/>
      <c r="G8" s="29"/>
      <c r="H8" s="29"/>
      <c r="I8" s="29"/>
      <c r="J8" s="29"/>
      <c r="K8" s="29"/>
      <c r="L8" s="29"/>
      <c r="M8" s="29"/>
      <c r="N8" s="29"/>
      <c r="O8" s="29"/>
      <c r="P8" s="29"/>
      <c r="Q8" s="29"/>
      <c r="R8" s="29"/>
      <c r="S8" s="29"/>
      <c r="T8" s="29"/>
      <c r="U8" s="29"/>
      <c r="V8" s="29"/>
      <c r="W8" s="29"/>
      <c r="X8" s="29"/>
      <c r="Y8" s="29"/>
      <c r="Z8" s="29"/>
      <c r="AA8" s="29"/>
      <c r="AB8" s="29"/>
      <c r="AC8" s="29"/>
      <c r="AD8" s="29"/>
      <c r="AE8" s="29"/>
      <c r="AF8" s="29"/>
      <c r="AG8" s="29"/>
    </row>
    <row r="9" spans="1:33">
      <c r="A9" s="29"/>
      <c r="B9" s="29"/>
      <c r="C9" s="29"/>
      <c r="D9" s="29"/>
      <c r="E9" s="29"/>
      <c r="F9" s="29"/>
      <c r="G9" s="29"/>
      <c r="H9" s="29"/>
      <c r="I9" s="29"/>
      <c r="J9" s="29"/>
      <c r="K9" s="29"/>
      <c r="L9" s="29"/>
      <c r="M9" s="29"/>
      <c r="N9" s="29"/>
      <c r="O9" s="29"/>
      <c r="P9" s="29"/>
      <c r="Q9" s="29"/>
      <c r="R9" s="29"/>
      <c r="S9" s="29"/>
      <c r="T9" s="29"/>
      <c r="U9" s="29"/>
      <c r="V9" s="29"/>
      <c r="W9" s="29"/>
      <c r="X9" s="29"/>
      <c r="Y9" s="29"/>
      <c r="Z9" s="29"/>
      <c r="AA9" s="29"/>
      <c r="AB9" s="29"/>
      <c r="AC9" s="29"/>
      <c r="AD9" s="29"/>
      <c r="AE9" s="29"/>
      <c r="AF9" s="29"/>
      <c r="AG9" s="29"/>
    </row>
    <row r="10" spans="1:33" ht="16">
      <c r="A10" s="30" t="s">
        <v>1139</v>
      </c>
      <c r="B10" s="45" t="s">
        <v>1140</v>
      </c>
      <c r="C10" s="31"/>
      <c r="D10" s="31"/>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7" t="s">
        <v>656</v>
      </c>
      <c r="AG10" s="31"/>
    </row>
    <row r="11" spans="1:33">
      <c r="A11" s="29"/>
      <c r="B11" s="46"/>
      <c r="C11" s="31"/>
      <c r="D11" s="31"/>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7" t="s">
        <v>657</v>
      </c>
      <c r="AG11" s="31"/>
    </row>
    <row r="12" spans="1:33">
      <c r="A12" s="29"/>
      <c r="B12" s="46"/>
      <c r="C12" s="38"/>
      <c r="D12" s="38"/>
      <c r="E12" s="38"/>
      <c r="F12" s="38"/>
      <c r="G12" s="38"/>
      <c r="H12" s="38"/>
      <c r="I12" s="38"/>
      <c r="J12" s="38"/>
      <c r="K12" s="38"/>
      <c r="L12" s="38"/>
      <c r="M12" s="38"/>
      <c r="N12" s="38"/>
      <c r="O12" s="38"/>
      <c r="P12" s="38"/>
      <c r="Q12" s="38"/>
      <c r="R12" s="38"/>
      <c r="S12" s="38"/>
      <c r="T12" s="38"/>
      <c r="U12" s="38"/>
      <c r="V12" s="38"/>
      <c r="W12" s="38"/>
      <c r="X12" s="38"/>
      <c r="Y12" s="38"/>
      <c r="Z12" s="38"/>
      <c r="AA12" s="38"/>
      <c r="AB12" s="38"/>
      <c r="AC12" s="38"/>
      <c r="AD12" s="38"/>
      <c r="AE12" s="38"/>
      <c r="AF12" s="37" t="s">
        <v>658</v>
      </c>
      <c r="AG12" s="31"/>
    </row>
    <row r="13" spans="1:33" ht="15.5" thickBot="1">
      <c r="A13" s="29"/>
      <c r="B13" s="208" t="s">
        <v>1141</v>
      </c>
      <c r="C13" s="208">
        <v>2022</v>
      </c>
      <c r="D13" s="208">
        <v>2023</v>
      </c>
      <c r="E13" s="208">
        <v>2024</v>
      </c>
      <c r="F13" s="208">
        <v>2025</v>
      </c>
      <c r="G13" s="208">
        <v>2026</v>
      </c>
      <c r="H13" s="208">
        <v>2027</v>
      </c>
      <c r="I13" s="208">
        <v>2028</v>
      </c>
      <c r="J13" s="208">
        <v>2029</v>
      </c>
      <c r="K13" s="208">
        <v>2030</v>
      </c>
      <c r="L13" s="208">
        <v>2031</v>
      </c>
      <c r="M13" s="208">
        <v>2032</v>
      </c>
      <c r="N13" s="208">
        <v>2033</v>
      </c>
      <c r="O13" s="208">
        <v>2034</v>
      </c>
      <c r="P13" s="208">
        <v>2035</v>
      </c>
      <c r="Q13" s="208">
        <v>2036</v>
      </c>
      <c r="R13" s="208">
        <v>2037</v>
      </c>
      <c r="S13" s="208">
        <v>2038</v>
      </c>
      <c r="T13" s="208">
        <v>2039</v>
      </c>
      <c r="U13" s="208">
        <v>2040</v>
      </c>
      <c r="V13" s="208">
        <v>2041</v>
      </c>
      <c r="W13" s="208">
        <v>2042</v>
      </c>
      <c r="X13" s="208">
        <v>2043</v>
      </c>
      <c r="Y13" s="208">
        <v>2044</v>
      </c>
      <c r="Z13" s="208">
        <v>2045</v>
      </c>
      <c r="AA13" s="208">
        <v>2046</v>
      </c>
      <c r="AB13" s="208">
        <v>2047</v>
      </c>
      <c r="AC13" s="208">
        <v>2048</v>
      </c>
      <c r="AD13" s="208">
        <v>2049</v>
      </c>
      <c r="AE13" s="208">
        <v>2050</v>
      </c>
      <c r="AF13" s="48">
        <v>2050</v>
      </c>
      <c r="AG13" s="31"/>
    </row>
    <row r="14" spans="1:33" ht="15.5" thickTop="1">
      <c r="A14" s="29"/>
      <c r="B14" s="31"/>
      <c r="C14" s="31"/>
      <c r="D14" s="31"/>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row>
    <row r="15" spans="1:33">
      <c r="A15" s="29"/>
      <c r="B15" s="209" t="s">
        <v>200</v>
      </c>
      <c r="C15" s="31"/>
      <c r="D15" s="31"/>
      <c r="E15" s="31"/>
      <c r="F15" s="31"/>
      <c r="G15" s="31"/>
      <c r="H15" s="31"/>
      <c r="I15" s="31"/>
      <c r="J15" s="31"/>
      <c r="K15" s="31"/>
      <c r="L15" s="31"/>
      <c r="M15" s="31"/>
      <c r="N15" s="31"/>
      <c r="O15" s="31"/>
      <c r="P15" s="31"/>
      <c r="Q15" s="31"/>
      <c r="R15" s="31"/>
      <c r="S15" s="31"/>
      <c r="T15" s="31"/>
      <c r="U15" s="31"/>
      <c r="V15" s="31"/>
      <c r="W15" s="31"/>
      <c r="X15" s="31"/>
      <c r="Y15" s="31"/>
      <c r="Z15" s="31"/>
      <c r="AA15" s="31"/>
      <c r="AB15" s="31"/>
      <c r="AC15" s="31"/>
      <c r="AD15" s="31"/>
      <c r="AE15" s="31"/>
      <c r="AF15" s="31"/>
      <c r="AG15" s="31"/>
    </row>
    <row r="16" spans="1:33" s="248" customFormat="1">
      <c r="A16" s="243" t="s">
        <v>1142</v>
      </c>
      <c r="B16" s="244" t="s">
        <v>286</v>
      </c>
      <c r="C16" s="245">
        <v>8417.4228519999997</v>
      </c>
      <c r="D16" s="245">
        <v>8744.3818360000005</v>
      </c>
      <c r="E16" s="245">
        <v>8724.5507809999999</v>
      </c>
      <c r="F16" s="245">
        <v>8650.2841800000006</v>
      </c>
      <c r="G16" s="245">
        <v>8751.3476559999999</v>
      </c>
      <c r="H16" s="245">
        <v>8859.109375</v>
      </c>
      <c r="I16" s="245">
        <v>8953.6679690000001</v>
      </c>
      <c r="J16" s="245">
        <v>9029.546875</v>
      </c>
      <c r="K16" s="245">
        <v>9088.5722659999992</v>
      </c>
      <c r="L16" s="245">
        <v>9156.734375</v>
      </c>
      <c r="M16" s="245">
        <v>9265.4619139999995</v>
      </c>
      <c r="N16" s="245">
        <v>9398.5556639999995</v>
      </c>
      <c r="O16" s="245">
        <v>9532.7480469999991</v>
      </c>
      <c r="P16" s="245">
        <v>9671.5986329999996</v>
      </c>
      <c r="Q16" s="245">
        <v>9829.265625</v>
      </c>
      <c r="R16" s="245">
        <v>10005.096680000001</v>
      </c>
      <c r="S16" s="245">
        <v>10190.660156</v>
      </c>
      <c r="T16" s="245">
        <v>10381.003906</v>
      </c>
      <c r="U16" s="245">
        <v>10599.732421999999</v>
      </c>
      <c r="V16" s="245">
        <v>10819.25</v>
      </c>
      <c r="W16" s="245">
        <v>11045.252930000001</v>
      </c>
      <c r="X16" s="245">
        <v>11280.291992</v>
      </c>
      <c r="Y16" s="245">
        <v>11511.640625</v>
      </c>
      <c r="Z16" s="245">
        <v>11739.291015999999</v>
      </c>
      <c r="AA16" s="245">
        <v>11972.834961</v>
      </c>
      <c r="AB16" s="245">
        <v>12224.970703000001</v>
      </c>
      <c r="AC16" s="245">
        <v>12482.743164</v>
      </c>
      <c r="AD16" s="245">
        <v>12743.724609000001</v>
      </c>
      <c r="AE16" s="245">
        <v>13027.213867</v>
      </c>
      <c r="AF16" s="246">
        <v>1.5720000000000001E-2</v>
      </c>
      <c r="AG16" s="247"/>
    </row>
    <row r="17" spans="1:33">
      <c r="A17" s="30" t="s">
        <v>1143</v>
      </c>
      <c r="B17" s="210" t="s">
        <v>287</v>
      </c>
      <c r="C17" s="219">
        <v>4454.5717770000001</v>
      </c>
      <c r="D17" s="219">
        <v>4664.3984380000002</v>
      </c>
      <c r="E17" s="219">
        <v>4662.5810549999997</v>
      </c>
      <c r="F17" s="219">
        <v>4642.390625</v>
      </c>
      <c r="G17" s="219">
        <v>4698.2822269999997</v>
      </c>
      <c r="H17" s="219">
        <v>4755.5869140000004</v>
      </c>
      <c r="I17" s="219">
        <v>4805.2626950000003</v>
      </c>
      <c r="J17" s="219">
        <v>4844.2822269999997</v>
      </c>
      <c r="K17" s="219">
        <v>4873.6953119999998</v>
      </c>
      <c r="L17" s="219">
        <v>4908.0639650000003</v>
      </c>
      <c r="M17" s="219">
        <v>4964.9433589999999</v>
      </c>
      <c r="N17" s="219">
        <v>5035.2739259999998</v>
      </c>
      <c r="O17" s="219">
        <v>5106.0717770000001</v>
      </c>
      <c r="P17" s="219">
        <v>5179.3320309999999</v>
      </c>
      <c r="Q17" s="219">
        <v>5262.955078</v>
      </c>
      <c r="R17" s="219">
        <v>5356.5698240000002</v>
      </c>
      <c r="S17" s="219">
        <v>5455.4716799999997</v>
      </c>
      <c r="T17" s="219">
        <v>5556.8989259999998</v>
      </c>
      <c r="U17" s="219">
        <v>5673.9785160000001</v>
      </c>
      <c r="V17" s="219">
        <v>5791.3398440000001</v>
      </c>
      <c r="W17" s="219">
        <v>5912.1508789999998</v>
      </c>
      <c r="X17" s="219">
        <v>6037.8271480000003</v>
      </c>
      <c r="Y17" s="219">
        <v>6161.28125</v>
      </c>
      <c r="Z17" s="219">
        <v>6282.5107420000004</v>
      </c>
      <c r="AA17" s="219">
        <v>6406.8496089999999</v>
      </c>
      <c r="AB17" s="219">
        <v>6541.3505859999996</v>
      </c>
      <c r="AC17" s="219">
        <v>6678.8017579999996</v>
      </c>
      <c r="AD17" s="219">
        <v>6817.8500979999999</v>
      </c>
      <c r="AE17" s="219">
        <v>6969.2133789999998</v>
      </c>
      <c r="AF17" s="212">
        <v>1.6112999999999999E-2</v>
      </c>
      <c r="AG17" s="31"/>
    </row>
    <row r="18" spans="1:33">
      <c r="A18" s="30" t="s">
        <v>1144</v>
      </c>
      <c r="B18" s="210" t="s">
        <v>288</v>
      </c>
      <c r="C18" s="219">
        <v>1330.39978</v>
      </c>
      <c r="D18" s="219">
        <v>1347.7246090000001</v>
      </c>
      <c r="E18" s="219">
        <v>1341.867432</v>
      </c>
      <c r="F18" s="219">
        <v>1302.925293</v>
      </c>
      <c r="G18" s="219">
        <v>1316.1873780000001</v>
      </c>
      <c r="H18" s="219">
        <v>1334.1210940000001</v>
      </c>
      <c r="I18" s="219">
        <v>1351.145874</v>
      </c>
      <c r="J18" s="219">
        <v>1366.513672</v>
      </c>
      <c r="K18" s="219">
        <v>1380.3596190000001</v>
      </c>
      <c r="L18" s="219">
        <v>1395.7104489999999</v>
      </c>
      <c r="M18" s="219">
        <v>1416.3466800000001</v>
      </c>
      <c r="N18" s="219">
        <v>1440.320068</v>
      </c>
      <c r="O18" s="219">
        <v>1464.7829589999999</v>
      </c>
      <c r="P18" s="219">
        <v>1490.1423339999999</v>
      </c>
      <c r="Q18" s="219">
        <v>1518.1164550000001</v>
      </c>
      <c r="R18" s="219">
        <v>1548.6279300000001</v>
      </c>
      <c r="S18" s="219">
        <v>1580.6453859999999</v>
      </c>
      <c r="T18" s="219">
        <v>1613.556885</v>
      </c>
      <c r="U18" s="219">
        <v>1650.3211670000001</v>
      </c>
      <c r="V18" s="219">
        <v>1687.518311</v>
      </c>
      <c r="W18" s="219">
        <v>1725.860962</v>
      </c>
      <c r="X18" s="219">
        <v>1765.6713870000001</v>
      </c>
      <c r="Y18" s="219">
        <v>1805.3698730000001</v>
      </c>
      <c r="Z18" s="219">
        <v>1844.953125</v>
      </c>
      <c r="AA18" s="219">
        <v>1885.6198730000001</v>
      </c>
      <c r="AB18" s="219">
        <v>1928.976318</v>
      </c>
      <c r="AC18" s="219">
        <v>1973.412842</v>
      </c>
      <c r="AD18" s="219">
        <v>2018.630249</v>
      </c>
      <c r="AE18" s="219">
        <v>2067.07251</v>
      </c>
      <c r="AF18" s="212">
        <v>1.5862000000000001E-2</v>
      </c>
      <c r="AG18" s="31"/>
    </row>
    <row r="19" spans="1:33">
      <c r="A19" s="30" t="s">
        <v>1145</v>
      </c>
      <c r="B19" s="210" t="s">
        <v>289</v>
      </c>
      <c r="C19" s="219">
        <v>2632.451172</v>
      </c>
      <c r="D19" s="219">
        <v>2732.2590329999998</v>
      </c>
      <c r="E19" s="219">
        <v>2720.102539</v>
      </c>
      <c r="F19" s="219">
        <v>2704.968018</v>
      </c>
      <c r="G19" s="219">
        <v>2736.8779300000001</v>
      </c>
      <c r="H19" s="219">
        <v>2769.4013669999999</v>
      </c>
      <c r="I19" s="219">
        <v>2797.258789</v>
      </c>
      <c r="J19" s="219">
        <v>2818.7509770000001</v>
      </c>
      <c r="K19" s="219">
        <v>2834.5178219999998</v>
      </c>
      <c r="L19" s="219">
        <v>2852.9597170000002</v>
      </c>
      <c r="M19" s="219">
        <v>2884.171875</v>
      </c>
      <c r="N19" s="219">
        <v>2922.9616700000001</v>
      </c>
      <c r="O19" s="219">
        <v>2961.8935550000001</v>
      </c>
      <c r="P19" s="219">
        <v>3002.123779</v>
      </c>
      <c r="Q19" s="219">
        <v>3048.194336</v>
      </c>
      <c r="R19" s="219">
        <v>3099.8991700000001</v>
      </c>
      <c r="S19" s="219">
        <v>3154.5432129999999</v>
      </c>
      <c r="T19" s="219">
        <v>3210.5478520000001</v>
      </c>
      <c r="U19" s="219">
        <v>3275.4323730000001</v>
      </c>
      <c r="V19" s="219">
        <v>3340.3911130000001</v>
      </c>
      <c r="W19" s="219">
        <v>3407.241211</v>
      </c>
      <c r="X19" s="219">
        <v>3476.7937010000001</v>
      </c>
      <c r="Y19" s="219">
        <v>3544.9890140000002</v>
      </c>
      <c r="Z19" s="219">
        <v>3611.826904</v>
      </c>
      <c r="AA19" s="219">
        <v>3680.3652339999999</v>
      </c>
      <c r="AB19" s="219">
        <v>3754.6437989999999</v>
      </c>
      <c r="AC19" s="219">
        <v>3830.5285640000002</v>
      </c>
      <c r="AD19" s="219">
        <v>3907.2436520000001</v>
      </c>
      <c r="AE19" s="219">
        <v>3990.92749</v>
      </c>
      <c r="AF19" s="212">
        <v>1.4971999999999999E-2</v>
      </c>
      <c r="AG19" s="31"/>
    </row>
    <row r="20" spans="1:33">
      <c r="A20" s="30" t="s">
        <v>1146</v>
      </c>
      <c r="B20" s="210" t="s">
        <v>290</v>
      </c>
      <c r="C20" s="219">
        <v>954.37524399999995</v>
      </c>
      <c r="D20" s="219">
        <v>944.23999000000003</v>
      </c>
      <c r="E20" s="219">
        <v>965.02703899999995</v>
      </c>
      <c r="F20" s="219">
        <v>981.10668899999996</v>
      </c>
      <c r="G20" s="219">
        <v>998.17889400000001</v>
      </c>
      <c r="H20" s="219">
        <v>1017.730225</v>
      </c>
      <c r="I20" s="219">
        <v>1023.759277</v>
      </c>
      <c r="J20" s="219">
        <v>1030.7407229999999</v>
      </c>
      <c r="K20" s="219">
        <v>1040.282837</v>
      </c>
      <c r="L20" s="219">
        <v>1050.3510739999999</v>
      </c>
      <c r="M20" s="219">
        <v>1060.9014890000001</v>
      </c>
      <c r="N20" s="219">
        <v>1072.211182</v>
      </c>
      <c r="O20" s="219">
        <v>1084.1235349999999</v>
      </c>
      <c r="P20" s="219">
        <v>1096.475586</v>
      </c>
      <c r="Q20" s="219">
        <v>1111.3358149999999</v>
      </c>
      <c r="R20" s="219">
        <v>1126.704346</v>
      </c>
      <c r="S20" s="219">
        <v>1143.452393</v>
      </c>
      <c r="T20" s="219">
        <v>1161.352783</v>
      </c>
      <c r="U20" s="219">
        <v>1179.6313479999999</v>
      </c>
      <c r="V20" s="219">
        <v>1198.2890620000001</v>
      </c>
      <c r="W20" s="219">
        <v>1217.3238530000001</v>
      </c>
      <c r="X20" s="219">
        <v>1236.7231449999999</v>
      </c>
      <c r="Y20" s="219">
        <v>1256.5158690000001</v>
      </c>
      <c r="Z20" s="219">
        <v>1276.7136230000001</v>
      </c>
      <c r="AA20" s="219">
        <v>1297.315918</v>
      </c>
      <c r="AB20" s="219">
        <v>1318.3294679999999</v>
      </c>
      <c r="AC20" s="219">
        <v>1339.7583010000001</v>
      </c>
      <c r="AD20" s="219">
        <v>1361.61499</v>
      </c>
      <c r="AE20" s="219">
        <v>1383.9072269999999</v>
      </c>
      <c r="AF20" s="212">
        <v>1.336E-2</v>
      </c>
      <c r="AG20" s="31"/>
    </row>
    <row r="21" spans="1:33">
      <c r="A21" s="30" t="s">
        <v>1147</v>
      </c>
      <c r="B21" s="210" t="s">
        <v>287</v>
      </c>
      <c r="C21" s="219">
        <v>380.90960699999999</v>
      </c>
      <c r="D21" s="219">
        <v>370.55764799999997</v>
      </c>
      <c r="E21" s="219">
        <v>375.009705</v>
      </c>
      <c r="F21" s="219">
        <v>381.656586</v>
      </c>
      <c r="G21" s="219">
        <v>390.48690800000003</v>
      </c>
      <c r="H21" s="219">
        <v>398.06195100000002</v>
      </c>
      <c r="I21" s="219">
        <v>400.78643799999998</v>
      </c>
      <c r="J21" s="219">
        <v>403.76174900000001</v>
      </c>
      <c r="K21" s="219">
        <v>406.95941199999999</v>
      </c>
      <c r="L21" s="219">
        <v>410.383331</v>
      </c>
      <c r="M21" s="219">
        <v>414.01177999999999</v>
      </c>
      <c r="N21" s="219">
        <v>417.81982399999998</v>
      </c>
      <c r="O21" s="219">
        <v>421.80319200000002</v>
      </c>
      <c r="P21" s="219">
        <v>425.95803799999999</v>
      </c>
      <c r="Q21" s="219">
        <v>432.35983299999998</v>
      </c>
      <c r="R21" s="219">
        <v>439.012787</v>
      </c>
      <c r="S21" s="219">
        <v>445.83136000000002</v>
      </c>
      <c r="T21" s="219">
        <v>452.81173699999999</v>
      </c>
      <c r="U21" s="219">
        <v>459.93658399999998</v>
      </c>
      <c r="V21" s="219">
        <v>467.20663500000001</v>
      </c>
      <c r="W21" s="219">
        <v>474.62085000000002</v>
      </c>
      <c r="X21" s="219">
        <v>482.17361499999998</v>
      </c>
      <c r="Y21" s="219">
        <v>489.87603799999999</v>
      </c>
      <c r="Z21" s="219">
        <v>497.73239100000001</v>
      </c>
      <c r="AA21" s="219">
        <v>505.74200400000001</v>
      </c>
      <c r="AB21" s="219">
        <v>513.90722700000003</v>
      </c>
      <c r="AC21" s="219">
        <v>522.22924799999998</v>
      </c>
      <c r="AD21" s="219">
        <v>530.71270800000002</v>
      </c>
      <c r="AE21" s="219">
        <v>539.360229</v>
      </c>
      <c r="AF21" s="212">
        <v>1.2500000000000001E-2</v>
      </c>
      <c r="AG21" s="31"/>
    </row>
    <row r="22" spans="1:33">
      <c r="A22" s="30" t="s">
        <v>1148</v>
      </c>
      <c r="B22" s="210" t="s">
        <v>288</v>
      </c>
      <c r="C22" s="219">
        <v>156.826111</v>
      </c>
      <c r="D22" s="219">
        <v>154.74487300000001</v>
      </c>
      <c r="E22" s="219">
        <v>154.68798799999999</v>
      </c>
      <c r="F22" s="219">
        <v>159.53093000000001</v>
      </c>
      <c r="G22" s="219">
        <v>162.56585699999999</v>
      </c>
      <c r="H22" s="219">
        <v>164.95056199999999</v>
      </c>
      <c r="I22" s="219">
        <v>163.70957899999999</v>
      </c>
      <c r="J22" s="219">
        <v>162.860916</v>
      </c>
      <c r="K22" s="219">
        <v>164.082382</v>
      </c>
      <c r="L22" s="219">
        <v>165.339111</v>
      </c>
      <c r="M22" s="219">
        <v>166.63880900000001</v>
      </c>
      <c r="N22" s="219">
        <v>167.98736600000001</v>
      </c>
      <c r="O22" s="219">
        <v>169.39207500000001</v>
      </c>
      <c r="P22" s="219">
        <v>170.858566</v>
      </c>
      <c r="Q22" s="219">
        <v>172.39025899999999</v>
      </c>
      <c r="R22" s="219">
        <v>173.99092099999999</v>
      </c>
      <c r="S22" s="219">
        <v>176.624741</v>
      </c>
      <c r="T22" s="219">
        <v>180.073441</v>
      </c>
      <c r="U22" s="219">
        <v>183.599411</v>
      </c>
      <c r="V22" s="219">
        <v>187.20236199999999</v>
      </c>
      <c r="W22" s="219">
        <v>190.88317900000001</v>
      </c>
      <c r="X22" s="219">
        <v>194.64070100000001</v>
      </c>
      <c r="Y22" s="219">
        <v>198.481247</v>
      </c>
      <c r="Z22" s="219">
        <v>202.407791</v>
      </c>
      <c r="AA22" s="219">
        <v>206.42137099999999</v>
      </c>
      <c r="AB22" s="219">
        <v>210.52394100000001</v>
      </c>
      <c r="AC22" s="219">
        <v>214.71725499999999</v>
      </c>
      <c r="AD22" s="219">
        <v>219.004425</v>
      </c>
      <c r="AE22" s="219">
        <v>223.38765000000001</v>
      </c>
      <c r="AF22" s="212">
        <v>1.2715000000000001E-2</v>
      </c>
      <c r="AG22" s="31"/>
    </row>
    <row r="23" spans="1:33">
      <c r="A23" s="30" t="s">
        <v>1149</v>
      </c>
      <c r="B23" s="210" t="s">
        <v>289</v>
      </c>
      <c r="C23" s="219">
        <v>416.63955700000002</v>
      </c>
      <c r="D23" s="219">
        <v>418.93753099999998</v>
      </c>
      <c r="E23" s="219">
        <v>435.32934599999999</v>
      </c>
      <c r="F23" s="219">
        <v>439.91922</v>
      </c>
      <c r="G23" s="219">
        <v>445.12616000000003</v>
      </c>
      <c r="H23" s="219">
        <v>454.71771200000001</v>
      </c>
      <c r="I23" s="219">
        <v>459.263214</v>
      </c>
      <c r="J23" s="219">
        <v>464.11807299999998</v>
      </c>
      <c r="K23" s="219">
        <v>469.24102800000003</v>
      </c>
      <c r="L23" s="219">
        <v>474.62866200000002</v>
      </c>
      <c r="M23" s="219">
        <v>480.25088499999998</v>
      </c>
      <c r="N23" s="219">
        <v>486.40405299999998</v>
      </c>
      <c r="O23" s="219">
        <v>492.928223</v>
      </c>
      <c r="P23" s="219">
        <v>499.65902699999998</v>
      </c>
      <c r="Q23" s="219">
        <v>506.58566300000001</v>
      </c>
      <c r="R23" s="219">
        <v>513.70062299999995</v>
      </c>
      <c r="S23" s="219">
        <v>520.99627699999996</v>
      </c>
      <c r="T23" s="219">
        <v>528.46765100000005</v>
      </c>
      <c r="U23" s="219">
        <v>536.09539800000005</v>
      </c>
      <c r="V23" s="219">
        <v>543.88000499999998</v>
      </c>
      <c r="W23" s="219">
        <v>551.81982400000004</v>
      </c>
      <c r="X23" s="219">
        <v>559.90875200000005</v>
      </c>
      <c r="Y23" s="219">
        <v>568.15863000000002</v>
      </c>
      <c r="Z23" s="219">
        <v>576.57342500000004</v>
      </c>
      <c r="AA23" s="219">
        <v>585.15258800000004</v>
      </c>
      <c r="AB23" s="219">
        <v>593.89831500000003</v>
      </c>
      <c r="AC23" s="219">
        <v>602.81182899999999</v>
      </c>
      <c r="AD23" s="219">
        <v>611.89782700000001</v>
      </c>
      <c r="AE23" s="219">
        <v>621.15936299999998</v>
      </c>
      <c r="AF23" s="212">
        <v>1.4364999999999999E-2</v>
      </c>
      <c r="AG23" s="31"/>
    </row>
    <row r="24" spans="1:33">
      <c r="A24" s="30" t="s">
        <v>1150</v>
      </c>
      <c r="B24" s="210" t="s">
        <v>291</v>
      </c>
      <c r="C24" s="219">
        <v>832.23083499999996</v>
      </c>
      <c r="D24" s="219">
        <v>841.00567599999999</v>
      </c>
      <c r="E24" s="219">
        <v>897.99694799999997</v>
      </c>
      <c r="F24" s="219">
        <v>922.61151099999995</v>
      </c>
      <c r="G24" s="219">
        <v>959.03198199999997</v>
      </c>
      <c r="H24" s="219">
        <v>990.27905299999998</v>
      </c>
      <c r="I24" s="219">
        <v>1018.292297</v>
      </c>
      <c r="J24" s="219">
        <v>1044.8392329999999</v>
      </c>
      <c r="K24" s="219">
        <v>1071.2476810000001</v>
      </c>
      <c r="L24" s="219">
        <v>1099.116577</v>
      </c>
      <c r="M24" s="219">
        <v>1128.635376</v>
      </c>
      <c r="N24" s="219">
        <v>1160.69165</v>
      </c>
      <c r="O24" s="219">
        <v>1195.512817</v>
      </c>
      <c r="P24" s="219">
        <v>1231.6102289999999</v>
      </c>
      <c r="Q24" s="219">
        <v>1268.7894289999999</v>
      </c>
      <c r="R24" s="219">
        <v>1307.224731</v>
      </c>
      <c r="S24" s="219">
        <v>1346.944336</v>
      </c>
      <c r="T24" s="219">
        <v>1388.3770750000001</v>
      </c>
      <c r="U24" s="219">
        <v>1431.4354249999999</v>
      </c>
      <c r="V24" s="219">
        <v>1475.286865</v>
      </c>
      <c r="W24" s="219">
        <v>1520.4342039999999</v>
      </c>
      <c r="X24" s="219">
        <v>1566.9001459999999</v>
      </c>
      <c r="Y24" s="219">
        <v>1614.6972659999999</v>
      </c>
      <c r="Z24" s="219">
        <v>1663.8305660000001</v>
      </c>
      <c r="AA24" s="219">
        <v>1713.7294919999999</v>
      </c>
      <c r="AB24" s="219">
        <v>1764.895264</v>
      </c>
      <c r="AC24" s="219">
        <v>1817.4208980000001</v>
      </c>
      <c r="AD24" s="219">
        <v>1871.412842</v>
      </c>
      <c r="AE24" s="219">
        <v>1926.962158</v>
      </c>
      <c r="AF24" s="212">
        <v>3.0439000000000001E-2</v>
      </c>
      <c r="AG24" s="31"/>
    </row>
    <row r="25" spans="1:33">
      <c r="A25" s="30" t="s">
        <v>1151</v>
      </c>
      <c r="B25" s="210" t="s">
        <v>287</v>
      </c>
      <c r="C25" s="219">
        <v>529.10174600000005</v>
      </c>
      <c r="D25" s="219">
        <v>524.65698199999997</v>
      </c>
      <c r="E25" s="219">
        <v>561.78253199999995</v>
      </c>
      <c r="F25" s="219">
        <v>574.87969999999996</v>
      </c>
      <c r="G25" s="219">
        <v>597.72631799999999</v>
      </c>
      <c r="H25" s="219">
        <v>618.73547399999995</v>
      </c>
      <c r="I25" s="219">
        <v>637.56329300000004</v>
      </c>
      <c r="J25" s="219">
        <v>655.34991500000001</v>
      </c>
      <c r="K25" s="219">
        <v>674.01220699999999</v>
      </c>
      <c r="L25" s="219">
        <v>693.49920699999996</v>
      </c>
      <c r="M25" s="219">
        <v>713.97894299999996</v>
      </c>
      <c r="N25" s="219">
        <v>735.26696800000002</v>
      </c>
      <c r="O25" s="219">
        <v>757.37890600000003</v>
      </c>
      <c r="P25" s="219">
        <v>780.31311000000005</v>
      </c>
      <c r="Q25" s="219">
        <v>803.94512899999995</v>
      </c>
      <c r="R25" s="219">
        <v>828.38818400000002</v>
      </c>
      <c r="S25" s="219">
        <v>853.66119400000002</v>
      </c>
      <c r="T25" s="219">
        <v>879.77362100000005</v>
      </c>
      <c r="U25" s="219">
        <v>906.70983899999999</v>
      </c>
      <c r="V25" s="219">
        <v>934.14068599999996</v>
      </c>
      <c r="W25" s="219">
        <v>962.38293499999997</v>
      </c>
      <c r="X25" s="219">
        <v>991.45105000000001</v>
      </c>
      <c r="Y25" s="219">
        <v>1021.3532709999999</v>
      </c>
      <c r="Z25" s="219">
        <v>1052.0927730000001</v>
      </c>
      <c r="AA25" s="219">
        <v>1083.309814</v>
      </c>
      <c r="AB25" s="219">
        <v>1115.320557</v>
      </c>
      <c r="AC25" s="219">
        <v>1148.18335</v>
      </c>
      <c r="AD25" s="219">
        <v>1181.9644780000001</v>
      </c>
      <c r="AE25" s="219">
        <v>1216.720947</v>
      </c>
      <c r="AF25" s="212">
        <v>3.0186999999999999E-2</v>
      </c>
      <c r="AG25" s="31"/>
    </row>
    <row r="26" spans="1:33">
      <c r="A26" s="30" t="s">
        <v>1152</v>
      </c>
      <c r="B26" s="210" t="s">
        <v>288</v>
      </c>
      <c r="C26" s="219">
        <v>104.296539</v>
      </c>
      <c r="D26" s="219">
        <v>103.360367</v>
      </c>
      <c r="E26" s="219">
        <v>103.29348</v>
      </c>
      <c r="F26" s="219">
        <v>108.380798</v>
      </c>
      <c r="G26" s="219">
        <v>112.68338</v>
      </c>
      <c r="H26" s="219">
        <v>115.18277</v>
      </c>
      <c r="I26" s="219">
        <v>117.124557</v>
      </c>
      <c r="J26" s="219">
        <v>118.83606</v>
      </c>
      <c r="K26" s="219">
        <v>119.22590599999999</v>
      </c>
      <c r="L26" s="219">
        <v>119.964905</v>
      </c>
      <c r="M26" s="219">
        <v>121.02320899999999</v>
      </c>
      <c r="N26" s="219">
        <v>123.526031</v>
      </c>
      <c r="O26" s="219">
        <v>127.682098</v>
      </c>
      <c r="P26" s="219">
        <v>132.00607299999999</v>
      </c>
      <c r="Q26" s="219">
        <v>136.460724</v>
      </c>
      <c r="R26" s="219">
        <v>141.07699600000001</v>
      </c>
      <c r="S26" s="219">
        <v>145.858856</v>
      </c>
      <c r="T26" s="219">
        <v>150.80758700000001</v>
      </c>
      <c r="U26" s="219">
        <v>155.92242400000001</v>
      </c>
      <c r="V26" s="219">
        <v>161.10162399999999</v>
      </c>
      <c r="W26" s="219">
        <v>166.436722</v>
      </c>
      <c r="X26" s="219">
        <v>171.93023700000001</v>
      </c>
      <c r="Y26" s="219">
        <v>177.582672</v>
      </c>
      <c r="Z26" s="219">
        <v>183.393967</v>
      </c>
      <c r="AA26" s="219">
        <v>189.25830099999999</v>
      </c>
      <c r="AB26" s="219">
        <v>195.26805100000001</v>
      </c>
      <c r="AC26" s="219">
        <v>201.431274</v>
      </c>
      <c r="AD26" s="219">
        <v>207.757507</v>
      </c>
      <c r="AE26" s="219">
        <v>214.25482199999999</v>
      </c>
      <c r="AF26" s="212">
        <v>2.6044999999999999E-2</v>
      </c>
      <c r="AG26" s="31"/>
    </row>
    <row r="27" spans="1:33">
      <c r="A27" s="30" t="s">
        <v>1153</v>
      </c>
      <c r="B27" s="210" t="s">
        <v>289</v>
      </c>
      <c r="C27" s="219">
        <v>198.832504</v>
      </c>
      <c r="D27" s="219">
        <v>212.98835800000001</v>
      </c>
      <c r="E27" s="219">
        <v>232.920975</v>
      </c>
      <c r="F27" s="219">
        <v>239.35101299999999</v>
      </c>
      <c r="G27" s="219">
        <v>248.62233000000001</v>
      </c>
      <c r="H27" s="219">
        <v>256.36086999999998</v>
      </c>
      <c r="I27" s="219">
        <v>263.60443099999998</v>
      </c>
      <c r="J27" s="219">
        <v>270.65325899999999</v>
      </c>
      <c r="K27" s="219">
        <v>278.009613</v>
      </c>
      <c r="L27" s="219">
        <v>285.65243500000003</v>
      </c>
      <c r="M27" s="219">
        <v>293.63326999999998</v>
      </c>
      <c r="N27" s="219">
        <v>301.89865099999997</v>
      </c>
      <c r="O27" s="219">
        <v>310.451752</v>
      </c>
      <c r="P27" s="219">
        <v>319.29101600000001</v>
      </c>
      <c r="Q27" s="219">
        <v>328.38354500000003</v>
      </c>
      <c r="R27" s="219">
        <v>337.75949100000003</v>
      </c>
      <c r="S27" s="219">
        <v>347.42434700000001</v>
      </c>
      <c r="T27" s="219">
        <v>357.79586799999998</v>
      </c>
      <c r="U27" s="219">
        <v>368.80310100000003</v>
      </c>
      <c r="V27" s="219">
        <v>380.04449499999998</v>
      </c>
      <c r="W27" s="219">
        <v>391.61450200000002</v>
      </c>
      <c r="X27" s="219">
        <v>403.518799</v>
      </c>
      <c r="Y27" s="219">
        <v>415.76132200000001</v>
      </c>
      <c r="Z27" s="219">
        <v>428.34381100000002</v>
      </c>
      <c r="AA27" s="219">
        <v>441.161316</v>
      </c>
      <c r="AB27" s="219">
        <v>454.30658</v>
      </c>
      <c r="AC27" s="219">
        <v>467.80630500000001</v>
      </c>
      <c r="AD27" s="219">
        <v>481.69085699999999</v>
      </c>
      <c r="AE27" s="219">
        <v>495.98629799999998</v>
      </c>
      <c r="AF27" s="212">
        <v>3.3184999999999999E-2</v>
      </c>
      <c r="AG27" s="31"/>
    </row>
    <row r="28" spans="1:33">
      <c r="A28" s="30" t="s">
        <v>1154</v>
      </c>
      <c r="B28" s="210" t="s">
        <v>292</v>
      </c>
      <c r="C28" s="219">
        <v>6374.3178710000002</v>
      </c>
      <c r="D28" s="219">
        <v>6513.8833009999998</v>
      </c>
      <c r="E28" s="219">
        <v>6853.8828119999998</v>
      </c>
      <c r="F28" s="219">
        <v>6935.2080079999996</v>
      </c>
      <c r="G28" s="219">
        <v>7090.2587890000004</v>
      </c>
      <c r="H28" s="219">
        <v>7094.640625</v>
      </c>
      <c r="I28" s="219">
        <v>7108.2666019999997</v>
      </c>
      <c r="J28" s="219">
        <v>7138.5869140000004</v>
      </c>
      <c r="K28" s="219">
        <v>7198.7998049999997</v>
      </c>
      <c r="L28" s="219">
        <v>7267.9619140000004</v>
      </c>
      <c r="M28" s="219">
        <v>7345.0283200000003</v>
      </c>
      <c r="N28" s="219">
        <v>7469.2373049999997</v>
      </c>
      <c r="O28" s="219">
        <v>7597.2246089999999</v>
      </c>
      <c r="P28" s="219">
        <v>7728.4047849999997</v>
      </c>
      <c r="Q28" s="219">
        <v>7863.3666990000002</v>
      </c>
      <c r="R28" s="219">
        <v>8002.5117190000001</v>
      </c>
      <c r="S28" s="219">
        <v>8145.4628910000001</v>
      </c>
      <c r="T28" s="219">
        <v>8292.1337889999995</v>
      </c>
      <c r="U28" s="219">
        <v>8442.7714840000008</v>
      </c>
      <c r="V28" s="219">
        <v>8596.9365230000003</v>
      </c>
      <c r="W28" s="219">
        <v>8754.5019530000009</v>
      </c>
      <c r="X28" s="219">
        <v>8915.3564449999994</v>
      </c>
      <c r="Y28" s="219">
        <v>9079.3544920000004</v>
      </c>
      <c r="Z28" s="219">
        <v>9246.4453119999998</v>
      </c>
      <c r="AA28" s="219">
        <v>9416.6933590000008</v>
      </c>
      <c r="AB28" s="219">
        <v>9590.1015619999998</v>
      </c>
      <c r="AC28" s="219">
        <v>9766.8837889999995</v>
      </c>
      <c r="AD28" s="219">
        <v>9947.3466800000006</v>
      </c>
      <c r="AE28" s="219">
        <v>10131.634765999999</v>
      </c>
      <c r="AF28" s="212">
        <v>1.6687E-2</v>
      </c>
      <c r="AG28" s="31"/>
    </row>
    <row r="29" spans="1:33">
      <c r="A29" s="30" t="s">
        <v>1155</v>
      </c>
      <c r="B29" s="210" t="s">
        <v>287</v>
      </c>
      <c r="C29" s="219">
        <v>3852.0615229999999</v>
      </c>
      <c r="D29" s="219">
        <v>3814.258789</v>
      </c>
      <c r="E29" s="219">
        <v>3964.459961</v>
      </c>
      <c r="F29" s="219">
        <v>3996.2817380000001</v>
      </c>
      <c r="G29" s="219">
        <v>4056.6872560000002</v>
      </c>
      <c r="H29" s="219">
        <v>4050.9333499999998</v>
      </c>
      <c r="I29" s="219">
        <v>4050.7722170000002</v>
      </c>
      <c r="J29" s="219">
        <v>4057.4914549999999</v>
      </c>
      <c r="K29" s="219">
        <v>4071.248779</v>
      </c>
      <c r="L29" s="219">
        <v>4091.8217770000001</v>
      </c>
      <c r="M29" s="219">
        <v>4118.7475590000004</v>
      </c>
      <c r="N29" s="219">
        <v>4191.185547</v>
      </c>
      <c r="O29" s="219">
        <v>4265.9169920000004</v>
      </c>
      <c r="P29" s="219">
        <v>4342.5786129999997</v>
      </c>
      <c r="Q29" s="219">
        <v>4421.5322269999997</v>
      </c>
      <c r="R29" s="219">
        <v>4503.017578</v>
      </c>
      <c r="S29" s="219">
        <v>4586.798828</v>
      </c>
      <c r="T29" s="219">
        <v>4672.8247069999998</v>
      </c>
      <c r="U29" s="219">
        <v>4761.248047</v>
      </c>
      <c r="V29" s="219">
        <v>4851.7919920000004</v>
      </c>
      <c r="W29" s="219">
        <v>4944.376953</v>
      </c>
      <c r="X29" s="219">
        <v>5038.9326170000004</v>
      </c>
      <c r="Y29" s="219">
        <v>5135.3691410000001</v>
      </c>
      <c r="Z29" s="219">
        <v>5233.6572269999997</v>
      </c>
      <c r="AA29" s="219">
        <v>5333.84375</v>
      </c>
      <c r="AB29" s="219">
        <v>5435.9335940000001</v>
      </c>
      <c r="AC29" s="219">
        <v>5540.0507809999999</v>
      </c>
      <c r="AD29" s="219">
        <v>5646.3789059999999</v>
      </c>
      <c r="AE29" s="219">
        <v>5755</v>
      </c>
      <c r="AF29" s="212">
        <v>1.4441000000000001E-2</v>
      </c>
      <c r="AG29" s="31"/>
    </row>
    <row r="30" spans="1:33">
      <c r="A30" s="30" t="s">
        <v>1156</v>
      </c>
      <c r="B30" s="210" t="s">
        <v>288</v>
      </c>
      <c r="C30" s="219">
        <v>1270.1865230000001</v>
      </c>
      <c r="D30" s="219">
        <v>1259.779053</v>
      </c>
      <c r="E30" s="219">
        <v>1290.861572</v>
      </c>
      <c r="F30" s="219">
        <v>1301.3912350000001</v>
      </c>
      <c r="G30" s="219">
        <v>1351.036865</v>
      </c>
      <c r="H30" s="219">
        <v>1339.1229249999999</v>
      </c>
      <c r="I30" s="219">
        <v>1330.0074460000001</v>
      </c>
      <c r="J30" s="219">
        <v>1329.7380370000001</v>
      </c>
      <c r="K30" s="219">
        <v>1351.3173830000001</v>
      </c>
      <c r="L30" s="219">
        <v>1374.036255</v>
      </c>
      <c r="M30" s="219">
        <v>1397.3123780000001</v>
      </c>
      <c r="N30" s="219">
        <v>1421.2266850000001</v>
      </c>
      <c r="O30" s="219">
        <v>1445.716553</v>
      </c>
      <c r="P30" s="219">
        <v>1470.669922</v>
      </c>
      <c r="Q30" s="219">
        <v>1496.2375489999999</v>
      </c>
      <c r="R30" s="219">
        <v>1522.5242920000001</v>
      </c>
      <c r="S30" s="219">
        <v>1549.4539789999999</v>
      </c>
      <c r="T30" s="219">
        <v>1577.018433</v>
      </c>
      <c r="U30" s="219">
        <v>1605.284302</v>
      </c>
      <c r="V30" s="219">
        <v>1634.155518</v>
      </c>
      <c r="W30" s="219">
        <v>1663.6060789999999</v>
      </c>
      <c r="X30" s="219">
        <v>1693.61499</v>
      </c>
      <c r="Y30" s="219">
        <v>1724.152466</v>
      </c>
      <c r="Z30" s="219">
        <v>1755.209351</v>
      </c>
      <c r="AA30" s="219">
        <v>1786.807861</v>
      </c>
      <c r="AB30" s="219">
        <v>1818.952393</v>
      </c>
      <c r="AC30" s="219">
        <v>1851.688721</v>
      </c>
      <c r="AD30" s="219">
        <v>1885.08374</v>
      </c>
      <c r="AE30" s="219">
        <v>1919.165894</v>
      </c>
      <c r="AF30" s="212">
        <v>1.4848999999999999E-2</v>
      </c>
      <c r="AG30" s="31"/>
    </row>
    <row r="31" spans="1:33">
      <c r="A31" s="30" t="s">
        <v>1157</v>
      </c>
      <c r="B31" s="210" t="s">
        <v>289</v>
      </c>
      <c r="C31" s="219">
        <v>1252.069702</v>
      </c>
      <c r="D31" s="219">
        <v>1439.8452150000001</v>
      </c>
      <c r="E31" s="219">
        <v>1598.561279</v>
      </c>
      <c r="F31" s="219">
        <v>1637.5351559999999</v>
      </c>
      <c r="G31" s="219">
        <v>1682.534668</v>
      </c>
      <c r="H31" s="219">
        <v>1704.5842290000001</v>
      </c>
      <c r="I31" s="219">
        <v>1727.486572</v>
      </c>
      <c r="J31" s="219">
        <v>1751.357422</v>
      </c>
      <c r="K31" s="219">
        <v>1776.2335210000001</v>
      </c>
      <c r="L31" s="219">
        <v>1802.1038820000001</v>
      </c>
      <c r="M31" s="219">
        <v>1828.968384</v>
      </c>
      <c r="N31" s="219">
        <v>1856.8249510000001</v>
      </c>
      <c r="O31" s="219">
        <v>1885.5908199999999</v>
      </c>
      <c r="P31" s="219">
        <v>1915.15625</v>
      </c>
      <c r="Q31" s="219">
        <v>1945.5970460000001</v>
      </c>
      <c r="R31" s="219">
        <v>1976.9698490000001</v>
      </c>
      <c r="S31" s="219">
        <v>2009.209961</v>
      </c>
      <c r="T31" s="219">
        <v>2042.290894</v>
      </c>
      <c r="U31" s="219">
        <v>2076.2392580000001</v>
      </c>
      <c r="V31" s="219">
        <v>2110.9890140000002</v>
      </c>
      <c r="W31" s="219">
        <v>2146.5195309999999</v>
      </c>
      <c r="X31" s="219">
        <v>2182.8088379999999</v>
      </c>
      <c r="Y31" s="219">
        <v>2219.8330080000001</v>
      </c>
      <c r="Z31" s="219">
        <v>2257.5791020000001</v>
      </c>
      <c r="AA31" s="219">
        <v>2296.0415039999998</v>
      </c>
      <c r="AB31" s="219">
        <v>2335.2158199999999</v>
      </c>
      <c r="AC31" s="219">
        <v>2375.1447750000002</v>
      </c>
      <c r="AD31" s="219">
        <v>2415.8840329999998</v>
      </c>
      <c r="AE31" s="219">
        <v>2457.4682619999999</v>
      </c>
      <c r="AF31" s="212">
        <v>2.4375999999999998E-2</v>
      </c>
      <c r="AG31" s="31"/>
    </row>
    <row r="32" spans="1:33">
      <c r="A32" s="30" t="s">
        <v>1158</v>
      </c>
      <c r="B32" s="210" t="s">
        <v>293</v>
      </c>
      <c r="C32" s="219">
        <v>707.48138400000005</v>
      </c>
      <c r="D32" s="219">
        <v>715.29663100000005</v>
      </c>
      <c r="E32" s="219">
        <v>720.84436000000005</v>
      </c>
      <c r="F32" s="219">
        <v>736.85089100000005</v>
      </c>
      <c r="G32" s="219">
        <v>759.06311000000005</v>
      </c>
      <c r="H32" s="219">
        <v>768.95764199999996</v>
      </c>
      <c r="I32" s="219">
        <v>777.574341</v>
      </c>
      <c r="J32" s="219">
        <v>767.79235800000004</v>
      </c>
      <c r="K32" s="219">
        <v>758.559753</v>
      </c>
      <c r="L32" s="219">
        <v>749.90527299999997</v>
      </c>
      <c r="M32" s="219">
        <v>742.01159700000005</v>
      </c>
      <c r="N32" s="219">
        <v>735.51849400000003</v>
      </c>
      <c r="O32" s="219">
        <v>729.80859399999997</v>
      </c>
      <c r="P32" s="219">
        <v>724.73846400000002</v>
      </c>
      <c r="Q32" s="219">
        <v>720.23687700000005</v>
      </c>
      <c r="R32" s="219">
        <v>717.56750499999998</v>
      </c>
      <c r="S32" s="219">
        <v>715.32464600000003</v>
      </c>
      <c r="T32" s="219">
        <v>713.71099900000002</v>
      </c>
      <c r="U32" s="219">
        <v>712.02758800000004</v>
      </c>
      <c r="V32" s="219">
        <v>710.28857400000004</v>
      </c>
      <c r="W32" s="219">
        <v>710.64080799999999</v>
      </c>
      <c r="X32" s="219">
        <v>711.73974599999997</v>
      </c>
      <c r="Y32" s="219">
        <v>712.92321800000002</v>
      </c>
      <c r="Z32" s="219">
        <v>714.25134300000002</v>
      </c>
      <c r="AA32" s="219">
        <v>715.76733400000001</v>
      </c>
      <c r="AB32" s="219">
        <v>717.47851600000001</v>
      </c>
      <c r="AC32" s="219">
        <v>719.38159199999996</v>
      </c>
      <c r="AD32" s="219">
        <v>721.47344999999996</v>
      </c>
      <c r="AE32" s="219">
        <v>723.75061000000005</v>
      </c>
      <c r="AF32" s="212">
        <v>8.12E-4</v>
      </c>
      <c r="AG32" s="31"/>
    </row>
    <row r="33" spans="1:33">
      <c r="A33" s="30" t="s">
        <v>1159</v>
      </c>
      <c r="B33" s="210" t="s">
        <v>287</v>
      </c>
      <c r="C33" s="219">
        <v>283.338348</v>
      </c>
      <c r="D33" s="219">
        <v>288.46249399999999</v>
      </c>
      <c r="E33" s="219">
        <v>295.176514</v>
      </c>
      <c r="F33" s="219">
        <v>299.71984900000001</v>
      </c>
      <c r="G33" s="219">
        <v>303.20336900000001</v>
      </c>
      <c r="H33" s="219">
        <v>304.44693000000001</v>
      </c>
      <c r="I33" s="219">
        <v>305.54827899999998</v>
      </c>
      <c r="J33" s="219">
        <v>303.25888099999997</v>
      </c>
      <c r="K33" s="219">
        <v>301.15969799999999</v>
      </c>
      <c r="L33" s="219">
        <v>299.25750699999998</v>
      </c>
      <c r="M33" s="219">
        <v>297.60046399999999</v>
      </c>
      <c r="N33" s="219">
        <v>296.21313500000002</v>
      </c>
      <c r="O33" s="219">
        <v>295.07156400000002</v>
      </c>
      <c r="P33" s="219">
        <v>294.14636200000001</v>
      </c>
      <c r="Q33" s="219">
        <v>293.41232300000001</v>
      </c>
      <c r="R33" s="219">
        <v>292.84869400000002</v>
      </c>
      <c r="S33" s="219">
        <v>292.77139299999999</v>
      </c>
      <c r="T33" s="219">
        <v>293.39605699999998</v>
      </c>
      <c r="U33" s="219">
        <v>294.05398600000001</v>
      </c>
      <c r="V33" s="219">
        <v>294.741333</v>
      </c>
      <c r="W33" s="219">
        <v>295.45452899999998</v>
      </c>
      <c r="X33" s="219">
        <v>296.193085</v>
      </c>
      <c r="Y33" s="219">
        <v>296.96234099999998</v>
      </c>
      <c r="Z33" s="219">
        <v>297.77542099999999</v>
      </c>
      <c r="AA33" s="219">
        <v>298.64340199999998</v>
      </c>
      <c r="AB33" s="219">
        <v>299.567657</v>
      </c>
      <c r="AC33" s="219">
        <v>300.546539</v>
      </c>
      <c r="AD33" s="219">
        <v>301.578644</v>
      </c>
      <c r="AE33" s="219">
        <v>302.66247600000003</v>
      </c>
      <c r="AF33" s="212">
        <v>2.359E-3</v>
      </c>
      <c r="AG33" s="31"/>
    </row>
    <row r="34" spans="1:33">
      <c r="A34" s="30" t="s">
        <v>1160</v>
      </c>
      <c r="B34" s="210" t="s">
        <v>288</v>
      </c>
      <c r="C34" s="219">
        <v>303.633759</v>
      </c>
      <c r="D34" s="219">
        <v>302.016052</v>
      </c>
      <c r="E34" s="219">
        <v>300.03747600000003</v>
      </c>
      <c r="F34" s="219">
        <v>311.24240099999997</v>
      </c>
      <c r="G34" s="219">
        <v>331.283661</v>
      </c>
      <c r="H34" s="219">
        <v>341.12298600000003</v>
      </c>
      <c r="I34" s="219">
        <v>349.713684</v>
      </c>
      <c r="J34" s="219">
        <v>343.18917800000003</v>
      </c>
      <c r="K34" s="219">
        <v>336.92776500000002</v>
      </c>
      <c r="L34" s="219">
        <v>330.95632899999998</v>
      </c>
      <c r="M34" s="219">
        <v>325.38665800000001</v>
      </c>
      <c r="N34" s="219">
        <v>320.30609099999998</v>
      </c>
      <c r="O34" s="219">
        <v>315.67099000000002</v>
      </c>
      <c r="P34" s="219">
        <v>311.436035</v>
      </c>
      <c r="Q34" s="219">
        <v>307.55712899999997</v>
      </c>
      <c r="R34" s="219">
        <v>305.32012900000001</v>
      </c>
      <c r="S34" s="219">
        <v>303.00500499999998</v>
      </c>
      <c r="T34" s="219">
        <v>300.60012799999998</v>
      </c>
      <c r="U34" s="219">
        <v>298.09854100000001</v>
      </c>
      <c r="V34" s="219">
        <v>295.50451700000002</v>
      </c>
      <c r="W34" s="219">
        <v>294.97015399999998</v>
      </c>
      <c r="X34" s="219">
        <v>295.152557</v>
      </c>
      <c r="Y34" s="219">
        <v>295.38324</v>
      </c>
      <c r="Z34" s="219">
        <v>295.70700099999999</v>
      </c>
      <c r="AA34" s="219">
        <v>296.15313700000002</v>
      </c>
      <c r="AB34" s="219">
        <v>296.72790500000002</v>
      </c>
      <c r="AC34" s="219">
        <v>297.430634</v>
      </c>
      <c r="AD34" s="219">
        <v>298.26028400000001</v>
      </c>
      <c r="AE34" s="219">
        <v>299.21563700000002</v>
      </c>
      <c r="AF34" s="212">
        <v>-5.2300000000000003E-4</v>
      </c>
      <c r="AG34" s="31"/>
    </row>
    <row r="35" spans="1:33">
      <c r="A35" s="30" t="s">
        <v>1161</v>
      </c>
      <c r="B35" s="210" t="s">
        <v>289</v>
      </c>
      <c r="C35" s="219">
        <v>120.5093</v>
      </c>
      <c r="D35" s="219">
        <v>124.81813</v>
      </c>
      <c r="E35" s="219">
        <v>125.630379</v>
      </c>
      <c r="F35" s="219">
        <v>125.888588</v>
      </c>
      <c r="G35" s="219">
        <v>124.57605</v>
      </c>
      <c r="H35" s="219">
        <v>123.38769499999999</v>
      </c>
      <c r="I35" s="219">
        <v>122.312378</v>
      </c>
      <c r="J35" s="219">
        <v>121.34431499999999</v>
      </c>
      <c r="K35" s="219">
        <v>120.472275</v>
      </c>
      <c r="L35" s="219">
        <v>119.691422</v>
      </c>
      <c r="M35" s="219">
        <v>119.024506</v>
      </c>
      <c r="N35" s="219">
        <v>118.999252</v>
      </c>
      <c r="O35" s="219">
        <v>119.066025</v>
      </c>
      <c r="P35" s="219">
        <v>119.156075</v>
      </c>
      <c r="Q35" s="219">
        <v>119.26737199999999</v>
      </c>
      <c r="R35" s="219">
        <v>119.39865899999999</v>
      </c>
      <c r="S35" s="219">
        <v>119.548264</v>
      </c>
      <c r="T35" s="219">
        <v>119.714798</v>
      </c>
      <c r="U35" s="219">
        <v>119.875038</v>
      </c>
      <c r="V35" s="219">
        <v>120.04273999999999</v>
      </c>
      <c r="W35" s="219">
        <v>120.216133</v>
      </c>
      <c r="X35" s="219">
        <v>120.394096</v>
      </c>
      <c r="Y35" s="219">
        <v>120.577652</v>
      </c>
      <c r="Z35" s="219">
        <v>120.768944</v>
      </c>
      <c r="AA35" s="219">
        <v>120.97081</v>
      </c>
      <c r="AB35" s="219">
        <v>121.182991</v>
      </c>
      <c r="AC35" s="219">
        <v>121.404442</v>
      </c>
      <c r="AD35" s="219">
        <v>121.634506</v>
      </c>
      <c r="AE35" s="219">
        <v>121.87248200000001</v>
      </c>
      <c r="AF35" s="212">
        <v>4.0200000000000001E-4</v>
      </c>
      <c r="AG35" s="31"/>
    </row>
    <row r="36" spans="1:33">
      <c r="A36" s="30" t="s">
        <v>1162</v>
      </c>
      <c r="B36" s="210" t="s">
        <v>294</v>
      </c>
      <c r="C36" s="219">
        <v>1039.7788089999999</v>
      </c>
      <c r="D36" s="219">
        <v>1037.8608400000001</v>
      </c>
      <c r="E36" s="219">
        <v>1058.1521</v>
      </c>
      <c r="F36" s="219">
        <v>1089.0139160000001</v>
      </c>
      <c r="G36" s="219">
        <v>1104.1401370000001</v>
      </c>
      <c r="H36" s="219">
        <v>1114.889404</v>
      </c>
      <c r="I36" s="219">
        <v>1125.8911129999999</v>
      </c>
      <c r="J36" s="219">
        <v>1134.2524410000001</v>
      </c>
      <c r="K36" s="219">
        <v>1144.076172</v>
      </c>
      <c r="L36" s="219">
        <v>1155.06897</v>
      </c>
      <c r="M36" s="219">
        <v>1166.8364260000001</v>
      </c>
      <c r="N36" s="219">
        <v>1182.7216800000001</v>
      </c>
      <c r="O36" s="219">
        <v>1201.744019</v>
      </c>
      <c r="P36" s="219">
        <v>1220.1953120000001</v>
      </c>
      <c r="Q36" s="219">
        <v>1238.6435550000001</v>
      </c>
      <c r="R36" s="219">
        <v>1257.726807</v>
      </c>
      <c r="S36" s="219">
        <v>1278.251587</v>
      </c>
      <c r="T36" s="219">
        <v>1298.651001</v>
      </c>
      <c r="U36" s="219">
        <v>1320.7441409999999</v>
      </c>
      <c r="V36" s="219">
        <v>1343.0351559999999</v>
      </c>
      <c r="W36" s="219">
        <v>1365.5988769999999</v>
      </c>
      <c r="X36" s="219">
        <v>1388.4282229999999</v>
      </c>
      <c r="Y36" s="219">
        <v>1411.5117190000001</v>
      </c>
      <c r="Z36" s="219">
        <v>1434.819336</v>
      </c>
      <c r="AA36" s="219">
        <v>1458.302612</v>
      </c>
      <c r="AB36" s="219">
        <v>1481.96875</v>
      </c>
      <c r="AC36" s="219">
        <v>1505.9646</v>
      </c>
      <c r="AD36" s="219">
        <v>1530.3088379999999</v>
      </c>
      <c r="AE36" s="219">
        <v>1554.9916989999999</v>
      </c>
      <c r="AF36" s="212">
        <v>1.4477E-2</v>
      </c>
      <c r="AG36" s="31"/>
    </row>
    <row r="37" spans="1:33">
      <c r="A37" s="30" t="s">
        <v>1163</v>
      </c>
      <c r="B37" s="210" t="s">
        <v>287</v>
      </c>
      <c r="C37" s="219">
        <v>592.215149</v>
      </c>
      <c r="D37" s="219">
        <v>589.56909199999996</v>
      </c>
      <c r="E37" s="219">
        <v>587.25579800000003</v>
      </c>
      <c r="F37" s="219">
        <v>595.56433100000004</v>
      </c>
      <c r="G37" s="219">
        <v>596.60925299999997</v>
      </c>
      <c r="H37" s="219">
        <v>596.83630400000004</v>
      </c>
      <c r="I37" s="219">
        <v>597.54565400000001</v>
      </c>
      <c r="J37" s="219">
        <v>598.38330099999996</v>
      </c>
      <c r="K37" s="219">
        <v>600.080017</v>
      </c>
      <c r="L37" s="219">
        <v>602.466003</v>
      </c>
      <c r="M37" s="219">
        <v>605.33398399999999</v>
      </c>
      <c r="N37" s="219">
        <v>611.98425299999997</v>
      </c>
      <c r="O37" s="219">
        <v>621.44122300000004</v>
      </c>
      <c r="P37" s="219">
        <v>630.41436799999997</v>
      </c>
      <c r="Q37" s="219">
        <v>639.207581</v>
      </c>
      <c r="R37" s="219">
        <v>648.15606700000001</v>
      </c>
      <c r="S37" s="219">
        <v>657.18524200000002</v>
      </c>
      <c r="T37" s="219">
        <v>666.09240699999998</v>
      </c>
      <c r="U37" s="219">
        <v>676.69702099999995</v>
      </c>
      <c r="V37" s="219">
        <v>687.33837900000003</v>
      </c>
      <c r="W37" s="219">
        <v>698.06225600000005</v>
      </c>
      <c r="X37" s="219">
        <v>708.86773700000003</v>
      </c>
      <c r="Y37" s="219">
        <v>719.75109899999995</v>
      </c>
      <c r="Z37" s="219">
        <v>730.69757100000004</v>
      </c>
      <c r="AA37" s="219">
        <v>741.68054199999995</v>
      </c>
      <c r="AB37" s="219">
        <v>752.70410200000003</v>
      </c>
      <c r="AC37" s="219">
        <v>763.84893799999998</v>
      </c>
      <c r="AD37" s="219">
        <v>775.12426800000003</v>
      </c>
      <c r="AE37" s="219">
        <v>786.52404799999999</v>
      </c>
      <c r="AF37" s="212">
        <v>1.0186000000000001E-2</v>
      </c>
      <c r="AG37" s="31"/>
    </row>
    <row r="38" spans="1:33">
      <c r="A38" s="30" t="s">
        <v>1164</v>
      </c>
      <c r="B38" s="210" t="s">
        <v>288</v>
      </c>
      <c r="C38" s="219">
        <v>116.251358</v>
      </c>
      <c r="D38" s="219">
        <v>115.84869399999999</v>
      </c>
      <c r="E38" s="219">
        <v>117.798447</v>
      </c>
      <c r="F38" s="219">
        <v>125.420601</v>
      </c>
      <c r="G38" s="219">
        <v>132.68100000000001</v>
      </c>
      <c r="H38" s="219">
        <v>136.199051</v>
      </c>
      <c r="I38" s="219">
        <v>139.31684899999999</v>
      </c>
      <c r="J38" s="219">
        <v>139.46202099999999</v>
      </c>
      <c r="K38" s="219">
        <v>139.96340900000001</v>
      </c>
      <c r="L38" s="219">
        <v>140.78491199999999</v>
      </c>
      <c r="M38" s="219">
        <v>141.885864</v>
      </c>
      <c r="N38" s="219">
        <v>143.24992399999999</v>
      </c>
      <c r="O38" s="219">
        <v>144.85853599999999</v>
      </c>
      <c r="P38" s="219">
        <v>146.66081199999999</v>
      </c>
      <c r="Q38" s="219">
        <v>148.66322299999999</v>
      </c>
      <c r="R38" s="219">
        <v>150.87674000000001</v>
      </c>
      <c r="S38" s="219">
        <v>154.27641299999999</v>
      </c>
      <c r="T38" s="219">
        <v>157.73144500000001</v>
      </c>
      <c r="U38" s="219">
        <v>161.24172999999999</v>
      </c>
      <c r="V38" s="219">
        <v>164.819626</v>
      </c>
      <c r="W38" s="219">
        <v>168.46804800000001</v>
      </c>
      <c r="X38" s="219">
        <v>172.187073</v>
      </c>
      <c r="Y38" s="219">
        <v>175.976257</v>
      </c>
      <c r="Z38" s="219">
        <v>179.83531199999999</v>
      </c>
      <c r="AA38" s="219">
        <v>183.76565600000001</v>
      </c>
      <c r="AB38" s="219">
        <v>187.77061499999999</v>
      </c>
      <c r="AC38" s="219">
        <v>191.85900899999999</v>
      </c>
      <c r="AD38" s="219">
        <v>196.034897</v>
      </c>
      <c r="AE38" s="219">
        <v>200.30072000000001</v>
      </c>
      <c r="AF38" s="212">
        <v>1.9621E-2</v>
      </c>
      <c r="AG38" s="31"/>
    </row>
    <row r="39" spans="1:33">
      <c r="A39" s="30" t="s">
        <v>1165</v>
      </c>
      <c r="B39" s="210" t="s">
        <v>289</v>
      </c>
      <c r="C39" s="219">
        <v>331.31234699999999</v>
      </c>
      <c r="D39" s="219">
        <v>332.442993</v>
      </c>
      <c r="E39" s="219">
        <v>353.09789999999998</v>
      </c>
      <c r="F39" s="219">
        <v>368.02899200000002</v>
      </c>
      <c r="G39" s="219">
        <v>374.84991500000001</v>
      </c>
      <c r="H39" s="219">
        <v>381.85400399999997</v>
      </c>
      <c r="I39" s="219">
        <v>389.02862499999998</v>
      </c>
      <c r="J39" s="219">
        <v>396.407104</v>
      </c>
      <c r="K39" s="219">
        <v>404.03265399999998</v>
      </c>
      <c r="L39" s="219">
        <v>411.81805400000002</v>
      </c>
      <c r="M39" s="219">
        <v>419.61651599999999</v>
      </c>
      <c r="N39" s="219">
        <v>427.48748799999998</v>
      </c>
      <c r="O39" s="219">
        <v>435.444275</v>
      </c>
      <c r="P39" s="219">
        <v>443.12017800000001</v>
      </c>
      <c r="Q39" s="219">
        <v>450.77276599999999</v>
      </c>
      <c r="R39" s="219">
        <v>458.69390900000002</v>
      </c>
      <c r="S39" s="219">
        <v>466.789917</v>
      </c>
      <c r="T39" s="219">
        <v>474.82714800000002</v>
      </c>
      <c r="U39" s="219">
        <v>482.80542000000003</v>
      </c>
      <c r="V39" s="219">
        <v>490.87713600000001</v>
      </c>
      <c r="W39" s="219">
        <v>499.06854199999998</v>
      </c>
      <c r="X39" s="219">
        <v>507.37341300000003</v>
      </c>
      <c r="Y39" s="219">
        <v>515.78430200000003</v>
      </c>
      <c r="Z39" s="219">
        <v>524.28643799999998</v>
      </c>
      <c r="AA39" s="219">
        <v>532.85644500000001</v>
      </c>
      <c r="AB39" s="219">
        <v>541.49401899999998</v>
      </c>
      <c r="AC39" s="219">
        <v>550.25671399999999</v>
      </c>
      <c r="AD39" s="219">
        <v>559.149719</v>
      </c>
      <c r="AE39" s="219">
        <v>568.16699200000005</v>
      </c>
      <c r="AF39" s="212">
        <v>1.9449000000000001E-2</v>
      </c>
      <c r="AG39" s="31"/>
    </row>
    <row r="40" spans="1:33">
      <c r="A40" s="30" t="s">
        <v>1166</v>
      </c>
      <c r="B40" s="210" t="s">
        <v>295</v>
      </c>
      <c r="C40" s="219">
        <v>440.36617999999999</v>
      </c>
      <c r="D40" s="219">
        <v>436.89562999999998</v>
      </c>
      <c r="E40" s="219">
        <v>436.44992100000002</v>
      </c>
      <c r="F40" s="219">
        <v>450.09240699999998</v>
      </c>
      <c r="G40" s="219">
        <v>473.985657</v>
      </c>
      <c r="H40" s="219">
        <v>484.88067599999999</v>
      </c>
      <c r="I40" s="219">
        <v>494.35217299999999</v>
      </c>
      <c r="J40" s="219">
        <v>494.94073500000002</v>
      </c>
      <c r="K40" s="219">
        <v>495.67910799999999</v>
      </c>
      <c r="L40" s="219">
        <v>494.06271400000003</v>
      </c>
      <c r="M40" s="219">
        <v>488.69790599999999</v>
      </c>
      <c r="N40" s="219">
        <v>485.72769199999999</v>
      </c>
      <c r="O40" s="219">
        <v>483.971588</v>
      </c>
      <c r="P40" s="219">
        <v>482.49902300000002</v>
      </c>
      <c r="Q40" s="219">
        <v>483.63992300000001</v>
      </c>
      <c r="R40" s="219">
        <v>484.18084700000003</v>
      </c>
      <c r="S40" s="219">
        <v>484.17752100000001</v>
      </c>
      <c r="T40" s="219">
        <v>484.34466600000002</v>
      </c>
      <c r="U40" s="219">
        <v>485.13974000000002</v>
      </c>
      <c r="V40" s="219">
        <v>487.04568499999999</v>
      </c>
      <c r="W40" s="219">
        <v>489.86489899999998</v>
      </c>
      <c r="X40" s="219">
        <v>493.11837800000001</v>
      </c>
      <c r="Y40" s="219">
        <v>496.665863</v>
      </c>
      <c r="Z40" s="219">
        <v>500.26077299999997</v>
      </c>
      <c r="AA40" s="219">
        <v>503.62017800000001</v>
      </c>
      <c r="AB40" s="219">
        <v>506.73468000000003</v>
      </c>
      <c r="AC40" s="219">
        <v>509.94778400000001</v>
      </c>
      <c r="AD40" s="219">
        <v>513.563354</v>
      </c>
      <c r="AE40" s="219">
        <v>517.79693599999996</v>
      </c>
      <c r="AF40" s="212">
        <v>5.8019999999999999E-3</v>
      </c>
      <c r="AG40" s="31"/>
    </row>
    <row r="41" spans="1:33">
      <c r="A41" s="30" t="s">
        <v>1167</v>
      </c>
      <c r="B41" s="210" t="s">
        <v>287</v>
      </c>
      <c r="C41" s="219">
        <v>239.852463</v>
      </c>
      <c r="D41" s="219">
        <v>238.02702300000001</v>
      </c>
      <c r="E41" s="219">
        <v>235.34193400000001</v>
      </c>
      <c r="F41" s="219">
        <v>242.578171</v>
      </c>
      <c r="G41" s="219">
        <v>254.44116199999999</v>
      </c>
      <c r="H41" s="219">
        <v>259.44229100000001</v>
      </c>
      <c r="I41" s="219">
        <v>263.86309799999998</v>
      </c>
      <c r="J41" s="219">
        <v>263.92904700000003</v>
      </c>
      <c r="K41" s="219">
        <v>264.19036899999998</v>
      </c>
      <c r="L41" s="219">
        <v>263.31900000000002</v>
      </c>
      <c r="M41" s="219">
        <v>260.59075899999999</v>
      </c>
      <c r="N41" s="219">
        <v>257.84594700000002</v>
      </c>
      <c r="O41" s="219">
        <v>255.45898399999999</v>
      </c>
      <c r="P41" s="219">
        <v>253.35034200000001</v>
      </c>
      <c r="Q41" s="219">
        <v>253.762619</v>
      </c>
      <c r="R41" s="219">
        <v>253.872986</v>
      </c>
      <c r="S41" s="219">
        <v>253.70996099999999</v>
      </c>
      <c r="T41" s="219">
        <v>253.63200399999999</v>
      </c>
      <c r="U41" s="219">
        <v>253.86732499999999</v>
      </c>
      <c r="V41" s="219">
        <v>254.658691</v>
      </c>
      <c r="W41" s="219">
        <v>255.90716599999999</v>
      </c>
      <c r="X41" s="219">
        <v>257.37286399999999</v>
      </c>
      <c r="Y41" s="219">
        <v>258.985657</v>
      </c>
      <c r="Z41" s="219">
        <v>260.62219199999998</v>
      </c>
      <c r="AA41" s="219">
        <v>262.14132699999999</v>
      </c>
      <c r="AB41" s="219">
        <v>263.53881799999999</v>
      </c>
      <c r="AC41" s="219">
        <v>264.98663299999998</v>
      </c>
      <c r="AD41" s="219">
        <v>266.63690200000002</v>
      </c>
      <c r="AE41" s="219">
        <v>268.59750400000001</v>
      </c>
      <c r="AF41" s="212">
        <v>4.0509999999999999E-3</v>
      </c>
      <c r="AG41" s="31"/>
    </row>
    <row r="42" spans="1:33">
      <c r="A42" s="30" t="s">
        <v>1168</v>
      </c>
      <c r="B42" s="210" t="s">
        <v>288</v>
      </c>
      <c r="C42" s="219">
        <v>194.09347500000001</v>
      </c>
      <c r="D42" s="219">
        <v>192.23809800000001</v>
      </c>
      <c r="E42" s="219">
        <v>194.06994599999999</v>
      </c>
      <c r="F42" s="219">
        <v>200.040436</v>
      </c>
      <c r="G42" s="219">
        <v>211.80838</v>
      </c>
      <c r="H42" s="219">
        <v>217.496094</v>
      </c>
      <c r="I42" s="219">
        <v>222.337906</v>
      </c>
      <c r="J42" s="219">
        <v>222.68753100000001</v>
      </c>
      <c r="K42" s="219">
        <v>223.00260900000001</v>
      </c>
      <c r="L42" s="219">
        <v>222.13324</v>
      </c>
      <c r="M42" s="219">
        <v>219.424149</v>
      </c>
      <c r="N42" s="219">
        <v>219.13748200000001</v>
      </c>
      <c r="O42" s="219">
        <v>219.70962499999999</v>
      </c>
      <c r="P42" s="219">
        <v>220.290741</v>
      </c>
      <c r="Q42" s="219">
        <v>220.965836</v>
      </c>
      <c r="R42" s="219">
        <v>221.35252399999999</v>
      </c>
      <c r="S42" s="219">
        <v>221.47721899999999</v>
      </c>
      <c r="T42" s="219">
        <v>221.68804900000001</v>
      </c>
      <c r="U42" s="219">
        <v>222.209259</v>
      </c>
      <c r="V42" s="219">
        <v>223.27548200000001</v>
      </c>
      <c r="W42" s="219">
        <v>224.79016100000001</v>
      </c>
      <c r="X42" s="219">
        <v>226.519409</v>
      </c>
      <c r="Y42" s="219">
        <v>228.39451600000001</v>
      </c>
      <c r="Z42" s="219">
        <v>230.29495199999999</v>
      </c>
      <c r="AA42" s="219">
        <v>232.08218400000001</v>
      </c>
      <c r="AB42" s="219">
        <v>233.75134299999999</v>
      </c>
      <c r="AC42" s="219">
        <v>235.47010800000001</v>
      </c>
      <c r="AD42" s="219">
        <v>237.38677999999999</v>
      </c>
      <c r="AE42" s="219">
        <v>239.60673499999999</v>
      </c>
      <c r="AF42" s="212">
        <v>7.5519999999999997E-3</v>
      </c>
      <c r="AG42" s="31"/>
    </row>
    <row r="43" spans="1:33">
      <c r="A43" s="30" t="s">
        <v>1169</v>
      </c>
      <c r="B43" s="210" t="s">
        <v>289</v>
      </c>
      <c r="C43" s="219">
        <v>6.4202589999999997</v>
      </c>
      <c r="D43" s="219">
        <v>6.630484</v>
      </c>
      <c r="E43" s="219">
        <v>7.0380539999999998</v>
      </c>
      <c r="F43" s="219">
        <v>7.4738309999999997</v>
      </c>
      <c r="G43" s="219">
        <v>7.7361279999999999</v>
      </c>
      <c r="H43" s="219">
        <v>7.942304</v>
      </c>
      <c r="I43" s="219">
        <v>8.1511990000000001</v>
      </c>
      <c r="J43" s="219">
        <v>8.3241639999999997</v>
      </c>
      <c r="K43" s="219">
        <v>8.4861249999999995</v>
      </c>
      <c r="L43" s="219">
        <v>8.6104839999999996</v>
      </c>
      <c r="M43" s="219">
        <v>8.6830189999999998</v>
      </c>
      <c r="N43" s="219">
        <v>8.7442709999999995</v>
      </c>
      <c r="O43" s="219">
        <v>8.8029790000000006</v>
      </c>
      <c r="P43" s="219">
        <v>8.8579279999999994</v>
      </c>
      <c r="Q43" s="219">
        <v>8.9114609999999992</v>
      </c>
      <c r="R43" s="219">
        <v>8.9553370000000001</v>
      </c>
      <c r="S43" s="219">
        <v>8.9903279999999999</v>
      </c>
      <c r="T43" s="219">
        <v>9.0245829999999998</v>
      </c>
      <c r="U43" s="219">
        <v>9.0631269999999997</v>
      </c>
      <c r="V43" s="219">
        <v>9.1115169999999992</v>
      </c>
      <c r="W43" s="219">
        <v>9.1675760000000004</v>
      </c>
      <c r="X43" s="219">
        <v>9.2260950000000008</v>
      </c>
      <c r="Y43" s="219">
        <v>9.2856660000000009</v>
      </c>
      <c r="Z43" s="219">
        <v>9.3436179999999993</v>
      </c>
      <c r="AA43" s="219">
        <v>9.3966670000000008</v>
      </c>
      <c r="AB43" s="219">
        <v>9.4445119999999996</v>
      </c>
      <c r="AC43" s="219">
        <v>9.4910440000000005</v>
      </c>
      <c r="AD43" s="219">
        <v>9.5396800000000006</v>
      </c>
      <c r="AE43" s="219">
        <v>9.5927240000000005</v>
      </c>
      <c r="AF43" s="212">
        <v>1.4444E-2</v>
      </c>
      <c r="AG43" s="31"/>
    </row>
    <row r="44" spans="1:33">
      <c r="A44" s="30" t="s">
        <v>1170</v>
      </c>
      <c r="B44" s="210" t="s">
        <v>296</v>
      </c>
      <c r="C44" s="219">
        <v>1227.147827</v>
      </c>
      <c r="D44" s="219">
        <v>1249.578857</v>
      </c>
      <c r="E44" s="219">
        <v>1296.659668</v>
      </c>
      <c r="F44" s="219">
        <v>1322.8562010000001</v>
      </c>
      <c r="G44" s="219">
        <v>1346.4279790000001</v>
      </c>
      <c r="H44" s="219">
        <v>1362.371216</v>
      </c>
      <c r="I44" s="219">
        <v>1377.2524410000001</v>
      </c>
      <c r="J44" s="219">
        <v>1388.3432620000001</v>
      </c>
      <c r="K44" s="219">
        <v>1400.166138</v>
      </c>
      <c r="L44" s="219">
        <v>1413.010254</v>
      </c>
      <c r="M44" s="219">
        <v>1426.618774</v>
      </c>
      <c r="N44" s="219">
        <v>1440.7891850000001</v>
      </c>
      <c r="O44" s="219">
        <v>1455.565308</v>
      </c>
      <c r="P44" s="219">
        <v>1470.9169919999999</v>
      </c>
      <c r="Q44" s="219">
        <v>1486.759888</v>
      </c>
      <c r="R44" s="219">
        <v>1502.997437</v>
      </c>
      <c r="S44" s="219">
        <v>1519.678711</v>
      </c>
      <c r="T44" s="219">
        <v>1537.9736330000001</v>
      </c>
      <c r="U44" s="219">
        <v>1556.856567</v>
      </c>
      <c r="V44" s="219">
        <v>1576.3481449999999</v>
      </c>
      <c r="W44" s="219">
        <v>1596.427246</v>
      </c>
      <c r="X44" s="219">
        <v>1617.070557</v>
      </c>
      <c r="Y44" s="219">
        <v>1638.2687989999999</v>
      </c>
      <c r="Z44" s="219">
        <v>1660.0043949999999</v>
      </c>
      <c r="AA44" s="219">
        <v>1682.3054199999999</v>
      </c>
      <c r="AB44" s="219">
        <v>1705.1701660000001</v>
      </c>
      <c r="AC44" s="219">
        <v>1728.5679929999999</v>
      </c>
      <c r="AD44" s="219">
        <v>1752.4719239999999</v>
      </c>
      <c r="AE44" s="219">
        <v>1776.8424070000001</v>
      </c>
      <c r="AF44" s="212">
        <v>1.3306999999999999E-2</v>
      </c>
      <c r="AG44" s="31"/>
    </row>
    <row r="45" spans="1:33">
      <c r="A45" s="30" t="s">
        <v>1171</v>
      </c>
      <c r="B45" s="210" t="s">
        <v>287</v>
      </c>
      <c r="C45" s="219">
        <v>724.09747300000004</v>
      </c>
      <c r="D45" s="219">
        <v>745.41119400000002</v>
      </c>
      <c r="E45" s="219">
        <v>777.49664299999995</v>
      </c>
      <c r="F45" s="219">
        <v>796.97705099999996</v>
      </c>
      <c r="G45" s="219">
        <v>814.26129200000003</v>
      </c>
      <c r="H45" s="219">
        <v>825.46069299999999</v>
      </c>
      <c r="I45" s="219">
        <v>834.75518799999998</v>
      </c>
      <c r="J45" s="219">
        <v>841.63220200000001</v>
      </c>
      <c r="K45" s="219">
        <v>848.96997099999999</v>
      </c>
      <c r="L45" s="219">
        <v>856.95440699999995</v>
      </c>
      <c r="M45" s="219">
        <v>865.436646</v>
      </c>
      <c r="N45" s="219">
        <v>874.300476</v>
      </c>
      <c r="O45" s="219">
        <v>883.56133999999997</v>
      </c>
      <c r="P45" s="219">
        <v>893.23516800000004</v>
      </c>
      <c r="Q45" s="219">
        <v>903.29589799999997</v>
      </c>
      <c r="R45" s="219">
        <v>913.70910600000002</v>
      </c>
      <c r="S45" s="219">
        <v>924.48474099999999</v>
      </c>
      <c r="T45" s="219">
        <v>935.63366699999995</v>
      </c>
      <c r="U45" s="219">
        <v>947.14184599999999</v>
      </c>
      <c r="V45" s="219">
        <v>959.021973</v>
      </c>
      <c r="W45" s="219">
        <v>971.26080300000001</v>
      </c>
      <c r="X45" s="219">
        <v>983.84454300000004</v>
      </c>
      <c r="Y45" s="219">
        <v>996.76702899999998</v>
      </c>
      <c r="Z45" s="219">
        <v>1010.018066</v>
      </c>
      <c r="AA45" s="219">
        <v>1023.614624</v>
      </c>
      <c r="AB45" s="219">
        <v>1037.555664</v>
      </c>
      <c r="AC45" s="219">
        <v>1051.8226320000001</v>
      </c>
      <c r="AD45" s="219">
        <v>1066.3989260000001</v>
      </c>
      <c r="AE45" s="219">
        <v>1081.260254</v>
      </c>
      <c r="AF45" s="212">
        <v>1.4423E-2</v>
      </c>
      <c r="AG45" s="31"/>
    </row>
    <row r="46" spans="1:33">
      <c r="A46" s="30" t="s">
        <v>1172</v>
      </c>
      <c r="B46" s="210" t="s">
        <v>288</v>
      </c>
      <c r="C46" s="219">
        <v>142.13980100000001</v>
      </c>
      <c r="D46" s="219">
        <v>141.262497</v>
      </c>
      <c r="E46" s="219">
        <v>148.55049099999999</v>
      </c>
      <c r="F46" s="219">
        <v>152.680939</v>
      </c>
      <c r="G46" s="219">
        <v>154.77879300000001</v>
      </c>
      <c r="H46" s="219">
        <v>156.26916499999999</v>
      </c>
      <c r="I46" s="219">
        <v>158.75853000000001</v>
      </c>
      <c r="J46" s="219">
        <v>160.10771199999999</v>
      </c>
      <c r="K46" s="219">
        <v>161.51473999999999</v>
      </c>
      <c r="L46" s="219">
        <v>162.989273</v>
      </c>
      <c r="M46" s="219">
        <v>164.49707000000001</v>
      </c>
      <c r="N46" s="219">
        <v>166.01217700000001</v>
      </c>
      <c r="O46" s="219">
        <v>167.519623</v>
      </c>
      <c r="P46" s="219">
        <v>169.003647</v>
      </c>
      <c r="Q46" s="219">
        <v>170.41892999999999</v>
      </c>
      <c r="R46" s="219">
        <v>171.71991</v>
      </c>
      <c r="S46" s="219">
        <v>172.94198600000001</v>
      </c>
      <c r="T46" s="219">
        <v>175.24054000000001</v>
      </c>
      <c r="U46" s="219">
        <v>177.61509699999999</v>
      </c>
      <c r="V46" s="219">
        <v>180.06681800000001</v>
      </c>
      <c r="W46" s="219">
        <v>182.593872</v>
      </c>
      <c r="X46" s="219">
        <v>185.19430500000001</v>
      </c>
      <c r="Y46" s="219">
        <v>187.86746199999999</v>
      </c>
      <c r="Z46" s="219">
        <v>190.61198400000001</v>
      </c>
      <c r="AA46" s="219">
        <v>193.43158</v>
      </c>
      <c r="AB46" s="219">
        <v>196.32659899999999</v>
      </c>
      <c r="AC46" s="219">
        <v>199.294037</v>
      </c>
      <c r="AD46" s="219">
        <v>202.33120700000001</v>
      </c>
      <c r="AE46" s="219">
        <v>205.43396000000001</v>
      </c>
      <c r="AF46" s="212">
        <v>1.3240999999999999E-2</v>
      </c>
      <c r="AG46" s="31"/>
    </row>
    <row r="47" spans="1:33">
      <c r="A47" s="30" t="s">
        <v>1173</v>
      </c>
      <c r="B47" s="210" t="s">
        <v>289</v>
      </c>
      <c r="C47" s="219">
        <v>360.91052200000001</v>
      </c>
      <c r="D47" s="219">
        <v>362.90515099999999</v>
      </c>
      <c r="E47" s="219">
        <v>370.61248799999998</v>
      </c>
      <c r="F47" s="219">
        <v>373.19818099999998</v>
      </c>
      <c r="G47" s="219">
        <v>377.38781699999998</v>
      </c>
      <c r="H47" s="219">
        <v>380.64135700000003</v>
      </c>
      <c r="I47" s="219">
        <v>383.73873900000001</v>
      </c>
      <c r="J47" s="219">
        <v>386.603363</v>
      </c>
      <c r="K47" s="219">
        <v>389.68142699999999</v>
      </c>
      <c r="L47" s="219">
        <v>393.06664999999998</v>
      </c>
      <c r="M47" s="219">
        <v>396.68505900000002</v>
      </c>
      <c r="N47" s="219">
        <v>400.476562</v>
      </c>
      <c r="O47" s="219">
        <v>404.48440599999998</v>
      </c>
      <c r="P47" s="219">
        <v>408.67816199999999</v>
      </c>
      <c r="Q47" s="219">
        <v>413.04504400000002</v>
      </c>
      <c r="R47" s="219">
        <v>417.56845099999998</v>
      </c>
      <c r="S47" s="219">
        <v>422.251892</v>
      </c>
      <c r="T47" s="219">
        <v>427.09936499999998</v>
      </c>
      <c r="U47" s="219">
        <v>432.09957900000001</v>
      </c>
      <c r="V47" s="219">
        <v>437.25933800000001</v>
      </c>
      <c r="W47" s="219">
        <v>442.57247899999999</v>
      </c>
      <c r="X47" s="219">
        <v>448.03179899999998</v>
      </c>
      <c r="Y47" s="219">
        <v>453.63421599999998</v>
      </c>
      <c r="Z47" s="219">
        <v>459.37435900000003</v>
      </c>
      <c r="AA47" s="219">
        <v>465.25933800000001</v>
      </c>
      <c r="AB47" s="219">
        <v>471.28787199999999</v>
      </c>
      <c r="AC47" s="219">
        <v>477.45126299999998</v>
      </c>
      <c r="AD47" s="219">
        <v>483.74185199999999</v>
      </c>
      <c r="AE47" s="219">
        <v>490.14816300000001</v>
      </c>
      <c r="AF47" s="212">
        <v>1.0991000000000001E-2</v>
      </c>
      <c r="AG47" s="31"/>
    </row>
    <row r="48" spans="1:33">
      <c r="A48" s="30" t="s">
        <v>1174</v>
      </c>
      <c r="B48" s="210" t="s">
        <v>297</v>
      </c>
      <c r="C48" s="219">
        <v>863.39324999999997</v>
      </c>
      <c r="D48" s="219">
        <v>858.48559599999999</v>
      </c>
      <c r="E48" s="219">
        <v>862.52239999999995</v>
      </c>
      <c r="F48" s="219">
        <v>880.34796100000005</v>
      </c>
      <c r="G48" s="219">
        <v>894.16272000000004</v>
      </c>
      <c r="H48" s="219">
        <v>887.80346699999996</v>
      </c>
      <c r="I48" s="219">
        <v>878.36523399999999</v>
      </c>
      <c r="J48" s="219">
        <v>872.06567399999994</v>
      </c>
      <c r="K48" s="219">
        <v>868.31762700000002</v>
      </c>
      <c r="L48" s="219">
        <v>871.87713599999995</v>
      </c>
      <c r="M48" s="219">
        <v>885.20684800000004</v>
      </c>
      <c r="N48" s="219">
        <v>900.13983199999996</v>
      </c>
      <c r="O48" s="219">
        <v>915.54736300000002</v>
      </c>
      <c r="P48" s="219">
        <v>931.46655299999998</v>
      </c>
      <c r="Q48" s="219">
        <v>947.493469</v>
      </c>
      <c r="R48" s="219">
        <v>963.989014</v>
      </c>
      <c r="S48" s="219">
        <v>980.96862799999997</v>
      </c>
      <c r="T48" s="219">
        <v>998.42492700000003</v>
      </c>
      <c r="U48" s="219">
        <v>1018.283325</v>
      </c>
      <c r="V48" s="219">
        <v>1039.966797</v>
      </c>
      <c r="W48" s="219">
        <v>1062.269043</v>
      </c>
      <c r="X48" s="219">
        <v>1085.19812</v>
      </c>
      <c r="Y48" s="219">
        <v>1108.7426760000001</v>
      </c>
      <c r="Z48" s="219">
        <v>1132.9030760000001</v>
      </c>
      <c r="AA48" s="219">
        <v>1157.165649</v>
      </c>
      <c r="AB48" s="219">
        <v>1182.0253909999999</v>
      </c>
      <c r="AC48" s="219">
        <v>1207.5124510000001</v>
      </c>
      <c r="AD48" s="219">
        <v>1233.6441649999999</v>
      </c>
      <c r="AE48" s="219">
        <v>1260.4357910000001</v>
      </c>
      <c r="AF48" s="212">
        <v>1.3604E-2</v>
      </c>
      <c r="AG48" s="31"/>
    </row>
    <row r="49" spans="1:33">
      <c r="A49" s="30" t="s">
        <v>1175</v>
      </c>
      <c r="B49" s="210" t="s">
        <v>287</v>
      </c>
      <c r="C49" s="219">
        <v>582.93487500000003</v>
      </c>
      <c r="D49" s="219">
        <v>579.98657200000002</v>
      </c>
      <c r="E49" s="219">
        <v>575.57299799999998</v>
      </c>
      <c r="F49" s="219">
        <v>582.32354699999996</v>
      </c>
      <c r="G49" s="219">
        <v>587.69348100000002</v>
      </c>
      <c r="H49" s="219">
        <v>580.94970699999999</v>
      </c>
      <c r="I49" s="219">
        <v>572.30761700000005</v>
      </c>
      <c r="J49" s="219">
        <v>563.48828100000003</v>
      </c>
      <c r="K49" s="219">
        <v>556.739868</v>
      </c>
      <c r="L49" s="219">
        <v>556.94097899999997</v>
      </c>
      <c r="M49" s="219">
        <v>566.66876200000002</v>
      </c>
      <c r="N49" s="219">
        <v>576.76788299999998</v>
      </c>
      <c r="O49" s="219">
        <v>587.24645999999996</v>
      </c>
      <c r="P49" s="219">
        <v>598.12640399999998</v>
      </c>
      <c r="Q49" s="219">
        <v>609.15692100000001</v>
      </c>
      <c r="R49" s="219">
        <v>620.56207300000005</v>
      </c>
      <c r="S49" s="219">
        <v>632.35351600000001</v>
      </c>
      <c r="T49" s="219">
        <v>644.52978499999995</v>
      </c>
      <c r="U49" s="219">
        <v>658.21441700000003</v>
      </c>
      <c r="V49" s="219">
        <v>672.11199999999997</v>
      </c>
      <c r="W49" s="219">
        <v>686.41107199999999</v>
      </c>
      <c r="X49" s="219">
        <v>701.115723</v>
      </c>
      <c r="Y49" s="219">
        <v>716.21807899999999</v>
      </c>
      <c r="Z49" s="219">
        <v>731.71795699999996</v>
      </c>
      <c r="AA49" s="219">
        <v>747.29480000000001</v>
      </c>
      <c r="AB49" s="219">
        <v>763.25799600000005</v>
      </c>
      <c r="AC49" s="219">
        <v>779.62646500000005</v>
      </c>
      <c r="AD49" s="219">
        <v>796.41186500000003</v>
      </c>
      <c r="AE49" s="219">
        <v>813.62445100000002</v>
      </c>
      <c r="AF49" s="212">
        <v>1.1979E-2</v>
      </c>
      <c r="AG49" s="31"/>
    </row>
    <row r="50" spans="1:33">
      <c r="A50" s="30" t="s">
        <v>1176</v>
      </c>
      <c r="B50" s="210" t="s">
        <v>288</v>
      </c>
      <c r="C50" s="219">
        <v>89.579268999999996</v>
      </c>
      <c r="D50" s="219">
        <v>89.271439000000001</v>
      </c>
      <c r="E50" s="219">
        <v>88.789383000000001</v>
      </c>
      <c r="F50" s="219">
        <v>89.740844999999993</v>
      </c>
      <c r="G50" s="219">
        <v>90.556579999999997</v>
      </c>
      <c r="H50" s="219">
        <v>90.010543999999996</v>
      </c>
      <c r="I50" s="219">
        <v>89.066185000000004</v>
      </c>
      <c r="J50" s="219">
        <v>87.923186999999999</v>
      </c>
      <c r="K50" s="219">
        <v>86.847686999999993</v>
      </c>
      <c r="L50" s="219">
        <v>85.837722999999997</v>
      </c>
      <c r="M50" s="219">
        <v>84.861557000000005</v>
      </c>
      <c r="N50" s="219">
        <v>84.940544000000003</v>
      </c>
      <c r="O50" s="219">
        <v>84.936156999999994</v>
      </c>
      <c r="P50" s="219">
        <v>84.855225000000004</v>
      </c>
      <c r="Q50" s="219">
        <v>84.671783000000005</v>
      </c>
      <c r="R50" s="219">
        <v>84.412375999999995</v>
      </c>
      <c r="S50" s="219">
        <v>84.076126000000002</v>
      </c>
      <c r="T50" s="219">
        <v>83.659255999999999</v>
      </c>
      <c r="U50" s="219">
        <v>83.961455999999998</v>
      </c>
      <c r="V50" s="219">
        <v>85.832549999999998</v>
      </c>
      <c r="W50" s="219">
        <v>87.750534000000002</v>
      </c>
      <c r="X50" s="219">
        <v>89.717117000000002</v>
      </c>
      <c r="Y50" s="219">
        <v>91.732230999999999</v>
      </c>
      <c r="Z50" s="219">
        <v>93.796515999999997</v>
      </c>
      <c r="AA50" s="219">
        <v>95.862342999999996</v>
      </c>
      <c r="AB50" s="219">
        <v>97.976073999999997</v>
      </c>
      <c r="AC50" s="219">
        <v>100.14046500000001</v>
      </c>
      <c r="AD50" s="219">
        <v>102.35675000000001</v>
      </c>
      <c r="AE50" s="219">
        <v>104.626221</v>
      </c>
      <c r="AF50" s="212">
        <v>5.561E-3</v>
      </c>
      <c r="AG50" s="31"/>
    </row>
    <row r="51" spans="1:33">
      <c r="A51" s="30" t="s">
        <v>1177</v>
      </c>
      <c r="B51" s="210" t="s">
        <v>289</v>
      </c>
      <c r="C51" s="219">
        <v>190.87910500000001</v>
      </c>
      <c r="D51" s="219">
        <v>189.227585</v>
      </c>
      <c r="E51" s="219">
        <v>198.160034</v>
      </c>
      <c r="F51" s="219">
        <v>208.28358499999999</v>
      </c>
      <c r="G51" s="219">
        <v>215.91262800000001</v>
      </c>
      <c r="H51" s="219">
        <v>216.84320099999999</v>
      </c>
      <c r="I51" s="219">
        <v>216.99142499999999</v>
      </c>
      <c r="J51" s="219">
        <v>220.65417500000001</v>
      </c>
      <c r="K51" s="219">
        <v>224.730133</v>
      </c>
      <c r="L51" s="219">
        <v>229.098434</v>
      </c>
      <c r="M51" s="219">
        <v>233.67649800000001</v>
      </c>
      <c r="N51" s="219">
        <v>238.43139600000001</v>
      </c>
      <c r="O51" s="219">
        <v>243.36476099999999</v>
      </c>
      <c r="P51" s="219">
        <v>248.48493999999999</v>
      </c>
      <c r="Q51" s="219">
        <v>253.66471899999999</v>
      </c>
      <c r="R51" s="219">
        <v>259.01461799999998</v>
      </c>
      <c r="S51" s="219">
        <v>264.53900099999998</v>
      </c>
      <c r="T51" s="219">
        <v>270.23586999999998</v>
      </c>
      <c r="U51" s="219">
        <v>276.10742199999999</v>
      </c>
      <c r="V51" s="219">
        <v>282.02221700000001</v>
      </c>
      <c r="W51" s="219">
        <v>288.10745200000002</v>
      </c>
      <c r="X51" s="219">
        <v>294.365295</v>
      </c>
      <c r="Y51" s="219">
        <v>300.79238900000001</v>
      </c>
      <c r="Z51" s="219">
        <v>307.38867199999999</v>
      </c>
      <c r="AA51" s="219">
        <v>314.00845299999997</v>
      </c>
      <c r="AB51" s="219">
        <v>320.791382</v>
      </c>
      <c r="AC51" s="219">
        <v>327.74560500000001</v>
      </c>
      <c r="AD51" s="219">
        <v>334.875519</v>
      </c>
      <c r="AE51" s="219">
        <v>342.18515000000002</v>
      </c>
      <c r="AF51" s="212">
        <v>2.1066000000000001E-2</v>
      </c>
      <c r="AG51" s="31"/>
    </row>
    <row r="52" spans="1:33">
      <c r="A52" s="30" t="s">
        <v>1178</v>
      </c>
      <c r="B52" s="210" t="s">
        <v>298</v>
      </c>
      <c r="C52" s="219">
        <v>4574.6416019999997</v>
      </c>
      <c r="D52" s="219">
        <v>4502.9458009999998</v>
      </c>
      <c r="E52" s="219">
        <v>4613.8286129999997</v>
      </c>
      <c r="F52" s="219">
        <v>4782.1293949999999</v>
      </c>
      <c r="G52" s="219">
        <v>4986.513672</v>
      </c>
      <c r="H52" s="219">
        <v>5171.7817379999997</v>
      </c>
      <c r="I52" s="219">
        <v>5355.4565430000002</v>
      </c>
      <c r="J52" s="219">
        <v>5547.7666019999997</v>
      </c>
      <c r="K52" s="219">
        <v>5744.6484380000002</v>
      </c>
      <c r="L52" s="219">
        <v>5948.5024409999996</v>
      </c>
      <c r="M52" s="219">
        <v>6158.7543949999999</v>
      </c>
      <c r="N52" s="219">
        <v>6377.5625</v>
      </c>
      <c r="O52" s="219">
        <v>6609.4726559999999</v>
      </c>
      <c r="P52" s="219">
        <v>6857.7416990000002</v>
      </c>
      <c r="Q52" s="219">
        <v>7120.8588870000003</v>
      </c>
      <c r="R52" s="219">
        <v>7385.908203</v>
      </c>
      <c r="S52" s="219">
        <v>7653.1064450000003</v>
      </c>
      <c r="T52" s="219">
        <v>7924.0791019999997</v>
      </c>
      <c r="U52" s="219">
        <v>8201.3076170000004</v>
      </c>
      <c r="V52" s="219">
        <v>8487.6396480000003</v>
      </c>
      <c r="W52" s="219">
        <v>8782.8623050000006</v>
      </c>
      <c r="X52" s="219">
        <v>9084.5117190000001</v>
      </c>
      <c r="Y52" s="219">
        <v>9389.5683590000008</v>
      </c>
      <c r="Z52" s="219">
        <v>9694.7392579999996</v>
      </c>
      <c r="AA52" s="219">
        <v>9999.3994139999995</v>
      </c>
      <c r="AB52" s="219">
        <v>10305.103515999999</v>
      </c>
      <c r="AC52" s="219">
        <v>10610.702148</v>
      </c>
      <c r="AD52" s="219">
        <v>10913.130859000001</v>
      </c>
      <c r="AE52" s="219">
        <v>11209.146484000001</v>
      </c>
      <c r="AF52" s="212">
        <v>3.2524999999999998E-2</v>
      </c>
      <c r="AG52" s="31"/>
    </row>
    <row r="53" spans="1:33">
      <c r="A53" s="30" t="s">
        <v>1179</v>
      </c>
      <c r="B53" s="210" t="s">
        <v>287</v>
      </c>
      <c r="C53" s="219">
        <v>3559.5004880000001</v>
      </c>
      <c r="D53" s="219">
        <v>3496.1911620000001</v>
      </c>
      <c r="E53" s="219">
        <v>3554.038818</v>
      </c>
      <c r="F53" s="219">
        <v>3677.0253910000001</v>
      </c>
      <c r="G53" s="219">
        <v>3831.201172</v>
      </c>
      <c r="H53" s="219">
        <v>3982.0429690000001</v>
      </c>
      <c r="I53" s="219">
        <v>4133.1328119999998</v>
      </c>
      <c r="J53" s="219">
        <v>4289.3647460000002</v>
      </c>
      <c r="K53" s="219">
        <v>4449.0839839999999</v>
      </c>
      <c r="L53" s="219">
        <v>4613.9350590000004</v>
      </c>
      <c r="M53" s="219">
        <v>4783.53125</v>
      </c>
      <c r="N53" s="219">
        <v>4956.9770509999998</v>
      </c>
      <c r="O53" s="219">
        <v>5134.53125</v>
      </c>
      <c r="P53" s="219">
        <v>5327.2944340000004</v>
      </c>
      <c r="Q53" s="219">
        <v>5533.8310549999997</v>
      </c>
      <c r="R53" s="219">
        <v>5741.5307620000003</v>
      </c>
      <c r="S53" s="219">
        <v>5950.5478519999997</v>
      </c>
      <c r="T53" s="219">
        <v>6162.2055659999996</v>
      </c>
      <c r="U53" s="219">
        <v>6378.5224609999996</v>
      </c>
      <c r="V53" s="219">
        <v>6601.8525390000004</v>
      </c>
      <c r="W53" s="219">
        <v>6832.0034180000002</v>
      </c>
      <c r="X53" s="219">
        <v>7066.9116210000002</v>
      </c>
      <c r="Y53" s="219">
        <v>7304.0498049999997</v>
      </c>
      <c r="Z53" s="219">
        <v>7540.671875</v>
      </c>
      <c r="AA53" s="219">
        <v>7776.2485349999997</v>
      </c>
      <c r="AB53" s="219">
        <v>8012.0551759999998</v>
      </c>
      <c r="AC53" s="219">
        <v>8247.1210940000001</v>
      </c>
      <c r="AD53" s="219">
        <v>8478.8828119999998</v>
      </c>
      <c r="AE53" s="219">
        <v>8704.6386719999991</v>
      </c>
      <c r="AF53" s="212">
        <v>3.2452000000000002E-2</v>
      </c>
      <c r="AG53" s="31"/>
    </row>
    <row r="54" spans="1:33">
      <c r="A54" s="30" t="s">
        <v>1180</v>
      </c>
      <c r="B54" s="210" t="s">
        <v>288</v>
      </c>
      <c r="C54" s="219">
        <v>713.54803500000003</v>
      </c>
      <c r="D54" s="219">
        <v>710.85974099999999</v>
      </c>
      <c r="E54" s="219">
        <v>745.14947500000005</v>
      </c>
      <c r="F54" s="219">
        <v>788.01769999999999</v>
      </c>
      <c r="G54" s="219">
        <v>832.75152600000001</v>
      </c>
      <c r="H54" s="219">
        <v>860.81890899999996</v>
      </c>
      <c r="I54" s="219">
        <v>886.19397000000004</v>
      </c>
      <c r="J54" s="219">
        <v>910.27996800000005</v>
      </c>
      <c r="K54" s="219">
        <v>933.59338400000001</v>
      </c>
      <c r="L54" s="219">
        <v>958.60681199999999</v>
      </c>
      <c r="M54" s="219">
        <v>985.13653599999998</v>
      </c>
      <c r="N54" s="219">
        <v>1016.287231</v>
      </c>
      <c r="O54" s="219">
        <v>1056.3041989999999</v>
      </c>
      <c r="P54" s="219">
        <v>1097.25647</v>
      </c>
      <c r="Q54" s="219">
        <v>1139.1048579999999</v>
      </c>
      <c r="R54" s="219">
        <v>1181.6645510000001</v>
      </c>
      <c r="S54" s="219">
        <v>1224.9884030000001</v>
      </c>
      <c r="T54" s="219">
        <v>1269.2797849999999</v>
      </c>
      <c r="U54" s="219">
        <v>1314.854126</v>
      </c>
      <c r="V54" s="219">
        <v>1362.0289310000001</v>
      </c>
      <c r="W54" s="219">
        <v>1410.799683</v>
      </c>
      <c r="X54" s="219">
        <v>1460.9208980000001</v>
      </c>
      <c r="Y54" s="219">
        <v>1512.0900879999999</v>
      </c>
      <c r="Z54" s="219">
        <v>1563.967163</v>
      </c>
      <c r="AA54" s="219">
        <v>1616.494995</v>
      </c>
      <c r="AB54" s="219">
        <v>1669.8598629999999</v>
      </c>
      <c r="AC54" s="219">
        <v>1723.9567870000001</v>
      </c>
      <c r="AD54" s="219">
        <v>1778.476807</v>
      </c>
      <c r="AE54" s="219">
        <v>1833.0798339999999</v>
      </c>
      <c r="AF54" s="212">
        <v>3.4271000000000003E-2</v>
      </c>
      <c r="AG54" s="31"/>
    </row>
    <row r="55" spans="1:33">
      <c r="A55" s="30" t="s">
        <v>1181</v>
      </c>
      <c r="B55" s="210" t="s">
        <v>289</v>
      </c>
      <c r="C55" s="219">
        <v>301.593414</v>
      </c>
      <c r="D55" s="219">
        <v>295.895081</v>
      </c>
      <c r="E55" s="219">
        <v>314.64031999999997</v>
      </c>
      <c r="F55" s="219">
        <v>317.08633400000002</v>
      </c>
      <c r="G55" s="219">
        <v>322.56106599999998</v>
      </c>
      <c r="H55" s="219">
        <v>328.91992199999999</v>
      </c>
      <c r="I55" s="219">
        <v>336.129974</v>
      </c>
      <c r="J55" s="219">
        <v>348.12231400000002</v>
      </c>
      <c r="K55" s="219">
        <v>361.97113000000002</v>
      </c>
      <c r="L55" s="219">
        <v>375.96026599999999</v>
      </c>
      <c r="M55" s="219">
        <v>390.08624300000002</v>
      </c>
      <c r="N55" s="219">
        <v>404.29849200000001</v>
      </c>
      <c r="O55" s="219">
        <v>418.63696299999998</v>
      </c>
      <c r="P55" s="219">
        <v>433.19073500000002</v>
      </c>
      <c r="Q55" s="219">
        <v>447.922821</v>
      </c>
      <c r="R55" s="219">
        <v>462.71279900000002</v>
      </c>
      <c r="S55" s="219">
        <v>477.57046500000001</v>
      </c>
      <c r="T55" s="219">
        <v>492.59387199999998</v>
      </c>
      <c r="U55" s="219">
        <v>507.93145800000002</v>
      </c>
      <c r="V55" s="219">
        <v>523.75842299999999</v>
      </c>
      <c r="W55" s="219">
        <v>540.059753</v>
      </c>
      <c r="X55" s="219">
        <v>556.67987100000005</v>
      </c>
      <c r="Y55" s="219">
        <v>573.42907700000001</v>
      </c>
      <c r="Z55" s="219">
        <v>590.10095200000001</v>
      </c>
      <c r="AA55" s="219">
        <v>606.65582300000005</v>
      </c>
      <c r="AB55" s="219">
        <v>623.18804899999998</v>
      </c>
      <c r="AC55" s="219">
        <v>639.62396200000001</v>
      </c>
      <c r="AD55" s="219">
        <v>655.77099599999997</v>
      </c>
      <c r="AE55" s="219">
        <v>671.42730700000004</v>
      </c>
      <c r="AF55" s="212">
        <v>2.8996000000000001E-2</v>
      </c>
      <c r="AG55" s="31"/>
    </row>
    <row r="56" spans="1:33">
      <c r="A56" s="30" t="s">
        <v>1182</v>
      </c>
      <c r="B56" s="210" t="s">
        <v>299</v>
      </c>
      <c r="C56" s="219">
        <v>774.91711399999997</v>
      </c>
      <c r="D56" s="219">
        <v>768.29339600000003</v>
      </c>
      <c r="E56" s="219">
        <v>764.73290999999995</v>
      </c>
      <c r="F56" s="219">
        <v>778.03857400000004</v>
      </c>
      <c r="G56" s="219">
        <v>825.81585700000005</v>
      </c>
      <c r="H56" s="219">
        <v>870.64929199999995</v>
      </c>
      <c r="I56" s="219">
        <v>918.42169200000001</v>
      </c>
      <c r="J56" s="219">
        <v>971.06671100000005</v>
      </c>
      <c r="K56" s="219">
        <v>1026.44812</v>
      </c>
      <c r="L56" s="219">
        <v>1083.606567</v>
      </c>
      <c r="M56" s="219">
        <v>1142.3126219999999</v>
      </c>
      <c r="N56" s="219">
        <v>1202.0158690000001</v>
      </c>
      <c r="O56" s="219">
        <v>1262.122803</v>
      </c>
      <c r="P56" s="219">
        <v>1322.8093260000001</v>
      </c>
      <c r="Q56" s="219">
        <v>1385.2110600000001</v>
      </c>
      <c r="R56" s="219">
        <v>1454.5601810000001</v>
      </c>
      <c r="S56" s="219">
        <v>1525.713379</v>
      </c>
      <c r="T56" s="219">
        <v>1598.5498050000001</v>
      </c>
      <c r="U56" s="219">
        <v>1672.8598629999999</v>
      </c>
      <c r="V56" s="219">
        <v>1748.564453</v>
      </c>
      <c r="W56" s="219">
        <v>1825.5356449999999</v>
      </c>
      <c r="X56" s="219">
        <v>1903.6933590000001</v>
      </c>
      <c r="Y56" s="219">
        <v>1982.8089600000001</v>
      </c>
      <c r="Z56" s="219">
        <v>2062.6984859999998</v>
      </c>
      <c r="AA56" s="219">
        <v>2143.1623540000001</v>
      </c>
      <c r="AB56" s="219">
        <v>2223.9953609999998</v>
      </c>
      <c r="AC56" s="219">
        <v>2304.9533689999998</v>
      </c>
      <c r="AD56" s="219">
        <v>2385.7915039999998</v>
      </c>
      <c r="AE56" s="219">
        <v>2466.2854000000002</v>
      </c>
      <c r="AF56" s="212">
        <v>4.2214000000000002E-2</v>
      </c>
      <c r="AG56" s="31"/>
    </row>
    <row r="57" spans="1:33">
      <c r="A57" s="30" t="s">
        <v>1183</v>
      </c>
      <c r="B57" s="210" t="s">
        <v>287</v>
      </c>
      <c r="C57" s="219">
        <v>608.56921399999999</v>
      </c>
      <c r="D57" s="219">
        <v>603.60931400000004</v>
      </c>
      <c r="E57" s="219">
        <v>597.139771</v>
      </c>
      <c r="F57" s="219">
        <v>605.89227300000005</v>
      </c>
      <c r="G57" s="219">
        <v>641.84368900000004</v>
      </c>
      <c r="H57" s="219">
        <v>675.50701900000001</v>
      </c>
      <c r="I57" s="219">
        <v>710.96124299999997</v>
      </c>
      <c r="J57" s="219">
        <v>750.22021500000005</v>
      </c>
      <c r="K57" s="219">
        <v>791.62097200000005</v>
      </c>
      <c r="L57" s="219">
        <v>834.676331</v>
      </c>
      <c r="M57" s="219">
        <v>879.022156</v>
      </c>
      <c r="N57" s="219">
        <v>924.22381600000006</v>
      </c>
      <c r="O57" s="219">
        <v>969.81457499999999</v>
      </c>
      <c r="P57" s="219">
        <v>1015.923828</v>
      </c>
      <c r="Q57" s="219">
        <v>1062.9696039999999</v>
      </c>
      <c r="R57" s="219">
        <v>1116.5548100000001</v>
      </c>
      <c r="S57" s="219">
        <v>1171.5344239999999</v>
      </c>
      <c r="T57" s="219">
        <v>1227.8149410000001</v>
      </c>
      <c r="U57" s="219">
        <v>1285.2337649999999</v>
      </c>
      <c r="V57" s="219">
        <v>1343.7298579999999</v>
      </c>
      <c r="W57" s="219">
        <v>1403.2042240000001</v>
      </c>
      <c r="X57" s="219">
        <v>1463.5946039999999</v>
      </c>
      <c r="Y57" s="219">
        <v>1524.723755</v>
      </c>
      <c r="Z57" s="219">
        <v>1586.4490969999999</v>
      </c>
      <c r="AA57" s="219">
        <v>1648.616211</v>
      </c>
      <c r="AB57" s="219">
        <v>1711.065918</v>
      </c>
      <c r="AC57" s="219">
        <v>1773.6091309999999</v>
      </c>
      <c r="AD57" s="219">
        <v>1836.05603</v>
      </c>
      <c r="AE57" s="219">
        <v>1898.2326660000001</v>
      </c>
      <c r="AF57" s="212">
        <v>4.1464000000000001E-2</v>
      </c>
      <c r="AG57" s="31"/>
    </row>
    <row r="58" spans="1:33">
      <c r="A58" s="30" t="s">
        <v>1184</v>
      </c>
      <c r="B58" s="210" t="s">
        <v>288</v>
      </c>
      <c r="C58" s="219">
        <v>52.231566999999998</v>
      </c>
      <c r="D58" s="219">
        <v>51.949814000000003</v>
      </c>
      <c r="E58" s="219">
        <v>54.070957</v>
      </c>
      <c r="F58" s="219">
        <v>58.484687999999998</v>
      </c>
      <c r="G58" s="219">
        <v>62.701180000000001</v>
      </c>
      <c r="H58" s="219">
        <v>65.006927000000005</v>
      </c>
      <c r="I58" s="219">
        <v>67.098465000000004</v>
      </c>
      <c r="J58" s="219">
        <v>69.922432000000001</v>
      </c>
      <c r="K58" s="219">
        <v>73.083709999999996</v>
      </c>
      <c r="L58" s="219">
        <v>76.195869000000002</v>
      </c>
      <c r="M58" s="219">
        <v>79.452858000000006</v>
      </c>
      <c r="N58" s="219">
        <v>82.816260999999997</v>
      </c>
      <c r="O58" s="219">
        <v>86.246093999999999</v>
      </c>
      <c r="P58" s="219">
        <v>89.745720000000006</v>
      </c>
      <c r="Q58" s="219">
        <v>93.928413000000006</v>
      </c>
      <c r="R58" s="219">
        <v>98.213973999999993</v>
      </c>
      <c r="S58" s="219">
        <v>102.60317999999999</v>
      </c>
      <c r="T58" s="219">
        <v>107.08957700000001</v>
      </c>
      <c r="U58" s="219">
        <v>111.664528</v>
      </c>
      <c r="V58" s="219">
        <v>116.322639</v>
      </c>
      <c r="W58" s="219">
        <v>121.057312</v>
      </c>
      <c r="X58" s="219">
        <v>125.865196</v>
      </c>
      <c r="Y58" s="219">
        <v>130.73493999999999</v>
      </c>
      <c r="Z58" s="219">
        <v>135.65770000000001</v>
      </c>
      <c r="AA58" s="219">
        <v>140.623108</v>
      </c>
      <c r="AB58" s="219">
        <v>145.62043800000001</v>
      </c>
      <c r="AC58" s="219">
        <v>150.63755800000001</v>
      </c>
      <c r="AD58" s="219">
        <v>155.66235399999999</v>
      </c>
      <c r="AE58" s="219">
        <v>160.68379200000001</v>
      </c>
      <c r="AF58" s="212">
        <v>4.095E-2</v>
      </c>
      <c r="AG58" s="31"/>
    </row>
    <row r="59" spans="1:33">
      <c r="A59" s="30" t="s">
        <v>1185</v>
      </c>
      <c r="B59" s="210" t="s">
        <v>289</v>
      </c>
      <c r="C59" s="219">
        <v>114.11634100000001</v>
      </c>
      <c r="D59" s="219">
        <v>112.73427599999999</v>
      </c>
      <c r="E59" s="219">
        <v>113.52216300000001</v>
      </c>
      <c r="F59" s="219">
        <v>113.661636</v>
      </c>
      <c r="G59" s="219">
        <v>121.270988</v>
      </c>
      <c r="H59" s="219">
        <v>130.13536099999999</v>
      </c>
      <c r="I59" s="219">
        <v>140.36199999999999</v>
      </c>
      <c r="J59" s="219">
        <v>150.92408800000001</v>
      </c>
      <c r="K59" s="219">
        <v>161.74336199999999</v>
      </c>
      <c r="L59" s="219">
        <v>172.734421</v>
      </c>
      <c r="M59" s="219">
        <v>183.837616</v>
      </c>
      <c r="N59" s="219">
        <v>194.97575399999999</v>
      </c>
      <c r="O59" s="219">
        <v>206.06214900000001</v>
      </c>
      <c r="P59" s="219">
        <v>217.139816</v>
      </c>
      <c r="Q59" s="219">
        <v>228.31294299999999</v>
      </c>
      <c r="R59" s="219">
        <v>239.791382</v>
      </c>
      <c r="S59" s="219">
        <v>251.57586699999999</v>
      </c>
      <c r="T59" s="219">
        <v>263.64529399999998</v>
      </c>
      <c r="U59" s="219">
        <v>275.96154799999999</v>
      </c>
      <c r="V59" s="219">
        <v>288.51196299999998</v>
      </c>
      <c r="W59" s="219">
        <v>301.27423099999999</v>
      </c>
      <c r="X59" s="219">
        <v>314.23358200000001</v>
      </c>
      <c r="Y59" s="219">
        <v>327.350189</v>
      </c>
      <c r="Z59" s="219">
        <v>340.59161399999999</v>
      </c>
      <c r="AA59" s="219">
        <v>353.92303500000003</v>
      </c>
      <c r="AB59" s="219">
        <v>367.30886800000002</v>
      </c>
      <c r="AC59" s="219">
        <v>380.70669600000002</v>
      </c>
      <c r="AD59" s="219">
        <v>394.073151</v>
      </c>
      <c r="AE59" s="219">
        <v>407.36892699999999</v>
      </c>
      <c r="AF59" s="212">
        <v>4.6495000000000002E-2</v>
      </c>
      <c r="AG59" s="31"/>
    </row>
    <row r="60" spans="1:33">
      <c r="A60" s="30" t="s">
        <v>1186</v>
      </c>
      <c r="B60" s="210" t="s">
        <v>300</v>
      </c>
      <c r="C60" s="219">
        <v>2422.461182</v>
      </c>
      <c r="D60" s="219">
        <v>2403.8427729999999</v>
      </c>
      <c r="E60" s="219">
        <v>2484.544922</v>
      </c>
      <c r="F60" s="219">
        <v>2535.189453</v>
      </c>
      <c r="G60" s="219">
        <v>2677.6083979999999</v>
      </c>
      <c r="H60" s="219">
        <v>2765.7629390000002</v>
      </c>
      <c r="I60" s="219">
        <v>2871.211182</v>
      </c>
      <c r="J60" s="219">
        <v>2963.2067870000001</v>
      </c>
      <c r="K60" s="219">
        <v>3057.7136230000001</v>
      </c>
      <c r="L60" s="219">
        <v>3156.2983399999998</v>
      </c>
      <c r="M60" s="219">
        <v>3259.5288089999999</v>
      </c>
      <c r="N60" s="219">
        <v>3367.3149410000001</v>
      </c>
      <c r="O60" s="219">
        <v>3479.9047850000002</v>
      </c>
      <c r="P60" s="219">
        <v>3598.414307</v>
      </c>
      <c r="Q60" s="219">
        <v>3728.743164</v>
      </c>
      <c r="R60" s="219">
        <v>3863.0517580000001</v>
      </c>
      <c r="S60" s="219">
        <v>4001.6860350000002</v>
      </c>
      <c r="T60" s="219">
        <v>4144.5512699999999</v>
      </c>
      <c r="U60" s="219">
        <v>4292.0288090000004</v>
      </c>
      <c r="V60" s="219">
        <v>4441.8955079999996</v>
      </c>
      <c r="W60" s="219">
        <v>4595.4902339999999</v>
      </c>
      <c r="X60" s="219">
        <v>4753.0302730000003</v>
      </c>
      <c r="Y60" s="219">
        <v>4914.658203</v>
      </c>
      <c r="Z60" s="219">
        <v>5080.1923829999996</v>
      </c>
      <c r="AA60" s="219">
        <v>5245.4790039999998</v>
      </c>
      <c r="AB60" s="219">
        <v>5413.6181640000004</v>
      </c>
      <c r="AC60" s="219">
        <v>5585.7260740000002</v>
      </c>
      <c r="AD60" s="219">
        <v>5762.1835940000001</v>
      </c>
      <c r="AE60" s="219">
        <v>5943.4619140000004</v>
      </c>
      <c r="AF60" s="212">
        <v>3.2572999999999998E-2</v>
      </c>
      <c r="AG60" s="31"/>
    </row>
    <row r="61" spans="1:33">
      <c r="A61" s="30" t="s">
        <v>1187</v>
      </c>
      <c r="B61" s="210" t="s">
        <v>287</v>
      </c>
      <c r="C61" s="219">
        <v>1233.3013920000001</v>
      </c>
      <c r="D61" s="219">
        <v>1224.104126</v>
      </c>
      <c r="E61" s="219">
        <v>1281.5924070000001</v>
      </c>
      <c r="F61" s="219">
        <v>1308.4814449999999</v>
      </c>
      <c r="G61" s="219">
        <v>1389.5876459999999</v>
      </c>
      <c r="H61" s="219">
        <v>1442.8294679999999</v>
      </c>
      <c r="I61" s="219">
        <v>1509.2680660000001</v>
      </c>
      <c r="J61" s="219">
        <v>1570.1552730000001</v>
      </c>
      <c r="K61" s="219">
        <v>1631.6839600000001</v>
      </c>
      <c r="L61" s="219">
        <v>1694.868774</v>
      </c>
      <c r="M61" s="219">
        <v>1760.072144</v>
      </c>
      <c r="N61" s="219">
        <v>1827.2969969999999</v>
      </c>
      <c r="O61" s="219">
        <v>1896.733643</v>
      </c>
      <c r="P61" s="219">
        <v>1968.550293</v>
      </c>
      <c r="Q61" s="219">
        <v>2041.873169</v>
      </c>
      <c r="R61" s="219">
        <v>2117.439453</v>
      </c>
      <c r="S61" s="219">
        <v>2195.4516600000002</v>
      </c>
      <c r="T61" s="219">
        <v>2275.8540039999998</v>
      </c>
      <c r="U61" s="219">
        <v>2358.866943</v>
      </c>
      <c r="V61" s="219">
        <v>2443.226807</v>
      </c>
      <c r="W61" s="219">
        <v>2529.6801759999998</v>
      </c>
      <c r="X61" s="219">
        <v>2618.351807</v>
      </c>
      <c r="Y61" s="219">
        <v>2709.3227539999998</v>
      </c>
      <c r="Z61" s="219">
        <v>2802.4846189999998</v>
      </c>
      <c r="AA61" s="219">
        <v>2895.4592290000001</v>
      </c>
      <c r="AB61" s="219">
        <v>2990.0065920000002</v>
      </c>
      <c r="AC61" s="219">
        <v>3086.7780760000001</v>
      </c>
      <c r="AD61" s="219">
        <v>3185.9946289999998</v>
      </c>
      <c r="AE61" s="219">
        <v>3287.9323730000001</v>
      </c>
      <c r="AF61" s="212">
        <v>3.5640999999999999E-2</v>
      </c>
      <c r="AG61" s="31"/>
    </row>
    <row r="62" spans="1:33">
      <c r="A62" s="30" t="s">
        <v>1188</v>
      </c>
      <c r="B62" s="210" t="s">
        <v>288</v>
      </c>
      <c r="C62" s="219">
        <v>657.39782700000001</v>
      </c>
      <c r="D62" s="219">
        <v>654.79388400000005</v>
      </c>
      <c r="E62" s="219">
        <v>658.53247099999999</v>
      </c>
      <c r="F62" s="219">
        <v>686.114014</v>
      </c>
      <c r="G62" s="219">
        <v>723.33544900000004</v>
      </c>
      <c r="H62" s="219">
        <v>740.81671100000005</v>
      </c>
      <c r="I62" s="219">
        <v>756.37115500000004</v>
      </c>
      <c r="J62" s="219">
        <v>762.24163799999997</v>
      </c>
      <c r="K62" s="219">
        <v>769.76165800000001</v>
      </c>
      <c r="L62" s="219">
        <v>778.96453899999995</v>
      </c>
      <c r="M62" s="219">
        <v>789.93981900000006</v>
      </c>
      <c r="N62" s="219">
        <v>802.59716800000001</v>
      </c>
      <c r="O62" s="219">
        <v>816.90594499999997</v>
      </c>
      <c r="P62" s="219">
        <v>833.73852499999998</v>
      </c>
      <c r="Q62" s="219">
        <v>860.23303199999998</v>
      </c>
      <c r="R62" s="219">
        <v>887.51733400000001</v>
      </c>
      <c r="S62" s="219">
        <v>915.63934300000005</v>
      </c>
      <c r="T62" s="219">
        <v>944.59045400000002</v>
      </c>
      <c r="U62" s="219">
        <v>974.42956500000003</v>
      </c>
      <c r="V62" s="219">
        <v>1004.7432250000001</v>
      </c>
      <c r="W62" s="219">
        <v>1035.8229980000001</v>
      </c>
      <c r="X62" s="219">
        <v>1067.706543</v>
      </c>
      <c r="Y62" s="219">
        <v>1100.419678</v>
      </c>
      <c r="Z62" s="219">
        <v>1133.94397</v>
      </c>
      <c r="AA62" s="219">
        <v>1167.555908</v>
      </c>
      <c r="AB62" s="219">
        <v>1201.8382570000001</v>
      </c>
      <c r="AC62" s="219">
        <v>1236.949707</v>
      </c>
      <c r="AD62" s="219">
        <v>1272.9492190000001</v>
      </c>
      <c r="AE62" s="219">
        <v>1309.9025879999999</v>
      </c>
      <c r="AF62" s="212">
        <v>2.4927999999999999E-2</v>
      </c>
      <c r="AG62" s="31"/>
    </row>
    <row r="63" spans="1:33">
      <c r="A63" s="30" t="s">
        <v>1189</v>
      </c>
      <c r="B63" s="210" t="s">
        <v>289</v>
      </c>
      <c r="C63" s="219">
        <v>531.762024</v>
      </c>
      <c r="D63" s="219">
        <v>524.94470200000001</v>
      </c>
      <c r="E63" s="219">
        <v>544.42016599999999</v>
      </c>
      <c r="F63" s="219">
        <v>540.59411599999999</v>
      </c>
      <c r="G63" s="219">
        <v>564.68536400000005</v>
      </c>
      <c r="H63" s="219">
        <v>582.11676</v>
      </c>
      <c r="I63" s="219">
        <v>605.57202099999995</v>
      </c>
      <c r="J63" s="219">
        <v>630.80981399999996</v>
      </c>
      <c r="K63" s="219">
        <v>656.26800500000002</v>
      </c>
      <c r="L63" s="219">
        <v>682.46508800000004</v>
      </c>
      <c r="M63" s="219">
        <v>709.51696800000002</v>
      </c>
      <c r="N63" s="219">
        <v>737.42077600000005</v>
      </c>
      <c r="O63" s="219">
        <v>766.26501499999995</v>
      </c>
      <c r="P63" s="219">
        <v>796.12542699999995</v>
      </c>
      <c r="Q63" s="219">
        <v>826.637024</v>
      </c>
      <c r="R63" s="219">
        <v>858.09491000000003</v>
      </c>
      <c r="S63" s="219">
        <v>890.59491000000003</v>
      </c>
      <c r="T63" s="219">
        <v>924.10687299999995</v>
      </c>
      <c r="U63" s="219">
        <v>958.73242200000004</v>
      </c>
      <c r="V63" s="219">
        <v>993.92578100000003</v>
      </c>
      <c r="W63" s="219">
        <v>1029.986938</v>
      </c>
      <c r="X63" s="219">
        <v>1066.972168</v>
      </c>
      <c r="Y63" s="219">
        <v>1104.9155270000001</v>
      </c>
      <c r="Z63" s="219">
        <v>1143.7635499999999</v>
      </c>
      <c r="AA63" s="219">
        <v>1182.463745</v>
      </c>
      <c r="AB63" s="219">
        <v>1221.773682</v>
      </c>
      <c r="AC63" s="219">
        <v>1261.998413</v>
      </c>
      <c r="AD63" s="219">
        <v>1303.239624</v>
      </c>
      <c r="AE63" s="219">
        <v>1345.6267089999999</v>
      </c>
      <c r="AF63" s="212">
        <v>3.3714000000000001E-2</v>
      </c>
      <c r="AG63" s="31"/>
    </row>
    <row r="64" spans="1:33">
      <c r="A64" s="30" t="s">
        <v>1190</v>
      </c>
      <c r="B64" s="210" t="s">
        <v>301</v>
      </c>
      <c r="C64" s="219">
        <v>1597.1236570000001</v>
      </c>
      <c r="D64" s="219">
        <v>1591.389404</v>
      </c>
      <c r="E64" s="219">
        <v>1640.6396480000001</v>
      </c>
      <c r="F64" s="219">
        <v>1756.101318</v>
      </c>
      <c r="G64" s="219">
        <v>1818.8460689999999</v>
      </c>
      <c r="H64" s="219">
        <v>1851.6521</v>
      </c>
      <c r="I64" s="219">
        <v>1886.1179199999999</v>
      </c>
      <c r="J64" s="219">
        <v>1911.7062989999999</v>
      </c>
      <c r="K64" s="219">
        <v>1942.7021480000001</v>
      </c>
      <c r="L64" s="219">
        <v>1977.3397219999999</v>
      </c>
      <c r="M64" s="219">
        <v>2026.0280760000001</v>
      </c>
      <c r="N64" s="219">
        <v>2080.0947270000001</v>
      </c>
      <c r="O64" s="219">
        <v>2138.1757809999999</v>
      </c>
      <c r="P64" s="219">
        <v>2200.2983399999998</v>
      </c>
      <c r="Q64" s="219">
        <v>2265.561768</v>
      </c>
      <c r="R64" s="219">
        <v>2342.5532229999999</v>
      </c>
      <c r="S64" s="219">
        <v>2422.474365</v>
      </c>
      <c r="T64" s="219">
        <v>2505.2758789999998</v>
      </c>
      <c r="U64" s="219">
        <v>2591.001221</v>
      </c>
      <c r="V64" s="219">
        <v>2679.5126949999999</v>
      </c>
      <c r="W64" s="219">
        <v>2770.998779</v>
      </c>
      <c r="X64" s="219">
        <v>2865.5375979999999</v>
      </c>
      <c r="Y64" s="219">
        <v>2963.1970209999999</v>
      </c>
      <c r="Z64" s="219">
        <v>3064.0649410000001</v>
      </c>
      <c r="AA64" s="219">
        <v>3167.2495119999999</v>
      </c>
      <c r="AB64" s="219">
        <v>3276.900635</v>
      </c>
      <c r="AC64" s="219">
        <v>3391.7421880000002</v>
      </c>
      <c r="AD64" s="219">
        <v>3510.6784670000002</v>
      </c>
      <c r="AE64" s="219">
        <v>3633.8305660000001</v>
      </c>
      <c r="AF64" s="212">
        <v>2.9794999999999999E-2</v>
      </c>
      <c r="AG64" s="31"/>
    </row>
    <row r="65" spans="1:33">
      <c r="A65" s="30" t="s">
        <v>1191</v>
      </c>
      <c r="B65" s="210" t="s">
        <v>287</v>
      </c>
      <c r="C65" s="219">
        <v>627.44543499999997</v>
      </c>
      <c r="D65" s="219">
        <v>624.08117700000003</v>
      </c>
      <c r="E65" s="219">
        <v>652.27984600000002</v>
      </c>
      <c r="F65" s="219">
        <v>698.03772000000004</v>
      </c>
      <c r="G65" s="219">
        <v>718.38330099999996</v>
      </c>
      <c r="H65" s="219">
        <v>728.02087400000005</v>
      </c>
      <c r="I65" s="219">
        <v>738.82153300000004</v>
      </c>
      <c r="J65" s="219">
        <v>747.05450399999995</v>
      </c>
      <c r="K65" s="219">
        <v>757.58111599999995</v>
      </c>
      <c r="L65" s="219">
        <v>769.64556900000002</v>
      </c>
      <c r="M65" s="219">
        <v>792.69946300000004</v>
      </c>
      <c r="N65" s="219">
        <v>818.07269299999996</v>
      </c>
      <c r="O65" s="219">
        <v>844.54199200000005</v>
      </c>
      <c r="P65" s="219">
        <v>872.17761199999995</v>
      </c>
      <c r="Q65" s="219">
        <v>900.712219</v>
      </c>
      <c r="R65" s="219">
        <v>930.41021699999999</v>
      </c>
      <c r="S65" s="219">
        <v>961.29730199999995</v>
      </c>
      <c r="T65" s="219">
        <v>993.35949700000003</v>
      </c>
      <c r="U65" s="219">
        <v>1026.6259769999999</v>
      </c>
      <c r="V65" s="219">
        <v>1061.3823239999999</v>
      </c>
      <c r="W65" s="219">
        <v>1097.3851320000001</v>
      </c>
      <c r="X65" s="219">
        <v>1134.6779790000001</v>
      </c>
      <c r="Y65" s="219">
        <v>1173.290894</v>
      </c>
      <c r="Z65" s="219">
        <v>1213.2707519999999</v>
      </c>
      <c r="AA65" s="219">
        <v>1254.2749020000001</v>
      </c>
      <c r="AB65" s="219">
        <v>1296.6667480000001</v>
      </c>
      <c r="AC65" s="219">
        <v>1340.506836</v>
      </c>
      <c r="AD65" s="219">
        <v>1385.829956</v>
      </c>
      <c r="AE65" s="219">
        <v>1432.6805420000001</v>
      </c>
      <c r="AF65" s="212">
        <v>2.9926000000000001E-2</v>
      </c>
      <c r="AG65" s="31"/>
    </row>
    <row r="66" spans="1:33">
      <c r="A66" s="30" t="s">
        <v>1192</v>
      </c>
      <c r="B66" s="210" t="s">
        <v>288</v>
      </c>
      <c r="C66" s="219">
        <v>825.44860800000004</v>
      </c>
      <c r="D66" s="219">
        <v>819.13842799999998</v>
      </c>
      <c r="E66" s="219">
        <v>814.13549799999998</v>
      </c>
      <c r="F66" s="219">
        <v>867.21343999999999</v>
      </c>
      <c r="G66" s="219">
        <v>905.22576900000001</v>
      </c>
      <c r="H66" s="219">
        <v>922.63647500000002</v>
      </c>
      <c r="I66" s="219">
        <v>940.29821800000002</v>
      </c>
      <c r="J66" s="219">
        <v>951.64843800000006</v>
      </c>
      <c r="K66" s="219">
        <v>965.87914999999998</v>
      </c>
      <c r="L66" s="219">
        <v>982.10546899999997</v>
      </c>
      <c r="M66" s="219">
        <v>1001.234924</v>
      </c>
      <c r="N66" s="219">
        <v>1023.194702</v>
      </c>
      <c r="O66" s="219">
        <v>1047.825317</v>
      </c>
      <c r="P66" s="219">
        <v>1075.0554199999999</v>
      </c>
      <c r="Q66" s="219">
        <v>1104.3100589999999</v>
      </c>
      <c r="R66" s="219">
        <v>1143.8754879999999</v>
      </c>
      <c r="S66" s="219">
        <v>1184.925659</v>
      </c>
      <c r="T66" s="219">
        <v>1227.4458010000001</v>
      </c>
      <c r="U66" s="219">
        <v>1271.4476320000001</v>
      </c>
      <c r="V66" s="219">
        <v>1316.5389399999999</v>
      </c>
      <c r="W66" s="219">
        <v>1363.114014</v>
      </c>
      <c r="X66" s="219">
        <v>1411.1958010000001</v>
      </c>
      <c r="Y66" s="219">
        <v>1460.8192140000001</v>
      </c>
      <c r="Z66" s="219">
        <v>1512.0169679999999</v>
      </c>
      <c r="AA66" s="219">
        <v>1564.3043210000001</v>
      </c>
      <c r="AB66" s="219">
        <v>1621.411255</v>
      </c>
      <c r="AC66" s="219">
        <v>1681.9835210000001</v>
      </c>
      <c r="AD66" s="219">
        <v>1744.885986</v>
      </c>
      <c r="AE66" s="219">
        <v>1810.187134</v>
      </c>
      <c r="AF66" s="212">
        <v>2.8441999999999999E-2</v>
      </c>
      <c r="AG66" s="31"/>
    </row>
    <row r="67" spans="1:33">
      <c r="A67" s="30" t="s">
        <v>1193</v>
      </c>
      <c r="B67" s="210" t="s">
        <v>289</v>
      </c>
      <c r="C67" s="219">
        <v>144.229645</v>
      </c>
      <c r="D67" s="219">
        <v>148.169861</v>
      </c>
      <c r="E67" s="219">
        <v>174.22431900000001</v>
      </c>
      <c r="F67" s="219">
        <v>190.85011299999999</v>
      </c>
      <c r="G67" s="219">
        <v>195.23698400000001</v>
      </c>
      <c r="H67" s="219">
        <v>200.994766</v>
      </c>
      <c r="I67" s="219">
        <v>206.99812299999999</v>
      </c>
      <c r="J67" s="219">
        <v>213.00337200000001</v>
      </c>
      <c r="K67" s="219">
        <v>219.24191300000001</v>
      </c>
      <c r="L67" s="219">
        <v>225.588776</v>
      </c>
      <c r="M67" s="219">
        <v>232.09375</v>
      </c>
      <c r="N67" s="219">
        <v>238.82742300000001</v>
      </c>
      <c r="O67" s="219">
        <v>245.808594</v>
      </c>
      <c r="P67" s="219">
        <v>253.065201</v>
      </c>
      <c r="Q67" s="219">
        <v>260.53964200000001</v>
      </c>
      <c r="R67" s="219">
        <v>268.26748700000002</v>
      </c>
      <c r="S67" s="219">
        <v>276.25143400000002</v>
      </c>
      <c r="T67" s="219">
        <v>284.47061200000002</v>
      </c>
      <c r="U67" s="219">
        <v>292.92742900000002</v>
      </c>
      <c r="V67" s="219">
        <v>301.591339</v>
      </c>
      <c r="W67" s="219">
        <v>310.499664</v>
      </c>
      <c r="X67" s="219">
        <v>319.66375699999998</v>
      </c>
      <c r="Y67" s="219">
        <v>329.086975</v>
      </c>
      <c r="Z67" s="219">
        <v>338.77734400000003</v>
      </c>
      <c r="AA67" s="219">
        <v>348.67047100000002</v>
      </c>
      <c r="AB67" s="219">
        <v>358.82257099999998</v>
      </c>
      <c r="AC67" s="219">
        <v>369.25192299999998</v>
      </c>
      <c r="AD67" s="219">
        <v>379.96264600000001</v>
      </c>
      <c r="AE67" s="219">
        <v>390.96298200000001</v>
      </c>
      <c r="AF67" s="212">
        <v>3.6255999999999997E-2</v>
      </c>
      <c r="AG67" s="31"/>
    </row>
    <row r="68" spans="1:33">
      <c r="A68" s="30" t="s">
        <v>1194</v>
      </c>
      <c r="B68" s="209" t="s">
        <v>153</v>
      </c>
      <c r="C68" s="222">
        <v>1278.578125</v>
      </c>
      <c r="D68" s="222">
        <v>1353.916504</v>
      </c>
      <c r="E68" s="222">
        <v>1480.8450929999999</v>
      </c>
      <c r="F68" s="222">
        <v>1532.908203</v>
      </c>
      <c r="G68" s="222">
        <v>1594.940308</v>
      </c>
      <c r="H68" s="222">
        <v>1637.217163</v>
      </c>
      <c r="I68" s="222">
        <v>1683.996948</v>
      </c>
      <c r="J68" s="222">
        <v>1741.565186</v>
      </c>
      <c r="K68" s="222">
        <v>1802.2414550000001</v>
      </c>
      <c r="L68" s="222">
        <v>1865.9837649999999</v>
      </c>
      <c r="M68" s="222">
        <v>1934.3267820000001</v>
      </c>
      <c r="N68" s="222">
        <v>2005.2375489999999</v>
      </c>
      <c r="O68" s="222">
        <v>2078.7006839999999</v>
      </c>
      <c r="P68" s="222">
        <v>2154.7143550000001</v>
      </c>
      <c r="Q68" s="222">
        <v>2234.1352539999998</v>
      </c>
      <c r="R68" s="222">
        <v>2316.3398440000001</v>
      </c>
      <c r="S68" s="222">
        <v>2401.2246089999999</v>
      </c>
      <c r="T68" s="222">
        <v>2488.7795409999999</v>
      </c>
      <c r="U68" s="222">
        <v>2579.0349120000001</v>
      </c>
      <c r="V68" s="222">
        <v>2672.8364259999998</v>
      </c>
      <c r="W68" s="222">
        <v>2769.508057</v>
      </c>
      <c r="X68" s="222">
        <v>2868.9941410000001</v>
      </c>
      <c r="Y68" s="222">
        <v>2971.3325199999999</v>
      </c>
      <c r="Z68" s="222">
        <v>3076.6308589999999</v>
      </c>
      <c r="AA68" s="222">
        <v>3185.580078</v>
      </c>
      <c r="AB68" s="222">
        <v>3297.5820309999999</v>
      </c>
      <c r="AC68" s="222">
        <v>3412.6123050000001</v>
      </c>
      <c r="AD68" s="222">
        <v>3530.7048340000001</v>
      </c>
      <c r="AE68" s="222">
        <v>3651.9643550000001</v>
      </c>
      <c r="AF68" s="214">
        <v>3.8193999999999999E-2</v>
      </c>
      <c r="AG68" s="31"/>
    </row>
    <row r="69" spans="1:33">
      <c r="A69" s="29"/>
      <c r="B69" s="31"/>
      <c r="C69" s="31"/>
      <c r="D69" s="31"/>
      <c r="E69" s="31"/>
      <c r="F69" s="31"/>
      <c r="G69" s="31"/>
      <c r="H69" s="31"/>
      <c r="I69" s="31"/>
      <c r="J69" s="31"/>
      <c r="K69" s="31"/>
      <c r="L69" s="31"/>
      <c r="M69" s="31"/>
      <c r="N69" s="31"/>
      <c r="O69" s="31"/>
      <c r="P69" s="31"/>
      <c r="Q69" s="31"/>
      <c r="R69" s="31"/>
      <c r="S69" s="31"/>
      <c r="T69" s="31"/>
      <c r="U69" s="31"/>
      <c r="V69" s="31"/>
      <c r="W69" s="31"/>
      <c r="X69" s="31"/>
      <c r="Y69" s="31"/>
      <c r="Z69" s="31"/>
      <c r="AA69" s="31"/>
      <c r="AB69" s="31"/>
      <c r="AC69" s="31"/>
      <c r="AD69" s="31"/>
      <c r="AE69" s="31"/>
      <c r="AF69" s="31"/>
      <c r="AG69" s="31"/>
    </row>
    <row r="70" spans="1:33">
      <c r="A70" s="29"/>
      <c r="B70" s="31"/>
      <c r="C70" s="31"/>
      <c r="D70" s="31"/>
      <c r="E70" s="31"/>
      <c r="F70" s="31"/>
      <c r="G70" s="31"/>
      <c r="H70" s="31"/>
      <c r="I70" s="31"/>
      <c r="J70" s="31"/>
      <c r="K70" s="31"/>
      <c r="L70" s="31"/>
      <c r="M70" s="31"/>
      <c r="N70" s="31"/>
      <c r="O70" s="31"/>
      <c r="P70" s="31"/>
      <c r="Q70" s="31"/>
      <c r="R70" s="31"/>
      <c r="S70" s="31"/>
      <c r="T70" s="31"/>
      <c r="U70" s="31"/>
      <c r="V70" s="31"/>
      <c r="W70" s="31"/>
      <c r="X70" s="31"/>
      <c r="Y70" s="31"/>
      <c r="Z70" s="31"/>
      <c r="AA70" s="31"/>
      <c r="AB70" s="31"/>
      <c r="AC70" s="31"/>
      <c r="AD70" s="31"/>
      <c r="AE70" s="31"/>
      <c r="AF70" s="31"/>
      <c r="AG70" s="31"/>
    </row>
    <row r="71" spans="1:33">
      <c r="A71" s="29"/>
      <c r="B71" s="209" t="s">
        <v>1195</v>
      </c>
      <c r="C71" s="31"/>
      <c r="D71" s="31"/>
      <c r="E71" s="31"/>
      <c r="F71" s="31"/>
      <c r="G71" s="31"/>
      <c r="H71" s="31"/>
      <c r="I71" s="31"/>
      <c r="J71" s="31"/>
      <c r="K71" s="31"/>
      <c r="L71" s="31"/>
      <c r="M71" s="31"/>
      <c r="N71" s="31"/>
      <c r="O71" s="31"/>
      <c r="P71" s="31"/>
      <c r="Q71" s="31"/>
      <c r="R71" s="31"/>
      <c r="S71" s="31"/>
      <c r="T71" s="31"/>
      <c r="U71" s="31"/>
      <c r="V71" s="31"/>
      <c r="W71" s="31"/>
      <c r="X71" s="31"/>
      <c r="Y71" s="31"/>
      <c r="Z71" s="31"/>
      <c r="AA71" s="31"/>
      <c r="AB71" s="31"/>
      <c r="AC71" s="31"/>
      <c r="AD71" s="31"/>
      <c r="AE71" s="31"/>
      <c r="AF71" s="31"/>
      <c r="AG71" s="31"/>
    </row>
    <row r="72" spans="1:33" s="277" customFormat="1">
      <c r="A72" s="272" t="s">
        <v>1196</v>
      </c>
      <c r="B72" s="273" t="s">
        <v>286</v>
      </c>
      <c r="C72" s="274">
        <v>554.21826199999998</v>
      </c>
      <c r="D72" s="274">
        <v>558.18225099999995</v>
      </c>
      <c r="E72" s="274">
        <v>616.61242700000003</v>
      </c>
      <c r="F72" s="274">
        <v>642.00720200000001</v>
      </c>
      <c r="G72" s="274">
        <v>677.56213400000001</v>
      </c>
      <c r="H72" s="274">
        <v>703.04217500000004</v>
      </c>
      <c r="I72" s="274">
        <v>726.45831299999998</v>
      </c>
      <c r="J72" s="274">
        <v>751.31414800000005</v>
      </c>
      <c r="K72" s="274">
        <v>777.54492200000004</v>
      </c>
      <c r="L72" s="274">
        <v>805.10766599999999</v>
      </c>
      <c r="M72" s="274">
        <v>833.80895999999996</v>
      </c>
      <c r="N72" s="274">
        <v>863.57214399999998</v>
      </c>
      <c r="O72" s="274">
        <v>894.38806199999999</v>
      </c>
      <c r="P72" s="274">
        <v>926.25329599999998</v>
      </c>
      <c r="Q72" s="274">
        <v>959.52636700000005</v>
      </c>
      <c r="R72" s="274">
        <v>993.94397000000004</v>
      </c>
      <c r="S72" s="274">
        <v>1029.4589840000001</v>
      </c>
      <c r="T72" s="274">
        <v>1066.0639650000001</v>
      </c>
      <c r="U72" s="274">
        <v>1103.774658</v>
      </c>
      <c r="V72" s="274">
        <v>1142.943237</v>
      </c>
      <c r="W72" s="274">
        <v>1183.2827150000001</v>
      </c>
      <c r="X72" s="274">
        <v>1224.766357</v>
      </c>
      <c r="Y72" s="274">
        <v>1267.4079589999999</v>
      </c>
      <c r="Z72" s="274">
        <v>1311.251831</v>
      </c>
      <c r="AA72" s="274">
        <v>1356.5870359999999</v>
      </c>
      <c r="AB72" s="274">
        <v>1403.1583250000001</v>
      </c>
      <c r="AC72" s="274">
        <v>1450.9521480000001</v>
      </c>
      <c r="AD72" s="274">
        <v>1499.9804690000001</v>
      </c>
      <c r="AE72" s="274">
        <v>1550.2852780000001</v>
      </c>
      <c r="AF72" s="275">
        <v>3.7420000000000002E-2</v>
      </c>
      <c r="AG72" s="276"/>
    </row>
    <row r="73" spans="1:33">
      <c r="A73" s="30" t="s">
        <v>1197</v>
      </c>
      <c r="B73" s="210" t="s">
        <v>287</v>
      </c>
      <c r="C73" s="219">
        <v>209.65748600000001</v>
      </c>
      <c r="D73" s="219">
        <v>207.417496</v>
      </c>
      <c r="E73" s="219">
        <v>218.458527</v>
      </c>
      <c r="F73" s="219">
        <v>226.53890999999999</v>
      </c>
      <c r="G73" s="219">
        <v>235.83163500000001</v>
      </c>
      <c r="H73" s="219">
        <v>240.06748999999999</v>
      </c>
      <c r="I73" s="219">
        <v>246.85766599999999</v>
      </c>
      <c r="J73" s="219">
        <v>255.55560299999999</v>
      </c>
      <c r="K73" s="219">
        <v>264.66421500000001</v>
      </c>
      <c r="L73" s="219">
        <v>274.15472399999999</v>
      </c>
      <c r="M73" s="219">
        <v>283.97366299999999</v>
      </c>
      <c r="N73" s="219">
        <v>294.095032</v>
      </c>
      <c r="O73" s="219">
        <v>304.51745599999998</v>
      </c>
      <c r="P73" s="219">
        <v>315.24044800000001</v>
      </c>
      <c r="Q73" s="219">
        <v>326.38293499999997</v>
      </c>
      <c r="R73" s="219">
        <v>337.86129799999998</v>
      </c>
      <c r="S73" s="219">
        <v>349.65744000000001</v>
      </c>
      <c r="T73" s="219">
        <v>361.76809700000001</v>
      </c>
      <c r="U73" s="219">
        <v>374.20461999999998</v>
      </c>
      <c r="V73" s="219">
        <v>387.07870500000001</v>
      </c>
      <c r="W73" s="219">
        <v>400.29553199999998</v>
      </c>
      <c r="X73" s="219">
        <v>413.843658</v>
      </c>
      <c r="Y73" s="219">
        <v>427.72616599999998</v>
      </c>
      <c r="Z73" s="219">
        <v>441.95739700000001</v>
      </c>
      <c r="AA73" s="219">
        <v>456.63092</v>
      </c>
      <c r="AB73" s="219">
        <v>471.66030899999998</v>
      </c>
      <c r="AC73" s="219">
        <v>487.03784200000001</v>
      </c>
      <c r="AD73" s="219">
        <v>502.76507600000002</v>
      </c>
      <c r="AE73" s="219">
        <v>518.85461399999997</v>
      </c>
      <c r="AF73" s="212">
        <v>3.2891999999999998E-2</v>
      </c>
      <c r="AG73" s="31"/>
    </row>
    <row r="74" spans="1:33">
      <c r="A74" s="30" t="s">
        <v>1198</v>
      </c>
      <c r="B74" s="210" t="s">
        <v>288</v>
      </c>
      <c r="C74" s="219">
        <v>514.70239300000003</v>
      </c>
      <c r="D74" s="219">
        <v>588.31671100000005</v>
      </c>
      <c r="E74" s="219">
        <v>645.77417000000003</v>
      </c>
      <c r="F74" s="219">
        <v>664.362122</v>
      </c>
      <c r="G74" s="219">
        <v>681.54650900000001</v>
      </c>
      <c r="H74" s="219">
        <v>694.107483</v>
      </c>
      <c r="I74" s="219">
        <v>710.680969</v>
      </c>
      <c r="J74" s="219">
        <v>734.69543499999997</v>
      </c>
      <c r="K74" s="219">
        <v>760.03228799999999</v>
      </c>
      <c r="L74" s="219">
        <v>786.72131300000001</v>
      </c>
      <c r="M74" s="219">
        <v>816.54418899999996</v>
      </c>
      <c r="N74" s="219">
        <v>847.57025099999998</v>
      </c>
      <c r="O74" s="219">
        <v>879.79516599999999</v>
      </c>
      <c r="P74" s="219">
        <v>913.22070299999996</v>
      </c>
      <c r="Q74" s="219">
        <v>948.22601299999997</v>
      </c>
      <c r="R74" s="219">
        <v>984.53442399999994</v>
      </c>
      <c r="S74" s="219">
        <v>1022.108215</v>
      </c>
      <c r="T74" s="219">
        <v>1060.94751</v>
      </c>
      <c r="U74" s="219">
        <v>1101.055664</v>
      </c>
      <c r="V74" s="219">
        <v>1142.814453</v>
      </c>
      <c r="W74" s="219">
        <v>1185.9298100000001</v>
      </c>
      <c r="X74" s="219">
        <v>1230.384155</v>
      </c>
      <c r="Y74" s="219">
        <v>1276.1982419999999</v>
      </c>
      <c r="Z74" s="219">
        <v>1323.4216309999999</v>
      </c>
      <c r="AA74" s="219">
        <v>1372.362061</v>
      </c>
      <c r="AB74" s="219">
        <v>1422.7633060000001</v>
      </c>
      <c r="AC74" s="219">
        <v>1474.622314</v>
      </c>
      <c r="AD74" s="219">
        <v>1527.9592290000001</v>
      </c>
      <c r="AE74" s="219">
        <v>1582.8244629999999</v>
      </c>
      <c r="AF74" s="212">
        <v>4.0936E-2</v>
      </c>
      <c r="AG74" s="31"/>
    </row>
    <row r="75" spans="1:33">
      <c r="A75" s="30" t="s">
        <v>1199</v>
      </c>
      <c r="B75" s="210" t="s">
        <v>289</v>
      </c>
      <c r="C75" s="219">
        <v>579.44018600000004</v>
      </c>
      <c r="D75" s="219">
        <v>568.17541500000004</v>
      </c>
      <c r="E75" s="219">
        <v>565.291382</v>
      </c>
      <c r="F75" s="219">
        <v>570.04858400000001</v>
      </c>
      <c r="G75" s="219">
        <v>575.02783199999999</v>
      </c>
      <c r="H75" s="219">
        <v>583.30731200000002</v>
      </c>
      <c r="I75" s="219">
        <v>592.10095200000001</v>
      </c>
      <c r="J75" s="219">
        <v>600.00384499999996</v>
      </c>
      <c r="K75" s="219">
        <v>607.42138699999998</v>
      </c>
      <c r="L75" s="219">
        <v>614.10613999999998</v>
      </c>
      <c r="M75" s="219">
        <v>620.57043499999997</v>
      </c>
      <c r="N75" s="219">
        <v>626.77056900000002</v>
      </c>
      <c r="O75" s="219">
        <v>632.79754600000001</v>
      </c>
      <c r="P75" s="219">
        <v>638.99731399999996</v>
      </c>
      <c r="Q75" s="219">
        <v>644.80749500000002</v>
      </c>
      <c r="R75" s="219">
        <v>650.27832000000001</v>
      </c>
      <c r="S75" s="219">
        <v>655.45025599999997</v>
      </c>
      <c r="T75" s="219">
        <v>660.363831</v>
      </c>
      <c r="U75" s="219">
        <v>665.03460700000005</v>
      </c>
      <c r="V75" s="219">
        <v>669.50195299999996</v>
      </c>
      <c r="W75" s="219">
        <v>673.78112799999997</v>
      </c>
      <c r="X75" s="219">
        <v>677.88568099999998</v>
      </c>
      <c r="Y75" s="219">
        <v>681.82342500000004</v>
      </c>
      <c r="Z75" s="219">
        <v>685.603027</v>
      </c>
      <c r="AA75" s="219">
        <v>689.246399</v>
      </c>
      <c r="AB75" s="219">
        <v>692.74871800000005</v>
      </c>
      <c r="AC75" s="219">
        <v>696.11041299999999</v>
      </c>
      <c r="AD75" s="219">
        <v>699.317139</v>
      </c>
      <c r="AE75" s="219">
        <v>702.37976100000003</v>
      </c>
      <c r="AF75" s="212">
        <v>6.8960000000000002E-3</v>
      </c>
      <c r="AG75" s="31"/>
    </row>
    <row r="76" spans="1:33">
      <c r="A76" s="30" t="s">
        <v>1200</v>
      </c>
      <c r="B76" s="210" t="s">
        <v>290</v>
      </c>
      <c r="C76" s="219">
        <v>349.17269900000002</v>
      </c>
      <c r="D76" s="219">
        <v>341.48065200000002</v>
      </c>
      <c r="E76" s="219">
        <v>339.75915500000002</v>
      </c>
      <c r="F76" s="219">
        <v>342.40258799999998</v>
      </c>
      <c r="G76" s="219">
        <v>345.408997</v>
      </c>
      <c r="H76" s="219">
        <v>351.74755900000002</v>
      </c>
      <c r="I76" s="219">
        <v>357.72976699999998</v>
      </c>
      <c r="J76" s="219">
        <v>363.22683699999999</v>
      </c>
      <c r="K76" s="219">
        <v>368.37377900000001</v>
      </c>
      <c r="L76" s="219">
        <v>373.02066000000002</v>
      </c>
      <c r="M76" s="219">
        <v>377.49044800000001</v>
      </c>
      <c r="N76" s="219">
        <v>381.76281699999998</v>
      </c>
      <c r="O76" s="219">
        <v>385.81326300000001</v>
      </c>
      <c r="P76" s="219">
        <v>389.620789</v>
      </c>
      <c r="Q76" s="219">
        <v>393.18017600000002</v>
      </c>
      <c r="R76" s="219">
        <v>396.53048699999999</v>
      </c>
      <c r="S76" s="219">
        <v>399.696777</v>
      </c>
      <c r="T76" s="219">
        <v>402.70388800000001</v>
      </c>
      <c r="U76" s="219">
        <v>405.561646</v>
      </c>
      <c r="V76" s="219">
        <v>408.29409800000002</v>
      </c>
      <c r="W76" s="219">
        <v>410.91058299999997</v>
      </c>
      <c r="X76" s="219">
        <v>413.41967799999998</v>
      </c>
      <c r="Y76" s="219">
        <v>415.82611100000003</v>
      </c>
      <c r="Z76" s="219">
        <v>418.13528400000001</v>
      </c>
      <c r="AA76" s="219">
        <v>420.360229</v>
      </c>
      <c r="AB76" s="219">
        <v>422.49801600000001</v>
      </c>
      <c r="AC76" s="219">
        <v>424.54959100000002</v>
      </c>
      <c r="AD76" s="219">
        <v>426.50680499999999</v>
      </c>
      <c r="AE76" s="219">
        <v>428.37677000000002</v>
      </c>
      <c r="AF76" s="212">
        <v>7.3280000000000003E-3</v>
      </c>
      <c r="AG76" s="31"/>
    </row>
    <row r="77" spans="1:33">
      <c r="A77" s="30" t="s">
        <v>1201</v>
      </c>
      <c r="B77" s="210" t="s">
        <v>287</v>
      </c>
      <c r="C77" s="219">
        <v>46.264198</v>
      </c>
      <c r="D77" s="219">
        <v>45.996563000000002</v>
      </c>
      <c r="E77" s="219">
        <v>45.765495000000001</v>
      </c>
      <c r="F77" s="219">
        <v>47.246243</v>
      </c>
      <c r="G77" s="219">
        <v>48.850132000000002</v>
      </c>
      <c r="H77" s="219">
        <v>49.416592000000001</v>
      </c>
      <c r="I77" s="219">
        <v>49.641044999999998</v>
      </c>
      <c r="J77" s="219">
        <v>49.457557999999999</v>
      </c>
      <c r="K77" s="219">
        <v>49.283423999999997</v>
      </c>
      <c r="L77" s="219">
        <v>49.092177999999997</v>
      </c>
      <c r="M77" s="219">
        <v>48.926909999999999</v>
      </c>
      <c r="N77" s="219">
        <v>48.775105000000003</v>
      </c>
      <c r="O77" s="219">
        <v>48.765163000000001</v>
      </c>
      <c r="P77" s="219">
        <v>49.274971000000001</v>
      </c>
      <c r="Q77" s="219">
        <v>49.750889000000001</v>
      </c>
      <c r="R77" s="219">
        <v>50.187385999999996</v>
      </c>
      <c r="S77" s="219">
        <v>50.589148999999999</v>
      </c>
      <c r="T77" s="219">
        <v>50.960861000000001</v>
      </c>
      <c r="U77" s="219">
        <v>51.306828000000003</v>
      </c>
      <c r="V77" s="219">
        <v>51.630629999999996</v>
      </c>
      <c r="W77" s="219">
        <v>51.934437000000003</v>
      </c>
      <c r="X77" s="219">
        <v>52.219741999999997</v>
      </c>
      <c r="Y77" s="219">
        <v>52.487304999999999</v>
      </c>
      <c r="Z77" s="219">
        <v>52.738438000000002</v>
      </c>
      <c r="AA77" s="219">
        <v>52.977215000000001</v>
      </c>
      <c r="AB77" s="219">
        <v>53.203147999999999</v>
      </c>
      <c r="AC77" s="219">
        <v>53.414192</v>
      </c>
      <c r="AD77" s="219">
        <v>53.606419000000002</v>
      </c>
      <c r="AE77" s="219">
        <v>53.779335000000003</v>
      </c>
      <c r="AF77" s="212">
        <v>5.3899999999999998E-3</v>
      </c>
      <c r="AG77" s="31"/>
    </row>
    <row r="78" spans="1:33">
      <c r="A78" s="30" t="s">
        <v>1202</v>
      </c>
      <c r="B78" s="210" t="s">
        <v>288</v>
      </c>
      <c r="C78" s="219">
        <v>184.003311</v>
      </c>
      <c r="D78" s="219">
        <v>180.69821200000001</v>
      </c>
      <c r="E78" s="219">
        <v>179.76675399999999</v>
      </c>
      <c r="F78" s="219">
        <v>180.399765</v>
      </c>
      <c r="G78" s="219">
        <v>180.76873800000001</v>
      </c>
      <c r="H78" s="219">
        <v>182.14317299999999</v>
      </c>
      <c r="I78" s="219">
        <v>184.730118</v>
      </c>
      <c r="J78" s="219">
        <v>187.319458</v>
      </c>
      <c r="K78" s="219">
        <v>189.76419100000001</v>
      </c>
      <c r="L78" s="219">
        <v>191.99327099999999</v>
      </c>
      <c r="M78" s="219">
        <v>194.153076</v>
      </c>
      <c r="N78" s="219">
        <v>196.23262</v>
      </c>
      <c r="O78" s="219">
        <v>198.21910099999999</v>
      </c>
      <c r="P78" s="219">
        <v>200.10154700000001</v>
      </c>
      <c r="Q78" s="219">
        <v>201.87645000000001</v>
      </c>
      <c r="R78" s="219">
        <v>203.56042500000001</v>
      </c>
      <c r="S78" s="219">
        <v>205.16433699999999</v>
      </c>
      <c r="T78" s="219">
        <v>206.69908100000001</v>
      </c>
      <c r="U78" s="219">
        <v>208.166122</v>
      </c>
      <c r="V78" s="219">
        <v>209.57723999999999</v>
      </c>
      <c r="W78" s="219">
        <v>210.936081</v>
      </c>
      <c r="X78" s="219">
        <v>212.24629200000001</v>
      </c>
      <c r="Y78" s="219">
        <v>213.51002500000001</v>
      </c>
      <c r="Z78" s="219">
        <v>214.72927899999999</v>
      </c>
      <c r="AA78" s="219">
        <v>215.90896599999999</v>
      </c>
      <c r="AB78" s="219">
        <v>217.047562</v>
      </c>
      <c r="AC78" s="219">
        <v>218.146637</v>
      </c>
      <c r="AD78" s="219">
        <v>219.203934</v>
      </c>
      <c r="AE78" s="219">
        <v>220.22366299999999</v>
      </c>
      <c r="AF78" s="212">
        <v>6.4380000000000001E-3</v>
      </c>
      <c r="AG78" s="31"/>
    </row>
    <row r="79" spans="1:33">
      <c r="A79" s="30" t="s">
        <v>1203</v>
      </c>
      <c r="B79" s="210" t="s">
        <v>289</v>
      </c>
      <c r="C79" s="219">
        <v>640.41119400000002</v>
      </c>
      <c r="D79" s="219">
        <v>646.77502400000003</v>
      </c>
      <c r="E79" s="219">
        <v>703.69317599999999</v>
      </c>
      <c r="F79" s="219">
        <v>725.62133800000004</v>
      </c>
      <c r="G79" s="219">
        <v>749.83581500000003</v>
      </c>
      <c r="H79" s="219">
        <v>773.87145999999996</v>
      </c>
      <c r="I79" s="219">
        <v>794.29504399999996</v>
      </c>
      <c r="J79" s="219">
        <v>813.33612100000005</v>
      </c>
      <c r="K79" s="219">
        <v>832.46167000000003</v>
      </c>
      <c r="L79" s="219">
        <v>851.43066399999998</v>
      </c>
      <c r="M79" s="219">
        <v>870.95385699999997</v>
      </c>
      <c r="N79" s="219">
        <v>891.11114499999996</v>
      </c>
      <c r="O79" s="219">
        <v>911.926514</v>
      </c>
      <c r="P79" s="219">
        <v>933.42114300000003</v>
      </c>
      <c r="Q79" s="219">
        <v>955.50414999999998</v>
      </c>
      <c r="R79" s="219">
        <v>978.29809599999999</v>
      </c>
      <c r="S79" s="219">
        <v>1001.802673</v>
      </c>
      <c r="T79" s="219">
        <v>1026.01001</v>
      </c>
      <c r="U79" s="219">
        <v>1050.9014890000001</v>
      </c>
      <c r="V79" s="219">
        <v>1076.4708250000001</v>
      </c>
      <c r="W79" s="219">
        <v>1102.747314</v>
      </c>
      <c r="X79" s="219">
        <v>1129.7282709999999</v>
      </c>
      <c r="Y79" s="219">
        <v>1157.412476</v>
      </c>
      <c r="Z79" s="219">
        <v>1185.794189</v>
      </c>
      <c r="AA79" s="219">
        <v>1214.5979</v>
      </c>
      <c r="AB79" s="219">
        <v>1244.1032709999999</v>
      </c>
      <c r="AC79" s="219">
        <v>1274.3251949999999</v>
      </c>
      <c r="AD79" s="219">
        <v>1305.278198</v>
      </c>
      <c r="AE79" s="219">
        <v>1336.9658199999999</v>
      </c>
      <c r="AF79" s="212">
        <v>2.6636E-2</v>
      </c>
      <c r="AG79" s="31"/>
    </row>
    <row r="80" spans="1:33">
      <c r="A80" s="30" t="s">
        <v>1204</v>
      </c>
      <c r="B80" s="210" t="s">
        <v>291</v>
      </c>
      <c r="C80" s="219">
        <v>378.27899200000002</v>
      </c>
      <c r="D80" s="219">
        <v>379.28137199999998</v>
      </c>
      <c r="E80" s="219">
        <v>413.40386999999998</v>
      </c>
      <c r="F80" s="219">
        <v>429.02813700000002</v>
      </c>
      <c r="G80" s="219">
        <v>445.18142699999999</v>
      </c>
      <c r="H80" s="219">
        <v>460.404449</v>
      </c>
      <c r="I80" s="219">
        <v>472.94979899999998</v>
      </c>
      <c r="J80" s="219">
        <v>484.517426</v>
      </c>
      <c r="K80" s="219">
        <v>496.17450000000002</v>
      </c>
      <c r="L80" s="219">
        <v>507.78445399999998</v>
      </c>
      <c r="M80" s="219">
        <v>519.74121100000002</v>
      </c>
      <c r="N80" s="219">
        <v>532.09045400000002</v>
      </c>
      <c r="O80" s="219">
        <v>544.84722899999997</v>
      </c>
      <c r="P80" s="219">
        <v>558.02502400000003</v>
      </c>
      <c r="Q80" s="219">
        <v>571.57074</v>
      </c>
      <c r="R80" s="219">
        <v>585.55658000000005</v>
      </c>
      <c r="S80" s="219">
        <v>599.98290999999995</v>
      </c>
      <c r="T80" s="219">
        <v>614.84613000000002</v>
      </c>
      <c r="U80" s="219">
        <v>630.13610800000004</v>
      </c>
      <c r="V80" s="219">
        <v>645.84582499999999</v>
      </c>
      <c r="W80" s="219">
        <v>661.99694799999997</v>
      </c>
      <c r="X80" s="219">
        <v>678.589111</v>
      </c>
      <c r="Y80" s="219">
        <v>695.62231399999996</v>
      </c>
      <c r="Z80" s="219">
        <v>713.09442100000001</v>
      </c>
      <c r="AA80" s="219">
        <v>730.84729000000004</v>
      </c>
      <c r="AB80" s="219">
        <v>749.04260299999999</v>
      </c>
      <c r="AC80" s="219">
        <v>767.69018600000004</v>
      </c>
      <c r="AD80" s="219">
        <v>786.80004899999994</v>
      </c>
      <c r="AE80" s="219">
        <v>806.37561000000005</v>
      </c>
      <c r="AF80" s="212">
        <v>2.7400999999999998E-2</v>
      </c>
      <c r="AG80" s="31"/>
    </row>
    <row r="81" spans="1:33">
      <c r="A81" s="30" t="s">
        <v>1205</v>
      </c>
      <c r="B81" s="210" t="s">
        <v>287</v>
      </c>
      <c r="C81" s="219">
        <v>33.778087999999997</v>
      </c>
      <c r="D81" s="219">
        <v>34.658271999999997</v>
      </c>
      <c r="E81" s="219">
        <v>38.264583999999999</v>
      </c>
      <c r="F81" s="219">
        <v>41.593207999999997</v>
      </c>
      <c r="G81" s="219">
        <v>44.730679000000002</v>
      </c>
      <c r="H81" s="219">
        <v>46.748756</v>
      </c>
      <c r="I81" s="219">
        <v>48.334347000000001</v>
      </c>
      <c r="J81" s="219">
        <v>49.760165999999998</v>
      </c>
      <c r="K81" s="219">
        <v>51.196857000000001</v>
      </c>
      <c r="L81" s="219">
        <v>52.628287999999998</v>
      </c>
      <c r="M81" s="219">
        <v>54.102493000000003</v>
      </c>
      <c r="N81" s="219">
        <v>55.625664</v>
      </c>
      <c r="O81" s="219">
        <v>57.200287000000003</v>
      </c>
      <c r="P81" s="219">
        <v>58.828654999999998</v>
      </c>
      <c r="Q81" s="219">
        <v>60.505028000000003</v>
      </c>
      <c r="R81" s="219">
        <v>62.238639999999997</v>
      </c>
      <c r="S81" s="219">
        <v>64.030190000000005</v>
      </c>
      <c r="T81" s="219">
        <v>65.879706999999996</v>
      </c>
      <c r="U81" s="219">
        <v>67.786552</v>
      </c>
      <c r="V81" s="219">
        <v>69.750709999999998</v>
      </c>
      <c r="W81" s="219">
        <v>71.774963</v>
      </c>
      <c r="X81" s="219">
        <v>73.859656999999999</v>
      </c>
      <c r="Y81" s="219">
        <v>76.005279999999999</v>
      </c>
      <c r="Z81" s="219">
        <v>78.211876000000004</v>
      </c>
      <c r="AA81" s="219">
        <v>80.459701999999993</v>
      </c>
      <c r="AB81" s="219">
        <v>82.769576999999998</v>
      </c>
      <c r="AC81" s="219">
        <v>85.143119999999996</v>
      </c>
      <c r="AD81" s="219">
        <v>87.581847999999994</v>
      </c>
      <c r="AE81" s="219">
        <v>90.086539999999999</v>
      </c>
      <c r="AF81" s="212">
        <v>3.5654999999999999E-2</v>
      </c>
      <c r="AG81" s="31"/>
    </row>
    <row r="82" spans="1:33">
      <c r="A82" s="30" t="s">
        <v>1206</v>
      </c>
      <c r="B82" s="210" t="s">
        <v>288</v>
      </c>
      <c r="C82" s="219">
        <v>228.354141</v>
      </c>
      <c r="D82" s="219">
        <v>232.83540300000001</v>
      </c>
      <c r="E82" s="219">
        <v>252.024734</v>
      </c>
      <c r="F82" s="219">
        <v>254.99998500000001</v>
      </c>
      <c r="G82" s="219">
        <v>259.92370599999998</v>
      </c>
      <c r="H82" s="219">
        <v>266.71826199999998</v>
      </c>
      <c r="I82" s="219">
        <v>273.01092499999999</v>
      </c>
      <c r="J82" s="219">
        <v>279.05853300000001</v>
      </c>
      <c r="K82" s="219">
        <v>285.09030200000001</v>
      </c>
      <c r="L82" s="219">
        <v>291.017944</v>
      </c>
      <c r="M82" s="219">
        <v>297.11016799999999</v>
      </c>
      <c r="N82" s="219">
        <v>303.39501999999999</v>
      </c>
      <c r="O82" s="219">
        <v>309.87899800000002</v>
      </c>
      <c r="P82" s="219">
        <v>316.56744400000002</v>
      </c>
      <c r="Q82" s="219">
        <v>323.428406</v>
      </c>
      <c r="R82" s="219">
        <v>330.50289900000001</v>
      </c>
      <c r="S82" s="219">
        <v>337.78955100000002</v>
      </c>
      <c r="T82" s="219">
        <v>345.28417999999999</v>
      </c>
      <c r="U82" s="219">
        <v>352.97885100000002</v>
      </c>
      <c r="V82" s="219">
        <v>360.87429800000001</v>
      </c>
      <c r="W82" s="219">
        <v>368.97543300000001</v>
      </c>
      <c r="X82" s="219">
        <v>377.27954099999999</v>
      </c>
      <c r="Y82" s="219">
        <v>385.784943</v>
      </c>
      <c r="Z82" s="219">
        <v>394.48791499999999</v>
      </c>
      <c r="AA82" s="219">
        <v>403.29089399999998</v>
      </c>
      <c r="AB82" s="219">
        <v>412.29104599999999</v>
      </c>
      <c r="AC82" s="219">
        <v>421.49194299999999</v>
      </c>
      <c r="AD82" s="219">
        <v>430.89630099999999</v>
      </c>
      <c r="AE82" s="219">
        <v>440.50366200000002</v>
      </c>
      <c r="AF82" s="212">
        <v>2.3743E-2</v>
      </c>
      <c r="AG82" s="31"/>
    </row>
    <row r="83" spans="1:33">
      <c r="A83" s="30" t="s">
        <v>1207</v>
      </c>
      <c r="B83" s="210" t="s">
        <v>289</v>
      </c>
      <c r="C83" s="219">
        <v>32724.091797000001</v>
      </c>
      <c r="D83" s="219">
        <v>33176.96875</v>
      </c>
      <c r="E83" s="219">
        <v>34069.660155999998</v>
      </c>
      <c r="F83" s="219">
        <v>34648.40625</v>
      </c>
      <c r="G83" s="219">
        <v>35605.191405999998</v>
      </c>
      <c r="H83" s="219">
        <v>36234.917969000002</v>
      </c>
      <c r="I83" s="219">
        <v>36859.019530999998</v>
      </c>
      <c r="J83" s="219">
        <v>37449.753905999998</v>
      </c>
      <c r="K83" s="219">
        <v>38079.335937999997</v>
      </c>
      <c r="L83" s="219">
        <v>38755.359375</v>
      </c>
      <c r="M83" s="219">
        <v>39521.863280999998</v>
      </c>
      <c r="N83" s="219">
        <v>40395.703125</v>
      </c>
      <c r="O83" s="219">
        <v>41309.355469000002</v>
      </c>
      <c r="P83" s="219">
        <v>42264.308594000002</v>
      </c>
      <c r="Q83" s="219">
        <v>43284.355469000002</v>
      </c>
      <c r="R83" s="219">
        <v>44358.980469000002</v>
      </c>
      <c r="S83" s="219">
        <v>45466.375</v>
      </c>
      <c r="T83" s="219">
        <v>46603.574219000002</v>
      </c>
      <c r="U83" s="219">
        <v>47798.792969000002</v>
      </c>
      <c r="V83" s="219">
        <v>49022.867187999997</v>
      </c>
      <c r="W83" s="219">
        <v>50283.246094000002</v>
      </c>
      <c r="X83" s="219">
        <v>51578.214844000002</v>
      </c>
      <c r="Y83" s="219">
        <v>52891.121094000002</v>
      </c>
      <c r="Z83" s="219">
        <v>54218.246094000002</v>
      </c>
      <c r="AA83" s="219">
        <v>55562.453125</v>
      </c>
      <c r="AB83" s="219">
        <v>56945.726562000003</v>
      </c>
      <c r="AC83" s="219">
        <v>58354.359375</v>
      </c>
      <c r="AD83" s="219">
        <v>59782.636719000002</v>
      </c>
      <c r="AE83" s="219">
        <v>61247.554687999997</v>
      </c>
      <c r="AF83" s="212">
        <v>2.2638999999999999E-2</v>
      </c>
      <c r="AG83" s="31"/>
    </row>
    <row r="84" spans="1:33">
      <c r="A84" s="30" t="s">
        <v>1208</v>
      </c>
      <c r="B84" s="210" t="s">
        <v>292</v>
      </c>
      <c r="C84" s="219">
        <v>18949.568359000001</v>
      </c>
      <c r="D84" s="219">
        <v>19042.259765999999</v>
      </c>
      <c r="E84" s="219">
        <v>19489.505859000001</v>
      </c>
      <c r="F84" s="219">
        <v>19815.244140999999</v>
      </c>
      <c r="G84" s="219">
        <v>20348.558593999998</v>
      </c>
      <c r="H84" s="219">
        <v>20734.050781000002</v>
      </c>
      <c r="I84" s="219">
        <v>21117.726562</v>
      </c>
      <c r="J84" s="219">
        <v>21487.429688</v>
      </c>
      <c r="K84" s="219">
        <v>21869.119140999999</v>
      </c>
      <c r="L84" s="219">
        <v>22281.746093999998</v>
      </c>
      <c r="M84" s="219">
        <v>22753.675781000002</v>
      </c>
      <c r="N84" s="219">
        <v>23300.654297000001</v>
      </c>
      <c r="O84" s="219">
        <v>23864.619140999999</v>
      </c>
      <c r="P84" s="219">
        <v>24455.300781000002</v>
      </c>
      <c r="Q84" s="219">
        <v>25083.292968999998</v>
      </c>
      <c r="R84" s="219">
        <v>25738.103515999999</v>
      </c>
      <c r="S84" s="219">
        <v>26410.238281000002</v>
      </c>
      <c r="T84" s="219">
        <v>27098.439452999999</v>
      </c>
      <c r="U84" s="219">
        <v>27820.572265999999</v>
      </c>
      <c r="V84" s="219">
        <v>28559.626952999999</v>
      </c>
      <c r="W84" s="219">
        <v>29319.089843999998</v>
      </c>
      <c r="X84" s="219">
        <v>30098.089843999998</v>
      </c>
      <c r="Y84" s="219">
        <v>30886.808593999998</v>
      </c>
      <c r="Z84" s="219">
        <v>31682.181640999999</v>
      </c>
      <c r="AA84" s="219">
        <v>32485.513672000001</v>
      </c>
      <c r="AB84" s="219">
        <v>33307.628905999998</v>
      </c>
      <c r="AC84" s="219">
        <v>34141.304687999997</v>
      </c>
      <c r="AD84" s="219">
        <v>34983.109375</v>
      </c>
      <c r="AE84" s="219">
        <v>35841.484375</v>
      </c>
      <c r="AF84" s="212">
        <v>2.3022999999999998E-2</v>
      </c>
      <c r="AG84" s="31"/>
    </row>
    <row r="85" spans="1:33">
      <c r="A85" s="30" t="s">
        <v>1209</v>
      </c>
      <c r="B85" s="210" t="s">
        <v>287</v>
      </c>
      <c r="C85" s="219">
        <v>6245.7333980000003</v>
      </c>
      <c r="D85" s="219">
        <v>6231.0595700000003</v>
      </c>
      <c r="E85" s="219">
        <v>6314.3334960000002</v>
      </c>
      <c r="F85" s="219">
        <v>6466.5615230000003</v>
      </c>
      <c r="G85" s="219">
        <v>6717.0078119999998</v>
      </c>
      <c r="H85" s="219">
        <v>6819.9873049999997</v>
      </c>
      <c r="I85" s="219">
        <v>6915.9755859999996</v>
      </c>
      <c r="J85" s="219">
        <v>6980.1840819999998</v>
      </c>
      <c r="K85" s="219">
        <v>7070.7036129999997</v>
      </c>
      <c r="L85" s="219">
        <v>7169.5</v>
      </c>
      <c r="M85" s="219">
        <v>7280.1435549999997</v>
      </c>
      <c r="N85" s="219">
        <v>7410.0976559999999</v>
      </c>
      <c r="O85" s="219">
        <v>7558.0327150000003</v>
      </c>
      <c r="P85" s="219">
        <v>7715.0625</v>
      </c>
      <c r="Q85" s="219">
        <v>7889.6967770000001</v>
      </c>
      <c r="R85" s="219">
        <v>8081.4609380000002</v>
      </c>
      <c r="S85" s="219">
        <v>8280.7919920000004</v>
      </c>
      <c r="T85" s="219">
        <v>8487.390625</v>
      </c>
      <c r="U85" s="219">
        <v>8703.9472659999992</v>
      </c>
      <c r="V85" s="219">
        <v>8927.5712889999995</v>
      </c>
      <c r="W85" s="219">
        <v>9160.1601559999999</v>
      </c>
      <c r="X85" s="219">
        <v>9400.2392579999996</v>
      </c>
      <c r="Y85" s="219">
        <v>9645.2226559999999</v>
      </c>
      <c r="Z85" s="219">
        <v>9894.703125</v>
      </c>
      <c r="AA85" s="219">
        <v>10148.449219</v>
      </c>
      <c r="AB85" s="219">
        <v>10412.636719</v>
      </c>
      <c r="AC85" s="219">
        <v>10684.567383</v>
      </c>
      <c r="AD85" s="219">
        <v>10962.772461</v>
      </c>
      <c r="AE85" s="219">
        <v>11249.638671999999</v>
      </c>
      <c r="AF85" s="212">
        <v>2.1238E-2</v>
      </c>
      <c r="AG85" s="31"/>
    </row>
    <row r="86" spans="1:33">
      <c r="A86" s="30" t="s">
        <v>1210</v>
      </c>
      <c r="B86" s="210" t="s">
        <v>288</v>
      </c>
      <c r="C86" s="219">
        <v>7528.7861329999996</v>
      </c>
      <c r="D86" s="219">
        <v>7903.6494140000004</v>
      </c>
      <c r="E86" s="219">
        <v>8265.8242190000001</v>
      </c>
      <c r="F86" s="219">
        <v>8366.6005860000005</v>
      </c>
      <c r="G86" s="219">
        <v>8539.6171880000002</v>
      </c>
      <c r="H86" s="219">
        <v>8680.8691409999992</v>
      </c>
      <c r="I86" s="219">
        <v>8825.3193360000005</v>
      </c>
      <c r="J86" s="219">
        <v>8982.1474610000005</v>
      </c>
      <c r="K86" s="219">
        <v>9139.515625</v>
      </c>
      <c r="L86" s="219">
        <v>9304.1113280000009</v>
      </c>
      <c r="M86" s="219">
        <v>9488.0527340000008</v>
      </c>
      <c r="N86" s="219">
        <v>9684.9472659999992</v>
      </c>
      <c r="O86" s="219">
        <v>9886.6923829999996</v>
      </c>
      <c r="P86" s="219">
        <v>10093.938477</v>
      </c>
      <c r="Q86" s="219">
        <v>10311.365234000001</v>
      </c>
      <c r="R86" s="219">
        <v>10539.424805000001</v>
      </c>
      <c r="S86" s="219">
        <v>10775.347656</v>
      </c>
      <c r="T86" s="219">
        <v>11017.750977</v>
      </c>
      <c r="U86" s="219">
        <v>11274.274414</v>
      </c>
      <c r="V86" s="219">
        <v>11535.670898</v>
      </c>
      <c r="W86" s="219">
        <v>11803.990234000001</v>
      </c>
      <c r="X86" s="219">
        <v>12079.879883</v>
      </c>
      <c r="Y86" s="219">
        <v>12359.091796999999</v>
      </c>
      <c r="Z86" s="219">
        <v>12641.359375</v>
      </c>
      <c r="AA86" s="219">
        <v>12928.488281</v>
      </c>
      <c r="AB86" s="219">
        <v>13225.459961</v>
      </c>
      <c r="AC86" s="219">
        <v>13528.482421999999</v>
      </c>
      <c r="AD86" s="219">
        <v>13836.764648</v>
      </c>
      <c r="AE86" s="219">
        <v>14156.446289</v>
      </c>
      <c r="AF86" s="212">
        <v>2.2807000000000001E-2</v>
      </c>
      <c r="AG86" s="31"/>
    </row>
    <row r="87" spans="1:33">
      <c r="A87" s="30" t="s">
        <v>1211</v>
      </c>
      <c r="B87" s="210" t="s">
        <v>289</v>
      </c>
      <c r="C87" s="219">
        <v>6287.6152339999999</v>
      </c>
      <c r="D87" s="219">
        <v>6719.4003910000001</v>
      </c>
      <c r="E87" s="219">
        <v>6753.7509769999997</v>
      </c>
      <c r="F87" s="219">
        <v>6728.169922</v>
      </c>
      <c r="G87" s="219">
        <v>6826.3349609999996</v>
      </c>
      <c r="H87" s="219">
        <v>6925.685547</v>
      </c>
      <c r="I87" s="219">
        <v>7011.4433589999999</v>
      </c>
      <c r="J87" s="219">
        <v>7078.7402339999999</v>
      </c>
      <c r="K87" s="219">
        <v>7129.4311520000001</v>
      </c>
      <c r="L87" s="219">
        <v>7187.734375</v>
      </c>
      <c r="M87" s="219">
        <v>7282.8027339999999</v>
      </c>
      <c r="N87" s="219">
        <v>7399.7236329999996</v>
      </c>
      <c r="O87" s="219">
        <v>7517.0771480000003</v>
      </c>
      <c r="P87" s="219">
        <v>7638.2182620000003</v>
      </c>
      <c r="Q87" s="219">
        <v>7776.2841799999997</v>
      </c>
      <c r="R87" s="219">
        <v>7930.7080079999996</v>
      </c>
      <c r="S87" s="219">
        <v>8093.7294920000004</v>
      </c>
      <c r="T87" s="219">
        <v>8260.8017579999996</v>
      </c>
      <c r="U87" s="219">
        <v>8453.7158199999994</v>
      </c>
      <c r="V87" s="219">
        <v>8647.0117190000001</v>
      </c>
      <c r="W87" s="219">
        <v>8845.9550780000009</v>
      </c>
      <c r="X87" s="219">
        <v>9052.9091800000006</v>
      </c>
      <c r="Y87" s="219">
        <v>9256.1279300000006</v>
      </c>
      <c r="Z87" s="219">
        <v>9455.6152340000008</v>
      </c>
      <c r="AA87" s="219">
        <v>9660.2285159999992</v>
      </c>
      <c r="AB87" s="219">
        <v>9881.6875</v>
      </c>
      <c r="AC87" s="219">
        <v>10108.027344</v>
      </c>
      <c r="AD87" s="219">
        <v>10337.007812</v>
      </c>
      <c r="AE87" s="219">
        <v>10586.442383</v>
      </c>
      <c r="AF87" s="212">
        <v>1.8780999999999999E-2</v>
      </c>
      <c r="AG87" s="31"/>
    </row>
    <row r="88" spans="1:33">
      <c r="A88" s="30" t="s">
        <v>1212</v>
      </c>
      <c r="B88" s="210" t="s">
        <v>293</v>
      </c>
      <c r="C88" s="219">
        <v>3707.0668949999999</v>
      </c>
      <c r="D88" s="219">
        <v>3928.1225589999999</v>
      </c>
      <c r="E88" s="219">
        <v>3932.0683589999999</v>
      </c>
      <c r="F88" s="219">
        <v>3914.6293949999999</v>
      </c>
      <c r="G88" s="219">
        <v>3971.0764159999999</v>
      </c>
      <c r="H88" s="219">
        <v>4028.1835940000001</v>
      </c>
      <c r="I88" s="219">
        <v>4077.2890619999998</v>
      </c>
      <c r="J88" s="219">
        <v>4115.546875</v>
      </c>
      <c r="K88" s="219">
        <v>4144.048828</v>
      </c>
      <c r="L88" s="219">
        <v>4176.9873049999997</v>
      </c>
      <c r="M88" s="219">
        <v>4231.4326170000004</v>
      </c>
      <c r="N88" s="219">
        <v>4298.6430659999996</v>
      </c>
      <c r="O88" s="219">
        <v>4366.0722660000001</v>
      </c>
      <c r="P88" s="219">
        <v>4435.6865230000003</v>
      </c>
      <c r="Q88" s="219">
        <v>4515.1733400000003</v>
      </c>
      <c r="R88" s="219">
        <v>4604.1953119999998</v>
      </c>
      <c r="S88" s="219">
        <v>4698.2094729999999</v>
      </c>
      <c r="T88" s="219">
        <v>4794.5532229999999</v>
      </c>
      <c r="U88" s="219">
        <v>4905.9638670000004</v>
      </c>
      <c r="V88" s="219">
        <v>5017.5478519999997</v>
      </c>
      <c r="W88" s="219">
        <v>5132.3847660000001</v>
      </c>
      <c r="X88" s="219">
        <v>5251.8544920000004</v>
      </c>
      <c r="Y88" s="219">
        <v>5369.0859380000002</v>
      </c>
      <c r="Z88" s="219">
        <v>5484.0815430000002</v>
      </c>
      <c r="AA88" s="219">
        <v>5602.0205079999996</v>
      </c>
      <c r="AB88" s="219">
        <v>5729.7504879999997</v>
      </c>
      <c r="AC88" s="219">
        <v>5860.2744140000004</v>
      </c>
      <c r="AD88" s="219">
        <v>5992.2822269999997</v>
      </c>
      <c r="AE88" s="219">
        <v>6136.1806640000004</v>
      </c>
      <c r="AF88" s="212">
        <v>1.8162000000000001E-2</v>
      </c>
      <c r="AG88" s="31"/>
    </row>
    <row r="89" spans="1:33">
      <c r="A89" s="30" t="s">
        <v>1213</v>
      </c>
      <c r="B89" s="210" t="s">
        <v>287</v>
      </c>
      <c r="C89" s="219">
        <v>388.04144300000002</v>
      </c>
      <c r="D89" s="219">
        <v>496.49783300000001</v>
      </c>
      <c r="E89" s="219">
        <v>536.61535600000002</v>
      </c>
      <c r="F89" s="219">
        <v>541.00836200000003</v>
      </c>
      <c r="G89" s="219">
        <v>550.58935499999995</v>
      </c>
      <c r="H89" s="219">
        <v>560.339966</v>
      </c>
      <c r="I89" s="219">
        <v>569.23065199999996</v>
      </c>
      <c r="J89" s="219">
        <v>576.90759300000002</v>
      </c>
      <c r="K89" s="219">
        <v>583.48693800000001</v>
      </c>
      <c r="L89" s="219">
        <v>590.65801999999996</v>
      </c>
      <c r="M89" s="219">
        <v>600.49352999999996</v>
      </c>
      <c r="N89" s="219">
        <v>611.95989999999995</v>
      </c>
      <c r="O89" s="219">
        <v>623.54107699999997</v>
      </c>
      <c r="P89" s="219">
        <v>635.47607400000004</v>
      </c>
      <c r="Q89" s="219">
        <v>648.70874000000003</v>
      </c>
      <c r="R89" s="219">
        <v>663.20953399999996</v>
      </c>
      <c r="S89" s="219">
        <v>678.42877199999998</v>
      </c>
      <c r="T89" s="219">
        <v>694.04370100000006</v>
      </c>
      <c r="U89" s="219">
        <v>711.65508999999997</v>
      </c>
      <c r="V89" s="219">
        <v>729.41967799999998</v>
      </c>
      <c r="W89" s="219">
        <v>747.72357199999999</v>
      </c>
      <c r="X89" s="219">
        <v>766.74267599999996</v>
      </c>
      <c r="Y89" s="219">
        <v>785.62506099999996</v>
      </c>
      <c r="Z89" s="219">
        <v>804.37023899999997</v>
      </c>
      <c r="AA89" s="219">
        <v>823.62792999999999</v>
      </c>
      <c r="AB89" s="219">
        <v>844.26458700000001</v>
      </c>
      <c r="AC89" s="219">
        <v>865.40924099999995</v>
      </c>
      <c r="AD89" s="219">
        <v>886.90051300000005</v>
      </c>
      <c r="AE89" s="219">
        <v>910.05938700000002</v>
      </c>
      <c r="AF89" s="212">
        <v>3.0911000000000001E-2</v>
      </c>
      <c r="AG89" s="31"/>
    </row>
    <row r="90" spans="1:33">
      <c r="A90" s="30" t="s">
        <v>1214</v>
      </c>
      <c r="B90" s="210" t="s">
        <v>288</v>
      </c>
      <c r="C90" s="219">
        <v>2192.506836</v>
      </c>
      <c r="D90" s="219">
        <v>2294.7797850000002</v>
      </c>
      <c r="E90" s="219">
        <v>2285.0671390000002</v>
      </c>
      <c r="F90" s="219">
        <v>2272.531982</v>
      </c>
      <c r="G90" s="219">
        <v>2304.6689449999999</v>
      </c>
      <c r="H90" s="219">
        <v>2337.1623540000001</v>
      </c>
      <c r="I90" s="219">
        <v>2364.923828</v>
      </c>
      <c r="J90" s="219">
        <v>2386.2856449999999</v>
      </c>
      <c r="K90" s="219">
        <v>2401.8955080000001</v>
      </c>
      <c r="L90" s="219">
        <v>2420.0888669999999</v>
      </c>
      <c r="M90" s="219">
        <v>2450.876221</v>
      </c>
      <c r="N90" s="219">
        <v>2489.1208499999998</v>
      </c>
      <c r="O90" s="219">
        <v>2527.4636230000001</v>
      </c>
      <c r="P90" s="219">
        <v>2567.055664</v>
      </c>
      <c r="Q90" s="219">
        <v>2612.4023440000001</v>
      </c>
      <c r="R90" s="219">
        <v>2663.3029790000001</v>
      </c>
      <c r="S90" s="219">
        <v>2717.0910640000002</v>
      </c>
      <c r="T90" s="219">
        <v>2772.2053219999998</v>
      </c>
      <c r="U90" s="219">
        <v>2836.0966800000001</v>
      </c>
      <c r="V90" s="219">
        <v>2900.0434570000002</v>
      </c>
      <c r="W90" s="219">
        <v>2965.8469239999999</v>
      </c>
      <c r="X90" s="219">
        <v>3034.3120119999999</v>
      </c>
      <c r="Y90" s="219">
        <v>3101.4172359999998</v>
      </c>
      <c r="Z90" s="219">
        <v>3167.163086</v>
      </c>
      <c r="AA90" s="219">
        <v>3234.580078</v>
      </c>
      <c r="AB90" s="219">
        <v>3307.672607</v>
      </c>
      <c r="AC90" s="219">
        <v>3382.3439939999998</v>
      </c>
      <c r="AD90" s="219">
        <v>3457.8256839999999</v>
      </c>
      <c r="AE90" s="219">
        <v>3540.201904</v>
      </c>
      <c r="AF90" s="212">
        <v>1.7259E-2</v>
      </c>
      <c r="AG90" s="31"/>
    </row>
    <row r="91" spans="1:33">
      <c r="A91" s="30" t="s">
        <v>1215</v>
      </c>
      <c r="B91" s="210" t="s">
        <v>289</v>
      </c>
      <c r="C91" s="219">
        <v>636.88562000000002</v>
      </c>
      <c r="D91" s="219">
        <v>724.73333700000001</v>
      </c>
      <c r="E91" s="219">
        <v>779.74560499999995</v>
      </c>
      <c r="F91" s="219">
        <v>812.74212599999998</v>
      </c>
      <c r="G91" s="219">
        <v>842.13964799999997</v>
      </c>
      <c r="H91" s="219">
        <v>868.23669400000006</v>
      </c>
      <c r="I91" s="219">
        <v>880.58709699999997</v>
      </c>
      <c r="J91" s="219">
        <v>893.67065400000001</v>
      </c>
      <c r="K91" s="219">
        <v>907.385132</v>
      </c>
      <c r="L91" s="219">
        <v>921.72094700000002</v>
      </c>
      <c r="M91" s="219">
        <v>936.61547900000005</v>
      </c>
      <c r="N91" s="219">
        <v>952.00158699999997</v>
      </c>
      <c r="O91" s="219">
        <v>967.85717799999998</v>
      </c>
      <c r="P91" s="219">
        <v>984.16497800000002</v>
      </c>
      <c r="Q91" s="219">
        <v>1000.907166</v>
      </c>
      <c r="R91" s="219">
        <v>1018.072632</v>
      </c>
      <c r="S91" s="219">
        <v>1035.6483149999999</v>
      </c>
      <c r="T91" s="219">
        <v>1053.627808</v>
      </c>
      <c r="U91" s="219">
        <v>1071.974365</v>
      </c>
      <c r="V91" s="219">
        <v>1090.6904300000001</v>
      </c>
      <c r="W91" s="219">
        <v>1109.7749020000001</v>
      </c>
      <c r="X91" s="219">
        <v>1129.216553</v>
      </c>
      <c r="Y91" s="219">
        <v>1149.044922</v>
      </c>
      <c r="Z91" s="219">
        <v>1169.2723390000001</v>
      </c>
      <c r="AA91" s="219">
        <v>1189.899414</v>
      </c>
      <c r="AB91" s="219">
        <v>1210.932861</v>
      </c>
      <c r="AC91" s="219">
        <v>1232.377686</v>
      </c>
      <c r="AD91" s="219">
        <v>1254.2468260000001</v>
      </c>
      <c r="AE91" s="219">
        <v>1276.5483400000001</v>
      </c>
      <c r="AF91" s="212">
        <v>2.5144E-2</v>
      </c>
      <c r="AG91" s="31"/>
    </row>
    <row r="92" spans="1:33">
      <c r="A92" s="30" t="s">
        <v>1216</v>
      </c>
      <c r="B92" s="210" t="s">
        <v>294</v>
      </c>
      <c r="C92" s="219">
        <v>273.16107199999999</v>
      </c>
      <c r="D92" s="219">
        <v>305.90670799999998</v>
      </c>
      <c r="E92" s="219">
        <v>322.99240099999997</v>
      </c>
      <c r="F92" s="219">
        <v>334.52890000000002</v>
      </c>
      <c r="G92" s="219">
        <v>345.267517</v>
      </c>
      <c r="H92" s="219">
        <v>354.8349</v>
      </c>
      <c r="I92" s="219">
        <v>359.61828600000001</v>
      </c>
      <c r="J92" s="219">
        <v>364.701233</v>
      </c>
      <c r="K92" s="219">
        <v>370.03866599999998</v>
      </c>
      <c r="L92" s="219">
        <v>375.62744099999998</v>
      </c>
      <c r="M92" s="219">
        <v>381.439819</v>
      </c>
      <c r="N92" s="219">
        <v>387.44644199999999</v>
      </c>
      <c r="O92" s="219">
        <v>393.637787</v>
      </c>
      <c r="P92" s="219">
        <v>400.00628699999999</v>
      </c>
      <c r="Q92" s="219">
        <v>406.54440299999999</v>
      </c>
      <c r="R92" s="219">
        <v>413.24707000000001</v>
      </c>
      <c r="S92" s="219">
        <v>420.10864299999997</v>
      </c>
      <c r="T92" s="219">
        <v>427.12606799999998</v>
      </c>
      <c r="U92" s="219">
        <v>434.28280599999999</v>
      </c>
      <c r="V92" s="219">
        <v>441.58017000000001</v>
      </c>
      <c r="W92" s="219">
        <v>449.01767000000001</v>
      </c>
      <c r="X92" s="219">
        <v>456.59021000000001</v>
      </c>
      <c r="Y92" s="219">
        <v>464.30926499999998</v>
      </c>
      <c r="Z92" s="219">
        <v>472.17950400000001</v>
      </c>
      <c r="AA92" s="219">
        <v>480.20059199999997</v>
      </c>
      <c r="AB92" s="219">
        <v>488.375092</v>
      </c>
      <c r="AC92" s="219">
        <v>496.70452899999998</v>
      </c>
      <c r="AD92" s="219">
        <v>505.19372600000003</v>
      </c>
      <c r="AE92" s="219">
        <v>513.84545900000001</v>
      </c>
      <c r="AF92" s="212">
        <v>2.2823E-2</v>
      </c>
      <c r="AG92" s="31"/>
    </row>
    <row r="93" spans="1:33">
      <c r="A93" s="30" t="s">
        <v>1217</v>
      </c>
      <c r="B93" s="210" t="s">
        <v>287</v>
      </c>
      <c r="C93" s="219">
        <v>73.902916000000005</v>
      </c>
      <c r="D93" s="219">
        <v>92.482269000000002</v>
      </c>
      <c r="E93" s="219">
        <v>106.752396</v>
      </c>
      <c r="F93" s="219">
        <v>116.04083300000001</v>
      </c>
      <c r="G93" s="219">
        <v>123.285713</v>
      </c>
      <c r="H93" s="219">
        <v>129.63995399999999</v>
      </c>
      <c r="I93" s="219">
        <v>132.075073</v>
      </c>
      <c r="J93" s="219">
        <v>134.61972</v>
      </c>
      <c r="K93" s="219">
        <v>137.266052</v>
      </c>
      <c r="L93" s="219">
        <v>140.01118500000001</v>
      </c>
      <c r="M93" s="219">
        <v>142.85011299999999</v>
      </c>
      <c r="N93" s="219">
        <v>145.77740499999999</v>
      </c>
      <c r="O93" s="219">
        <v>148.79087799999999</v>
      </c>
      <c r="P93" s="219">
        <v>151.88885500000001</v>
      </c>
      <c r="Q93" s="219">
        <v>155.06951900000001</v>
      </c>
      <c r="R93" s="219">
        <v>158.33225999999999</v>
      </c>
      <c r="S93" s="219">
        <v>161.675735</v>
      </c>
      <c r="T93" s="219">
        <v>165.100067</v>
      </c>
      <c r="U93" s="219">
        <v>168.60325599999999</v>
      </c>
      <c r="V93" s="219">
        <v>172.18461600000001</v>
      </c>
      <c r="W93" s="219">
        <v>175.84478799999999</v>
      </c>
      <c r="X93" s="219">
        <v>179.582413</v>
      </c>
      <c r="Y93" s="219">
        <v>183.40360999999999</v>
      </c>
      <c r="Z93" s="219">
        <v>187.31118799999999</v>
      </c>
      <c r="AA93" s="219">
        <v>191.30612199999999</v>
      </c>
      <c r="AB93" s="219">
        <v>195.39027400000001</v>
      </c>
      <c r="AC93" s="219">
        <v>199.56527700000001</v>
      </c>
      <c r="AD93" s="219">
        <v>203.83422899999999</v>
      </c>
      <c r="AE93" s="219">
        <v>208.19927999999999</v>
      </c>
      <c r="AF93" s="212">
        <v>3.7683000000000001E-2</v>
      </c>
      <c r="AG93" s="31"/>
    </row>
    <row r="94" spans="1:33">
      <c r="A94" s="30" t="s">
        <v>1218</v>
      </c>
      <c r="B94" s="210" t="s">
        <v>288</v>
      </c>
      <c r="C94" s="219">
        <v>289.821594</v>
      </c>
      <c r="D94" s="219">
        <v>326.34435999999999</v>
      </c>
      <c r="E94" s="219">
        <v>350.00076300000001</v>
      </c>
      <c r="F94" s="219">
        <v>362.172394</v>
      </c>
      <c r="G94" s="219">
        <v>373.586456</v>
      </c>
      <c r="H94" s="219">
        <v>383.76187099999999</v>
      </c>
      <c r="I94" s="219">
        <v>388.89373799999998</v>
      </c>
      <c r="J94" s="219">
        <v>394.34970099999998</v>
      </c>
      <c r="K94" s="219">
        <v>400.08038299999998</v>
      </c>
      <c r="L94" s="219">
        <v>406.082336</v>
      </c>
      <c r="M94" s="219">
        <v>412.32553100000001</v>
      </c>
      <c r="N94" s="219">
        <v>418.77773999999999</v>
      </c>
      <c r="O94" s="219">
        <v>425.42852800000003</v>
      </c>
      <c r="P94" s="219">
        <v>432.269836</v>
      </c>
      <c r="Q94" s="219">
        <v>439.293274</v>
      </c>
      <c r="R94" s="219">
        <v>446.49328600000001</v>
      </c>
      <c r="S94" s="219">
        <v>453.863922</v>
      </c>
      <c r="T94" s="219">
        <v>461.40167200000002</v>
      </c>
      <c r="U94" s="219">
        <v>469.088348</v>
      </c>
      <c r="V94" s="219">
        <v>476.92559799999998</v>
      </c>
      <c r="W94" s="219">
        <v>484.91253699999999</v>
      </c>
      <c r="X94" s="219">
        <v>493.04388399999999</v>
      </c>
      <c r="Y94" s="219">
        <v>501.33206200000001</v>
      </c>
      <c r="Z94" s="219">
        <v>509.78164700000002</v>
      </c>
      <c r="AA94" s="219">
        <v>518.39263900000003</v>
      </c>
      <c r="AB94" s="219">
        <v>527.16754200000003</v>
      </c>
      <c r="AC94" s="219">
        <v>536.10790999999995</v>
      </c>
      <c r="AD94" s="219">
        <v>545.21881099999996</v>
      </c>
      <c r="AE94" s="219">
        <v>554.50354000000004</v>
      </c>
      <c r="AF94" s="212">
        <v>2.3442000000000001E-2</v>
      </c>
      <c r="AG94" s="31"/>
    </row>
    <row r="95" spans="1:33">
      <c r="A95" s="30" t="s">
        <v>1219</v>
      </c>
      <c r="B95" s="210" t="s">
        <v>289</v>
      </c>
      <c r="C95" s="219">
        <v>510.13781699999998</v>
      </c>
      <c r="D95" s="219">
        <v>607.08679199999995</v>
      </c>
      <c r="E95" s="219">
        <v>689.76232900000002</v>
      </c>
      <c r="F95" s="219">
        <v>731.00323500000002</v>
      </c>
      <c r="G95" s="219">
        <v>770.99700900000005</v>
      </c>
      <c r="H95" s="219">
        <v>801.07250999999997</v>
      </c>
      <c r="I95" s="219">
        <v>827.71020499999997</v>
      </c>
      <c r="J95" s="219">
        <v>852.55218500000001</v>
      </c>
      <c r="K95" s="219">
        <v>878.49865699999998</v>
      </c>
      <c r="L95" s="219">
        <v>905.47668499999997</v>
      </c>
      <c r="M95" s="219">
        <v>933.66302499999995</v>
      </c>
      <c r="N95" s="219">
        <v>962.88934300000005</v>
      </c>
      <c r="O95" s="219">
        <v>993.16522199999997</v>
      </c>
      <c r="P95" s="219">
        <v>1024.485596</v>
      </c>
      <c r="Q95" s="219">
        <v>1056.7460940000001</v>
      </c>
      <c r="R95" s="219">
        <v>1090.045654</v>
      </c>
      <c r="S95" s="219">
        <v>1124.4025879999999</v>
      </c>
      <c r="T95" s="219">
        <v>1159.8264160000001</v>
      </c>
      <c r="U95" s="219">
        <v>1196.290405</v>
      </c>
      <c r="V95" s="219">
        <v>1233.541626</v>
      </c>
      <c r="W95" s="219">
        <v>1271.8422849999999</v>
      </c>
      <c r="X95" s="219">
        <v>1311.208862</v>
      </c>
      <c r="Y95" s="219">
        <v>1351.653564</v>
      </c>
      <c r="Z95" s="219">
        <v>1393.179443</v>
      </c>
      <c r="AA95" s="219">
        <v>1435.486328</v>
      </c>
      <c r="AB95" s="219">
        <v>1478.831909</v>
      </c>
      <c r="AC95" s="219">
        <v>1523.3122559999999</v>
      </c>
      <c r="AD95" s="219">
        <v>1569.0361330000001</v>
      </c>
      <c r="AE95" s="219">
        <v>1616.095703</v>
      </c>
      <c r="AF95" s="212">
        <v>4.2041000000000002E-2</v>
      </c>
      <c r="AG95" s="31"/>
    </row>
    <row r="96" spans="1:33">
      <c r="A96" s="30" t="s">
        <v>1220</v>
      </c>
      <c r="B96" s="210" t="s">
        <v>295</v>
      </c>
      <c r="C96" s="219">
        <v>316.654022</v>
      </c>
      <c r="D96" s="219">
        <v>377.51306199999999</v>
      </c>
      <c r="E96" s="219">
        <v>429.65152</v>
      </c>
      <c r="F96" s="219">
        <v>455.68197600000002</v>
      </c>
      <c r="G96" s="219">
        <v>480.828033</v>
      </c>
      <c r="H96" s="219">
        <v>499.65640300000001</v>
      </c>
      <c r="I96" s="219">
        <v>516.28814699999998</v>
      </c>
      <c r="J96" s="219">
        <v>531.76483199999996</v>
      </c>
      <c r="K96" s="219">
        <v>547.92858899999999</v>
      </c>
      <c r="L96" s="219">
        <v>564.73394800000005</v>
      </c>
      <c r="M96" s="219">
        <v>582.29070999999999</v>
      </c>
      <c r="N96" s="219">
        <v>600.494507</v>
      </c>
      <c r="O96" s="219">
        <v>619.35095200000001</v>
      </c>
      <c r="P96" s="219">
        <v>638.85717799999998</v>
      </c>
      <c r="Q96" s="219">
        <v>658.94805899999994</v>
      </c>
      <c r="R96" s="219">
        <v>679.68518100000006</v>
      </c>
      <c r="S96" s="219">
        <v>701.07959000000005</v>
      </c>
      <c r="T96" s="219">
        <v>723.13751200000002</v>
      </c>
      <c r="U96" s="219">
        <v>745.84216300000003</v>
      </c>
      <c r="V96" s="219">
        <v>769.036743</v>
      </c>
      <c r="W96" s="219">
        <v>792.88372800000002</v>
      </c>
      <c r="X96" s="219">
        <v>817.39331100000004</v>
      </c>
      <c r="Y96" s="219">
        <v>842.57318099999998</v>
      </c>
      <c r="Z96" s="219">
        <v>868.42498799999998</v>
      </c>
      <c r="AA96" s="219">
        <v>894.76245100000006</v>
      </c>
      <c r="AB96" s="219">
        <v>921.74530000000004</v>
      </c>
      <c r="AC96" s="219">
        <v>949.43347200000005</v>
      </c>
      <c r="AD96" s="219">
        <v>977.89483600000005</v>
      </c>
      <c r="AE96" s="219">
        <v>1007.1868899999999</v>
      </c>
      <c r="AF96" s="212">
        <v>4.2190999999999999E-2</v>
      </c>
      <c r="AG96" s="31"/>
    </row>
    <row r="97" spans="1:33">
      <c r="A97" s="30" t="s">
        <v>1221</v>
      </c>
      <c r="B97" s="210" t="s">
        <v>287</v>
      </c>
      <c r="C97" s="219">
        <v>40.398083</v>
      </c>
      <c r="D97" s="219">
        <v>50.614764999999998</v>
      </c>
      <c r="E97" s="219">
        <v>59.206772000000001</v>
      </c>
      <c r="F97" s="219">
        <v>65.663933</v>
      </c>
      <c r="G97" s="219">
        <v>71.095741000000004</v>
      </c>
      <c r="H97" s="219">
        <v>74.483497999999997</v>
      </c>
      <c r="I97" s="219">
        <v>77.105109999999996</v>
      </c>
      <c r="J97" s="219">
        <v>79.25985</v>
      </c>
      <c r="K97" s="219">
        <v>81.502052000000006</v>
      </c>
      <c r="L97" s="219">
        <v>83.824104000000005</v>
      </c>
      <c r="M97" s="219">
        <v>86.239936999999998</v>
      </c>
      <c r="N97" s="219">
        <v>88.737815999999995</v>
      </c>
      <c r="O97" s="219">
        <v>91.317672999999999</v>
      </c>
      <c r="P97" s="219">
        <v>93.978309999999993</v>
      </c>
      <c r="Q97" s="219">
        <v>96.712646000000007</v>
      </c>
      <c r="R97" s="219">
        <v>99.526816999999994</v>
      </c>
      <c r="S97" s="219">
        <v>102.42166899999999</v>
      </c>
      <c r="T97" s="219">
        <v>105.397537</v>
      </c>
      <c r="U97" s="219">
        <v>108.45356</v>
      </c>
      <c r="V97" s="219">
        <v>111.572723</v>
      </c>
      <c r="W97" s="219">
        <v>114.771461</v>
      </c>
      <c r="X97" s="219">
        <v>118.050468</v>
      </c>
      <c r="Y97" s="219">
        <v>121.41037799999999</v>
      </c>
      <c r="Z97" s="219">
        <v>124.85075399999999</v>
      </c>
      <c r="AA97" s="219">
        <v>128.35020399999999</v>
      </c>
      <c r="AB97" s="219">
        <v>131.92523199999999</v>
      </c>
      <c r="AC97" s="219">
        <v>135.58485400000001</v>
      </c>
      <c r="AD97" s="219">
        <v>139.33955399999999</v>
      </c>
      <c r="AE97" s="219">
        <v>143.19787600000001</v>
      </c>
      <c r="AF97" s="212">
        <v>4.6231000000000001E-2</v>
      </c>
      <c r="AG97" s="31"/>
    </row>
    <row r="98" spans="1:33">
      <c r="A98" s="30" t="s">
        <v>1222</v>
      </c>
      <c r="B98" s="210" t="s">
        <v>288</v>
      </c>
      <c r="C98" s="219">
        <v>153.08570900000001</v>
      </c>
      <c r="D98" s="219">
        <v>178.958923</v>
      </c>
      <c r="E98" s="219">
        <v>200.90403699999999</v>
      </c>
      <c r="F98" s="219">
        <v>209.65733299999999</v>
      </c>
      <c r="G98" s="219">
        <v>219.07325700000001</v>
      </c>
      <c r="H98" s="219">
        <v>226.932648</v>
      </c>
      <c r="I98" s="219">
        <v>234.316925</v>
      </c>
      <c r="J98" s="219">
        <v>241.527512</v>
      </c>
      <c r="K98" s="219">
        <v>249.06796299999999</v>
      </c>
      <c r="L98" s="219">
        <v>256.91863999999998</v>
      </c>
      <c r="M98" s="219">
        <v>265.132385</v>
      </c>
      <c r="N98" s="219">
        <v>273.65704299999999</v>
      </c>
      <c r="O98" s="219">
        <v>282.49658199999999</v>
      </c>
      <c r="P98" s="219">
        <v>291.65014600000001</v>
      </c>
      <c r="Q98" s="219">
        <v>301.08532700000001</v>
      </c>
      <c r="R98" s="219">
        <v>310.83364899999998</v>
      </c>
      <c r="S98" s="219">
        <v>320.901276</v>
      </c>
      <c r="T98" s="219">
        <v>331.29144300000002</v>
      </c>
      <c r="U98" s="219">
        <v>341.99471999999997</v>
      </c>
      <c r="V98" s="219">
        <v>352.93215900000001</v>
      </c>
      <c r="W98" s="219">
        <v>364.18710299999998</v>
      </c>
      <c r="X98" s="219">
        <v>375.76504499999999</v>
      </c>
      <c r="Y98" s="219">
        <v>387.669983</v>
      </c>
      <c r="Z98" s="219">
        <v>399.90365600000001</v>
      </c>
      <c r="AA98" s="219">
        <v>412.37359600000002</v>
      </c>
      <c r="AB98" s="219">
        <v>425.161407</v>
      </c>
      <c r="AC98" s="219">
        <v>438.29391500000003</v>
      </c>
      <c r="AD98" s="219">
        <v>451.80172700000003</v>
      </c>
      <c r="AE98" s="219">
        <v>465.710938</v>
      </c>
      <c r="AF98" s="212">
        <v>4.0534000000000001E-2</v>
      </c>
      <c r="AG98" s="31"/>
    </row>
    <row r="99" spans="1:33">
      <c r="A99" s="30" t="s">
        <v>1223</v>
      </c>
      <c r="B99" s="210" t="s">
        <v>289</v>
      </c>
      <c r="C99" s="219">
        <v>3762.0329590000001</v>
      </c>
      <c r="D99" s="219">
        <v>4748.001953</v>
      </c>
      <c r="E99" s="219">
        <v>5353.5395509999998</v>
      </c>
      <c r="F99" s="219">
        <v>5531.044922</v>
      </c>
      <c r="G99" s="219">
        <v>5775.6142579999996</v>
      </c>
      <c r="H99" s="219">
        <v>5864.3710940000001</v>
      </c>
      <c r="I99" s="219">
        <v>5956.8701170000004</v>
      </c>
      <c r="J99" s="219">
        <v>6053.4848629999997</v>
      </c>
      <c r="K99" s="219">
        <v>6154.3422849999997</v>
      </c>
      <c r="L99" s="219">
        <v>6259.3935549999997</v>
      </c>
      <c r="M99" s="219">
        <v>6368.6088870000003</v>
      </c>
      <c r="N99" s="219">
        <v>6481.9433589999999</v>
      </c>
      <c r="O99" s="219">
        <v>6599.0610349999997</v>
      </c>
      <c r="P99" s="219">
        <v>6719.5424800000001</v>
      </c>
      <c r="Q99" s="219">
        <v>6843.6357420000004</v>
      </c>
      <c r="R99" s="219">
        <v>6971.5454099999997</v>
      </c>
      <c r="S99" s="219">
        <v>7103.0249020000001</v>
      </c>
      <c r="T99" s="219">
        <v>7237.9794920000004</v>
      </c>
      <c r="U99" s="219">
        <v>7376.4609380000002</v>
      </c>
      <c r="V99" s="219">
        <v>7518.2265619999998</v>
      </c>
      <c r="W99" s="219">
        <v>7663.1791990000002</v>
      </c>
      <c r="X99" s="219">
        <v>7811.2163090000004</v>
      </c>
      <c r="Y99" s="219">
        <v>7962.2353519999997</v>
      </c>
      <c r="Z99" s="219">
        <v>8116.169922</v>
      </c>
      <c r="AA99" s="219">
        <v>8272.9707030000009</v>
      </c>
      <c r="AB99" s="219">
        <v>8432.609375</v>
      </c>
      <c r="AC99" s="219">
        <v>8595.2480469999991</v>
      </c>
      <c r="AD99" s="219">
        <v>8761.1083980000003</v>
      </c>
      <c r="AE99" s="219">
        <v>8930.3339840000008</v>
      </c>
      <c r="AF99" s="212">
        <v>3.1356000000000002E-2</v>
      </c>
      <c r="AG99" s="31"/>
    </row>
    <row r="100" spans="1:33">
      <c r="A100" s="30" t="s">
        <v>1224</v>
      </c>
      <c r="B100" s="210" t="s">
        <v>296</v>
      </c>
      <c r="C100" s="219">
        <v>2251.7707519999999</v>
      </c>
      <c r="D100" s="219">
        <v>2824.7802729999999</v>
      </c>
      <c r="E100" s="219">
        <v>3159.9794919999999</v>
      </c>
      <c r="F100" s="219">
        <v>3257.9604490000002</v>
      </c>
      <c r="G100" s="219">
        <v>3380.0771479999999</v>
      </c>
      <c r="H100" s="219">
        <v>3432.951904</v>
      </c>
      <c r="I100" s="219">
        <v>3487.991211</v>
      </c>
      <c r="J100" s="219">
        <v>3545.4409179999998</v>
      </c>
      <c r="K100" s="219">
        <v>3605.3881839999999</v>
      </c>
      <c r="L100" s="219">
        <v>3667.8046880000002</v>
      </c>
      <c r="M100" s="219">
        <v>3732.6826169999999</v>
      </c>
      <c r="N100" s="219">
        <v>3800.0107419999999</v>
      </c>
      <c r="O100" s="219">
        <v>3869.5900879999999</v>
      </c>
      <c r="P100" s="219">
        <v>3941.16626</v>
      </c>
      <c r="Q100" s="219">
        <v>4014.9035640000002</v>
      </c>
      <c r="R100" s="219">
        <v>4090.930664</v>
      </c>
      <c r="S100" s="219">
        <v>4169.0976559999999</v>
      </c>
      <c r="T100" s="219">
        <v>4249.3491210000002</v>
      </c>
      <c r="U100" s="219">
        <v>4331.7280270000001</v>
      </c>
      <c r="V100" s="219">
        <v>4416.0815430000002</v>
      </c>
      <c r="W100" s="219">
        <v>4502.3525390000004</v>
      </c>
      <c r="X100" s="219">
        <v>4590.4814450000003</v>
      </c>
      <c r="Y100" s="219">
        <v>4680.40625</v>
      </c>
      <c r="Z100" s="219">
        <v>4772.091797</v>
      </c>
      <c r="AA100" s="219">
        <v>4865.5161129999997</v>
      </c>
      <c r="AB100" s="219">
        <v>4960.6669920000004</v>
      </c>
      <c r="AC100" s="219">
        <v>5057.6396480000003</v>
      </c>
      <c r="AD100" s="219">
        <v>5156.5708009999998</v>
      </c>
      <c r="AE100" s="219">
        <v>5257.5439450000003</v>
      </c>
      <c r="AF100" s="212">
        <v>3.0747E-2</v>
      </c>
      <c r="AG100" s="31"/>
    </row>
    <row r="101" spans="1:33">
      <c r="A101" s="30" t="s">
        <v>1225</v>
      </c>
      <c r="B101" s="210" t="s">
        <v>287</v>
      </c>
      <c r="C101" s="219">
        <v>599.214294</v>
      </c>
      <c r="D101" s="219">
        <v>762.268372</v>
      </c>
      <c r="E101" s="219">
        <v>868.50219700000002</v>
      </c>
      <c r="F101" s="219">
        <v>908.78015100000005</v>
      </c>
      <c r="G101" s="219">
        <v>986.05267300000003</v>
      </c>
      <c r="H101" s="219">
        <v>999.63122599999997</v>
      </c>
      <c r="I101" s="219">
        <v>1013.892578</v>
      </c>
      <c r="J101" s="219">
        <v>1028.8524170000001</v>
      </c>
      <c r="K101" s="219">
        <v>1044.5131839999999</v>
      </c>
      <c r="L101" s="219">
        <v>1060.864746</v>
      </c>
      <c r="M101" s="219">
        <v>1077.8847659999999</v>
      </c>
      <c r="N101" s="219">
        <v>1095.54187</v>
      </c>
      <c r="O101" s="219">
        <v>1113.7825929999999</v>
      </c>
      <c r="P101" s="219">
        <v>1132.5489500000001</v>
      </c>
      <c r="Q101" s="219">
        <v>1151.852539</v>
      </c>
      <c r="R101" s="219">
        <v>1171.7117920000001</v>
      </c>
      <c r="S101" s="219">
        <v>1192.096313</v>
      </c>
      <c r="T101" s="219">
        <v>1212.9866939999999</v>
      </c>
      <c r="U101" s="219">
        <v>1234.3725589999999</v>
      </c>
      <c r="V101" s="219">
        <v>1256.2304690000001</v>
      </c>
      <c r="W101" s="219">
        <v>1278.5439449999999</v>
      </c>
      <c r="X101" s="219">
        <v>1301.295044</v>
      </c>
      <c r="Y101" s="219">
        <v>1324.4681399999999</v>
      </c>
      <c r="Z101" s="219">
        <v>1348.048462</v>
      </c>
      <c r="AA101" s="219">
        <v>1372.0131839999999</v>
      </c>
      <c r="AB101" s="219">
        <v>1396.3532709999999</v>
      </c>
      <c r="AC101" s="219">
        <v>1421.0908199999999</v>
      </c>
      <c r="AD101" s="219">
        <v>1446.2570800000001</v>
      </c>
      <c r="AE101" s="219">
        <v>1471.8752440000001</v>
      </c>
      <c r="AF101" s="212">
        <v>3.2615999999999999E-2</v>
      </c>
      <c r="AG101" s="31"/>
    </row>
    <row r="102" spans="1:33">
      <c r="A102" s="30" t="s">
        <v>1226</v>
      </c>
      <c r="B102" s="210" t="s">
        <v>288</v>
      </c>
      <c r="C102" s="219">
        <v>911.04791299999999</v>
      </c>
      <c r="D102" s="219">
        <v>1160.9532469999999</v>
      </c>
      <c r="E102" s="219">
        <v>1325.0579829999999</v>
      </c>
      <c r="F102" s="219">
        <v>1364.3039550000001</v>
      </c>
      <c r="G102" s="219">
        <v>1409.484375</v>
      </c>
      <c r="H102" s="219">
        <v>1431.788086</v>
      </c>
      <c r="I102" s="219">
        <v>1454.986328</v>
      </c>
      <c r="J102" s="219">
        <v>1479.191284</v>
      </c>
      <c r="K102" s="219">
        <v>1504.4407960000001</v>
      </c>
      <c r="L102" s="219">
        <v>1530.7242429999999</v>
      </c>
      <c r="M102" s="219">
        <v>1558.0413820000001</v>
      </c>
      <c r="N102" s="219">
        <v>1586.3903809999999</v>
      </c>
      <c r="O102" s="219">
        <v>1615.6884769999999</v>
      </c>
      <c r="P102" s="219">
        <v>1645.8271480000001</v>
      </c>
      <c r="Q102" s="219">
        <v>1676.8798830000001</v>
      </c>
      <c r="R102" s="219">
        <v>1708.9027100000001</v>
      </c>
      <c r="S102" s="219">
        <v>1741.831177</v>
      </c>
      <c r="T102" s="219">
        <v>1775.643311</v>
      </c>
      <c r="U102" s="219">
        <v>1810.3602289999999</v>
      </c>
      <c r="V102" s="219">
        <v>1845.914673</v>
      </c>
      <c r="W102" s="219">
        <v>1882.282837</v>
      </c>
      <c r="X102" s="219">
        <v>1919.440063</v>
      </c>
      <c r="Y102" s="219">
        <v>1957.360596</v>
      </c>
      <c r="Z102" s="219">
        <v>1996.030029</v>
      </c>
      <c r="AA102" s="219">
        <v>2035.4411620000001</v>
      </c>
      <c r="AB102" s="219">
        <v>2075.5893550000001</v>
      </c>
      <c r="AC102" s="219">
        <v>2116.5170899999998</v>
      </c>
      <c r="AD102" s="219">
        <v>2158.280518</v>
      </c>
      <c r="AE102" s="219">
        <v>2200.9147950000001</v>
      </c>
      <c r="AF102" s="212">
        <v>3.2002999999999997E-2</v>
      </c>
      <c r="AG102" s="31"/>
    </row>
    <row r="103" spans="1:33">
      <c r="A103" s="30" t="s">
        <v>1227</v>
      </c>
      <c r="B103" s="210" t="s">
        <v>289</v>
      </c>
      <c r="C103" s="219">
        <v>334.30587800000001</v>
      </c>
      <c r="D103" s="219">
        <v>482.67523199999999</v>
      </c>
      <c r="E103" s="219">
        <v>543.73724400000003</v>
      </c>
      <c r="F103" s="219">
        <v>574.16961700000002</v>
      </c>
      <c r="G103" s="219">
        <v>609.476135</v>
      </c>
      <c r="H103" s="219">
        <v>631.25524900000005</v>
      </c>
      <c r="I103" s="219">
        <v>650.66949499999998</v>
      </c>
      <c r="J103" s="219">
        <v>650.72229000000004</v>
      </c>
      <c r="K103" s="219">
        <v>650.47351100000003</v>
      </c>
      <c r="L103" s="219">
        <v>650.04211399999997</v>
      </c>
      <c r="M103" s="219">
        <v>649.65869099999998</v>
      </c>
      <c r="N103" s="219">
        <v>649.51635699999997</v>
      </c>
      <c r="O103" s="219">
        <v>649.60699499999998</v>
      </c>
      <c r="P103" s="219">
        <v>649.90551800000003</v>
      </c>
      <c r="Q103" s="219">
        <v>650.389771</v>
      </c>
      <c r="R103" s="219">
        <v>651.04125999999997</v>
      </c>
      <c r="S103" s="219">
        <v>651.84350600000005</v>
      </c>
      <c r="T103" s="219">
        <v>652.77838099999997</v>
      </c>
      <c r="U103" s="219">
        <v>653.81298800000002</v>
      </c>
      <c r="V103" s="219">
        <v>654.95043899999996</v>
      </c>
      <c r="W103" s="219">
        <v>656.17468299999996</v>
      </c>
      <c r="X103" s="219">
        <v>657.48034700000005</v>
      </c>
      <c r="Y103" s="219">
        <v>658.88653599999998</v>
      </c>
      <c r="Z103" s="219">
        <v>660.45416299999999</v>
      </c>
      <c r="AA103" s="219">
        <v>662.22705099999996</v>
      </c>
      <c r="AB103" s="219">
        <v>664.21197500000005</v>
      </c>
      <c r="AC103" s="219">
        <v>666.40466300000003</v>
      </c>
      <c r="AD103" s="219">
        <v>668.80127000000005</v>
      </c>
      <c r="AE103" s="219">
        <v>671.39721699999996</v>
      </c>
      <c r="AF103" s="212">
        <v>2.5215999999999999E-2</v>
      </c>
      <c r="AG103" s="31"/>
    </row>
    <row r="104" spans="1:33">
      <c r="A104" s="30" t="s">
        <v>1228</v>
      </c>
      <c r="B104" s="210" t="s">
        <v>297</v>
      </c>
      <c r="C104" s="219">
        <v>157.00242600000001</v>
      </c>
      <c r="D104" s="219">
        <v>226.84420800000001</v>
      </c>
      <c r="E104" s="219">
        <v>246.46307400000001</v>
      </c>
      <c r="F104" s="219">
        <v>254.599121</v>
      </c>
      <c r="G104" s="219">
        <v>261.34945699999997</v>
      </c>
      <c r="H104" s="219">
        <v>265.541901</v>
      </c>
      <c r="I104" s="219">
        <v>269.29544099999998</v>
      </c>
      <c r="J104" s="219">
        <v>269.39648399999999</v>
      </c>
      <c r="K104" s="219">
        <v>269.45678700000002</v>
      </c>
      <c r="L104" s="219">
        <v>269.50479100000001</v>
      </c>
      <c r="M104" s="219">
        <v>269.59854100000001</v>
      </c>
      <c r="N104" s="219">
        <v>269.78677399999998</v>
      </c>
      <c r="O104" s="219">
        <v>270.06545999999997</v>
      </c>
      <c r="P104" s="219">
        <v>270.42456099999998</v>
      </c>
      <c r="Q104" s="219">
        <v>270.85540800000001</v>
      </c>
      <c r="R104" s="219">
        <v>271.35137900000001</v>
      </c>
      <c r="S104" s="219">
        <v>271.90600599999999</v>
      </c>
      <c r="T104" s="219">
        <v>272.51284800000002</v>
      </c>
      <c r="U104" s="219">
        <v>273.15570100000002</v>
      </c>
      <c r="V104" s="219">
        <v>273.838348</v>
      </c>
      <c r="W104" s="219">
        <v>274.55523699999998</v>
      </c>
      <c r="X104" s="219">
        <v>275.30450400000001</v>
      </c>
      <c r="Y104" s="219">
        <v>276.09158300000001</v>
      </c>
      <c r="Z104" s="219">
        <v>276.93158</v>
      </c>
      <c r="AA104" s="219">
        <v>277.83703600000001</v>
      </c>
      <c r="AB104" s="219">
        <v>278.80905200000001</v>
      </c>
      <c r="AC104" s="219">
        <v>279.84530599999999</v>
      </c>
      <c r="AD104" s="219">
        <v>280.943848</v>
      </c>
      <c r="AE104" s="219">
        <v>282.10253899999998</v>
      </c>
      <c r="AF104" s="212">
        <v>2.1149000000000001E-2</v>
      </c>
      <c r="AG104" s="31"/>
    </row>
    <row r="105" spans="1:33">
      <c r="A105" s="30" t="s">
        <v>1229</v>
      </c>
      <c r="B105" s="210" t="s">
        <v>287</v>
      </c>
      <c r="C105" s="219">
        <v>108.138092</v>
      </c>
      <c r="D105" s="219">
        <v>155.81738300000001</v>
      </c>
      <c r="E105" s="219">
        <v>191.16619900000001</v>
      </c>
      <c r="F105" s="219">
        <v>211.71112099999999</v>
      </c>
      <c r="G105" s="219">
        <v>240.22532699999999</v>
      </c>
      <c r="H105" s="219">
        <v>257.76501500000001</v>
      </c>
      <c r="I105" s="219">
        <v>273.371735</v>
      </c>
      <c r="J105" s="219">
        <v>273.25607300000001</v>
      </c>
      <c r="K105" s="219">
        <v>272.86740099999997</v>
      </c>
      <c r="L105" s="219">
        <v>272.29208399999999</v>
      </c>
      <c r="M105" s="219">
        <v>271.69168100000002</v>
      </c>
      <c r="N105" s="219">
        <v>271.20190400000001</v>
      </c>
      <c r="O105" s="219">
        <v>270.820312</v>
      </c>
      <c r="P105" s="219">
        <v>270.53582799999998</v>
      </c>
      <c r="Q105" s="219">
        <v>270.33837899999997</v>
      </c>
      <c r="R105" s="219">
        <v>270.21820100000002</v>
      </c>
      <c r="S105" s="219">
        <v>270.16796900000003</v>
      </c>
      <c r="T105" s="219">
        <v>270.17804000000001</v>
      </c>
      <c r="U105" s="219">
        <v>270.23925800000001</v>
      </c>
      <c r="V105" s="219">
        <v>270.34848</v>
      </c>
      <c r="W105" s="219">
        <v>270.49700899999999</v>
      </c>
      <c r="X105" s="219">
        <v>270.68206800000002</v>
      </c>
      <c r="Y105" s="219">
        <v>270.91598499999998</v>
      </c>
      <c r="Z105" s="219">
        <v>271.24194299999999</v>
      </c>
      <c r="AA105" s="219">
        <v>271.688019</v>
      </c>
      <c r="AB105" s="219">
        <v>272.26010100000002</v>
      </c>
      <c r="AC105" s="219">
        <v>272.957336</v>
      </c>
      <c r="AD105" s="219">
        <v>273.778595</v>
      </c>
      <c r="AE105" s="219">
        <v>274.72259500000001</v>
      </c>
      <c r="AF105" s="212">
        <v>3.3859E-2</v>
      </c>
      <c r="AG105" s="31"/>
    </row>
    <row r="106" spans="1:33">
      <c r="A106" s="30" t="s">
        <v>1230</v>
      </c>
      <c r="B106" s="210" t="s">
        <v>288</v>
      </c>
      <c r="C106" s="219">
        <v>69.165374999999997</v>
      </c>
      <c r="D106" s="219">
        <v>100.01365699999999</v>
      </c>
      <c r="E106" s="219">
        <v>106.107979</v>
      </c>
      <c r="F106" s="219">
        <v>107.859352</v>
      </c>
      <c r="G106" s="219">
        <v>107.90136699999999</v>
      </c>
      <c r="H106" s="219">
        <v>107.94834899999999</v>
      </c>
      <c r="I106" s="219">
        <v>108.00232699999999</v>
      </c>
      <c r="J106" s="219">
        <v>108.06967899999999</v>
      </c>
      <c r="K106" s="219">
        <v>108.149277</v>
      </c>
      <c r="L106" s="219">
        <v>108.24527</v>
      </c>
      <c r="M106" s="219">
        <v>108.36844600000001</v>
      </c>
      <c r="N106" s="219">
        <v>108.527725</v>
      </c>
      <c r="O106" s="219">
        <v>108.72123000000001</v>
      </c>
      <c r="P106" s="219">
        <v>108.94512899999999</v>
      </c>
      <c r="Q106" s="219">
        <v>109.19601400000001</v>
      </c>
      <c r="R106" s="219">
        <v>109.47168000000001</v>
      </c>
      <c r="S106" s="219">
        <v>109.76956199999999</v>
      </c>
      <c r="T106" s="219">
        <v>110.087486</v>
      </c>
      <c r="U106" s="219">
        <v>110.418037</v>
      </c>
      <c r="V106" s="219">
        <v>110.76361799999999</v>
      </c>
      <c r="W106" s="219">
        <v>111.122467</v>
      </c>
      <c r="X106" s="219">
        <v>111.49376700000001</v>
      </c>
      <c r="Y106" s="219">
        <v>111.87896000000001</v>
      </c>
      <c r="Z106" s="219">
        <v>112.280655</v>
      </c>
      <c r="AA106" s="219">
        <v>112.70199599999999</v>
      </c>
      <c r="AB106" s="219">
        <v>113.142838</v>
      </c>
      <c r="AC106" s="219">
        <v>113.602074</v>
      </c>
      <c r="AD106" s="219">
        <v>114.078835</v>
      </c>
      <c r="AE106" s="219">
        <v>114.57208300000001</v>
      </c>
      <c r="AF106" s="212">
        <v>1.8189E-2</v>
      </c>
      <c r="AG106" s="31"/>
    </row>
    <row r="107" spans="1:33">
      <c r="A107" s="30" t="s">
        <v>1231</v>
      </c>
      <c r="B107" s="210" t="s">
        <v>289</v>
      </c>
      <c r="C107" s="219">
        <v>389.34106400000002</v>
      </c>
      <c r="D107" s="219">
        <v>527.30407700000001</v>
      </c>
      <c r="E107" s="219">
        <v>603.57464600000003</v>
      </c>
      <c r="F107" s="219">
        <v>646.87390100000005</v>
      </c>
      <c r="G107" s="219">
        <v>672.17700200000002</v>
      </c>
      <c r="H107" s="219">
        <v>692.76977499999998</v>
      </c>
      <c r="I107" s="219">
        <v>712.78027299999997</v>
      </c>
      <c r="J107" s="219">
        <v>729.14636199999995</v>
      </c>
      <c r="K107" s="219">
        <v>746.07000700000003</v>
      </c>
      <c r="L107" s="219">
        <v>763.38781700000004</v>
      </c>
      <c r="M107" s="219">
        <v>780.82421899999997</v>
      </c>
      <c r="N107" s="219">
        <v>798.49176</v>
      </c>
      <c r="O107" s="219">
        <v>816.41674799999998</v>
      </c>
      <c r="P107" s="219">
        <v>833.91308600000002</v>
      </c>
      <c r="Q107" s="219">
        <v>851.46484399999997</v>
      </c>
      <c r="R107" s="219">
        <v>869.62023899999997</v>
      </c>
      <c r="S107" s="219">
        <v>888.20556599999998</v>
      </c>
      <c r="T107" s="219">
        <v>906.783142</v>
      </c>
      <c r="U107" s="219">
        <v>925.35437000000002</v>
      </c>
      <c r="V107" s="219">
        <v>944.20440699999995</v>
      </c>
      <c r="W107" s="219">
        <v>963.38317900000004</v>
      </c>
      <c r="X107" s="219">
        <v>982.878784</v>
      </c>
      <c r="Y107" s="219">
        <v>1002.678101</v>
      </c>
      <c r="Z107" s="219">
        <v>1022.752686</v>
      </c>
      <c r="AA107" s="219">
        <v>1043.0593260000001</v>
      </c>
      <c r="AB107" s="219">
        <v>1063.5974120000001</v>
      </c>
      <c r="AC107" s="219">
        <v>1084.4758300000001</v>
      </c>
      <c r="AD107" s="219">
        <v>1105.705688</v>
      </c>
      <c r="AE107" s="219">
        <v>1127.2768550000001</v>
      </c>
      <c r="AF107" s="212">
        <v>3.8698000000000003E-2</v>
      </c>
      <c r="AG107" s="31"/>
    </row>
    <row r="108" spans="1:33">
      <c r="A108" s="30" t="s">
        <v>1232</v>
      </c>
      <c r="B108" s="210" t="s">
        <v>298</v>
      </c>
      <c r="C108" s="219">
        <v>160.62977599999999</v>
      </c>
      <c r="D108" s="219">
        <v>214.01713599999999</v>
      </c>
      <c r="E108" s="219">
        <v>240.182434</v>
      </c>
      <c r="F108" s="219">
        <v>255.44360399999999</v>
      </c>
      <c r="G108" s="219">
        <v>263.13372800000002</v>
      </c>
      <c r="H108" s="219">
        <v>270.02578699999998</v>
      </c>
      <c r="I108" s="219">
        <v>276.88372800000002</v>
      </c>
      <c r="J108" s="219">
        <v>283.15142800000001</v>
      </c>
      <c r="K108" s="219">
        <v>289.63079800000003</v>
      </c>
      <c r="L108" s="219">
        <v>296.25329599999998</v>
      </c>
      <c r="M108" s="219">
        <v>302.903595</v>
      </c>
      <c r="N108" s="219">
        <v>309.62863199999998</v>
      </c>
      <c r="O108" s="219">
        <v>316.438965</v>
      </c>
      <c r="P108" s="219">
        <v>323.04699699999998</v>
      </c>
      <c r="Q108" s="219">
        <v>329.65524299999998</v>
      </c>
      <c r="R108" s="219">
        <v>336.49298099999999</v>
      </c>
      <c r="S108" s="219">
        <v>343.487213</v>
      </c>
      <c r="T108" s="219">
        <v>350.45428500000003</v>
      </c>
      <c r="U108" s="219">
        <v>357.39453099999997</v>
      </c>
      <c r="V108" s="219">
        <v>364.427368</v>
      </c>
      <c r="W108" s="219">
        <v>371.57376099999999</v>
      </c>
      <c r="X108" s="219">
        <v>378.828644</v>
      </c>
      <c r="Y108" s="219">
        <v>386.18637100000001</v>
      </c>
      <c r="Z108" s="219">
        <v>393.63519300000002</v>
      </c>
      <c r="AA108" s="219">
        <v>401.15685999999999</v>
      </c>
      <c r="AB108" s="219">
        <v>408.75112899999999</v>
      </c>
      <c r="AC108" s="219">
        <v>416.46343999999999</v>
      </c>
      <c r="AD108" s="219">
        <v>424.29794299999998</v>
      </c>
      <c r="AE108" s="219">
        <v>432.25027499999999</v>
      </c>
      <c r="AF108" s="212">
        <v>3.5985999999999997E-2</v>
      </c>
      <c r="AG108" s="31"/>
    </row>
    <row r="109" spans="1:33">
      <c r="A109" s="30" t="s">
        <v>1233</v>
      </c>
      <c r="B109" s="210" t="s">
        <v>287</v>
      </c>
      <c r="C109" s="219">
        <v>35.168582999999998</v>
      </c>
      <c r="D109" s="219">
        <v>54.096428000000003</v>
      </c>
      <c r="E109" s="219">
        <v>70.564491000000004</v>
      </c>
      <c r="F109" s="219">
        <v>82.110648999999995</v>
      </c>
      <c r="G109" s="219">
        <v>92.902702000000005</v>
      </c>
      <c r="H109" s="219">
        <v>99.599311999999998</v>
      </c>
      <c r="I109" s="219">
        <v>105.577263</v>
      </c>
      <c r="J109" s="219">
        <v>108.297195</v>
      </c>
      <c r="K109" s="219">
        <v>111.115891</v>
      </c>
      <c r="L109" s="219">
        <v>114.025818</v>
      </c>
      <c r="M109" s="219">
        <v>117.01339</v>
      </c>
      <c r="N109" s="219">
        <v>120.08496100000001</v>
      </c>
      <c r="O109" s="219">
        <v>123.242828</v>
      </c>
      <c r="P109" s="219">
        <v>126.455254</v>
      </c>
      <c r="Q109" s="219">
        <v>129.746216</v>
      </c>
      <c r="R109" s="219">
        <v>133.14265399999999</v>
      </c>
      <c r="S109" s="219">
        <v>136.637756</v>
      </c>
      <c r="T109" s="219">
        <v>140.211029</v>
      </c>
      <c r="U109" s="219">
        <v>143.863754</v>
      </c>
      <c r="V109" s="219">
        <v>147.60922199999999</v>
      </c>
      <c r="W109" s="219">
        <v>151.45024100000001</v>
      </c>
      <c r="X109" s="219">
        <v>155.38606300000001</v>
      </c>
      <c r="Y109" s="219">
        <v>159.41670199999999</v>
      </c>
      <c r="Z109" s="219">
        <v>163.54042100000001</v>
      </c>
      <c r="AA109" s="219">
        <v>167.755325</v>
      </c>
      <c r="AB109" s="219">
        <v>172.061554</v>
      </c>
      <c r="AC109" s="219">
        <v>176.46504200000001</v>
      </c>
      <c r="AD109" s="219">
        <v>180.967377</v>
      </c>
      <c r="AE109" s="219">
        <v>185.56895399999999</v>
      </c>
      <c r="AF109" s="212">
        <v>6.1201999999999999E-2</v>
      </c>
      <c r="AG109" s="31"/>
    </row>
    <row r="110" spans="1:33">
      <c r="A110" s="30" t="s">
        <v>1234</v>
      </c>
      <c r="B110" s="210" t="s">
        <v>288</v>
      </c>
      <c r="C110" s="219">
        <v>193.542709</v>
      </c>
      <c r="D110" s="219">
        <v>259.19052099999999</v>
      </c>
      <c r="E110" s="219">
        <v>292.82772799999998</v>
      </c>
      <c r="F110" s="219">
        <v>309.31964099999999</v>
      </c>
      <c r="G110" s="219">
        <v>316.14059400000002</v>
      </c>
      <c r="H110" s="219">
        <v>323.14468399999998</v>
      </c>
      <c r="I110" s="219">
        <v>330.319275</v>
      </c>
      <c r="J110" s="219">
        <v>337.69775399999997</v>
      </c>
      <c r="K110" s="219">
        <v>345.32330300000001</v>
      </c>
      <c r="L110" s="219">
        <v>353.10873400000003</v>
      </c>
      <c r="M110" s="219">
        <v>360.907196</v>
      </c>
      <c r="N110" s="219">
        <v>368.77816799999999</v>
      </c>
      <c r="O110" s="219">
        <v>376.73492399999998</v>
      </c>
      <c r="P110" s="219">
        <v>384.41085800000002</v>
      </c>
      <c r="Q110" s="219">
        <v>392.06341600000002</v>
      </c>
      <c r="R110" s="219">
        <v>399.98458900000003</v>
      </c>
      <c r="S110" s="219">
        <v>408.08056599999998</v>
      </c>
      <c r="T110" s="219">
        <v>416.11782799999997</v>
      </c>
      <c r="U110" s="219">
        <v>424.09609999999998</v>
      </c>
      <c r="V110" s="219">
        <v>432.16778599999998</v>
      </c>
      <c r="W110" s="219">
        <v>440.35919200000001</v>
      </c>
      <c r="X110" s="219">
        <v>448.66409299999998</v>
      </c>
      <c r="Y110" s="219">
        <v>457.07498199999998</v>
      </c>
      <c r="Z110" s="219">
        <v>465.57708700000001</v>
      </c>
      <c r="AA110" s="219">
        <v>474.14712500000002</v>
      </c>
      <c r="AB110" s="219">
        <v>482.78469799999999</v>
      </c>
      <c r="AC110" s="219">
        <v>491.547394</v>
      </c>
      <c r="AD110" s="219">
        <v>500.44039900000001</v>
      </c>
      <c r="AE110" s="219">
        <v>509.45764200000002</v>
      </c>
      <c r="AF110" s="212">
        <v>3.517E-2</v>
      </c>
      <c r="AG110" s="31"/>
    </row>
    <row r="111" spans="1:33">
      <c r="A111" s="30" t="s">
        <v>1235</v>
      </c>
      <c r="B111" s="210" t="s">
        <v>289</v>
      </c>
      <c r="C111" s="219">
        <v>182.763184</v>
      </c>
      <c r="D111" s="219">
        <v>237.52479600000001</v>
      </c>
      <c r="E111" s="219">
        <v>278.12484699999999</v>
      </c>
      <c r="F111" s="219">
        <v>304.20562699999999</v>
      </c>
      <c r="G111" s="219">
        <v>339.451843</v>
      </c>
      <c r="H111" s="219">
        <v>360.63619999999997</v>
      </c>
      <c r="I111" s="219">
        <v>379.52752700000002</v>
      </c>
      <c r="J111" s="219">
        <v>388.76623499999999</v>
      </c>
      <c r="K111" s="219">
        <v>397.46667500000001</v>
      </c>
      <c r="L111" s="219">
        <v>403.19485500000002</v>
      </c>
      <c r="M111" s="219">
        <v>404.653076</v>
      </c>
      <c r="N111" s="219">
        <v>405.40646400000003</v>
      </c>
      <c r="O111" s="219">
        <v>406.23818999999997</v>
      </c>
      <c r="P111" s="219">
        <v>407.06143200000002</v>
      </c>
      <c r="Q111" s="219">
        <v>408.06191999999999</v>
      </c>
      <c r="R111" s="219">
        <v>408.494507</v>
      </c>
      <c r="S111" s="219">
        <v>408.41366599999998</v>
      </c>
      <c r="T111" s="219">
        <v>408.500854</v>
      </c>
      <c r="U111" s="219">
        <v>409.19189499999999</v>
      </c>
      <c r="V111" s="219">
        <v>410.94830300000001</v>
      </c>
      <c r="W111" s="219">
        <v>413.58322099999998</v>
      </c>
      <c r="X111" s="219">
        <v>416.640961</v>
      </c>
      <c r="Y111" s="219">
        <v>419.987976</v>
      </c>
      <c r="Z111" s="219">
        <v>423.38955700000002</v>
      </c>
      <c r="AA111" s="219">
        <v>426.57775900000001</v>
      </c>
      <c r="AB111" s="219">
        <v>429.54504400000002</v>
      </c>
      <c r="AC111" s="219">
        <v>432.61886600000003</v>
      </c>
      <c r="AD111" s="219">
        <v>436.08874500000002</v>
      </c>
      <c r="AE111" s="219">
        <v>440.16095000000001</v>
      </c>
      <c r="AF111" s="212">
        <v>3.1889000000000001E-2</v>
      </c>
      <c r="AG111" s="31"/>
    </row>
    <row r="112" spans="1:33">
      <c r="A112" s="30" t="s">
        <v>1236</v>
      </c>
      <c r="B112" s="210" t="s">
        <v>299</v>
      </c>
      <c r="C112" s="219">
        <v>112.27862500000001</v>
      </c>
      <c r="D112" s="219">
        <v>141.364563</v>
      </c>
      <c r="E112" s="219">
        <v>162.32298299999999</v>
      </c>
      <c r="F112" s="219">
        <v>176.838638</v>
      </c>
      <c r="G112" s="219">
        <v>195.25990300000001</v>
      </c>
      <c r="H112" s="219">
        <v>206.16815199999999</v>
      </c>
      <c r="I112" s="219">
        <v>215.91021699999999</v>
      </c>
      <c r="J112" s="219">
        <v>220.76951600000001</v>
      </c>
      <c r="K112" s="219">
        <v>225.34823600000001</v>
      </c>
      <c r="L112" s="219">
        <v>228.36549400000001</v>
      </c>
      <c r="M112" s="219">
        <v>229.13916</v>
      </c>
      <c r="N112" s="219">
        <v>229.54512</v>
      </c>
      <c r="O112" s="219">
        <v>229.99362199999999</v>
      </c>
      <c r="P112" s="219">
        <v>230.437241</v>
      </c>
      <c r="Q112" s="219">
        <v>230.973083</v>
      </c>
      <c r="R112" s="219">
        <v>231.208923</v>
      </c>
      <c r="S112" s="219">
        <v>231.17323300000001</v>
      </c>
      <c r="T112" s="219">
        <v>231.22438</v>
      </c>
      <c r="U112" s="219">
        <v>231.59045399999999</v>
      </c>
      <c r="V112" s="219">
        <v>232.51417499999999</v>
      </c>
      <c r="W112" s="219">
        <v>233.89657600000001</v>
      </c>
      <c r="X112" s="219">
        <v>235.49775700000001</v>
      </c>
      <c r="Y112" s="219">
        <v>237.24749800000001</v>
      </c>
      <c r="Z112" s="219">
        <v>239.02226300000001</v>
      </c>
      <c r="AA112" s="219">
        <v>240.680801</v>
      </c>
      <c r="AB112" s="219">
        <v>242.21876499999999</v>
      </c>
      <c r="AC112" s="219">
        <v>243.808121</v>
      </c>
      <c r="AD112" s="219">
        <v>245.60090600000001</v>
      </c>
      <c r="AE112" s="219">
        <v>247.70498699999999</v>
      </c>
      <c r="AF112" s="212">
        <v>2.8662E-2</v>
      </c>
      <c r="AG112" s="31"/>
    </row>
    <row r="113" spans="1:33">
      <c r="A113" s="30" t="s">
        <v>1237</v>
      </c>
      <c r="B113" s="210" t="s">
        <v>287</v>
      </c>
      <c r="C113" s="219">
        <v>64.446442000000005</v>
      </c>
      <c r="D113" s="219">
        <v>89.869308000000004</v>
      </c>
      <c r="E113" s="219">
        <v>109.098129</v>
      </c>
      <c r="F113" s="219">
        <v>120.227448</v>
      </c>
      <c r="G113" s="219">
        <v>136.790131</v>
      </c>
      <c r="H113" s="219">
        <v>146.95330799999999</v>
      </c>
      <c r="I113" s="219">
        <v>155.99787900000001</v>
      </c>
      <c r="J113" s="219">
        <v>160.30012500000001</v>
      </c>
      <c r="K113" s="219">
        <v>164.34848</v>
      </c>
      <c r="L113" s="219">
        <v>167.01036099999999</v>
      </c>
      <c r="M113" s="219">
        <v>167.680893</v>
      </c>
      <c r="N113" s="219">
        <v>168.01942399999999</v>
      </c>
      <c r="O113" s="219">
        <v>168.39267000000001</v>
      </c>
      <c r="P113" s="219">
        <v>168.76252700000001</v>
      </c>
      <c r="Q113" s="219">
        <v>169.21620200000001</v>
      </c>
      <c r="R113" s="219">
        <v>169.40704299999999</v>
      </c>
      <c r="S113" s="219">
        <v>169.360703</v>
      </c>
      <c r="T113" s="219">
        <v>169.39456200000001</v>
      </c>
      <c r="U113" s="219">
        <v>169.713043</v>
      </c>
      <c r="V113" s="219">
        <v>170.53109699999999</v>
      </c>
      <c r="W113" s="219">
        <v>171.762573</v>
      </c>
      <c r="X113" s="219">
        <v>173.195526</v>
      </c>
      <c r="Y113" s="219">
        <v>174.76779199999999</v>
      </c>
      <c r="Z113" s="219">
        <v>176.370148</v>
      </c>
      <c r="AA113" s="219">
        <v>177.87814299999999</v>
      </c>
      <c r="AB113" s="219">
        <v>179.28894</v>
      </c>
      <c r="AC113" s="219">
        <v>180.75520299999999</v>
      </c>
      <c r="AD113" s="219">
        <v>182.41215500000001</v>
      </c>
      <c r="AE113" s="219">
        <v>184.35659799999999</v>
      </c>
      <c r="AF113" s="212">
        <v>3.8249999999999999E-2</v>
      </c>
      <c r="AG113" s="31"/>
    </row>
    <row r="114" spans="1:33">
      <c r="A114" s="30" t="s">
        <v>1238</v>
      </c>
      <c r="B114" s="210" t="s">
        <v>288</v>
      </c>
      <c r="C114" s="219">
        <v>6.0381179999999999</v>
      </c>
      <c r="D114" s="219">
        <v>6.290921</v>
      </c>
      <c r="E114" s="219">
        <v>6.7037339999999999</v>
      </c>
      <c r="F114" s="219">
        <v>7.1395119999999999</v>
      </c>
      <c r="G114" s="219">
        <v>7.4018090000000001</v>
      </c>
      <c r="H114" s="219">
        <v>7.5147519999999997</v>
      </c>
      <c r="I114" s="219">
        <v>7.6194449999999998</v>
      </c>
      <c r="J114" s="219">
        <v>7.696599</v>
      </c>
      <c r="K114" s="219">
        <v>7.7699540000000002</v>
      </c>
      <c r="L114" s="219">
        <v>7.8189890000000002</v>
      </c>
      <c r="M114" s="219">
        <v>7.8329950000000004</v>
      </c>
      <c r="N114" s="219">
        <v>7.8419319999999999</v>
      </c>
      <c r="O114" s="219">
        <v>7.8518939999999997</v>
      </c>
      <c r="P114" s="219">
        <v>7.8616700000000002</v>
      </c>
      <c r="Q114" s="219">
        <v>7.8726440000000002</v>
      </c>
      <c r="R114" s="219">
        <v>7.8785350000000003</v>
      </c>
      <c r="S114" s="219">
        <v>7.879721</v>
      </c>
      <c r="T114" s="219">
        <v>7.8818989999999998</v>
      </c>
      <c r="U114" s="219">
        <v>7.888382</v>
      </c>
      <c r="V114" s="219">
        <v>7.9030189999999996</v>
      </c>
      <c r="W114" s="219">
        <v>7.924067</v>
      </c>
      <c r="X114" s="219">
        <v>7.9476639999999996</v>
      </c>
      <c r="Y114" s="219">
        <v>7.9726860000000004</v>
      </c>
      <c r="Z114" s="219">
        <v>7.9971690000000004</v>
      </c>
      <c r="AA114" s="219">
        <v>8.0187860000000004</v>
      </c>
      <c r="AB114" s="219">
        <v>8.0373450000000002</v>
      </c>
      <c r="AC114" s="219">
        <v>8.0555350000000008</v>
      </c>
      <c r="AD114" s="219">
        <v>8.0756920000000001</v>
      </c>
      <c r="AE114" s="219">
        <v>8.0993770000000005</v>
      </c>
      <c r="AF114" s="212">
        <v>1.0544E-2</v>
      </c>
      <c r="AG114" s="31"/>
    </row>
    <row r="115" spans="1:33">
      <c r="A115" s="30" t="s">
        <v>1239</v>
      </c>
      <c r="B115" s="210" t="s">
        <v>289</v>
      </c>
      <c r="C115" s="219">
        <v>933.64172399999995</v>
      </c>
      <c r="D115" s="219">
        <v>970.34521500000005</v>
      </c>
      <c r="E115" s="219">
        <v>1023.072449</v>
      </c>
      <c r="F115" s="219">
        <v>1053.4545900000001</v>
      </c>
      <c r="G115" s="219">
        <v>1080.8114009999999</v>
      </c>
      <c r="H115" s="219">
        <v>1098.616211</v>
      </c>
      <c r="I115" s="219">
        <v>1113.439697</v>
      </c>
      <c r="J115" s="219">
        <v>1124.475586</v>
      </c>
      <c r="K115" s="219">
        <v>1136.2514650000001</v>
      </c>
      <c r="L115" s="219">
        <v>1149.053711</v>
      </c>
      <c r="M115" s="219">
        <v>1162.6475829999999</v>
      </c>
      <c r="N115" s="219">
        <v>1176.852783</v>
      </c>
      <c r="O115" s="219">
        <v>1191.695068</v>
      </c>
      <c r="P115" s="219">
        <v>1207.200562</v>
      </c>
      <c r="Q115" s="219">
        <v>1223.326904</v>
      </c>
      <c r="R115" s="219">
        <v>1240.018311</v>
      </c>
      <c r="S115" s="219">
        <v>1257.290894</v>
      </c>
      <c r="T115" s="219">
        <v>1275.1625979999999</v>
      </c>
      <c r="U115" s="219">
        <v>1293.6102289999999</v>
      </c>
      <c r="V115" s="219">
        <v>1312.6541749999999</v>
      </c>
      <c r="W115" s="219">
        <v>1332.273682</v>
      </c>
      <c r="X115" s="219">
        <v>1352.445923</v>
      </c>
      <c r="Y115" s="219">
        <v>1373.160889</v>
      </c>
      <c r="Z115" s="219">
        <v>1394.4018550000001</v>
      </c>
      <c r="AA115" s="219">
        <v>1416.1967770000001</v>
      </c>
      <c r="AB115" s="219">
        <v>1438.5435789999999</v>
      </c>
      <c r="AC115" s="219">
        <v>1461.4121090000001</v>
      </c>
      <c r="AD115" s="219">
        <v>1484.7753909999999</v>
      </c>
      <c r="AE115" s="219">
        <v>1508.5935059999999</v>
      </c>
      <c r="AF115" s="212">
        <v>1.7284999999999998E-2</v>
      </c>
      <c r="AG115" s="31"/>
    </row>
    <row r="116" spans="1:33">
      <c r="A116" s="30" t="s">
        <v>1240</v>
      </c>
      <c r="B116" s="210" t="s">
        <v>300</v>
      </c>
      <c r="C116" s="219">
        <v>568.04724099999999</v>
      </c>
      <c r="D116" s="219">
        <v>590.52404799999999</v>
      </c>
      <c r="E116" s="219">
        <v>622.65716599999996</v>
      </c>
      <c r="F116" s="219">
        <v>642.02844200000004</v>
      </c>
      <c r="G116" s="219">
        <v>659.22845500000005</v>
      </c>
      <c r="H116" s="219">
        <v>670.35357699999997</v>
      </c>
      <c r="I116" s="219">
        <v>679.56475799999998</v>
      </c>
      <c r="J116" s="219">
        <v>686.34899900000005</v>
      </c>
      <c r="K116" s="219">
        <v>693.58520499999997</v>
      </c>
      <c r="L116" s="219">
        <v>701.44732699999997</v>
      </c>
      <c r="M116" s="219">
        <v>709.79235800000004</v>
      </c>
      <c r="N116" s="219">
        <v>718.51135299999999</v>
      </c>
      <c r="O116" s="219">
        <v>727.62011700000005</v>
      </c>
      <c r="P116" s="219">
        <v>737.13500999999997</v>
      </c>
      <c r="Q116" s="219">
        <v>747.03015100000005</v>
      </c>
      <c r="R116" s="219">
        <v>757.27142300000003</v>
      </c>
      <c r="S116" s="219">
        <v>767.86908000000005</v>
      </c>
      <c r="T116" s="219">
        <v>778.83404499999995</v>
      </c>
      <c r="U116" s="219">
        <v>790.152649</v>
      </c>
      <c r="V116" s="219">
        <v>801.83758499999999</v>
      </c>
      <c r="W116" s="219">
        <v>813.87579300000004</v>
      </c>
      <c r="X116" s="219">
        <v>826.25372300000004</v>
      </c>
      <c r="Y116" s="219">
        <v>838.96502699999996</v>
      </c>
      <c r="Z116" s="219">
        <v>851.99981700000001</v>
      </c>
      <c r="AA116" s="219">
        <v>865.37512200000003</v>
      </c>
      <c r="AB116" s="219">
        <v>879.08984399999997</v>
      </c>
      <c r="AC116" s="219">
        <v>893.12554899999998</v>
      </c>
      <c r="AD116" s="219">
        <v>907.46563700000002</v>
      </c>
      <c r="AE116" s="219">
        <v>922.08575399999995</v>
      </c>
      <c r="AF116" s="212">
        <v>1.7451999999999999E-2</v>
      </c>
      <c r="AG116" s="31"/>
    </row>
    <row r="117" spans="1:33" ht="15" customHeight="1">
      <c r="A117" s="30" t="s">
        <v>1241</v>
      </c>
      <c r="B117" s="210" t="s">
        <v>287</v>
      </c>
      <c r="C117" s="221">
        <v>59.813918999999999</v>
      </c>
      <c r="D117" s="221">
        <v>72.033225999999999</v>
      </c>
      <c r="E117" s="221">
        <v>84.910149000000004</v>
      </c>
      <c r="F117" s="221">
        <v>93.323134999999994</v>
      </c>
      <c r="G117" s="221">
        <v>99.276482000000001</v>
      </c>
      <c r="H117" s="221">
        <v>102.68712600000001</v>
      </c>
      <c r="I117" s="221">
        <v>105.185013</v>
      </c>
      <c r="J117" s="221">
        <v>106.55347399999999</v>
      </c>
      <c r="K117" s="221">
        <v>107.994957</v>
      </c>
      <c r="L117" s="221">
        <v>109.528519</v>
      </c>
      <c r="M117" s="221">
        <v>111.13607</v>
      </c>
      <c r="N117" s="221">
        <v>112.806595</v>
      </c>
      <c r="O117" s="221">
        <v>114.544281</v>
      </c>
      <c r="P117" s="221">
        <v>116.35328699999999</v>
      </c>
      <c r="Q117" s="221">
        <v>118.229797</v>
      </c>
      <c r="R117" s="221">
        <v>120.168694</v>
      </c>
      <c r="S117" s="221">
        <v>122.172668</v>
      </c>
      <c r="T117" s="221">
        <v>124.24456000000001</v>
      </c>
      <c r="U117" s="221">
        <v>126.386116</v>
      </c>
      <c r="V117" s="221">
        <v>128.59845000000001</v>
      </c>
      <c r="W117" s="221">
        <v>130.879807</v>
      </c>
      <c r="X117" s="221">
        <v>133.228455</v>
      </c>
      <c r="Y117" s="221">
        <v>135.643463</v>
      </c>
      <c r="Z117" s="221">
        <v>138.12370300000001</v>
      </c>
      <c r="AA117" s="221">
        <v>140.67285200000001</v>
      </c>
      <c r="AB117" s="221">
        <v>143.29125999999999</v>
      </c>
      <c r="AC117" s="221">
        <v>145.97590600000001</v>
      </c>
      <c r="AD117" s="221">
        <v>148.724075</v>
      </c>
      <c r="AE117" s="221">
        <v>151.53164699999999</v>
      </c>
      <c r="AF117" s="216">
        <v>3.3756000000000001E-2</v>
      </c>
      <c r="AG117" s="31"/>
    </row>
    <row r="118" spans="1:33">
      <c r="A118" s="30" t="s">
        <v>1242</v>
      </c>
      <c r="B118" s="210" t="s">
        <v>288</v>
      </c>
      <c r="C118" s="219">
        <v>305.78060900000003</v>
      </c>
      <c r="D118" s="219">
        <v>307.78796399999999</v>
      </c>
      <c r="E118" s="219">
        <v>315.50512700000002</v>
      </c>
      <c r="F118" s="219">
        <v>318.10296599999998</v>
      </c>
      <c r="G118" s="219">
        <v>322.306488</v>
      </c>
      <c r="H118" s="219">
        <v>325.57556199999999</v>
      </c>
      <c r="I118" s="219">
        <v>328.69000199999999</v>
      </c>
      <c r="J118" s="219">
        <v>331.57318099999998</v>
      </c>
      <c r="K118" s="219">
        <v>334.67126500000001</v>
      </c>
      <c r="L118" s="219">
        <v>338.07791099999997</v>
      </c>
      <c r="M118" s="219">
        <v>341.71914700000002</v>
      </c>
      <c r="N118" s="219">
        <v>345.534851</v>
      </c>
      <c r="O118" s="219">
        <v>349.53066999999999</v>
      </c>
      <c r="P118" s="219">
        <v>353.712311</v>
      </c>
      <c r="Q118" s="219">
        <v>358.06701700000002</v>
      </c>
      <c r="R118" s="219">
        <v>362.57815599999998</v>
      </c>
      <c r="S118" s="219">
        <v>367.24917599999998</v>
      </c>
      <c r="T118" s="219">
        <v>372.084045</v>
      </c>
      <c r="U118" s="219">
        <v>377.07144199999999</v>
      </c>
      <c r="V118" s="219">
        <v>382.21816999999999</v>
      </c>
      <c r="W118" s="219">
        <v>387.51800500000002</v>
      </c>
      <c r="X118" s="219">
        <v>392.96374500000002</v>
      </c>
      <c r="Y118" s="219">
        <v>398.55230699999998</v>
      </c>
      <c r="Z118" s="219">
        <v>404.27825899999999</v>
      </c>
      <c r="AA118" s="219">
        <v>410.14874300000002</v>
      </c>
      <c r="AB118" s="219">
        <v>416.16244499999999</v>
      </c>
      <c r="AC118" s="219">
        <v>422.31063799999998</v>
      </c>
      <c r="AD118" s="219">
        <v>428.58563199999998</v>
      </c>
      <c r="AE118" s="219">
        <v>434.97601300000002</v>
      </c>
      <c r="AF118" s="212">
        <v>1.2666E-2</v>
      </c>
      <c r="AG118" s="31"/>
    </row>
    <row r="119" spans="1:33">
      <c r="A119" s="30" t="s">
        <v>1243</v>
      </c>
      <c r="B119" s="210" t="s">
        <v>289</v>
      </c>
      <c r="C119" s="219">
        <v>314.53637700000002</v>
      </c>
      <c r="D119" s="219">
        <v>394.1026</v>
      </c>
      <c r="E119" s="219">
        <v>467.75646999999998</v>
      </c>
      <c r="F119" s="219">
        <v>520.62451199999998</v>
      </c>
      <c r="G119" s="219">
        <v>566.20062299999995</v>
      </c>
      <c r="H119" s="219">
        <v>588.67785600000002</v>
      </c>
      <c r="I119" s="219">
        <v>605.47363299999995</v>
      </c>
      <c r="J119" s="219">
        <v>619.38287400000002</v>
      </c>
      <c r="K119" s="219">
        <v>633.93218999999999</v>
      </c>
      <c r="L119" s="219">
        <v>649.49371299999996</v>
      </c>
      <c r="M119" s="219">
        <v>665.791382</v>
      </c>
      <c r="N119" s="219">
        <v>682.71673599999997</v>
      </c>
      <c r="O119" s="219">
        <v>700.27368200000001</v>
      </c>
      <c r="P119" s="219">
        <v>718.48980700000004</v>
      </c>
      <c r="Q119" s="219">
        <v>736.95752000000005</v>
      </c>
      <c r="R119" s="219">
        <v>756.03161599999999</v>
      </c>
      <c r="S119" s="219">
        <v>775.72705099999996</v>
      </c>
      <c r="T119" s="219">
        <v>796.03906199999994</v>
      </c>
      <c r="U119" s="219">
        <v>816.979919</v>
      </c>
      <c r="V119" s="219">
        <v>838.11328100000003</v>
      </c>
      <c r="W119" s="219">
        <v>859.86120600000004</v>
      </c>
      <c r="X119" s="219">
        <v>882.22949200000005</v>
      </c>
      <c r="Y119" s="219">
        <v>905.20574999999997</v>
      </c>
      <c r="Z119" s="219">
        <v>928.78918499999997</v>
      </c>
      <c r="AA119" s="219">
        <v>952.48767099999998</v>
      </c>
      <c r="AB119" s="219">
        <v>976.77502400000003</v>
      </c>
      <c r="AC119" s="219">
        <v>1001.680176</v>
      </c>
      <c r="AD119" s="219">
        <v>1027.2204589999999</v>
      </c>
      <c r="AE119" s="219">
        <v>1053.4113769999999</v>
      </c>
      <c r="AF119" s="212">
        <v>4.4112999999999999E-2</v>
      </c>
      <c r="AG119" s="31"/>
    </row>
    <row r="120" spans="1:33">
      <c r="A120" s="30" t="s">
        <v>1244</v>
      </c>
      <c r="B120" s="210" t="s">
        <v>301</v>
      </c>
      <c r="C120" s="219">
        <v>202.89167800000001</v>
      </c>
      <c r="D120" s="219">
        <v>254.697464</v>
      </c>
      <c r="E120" s="219">
        <v>302.365906</v>
      </c>
      <c r="F120" s="219">
        <v>335.63293499999997</v>
      </c>
      <c r="G120" s="219">
        <v>364.99401899999998</v>
      </c>
      <c r="H120" s="219">
        <v>379.97073399999999</v>
      </c>
      <c r="I120" s="219">
        <v>391.00714099999999</v>
      </c>
      <c r="J120" s="219">
        <v>400.02792399999998</v>
      </c>
      <c r="K120" s="219">
        <v>409.46252399999997</v>
      </c>
      <c r="L120" s="219">
        <v>419.54672199999999</v>
      </c>
      <c r="M120" s="219">
        <v>430.10552999999999</v>
      </c>
      <c r="N120" s="219">
        <v>441.07055700000001</v>
      </c>
      <c r="O120" s="219">
        <v>452.44396999999998</v>
      </c>
      <c r="P120" s="219">
        <v>464.24325599999997</v>
      </c>
      <c r="Q120" s="219">
        <v>476.21426400000001</v>
      </c>
      <c r="R120" s="219">
        <v>488.57827800000001</v>
      </c>
      <c r="S120" s="219">
        <v>501.345215</v>
      </c>
      <c r="T120" s="219">
        <v>514.51226799999995</v>
      </c>
      <c r="U120" s="219">
        <v>528.08843999999999</v>
      </c>
      <c r="V120" s="219">
        <v>541.79797399999995</v>
      </c>
      <c r="W120" s="219">
        <v>555.90728799999999</v>
      </c>
      <c r="X120" s="219">
        <v>570.419983</v>
      </c>
      <c r="Y120" s="219">
        <v>585.32781999999997</v>
      </c>
      <c r="Z120" s="219">
        <v>600.63018799999998</v>
      </c>
      <c r="AA120" s="219">
        <v>616.01379399999996</v>
      </c>
      <c r="AB120" s="219">
        <v>631.78082300000005</v>
      </c>
      <c r="AC120" s="219">
        <v>647.94995100000006</v>
      </c>
      <c r="AD120" s="219">
        <v>664.53271500000005</v>
      </c>
      <c r="AE120" s="219">
        <v>681.53942900000004</v>
      </c>
      <c r="AF120" s="212">
        <v>4.4223999999999999E-2</v>
      </c>
      <c r="AG120" s="31"/>
    </row>
    <row r="121" spans="1:33">
      <c r="A121" s="30" t="s">
        <v>1245</v>
      </c>
      <c r="B121" s="210" t="s">
        <v>287</v>
      </c>
      <c r="C121" s="219">
        <v>22.515547000000002</v>
      </c>
      <c r="D121" s="219">
        <v>28.40925</v>
      </c>
      <c r="E121" s="219">
        <v>32.935862999999998</v>
      </c>
      <c r="F121" s="219">
        <v>36.409678999999997</v>
      </c>
      <c r="G121" s="219">
        <v>39.591385000000002</v>
      </c>
      <c r="H121" s="219">
        <v>41.296543</v>
      </c>
      <c r="I121" s="219">
        <v>42.528320000000001</v>
      </c>
      <c r="J121" s="219">
        <v>43.515816000000001</v>
      </c>
      <c r="K121" s="219">
        <v>44.548400999999998</v>
      </c>
      <c r="L121" s="219">
        <v>45.650959</v>
      </c>
      <c r="M121" s="219">
        <v>46.805027000000003</v>
      </c>
      <c r="N121" s="219">
        <v>48.003391000000001</v>
      </c>
      <c r="O121" s="219">
        <v>49.246284000000003</v>
      </c>
      <c r="P121" s="219">
        <v>50.535525999999997</v>
      </c>
      <c r="Q121" s="219">
        <v>51.844963</v>
      </c>
      <c r="R121" s="219">
        <v>53.197395</v>
      </c>
      <c r="S121" s="219">
        <v>54.593895000000003</v>
      </c>
      <c r="T121" s="219">
        <v>56.034260000000003</v>
      </c>
      <c r="U121" s="219">
        <v>57.519618999999999</v>
      </c>
      <c r="V121" s="219">
        <v>59.020961999999997</v>
      </c>
      <c r="W121" s="219">
        <v>60.566315000000003</v>
      </c>
      <c r="X121" s="219">
        <v>62.15596</v>
      </c>
      <c r="Y121" s="219">
        <v>63.788994000000002</v>
      </c>
      <c r="Z121" s="219">
        <v>65.465355000000002</v>
      </c>
      <c r="AA121" s="219">
        <v>67.151718000000002</v>
      </c>
      <c r="AB121" s="219">
        <v>68.880249000000006</v>
      </c>
      <c r="AC121" s="219">
        <v>70.653046000000003</v>
      </c>
      <c r="AD121" s="219">
        <v>72.471412999999998</v>
      </c>
      <c r="AE121" s="219">
        <v>74.336562999999998</v>
      </c>
      <c r="AF121" s="212">
        <v>4.3580000000000001E-2</v>
      </c>
      <c r="AG121" s="31"/>
    </row>
    <row r="122" spans="1:33">
      <c r="A122" s="30" t="s">
        <v>1246</v>
      </c>
      <c r="B122" s="210" t="s">
        <v>288</v>
      </c>
      <c r="C122" s="219">
        <v>89.129135000000005</v>
      </c>
      <c r="D122" s="219">
        <v>110.99586499999999</v>
      </c>
      <c r="E122" s="219">
        <v>132.454712</v>
      </c>
      <c r="F122" s="219">
        <v>148.58192399999999</v>
      </c>
      <c r="G122" s="219">
        <v>161.615219</v>
      </c>
      <c r="H122" s="219">
        <v>167.41061400000001</v>
      </c>
      <c r="I122" s="219">
        <v>171.938187</v>
      </c>
      <c r="J122" s="219">
        <v>175.839157</v>
      </c>
      <c r="K122" s="219">
        <v>179.92124899999999</v>
      </c>
      <c r="L122" s="219">
        <v>184.29603599999999</v>
      </c>
      <c r="M122" s="219">
        <v>188.88085899999999</v>
      </c>
      <c r="N122" s="219">
        <v>193.64279199999999</v>
      </c>
      <c r="O122" s="219">
        <v>198.583405</v>
      </c>
      <c r="P122" s="219">
        <v>203.71099899999999</v>
      </c>
      <c r="Q122" s="219">
        <v>208.89833100000001</v>
      </c>
      <c r="R122" s="219">
        <v>214.25590500000001</v>
      </c>
      <c r="S122" s="219">
        <v>219.78796399999999</v>
      </c>
      <c r="T122" s="219">
        <v>225.49255400000001</v>
      </c>
      <c r="U122" s="219">
        <v>231.371872</v>
      </c>
      <c r="V122" s="219">
        <v>237.29440299999999</v>
      </c>
      <c r="W122" s="219">
        <v>243.38758899999999</v>
      </c>
      <c r="X122" s="219">
        <v>249.653549</v>
      </c>
      <c r="Y122" s="219">
        <v>256.08892800000001</v>
      </c>
      <c r="Z122" s="219">
        <v>262.69369499999999</v>
      </c>
      <c r="AA122" s="219">
        <v>269.32214399999998</v>
      </c>
      <c r="AB122" s="219">
        <v>276.113922</v>
      </c>
      <c r="AC122" s="219">
        <v>283.077179</v>
      </c>
      <c r="AD122" s="219">
        <v>290.21630900000002</v>
      </c>
      <c r="AE122" s="219">
        <v>297.53533900000002</v>
      </c>
      <c r="AF122" s="212">
        <v>4.3992000000000003E-2</v>
      </c>
      <c r="AG122" s="31"/>
    </row>
    <row r="123" spans="1:33">
      <c r="A123" s="30" t="s">
        <v>1247</v>
      </c>
      <c r="B123" s="210" t="s">
        <v>289</v>
      </c>
      <c r="C123" s="219">
        <v>3945.8840329999998</v>
      </c>
      <c r="D123" s="219">
        <v>3382.1921390000002</v>
      </c>
      <c r="E123" s="219">
        <v>3733.9492190000001</v>
      </c>
      <c r="F123" s="219">
        <v>3973.000732</v>
      </c>
      <c r="G123" s="219">
        <v>4240.2626950000003</v>
      </c>
      <c r="H123" s="219">
        <v>4485.0659180000002</v>
      </c>
      <c r="I123" s="219">
        <v>4717.4321289999998</v>
      </c>
      <c r="J123" s="219">
        <v>4952.296875</v>
      </c>
      <c r="K123" s="219">
        <v>5188.1401370000003</v>
      </c>
      <c r="L123" s="219">
        <v>5427.2763670000004</v>
      </c>
      <c r="M123" s="219">
        <v>5669.6572269999997</v>
      </c>
      <c r="N123" s="219">
        <v>5914.5170900000003</v>
      </c>
      <c r="O123" s="219">
        <v>6162.5102539999998</v>
      </c>
      <c r="P123" s="219">
        <v>6415.0566410000001</v>
      </c>
      <c r="Q123" s="219">
        <v>6671.5986329999996</v>
      </c>
      <c r="R123" s="219">
        <v>6930.2631840000004</v>
      </c>
      <c r="S123" s="219">
        <v>7191.2446289999998</v>
      </c>
      <c r="T123" s="219">
        <v>7456.1103519999997</v>
      </c>
      <c r="U123" s="219">
        <v>7727.2612300000001</v>
      </c>
      <c r="V123" s="219">
        <v>8007.4731449999999</v>
      </c>
      <c r="W123" s="219">
        <v>8296.5400389999995</v>
      </c>
      <c r="X123" s="219">
        <v>8592.0576170000004</v>
      </c>
      <c r="Y123" s="219">
        <v>8891.0761719999991</v>
      </c>
      <c r="Z123" s="219">
        <v>9190.3759769999997</v>
      </c>
      <c r="AA123" s="219">
        <v>9489.3398440000001</v>
      </c>
      <c r="AB123" s="219">
        <v>9789.4775389999995</v>
      </c>
      <c r="AC123" s="219">
        <v>10089.662109000001</v>
      </c>
      <c r="AD123" s="219">
        <v>10386.889648</v>
      </c>
      <c r="AE123" s="219">
        <v>10677.976562</v>
      </c>
      <c r="AF123" s="212">
        <v>3.6193000000000003E-2</v>
      </c>
      <c r="AG123" s="31"/>
    </row>
    <row r="124" spans="1:33">
      <c r="A124" s="30" t="s">
        <v>1248</v>
      </c>
      <c r="B124" s="209" t="s">
        <v>153</v>
      </c>
      <c r="C124" s="222">
        <v>3379.1289059999999</v>
      </c>
      <c r="D124" s="222">
        <v>2797.7788089999999</v>
      </c>
      <c r="E124" s="222">
        <v>3027.8352049999999</v>
      </c>
      <c r="F124" s="222">
        <v>3199.298828</v>
      </c>
      <c r="G124" s="222">
        <v>3397.3640140000002</v>
      </c>
      <c r="H124" s="222">
        <v>3587.9492190000001</v>
      </c>
      <c r="I124" s="222">
        <v>3775.0275879999999</v>
      </c>
      <c r="J124" s="222">
        <v>3963.7905270000001</v>
      </c>
      <c r="K124" s="222">
        <v>4152.9375</v>
      </c>
      <c r="L124" s="222">
        <v>4344.4008789999998</v>
      </c>
      <c r="M124" s="222">
        <v>4538.1298829999996</v>
      </c>
      <c r="N124" s="222">
        <v>4733.4633789999998</v>
      </c>
      <c r="O124" s="222">
        <v>4930.9331050000001</v>
      </c>
      <c r="P124" s="222">
        <v>5131.7163090000004</v>
      </c>
      <c r="Q124" s="222">
        <v>5335.3325199999999</v>
      </c>
      <c r="R124" s="222">
        <v>5540.1958009999998</v>
      </c>
      <c r="S124" s="222">
        <v>5746.4501950000003</v>
      </c>
      <c r="T124" s="222">
        <v>5955.3940430000002</v>
      </c>
      <c r="U124" s="222">
        <v>6169.0092770000001</v>
      </c>
      <c r="V124" s="222">
        <v>6389.6191410000001</v>
      </c>
      <c r="W124" s="222">
        <v>6617.033203</v>
      </c>
      <c r="X124" s="222">
        <v>6849.2163090000004</v>
      </c>
      <c r="Y124" s="222">
        <v>7083.6713870000003</v>
      </c>
      <c r="Z124" s="222">
        <v>7317.685547</v>
      </c>
      <c r="AA124" s="222">
        <v>7550.732422</v>
      </c>
      <c r="AB124" s="222">
        <v>7784.0683589999999</v>
      </c>
      <c r="AC124" s="222">
        <v>8016.7314450000003</v>
      </c>
      <c r="AD124" s="222">
        <v>8246.1855469999991</v>
      </c>
      <c r="AE124" s="222">
        <v>8469.7558590000008</v>
      </c>
      <c r="AF124" s="214">
        <v>3.3362000000000003E-2</v>
      </c>
      <c r="AG124" s="31"/>
    </row>
    <row r="125" spans="1:33">
      <c r="A125" s="29"/>
      <c r="B125" s="31"/>
      <c r="C125" s="31"/>
      <c r="D125" s="31"/>
      <c r="E125" s="31"/>
      <c r="F125" s="31"/>
      <c r="G125" s="31"/>
      <c r="H125" s="31"/>
      <c r="I125" s="31"/>
      <c r="J125" s="31"/>
      <c r="K125" s="31"/>
      <c r="L125" s="31"/>
      <c r="M125" s="31"/>
      <c r="N125" s="31"/>
      <c r="O125" s="31"/>
      <c r="P125" s="31"/>
      <c r="Q125" s="31"/>
      <c r="R125" s="31"/>
      <c r="S125" s="31"/>
      <c r="T125" s="31"/>
      <c r="U125" s="31"/>
      <c r="V125" s="31"/>
      <c r="W125" s="31"/>
      <c r="X125" s="31"/>
      <c r="Y125" s="31"/>
      <c r="Z125" s="31"/>
      <c r="AA125" s="31"/>
      <c r="AB125" s="31"/>
      <c r="AC125" s="31"/>
      <c r="AD125" s="31"/>
      <c r="AE125" s="31"/>
      <c r="AF125" s="31"/>
      <c r="AG125" s="31"/>
    </row>
    <row r="126" spans="1:33">
      <c r="A126" s="29"/>
      <c r="B126" s="31"/>
      <c r="C126" s="31"/>
      <c r="D126" s="31"/>
      <c r="E126" s="31"/>
      <c r="F126" s="31"/>
      <c r="G126" s="31"/>
      <c r="H126" s="31"/>
      <c r="I126" s="31"/>
      <c r="J126" s="31"/>
      <c r="K126" s="31"/>
      <c r="L126" s="31"/>
      <c r="M126" s="31"/>
      <c r="N126" s="31"/>
      <c r="O126" s="31"/>
      <c r="P126" s="31"/>
      <c r="Q126" s="31"/>
      <c r="R126" s="31"/>
      <c r="S126" s="31"/>
      <c r="T126" s="31"/>
      <c r="U126" s="31"/>
      <c r="V126" s="31"/>
      <c r="W126" s="31"/>
      <c r="X126" s="31"/>
      <c r="Y126" s="31"/>
      <c r="Z126" s="31"/>
      <c r="AA126" s="31"/>
      <c r="AB126" s="31"/>
      <c r="AC126" s="31"/>
      <c r="AD126" s="31"/>
      <c r="AE126" s="31"/>
      <c r="AF126" s="31"/>
      <c r="AG126" s="31"/>
    </row>
    <row r="127" spans="1:33">
      <c r="A127" s="29"/>
      <c r="B127" s="209" t="s">
        <v>1249</v>
      </c>
      <c r="C127" s="31"/>
      <c r="D127" s="31"/>
      <c r="E127" s="31"/>
      <c r="F127" s="31"/>
      <c r="G127" s="31"/>
      <c r="H127" s="31"/>
      <c r="I127" s="31"/>
      <c r="J127" s="31"/>
      <c r="K127" s="31"/>
      <c r="L127" s="31"/>
      <c r="M127" s="31"/>
      <c r="N127" s="31"/>
      <c r="O127" s="31"/>
      <c r="P127" s="31"/>
      <c r="Q127" s="31"/>
      <c r="R127" s="31"/>
      <c r="S127" s="31"/>
      <c r="T127" s="31"/>
      <c r="U127" s="31"/>
      <c r="V127" s="31"/>
      <c r="W127" s="31"/>
      <c r="X127" s="31"/>
      <c r="Y127" s="31"/>
      <c r="Z127" s="31"/>
      <c r="AA127" s="31"/>
      <c r="AB127" s="31"/>
      <c r="AC127" s="31"/>
      <c r="AD127" s="31"/>
      <c r="AE127" s="31"/>
      <c r="AF127" s="31"/>
      <c r="AG127" s="31"/>
    </row>
    <row r="128" spans="1:33">
      <c r="A128" s="30" t="s">
        <v>1250</v>
      </c>
      <c r="B128" s="210" t="s">
        <v>286</v>
      </c>
      <c r="C128" s="219">
        <v>310.149384</v>
      </c>
      <c r="D128" s="219">
        <v>398.622162</v>
      </c>
      <c r="E128" s="219">
        <v>485.20877100000001</v>
      </c>
      <c r="F128" s="219">
        <v>541.66021699999999</v>
      </c>
      <c r="G128" s="219">
        <v>597.55108600000005</v>
      </c>
      <c r="H128" s="219">
        <v>638.35058600000002</v>
      </c>
      <c r="I128" s="219">
        <v>670.07220500000005</v>
      </c>
      <c r="J128" s="219">
        <v>702.50537099999997</v>
      </c>
      <c r="K128" s="219">
        <v>735.53063999999995</v>
      </c>
      <c r="L128" s="219">
        <v>769.38507100000004</v>
      </c>
      <c r="M128" s="219">
        <v>804.07574499999998</v>
      </c>
      <c r="N128" s="219">
        <v>839.54858400000001</v>
      </c>
      <c r="O128" s="219">
        <v>875.88732900000002</v>
      </c>
      <c r="P128" s="219">
        <v>913.24780299999998</v>
      </c>
      <c r="Q128" s="219">
        <v>951.58868399999994</v>
      </c>
      <c r="R128" s="219">
        <v>990.74334699999997</v>
      </c>
      <c r="S128" s="219">
        <v>1030.751953</v>
      </c>
      <c r="T128" s="219">
        <v>1071.787476</v>
      </c>
      <c r="U128" s="219">
        <v>1114.121948</v>
      </c>
      <c r="V128" s="219">
        <v>1158.0347899999999</v>
      </c>
      <c r="W128" s="219">
        <v>1203.5242920000001</v>
      </c>
      <c r="X128" s="219">
        <v>1250.376831</v>
      </c>
      <c r="Y128" s="219">
        <v>1298.326904</v>
      </c>
      <c r="Z128" s="219">
        <v>1347.072754</v>
      </c>
      <c r="AA128" s="219">
        <v>1396.5614009999999</v>
      </c>
      <c r="AB128" s="219">
        <v>1446.956177</v>
      </c>
      <c r="AC128" s="219">
        <v>1498.163086</v>
      </c>
      <c r="AD128" s="219">
        <v>1549.9052730000001</v>
      </c>
      <c r="AE128" s="219">
        <v>1601.875732</v>
      </c>
      <c r="AF128" s="212">
        <v>6.0392000000000001E-2</v>
      </c>
      <c r="AG128" s="31"/>
    </row>
    <row r="129" spans="1:33">
      <c r="A129" s="30" t="s">
        <v>1251</v>
      </c>
      <c r="B129" s="210" t="s">
        <v>287</v>
      </c>
      <c r="C129" s="219">
        <v>256.60571299999998</v>
      </c>
      <c r="D129" s="219">
        <v>185.79125999999999</v>
      </c>
      <c r="E129" s="219">
        <v>220.90531899999999</v>
      </c>
      <c r="F129" s="219">
        <v>232.04167200000001</v>
      </c>
      <c r="G129" s="219">
        <v>245.347534</v>
      </c>
      <c r="H129" s="219">
        <v>258.76617399999998</v>
      </c>
      <c r="I129" s="219">
        <v>272.33248900000001</v>
      </c>
      <c r="J129" s="219">
        <v>286.00076300000001</v>
      </c>
      <c r="K129" s="219">
        <v>299.67193600000002</v>
      </c>
      <c r="L129" s="219">
        <v>313.490387</v>
      </c>
      <c r="M129" s="219">
        <v>327.45172100000002</v>
      </c>
      <c r="N129" s="219">
        <v>341.50521900000001</v>
      </c>
      <c r="O129" s="219">
        <v>355.689728</v>
      </c>
      <c r="P129" s="219">
        <v>370.092804</v>
      </c>
      <c r="Q129" s="219">
        <v>384.67748999999998</v>
      </c>
      <c r="R129" s="219">
        <v>399.32421900000003</v>
      </c>
      <c r="S129" s="219">
        <v>414.04235799999998</v>
      </c>
      <c r="T129" s="219">
        <v>428.92865</v>
      </c>
      <c r="U129" s="219">
        <v>444.12970000000001</v>
      </c>
      <c r="V129" s="219">
        <v>459.81918300000001</v>
      </c>
      <c r="W129" s="219">
        <v>475.98217799999998</v>
      </c>
      <c r="X129" s="219">
        <v>492.464539</v>
      </c>
      <c r="Y129" s="219">
        <v>509.07818600000002</v>
      </c>
      <c r="Z129" s="219">
        <v>525.61840800000004</v>
      </c>
      <c r="AA129" s="219">
        <v>542.04565400000001</v>
      </c>
      <c r="AB129" s="219">
        <v>558.45324700000003</v>
      </c>
      <c r="AC129" s="219">
        <v>574.76806599999998</v>
      </c>
      <c r="AD129" s="219">
        <v>590.79882799999996</v>
      </c>
      <c r="AE129" s="219">
        <v>606.34515399999998</v>
      </c>
      <c r="AF129" s="212">
        <v>3.1186999999999999E-2</v>
      </c>
      <c r="AG129" s="31"/>
    </row>
    <row r="130" spans="1:33">
      <c r="A130" s="30" t="s">
        <v>1252</v>
      </c>
      <c r="B130" s="210" t="s">
        <v>288</v>
      </c>
      <c r="C130" s="219">
        <v>455.75054899999998</v>
      </c>
      <c r="D130" s="219">
        <v>534.29620399999999</v>
      </c>
      <c r="E130" s="219">
        <v>578.19390899999996</v>
      </c>
      <c r="F130" s="219">
        <v>609.760132</v>
      </c>
      <c r="G130" s="219">
        <v>674.04125999999997</v>
      </c>
      <c r="H130" s="219">
        <v>733.22094700000002</v>
      </c>
      <c r="I130" s="219">
        <v>793.02966300000003</v>
      </c>
      <c r="J130" s="219">
        <v>856.43170199999997</v>
      </c>
      <c r="K130" s="219">
        <v>921.31976299999997</v>
      </c>
      <c r="L130" s="219">
        <v>987.199341</v>
      </c>
      <c r="M130" s="219">
        <v>1053.7298579999999</v>
      </c>
      <c r="N130" s="219">
        <v>1120.4666749999999</v>
      </c>
      <c r="O130" s="219">
        <v>1186.9095460000001</v>
      </c>
      <c r="P130" s="219">
        <v>1253.315552</v>
      </c>
      <c r="Q130" s="219">
        <v>1320.297607</v>
      </c>
      <c r="R130" s="219">
        <v>1389.080688</v>
      </c>
      <c r="S130" s="219">
        <v>1459.669922</v>
      </c>
      <c r="T130" s="219">
        <v>1531.943726</v>
      </c>
      <c r="U130" s="219">
        <v>1605.6926269999999</v>
      </c>
      <c r="V130" s="219">
        <v>1680.837158</v>
      </c>
      <c r="W130" s="219">
        <v>1757.2497559999999</v>
      </c>
      <c r="X130" s="219">
        <v>1834.8496090000001</v>
      </c>
      <c r="Y130" s="219">
        <v>1913.4085689999999</v>
      </c>
      <c r="Z130" s="219">
        <v>1992.743164</v>
      </c>
      <c r="AA130" s="219">
        <v>2072.6545409999999</v>
      </c>
      <c r="AB130" s="219">
        <v>2152.9377439999998</v>
      </c>
      <c r="AC130" s="219">
        <v>2233.3498540000001</v>
      </c>
      <c r="AD130" s="219">
        <v>2313.64624</v>
      </c>
      <c r="AE130" s="219">
        <v>2393.6032709999999</v>
      </c>
      <c r="AF130" s="212">
        <v>6.1025999999999997E-2</v>
      </c>
      <c r="AG130" s="31"/>
    </row>
    <row r="131" spans="1:33">
      <c r="A131" s="30" t="s">
        <v>1253</v>
      </c>
      <c r="B131" s="210" t="s">
        <v>289</v>
      </c>
      <c r="C131" s="219">
        <v>354.39788800000002</v>
      </c>
      <c r="D131" s="219">
        <v>414.147064</v>
      </c>
      <c r="E131" s="219">
        <v>446.636505</v>
      </c>
      <c r="F131" s="219">
        <v>470.125</v>
      </c>
      <c r="G131" s="219">
        <v>519.40393100000006</v>
      </c>
      <c r="H131" s="219">
        <v>565.11468500000001</v>
      </c>
      <c r="I131" s="219">
        <v>611.39465299999995</v>
      </c>
      <c r="J131" s="219">
        <v>660.38085899999999</v>
      </c>
      <c r="K131" s="219">
        <v>710.51879899999994</v>
      </c>
      <c r="L131" s="219">
        <v>761.42523200000005</v>
      </c>
      <c r="M131" s="219">
        <v>812.83624299999997</v>
      </c>
      <c r="N131" s="219">
        <v>864.40722700000003</v>
      </c>
      <c r="O131" s="219">
        <v>915.75067100000001</v>
      </c>
      <c r="P131" s="219">
        <v>967.06518600000004</v>
      </c>
      <c r="Q131" s="219">
        <v>1018.8249510000001</v>
      </c>
      <c r="R131" s="219">
        <v>1071.9782709999999</v>
      </c>
      <c r="S131" s="219">
        <v>1126.528687</v>
      </c>
      <c r="T131" s="219">
        <v>1182.382202</v>
      </c>
      <c r="U131" s="219">
        <v>1239.376221</v>
      </c>
      <c r="V131" s="219">
        <v>1297.4492190000001</v>
      </c>
      <c r="W131" s="219">
        <v>1356.5023189999999</v>
      </c>
      <c r="X131" s="219">
        <v>1416.4730219999999</v>
      </c>
      <c r="Y131" s="219">
        <v>1477.1842039999999</v>
      </c>
      <c r="Z131" s="219">
        <v>1538.49353</v>
      </c>
      <c r="AA131" s="219">
        <v>1600.2470699999999</v>
      </c>
      <c r="AB131" s="219">
        <v>1662.2860109999999</v>
      </c>
      <c r="AC131" s="219">
        <v>1724.4217530000001</v>
      </c>
      <c r="AD131" s="219">
        <v>1786.4648440000001</v>
      </c>
      <c r="AE131" s="219">
        <v>1848.241943</v>
      </c>
      <c r="AF131" s="212">
        <v>6.0759000000000001E-2</v>
      </c>
      <c r="AG131" s="31"/>
    </row>
    <row r="132" spans="1:33">
      <c r="A132" s="30" t="s">
        <v>1254</v>
      </c>
      <c r="B132" s="210" t="s">
        <v>290</v>
      </c>
      <c r="C132" s="219">
        <v>18.835457000000002</v>
      </c>
      <c r="D132" s="219">
        <v>28.090188999999999</v>
      </c>
      <c r="E132" s="219">
        <v>36.404029999999999</v>
      </c>
      <c r="F132" s="219">
        <v>42.575572999999999</v>
      </c>
      <c r="G132" s="219">
        <v>48.380809999999997</v>
      </c>
      <c r="H132" s="219">
        <v>52.124156999999997</v>
      </c>
      <c r="I132" s="219">
        <v>55.517676999999999</v>
      </c>
      <c r="J132" s="219">
        <v>59.461978999999999</v>
      </c>
      <c r="K132" s="219">
        <v>63.482384000000003</v>
      </c>
      <c r="L132" s="219">
        <v>67.552834000000004</v>
      </c>
      <c r="M132" s="219">
        <v>71.656456000000006</v>
      </c>
      <c r="N132" s="219">
        <v>75.769997000000004</v>
      </c>
      <c r="O132" s="219">
        <v>79.867378000000002</v>
      </c>
      <c r="P132" s="219">
        <v>83.964354999999998</v>
      </c>
      <c r="Q132" s="219">
        <v>88.096275000000006</v>
      </c>
      <c r="R132" s="219">
        <v>92.331467000000004</v>
      </c>
      <c r="S132" s="219">
        <v>96.670569999999998</v>
      </c>
      <c r="T132" s="219">
        <v>101.107094</v>
      </c>
      <c r="U132" s="219">
        <v>105.632385</v>
      </c>
      <c r="V132" s="219">
        <v>110.241028</v>
      </c>
      <c r="W132" s="219">
        <v>114.92641399999999</v>
      </c>
      <c r="X132" s="219">
        <v>119.68514999999999</v>
      </c>
      <c r="Y132" s="219">
        <v>124.505928</v>
      </c>
      <c r="Z132" s="219">
        <v>129.37995900000001</v>
      </c>
      <c r="AA132" s="219">
        <v>134.296875</v>
      </c>
      <c r="AB132" s="219">
        <v>139.24603300000001</v>
      </c>
      <c r="AC132" s="219">
        <v>144.21534700000001</v>
      </c>
      <c r="AD132" s="219">
        <v>149.19276400000001</v>
      </c>
      <c r="AE132" s="219">
        <v>154.167282</v>
      </c>
      <c r="AF132" s="212">
        <v>7.7973000000000001E-2</v>
      </c>
      <c r="AG132" s="31"/>
    </row>
    <row r="133" spans="1:33">
      <c r="A133" s="30" t="s">
        <v>1255</v>
      </c>
      <c r="B133" s="210" t="s">
        <v>287</v>
      </c>
      <c r="C133" s="219">
        <v>82.517204000000007</v>
      </c>
      <c r="D133" s="219">
        <v>92.058952000000005</v>
      </c>
      <c r="E133" s="219">
        <v>95.153373999999999</v>
      </c>
      <c r="F133" s="219">
        <v>97.059569999999994</v>
      </c>
      <c r="G133" s="219">
        <v>106.256546</v>
      </c>
      <c r="H133" s="219">
        <v>115.982147</v>
      </c>
      <c r="I133" s="219">
        <v>126.11734</v>
      </c>
      <c r="J133" s="219">
        <v>136.58886699999999</v>
      </c>
      <c r="K133" s="219">
        <v>147.31860399999999</v>
      </c>
      <c r="L133" s="219">
        <v>158.22126800000001</v>
      </c>
      <c r="M133" s="219">
        <v>169.23722799999999</v>
      </c>
      <c r="N133" s="219">
        <v>180.28945899999999</v>
      </c>
      <c r="O133" s="219">
        <v>191.29155</v>
      </c>
      <c r="P133" s="219">
        <v>202.286057</v>
      </c>
      <c r="Q133" s="219">
        <v>213.37635800000001</v>
      </c>
      <c r="R133" s="219">
        <v>224.77104199999999</v>
      </c>
      <c r="S133" s="219">
        <v>236.47074900000001</v>
      </c>
      <c r="T133" s="219">
        <v>248.454453</v>
      </c>
      <c r="U133" s="219">
        <v>260.68405200000001</v>
      </c>
      <c r="V133" s="219">
        <v>273.14700299999998</v>
      </c>
      <c r="W133" s="219">
        <v>285.82101399999999</v>
      </c>
      <c r="X133" s="219">
        <v>298.69137599999999</v>
      </c>
      <c r="Y133" s="219">
        <v>311.71838400000001</v>
      </c>
      <c r="Z133" s="219">
        <v>324.86968999999999</v>
      </c>
      <c r="AA133" s="219">
        <v>338.11062600000002</v>
      </c>
      <c r="AB133" s="219">
        <v>351.40579200000002</v>
      </c>
      <c r="AC133" s="219">
        <v>364.71285999999998</v>
      </c>
      <c r="AD133" s="219">
        <v>377.98867799999999</v>
      </c>
      <c r="AE133" s="219">
        <v>391.194031</v>
      </c>
      <c r="AF133" s="212">
        <v>5.7152000000000001E-2</v>
      </c>
      <c r="AG133" s="31"/>
    </row>
    <row r="134" spans="1:33">
      <c r="A134" s="30" t="s">
        <v>1256</v>
      </c>
      <c r="B134" s="210" t="s">
        <v>288</v>
      </c>
      <c r="C134" s="219">
        <v>1427.1838379999999</v>
      </c>
      <c r="D134" s="219">
        <v>1704.9785159999999</v>
      </c>
      <c r="E134" s="219">
        <v>1907.693481</v>
      </c>
      <c r="F134" s="219">
        <v>2009.751953</v>
      </c>
      <c r="G134" s="219">
        <v>2199.0893550000001</v>
      </c>
      <c r="H134" s="219">
        <v>2329.8635250000002</v>
      </c>
      <c r="I134" s="219">
        <v>2455.9309079999998</v>
      </c>
      <c r="J134" s="219">
        <v>2563.2861330000001</v>
      </c>
      <c r="K134" s="219">
        <v>2671.985107</v>
      </c>
      <c r="L134" s="219">
        <v>2783.6831050000001</v>
      </c>
      <c r="M134" s="219">
        <v>2899.0471189999998</v>
      </c>
      <c r="N134" s="219">
        <v>3018.070068</v>
      </c>
      <c r="O134" s="219">
        <v>3141.0654300000001</v>
      </c>
      <c r="P134" s="219">
        <v>3268.3127439999998</v>
      </c>
      <c r="Q134" s="219">
        <v>3398.2539059999999</v>
      </c>
      <c r="R134" s="219">
        <v>3532.2036130000001</v>
      </c>
      <c r="S134" s="219">
        <v>3670.5039059999999</v>
      </c>
      <c r="T134" s="219">
        <v>3813.0546880000002</v>
      </c>
      <c r="U134" s="219">
        <v>3960.2338869999999</v>
      </c>
      <c r="V134" s="219">
        <v>4109.8203119999998</v>
      </c>
      <c r="W134" s="219">
        <v>4263.1464839999999</v>
      </c>
      <c r="X134" s="219">
        <v>4420.4296880000002</v>
      </c>
      <c r="Y134" s="219">
        <v>4581.8081050000001</v>
      </c>
      <c r="Z134" s="219">
        <v>4747.1005859999996</v>
      </c>
      <c r="AA134" s="219">
        <v>4912.1601559999999</v>
      </c>
      <c r="AB134" s="219">
        <v>5080.0791019999997</v>
      </c>
      <c r="AC134" s="219">
        <v>5251.970703</v>
      </c>
      <c r="AD134" s="219">
        <v>5428.2148440000001</v>
      </c>
      <c r="AE134" s="219">
        <v>5609.2822269999997</v>
      </c>
      <c r="AF134" s="212">
        <v>5.0097000000000003E-2</v>
      </c>
      <c r="AG134" s="31"/>
    </row>
    <row r="135" spans="1:33">
      <c r="A135" s="30" t="s">
        <v>1257</v>
      </c>
      <c r="B135" s="210" t="s">
        <v>289</v>
      </c>
      <c r="C135" s="219">
        <v>834.23529099999996</v>
      </c>
      <c r="D135" s="219">
        <v>980.91699200000005</v>
      </c>
      <c r="E135" s="219">
        <v>1071.5996090000001</v>
      </c>
      <c r="F135" s="219">
        <v>1118.6145019999999</v>
      </c>
      <c r="G135" s="219">
        <v>1218.319092</v>
      </c>
      <c r="H135" s="219">
        <v>1288.4822999999999</v>
      </c>
      <c r="I135" s="219">
        <v>1356.904297</v>
      </c>
      <c r="J135" s="219">
        <v>1417.352783</v>
      </c>
      <c r="K135" s="219">
        <v>1478.5063479999999</v>
      </c>
      <c r="L135" s="219">
        <v>1541.3668210000001</v>
      </c>
      <c r="M135" s="219">
        <v>1606.287476</v>
      </c>
      <c r="N135" s="219">
        <v>1673.264038</v>
      </c>
      <c r="O135" s="219">
        <v>1742.4808350000001</v>
      </c>
      <c r="P135" s="219">
        <v>1814.100952</v>
      </c>
      <c r="Q135" s="219">
        <v>1887.247437</v>
      </c>
      <c r="R135" s="219">
        <v>1962.653442</v>
      </c>
      <c r="S135" s="219">
        <v>2040.519043</v>
      </c>
      <c r="T135" s="219">
        <v>2120.7854000000002</v>
      </c>
      <c r="U135" s="219">
        <v>2203.6716310000002</v>
      </c>
      <c r="V135" s="219">
        <v>2287.913818</v>
      </c>
      <c r="W135" s="219">
        <v>2374.2563479999999</v>
      </c>
      <c r="X135" s="219">
        <v>2462.8229980000001</v>
      </c>
      <c r="Y135" s="219">
        <v>2553.6933589999999</v>
      </c>
      <c r="Z135" s="219">
        <v>2646.758789</v>
      </c>
      <c r="AA135" s="219">
        <v>2739.6430660000001</v>
      </c>
      <c r="AB135" s="219">
        <v>2834.1040039999998</v>
      </c>
      <c r="AC135" s="219">
        <v>2930.7910160000001</v>
      </c>
      <c r="AD135" s="219">
        <v>3029.9250489999999</v>
      </c>
      <c r="AE135" s="219">
        <v>3131.7814939999998</v>
      </c>
      <c r="AF135" s="212">
        <v>4.8377999999999997E-2</v>
      </c>
      <c r="AG135" s="31"/>
    </row>
    <row r="136" spans="1:33">
      <c r="A136" s="30" t="s">
        <v>1258</v>
      </c>
      <c r="B136" s="210" t="s">
        <v>291</v>
      </c>
      <c r="C136" s="219">
        <v>228.94476299999999</v>
      </c>
      <c r="D136" s="219">
        <v>312.73513800000001</v>
      </c>
      <c r="E136" s="219">
        <v>392.357147</v>
      </c>
      <c r="F136" s="219">
        <v>442.70693999999997</v>
      </c>
      <c r="G136" s="219">
        <v>500.58056599999998</v>
      </c>
      <c r="H136" s="219">
        <v>536.85888699999998</v>
      </c>
      <c r="I136" s="219">
        <v>569.59973100000002</v>
      </c>
      <c r="J136" s="219">
        <v>591.26879899999994</v>
      </c>
      <c r="K136" s="219">
        <v>613.35607900000002</v>
      </c>
      <c r="L136" s="219">
        <v>635.99652100000003</v>
      </c>
      <c r="M136" s="219">
        <v>659.38769500000001</v>
      </c>
      <c r="N136" s="219">
        <v>683.53045699999996</v>
      </c>
      <c r="O136" s="219">
        <v>708.46472200000005</v>
      </c>
      <c r="P136" s="219">
        <v>734.23168899999996</v>
      </c>
      <c r="Q136" s="219">
        <v>760.51452600000005</v>
      </c>
      <c r="R136" s="219">
        <v>787.60058600000002</v>
      </c>
      <c r="S136" s="219">
        <v>815.535034</v>
      </c>
      <c r="T136" s="219">
        <v>844.30755599999998</v>
      </c>
      <c r="U136" s="219">
        <v>873.97503700000004</v>
      </c>
      <c r="V136" s="219">
        <v>904.12573199999997</v>
      </c>
      <c r="W136" s="219">
        <v>935.04840100000001</v>
      </c>
      <c r="X136" s="219">
        <v>966.77954099999999</v>
      </c>
      <c r="Y136" s="219">
        <v>999.34417699999995</v>
      </c>
      <c r="Z136" s="219">
        <v>1032.7235109999999</v>
      </c>
      <c r="AA136" s="219">
        <v>1066.19812</v>
      </c>
      <c r="AB136" s="219">
        <v>1100.3466800000001</v>
      </c>
      <c r="AC136" s="219">
        <v>1135.3264160000001</v>
      </c>
      <c r="AD136" s="219">
        <v>1171.195557</v>
      </c>
      <c r="AE136" s="219">
        <v>1208.019409</v>
      </c>
      <c r="AF136" s="212">
        <v>6.1201999999999999E-2</v>
      </c>
      <c r="AG136" s="31"/>
    </row>
    <row r="137" spans="1:33">
      <c r="A137" s="30" t="s">
        <v>1259</v>
      </c>
      <c r="B137" s="210" t="s">
        <v>287</v>
      </c>
      <c r="C137" s="219">
        <v>364.00384500000001</v>
      </c>
      <c r="D137" s="219">
        <v>411.32644699999997</v>
      </c>
      <c r="E137" s="219">
        <v>443.73666400000002</v>
      </c>
      <c r="F137" s="219">
        <v>448.43057299999998</v>
      </c>
      <c r="G137" s="219">
        <v>480.189728</v>
      </c>
      <c r="H137" s="219">
        <v>504.52227800000003</v>
      </c>
      <c r="I137" s="219">
        <v>529.42687999999998</v>
      </c>
      <c r="J137" s="219">
        <v>554.66467299999999</v>
      </c>
      <c r="K137" s="219">
        <v>580.12286400000005</v>
      </c>
      <c r="L137" s="219">
        <v>606.31994599999996</v>
      </c>
      <c r="M137" s="219">
        <v>633.37182600000006</v>
      </c>
      <c r="N137" s="219">
        <v>661.27563499999997</v>
      </c>
      <c r="O137" s="219">
        <v>690.11987299999998</v>
      </c>
      <c r="P137" s="219">
        <v>719.98028599999998</v>
      </c>
      <c r="Q137" s="219">
        <v>750.49188200000003</v>
      </c>
      <c r="R137" s="219">
        <v>781.94976799999995</v>
      </c>
      <c r="S137" s="219">
        <v>814.44976799999995</v>
      </c>
      <c r="T137" s="219">
        <v>847.96173099999999</v>
      </c>
      <c r="U137" s="219">
        <v>882.58727999999996</v>
      </c>
      <c r="V137" s="219">
        <v>917.78063999999995</v>
      </c>
      <c r="W137" s="219">
        <v>953.84173599999997</v>
      </c>
      <c r="X137" s="219">
        <v>990.82708700000001</v>
      </c>
      <c r="Y137" s="219">
        <v>1028.7703859999999</v>
      </c>
      <c r="Z137" s="219">
        <v>1067.618408</v>
      </c>
      <c r="AA137" s="219">
        <v>1106.3186040000001</v>
      </c>
      <c r="AB137" s="219">
        <v>1145.6285399999999</v>
      </c>
      <c r="AC137" s="219">
        <v>1185.8532709999999</v>
      </c>
      <c r="AD137" s="219">
        <v>1227.094482</v>
      </c>
      <c r="AE137" s="219">
        <v>1269.481567</v>
      </c>
      <c r="AF137" s="212">
        <v>4.5623999999999998E-2</v>
      </c>
      <c r="AG137" s="31"/>
    </row>
    <row r="138" spans="1:33">
      <c r="A138" s="30" t="s">
        <v>1260</v>
      </c>
      <c r="B138" s="210" t="s">
        <v>288</v>
      </c>
      <c r="C138" s="219">
        <v>643.23150599999997</v>
      </c>
      <c r="D138" s="219">
        <v>809.86389199999996</v>
      </c>
      <c r="E138" s="219">
        <v>1033.708862</v>
      </c>
      <c r="F138" s="219">
        <v>1203.5804439999999</v>
      </c>
      <c r="G138" s="219">
        <v>1315.1982419999999</v>
      </c>
      <c r="H138" s="219">
        <v>1389.2957759999999</v>
      </c>
      <c r="I138" s="219">
        <v>1461.070068</v>
      </c>
      <c r="J138" s="219">
        <v>1519.7026370000001</v>
      </c>
      <c r="K138" s="219">
        <v>1580.674072</v>
      </c>
      <c r="L138" s="219">
        <v>1642.2303469999999</v>
      </c>
      <c r="M138" s="219">
        <v>1706.307495</v>
      </c>
      <c r="N138" s="219">
        <v>1773.189087</v>
      </c>
      <c r="O138" s="219">
        <v>1842.996948</v>
      </c>
      <c r="P138" s="219">
        <v>1915.880615</v>
      </c>
      <c r="Q138" s="219">
        <v>1991.118408</v>
      </c>
      <c r="R138" s="219">
        <v>2069.4658199999999</v>
      </c>
      <c r="S138" s="219">
        <v>2150.9975589999999</v>
      </c>
      <c r="T138" s="219">
        <v>2235.7150879999999</v>
      </c>
      <c r="U138" s="219">
        <v>2323.7055660000001</v>
      </c>
      <c r="V138" s="219">
        <v>2414.3759770000001</v>
      </c>
      <c r="W138" s="219">
        <v>2508.4509280000002</v>
      </c>
      <c r="X138" s="219">
        <v>2606.0415039999998</v>
      </c>
      <c r="Y138" s="219">
        <v>2707.2348630000001</v>
      </c>
      <c r="Z138" s="219">
        <v>2812.163086</v>
      </c>
      <c r="AA138" s="219">
        <v>2919.8820799999999</v>
      </c>
      <c r="AB138" s="219">
        <v>3031.4201659999999</v>
      </c>
      <c r="AC138" s="219">
        <v>3146.9296880000002</v>
      </c>
      <c r="AD138" s="219">
        <v>3266.5102539999998</v>
      </c>
      <c r="AE138" s="219">
        <v>3390.2861330000001</v>
      </c>
      <c r="AF138" s="212">
        <v>6.1159999999999999E-2</v>
      </c>
      <c r="AG138" s="31"/>
    </row>
    <row r="139" spans="1:33">
      <c r="A139" s="30" t="s">
        <v>1261</v>
      </c>
      <c r="B139" s="210" t="s">
        <v>289</v>
      </c>
      <c r="C139" s="219">
        <v>249.37359599999999</v>
      </c>
      <c r="D139" s="219">
        <v>335.93658399999998</v>
      </c>
      <c r="E139" s="219">
        <v>430.22531099999998</v>
      </c>
      <c r="F139" s="219">
        <v>497.79663099999999</v>
      </c>
      <c r="G139" s="219">
        <v>537.84979199999998</v>
      </c>
      <c r="H139" s="219">
        <v>565.29992700000003</v>
      </c>
      <c r="I139" s="219">
        <v>592.20623799999998</v>
      </c>
      <c r="J139" s="219">
        <v>615.00518799999998</v>
      </c>
      <c r="K139" s="219">
        <v>638.70904499999995</v>
      </c>
      <c r="L139" s="219">
        <v>662.67681900000002</v>
      </c>
      <c r="M139" s="219">
        <v>687.55053699999996</v>
      </c>
      <c r="N139" s="219">
        <v>713.471497</v>
      </c>
      <c r="O139" s="219">
        <v>740.49151600000005</v>
      </c>
      <c r="P139" s="219">
        <v>768.67852800000003</v>
      </c>
      <c r="Q139" s="219">
        <v>797.763733</v>
      </c>
      <c r="R139" s="219">
        <v>828.01007100000004</v>
      </c>
      <c r="S139" s="219">
        <v>859.44238299999995</v>
      </c>
      <c r="T139" s="219">
        <v>892.046021</v>
      </c>
      <c r="U139" s="219">
        <v>925.84979199999998</v>
      </c>
      <c r="V139" s="219">
        <v>960.64581299999998</v>
      </c>
      <c r="W139" s="219">
        <v>996.68786599999999</v>
      </c>
      <c r="X139" s="219">
        <v>1034.0195309999999</v>
      </c>
      <c r="Y139" s="219">
        <v>1072.6705320000001</v>
      </c>
      <c r="Z139" s="219">
        <v>1112.6879879999999</v>
      </c>
      <c r="AA139" s="219">
        <v>1153.728638</v>
      </c>
      <c r="AB139" s="219">
        <v>1196.1561280000001</v>
      </c>
      <c r="AC139" s="219">
        <v>1240.03125</v>
      </c>
      <c r="AD139" s="219">
        <v>1285.3885499999999</v>
      </c>
      <c r="AE139" s="219">
        <v>1332.272827</v>
      </c>
      <c r="AF139" s="212">
        <v>6.1672999999999999E-2</v>
      </c>
      <c r="AG139" s="31"/>
    </row>
    <row r="140" spans="1:33">
      <c r="A140" s="30" t="s">
        <v>1262</v>
      </c>
      <c r="B140" s="210" t="s">
        <v>292</v>
      </c>
      <c r="C140" s="219">
        <v>309.15365600000001</v>
      </c>
      <c r="D140" s="219">
        <v>360.79992700000003</v>
      </c>
      <c r="E140" s="219">
        <v>459.47216800000001</v>
      </c>
      <c r="F140" s="219">
        <v>542.31811500000003</v>
      </c>
      <c r="G140" s="219">
        <v>606.94940199999996</v>
      </c>
      <c r="H140" s="219">
        <v>647.83563200000003</v>
      </c>
      <c r="I140" s="219">
        <v>686.69622800000002</v>
      </c>
      <c r="J140" s="219">
        <v>716.520264</v>
      </c>
      <c r="K140" s="219">
        <v>747.54431199999999</v>
      </c>
      <c r="L140" s="219">
        <v>778.78051800000003</v>
      </c>
      <c r="M140" s="219">
        <v>811.47302200000001</v>
      </c>
      <c r="N140" s="219">
        <v>845.69354199999998</v>
      </c>
      <c r="O140" s="219">
        <v>881.49322500000005</v>
      </c>
      <c r="P140" s="219">
        <v>918.92584199999999</v>
      </c>
      <c r="Q140" s="219">
        <v>957.59625200000005</v>
      </c>
      <c r="R140" s="219">
        <v>997.96124299999997</v>
      </c>
      <c r="S140" s="219">
        <v>1040.068115</v>
      </c>
      <c r="T140" s="219">
        <v>1083.953857</v>
      </c>
      <c r="U140" s="219">
        <v>1129.674561</v>
      </c>
      <c r="V140" s="219">
        <v>1176.875732</v>
      </c>
      <c r="W140" s="219">
        <v>1225.990356</v>
      </c>
      <c r="X140" s="219">
        <v>1277.075317</v>
      </c>
      <c r="Y140" s="219">
        <v>1330.1845699999999</v>
      </c>
      <c r="Z140" s="219">
        <v>1385.394409</v>
      </c>
      <c r="AA140" s="219">
        <v>1442.169312</v>
      </c>
      <c r="AB140" s="219">
        <v>1501.1175539999999</v>
      </c>
      <c r="AC140" s="219">
        <v>1562.3118899999999</v>
      </c>
      <c r="AD140" s="219">
        <v>1625.8142089999999</v>
      </c>
      <c r="AE140" s="219">
        <v>1691.6949460000001</v>
      </c>
      <c r="AF140" s="212">
        <v>6.2581999999999999E-2</v>
      </c>
      <c r="AG140" s="31"/>
    </row>
    <row r="141" spans="1:33">
      <c r="A141" s="30" t="s">
        <v>1263</v>
      </c>
      <c r="B141" s="210" t="s">
        <v>287</v>
      </c>
      <c r="C141" s="219">
        <v>84.704268999999996</v>
      </c>
      <c r="D141" s="219">
        <v>113.127365</v>
      </c>
      <c r="E141" s="219">
        <v>144.011337</v>
      </c>
      <c r="F141" s="219">
        <v>163.465744</v>
      </c>
      <c r="G141" s="219">
        <v>170.39906300000001</v>
      </c>
      <c r="H141" s="219">
        <v>176.16027800000001</v>
      </c>
      <c r="I141" s="219">
        <v>182.16755699999999</v>
      </c>
      <c r="J141" s="219">
        <v>188.17723100000001</v>
      </c>
      <c r="K141" s="219">
        <v>194.420715</v>
      </c>
      <c r="L141" s="219">
        <v>200.77302599999999</v>
      </c>
      <c r="M141" s="219">
        <v>207.283951</v>
      </c>
      <c r="N141" s="219">
        <v>214.024078</v>
      </c>
      <c r="O141" s="219">
        <v>221.012192</v>
      </c>
      <c r="P141" s="219">
        <v>228.276184</v>
      </c>
      <c r="Q141" s="219">
        <v>235.75843800000001</v>
      </c>
      <c r="R141" s="219">
        <v>243.49452199999999</v>
      </c>
      <c r="S141" s="219">
        <v>251.48704499999999</v>
      </c>
      <c r="T141" s="219">
        <v>259.715149</v>
      </c>
      <c r="U141" s="219">
        <v>268.18118299999998</v>
      </c>
      <c r="V141" s="219">
        <v>276.85458399999999</v>
      </c>
      <c r="W141" s="219">
        <v>285.77264400000001</v>
      </c>
      <c r="X141" s="219">
        <v>294.94665500000002</v>
      </c>
      <c r="Y141" s="219">
        <v>304.379974</v>
      </c>
      <c r="Z141" s="219">
        <v>314.08056599999998</v>
      </c>
      <c r="AA141" s="219">
        <v>323.984039</v>
      </c>
      <c r="AB141" s="219">
        <v>334.14657599999998</v>
      </c>
      <c r="AC141" s="219">
        <v>344.586365</v>
      </c>
      <c r="AD141" s="219">
        <v>355.307526</v>
      </c>
      <c r="AE141" s="219">
        <v>366.31826799999999</v>
      </c>
      <c r="AF141" s="212">
        <v>5.3689000000000001E-2</v>
      </c>
      <c r="AG141" s="31"/>
    </row>
    <row r="142" spans="1:33">
      <c r="A142" s="30" t="s">
        <v>1264</v>
      </c>
      <c r="B142" s="210" t="s">
        <v>288</v>
      </c>
      <c r="C142" s="219">
        <v>625.06341599999996</v>
      </c>
      <c r="D142" s="219">
        <v>916.94250499999998</v>
      </c>
      <c r="E142" s="219">
        <v>1092.5119629999999</v>
      </c>
      <c r="F142" s="219">
        <v>1172.0686040000001</v>
      </c>
      <c r="G142" s="219">
        <v>1249.1049800000001</v>
      </c>
      <c r="H142" s="219">
        <v>1304.7954099999999</v>
      </c>
      <c r="I142" s="219">
        <v>1356.907471</v>
      </c>
      <c r="J142" s="219">
        <v>1412.223389</v>
      </c>
      <c r="K142" s="219">
        <v>1470.6604</v>
      </c>
      <c r="L142" s="219">
        <v>1532.1757809999999</v>
      </c>
      <c r="M142" s="219">
        <v>1596.3366699999999</v>
      </c>
      <c r="N142" s="219">
        <v>1662.991211</v>
      </c>
      <c r="O142" s="219">
        <v>1732.1273189999999</v>
      </c>
      <c r="P142" s="219">
        <v>1803.7451169999999</v>
      </c>
      <c r="Q142" s="219">
        <v>1878.6374510000001</v>
      </c>
      <c r="R142" s="219">
        <v>1956.2303469999999</v>
      </c>
      <c r="S142" s="219">
        <v>2036.4339600000001</v>
      </c>
      <c r="T142" s="219">
        <v>2119.2426759999998</v>
      </c>
      <c r="U142" s="219">
        <v>2204.6821289999998</v>
      </c>
      <c r="V142" s="219">
        <v>2293.5405270000001</v>
      </c>
      <c r="W142" s="219">
        <v>2385.1982419999999</v>
      </c>
      <c r="X142" s="219">
        <v>2479.6088869999999</v>
      </c>
      <c r="Y142" s="219">
        <v>2576.8115229999999</v>
      </c>
      <c r="Z142" s="219">
        <v>2676.9106449999999</v>
      </c>
      <c r="AA142" s="219">
        <v>2780.5493160000001</v>
      </c>
      <c r="AB142" s="219">
        <v>2887.180664</v>
      </c>
      <c r="AC142" s="219">
        <v>2996.7885740000002</v>
      </c>
      <c r="AD142" s="219">
        <v>3109.4091800000001</v>
      </c>
      <c r="AE142" s="219">
        <v>3225.1445309999999</v>
      </c>
      <c r="AF142" s="212">
        <v>6.0353999999999998E-2</v>
      </c>
      <c r="AG142" s="31"/>
    </row>
    <row r="143" spans="1:33">
      <c r="A143" s="30" t="s">
        <v>1265</v>
      </c>
      <c r="B143" s="210" t="s">
        <v>289</v>
      </c>
      <c r="C143" s="219">
        <v>310.34631300000001</v>
      </c>
      <c r="D143" s="219">
        <v>376.11483800000002</v>
      </c>
      <c r="E143" s="219">
        <v>448.42544600000002</v>
      </c>
      <c r="F143" s="219">
        <v>482.52474999999998</v>
      </c>
      <c r="G143" s="219">
        <v>516.06787099999997</v>
      </c>
      <c r="H143" s="219">
        <v>539.51196300000004</v>
      </c>
      <c r="I143" s="219">
        <v>560.85168499999997</v>
      </c>
      <c r="J143" s="219">
        <v>583.56854199999998</v>
      </c>
      <c r="K143" s="219">
        <v>607.56390399999998</v>
      </c>
      <c r="L143" s="219">
        <v>632.80822799999999</v>
      </c>
      <c r="M143" s="219">
        <v>659.127747</v>
      </c>
      <c r="N143" s="219">
        <v>686.45709199999999</v>
      </c>
      <c r="O143" s="219">
        <v>714.78991699999995</v>
      </c>
      <c r="P143" s="219">
        <v>744.12506099999996</v>
      </c>
      <c r="Q143" s="219">
        <v>774.78466800000001</v>
      </c>
      <c r="R143" s="219">
        <v>806.53509499999996</v>
      </c>
      <c r="S143" s="219">
        <v>839.33746299999996</v>
      </c>
      <c r="T143" s="219">
        <v>873.18762200000003</v>
      </c>
      <c r="U143" s="219">
        <v>908.09869400000002</v>
      </c>
      <c r="V143" s="219">
        <v>944.39007600000002</v>
      </c>
      <c r="W143" s="219">
        <v>981.80755599999998</v>
      </c>
      <c r="X143" s="219">
        <v>1020.330322</v>
      </c>
      <c r="Y143" s="219">
        <v>1059.9732670000001</v>
      </c>
      <c r="Z143" s="219">
        <v>1100.778442</v>
      </c>
      <c r="AA143" s="219">
        <v>1143.0073239999999</v>
      </c>
      <c r="AB143" s="219">
        <v>1186.4350589999999</v>
      </c>
      <c r="AC143" s="219">
        <v>1231.05249</v>
      </c>
      <c r="AD143" s="219">
        <v>1276.8735349999999</v>
      </c>
      <c r="AE143" s="219">
        <v>1323.9385990000001</v>
      </c>
      <c r="AF143" s="212">
        <v>5.3176000000000001E-2</v>
      </c>
      <c r="AG143" s="31"/>
    </row>
    <row r="144" spans="1:33">
      <c r="A144" s="30" t="s">
        <v>1266</v>
      </c>
      <c r="B144" s="210" t="s">
        <v>293</v>
      </c>
      <c r="C144" s="219">
        <v>101.82463799999999</v>
      </c>
      <c r="D144" s="219">
        <v>127.08978999999999</v>
      </c>
      <c r="E144" s="219">
        <v>149.50636299999999</v>
      </c>
      <c r="F144" s="219">
        <v>163.274384</v>
      </c>
      <c r="G144" s="219">
        <v>177.650925</v>
      </c>
      <c r="H144" s="219">
        <v>186.43978899999999</v>
      </c>
      <c r="I144" s="219">
        <v>193.47171</v>
      </c>
      <c r="J144" s="219">
        <v>201.065887</v>
      </c>
      <c r="K144" s="219">
        <v>209.08230599999999</v>
      </c>
      <c r="L144" s="219">
        <v>217.49070699999999</v>
      </c>
      <c r="M144" s="219">
        <v>226.23971599999999</v>
      </c>
      <c r="N144" s="219">
        <v>235.30278000000001</v>
      </c>
      <c r="O144" s="219">
        <v>244.67558299999999</v>
      </c>
      <c r="P144" s="219">
        <v>254.35517899999999</v>
      </c>
      <c r="Q144" s="219">
        <v>264.44409200000001</v>
      </c>
      <c r="R144" s="219">
        <v>274.86758400000002</v>
      </c>
      <c r="S144" s="219">
        <v>285.60858200000001</v>
      </c>
      <c r="T144" s="219">
        <v>296.66345200000001</v>
      </c>
      <c r="U144" s="219">
        <v>308.04113799999999</v>
      </c>
      <c r="V144" s="219">
        <v>319.84039300000001</v>
      </c>
      <c r="W144" s="219">
        <v>331.97729500000003</v>
      </c>
      <c r="X144" s="219">
        <v>344.441711</v>
      </c>
      <c r="Y144" s="219">
        <v>357.23644999999999</v>
      </c>
      <c r="Z144" s="219">
        <v>370.37435900000003</v>
      </c>
      <c r="AA144" s="219">
        <v>383.93911700000001</v>
      </c>
      <c r="AB144" s="219">
        <v>397.854309</v>
      </c>
      <c r="AC144" s="219">
        <v>412.113495</v>
      </c>
      <c r="AD144" s="219">
        <v>426.71850599999999</v>
      </c>
      <c r="AE144" s="219">
        <v>441.68109099999998</v>
      </c>
      <c r="AF144" s="212">
        <v>5.3802000000000003E-2</v>
      </c>
      <c r="AG144" s="31"/>
    </row>
    <row r="145" spans="1:33">
      <c r="A145" s="30" t="s">
        <v>1267</v>
      </c>
      <c r="B145" s="210" t="s">
        <v>287</v>
      </c>
      <c r="C145" s="219">
        <v>212.892471</v>
      </c>
      <c r="D145" s="219">
        <v>413.73791499999999</v>
      </c>
      <c r="E145" s="219">
        <v>494.58007800000001</v>
      </c>
      <c r="F145" s="219">
        <v>526.269409</v>
      </c>
      <c r="G145" s="219">
        <v>555.38622999999995</v>
      </c>
      <c r="H145" s="219">
        <v>578.84362799999997</v>
      </c>
      <c r="I145" s="219">
        <v>602.58410600000002</v>
      </c>
      <c r="J145" s="219">
        <v>627.58905000000004</v>
      </c>
      <c r="K145" s="219">
        <v>654.01409899999999</v>
      </c>
      <c r="L145" s="219">
        <v>681.87683100000004</v>
      </c>
      <c r="M145" s="219">
        <v>710.96917699999995</v>
      </c>
      <c r="N145" s="219">
        <v>741.23126200000002</v>
      </c>
      <c r="O145" s="219">
        <v>772.66180399999996</v>
      </c>
      <c r="P145" s="219">
        <v>805.26489300000003</v>
      </c>
      <c r="Q145" s="219">
        <v>839.40863000000002</v>
      </c>
      <c r="R145" s="219">
        <v>874.82763699999998</v>
      </c>
      <c r="S145" s="219">
        <v>911.48791500000004</v>
      </c>
      <c r="T145" s="219">
        <v>949.39172399999995</v>
      </c>
      <c r="U145" s="219">
        <v>988.54217500000004</v>
      </c>
      <c r="V145" s="219">
        <v>1029.3100589999999</v>
      </c>
      <c r="W145" s="219">
        <v>1071.4133300000001</v>
      </c>
      <c r="X145" s="219">
        <v>1114.8367920000001</v>
      </c>
      <c r="Y145" s="219">
        <v>1159.6019289999999</v>
      </c>
      <c r="Z145" s="219">
        <v>1205.7579350000001</v>
      </c>
      <c r="AA145" s="219">
        <v>1253.602783</v>
      </c>
      <c r="AB145" s="219">
        <v>1302.891357</v>
      </c>
      <c r="AC145" s="219">
        <v>1353.622437</v>
      </c>
      <c r="AD145" s="219">
        <v>1405.8170170000001</v>
      </c>
      <c r="AE145" s="219">
        <v>1459.5249020000001</v>
      </c>
      <c r="AF145" s="212">
        <v>7.1170999999999998E-2</v>
      </c>
      <c r="AG145" s="31"/>
    </row>
    <row r="146" spans="1:33">
      <c r="A146" s="30" t="s">
        <v>1268</v>
      </c>
      <c r="B146" s="210" t="s">
        <v>288</v>
      </c>
      <c r="C146" s="219">
        <v>419.19976800000001</v>
      </c>
      <c r="D146" s="219">
        <v>445.30187999999998</v>
      </c>
      <c r="E146" s="219">
        <v>456.92532299999999</v>
      </c>
      <c r="F146" s="219">
        <v>470.77404799999999</v>
      </c>
      <c r="G146" s="219">
        <v>483.30731200000002</v>
      </c>
      <c r="H146" s="219">
        <v>493.20959499999998</v>
      </c>
      <c r="I146" s="219">
        <v>502.39447000000001</v>
      </c>
      <c r="J146" s="219">
        <v>510.63806199999999</v>
      </c>
      <c r="K146" s="219">
        <v>518.389771</v>
      </c>
      <c r="L146" s="219">
        <v>525.415344</v>
      </c>
      <c r="M146" s="219">
        <v>532.19909700000005</v>
      </c>
      <c r="N146" s="219">
        <v>538.70593299999996</v>
      </c>
      <c r="O146" s="219">
        <v>544.89483600000005</v>
      </c>
      <c r="P146" s="219">
        <v>550.73065199999996</v>
      </c>
      <c r="Q146" s="219">
        <v>556.20306400000004</v>
      </c>
      <c r="R146" s="219">
        <v>561.36901899999998</v>
      </c>
      <c r="S146" s="219">
        <v>566.26489300000003</v>
      </c>
      <c r="T146" s="219">
        <v>570.92700200000002</v>
      </c>
      <c r="U146" s="219">
        <v>575.36730999999997</v>
      </c>
      <c r="V146" s="219">
        <v>579.62261999999998</v>
      </c>
      <c r="W146" s="219">
        <v>583.70642099999998</v>
      </c>
      <c r="X146" s="219">
        <v>587.63073699999995</v>
      </c>
      <c r="Y146" s="219">
        <v>591.40252699999996</v>
      </c>
      <c r="Z146" s="219">
        <v>595.02941899999996</v>
      </c>
      <c r="AA146" s="219">
        <v>598.53155500000003</v>
      </c>
      <c r="AB146" s="219">
        <v>601.90405299999998</v>
      </c>
      <c r="AC146" s="219">
        <v>605.147156</v>
      </c>
      <c r="AD146" s="219">
        <v>608.247253</v>
      </c>
      <c r="AE146" s="219">
        <v>611.21417199999996</v>
      </c>
      <c r="AF146" s="212">
        <v>1.3559E-2</v>
      </c>
      <c r="AG146" s="31"/>
    </row>
    <row r="147" spans="1:33">
      <c r="A147" s="30" t="s">
        <v>1269</v>
      </c>
      <c r="B147" s="210" t="s">
        <v>289</v>
      </c>
      <c r="C147" s="219">
        <v>252.65448000000001</v>
      </c>
      <c r="D147" s="219">
        <v>267.78195199999999</v>
      </c>
      <c r="E147" s="219">
        <v>273.65145899999999</v>
      </c>
      <c r="F147" s="219">
        <v>281.47308299999997</v>
      </c>
      <c r="G147" s="219">
        <v>288.48440599999998</v>
      </c>
      <c r="H147" s="219">
        <v>294.155914</v>
      </c>
      <c r="I147" s="219">
        <v>299.49108899999999</v>
      </c>
      <c r="J147" s="219">
        <v>304.36554000000001</v>
      </c>
      <c r="K147" s="219">
        <v>308.95251500000001</v>
      </c>
      <c r="L147" s="219">
        <v>313.11425800000001</v>
      </c>
      <c r="M147" s="219">
        <v>317.13528400000001</v>
      </c>
      <c r="N147" s="219">
        <v>320.99478099999999</v>
      </c>
      <c r="O147" s="219">
        <v>324.66857900000002</v>
      </c>
      <c r="P147" s="219">
        <v>328.13595600000002</v>
      </c>
      <c r="Q147" s="219">
        <v>331.39044200000001</v>
      </c>
      <c r="R147" s="219">
        <v>334.46563700000002</v>
      </c>
      <c r="S147" s="219">
        <v>337.38269000000003</v>
      </c>
      <c r="T147" s="219">
        <v>340.16287199999999</v>
      </c>
      <c r="U147" s="219">
        <v>342.812592</v>
      </c>
      <c r="V147" s="219">
        <v>345.35357699999997</v>
      </c>
      <c r="W147" s="219">
        <v>347.79367100000002</v>
      </c>
      <c r="X147" s="219">
        <v>350.14004499999999</v>
      </c>
      <c r="Y147" s="219">
        <v>352.39660600000002</v>
      </c>
      <c r="Z147" s="219">
        <v>354.56787100000003</v>
      </c>
      <c r="AA147" s="219">
        <v>356.66525300000001</v>
      </c>
      <c r="AB147" s="219">
        <v>358.68579099999999</v>
      </c>
      <c r="AC147" s="219">
        <v>360.63028000000003</v>
      </c>
      <c r="AD147" s="219">
        <v>362.49115</v>
      </c>
      <c r="AE147" s="219">
        <v>364.27465799999999</v>
      </c>
      <c r="AF147" s="212">
        <v>1.3153E-2</v>
      </c>
      <c r="AG147" s="31"/>
    </row>
    <row r="148" spans="1:33">
      <c r="A148" s="30" t="s">
        <v>1270</v>
      </c>
      <c r="B148" s="210" t="s">
        <v>294</v>
      </c>
      <c r="C148" s="219">
        <v>20.602450999999999</v>
      </c>
      <c r="D148" s="219">
        <v>25.507446000000002</v>
      </c>
      <c r="E148" s="219">
        <v>29.657032000000001</v>
      </c>
      <c r="F148" s="219">
        <v>32.492038999999998</v>
      </c>
      <c r="G148" s="219">
        <v>35.333495999999997</v>
      </c>
      <c r="H148" s="219">
        <v>37.037590000000002</v>
      </c>
      <c r="I148" s="219">
        <v>38.312652999999997</v>
      </c>
      <c r="J148" s="219">
        <v>39.104317000000002</v>
      </c>
      <c r="K148" s="219">
        <v>39.834969000000001</v>
      </c>
      <c r="L148" s="219">
        <v>40.478951000000002</v>
      </c>
      <c r="M148" s="219">
        <v>41.090431000000002</v>
      </c>
      <c r="N148" s="219">
        <v>41.666069</v>
      </c>
      <c r="O148" s="219">
        <v>42.201903999999999</v>
      </c>
      <c r="P148" s="219">
        <v>42.694378</v>
      </c>
      <c r="Q148" s="219">
        <v>43.143196000000003</v>
      </c>
      <c r="R148" s="219">
        <v>43.555241000000002</v>
      </c>
      <c r="S148" s="219">
        <v>43.934868000000002</v>
      </c>
      <c r="T148" s="219">
        <v>44.286434</v>
      </c>
      <c r="U148" s="219">
        <v>44.613953000000002</v>
      </c>
      <c r="V148" s="219">
        <v>44.920799000000002</v>
      </c>
      <c r="W148" s="219">
        <v>45.209000000000003</v>
      </c>
      <c r="X148" s="219">
        <v>45.479927000000004</v>
      </c>
      <c r="Y148" s="219">
        <v>45.734260999999996</v>
      </c>
      <c r="Z148" s="219">
        <v>45.973236</v>
      </c>
      <c r="AA148" s="219">
        <v>46.200775</v>
      </c>
      <c r="AB148" s="219">
        <v>46.416392999999999</v>
      </c>
      <c r="AC148" s="219">
        <v>46.618023000000001</v>
      </c>
      <c r="AD148" s="219">
        <v>46.801772999999997</v>
      </c>
      <c r="AE148" s="219">
        <v>46.967086999999999</v>
      </c>
      <c r="AF148" s="212">
        <v>2.9867000000000001E-2</v>
      </c>
      <c r="AG148" s="31"/>
    </row>
    <row r="149" spans="1:33">
      <c r="A149" s="30" t="s">
        <v>1271</v>
      </c>
      <c r="B149" s="210" t="s">
        <v>287</v>
      </c>
      <c r="C149" s="219">
        <v>145.94285600000001</v>
      </c>
      <c r="D149" s="219">
        <v>152.01246599999999</v>
      </c>
      <c r="E149" s="219">
        <v>153.61682099999999</v>
      </c>
      <c r="F149" s="219">
        <v>156.80892900000001</v>
      </c>
      <c r="G149" s="219">
        <v>159.48942600000001</v>
      </c>
      <c r="H149" s="219">
        <v>162.01606799999999</v>
      </c>
      <c r="I149" s="219">
        <v>164.59072900000001</v>
      </c>
      <c r="J149" s="219">
        <v>167.16821300000001</v>
      </c>
      <c r="K149" s="219">
        <v>169.60228000000001</v>
      </c>
      <c r="L149" s="219">
        <v>171.82214400000001</v>
      </c>
      <c r="M149" s="219">
        <v>173.97340399999999</v>
      </c>
      <c r="N149" s="219">
        <v>176.045074</v>
      </c>
      <c r="O149" s="219">
        <v>178.02436800000001</v>
      </c>
      <c r="P149" s="219">
        <v>179.90033</v>
      </c>
      <c r="Q149" s="219">
        <v>181.66941800000001</v>
      </c>
      <c r="R149" s="219">
        <v>183.34814499999999</v>
      </c>
      <c r="S149" s="219">
        <v>184.94731100000001</v>
      </c>
      <c r="T149" s="219">
        <v>186.477722</v>
      </c>
      <c r="U149" s="219">
        <v>187.94078099999999</v>
      </c>
      <c r="V149" s="219">
        <v>189.34823600000001</v>
      </c>
      <c r="W149" s="219">
        <v>190.70370500000001</v>
      </c>
      <c r="X149" s="219">
        <v>192.01080300000001</v>
      </c>
      <c r="Y149" s="219">
        <v>193.27166700000001</v>
      </c>
      <c r="Z149" s="219">
        <v>194.488281</v>
      </c>
      <c r="AA149" s="219">
        <v>195.66551200000001</v>
      </c>
      <c r="AB149" s="219">
        <v>196.80186499999999</v>
      </c>
      <c r="AC149" s="219">
        <v>197.89887999999999</v>
      </c>
      <c r="AD149" s="219">
        <v>198.95433</v>
      </c>
      <c r="AE149" s="219">
        <v>199.972397</v>
      </c>
      <c r="AF149" s="212">
        <v>1.1311999999999999E-2</v>
      </c>
      <c r="AG149" s="31"/>
    </row>
    <row r="150" spans="1:33">
      <c r="A150" s="30" t="s">
        <v>1272</v>
      </c>
      <c r="B150" s="210" t="s">
        <v>288</v>
      </c>
      <c r="C150" s="219">
        <v>370.58520499999997</v>
      </c>
      <c r="D150" s="219">
        <v>461.29376200000002</v>
      </c>
      <c r="E150" s="219">
        <v>535.82275400000003</v>
      </c>
      <c r="F150" s="219">
        <v>572.78991699999995</v>
      </c>
      <c r="G150" s="219">
        <v>604.81353799999999</v>
      </c>
      <c r="H150" s="219">
        <v>627.30285600000002</v>
      </c>
      <c r="I150" s="219">
        <v>646.14160200000003</v>
      </c>
      <c r="J150" s="219">
        <v>663.66400099999998</v>
      </c>
      <c r="K150" s="219">
        <v>681.33746299999996</v>
      </c>
      <c r="L150" s="219">
        <v>698.955017</v>
      </c>
      <c r="M150" s="219">
        <v>717.10186799999997</v>
      </c>
      <c r="N150" s="219">
        <v>735.84265100000005</v>
      </c>
      <c r="O150" s="219">
        <v>755.19689900000003</v>
      </c>
      <c r="P150" s="219">
        <v>775.182007</v>
      </c>
      <c r="Q150" s="219">
        <v>795.71368399999994</v>
      </c>
      <c r="R150" s="219">
        <v>816.89855999999997</v>
      </c>
      <c r="S150" s="219">
        <v>838.73413100000005</v>
      </c>
      <c r="T150" s="219">
        <v>861.21209699999997</v>
      </c>
      <c r="U150" s="219">
        <v>884.31475799999998</v>
      </c>
      <c r="V150" s="219">
        <v>908.02526899999998</v>
      </c>
      <c r="W150" s="219">
        <v>932.37731900000006</v>
      </c>
      <c r="X150" s="219">
        <v>957.36828600000001</v>
      </c>
      <c r="Y150" s="219">
        <v>982.99694799999997</v>
      </c>
      <c r="Z150" s="219">
        <v>1009.257874</v>
      </c>
      <c r="AA150" s="219">
        <v>1035.9171140000001</v>
      </c>
      <c r="AB150" s="219">
        <v>1063.2104489999999</v>
      </c>
      <c r="AC150" s="219">
        <v>1091.1518550000001</v>
      </c>
      <c r="AD150" s="219">
        <v>1119.7543949999999</v>
      </c>
      <c r="AE150" s="219">
        <v>1149.0229489999999</v>
      </c>
      <c r="AF150" s="212">
        <v>4.1241E-2</v>
      </c>
      <c r="AG150" s="31"/>
    </row>
    <row r="151" spans="1:33">
      <c r="A151" s="30" t="s">
        <v>1273</v>
      </c>
      <c r="B151" s="210" t="s">
        <v>289</v>
      </c>
      <c r="C151" s="219">
        <v>214.20620700000001</v>
      </c>
      <c r="D151" s="219">
        <v>269.47332799999998</v>
      </c>
      <c r="E151" s="219">
        <v>314.92019699999997</v>
      </c>
      <c r="F151" s="219">
        <v>340.05426</v>
      </c>
      <c r="G151" s="219">
        <v>361.313873</v>
      </c>
      <c r="H151" s="219">
        <v>375.64196800000002</v>
      </c>
      <c r="I151" s="219">
        <v>387.32519500000001</v>
      </c>
      <c r="J151" s="219">
        <v>398.066711</v>
      </c>
      <c r="K151" s="219">
        <v>408.933899</v>
      </c>
      <c r="L151" s="219">
        <v>419.80868500000003</v>
      </c>
      <c r="M151" s="219">
        <v>431.01675399999999</v>
      </c>
      <c r="N151" s="219">
        <v>442.59545900000001</v>
      </c>
      <c r="O151" s="219">
        <v>454.55740400000002</v>
      </c>
      <c r="P151" s="219">
        <v>466.91409299999998</v>
      </c>
      <c r="Q151" s="219">
        <v>479.61593599999998</v>
      </c>
      <c r="R151" s="219">
        <v>492.72644000000003</v>
      </c>
      <c r="S151" s="219">
        <v>506.24490400000002</v>
      </c>
      <c r="T151" s="219">
        <v>520.16735800000004</v>
      </c>
      <c r="U151" s="219">
        <v>534.48431400000004</v>
      </c>
      <c r="V151" s="219">
        <v>549.182861</v>
      </c>
      <c r="W151" s="219">
        <v>564.28716999999995</v>
      </c>
      <c r="X151" s="219">
        <v>579.79675299999997</v>
      </c>
      <c r="Y151" s="219">
        <v>595.71179199999995</v>
      </c>
      <c r="Z151" s="219">
        <v>612.03027299999997</v>
      </c>
      <c r="AA151" s="219">
        <v>628.61663799999997</v>
      </c>
      <c r="AB151" s="219">
        <v>645.60864300000003</v>
      </c>
      <c r="AC151" s="219">
        <v>663.01568599999996</v>
      </c>
      <c r="AD151" s="219">
        <v>680.84698500000002</v>
      </c>
      <c r="AE151" s="219">
        <v>699.106628</v>
      </c>
      <c r="AF151" s="212">
        <v>4.3150000000000001E-2</v>
      </c>
      <c r="AG151" s="31"/>
    </row>
    <row r="152" spans="1:33">
      <c r="A152" s="30" t="s">
        <v>1274</v>
      </c>
      <c r="B152" s="210" t="s">
        <v>295</v>
      </c>
      <c r="C152" s="219">
        <v>17.582750000000001</v>
      </c>
      <c r="D152" s="219">
        <v>22.767551000000001</v>
      </c>
      <c r="E152" s="219">
        <v>27.497502999999998</v>
      </c>
      <c r="F152" s="219">
        <v>30.980896000000001</v>
      </c>
      <c r="G152" s="219">
        <v>33.759487</v>
      </c>
      <c r="H152" s="219">
        <v>35.430557</v>
      </c>
      <c r="I152" s="219">
        <v>36.681849999999997</v>
      </c>
      <c r="J152" s="219">
        <v>37.787337999999998</v>
      </c>
      <c r="K152" s="219">
        <v>38.917746999999999</v>
      </c>
      <c r="L152" s="219">
        <v>40.064109999999999</v>
      </c>
      <c r="M152" s="219">
        <v>41.248004999999999</v>
      </c>
      <c r="N152" s="219">
        <v>42.472389</v>
      </c>
      <c r="O152" s="219">
        <v>43.738827000000001</v>
      </c>
      <c r="P152" s="219">
        <v>45.048794000000001</v>
      </c>
      <c r="Q152" s="219">
        <v>46.397945</v>
      </c>
      <c r="R152" s="219">
        <v>47.792149000000002</v>
      </c>
      <c r="S152" s="219">
        <v>49.231659000000001</v>
      </c>
      <c r="T152" s="219">
        <v>50.7164</v>
      </c>
      <c r="U152" s="219">
        <v>52.245941000000002</v>
      </c>
      <c r="V152" s="219">
        <v>53.817996999999998</v>
      </c>
      <c r="W152" s="219">
        <v>55.436340000000001</v>
      </c>
      <c r="X152" s="219">
        <v>57.101303000000001</v>
      </c>
      <c r="Y152" s="219">
        <v>58.813335000000002</v>
      </c>
      <c r="Z152" s="219">
        <v>60.572605000000003</v>
      </c>
      <c r="AA152" s="219">
        <v>62.368079999999999</v>
      </c>
      <c r="AB152" s="219">
        <v>64.211394999999996</v>
      </c>
      <c r="AC152" s="219">
        <v>66.103904999999997</v>
      </c>
      <c r="AD152" s="219">
        <v>68.046859999999995</v>
      </c>
      <c r="AE152" s="219">
        <v>70.041290000000004</v>
      </c>
      <c r="AF152" s="212">
        <v>5.0602000000000001E-2</v>
      </c>
      <c r="AG152" s="31"/>
    </row>
    <row r="153" spans="1:33">
      <c r="A153" s="30" t="s">
        <v>1275</v>
      </c>
      <c r="B153" s="210" t="s">
        <v>287</v>
      </c>
      <c r="C153" s="219">
        <v>138.79626500000001</v>
      </c>
      <c r="D153" s="219">
        <v>169.052887</v>
      </c>
      <c r="E153" s="219">
        <v>193.40507500000001</v>
      </c>
      <c r="F153" s="219">
        <v>201.75477599999999</v>
      </c>
      <c r="G153" s="219">
        <v>209.74018899999999</v>
      </c>
      <c r="H153" s="219">
        <v>216.23034699999999</v>
      </c>
      <c r="I153" s="219">
        <v>222.134567</v>
      </c>
      <c r="J153" s="219">
        <v>227.80995200000001</v>
      </c>
      <c r="K153" s="219">
        <v>233.48580899999999</v>
      </c>
      <c r="L153" s="219">
        <v>239.08221399999999</v>
      </c>
      <c r="M153" s="219">
        <v>244.837097</v>
      </c>
      <c r="N153" s="219">
        <v>250.77477999999999</v>
      </c>
      <c r="O153" s="219">
        <v>256.90063500000002</v>
      </c>
      <c r="P153" s="219">
        <v>263.21911599999999</v>
      </c>
      <c r="Q153" s="219">
        <v>269.69982900000002</v>
      </c>
      <c r="R153" s="219">
        <v>276.37994400000002</v>
      </c>
      <c r="S153" s="219">
        <v>283.25753800000001</v>
      </c>
      <c r="T153" s="219">
        <v>290.32830799999999</v>
      </c>
      <c r="U153" s="219">
        <v>297.58453400000002</v>
      </c>
      <c r="V153" s="219">
        <v>305.024384</v>
      </c>
      <c r="W153" s="219">
        <v>312.653839</v>
      </c>
      <c r="X153" s="219">
        <v>320.470215</v>
      </c>
      <c r="Y153" s="219">
        <v>328.47180200000003</v>
      </c>
      <c r="Z153" s="219">
        <v>336.654968</v>
      </c>
      <c r="AA153" s="219">
        <v>344.932343</v>
      </c>
      <c r="AB153" s="219">
        <v>353.39035000000001</v>
      </c>
      <c r="AC153" s="219">
        <v>362.03228799999999</v>
      </c>
      <c r="AD153" s="219">
        <v>370.86056500000001</v>
      </c>
      <c r="AE153" s="219">
        <v>379.875</v>
      </c>
      <c r="AF153" s="212">
        <v>3.6613E-2</v>
      </c>
      <c r="AG153" s="31"/>
    </row>
    <row r="154" spans="1:33">
      <c r="A154" s="30" t="s">
        <v>1276</v>
      </c>
      <c r="B154" s="210" t="s">
        <v>288</v>
      </c>
      <c r="C154" s="219">
        <v>21238.162109000001</v>
      </c>
      <c r="D154" s="219">
        <v>23666.042968999998</v>
      </c>
      <c r="E154" s="219">
        <v>25831.871093999998</v>
      </c>
      <c r="F154" s="219">
        <v>26914.007812</v>
      </c>
      <c r="G154" s="219">
        <v>28249.023438</v>
      </c>
      <c r="H154" s="219">
        <v>29194.080077999999</v>
      </c>
      <c r="I154" s="219">
        <v>30071.404297000001</v>
      </c>
      <c r="J154" s="219">
        <v>30869.183593999998</v>
      </c>
      <c r="K154" s="219">
        <v>31666.357422000001</v>
      </c>
      <c r="L154" s="219">
        <v>32486.433593999998</v>
      </c>
      <c r="M154" s="219">
        <v>33359.636719000002</v>
      </c>
      <c r="N154" s="219">
        <v>34273.320312000003</v>
      </c>
      <c r="O154" s="219">
        <v>35207.089844000002</v>
      </c>
      <c r="P154" s="219">
        <v>36165.203125</v>
      </c>
      <c r="Q154" s="219">
        <v>37159.589844000002</v>
      </c>
      <c r="R154" s="219">
        <v>38191.09375</v>
      </c>
      <c r="S154" s="219">
        <v>39252.152344000002</v>
      </c>
      <c r="T154" s="219">
        <v>40339.707030999998</v>
      </c>
      <c r="U154" s="219">
        <v>41478.644530999998</v>
      </c>
      <c r="V154" s="219">
        <v>42644.035155999998</v>
      </c>
      <c r="W154" s="219">
        <v>43842.691405999998</v>
      </c>
      <c r="X154" s="219">
        <v>45074.214844000002</v>
      </c>
      <c r="Y154" s="219">
        <v>46323.71875</v>
      </c>
      <c r="Z154" s="219">
        <v>47587.613280999998</v>
      </c>
      <c r="AA154" s="219">
        <v>48868.171875</v>
      </c>
      <c r="AB154" s="219">
        <v>50182.953125</v>
      </c>
      <c r="AC154" s="219">
        <v>51520.554687999997</v>
      </c>
      <c r="AD154" s="219">
        <v>52876.652344000002</v>
      </c>
      <c r="AE154" s="219">
        <v>54266.789062000003</v>
      </c>
      <c r="AF154" s="212">
        <v>3.4071999999999998E-2</v>
      </c>
      <c r="AG154" s="31"/>
    </row>
    <row r="155" spans="1:33">
      <c r="A155" s="30" t="s">
        <v>1277</v>
      </c>
      <c r="B155" s="210" t="s">
        <v>289</v>
      </c>
      <c r="C155" s="219">
        <v>13343.844727</v>
      </c>
      <c r="D155" s="219">
        <v>14305.920898</v>
      </c>
      <c r="E155" s="219">
        <v>15431.977539</v>
      </c>
      <c r="F155" s="219">
        <v>16017.230469</v>
      </c>
      <c r="G155" s="219">
        <v>16760.019531000002</v>
      </c>
      <c r="H155" s="219">
        <v>17323.84375</v>
      </c>
      <c r="I155" s="219">
        <v>17857.046875</v>
      </c>
      <c r="J155" s="219">
        <v>18359.677734000001</v>
      </c>
      <c r="K155" s="219">
        <v>18861.011718999998</v>
      </c>
      <c r="L155" s="219">
        <v>19375.871093999998</v>
      </c>
      <c r="M155" s="219">
        <v>19921.466797000001</v>
      </c>
      <c r="N155" s="219">
        <v>20489.789062</v>
      </c>
      <c r="O155" s="219">
        <v>21068.882812</v>
      </c>
      <c r="P155" s="219">
        <v>21661.738281000002</v>
      </c>
      <c r="Q155" s="219">
        <v>22275.255859000001</v>
      </c>
      <c r="R155" s="219">
        <v>22909.527343999998</v>
      </c>
      <c r="S155" s="219">
        <v>23560.183593999998</v>
      </c>
      <c r="T155" s="219">
        <v>24225.830077999999</v>
      </c>
      <c r="U155" s="219">
        <v>24921.501952999999</v>
      </c>
      <c r="V155" s="219">
        <v>25633.21875</v>
      </c>
      <c r="W155" s="219">
        <v>26364.8125</v>
      </c>
      <c r="X155" s="219">
        <v>27115.423827999999</v>
      </c>
      <c r="Y155" s="219">
        <v>27875.492188</v>
      </c>
      <c r="Z155" s="219">
        <v>28642</v>
      </c>
      <c r="AA155" s="219">
        <v>29416.205077999999</v>
      </c>
      <c r="AB155" s="219">
        <v>30208.529297000001</v>
      </c>
      <c r="AC155" s="219">
        <v>31011.921875</v>
      </c>
      <c r="AD155" s="219">
        <v>31822.957031000002</v>
      </c>
      <c r="AE155" s="219">
        <v>32649.814452999999</v>
      </c>
      <c r="AF155" s="212">
        <v>3.2473000000000002E-2</v>
      </c>
      <c r="AG155" s="31"/>
    </row>
    <row r="156" spans="1:33">
      <c r="A156" s="30" t="s">
        <v>1278</v>
      </c>
      <c r="B156" s="210" t="s">
        <v>296</v>
      </c>
      <c r="C156" s="219">
        <v>2398.732422</v>
      </c>
      <c r="D156" s="219">
        <v>3077.7006839999999</v>
      </c>
      <c r="E156" s="219">
        <v>3639.8544919999999</v>
      </c>
      <c r="F156" s="219">
        <v>3971.2834469999998</v>
      </c>
      <c r="G156" s="219">
        <v>4340.0146480000003</v>
      </c>
      <c r="H156" s="219">
        <v>4546.4736329999996</v>
      </c>
      <c r="I156" s="219">
        <v>4725.3154299999997</v>
      </c>
      <c r="J156" s="219">
        <v>4859.2758789999998</v>
      </c>
      <c r="K156" s="219">
        <v>4995.3920900000003</v>
      </c>
      <c r="L156" s="219">
        <v>5133.6142579999996</v>
      </c>
      <c r="M156" s="219">
        <v>5276.9663090000004</v>
      </c>
      <c r="N156" s="219">
        <v>5426.1166990000002</v>
      </c>
      <c r="O156" s="219">
        <v>5580.0073240000002</v>
      </c>
      <c r="P156" s="219">
        <v>5739.0024409999996</v>
      </c>
      <c r="Q156" s="219">
        <v>5903.5</v>
      </c>
      <c r="R156" s="219">
        <v>6073.7661129999997</v>
      </c>
      <c r="S156" s="219">
        <v>6249.3559569999998</v>
      </c>
      <c r="T156" s="219">
        <v>6430.4125979999999</v>
      </c>
      <c r="U156" s="219">
        <v>6619.1108400000003</v>
      </c>
      <c r="V156" s="219">
        <v>6813.3720700000003</v>
      </c>
      <c r="W156" s="219">
        <v>7014.1523440000001</v>
      </c>
      <c r="X156" s="219">
        <v>7221.2583009999998</v>
      </c>
      <c r="Y156" s="219">
        <v>7433.5864259999998</v>
      </c>
      <c r="Z156" s="219">
        <v>7650.8134769999997</v>
      </c>
      <c r="AA156" s="219">
        <v>7872.1772460000002</v>
      </c>
      <c r="AB156" s="219">
        <v>8099.8642579999996</v>
      </c>
      <c r="AC156" s="219">
        <v>8333.3085940000001</v>
      </c>
      <c r="AD156" s="219">
        <v>8572.3603519999997</v>
      </c>
      <c r="AE156" s="219">
        <v>8818.2949219999991</v>
      </c>
      <c r="AF156" s="212">
        <v>4.7593999999999997E-2</v>
      </c>
      <c r="AG156" s="31"/>
    </row>
    <row r="157" spans="1:33">
      <c r="A157" s="30" t="s">
        <v>1279</v>
      </c>
      <c r="B157" s="210" t="s">
        <v>287</v>
      </c>
      <c r="C157" s="219">
        <v>5495.5805659999996</v>
      </c>
      <c r="D157" s="219">
        <v>6282.4228519999997</v>
      </c>
      <c r="E157" s="219">
        <v>6760.0371089999999</v>
      </c>
      <c r="F157" s="219">
        <v>6925.5004879999997</v>
      </c>
      <c r="G157" s="219">
        <v>7148.9873049999997</v>
      </c>
      <c r="H157" s="219">
        <v>7323.7597660000001</v>
      </c>
      <c r="I157" s="219">
        <v>7489.0439450000003</v>
      </c>
      <c r="J157" s="219">
        <v>7650.2299800000001</v>
      </c>
      <c r="K157" s="219">
        <v>7809.9565430000002</v>
      </c>
      <c r="L157" s="219">
        <v>7976.9462890000004</v>
      </c>
      <c r="M157" s="219">
        <v>8161.2094729999999</v>
      </c>
      <c r="N157" s="219">
        <v>8357.4169920000004</v>
      </c>
      <c r="O157" s="219">
        <v>8558.1992190000001</v>
      </c>
      <c r="P157" s="219">
        <v>8764.4638670000004</v>
      </c>
      <c r="Q157" s="219">
        <v>8980.8398440000001</v>
      </c>
      <c r="R157" s="219">
        <v>9207.7958980000003</v>
      </c>
      <c r="S157" s="219">
        <v>9442.5976559999999</v>
      </c>
      <c r="T157" s="219">
        <v>9683.4628909999992</v>
      </c>
      <c r="U157" s="219">
        <v>9938.0361329999996</v>
      </c>
      <c r="V157" s="219">
        <v>10197.447265999999</v>
      </c>
      <c r="W157" s="219">
        <v>10463.729492</v>
      </c>
      <c r="X157" s="219">
        <v>10737.53125</v>
      </c>
      <c r="Y157" s="219">
        <v>11014.638671999999</v>
      </c>
      <c r="Z157" s="219">
        <v>11294.793944999999</v>
      </c>
      <c r="AA157" s="219">
        <v>11579.785156</v>
      </c>
      <c r="AB157" s="219">
        <v>11874.550781</v>
      </c>
      <c r="AC157" s="219">
        <v>12175.328125</v>
      </c>
      <c r="AD157" s="219">
        <v>12481.344727</v>
      </c>
      <c r="AE157" s="219">
        <v>12798.683594</v>
      </c>
      <c r="AF157" s="212">
        <v>3.0653E-2</v>
      </c>
      <c r="AG157" s="31"/>
    </row>
    <row r="158" spans="1:33">
      <c r="A158" s="30" t="s">
        <v>1280</v>
      </c>
      <c r="B158" s="210" t="s">
        <v>288</v>
      </c>
      <c r="C158" s="219">
        <v>1006.3139650000001</v>
      </c>
      <c r="D158" s="219">
        <v>929.97729500000003</v>
      </c>
      <c r="E158" s="219">
        <v>915.74401899999998</v>
      </c>
      <c r="F158" s="219">
        <v>885.57531700000004</v>
      </c>
      <c r="G158" s="219">
        <v>882.00024399999995</v>
      </c>
      <c r="H158" s="219">
        <v>882.00024399999995</v>
      </c>
      <c r="I158" s="219">
        <v>882.00024399999995</v>
      </c>
      <c r="J158" s="219">
        <v>882.00024399999995</v>
      </c>
      <c r="K158" s="219">
        <v>882.00024399999995</v>
      </c>
      <c r="L158" s="219">
        <v>882.00024399999995</v>
      </c>
      <c r="M158" s="219">
        <v>882.00024399999995</v>
      </c>
      <c r="N158" s="219">
        <v>882.00024399999995</v>
      </c>
      <c r="O158" s="219">
        <v>882.00024399999995</v>
      </c>
      <c r="P158" s="219">
        <v>882.00024399999995</v>
      </c>
      <c r="Q158" s="219">
        <v>882.00024399999995</v>
      </c>
      <c r="R158" s="219">
        <v>882.00024399999995</v>
      </c>
      <c r="S158" s="219">
        <v>882.00024399999995</v>
      </c>
      <c r="T158" s="219">
        <v>882.00024399999995</v>
      </c>
      <c r="U158" s="219">
        <v>882.00024399999995</v>
      </c>
      <c r="V158" s="219">
        <v>882.00024399999995</v>
      </c>
      <c r="W158" s="219">
        <v>882.00024399999995</v>
      </c>
      <c r="X158" s="219">
        <v>882.00024399999995</v>
      </c>
      <c r="Y158" s="219">
        <v>882.00024399999995</v>
      </c>
      <c r="Z158" s="219">
        <v>882.00024399999995</v>
      </c>
      <c r="AA158" s="219">
        <v>882.00024399999995</v>
      </c>
      <c r="AB158" s="219">
        <v>882.00024399999995</v>
      </c>
      <c r="AC158" s="219">
        <v>882.00024399999995</v>
      </c>
      <c r="AD158" s="219">
        <v>882.00024399999995</v>
      </c>
      <c r="AE158" s="219">
        <v>882.00024399999995</v>
      </c>
      <c r="AF158" s="212">
        <v>-4.6979999999999999E-3</v>
      </c>
      <c r="AG158" s="31"/>
    </row>
    <row r="159" spans="1:33">
      <c r="A159" s="30" t="s">
        <v>1281</v>
      </c>
      <c r="B159" s="210" t="s">
        <v>289</v>
      </c>
      <c r="C159" s="219">
        <v>424.23919699999999</v>
      </c>
      <c r="D159" s="219">
        <v>424.23919699999999</v>
      </c>
      <c r="E159" s="219">
        <v>424.23919699999999</v>
      </c>
      <c r="F159" s="219">
        <v>424.23919699999999</v>
      </c>
      <c r="G159" s="219">
        <v>424.23919699999999</v>
      </c>
      <c r="H159" s="219">
        <v>424.23919699999999</v>
      </c>
      <c r="I159" s="219">
        <v>424.23919699999999</v>
      </c>
      <c r="J159" s="219">
        <v>424.23919699999999</v>
      </c>
      <c r="K159" s="219">
        <v>424.23919699999999</v>
      </c>
      <c r="L159" s="219">
        <v>424.23919699999999</v>
      </c>
      <c r="M159" s="219">
        <v>424.23919699999999</v>
      </c>
      <c r="N159" s="219">
        <v>424.23919699999999</v>
      </c>
      <c r="O159" s="219">
        <v>424.23919699999999</v>
      </c>
      <c r="P159" s="219">
        <v>424.23919699999999</v>
      </c>
      <c r="Q159" s="219">
        <v>424.23919699999999</v>
      </c>
      <c r="R159" s="219">
        <v>424.23919699999999</v>
      </c>
      <c r="S159" s="219">
        <v>424.23919699999999</v>
      </c>
      <c r="T159" s="219">
        <v>424.23919699999999</v>
      </c>
      <c r="U159" s="219">
        <v>424.23919699999999</v>
      </c>
      <c r="V159" s="219">
        <v>424.23919699999999</v>
      </c>
      <c r="W159" s="219">
        <v>424.23919699999999</v>
      </c>
      <c r="X159" s="219">
        <v>424.23919699999999</v>
      </c>
      <c r="Y159" s="219">
        <v>424.23919699999999</v>
      </c>
      <c r="Z159" s="219">
        <v>424.23919699999999</v>
      </c>
      <c r="AA159" s="219">
        <v>424.23919699999999</v>
      </c>
      <c r="AB159" s="219">
        <v>424.23919699999999</v>
      </c>
      <c r="AC159" s="219">
        <v>424.23919699999999</v>
      </c>
      <c r="AD159" s="219">
        <v>424.23919699999999</v>
      </c>
      <c r="AE159" s="219">
        <v>424.23919699999999</v>
      </c>
      <c r="AF159" s="212">
        <v>0</v>
      </c>
      <c r="AG159" s="31"/>
    </row>
    <row r="160" spans="1:33">
      <c r="A160" s="30" t="s">
        <v>1282</v>
      </c>
      <c r="B160" s="210" t="s">
        <v>297</v>
      </c>
      <c r="C160" s="219">
        <v>203.14300499999999</v>
      </c>
      <c r="D160" s="219">
        <v>126.806358</v>
      </c>
      <c r="E160" s="219">
        <v>112.57311199999999</v>
      </c>
      <c r="F160" s="219">
        <v>82.404433999999995</v>
      </c>
      <c r="G160" s="219">
        <v>78.829361000000006</v>
      </c>
      <c r="H160" s="219">
        <v>78.829361000000006</v>
      </c>
      <c r="I160" s="219">
        <v>78.829361000000006</v>
      </c>
      <c r="J160" s="219">
        <v>78.829361000000006</v>
      </c>
      <c r="K160" s="219">
        <v>78.829361000000006</v>
      </c>
      <c r="L160" s="219">
        <v>78.829361000000006</v>
      </c>
      <c r="M160" s="219">
        <v>78.829361000000006</v>
      </c>
      <c r="N160" s="219">
        <v>78.829361000000006</v>
      </c>
      <c r="O160" s="219">
        <v>78.829361000000006</v>
      </c>
      <c r="P160" s="219">
        <v>78.829361000000006</v>
      </c>
      <c r="Q160" s="219">
        <v>78.829361000000006</v>
      </c>
      <c r="R160" s="219">
        <v>78.829361000000006</v>
      </c>
      <c r="S160" s="219">
        <v>78.829361000000006</v>
      </c>
      <c r="T160" s="219">
        <v>78.829361000000006</v>
      </c>
      <c r="U160" s="219">
        <v>78.829361000000006</v>
      </c>
      <c r="V160" s="219">
        <v>78.829361000000006</v>
      </c>
      <c r="W160" s="219">
        <v>78.829361000000006</v>
      </c>
      <c r="X160" s="219">
        <v>78.829361000000006</v>
      </c>
      <c r="Y160" s="219">
        <v>78.829361000000006</v>
      </c>
      <c r="Z160" s="219">
        <v>78.829361000000006</v>
      </c>
      <c r="AA160" s="219">
        <v>78.829361000000006</v>
      </c>
      <c r="AB160" s="219">
        <v>78.829361000000006</v>
      </c>
      <c r="AC160" s="219">
        <v>78.829361000000006</v>
      </c>
      <c r="AD160" s="219">
        <v>78.829361000000006</v>
      </c>
      <c r="AE160" s="219">
        <v>78.829361000000006</v>
      </c>
      <c r="AF160" s="212">
        <v>-3.3243000000000002E-2</v>
      </c>
      <c r="AG160" s="31"/>
    </row>
    <row r="161" spans="1:33">
      <c r="A161" s="30" t="s">
        <v>1283</v>
      </c>
      <c r="B161" s="210" t="s">
        <v>287</v>
      </c>
      <c r="C161" s="219">
        <v>378.93173200000001</v>
      </c>
      <c r="D161" s="219">
        <v>378.93173200000001</v>
      </c>
      <c r="E161" s="219">
        <v>378.93173200000001</v>
      </c>
      <c r="F161" s="219">
        <v>378.93173200000001</v>
      </c>
      <c r="G161" s="219">
        <v>378.93173200000001</v>
      </c>
      <c r="H161" s="219">
        <v>378.93173200000001</v>
      </c>
      <c r="I161" s="219">
        <v>378.93173200000001</v>
      </c>
      <c r="J161" s="219">
        <v>378.93173200000001</v>
      </c>
      <c r="K161" s="219">
        <v>378.93173200000001</v>
      </c>
      <c r="L161" s="219">
        <v>378.93173200000001</v>
      </c>
      <c r="M161" s="219">
        <v>378.93173200000001</v>
      </c>
      <c r="N161" s="219">
        <v>378.93173200000001</v>
      </c>
      <c r="O161" s="219">
        <v>378.93173200000001</v>
      </c>
      <c r="P161" s="219">
        <v>378.93173200000001</v>
      </c>
      <c r="Q161" s="219">
        <v>378.93173200000001</v>
      </c>
      <c r="R161" s="219">
        <v>378.93173200000001</v>
      </c>
      <c r="S161" s="219">
        <v>378.93173200000001</v>
      </c>
      <c r="T161" s="219">
        <v>378.93173200000001</v>
      </c>
      <c r="U161" s="219">
        <v>378.93173200000001</v>
      </c>
      <c r="V161" s="219">
        <v>378.93173200000001</v>
      </c>
      <c r="W161" s="219">
        <v>378.93173200000001</v>
      </c>
      <c r="X161" s="219">
        <v>378.93173200000001</v>
      </c>
      <c r="Y161" s="219">
        <v>378.93173200000001</v>
      </c>
      <c r="Z161" s="219">
        <v>378.93173200000001</v>
      </c>
      <c r="AA161" s="219">
        <v>378.93173200000001</v>
      </c>
      <c r="AB161" s="219">
        <v>378.93173200000001</v>
      </c>
      <c r="AC161" s="219">
        <v>378.93173200000001</v>
      </c>
      <c r="AD161" s="219">
        <v>378.93173200000001</v>
      </c>
      <c r="AE161" s="219">
        <v>378.93173200000001</v>
      </c>
      <c r="AF161" s="212">
        <v>0</v>
      </c>
      <c r="AG161" s="31"/>
    </row>
    <row r="162" spans="1:33">
      <c r="A162" s="30" t="s">
        <v>1284</v>
      </c>
      <c r="B162" s="210" t="s">
        <v>288</v>
      </c>
      <c r="C162" s="219">
        <v>266.04797400000001</v>
      </c>
      <c r="D162" s="219">
        <v>170.712738</v>
      </c>
      <c r="E162" s="219">
        <v>138.30586199999999</v>
      </c>
      <c r="F162" s="219">
        <v>123.095428</v>
      </c>
      <c r="G162" s="219">
        <v>112.566078</v>
      </c>
      <c r="H162" s="219">
        <v>107.374397</v>
      </c>
      <c r="I162" s="219">
        <v>101.71856699999999</v>
      </c>
      <c r="J162" s="219">
        <v>96.288086000000007</v>
      </c>
      <c r="K162" s="219">
        <v>92.786163000000002</v>
      </c>
      <c r="L162" s="219">
        <v>89.187873999999994</v>
      </c>
      <c r="M162" s="219">
        <v>85.512755999999996</v>
      </c>
      <c r="N162" s="219">
        <v>81.777305999999996</v>
      </c>
      <c r="O162" s="219">
        <v>77.996605000000002</v>
      </c>
      <c r="P162" s="219">
        <v>74.182136999999997</v>
      </c>
      <c r="Q162" s="219">
        <v>72.422461999999996</v>
      </c>
      <c r="R162" s="219">
        <v>70.731658999999993</v>
      </c>
      <c r="S162" s="219">
        <v>69.995720000000006</v>
      </c>
      <c r="T162" s="219">
        <v>69.995720000000006</v>
      </c>
      <c r="U162" s="219">
        <v>69.995720000000006</v>
      </c>
      <c r="V162" s="219">
        <v>69.995720000000006</v>
      </c>
      <c r="W162" s="219">
        <v>69.995720000000006</v>
      </c>
      <c r="X162" s="219">
        <v>69.995720000000006</v>
      </c>
      <c r="Y162" s="219">
        <v>69.995720000000006</v>
      </c>
      <c r="Z162" s="219">
        <v>69.995720000000006</v>
      </c>
      <c r="AA162" s="219">
        <v>69.995720000000006</v>
      </c>
      <c r="AB162" s="219">
        <v>69.995720000000006</v>
      </c>
      <c r="AC162" s="219">
        <v>69.995720000000006</v>
      </c>
      <c r="AD162" s="219">
        <v>69.995720000000006</v>
      </c>
      <c r="AE162" s="219">
        <v>69.995720000000006</v>
      </c>
      <c r="AF162" s="212">
        <v>-4.6567999999999998E-2</v>
      </c>
      <c r="AG162" s="31"/>
    </row>
    <row r="163" spans="1:33">
      <c r="A163" s="30" t="s">
        <v>1285</v>
      </c>
      <c r="B163" s="210" t="s">
        <v>289</v>
      </c>
      <c r="C163" s="219">
        <v>86.114563000000004</v>
      </c>
      <c r="D163" s="219">
        <v>44.512787000000003</v>
      </c>
      <c r="E163" s="219">
        <v>32.374214000000002</v>
      </c>
      <c r="F163" s="219">
        <v>27.756937000000001</v>
      </c>
      <c r="G163" s="219">
        <v>26.085000999999998</v>
      </c>
      <c r="H163" s="219">
        <v>24.298714</v>
      </c>
      <c r="I163" s="219">
        <v>22.418512</v>
      </c>
      <c r="J163" s="219">
        <v>20.465724999999999</v>
      </c>
      <c r="K163" s="219">
        <v>18.460314</v>
      </c>
      <c r="L163" s="219">
        <v>16.411975999999999</v>
      </c>
      <c r="M163" s="219">
        <v>14.329198999999999</v>
      </c>
      <c r="N163" s="219">
        <v>12.218484999999999</v>
      </c>
      <c r="O163" s="219">
        <v>10.086786999999999</v>
      </c>
      <c r="P163" s="219">
        <v>7.9393599999999998</v>
      </c>
      <c r="Q163" s="219">
        <v>7.8604390000000004</v>
      </c>
      <c r="R163" s="219">
        <v>7.8604390000000004</v>
      </c>
      <c r="S163" s="219">
        <v>7.8604390000000004</v>
      </c>
      <c r="T163" s="219">
        <v>7.8604390000000004</v>
      </c>
      <c r="U163" s="219">
        <v>7.8604390000000004</v>
      </c>
      <c r="V163" s="219">
        <v>7.8604390000000004</v>
      </c>
      <c r="W163" s="219">
        <v>7.8604390000000004</v>
      </c>
      <c r="X163" s="219">
        <v>7.8604390000000004</v>
      </c>
      <c r="Y163" s="219">
        <v>7.8604390000000004</v>
      </c>
      <c r="Z163" s="219">
        <v>7.8604390000000004</v>
      </c>
      <c r="AA163" s="219">
        <v>7.8604390000000004</v>
      </c>
      <c r="AB163" s="219">
        <v>7.8604390000000004</v>
      </c>
      <c r="AC163" s="219">
        <v>7.8604390000000004</v>
      </c>
      <c r="AD163" s="219">
        <v>7.8604390000000004</v>
      </c>
      <c r="AE163" s="219">
        <v>7.8604390000000004</v>
      </c>
      <c r="AF163" s="212">
        <v>-8.1941E-2</v>
      </c>
      <c r="AG163" s="31"/>
    </row>
    <row r="164" spans="1:33">
      <c r="A164" s="30" t="s">
        <v>1286</v>
      </c>
      <c r="B164" s="210" t="s">
        <v>298</v>
      </c>
      <c r="C164" s="219">
        <v>69.528046000000003</v>
      </c>
      <c r="D164" s="219">
        <v>49.498992999999999</v>
      </c>
      <c r="E164" s="219">
        <v>35.909084</v>
      </c>
      <c r="F164" s="219">
        <v>32.318176000000001</v>
      </c>
      <c r="G164" s="219">
        <v>29.086359000000002</v>
      </c>
      <c r="H164" s="219">
        <v>25.680965</v>
      </c>
      <c r="I164" s="219">
        <v>21.905342000000001</v>
      </c>
      <c r="J164" s="219">
        <v>18.427647</v>
      </c>
      <c r="K164" s="219">
        <v>16.931128999999999</v>
      </c>
      <c r="L164" s="219">
        <v>15.381178</v>
      </c>
      <c r="M164" s="219">
        <v>13.788842000000001</v>
      </c>
      <c r="N164" s="219">
        <v>12.164104</v>
      </c>
      <c r="O164" s="219">
        <v>10.5151</v>
      </c>
      <c r="P164" s="219">
        <v>8.8480600000000003</v>
      </c>
      <c r="Q164" s="219">
        <v>7.1673080000000002</v>
      </c>
      <c r="R164" s="219">
        <v>5.4765050000000004</v>
      </c>
      <c r="S164" s="219">
        <v>4.7405619999999997</v>
      </c>
      <c r="T164" s="219">
        <v>4.7405619999999997</v>
      </c>
      <c r="U164" s="219">
        <v>4.7405619999999997</v>
      </c>
      <c r="V164" s="219">
        <v>4.7405619999999997</v>
      </c>
      <c r="W164" s="219">
        <v>4.7405619999999997</v>
      </c>
      <c r="X164" s="219">
        <v>4.7405619999999997</v>
      </c>
      <c r="Y164" s="219">
        <v>4.7405619999999997</v>
      </c>
      <c r="Z164" s="219">
        <v>4.7405619999999997</v>
      </c>
      <c r="AA164" s="219">
        <v>4.7405619999999997</v>
      </c>
      <c r="AB164" s="219">
        <v>4.7405619999999997</v>
      </c>
      <c r="AC164" s="219">
        <v>4.7405619999999997</v>
      </c>
      <c r="AD164" s="219">
        <v>4.7405619999999997</v>
      </c>
      <c r="AE164" s="219">
        <v>4.7405619999999997</v>
      </c>
      <c r="AF164" s="212">
        <v>-9.1456999999999997E-2</v>
      </c>
      <c r="AG164" s="31"/>
    </row>
    <row r="165" spans="1:33">
      <c r="A165" s="30" t="s">
        <v>1287</v>
      </c>
      <c r="B165" s="210" t="s">
        <v>287</v>
      </c>
      <c r="C165" s="219">
        <v>110.405357</v>
      </c>
      <c r="D165" s="219">
        <v>76.700965999999994</v>
      </c>
      <c r="E165" s="219">
        <v>70.022568000000007</v>
      </c>
      <c r="F165" s="219">
        <v>63.020316999999999</v>
      </c>
      <c r="G165" s="219">
        <v>57.394717999999997</v>
      </c>
      <c r="H165" s="219">
        <v>57.394717999999997</v>
      </c>
      <c r="I165" s="219">
        <v>57.394717999999997</v>
      </c>
      <c r="J165" s="219">
        <v>57.394717999999997</v>
      </c>
      <c r="K165" s="219">
        <v>57.394717999999997</v>
      </c>
      <c r="L165" s="219">
        <v>57.394717999999997</v>
      </c>
      <c r="M165" s="219">
        <v>57.394717999999997</v>
      </c>
      <c r="N165" s="219">
        <v>57.394717999999997</v>
      </c>
      <c r="O165" s="219">
        <v>57.394717999999997</v>
      </c>
      <c r="P165" s="219">
        <v>57.394717999999997</v>
      </c>
      <c r="Q165" s="219">
        <v>57.394717999999997</v>
      </c>
      <c r="R165" s="219">
        <v>57.394717999999997</v>
      </c>
      <c r="S165" s="219">
        <v>57.394717999999997</v>
      </c>
      <c r="T165" s="219">
        <v>57.394717999999997</v>
      </c>
      <c r="U165" s="219">
        <v>57.394717999999997</v>
      </c>
      <c r="V165" s="219">
        <v>57.394717999999997</v>
      </c>
      <c r="W165" s="219">
        <v>57.394717999999997</v>
      </c>
      <c r="X165" s="219">
        <v>57.394717999999997</v>
      </c>
      <c r="Y165" s="219">
        <v>57.394717999999997</v>
      </c>
      <c r="Z165" s="219">
        <v>57.394717999999997</v>
      </c>
      <c r="AA165" s="219">
        <v>57.394717999999997</v>
      </c>
      <c r="AB165" s="219">
        <v>57.394717999999997</v>
      </c>
      <c r="AC165" s="219">
        <v>57.394717999999997</v>
      </c>
      <c r="AD165" s="219">
        <v>57.394717999999997</v>
      </c>
      <c r="AE165" s="219">
        <v>57.394717999999997</v>
      </c>
      <c r="AF165" s="212">
        <v>-2.3094E-2</v>
      </c>
      <c r="AG165" s="31"/>
    </row>
    <row r="166" spans="1:33">
      <c r="A166" s="30" t="s">
        <v>1288</v>
      </c>
      <c r="B166" s="210" t="s">
        <v>288</v>
      </c>
      <c r="C166" s="219">
        <v>255.18034399999999</v>
      </c>
      <c r="D166" s="219">
        <v>165.69035299999999</v>
      </c>
      <c r="E166" s="219">
        <v>138.63046299999999</v>
      </c>
      <c r="F166" s="219">
        <v>118.96978799999999</v>
      </c>
      <c r="G166" s="219">
        <v>112.390823</v>
      </c>
      <c r="H166" s="219">
        <v>110.509995</v>
      </c>
      <c r="I166" s="219">
        <v>108.817245</v>
      </c>
      <c r="J166" s="219">
        <v>107.29376999999999</v>
      </c>
      <c r="K166" s="219">
        <v>104.258888</v>
      </c>
      <c r="L166" s="219">
        <v>101.39572099999999</v>
      </c>
      <c r="M166" s="219">
        <v>98.633217000000002</v>
      </c>
      <c r="N166" s="219">
        <v>97.149422000000001</v>
      </c>
      <c r="O166" s="219">
        <v>97.149422000000001</v>
      </c>
      <c r="P166" s="219">
        <v>97.149422000000001</v>
      </c>
      <c r="Q166" s="219">
        <v>97.149422000000001</v>
      </c>
      <c r="R166" s="219">
        <v>97.149422000000001</v>
      </c>
      <c r="S166" s="219">
        <v>97.149422000000001</v>
      </c>
      <c r="T166" s="219">
        <v>97.149422000000001</v>
      </c>
      <c r="U166" s="219">
        <v>97.149422000000001</v>
      </c>
      <c r="V166" s="219">
        <v>97.149422000000001</v>
      </c>
      <c r="W166" s="219">
        <v>97.149422000000001</v>
      </c>
      <c r="X166" s="219">
        <v>97.149422000000001</v>
      </c>
      <c r="Y166" s="219">
        <v>97.149422000000001</v>
      </c>
      <c r="Z166" s="219">
        <v>97.149428999999998</v>
      </c>
      <c r="AA166" s="219">
        <v>97.149428999999998</v>
      </c>
      <c r="AB166" s="219">
        <v>97.149428999999998</v>
      </c>
      <c r="AC166" s="219">
        <v>97.149428999999998</v>
      </c>
      <c r="AD166" s="219">
        <v>97.149428999999998</v>
      </c>
      <c r="AE166" s="219">
        <v>97.149428999999998</v>
      </c>
      <c r="AF166" s="212">
        <v>-3.3902000000000002E-2</v>
      </c>
      <c r="AG166" s="31"/>
    </row>
    <row r="167" spans="1:33">
      <c r="A167" s="30" t="s">
        <v>1289</v>
      </c>
      <c r="B167" s="210" t="s">
        <v>289</v>
      </c>
      <c r="C167" s="219">
        <v>176.74487300000001</v>
      </c>
      <c r="D167" s="219">
        <v>109.585869</v>
      </c>
      <c r="E167" s="219">
        <v>93.047302000000002</v>
      </c>
      <c r="F167" s="219">
        <v>77.944939000000005</v>
      </c>
      <c r="G167" s="219">
        <v>73.497223000000005</v>
      </c>
      <c r="H167" s="219">
        <v>73.497223000000005</v>
      </c>
      <c r="I167" s="219">
        <v>73.497223000000005</v>
      </c>
      <c r="J167" s="219">
        <v>73.497223000000005</v>
      </c>
      <c r="K167" s="219">
        <v>73.497223000000005</v>
      </c>
      <c r="L167" s="219">
        <v>73.497223000000005</v>
      </c>
      <c r="M167" s="219">
        <v>73.497223000000005</v>
      </c>
      <c r="N167" s="219">
        <v>73.497223000000005</v>
      </c>
      <c r="O167" s="219">
        <v>73.497223000000005</v>
      </c>
      <c r="P167" s="219">
        <v>73.497223000000005</v>
      </c>
      <c r="Q167" s="219">
        <v>73.497223000000005</v>
      </c>
      <c r="R167" s="219">
        <v>73.497223000000005</v>
      </c>
      <c r="S167" s="219">
        <v>73.497223000000005</v>
      </c>
      <c r="T167" s="219">
        <v>73.497223000000005</v>
      </c>
      <c r="U167" s="219">
        <v>73.497223000000005</v>
      </c>
      <c r="V167" s="219">
        <v>73.497223000000005</v>
      </c>
      <c r="W167" s="219">
        <v>73.497223000000005</v>
      </c>
      <c r="X167" s="219">
        <v>73.497223000000005</v>
      </c>
      <c r="Y167" s="219">
        <v>73.497223000000005</v>
      </c>
      <c r="Z167" s="219">
        <v>73.497230999999999</v>
      </c>
      <c r="AA167" s="219">
        <v>73.497230999999999</v>
      </c>
      <c r="AB167" s="219">
        <v>73.497230999999999</v>
      </c>
      <c r="AC167" s="219">
        <v>73.497230999999999</v>
      </c>
      <c r="AD167" s="219">
        <v>73.497230999999999</v>
      </c>
      <c r="AE167" s="219">
        <v>73.497230999999999</v>
      </c>
      <c r="AF167" s="212">
        <v>-3.0852000000000001E-2</v>
      </c>
      <c r="AG167" s="31"/>
    </row>
    <row r="168" spans="1:33">
      <c r="A168" s="30" t="s">
        <v>1290</v>
      </c>
      <c r="B168" s="210" t="s">
        <v>299</v>
      </c>
      <c r="C168" s="219">
        <v>42.452908000000001</v>
      </c>
      <c r="D168" s="219">
        <v>31.769736999999999</v>
      </c>
      <c r="E168" s="219">
        <v>23.220168999999999</v>
      </c>
      <c r="F168" s="219">
        <v>20.898153000000001</v>
      </c>
      <c r="G168" s="219">
        <v>18.808337999999999</v>
      </c>
      <c r="H168" s="219">
        <v>16.927503999999999</v>
      </c>
      <c r="I168" s="219">
        <v>15.234753</v>
      </c>
      <c r="J168" s="219">
        <v>13.711278999999999</v>
      </c>
      <c r="K168" s="219">
        <v>10.676397</v>
      </c>
      <c r="L168" s="219">
        <v>7.8132299999999999</v>
      </c>
      <c r="M168" s="219">
        <v>5.0507299999999997</v>
      </c>
      <c r="N168" s="219">
        <v>3.566935</v>
      </c>
      <c r="O168" s="219">
        <v>3.566935</v>
      </c>
      <c r="P168" s="219">
        <v>3.566935</v>
      </c>
      <c r="Q168" s="219">
        <v>3.566935</v>
      </c>
      <c r="R168" s="219">
        <v>3.566935</v>
      </c>
      <c r="S168" s="219">
        <v>3.566935</v>
      </c>
      <c r="T168" s="219">
        <v>3.566935</v>
      </c>
      <c r="U168" s="219">
        <v>3.566935</v>
      </c>
      <c r="V168" s="219">
        <v>3.566935</v>
      </c>
      <c r="W168" s="219">
        <v>3.566935</v>
      </c>
      <c r="X168" s="219">
        <v>3.566935</v>
      </c>
      <c r="Y168" s="219">
        <v>3.566935</v>
      </c>
      <c r="Z168" s="219">
        <v>3.566935</v>
      </c>
      <c r="AA168" s="219">
        <v>3.566935</v>
      </c>
      <c r="AB168" s="219">
        <v>3.566935</v>
      </c>
      <c r="AC168" s="219">
        <v>3.566935</v>
      </c>
      <c r="AD168" s="219">
        <v>3.566935</v>
      </c>
      <c r="AE168" s="219">
        <v>3.566935</v>
      </c>
      <c r="AF168" s="212">
        <v>-8.4653999999999993E-2</v>
      </c>
      <c r="AG168" s="31"/>
    </row>
    <row r="169" spans="1:33">
      <c r="A169" s="30" t="s">
        <v>1291</v>
      </c>
      <c r="B169" s="210" t="s">
        <v>287</v>
      </c>
      <c r="C169" s="219">
        <v>35.982559000000002</v>
      </c>
      <c r="D169" s="219">
        <v>24.334745000000002</v>
      </c>
      <c r="E169" s="219">
        <v>22.362997</v>
      </c>
      <c r="F169" s="219">
        <v>20.126698000000001</v>
      </c>
      <c r="G169" s="219">
        <v>20.085263999999999</v>
      </c>
      <c r="H169" s="219">
        <v>20.085263999999999</v>
      </c>
      <c r="I169" s="219">
        <v>20.085263999999999</v>
      </c>
      <c r="J169" s="219">
        <v>20.085263999999999</v>
      </c>
      <c r="K169" s="219">
        <v>20.085263999999999</v>
      </c>
      <c r="L169" s="219">
        <v>20.085263999999999</v>
      </c>
      <c r="M169" s="219">
        <v>20.085263999999999</v>
      </c>
      <c r="N169" s="219">
        <v>20.085263999999999</v>
      </c>
      <c r="O169" s="219">
        <v>20.085263999999999</v>
      </c>
      <c r="P169" s="219">
        <v>20.085263999999999</v>
      </c>
      <c r="Q169" s="219">
        <v>20.085263999999999</v>
      </c>
      <c r="R169" s="219">
        <v>20.085263999999999</v>
      </c>
      <c r="S169" s="219">
        <v>20.085263999999999</v>
      </c>
      <c r="T169" s="219">
        <v>20.085263999999999</v>
      </c>
      <c r="U169" s="219">
        <v>20.085263999999999</v>
      </c>
      <c r="V169" s="219">
        <v>20.085263999999999</v>
      </c>
      <c r="W169" s="219">
        <v>20.085263999999999</v>
      </c>
      <c r="X169" s="219">
        <v>20.085263999999999</v>
      </c>
      <c r="Y169" s="219">
        <v>20.085263999999999</v>
      </c>
      <c r="Z169" s="219">
        <v>20.085263999999999</v>
      </c>
      <c r="AA169" s="219">
        <v>20.085263999999999</v>
      </c>
      <c r="AB169" s="219">
        <v>20.085263999999999</v>
      </c>
      <c r="AC169" s="219">
        <v>20.085263999999999</v>
      </c>
      <c r="AD169" s="219">
        <v>20.085263999999999</v>
      </c>
      <c r="AE169" s="219">
        <v>20.085263999999999</v>
      </c>
      <c r="AF169" s="212">
        <v>-2.0608000000000001E-2</v>
      </c>
      <c r="AG169" s="31"/>
    </row>
    <row r="170" spans="1:33">
      <c r="A170" s="30" t="s">
        <v>1292</v>
      </c>
      <c r="B170" s="210" t="s">
        <v>288</v>
      </c>
      <c r="C170" s="219">
        <v>2059.9228520000001</v>
      </c>
      <c r="D170" s="219">
        <v>1218.6407469999999</v>
      </c>
      <c r="E170" s="219">
        <v>963.82665999999995</v>
      </c>
      <c r="F170" s="219">
        <v>870.02697799999999</v>
      </c>
      <c r="G170" s="219">
        <v>784.92907700000001</v>
      </c>
      <c r="H170" s="219">
        <v>707.61938499999997</v>
      </c>
      <c r="I170" s="219">
        <v>628.46069299999999</v>
      </c>
      <c r="J170" s="219">
        <v>550.20471199999997</v>
      </c>
      <c r="K170" s="219">
        <v>498.102936</v>
      </c>
      <c r="L170" s="219">
        <v>451.17572000000001</v>
      </c>
      <c r="M170" s="219">
        <v>408.19845600000002</v>
      </c>
      <c r="N170" s="219">
        <v>408.19842499999999</v>
      </c>
      <c r="O170" s="219">
        <v>408.19842499999999</v>
      </c>
      <c r="P170" s="219">
        <v>408.19842499999999</v>
      </c>
      <c r="Q170" s="219">
        <v>408.19842499999999</v>
      </c>
      <c r="R170" s="219">
        <v>408.19845600000002</v>
      </c>
      <c r="S170" s="219">
        <v>408.19845600000002</v>
      </c>
      <c r="T170" s="219">
        <v>408.19845600000002</v>
      </c>
      <c r="U170" s="219">
        <v>408.19845600000002</v>
      </c>
      <c r="V170" s="219">
        <v>408.19842499999999</v>
      </c>
      <c r="W170" s="219">
        <v>408.19845600000002</v>
      </c>
      <c r="X170" s="219">
        <v>408.19845600000002</v>
      </c>
      <c r="Y170" s="219">
        <v>408.19845600000002</v>
      </c>
      <c r="Z170" s="219">
        <v>408.19845600000002</v>
      </c>
      <c r="AA170" s="219">
        <v>408.19845600000002</v>
      </c>
      <c r="AB170" s="219">
        <v>408.19845600000002</v>
      </c>
      <c r="AC170" s="219">
        <v>408.19845600000002</v>
      </c>
      <c r="AD170" s="219">
        <v>408.19845600000002</v>
      </c>
      <c r="AE170" s="219">
        <v>408.19845600000002</v>
      </c>
      <c r="AF170" s="212">
        <v>-5.6169999999999998E-2</v>
      </c>
      <c r="AG170" s="31"/>
    </row>
    <row r="171" spans="1:33">
      <c r="A171" s="30" t="s">
        <v>1293</v>
      </c>
      <c r="B171" s="210" t="s">
        <v>289</v>
      </c>
      <c r="C171" s="219">
        <v>1324.1632079999999</v>
      </c>
      <c r="D171" s="219">
        <v>714.668274</v>
      </c>
      <c r="E171" s="219">
        <v>542.02996800000005</v>
      </c>
      <c r="F171" s="219">
        <v>487.82711799999998</v>
      </c>
      <c r="G171" s="219">
        <v>439.04440299999999</v>
      </c>
      <c r="H171" s="219">
        <v>395.13995399999999</v>
      </c>
      <c r="I171" s="219">
        <v>346.599335</v>
      </c>
      <c r="J171" s="219">
        <v>290.41449</v>
      </c>
      <c r="K171" s="219">
        <v>238.97058100000001</v>
      </c>
      <c r="L171" s="219">
        <v>192.04336499999999</v>
      </c>
      <c r="M171" s="219">
        <v>149.066101</v>
      </c>
      <c r="N171" s="219">
        <v>149.066101</v>
      </c>
      <c r="O171" s="219">
        <v>149.066101</v>
      </c>
      <c r="P171" s="219">
        <v>149.066101</v>
      </c>
      <c r="Q171" s="219">
        <v>149.066101</v>
      </c>
      <c r="R171" s="219">
        <v>149.066101</v>
      </c>
      <c r="S171" s="219">
        <v>149.066101</v>
      </c>
      <c r="T171" s="219">
        <v>149.066101</v>
      </c>
      <c r="U171" s="219">
        <v>149.066101</v>
      </c>
      <c r="V171" s="219">
        <v>149.066101</v>
      </c>
      <c r="W171" s="219">
        <v>149.066101</v>
      </c>
      <c r="X171" s="219">
        <v>149.066101</v>
      </c>
      <c r="Y171" s="219">
        <v>149.066101</v>
      </c>
      <c r="Z171" s="219">
        <v>149.066101</v>
      </c>
      <c r="AA171" s="219">
        <v>149.066101</v>
      </c>
      <c r="AB171" s="219">
        <v>149.066101</v>
      </c>
      <c r="AC171" s="219">
        <v>149.066101</v>
      </c>
      <c r="AD171" s="219">
        <v>149.066101</v>
      </c>
      <c r="AE171" s="219">
        <v>149.066101</v>
      </c>
      <c r="AF171" s="212">
        <v>-7.5039999999999996E-2</v>
      </c>
      <c r="AG171" s="31"/>
    </row>
    <row r="172" spans="1:33">
      <c r="A172" s="30" t="s">
        <v>1294</v>
      </c>
      <c r="B172" s="210" t="s">
        <v>300</v>
      </c>
      <c r="C172" s="219">
        <v>484.799713</v>
      </c>
      <c r="D172" s="219">
        <v>314.60144000000003</v>
      </c>
      <c r="E172" s="219">
        <v>237.81433100000001</v>
      </c>
      <c r="F172" s="219">
        <v>198.21752900000001</v>
      </c>
      <c r="G172" s="219">
        <v>161.902298</v>
      </c>
      <c r="H172" s="219">
        <v>128.497131</v>
      </c>
      <c r="I172" s="219">
        <v>97.878983000000005</v>
      </c>
      <c r="J172" s="219">
        <v>75.807929999999999</v>
      </c>
      <c r="K172" s="219">
        <v>75.150024000000002</v>
      </c>
      <c r="L172" s="219">
        <v>75.150024000000002</v>
      </c>
      <c r="M172" s="219">
        <v>75.150024000000002</v>
      </c>
      <c r="N172" s="219">
        <v>75.150024000000002</v>
      </c>
      <c r="O172" s="219">
        <v>75.150024000000002</v>
      </c>
      <c r="P172" s="219">
        <v>75.150024000000002</v>
      </c>
      <c r="Q172" s="219">
        <v>75.150024000000002</v>
      </c>
      <c r="R172" s="219">
        <v>75.150024000000002</v>
      </c>
      <c r="S172" s="219">
        <v>75.150024000000002</v>
      </c>
      <c r="T172" s="219">
        <v>75.150024000000002</v>
      </c>
      <c r="U172" s="219">
        <v>75.150024000000002</v>
      </c>
      <c r="V172" s="219">
        <v>75.150024000000002</v>
      </c>
      <c r="W172" s="219">
        <v>75.150024000000002</v>
      </c>
      <c r="X172" s="219">
        <v>75.150024000000002</v>
      </c>
      <c r="Y172" s="219">
        <v>75.150024000000002</v>
      </c>
      <c r="Z172" s="219">
        <v>75.150024000000002</v>
      </c>
      <c r="AA172" s="219">
        <v>75.150024000000002</v>
      </c>
      <c r="AB172" s="219">
        <v>75.150024000000002</v>
      </c>
      <c r="AC172" s="219">
        <v>75.150024000000002</v>
      </c>
      <c r="AD172" s="219">
        <v>75.150024000000002</v>
      </c>
      <c r="AE172" s="219">
        <v>75.150024000000002</v>
      </c>
      <c r="AF172" s="212">
        <v>-6.4411999999999997E-2</v>
      </c>
      <c r="AG172" s="31"/>
    </row>
    <row r="173" spans="1:33">
      <c r="A173" s="30" t="s">
        <v>1295</v>
      </c>
      <c r="B173" s="210" t="s">
        <v>287</v>
      </c>
      <c r="C173" s="219">
        <v>250.96000699999999</v>
      </c>
      <c r="D173" s="219">
        <v>189.37101699999999</v>
      </c>
      <c r="E173" s="219">
        <v>183.98232999999999</v>
      </c>
      <c r="F173" s="219">
        <v>183.98232999999999</v>
      </c>
      <c r="G173" s="219">
        <v>183.98232999999999</v>
      </c>
      <c r="H173" s="219">
        <v>183.98232999999999</v>
      </c>
      <c r="I173" s="219">
        <v>183.98232999999999</v>
      </c>
      <c r="J173" s="219">
        <v>183.98232999999999</v>
      </c>
      <c r="K173" s="219">
        <v>183.98232999999999</v>
      </c>
      <c r="L173" s="219">
        <v>183.98232999999999</v>
      </c>
      <c r="M173" s="219">
        <v>183.98232999999999</v>
      </c>
      <c r="N173" s="219">
        <v>183.982315</v>
      </c>
      <c r="O173" s="219">
        <v>183.982315</v>
      </c>
      <c r="P173" s="219">
        <v>183.982315</v>
      </c>
      <c r="Q173" s="219">
        <v>183.982315</v>
      </c>
      <c r="R173" s="219">
        <v>183.98232999999999</v>
      </c>
      <c r="S173" s="219">
        <v>183.98232999999999</v>
      </c>
      <c r="T173" s="219">
        <v>183.98232999999999</v>
      </c>
      <c r="U173" s="219">
        <v>183.98232999999999</v>
      </c>
      <c r="V173" s="219">
        <v>183.982315</v>
      </c>
      <c r="W173" s="219">
        <v>183.98232999999999</v>
      </c>
      <c r="X173" s="219">
        <v>183.98232999999999</v>
      </c>
      <c r="Y173" s="219">
        <v>183.98232999999999</v>
      </c>
      <c r="Z173" s="219">
        <v>183.98232999999999</v>
      </c>
      <c r="AA173" s="219">
        <v>183.98232999999999</v>
      </c>
      <c r="AB173" s="219">
        <v>183.98232999999999</v>
      </c>
      <c r="AC173" s="219">
        <v>183.98232999999999</v>
      </c>
      <c r="AD173" s="219">
        <v>183.98232999999999</v>
      </c>
      <c r="AE173" s="219">
        <v>183.98232999999999</v>
      </c>
      <c r="AF173" s="212">
        <v>-1.1025999999999999E-2</v>
      </c>
      <c r="AG173" s="31"/>
    </row>
    <row r="174" spans="1:33">
      <c r="A174" s="30" t="s">
        <v>1296</v>
      </c>
      <c r="B174" s="210" t="s">
        <v>288</v>
      </c>
      <c r="C174" s="219">
        <v>335.07922400000001</v>
      </c>
      <c r="D174" s="219">
        <v>194.82225</v>
      </c>
      <c r="E174" s="219">
        <v>139.01885999999999</v>
      </c>
      <c r="F174" s="219">
        <v>124.229919</v>
      </c>
      <c r="G174" s="219">
        <v>110.905174</v>
      </c>
      <c r="H174" s="219">
        <v>98.454811000000007</v>
      </c>
      <c r="I174" s="219">
        <v>87.107299999999995</v>
      </c>
      <c r="J174" s="219">
        <v>76.839293999999995</v>
      </c>
      <c r="K174" s="219">
        <v>67.519974000000005</v>
      </c>
      <c r="L174" s="219">
        <v>59.045577999999999</v>
      </c>
      <c r="M174" s="219">
        <v>51.161724</v>
      </c>
      <c r="N174" s="219">
        <v>44.510548</v>
      </c>
      <c r="O174" s="219">
        <v>38.474544999999999</v>
      </c>
      <c r="P174" s="219">
        <v>32.924168000000002</v>
      </c>
      <c r="Q174" s="219">
        <v>27.800888</v>
      </c>
      <c r="R174" s="219">
        <v>24.379507</v>
      </c>
      <c r="S174" s="219">
        <v>21.264323999999998</v>
      </c>
      <c r="T174" s="219">
        <v>18.670748</v>
      </c>
      <c r="U174" s="219">
        <v>15.928122999999999</v>
      </c>
      <c r="V174" s="219">
        <v>13.044271999999999</v>
      </c>
      <c r="W174" s="219">
        <v>12.178706999999999</v>
      </c>
      <c r="X174" s="219">
        <v>11.989924999999999</v>
      </c>
      <c r="Y174" s="219">
        <v>11.795987999999999</v>
      </c>
      <c r="Z174" s="219">
        <v>11.597486</v>
      </c>
      <c r="AA174" s="219">
        <v>11.394876</v>
      </c>
      <c r="AB174" s="219">
        <v>11.187994</v>
      </c>
      <c r="AC174" s="219">
        <v>10.976607</v>
      </c>
      <c r="AD174" s="219">
        <v>10.760661000000001</v>
      </c>
      <c r="AE174" s="219">
        <v>10.540265</v>
      </c>
      <c r="AF174" s="212">
        <v>-0.116215</v>
      </c>
      <c r="AG174" s="31"/>
    </row>
    <row r="175" spans="1:33">
      <c r="A175" s="30" t="s">
        <v>1297</v>
      </c>
      <c r="B175" s="210" t="s">
        <v>289</v>
      </c>
      <c r="C175" s="219">
        <v>113.07814</v>
      </c>
      <c r="D175" s="219">
        <v>48.445374000000001</v>
      </c>
      <c r="E175" s="219">
        <v>35.540539000000003</v>
      </c>
      <c r="F175" s="219">
        <v>31.986484999999998</v>
      </c>
      <c r="G175" s="219">
        <v>28.787834</v>
      </c>
      <c r="H175" s="219">
        <v>25.487801000000001</v>
      </c>
      <c r="I175" s="219">
        <v>22.428457000000002</v>
      </c>
      <c r="J175" s="219">
        <v>19.687173999999999</v>
      </c>
      <c r="K175" s="219">
        <v>17.222815000000001</v>
      </c>
      <c r="L175" s="219">
        <v>15.008677</v>
      </c>
      <c r="M175" s="219">
        <v>13.03668</v>
      </c>
      <c r="N175" s="219">
        <v>11.284215</v>
      </c>
      <c r="O175" s="219">
        <v>9.7246670000000002</v>
      </c>
      <c r="P175" s="219">
        <v>8.3324320000000007</v>
      </c>
      <c r="Q175" s="219">
        <v>7.0856149999999998</v>
      </c>
      <c r="R175" s="219">
        <v>5.9657539999999996</v>
      </c>
      <c r="S175" s="219">
        <v>5.2916679999999996</v>
      </c>
      <c r="T175" s="219">
        <v>5.2821619999999996</v>
      </c>
      <c r="U175" s="219">
        <v>5.2821619999999996</v>
      </c>
      <c r="V175" s="219">
        <v>5.2821619999999996</v>
      </c>
      <c r="W175" s="219">
        <v>5.2821619999999996</v>
      </c>
      <c r="X175" s="219">
        <v>5.2821619999999996</v>
      </c>
      <c r="Y175" s="219">
        <v>5.2821619999999996</v>
      </c>
      <c r="Z175" s="219">
        <v>5.2821619999999996</v>
      </c>
      <c r="AA175" s="219">
        <v>5.2821619999999996</v>
      </c>
      <c r="AB175" s="219">
        <v>5.2821619999999996</v>
      </c>
      <c r="AC175" s="219">
        <v>5.2821619999999996</v>
      </c>
      <c r="AD175" s="219">
        <v>5.2821619999999996</v>
      </c>
      <c r="AE175" s="219">
        <v>5.2821619999999996</v>
      </c>
      <c r="AF175" s="212">
        <v>-0.103646</v>
      </c>
      <c r="AG175" s="31"/>
    </row>
    <row r="176" spans="1:33">
      <c r="A176" s="30" t="s">
        <v>1298</v>
      </c>
      <c r="B176" s="210" t="s">
        <v>301</v>
      </c>
      <c r="C176" s="219">
        <v>175.613663</v>
      </c>
      <c r="D176" s="219">
        <v>126.44901299999999</v>
      </c>
      <c r="E176" s="219">
        <v>88.821647999999996</v>
      </c>
      <c r="F176" s="219">
        <v>79.052422000000007</v>
      </c>
      <c r="G176" s="219">
        <v>70.245429999999999</v>
      </c>
      <c r="H176" s="219">
        <v>62.282294999999998</v>
      </c>
      <c r="I176" s="219">
        <v>55.062592000000002</v>
      </c>
      <c r="J176" s="219">
        <v>48.497498</v>
      </c>
      <c r="K176" s="219">
        <v>42.507995999999999</v>
      </c>
      <c r="L176" s="219">
        <v>37.026657</v>
      </c>
      <c r="M176" s="219">
        <v>31.994305000000001</v>
      </c>
      <c r="N176" s="219">
        <v>27.354799</v>
      </c>
      <c r="O176" s="219">
        <v>23.063984000000001</v>
      </c>
      <c r="P176" s="219">
        <v>19.085433999999999</v>
      </c>
      <c r="Q176" s="219">
        <v>15.383335000000001</v>
      </c>
      <c r="R176" s="219">
        <v>13.251818</v>
      </c>
      <c r="S176" s="219">
        <v>10.976982</v>
      </c>
      <c r="T176" s="219">
        <v>8.5559709999999995</v>
      </c>
      <c r="U176" s="219">
        <v>5.9901410000000004</v>
      </c>
      <c r="V176" s="219">
        <v>3.2862130000000001</v>
      </c>
      <c r="W176" s="219">
        <v>2.6045750000000001</v>
      </c>
      <c r="X176" s="219">
        <v>2.6045750000000001</v>
      </c>
      <c r="Y176" s="219">
        <v>2.6045750000000001</v>
      </c>
      <c r="Z176" s="219">
        <v>2.6045750000000001</v>
      </c>
      <c r="AA176" s="219">
        <v>2.6045750000000001</v>
      </c>
      <c r="AB176" s="219">
        <v>2.6045750000000001</v>
      </c>
      <c r="AC176" s="219">
        <v>2.6045750000000001</v>
      </c>
      <c r="AD176" s="219">
        <v>2.6045750000000001</v>
      </c>
      <c r="AE176" s="219">
        <v>2.6045750000000001</v>
      </c>
      <c r="AF176" s="212">
        <v>-0.13963100000000001</v>
      </c>
      <c r="AG176" s="31"/>
    </row>
    <row r="177" spans="1:33">
      <c r="A177" s="30" t="s">
        <v>1299</v>
      </c>
      <c r="B177" s="210" t="s">
        <v>287</v>
      </c>
      <c r="C177" s="219">
        <v>46.387431999999997</v>
      </c>
      <c r="D177" s="219">
        <v>19.927868</v>
      </c>
      <c r="E177" s="219">
        <v>14.656675</v>
      </c>
      <c r="F177" s="219">
        <v>13.191008999999999</v>
      </c>
      <c r="G177" s="219">
        <v>11.871907</v>
      </c>
      <c r="H177" s="219">
        <v>10.684716999999999</v>
      </c>
      <c r="I177" s="219">
        <v>9.6162449999999993</v>
      </c>
      <c r="J177" s="219">
        <v>8.6546210000000006</v>
      </c>
      <c r="K177" s="219">
        <v>7.7891589999999997</v>
      </c>
      <c r="L177" s="219">
        <v>7.0102419999999999</v>
      </c>
      <c r="M177" s="219">
        <v>6.1307429999999998</v>
      </c>
      <c r="N177" s="219">
        <v>5.8715310000000001</v>
      </c>
      <c r="O177" s="219">
        <v>5.6858940000000002</v>
      </c>
      <c r="P177" s="219">
        <v>5.5063019999999998</v>
      </c>
      <c r="Q177" s="219">
        <v>5.3319380000000001</v>
      </c>
      <c r="R177" s="219">
        <v>5.1619359999999999</v>
      </c>
      <c r="S177" s="219">
        <v>4.9956740000000002</v>
      </c>
      <c r="T177" s="219">
        <v>4.8326140000000004</v>
      </c>
      <c r="U177" s="219">
        <v>4.6558190000000002</v>
      </c>
      <c r="V177" s="219">
        <v>4.4758969999999998</v>
      </c>
      <c r="W177" s="219">
        <v>4.2919710000000002</v>
      </c>
      <c r="X177" s="219">
        <v>4.1031880000000003</v>
      </c>
      <c r="Y177" s="219">
        <v>3.9092519999999999</v>
      </c>
      <c r="Z177" s="219">
        <v>3.7107489999999999</v>
      </c>
      <c r="AA177" s="219">
        <v>3.50814</v>
      </c>
      <c r="AB177" s="219">
        <v>3.3012570000000001</v>
      </c>
      <c r="AC177" s="219">
        <v>3.0898699999999999</v>
      </c>
      <c r="AD177" s="219">
        <v>2.8739240000000001</v>
      </c>
      <c r="AE177" s="219">
        <v>2.6535280000000001</v>
      </c>
      <c r="AF177" s="212">
        <v>-9.7136E-2</v>
      </c>
      <c r="AG177" s="31"/>
    </row>
    <row r="178" spans="1:33">
      <c r="A178" s="30" t="s">
        <v>1300</v>
      </c>
      <c r="B178" s="210" t="s">
        <v>288</v>
      </c>
      <c r="C178" s="219">
        <v>353.40905800000002</v>
      </c>
      <c r="D178" s="219">
        <v>213.52795399999999</v>
      </c>
      <c r="E178" s="219">
        <v>157.54873699999999</v>
      </c>
      <c r="F178" s="219">
        <v>145.111908</v>
      </c>
      <c r="G178" s="219">
        <v>135.32351700000001</v>
      </c>
      <c r="H178" s="219">
        <v>125.88288900000001</v>
      </c>
      <c r="I178" s="219">
        <v>111.969368</v>
      </c>
      <c r="J178" s="219">
        <v>99.629081999999997</v>
      </c>
      <c r="K178" s="219">
        <v>88.645072999999996</v>
      </c>
      <c r="L178" s="219">
        <v>78.824592999999993</v>
      </c>
      <c r="M178" s="219">
        <v>70.017928999999995</v>
      </c>
      <c r="N178" s="219">
        <v>65.383362000000005</v>
      </c>
      <c r="O178" s="219">
        <v>63.863357999999998</v>
      </c>
      <c r="P178" s="219">
        <v>62.495353999999999</v>
      </c>
      <c r="Q178" s="219">
        <v>61.264149000000003</v>
      </c>
      <c r="R178" s="219">
        <v>60.156067</v>
      </c>
      <c r="S178" s="219">
        <v>60.156067</v>
      </c>
      <c r="T178" s="219">
        <v>60.156067</v>
      </c>
      <c r="U178" s="219">
        <v>60.156067</v>
      </c>
      <c r="V178" s="219">
        <v>60.156067</v>
      </c>
      <c r="W178" s="219">
        <v>60.156067</v>
      </c>
      <c r="X178" s="219">
        <v>60.156067</v>
      </c>
      <c r="Y178" s="219">
        <v>60.156067</v>
      </c>
      <c r="Z178" s="219">
        <v>60.156067</v>
      </c>
      <c r="AA178" s="219">
        <v>60.156067</v>
      </c>
      <c r="AB178" s="219">
        <v>60.156067</v>
      </c>
      <c r="AC178" s="219">
        <v>60.156067</v>
      </c>
      <c r="AD178" s="219">
        <v>60.156067</v>
      </c>
      <c r="AE178" s="219">
        <v>60.156067</v>
      </c>
      <c r="AF178" s="212">
        <v>-6.1281000000000002E-2</v>
      </c>
      <c r="AG178" s="31"/>
    </row>
    <row r="179" spans="1:33">
      <c r="A179" s="30" t="s">
        <v>1301</v>
      </c>
      <c r="B179" s="210" t="s">
        <v>289</v>
      </c>
      <c r="C179" s="219">
        <v>154.03796399999999</v>
      </c>
      <c r="D179" s="219">
        <v>98.004524000000004</v>
      </c>
      <c r="E179" s="219">
        <v>69.525931999999997</v>
      </c>
      <c r="F179" s="219">
        <v>62.573345000000003</v>
      </c>
      <c r="G179" s="219">
        <v>56.316009999999999</v>
      </c>
      <c r="H179" s="219">
        <v>50.053317999999997</v>
      </c>
      <c r="I179" s="219">
        <v>38.999957999999999</v>
      </c>
      <c r="J179" s="219">
        <v>29.233812</v>
      </c>
      <c r="K179" s="219">
        <v>20.56653</v>
      </c>
      <c r="L179" s="219">
        <v>12.831099999999999</v>
      </c>
      <c r="M179" s="219">
        <v>5.9009900000000002</v>
      </c>
      <c r="N179" s="219">
        <v>2.9553090000000002</v>
      </c>
      <c r="O179" s="219">
        <v>2.9553090000000002</v>
      </c>
      <c r="P179" s="219">
        <v>2.9553090000000002</v>
      </c>
      <c r="Q179" s="219">
        <v>2.9553090000000002</v>
      </c>
      <c r="R179" s="219">
        <v>2.9553090000000002</v>
      </c>
      <c r="S179" s="219">
        <v>2.9553090000000002</v>
      </c>
      <c r="T179" s="219">
        <v>2.9553090000000002</v>
      </c>
      <c r="U179" s="219">
        <v>2.9553090000000002</v>
      </c>
      <c r="V179" s="219">
        <v>2.9553090000000002</v>
      </c>
      <c r="W179" s="219">
        <v>2.9553090000000002</v>
      </c>
      <c r="X179" s="219">
        <v>2.9553090000000002</v>
      </c>
      <c r="Y179" s="219">
        <v>2.9553090000000002</v>
      </c>
      <c r="Z179" s="219">
        <v>2.9553090000000002</v>
      </c>
      <c r="AA179" s="219">
        <v>2.9553090000000002</v>
      </c>
      <c r="AB179" s="219">
        <v>2.9553090000000002</v>
      </c>
      <c r="AC179" s="219">
        <v>2.9553090000000002</v>
      </c>
      <c r="AD179" s="219">
        <v>2.9553090000000002</v>
      </c>
      <c r="AE179" s="219">
        <v>2.9553090000000002</v>
      </c>
      <c r="AF179" s="212">
        <v>-0.131684</v>
      </c>
      <c r="AG179" s="31"/>
    </row>
    <row r="180" spans="1:33">
      <c r="A180" s="30" t="s">
        <v>1302</v>
      </c>
      <c r="B180" s="209" t="s">
        <v>153</v>
      </c>
      <c r="C180" s="222">
        <v>73.082779000000002</v>
      </c>
      <c r="D180" s="222">
        <v>53.752270000000003</v>
      </c>
      <c r="E180" s="222">
        <v>39.233955000000002</v>
      </c>
      <c r="F180" s="222">
        <v>35.310558</v>
      </c>
      <c r="G180" s="222">
        <v>31.779502999999998</v>
      </c>
      <c r="H180" s="222">
        <v>28.601555000000001</v>
      </c>
      <c r="I180" s="222">
        <v>25.741398</v>
      </c>
      <c r="J180" s="222">
        <v>23.167259000000001</v>
      </c>
      <c r="K180" s="222">
        <v>20.850532999999999</v>
      </c>
      <c r="L180" s="222">
        <v>18.76548</v>
      </c>
      <c r="M180" s="222">
        <v>16.888930999999999</v>
      </c>
      <c r="N180" s="222">
        <v>15.200037</v>
      </c>
      <c r="O180" s="222">
        <v>13.680033999999999</v>
      </c>
      <c r="P180" s="222">
        <v>12.312030999999999</v>
      </c>
      <c r="Q180" s="222">
        <v>11.080828</v>
      </c>
      <c r="R180" s="222">
        <v>9.9727440000000005</v>
      </c>
      <c r="S180" s="222">
        <v>9.9727440000000005</v>
      </c>
      <c r="T180" s="222">
        <v>9.9727440000000005</v>
      </c>
      <c r="U180" s="222">
        <v>9.9727440000000005</v>
      </c>
      <c r="V180" s="222">
        <v>9.9727440000000005</v>
      </c>
      <c r="W180" s="222">
        <v>9.9727440000000005</v>
      </c>
      <c r="X180" s="222">
        <v>9.9727440000000005</v>
      </c>
      <c r="Y180" s="222">
        <v>9.9727440000000005</v>
      </c>
      <c r="Z180" s="222">
        <v>9.9727440000000005</v>
      </c>
      <c r="AA180" s="222">
        <v>9.9727440000000005</v>
      </c>
      <c r="AB180" s="222">
        <v>9.9727440000000005</v>
      </c>
      <c r="AC180" s="222">
        <v>9.9727440000000005</v>
      </c>
      <c r="AD180" s="222">
        <v>9.9727440000000005</v>
      </c>
      <c r="AE180" s="222">
        <v>9.9727440000000005</v>
      </c>
      <c r="AF180" s="214">
        <v>-6.8662000000000001E-2</v>
      </c>
      <c r="AG180" s="31"/>
    </row>
    <row r="181" spans="1:33">
      <c r="A181" s="29"/>
      <c r="B181" s="31"/>
      <c r="C181" s="31"/>
      <c r="D181" s="31"/>
      <c r="E181" s="31"/>
      <c r="F181" s="31"/>
      <c r="G181" s="31"/>
      <c r="H181" s="31"/>
      <c r="I181" s="31"/>
      <c r="J181" s="31"/>
      <c r="K181" s="31"/>
      <c r="L181" s="31"/>
      <c r="M181" s="31"/>
      <c r="N181" s="31"/>
      <c r="O181" s="31"/>
      <c r="P181" s="31"/>
      <c r="Q181" s="31"/>
      <c r="R181" s="31"/>
      <c r="S181" s="31"/>
      <c r="T181" s="31"/>
      <c r="U181" s="31"/>
      <c r="V181" s="31"/>
      <c r="W181" s="31"/>
      <c r="X181" s="31"/>
      <c r="Y181" s="31"/>
      <c r="Z181" s="31"/>
      <c r="AA181" s="31"/>
      <c r="AB181" s="31"/>
      <c r="AC181" s="31"/>
      <c r="AD181" s="31"/>
      <c r="AE181" s="31"/>
      <c r="AF181" s="31"/>
      <c r="AG181" s="31"/>
    </row>
    <row r="182" spans="1:33">
      <c r="A182" s="29"/>
      <c r="B182" s="31"/>
      <c r="C182" s="31"/>
      <c r="D182" s="31"/>
      <c r="E182" s="31"/>
      <c r="F182" s="31"/>
      <c r="G182" s="31"/>
      <c r="H182" s="31"/>
      <c r="I182" s="31"/>
      <c r="J182" s="31"/>
      <c r="K182" s="31"/>
      <c r="L182" s="31"/>
      <c r="M182" s="31"/>
      <c r="N182" s="31"/>
      <c r="O182" s="31"/>
      <c r="P182" s="31"/>
      <c r="Q182" s="31"/>
      <c r="R182" s="31"/>
      <c r="S182" s="31"/>
      <c r="T182" s="31"/>
      <c r="U182" s="31"/>
      <c r="V182" s="31"/>
      <c r="W182" s="31"/>
      <c r="X182" s="31"/>
      <c r="Y182" s="31"/>
      <c r="Z182" s="31"/>
      <c r="AA182" s="31"/>
      <c r="AB182" s="31"/>
      <c r="AC182" s="31"/>
      <c r="AD182" s="31"/>
      <c r="AE182" s="31"/>
      <c r="AF182" s="31"/>
      <c r="AG182" s="31"/>
    </row>
    <row r="183" spans="1:33">
      <c r="A183" s="29"/>
      <c r="B183" s="209" t="s">
        <v>1303</v>
      </c>
      <c r="C183" s="31"/>
      <c r="D183" s="31"/>
      <c r="E183" s="31"/>
      <c r="F183" s="31"/>
      <c r="G183" s="31"/>
      <c r="H183" s="31"/>
      <c r="I183" s="31"/>
      <c r="J183" s="31"/>
      <c r="K183" s="31"/>
      <c r="L183" s="31"/>
      <c r="M183" s="31"/>
      <c r="N183" s="31"/>
      <c r="O183" s="31"/>
      <c r="P183" s="31"/>
      <c r="Q183" s="31"/>
      <c r="R183" s="31"/>
      <c r="S183" s="31"/>
      <c r="T183" s="31"/>
      <c r="U183" s="31"/>
      <c r="V183" s="31"/>
      <c r="W183" s="31"/>
      <c r="X183" s="31"/>
      <c r="Y183" s="31"/>
      <c r="Z183" s="31"/>
      <c r="AA183" s="31"/>
      <c r="AB183" s="31"/>
      <c r="AC183" s="31"/>
      <c r="AD183" s="31"/>
      <c r="AE183" s="31"/>
      <c r="AF183" s="31"/>
      <c r="AG183" s="31"/>
    </row>
    <row r="184" spans="1:33">
      <c r="A184" s="30" t="s">
        <v>1304</v>
      </c>
      <c r="B184" s="210" t="s">
        <v>286</v>
      </c>
      <c r="C184" s="219">
        <v>126.288307</v>
      </c>
      <c r="D184" s="219">
        <v>61.771155999999998</v>
      </c>
      <c r="E184" s="219">
        <v>48.788840999999998</v>
      </c>
      <c r="F184" s="219">
        <v>47.228012</v>
      </c>
      <c r="G184" s="219">
        <v>47.228012</v>
      </c>
      <c r="H184" s="219">
        <v>47.228012</v>
      </c>
      <c r="I184" s="219">
        <v>47.228012</v>
      </c>
      <c r="J184" s="219">
        <v>47.228012</v>
      </c>
      <c r="K184" s="219">
        <v>47.228012</v>
      </c>
      <c r="L184" s="219">
        <v>47.228012</v>
      </c>
      <c r="M184" s="219">
        <v>47.228012</v>
      </c>
      <c r="N184" s="219">
        <v>47.228012</v>
      </c>
      <c r="O184" s="219">
        <v>47.228012</v>
      </c>
      <c r="P184" s="219">
        <v>47.228012</v>
      </c>
      <c r="Q184" s="219">
        <v>47.228012</v>
      </c>
      <c r="R184" s="219">
        <v>47.228012</v>
      </c>
      <c r="S184" s="219">
        <v>47.228012</v>
      </c>
      <c r="T184" s="219">
        <v>47.228012</v>
      </c>
      <c r="U184" s="219">
        <v>47.228012</v>
      </c>
      <c r="V184" s="219">
        <v>47.228012</v>
      </c>
      <c r="W184" s="219">
        <v>47.228012</v>
      </c>
      <c r="X184" s="219">
        <v>47.228012</v>
      </c>
      <c r="Y184" s="219">
        <v>47.228012</v>
      </c>
      <c r="Z184" s="219">
        <v>47.228012</v>
      </c>
      <c r="AA184" s="219">
        <v>47.228012</v>
      </c>
      <c r="AB184" s="219">
        <v>47.228012</v>
      </c>
      <c r="AC184" s="219">
        <v>47.228012</v>
      </c>
      <c r="AD184" s="219">
        <v>47.228012</v>
      </c>
      <c r="AE184" s="219">
        <v>47.228012</v>
      </c>
      <c r="AF184" s="212">
        <v>-3.4518E-2</v>
      </c>
      <c r="AG184" s="31"/>
    </row>
    <row r="185" spans="1:33">
      <c r="A185" s="30" t="s">
        <v>1305</v>
      </c>
      <c r="B185" s="210" t="s">
        <v>290</v>
      </c>
      <c r="C185" s="219">
        <v>210.24963399999999</v>
      </c>
      <c r="D185" s="219">
        <v>152.784164</v>
      </c>
      <c r="E185" s="219">
        <v>111.567795</v>
      </c>
      <c r="F185" s="219">
        <v>98.639037999999999</v>
      </c>
      <c r="G185" s="219">
        <v>86.856323000000003</v>
      </c>
      <c r="H185" s="219">
        <v>75.999251999999998</v>
      </c>
      <c r="I185" s="219">
        <v>65.975616000000002</v>
      </c>
      <c r="J185" s="219">
        <v>56.722923000000002</v>
      </c>
      <c r="K185" s="219">
        <v>48.161895999999999</v>
      </c>
      <c r="L185" s="219">
        <v>40.345588999999997</v>
      </c>
      <c r="M185" s="219">
        <v>33.245693000000003</v>
      </c>
      <c r="N185" s="219">
        <v>29.267551000000001</v>
      </c>
      <c r="O185" s="219">
        <v>26.414705000000001</v>
      </c>
      <c r="P185" s="219">
        <v>23.853442999999999</v>
      </c>
      <c r="Q185" s="219">
        <v>23.720967999999999</v>
      </c>
      <c r="R185" s="219">
        <v>23.587569999999999</v>
      </c>
      <c r="S185" s="219">
        <v>23.453227999999999</v>
      </c>
      <c r="T185" s="219">
        <v>23.317212999999999</v>
      </c>
      <c r="U185" s="219">
        <v>23.179047000000001</v>
      </c>
      <c r="V185" s="219">
        <v>23.038218000000001</v>
      </c>
      <c r="W185" s="219">
        <v>22.894984999999998</v>
      </c>
      <c r="X185" s="219">
        <v>22.749956000000001</v>
      </c>
      <c r="Y185" s="219">
        <v>22.603401000000002</v>
      </c>
      <c r="Z185" s="219">
        <v>22.455750999999999</v>
      </c>
      <c r="AA185" s="219">
        <v>22.30752</v>
      </c>
      <c r="AB185" s="219">
        <v>22.158833999999999</v>
      </c>
      <c r="AC185" s="219">
        <v>22.009346000000001</v>
      </c>
      <c r="AD185" s="219">
        <v>21.858713000000002</v>
      </c>
      <c r="AE185" s="219">
        <v>21.706671</v>
      </c>
      <c r="AF185" s="212">
        <v>-7.7894000000000005E-2</v>
      </c>
      <c r="AG185" s="31"/>
    </row>
    <row r="186" spans="1:33">
      <c r="A186" s="30" t="s">
        <v>1306</v>
      </c>
      <c r="B186" s="210" t="s">
        <v>291</v>
      </c>
      <c r="C186" s="219">
        <v>126.640762</v>
      </c>
      <c r="D186" s="219">
        <v>95.785438999999997</v>
      </c>
      <c r="E186" s="219">
        <v>72.129401999999999</v>
      </c>
      <c r="F186" s="219">
        <v>64.840652000000006</v>
      </c>
      <c r="G186" s="219">
        <v>58.27422</v>
      </c>
      <c r="H186" s="219">
        <v>52.348117999999999</v>
      </c>
      <c r="I186" s="219">
        <v>47.006259999999997</v>
      </c>
      <c r="J186" s="219">
        <v>42.193066000000002</v>
      </c>
      <c r="K186" s="219">
        <v>37.856502999999996</v>
      </c>
      <c r="L186" s="219">
        <v>33.952309</v>
      </c>
      <c r="M186" s="219">
        <v>30.440014000000001</v>
      </c>
      <c r="N186" s="219">
        <v>27.279824999999999</v>
      </c>
      <c r="O186" s="219">
        <v>24.435047000000001</v>
      </c>
      <c r="P186" s="219">
        <v>21.873785000000002</v>
      </c>
      <c r="Q186" s="219">
        <v>21.741309999999999</v>
      </c>
      <c r="R186" s="219">
        <v>21.607911999999999</v>
      </c>
      <c r="S186" s="219">
        <v>21.473569999999999</v>
      </c>
      <c r="T186" s="219">
        <v>21.337554999999998</v>
      </c>
      <c r="U186" s="219">
        <v>21.199389</v>
      </c>
      <c r="V186" s="219">
        <v>21.058558999999999</v>
      </c>
      <c r="W186" s="219">
        <v>20.915327000000001</v>
      </c>
      <c r="X186" s="219">
        <v>20.770298</v>
      </c>
      <c r="Y186" s="219">
        <v>20.623743000000001</v>
      </c>
      <c r="Z186" s="219">
        <v>20.476092999999999</v>
      </c>
      <c r="AA186" s="219">
        <v>20.327862</v>
      </c>
      <c r="AB186" s="219">
        <v>20.179175999999998</v>
      </c>
      <c r="AC186" s="219">
        <v>20.029688</v>
      </c>
      <c r="AD186" s="219">
        <v>19.879055000000001</v>
      </c>
      <c r="AE186" s="219">
        <v>19.727012999999999</v>
      </c>
      <c r="AF186" s="212">
        <v>-6.4249000000000001E-2</v>
      </c>
      <c r="AG186" s="31"/>
    </row>
    <row r="187" spans="1:33">
      <c r="A187" s="30" t="s">
        <v>1307</v>
      </c>
      <c r="B187" s="210" t="s">
        <v>292</v>
      </c>
      <c r="C187" s="219">
        <v>83.226737999999997</v>
      </c>
      <c r="D187" s="219">
        <v>56.659157</v>
      </c>
      <c r="E187" s="219">
        <v>39.104075999999999</v>
      </c>
      <c r="F187" s="219">
        <v>33.464066000000003</v>
      </c>
      <c r="G187" s="219">
        <v>28.247779999999999</v>
      </c>
      <c r="H187" s="219">
        <v>23.316818000000001</v>
      </c>
      <c r="I187" s="219">
        <v>18.635035999999999</v>
      </c>
      <c r="J187" s="219">
        <v>14.195537</v>
      </c>
      <c r="K187" s="219">
        <v>9.9710710000000002</v>
      </c>
      <c r="L187" s="219">
        <v>6.058961</v>
      </c>
      <c r="M187" s="219">
        <v>2.4713579999999999</v>
      </c>
      <c r="N187" s="219">
        <v>1.6534059999999999</v>
      </c>
      <c r="O187" s="219">
        <v>1.645338</v>
      </c>
      <c r="P187" s="219">
        <v>1.645338</v>
      </c>
      <c r="Q187" s="219">
        <v>1.645338</v>
      </c>
      <c r="R187" s="219">
        <v>1.645338</v>
      </c>
      <c r="S187" s="219">
        <v>1.645338</v>
      </c>
      <c r="T187" s="219">
        <v>1.645338</v>
      </c>
      <c r="U187" s="219">
        <v>1.645338</v>
      </c>
      <c r="V187" s="219">
        <v>1.645338</v>
      </c>
      <c r="W187" s="219">
        <v>1.645338</v>
      </c>
      <c r="X187" s="219">
        <v>1.645338</v>
      </c>
      <c r="Y187" s="219">
        <v>1.645338</v>
      </c>
      <c r="Z187" s="219">
        <v>1.645338</v>
      </c>
      <c r="AA187" s="219">
        <v>1.645338</v>
      </c>
      <c r="AB187" s="219">
        <v>1.645338</v>
      </c>
      <c r="AC187" s="219">
        <v>1.645338</v>
      </c>
      <c r="AD187" s="219">
        <v>1.645338</v>
      </c>
      <c r="AE187" s="219">
        <v>1.645338</v>
      </c>
      <c r="AF187" s="212">
        <v>-0.13075400000000001</v>
      </c>
      <c r="AG187" s="31"/>
    </row>
    <row r="188" spans="1:33">
      <c r="A188" s="30" t="s">
        <v>1308</v>
      </c>
      <c r="B188" s="210" t="s">
        <v>293</v>
      </c>
      <c r="C188" s="219">
        <v>0.38214100000000001</v>
      </c>
      <c r="D188" s="219">
        <v>0.33956199999999997</v>
      </c>
      <c r="E188" s="219">
        <v>0.33431899999999998</v>
      </c>
      <c r="F188" s="219">
        <v>0.33431899999999998</v>
      </c>
      <c r="G188" s="219">
        <v>0.33431899999999998</v>
      </c>
      <c r="H188" s="219">
        <v>0.33431899999999998</v>
      </c>
      <c r="I188" s="219">
        <v>0.33431899999999998</v>
      </c>
      <c r="J188" s="219">
        <v>0.33431899999999998</v>
      </c>
      <c r="K188" s="219">
        <v>0.33431899999999998</v>
      </c>
      <c r="L188" s="219">
        <v>0.33431899999999998</v>
      </c>
      <c r="M188" s="219">
        <v>0.33431899999999998</v>
      </c>
      <c r="N188" s="219">
        <v>0.33431899999999998</v>
      </c>
      <c r="O188" s="219">
        <v>0.33431899999999998</v>
      </c>
      <c r="P188" s="219">
        <v>0.33431899999999998</v>
      </c>
      <c r="Q188" s="219">
        <v>0.33431899999999998</v>
      </c>
      <c r="R188" s="219">
        <v>0.33431899999999998</v>
      </c>
      <c r="S188" s="219">
        <v>0.33431899999999998</v>
      </c>
      <c r="T188" s="219">
        <v>0.33431899999999998</v>
      </c>
      <c r="U188" s="219">
        <v>0.33431899999999998</v>
      </c>
      <c r="V188" s="219">
        <v>0.33431899999999998</v>
      </c>
      <c r="W188" s="219">
        <v>0.33431899999999998</v>
      </c>
      <c r="X188" s="219">
        <v>0.33431899999999998</v>
      </c>
      <c r="Y188" s="219">
        <v>0.33431899999999998</v>
      </c>
      <c r="Z188" s="219">
        <v>0.33431899999999998</v>
      </c>
      <c r="AA188" s="219">
        <v>0.33431899999999998</v>
      </c>
      <c r="AB188" s="219">
        <v>0.33431899999999998</v>
      </c>
      <c r="AC188" s="219">
        <v>0.33431899999999998</v>
      </c>
      <c r="AD188" s="219">
        <v>0.33431899999999998</v>
      </c>
      <c r="AE188" s="219">
        <v>0.33431899999999998</v>
      </c>
      <c r="AF188" s="212">
        <v>-4.7629999999999999E-3</v>
      </c>
      <c r="AG188" s="31"/>
    </row>
    <row r="189" spans="1:33">
      <c r="A189" s="30" t="s">
        <v>1309</v>
      </c>
      <c r="B189" s="210" t="s">
        <v>294</v>
      </c>
      <c r="C189" s="219">
        <v>256.09021000000001</v>
      </c>
      <c r="D189" s="219">
        <v>242.99357599999999</v>
      </c>
      <c r="E189" s="219">
        <v>237.404663</v>
      </c>
      <c r="F189" s="219">
        <v>233.12211600000001</v>
      </c>
      <c r="G189" s="219">
        <v>229.26783800000001</v>
      </c>
      <c r="H189" s="219">
        <v>227.34875500000001</v>
      </c>
      <c r="I189" s="219">
        <v>227.34875500000001</v>
      </c>
      <c r="J189" s="219">
        <v>227.34875500000001</v>
      </c>
      <c r="K189" s="219">
        <v>227.34875500000001</v>
      </c>
      <c r="L189" s="219">
        <v>227.34875500000001</v>
      </c>
      <c r="M189" s="219">
        <v>227.34875500000001</v>
      </c>
      <c r="N189" s="219">
        <v>227.34875500000001</v>
      </c>
      <c r="O189" s="219">
        <v>227.34875500000001</v>
      </c>
      <c r="P189" s="219">
        <v>227.34875500000001</v>
      </c>
      <c r="Q189" s="219">
        <v>227.34875500000001</v>
      </c>
      <c r="R189" s="219">
        <v>227.34875500000001</v>
      </c>
      <c r="S189" s="219">
        <v>227.34875500000001</v>
      </c>
      <c r="T189" s="219">
        <v>227.34875500000001</v>
      </c>
      <c r="U189" s="219">
        <v>227.34875500000001</v>
      </c>
      <c r="V189" s="219">
        <v>227.34875500000001</v>
      </c>
      <c r="W189" s="219">
        <v>227.34875500000001</v>
      </c>
      <c r="X189" s="219">
        <v>227.34875500000001</v>
      </c>
      <c r="Y189" s="219">
        <v>227.34875500000001</v>
      </c>
      <c r="Z189" s="219">
        <v>227.34875500000001</v>
      </c>
      <c r="AA189" s="219">
        <v>227.34875500000001</v>
      </c>
      <c r="AB189" s="219">
        <v>227.34875500000001</v>
      </c>
      <c r="AC189" s="219">
        <v>227.34875500000001</v>
      </c>
      <c r="AD189" s="219">
        <v>227.34875500000001</v>
      </c>
      <c r="AE189" s="219">
        <v>227.34875500000001</v>
      </c>
      <c r="AF189" s="212">
        <v>-4.2430000000000002E-3</v>
      </c>
      <c r="AG189" s="31"/>
    </row>
    <row r="190" spans="1:33">
      <c r="A190" s="30" t="s">
        <v>1310</v>
      </c>
      <c r="B190" s="210" t="s">
        <v>295</v>
      </c>
      <c r="C190" s="219">
        <v>140</v>
      </c>
      <c r="D190" s="219">
        <v>140</v>
      </c>
      <c r="E190" s="219">
        <v>140</v>
      </c>
      <c r="F190" s="219">
        <v>140</v>
      </c>
      <c r="G190" s="219">
        <v>140</v>
      </c>
      <c r="H190" s="219">
        <v>140</v>
      </c>
      <c r="I190" s="219">
        <v>140</v>
      </c>
      <c r="J190" s="219">
        <v>140</v>
      </c>
      <c r="K190" s="219">
        <v>140</v>
      </c>
      <c r="L190" s="219">
        <v>140</v>
      </c>
      <c r="M190" s="219">
        <v>140</v>
      </c>
      <c r="N190" s="219">
        <v>140</v>
      </c>
      <c r="O190" s="219">
        <v>140</v>
      </c>
      <c r="P190" s="219">
        <v>140</v>
      </c>
      <c r="Q190" s="219">
        <v>140</v>
      </c>
      <c r="R190" s="219">
        <v>140</v>
      </c>
      <c r="S190" s="219">
        <v>140</v>
      </c>
      <c r="T190" s="219">
        <v>140</v>
      </c>
      <c r="U190" s="219">
        <v>140</v>
      </c>
      <c r="V190" s="219">
        <v>140</v>
      </c>
      <c r="W190" s="219">
        <v>140</v>
      </c>
      <c r="X190" s="219">
        <v>140</v>
      </c>
      <c r="Y190" s="219">
        <v>140</v>
      </c>
      <c r="Z190" s="219">
        <v>140</v>
      </c>
      <c r="AA190" s="219">
        <v>140</v>
      </c>
      <c r="AB190" s="219">
        <v>140</v>
      </c>
      <c r="AC190" s="219">
        <v>140</v>
      </c>
      <c r="AD190" s="219">
        <v>140</v>
      </c>
      <c r="AE190" s="219">
        <v>140</v>
      </c>
      <c r="AF190" s="212">
        <v>0</v>
      </c>
      <c r="AG190" s="31"/>
    </row>
    <row r="191" spans="1:33">
      <c r="A191" s="30" t="s">
        <v>1311</v>
      </c>
      <c r="B191" s="210" t="s">
        <v>296</v>
      </c>
      <c r="C191" s="219">
        <v>61.510883</v>
      </c>
      <c r="D191" s="219">
        <v>48.414265</v>
      </c>
      <c r="E191" s="219">
        <v>42.825339999999997</v>
      </c>
      <c r="F191" s="219">
        <v>38.542805000000001</v>
      </c>
      <c r="G191" s="219">
        <v>34.688521999999999</v>
      </c>
      <c r="H191" s="219">
        <v>32.769440000000003</v>
      </c>
      <c r="I191" s="219">
        <v>32.769440000000003</v>
      </c>
      <c r="J191" s="219">
        <v>32.769440000000003</v>
      </c>
      <c r="K191" s="219">
        <v>32.769440000000003</v>
      </c>
      <c r="L191" s="219">
        <v>32.769440000000003</v>
      </c>
      <c r="M191" s="219">
        <v>32.769440000000003</v>
      </c>
      <c r="N191" s="219">
        <v>32.769440000000003</v>
      </c>
      <c r="O191" s="219">
        <v>32.769440000000003</v>
      </c>
      <c r="P191" s="219">
        <v>32.769440000000003</v>
      </c>
      <c r="Q191" s="219">
        <v>32.769440000000003</v>
      </c>
      <c r="R191" s="219">
        <v>32.769440000000003</v>
      </c>
      <c r="S191" s="219">
        <v>32.769440000000003</v>
      </c>
      <c r="T191" s="219">
        <v>32.769440000000003</v>
      </c>
      <c r="U191" s="219">
        <v>32.769440000000003</v>
      </c>
      <c r="V191" s="219">
        <v>32.769440000000003</v>
      </c>
      <c r="W191" s="219">
        <v>32.769444</v>
      </c>
      <c r="X191" s="219">
        <v>32.769444</v>
      </c>
      <c r="Y191" s="219">
        <v>32.769444</v>
      </c>
      <c r="Z191" s="219">
        <v>32.769444</v>
      </c>
      <c r="AA191" s="219">
        <v>32.769444</v>
      </c>
      <c r="AB191" s="219">
        <v>32.769444</v>
      </c>
      <c r="AC191" s="219">
        <v>32.769444</v>
      </c>
      <c r="AD191" s="219">
        <v>32.769444</v>
      </c>
      <c r="AE191" s="219">
        <v>32.769444</v>
      </c>
      <c r="AF191" s="212">
        <v>-2.2238999999999998E-2</v>
      </c>
      <c r="AG191" s="31"/>
    </row>
    <row r="192" spans="1:33">
      <c r="A192" s="30" t="s">
        <v>1312</v>
      </c>
      <c r="B192" s="210" t="s">
        <v>297</v>
      </c>
      <c r="C192" s="219">
        <v>54.579318999999998</v>
      </c>
      <c r="D192" s="219">
        <v>54.579318999999998</v>
      </c>
      <c r="E192" s="219">
        <v>54.579318999999998</v>
      </c>
      <c r="F192" s="219">
        <v>54.579318999999998</v>
      </c>
      <c r="G192" s="219">
        <v>54.579318999999998</v>
      </c>
      <c r="H192" s="219">
        <v>54.579318999999998</v>
      </c>
      <c r="I192" s="219">
        <v>54.579318999999998</v>
      </c>
      <c r="J192" s="219">
        <v>54.579318999999998</v>
      </c>
      <c r="K192" s="219">
        <v>54.579318999999998</v>
      </c>
      <c r="L192" s="219">
        <v>54.579318999999998</v>
      </c>
      <c r="M192" s="219">
        <v>54.579318999999998</v>
      </c>
      <c r="N192" s="219">
        <v>54.579318999999998</v>
      </c>
      <c r="O192" s="219">
        <v>54.579318999999998</v>
      </c>
      <c r="P192" s="219">
        <v>54.579318999999998</v>
      </c>
      <c r="Q192" s="219">
        <v>54.579318999999998</v>
      </c>
      <c r="R192" s="219">
        <v>54.579318999999998</v>
      </c>
      <c r="S192" s="219">
        <v>54.579318999999998</v>
      </c>
      <c r="T192" s="219">
        <v>54.579318999999998</v>
      </c>
      <c r="U192" s="219">
        <v>54.579318999999998</v>
      </c>
      <c r="V192" s="219">
        <v>54.579318999999998</v>
      </c>
      <c r="W192" s="219">
        <v>54.579318999999998</v>
      </c>
      <c r="X192" s="219">
        <v>54.579318999999998</v>
      </c>
      <c r="Y192" s="219">
        <v>54.579318999999998</v>
      </c>
      <c r="Z192" s="219">
        <v>54.579318999999998</v>
      </c>
      <c r="AA192" s="219">
        <v>54.579318999999998</v>
      </c>
      <c r="AB192" s="219">
        <v>54.579318999999998</v>
      </c>
      <c r="AC192" s="219">
        <v>54.579318999999998</v>
      </c>
      <c r="AD192" s="219">
        <v>54.579318999999998</v>
      </c>
      <c r="AE192" s="219">
        <v>54.579318999999998</v>
      </c>
      <c r="AF192" s="212">
        <v>0</v>
      </c>
      <c r="AG192" s="31"/>
    </row>
    <row r="193" spans="1:33">
      <c r="A193" s="30" t="s">
        <v>1313</v>
      </c>
      <c r="B193" s="210" t="s">
        <v>298</v>
      </c>
      <c r="C193" s="219">
        <v>499.02520800000002</v>
      </c>
      <c r="D193" s="219">
        <v>414.76980600000002</v>
      </c>
      <c r="E193" s="219">
        <v>345.484375</v>
      </c>
      <c r="F193" s="219">
        <v>310.93591300000003</v>
      </c>
      <c r="G193" s="219">
        <v>279.84234600000002</v>
      </c>
      <c r="H193" s="219">
        <v>251.858093</v>
      </c>
      <c r="I193" s="219">
        <v>226.67228700000001</v>
      </c>
      <c r="J193" s="219">
        <v>207.70919799999999</v>
      </c>
      <c r="K193" s="219">
        <v>190.85171500000001</v>
      </c>
      <c r="L193" s="219">
        <v>180.485443</v>
      </c>
      <c r="M193" s="219">
        <v>178.81414799999999</v>
      </c>
      <c r="N193" s="219">
        <v>177.78530900000001</v>
      </c>
      <c r="O193" s="219">
        <v>176.741241</v>
      </c>
      <c r="P193" s="219">
        <v>175.68330399999999</v>
      </c>
      <c r="Q193" s="219">
        <v>174.61637899999999</v>
      </c>
      <c r="R193" s="219">
        <v>173.53788800000001</v>
      </c>
      <c r="S193" s="219">
        <v>172.447845</v>
      </c>
      <c r="T193" s="219">
        <v>171.34622200000001</v>
      </c>
      <c r="U193" s="219">
        <v>171.34622200000001</v>
      </c>
      <c r="V193" s="219">
        <v>171.34622200000001</v>
      </c>
      <c r="W193" s="219">
        <v>171.34622200000001</v>
      </c>
      <c r="X193" s="219">
        <v>171.34622200000001</v>
      </c>
      <c r="Y193" s="219">
        <v>171.34622200000001</v>
      </c>
      <c r="Z193" s="219">
        <v>171.34622200000001</v>
      </c>
      <c r="AA193" s="219">
        <v>171.34622200000001</v>
      </c>
      <c r="AB193" s="219">
        <v>171.34622200000001</v>
      </c>
      <c r="AC193" s="219">
        <v>171.34622200000001</v>
      </c>
      <c r="AD193" s="219">
        <v>171.34622200000001</v>
      </c>
      <c r="AE193" s="219">
        <v>171.34622200000001</v>
      </c>
      <c r="AF193" s="212">
        <v>-3.7457999999999998E-2</v>
      </c>
      <c r="AG193" s="31"/>
    </row>
    <row r="194" spans="1:33">
      <c r="A194" s="30" t="s">
        <v>1314</v>
      </c>
      <c r="B194" s="210" t="s">
        <v>299</v>
      </c>
      <c r="C194" s="219">
        <v>367.93841600000002</v>
      </c>
      <c r="D194" s="219">
        <v>313.36914100000001</v>
      </c>
      <c r="E194" s="219">
        <v>261.54748499999999</v>
      </c>
      <c r="F194" s="219">
        <v>235.39271500000001</v>
      </c>
      <c r="G194" s="219">
        <v>211.85346999999999</v>
      </c>
      <c r="H194" s="219">
        <v>190.66810599999999</v>
      </c>
      <c r="I194" s="219">
        <v>171.601303</v>
      </c>
      <c r="J194" s="219">
        <v>154.441147</v>
      </c>
      <c r="K194" s="219">
        <v>138.99705499999999</v>
      </c>
      <c r="L194" s="219">
        <v>129.90284700000001</v>
      </c>
      <c r="M194" s="219">
        <v>129.37640400000001</v>
      </c>
      <c r="N194" s="219">
        <v>128.34754899999999</v>
      </c>
      <c r="O194" s="219">
        <v>127.303505</v>
      </c>
      <c r="P194" s="219">
        <v>126.245544</v>
      </c>
      <c r="Q194" s="219">
        <v>125.178619</v>
      </c>
      <c r="R194" s="219">
        <v>124.100128</v>
      </c>
      <c r="S194" s="219">
        <v>123.010086</v>
      </c>
      <c r="T194" s="219">
        <v>121.908463</v>
      </c>
      <c r="U194" s="219">
        <v>121.908463</v>
      </c>
      <c r="V194" s="219">
        <v>121.908463</v>
      </c>
      <c r="W194" s="219">
        <v>121.908463</v>
      </c>
      <c r="X194" s="219">
        <v>121.908463</v>
      </c>
      <c r="Y194" s="219">
        <v>121.908463</v>
      </c>
      <c r="Z194" s="219">
        <v>121.908463</v>
      </c>
      <c r="AA194" s="219">
        <v>121.908463</v>
      </c>
      <c r="AB194" s="219">
        <v>121.908463</v>
      </c>
      <c r="AC194" s="219">
        <v>121.908463</v>
      </c>
      <c r="AD194" s="219">
        <v>121.908463</v>
      </c>
      <c r="AE194" s="219">
        <v>121.908463</v>
      </c>
      <c r="AF194" s="212">
        <v>-3.8684000000000003E-2</v>
      </c>
      <c r="AG194" s="31"/>
    </row>
    <row r="195" spans="1:33">
      <c r="A195" s="30" t="s">
        <v>1315</v>
      </c>
      <c r="B195" s="210" t="s">
        <v>300</v>
      </c>
      <c r="C195" s="219">
        <v>35.046379000000002</v>
      </c>
      <c r="D195" s="219">
        <v>28.876242000000001</v>
      </c>
      <c r="E195" s="219">
        <v>23.935998999999999</v>
      </c>
      <c r="F195" s="219">
        <v>21.542397999999999</v>
      </c>
      <c r="G195" s="219">
        <v>19.388159000000002</v>
      </c>
      <c r="H195" s="219">
        <v>17.449342999999999</v>
      </c>
      <c r="I195" s="219">
        <v>15.704409999999999</v>
      </c>
      <c r="J195" s="219">
        <v>14.133967</v>
      </c>
      <c r="K195" s="219">
        <v>12.720571</v>
      </c>
      <c r="L195" s="219">
        <v>11.448513999999999</v>
      </c>
      <c r="M195" s="219">
        <v>10.303661999999999</v>
      </c>
      <c r="N195" s="219">
        <v>10.303661999999999</v>
      </c>
      <c r="O195" s="219">
        <v>10.303663</v>
      </c>
      <c r="P195" s="219">
        <v>10.303663</v>
      </c>
      <c r="Q195" s="219">
        <v>10.303663</v>
      </c>
      <c r="R195" s="219">
        <v>10.303663</v>
      </c>
      <c r="S195" s="219">
        <v>10.303661999999999</v>
      </c>
      <c r="T195" s="219">
        <v>10.303661999999999</v>
      </c>
      <c r="U195" s="219">
        <v>10.303663</v>
      </c>
      <c r="V195" s="219">
        <v>10.303663</v>
      </c>
      <c r="W195" s="219">
        <v>10.303663</v>
      </c>
      <c r="X195" s="219">
        <v>10.303663</v>
      </c>
      <c r="Y195" s="219">
        <v>10.303663</v>
      </c>
      <c r="Z195" s="219">
        <v>10.303663</v>
      </c>
      <c r="AA195" s="219">
        <v>10.303663</v>
      </c>
      <c r="AB195" s="219">
        <v>10.303663</v>
      </c>
      <c r="AC195" s="219">
        <v>10.303663</v>
      </c>
      <c r="AD195" s="219">
        <v>10.303663</v>
      </c>
      <c r="AE195" s="219">
        <v>10.303663</v>
      </c>
      <c r="AF195" s="212">
        <v>-4.2777999999999997E-2</v>
      </c>
      <c r="AG195" s="31"/>
    </row>
    <row r="196" spans="1:33">
      <c r="A196" s="30" t="s">
        <v>1316</v>
      </c>
      <c r="B196" s="210" t="s">
        <v>301</v>
      </c>
      <c r="C196" s="219">
        <v>96.040413000000001</v>
      </c>
      <c r="D196" s="219">
        <v>72.524405999999999</v>
      </c>
      <c r="E196" s="219">
        <v>60.000881</v>
      </c>
      <c r="F196" s="219">
        <v>54.000793000000002</v>
      </c>
      <c r="G196" s="219">
        <v>48.600715999999998</v>
      </c>
      <c r="H196" s="219">
        <v>43.740642999999999</v>
      </c>
      <c r="I196" s="219">
        <v>39.366580999999996</v>
      </c>
      <c r="J196" s="219">
        <v>39.134087000000001</v>
      </c>
      <c r="K196" s="219">
        <v>39.134087000000001</v>
      </c>
      <c r="L196" s="219">
        <v>39.134087000000001</v>
      </c>
      <c r="M196" s="219">
        <v>39.134087000000001</v>
      </c>
      <c r="N196" s="219">
        <v>39.134087000000001</v>
      </c>
      <c r="O196" s="219">
        <v>39.134087000000001</v>
      </c>
      <c r="P196" s="219">
        <v>39.13409</v>
      </c>
      <c r="Q196" s="219">
        <v>39.13409</v>
      </c>
      <c r="R196" s="219">
        <v>39.13409</v>
      </c>
      <c r="S196" s="219">
        <v>39.13409</v>
      </c>
      <c r="T196" s="219">
        <v>39.13409</v>
      </c>
      <c r="U196" s="219">
        <v>39.13409</v>
      </c>
      <c r="V196" s="219">
        <v>39.13409</v>
      </c>
      <c r="W196" s="219">
        <v>39.13409</v>
      </c>
      <c r="X196" s="219">
        <v>39.13409</v>
      </c>
      <c r="Y196" s="219">
        <v>39.13409</v>
      </c>
      <c r="Z196" s="219">
        <v>39.13409</v>
      </c>
      <c r="AA196" s="219">
        <v>39.13409</v>
      </c>
      <c r="AB196" s="219">
        <v>39.13409</v>
      </c>
      <c r="AC196" s="219">
        <v>39.13409</v>
      </c>
      <c r="AD196" s="219">
        <v>39.13409</v>
      </c>
      <c r="AE196" s="219">
        <v>39.13409</v>
      </c>
      <c r="AF196" s="212">
        <v>-3.1555E-2</v>
      </c>
      <c r="AG196" s="31"/>
    </row>
    <row r="197" spans="1:33" ht="15.5" thickBot="1">
      <c r="A197" s="30" t="s">
        <v>1317</v>
      </c>
      <c r="B197" s="209" t="s">
        <v>153</v>
      </c>
      <c r="C197" s="222">
        <v>417.99490400000002</v>
      </c>
      <c r="D197" s="222">
        <v>908.06933600000002</v>
      </c>
      <c r="E197" s="222">
        <v>656.40655500000003</v>
      </c>
      <c r="F197" s="222">
        <v>574.95446800000002</v>
      </c>
      <c r="G197" s="222">
        <v>502.13580300000001</v>
      </c>
      <c r="H197" s="222">
        <v>433.315247</v>
      </c>
      <c r="I197" s="222">
        <v>375.76855499999999</v>
      </c>
      <c r="J197" s="222">
        <v>324.72442599999999</v>
      </c>
      <c r="K197" s="222">
        <v>277.74047899999999</v>
      </c>
      <c r="L197" s="222">
        <v>234.77188100000001</v>
      </c>
      <c r="M197" s="222">
        <v>195.24939000000001</v>
      </c>
      <c r="N197" s="222">
        <v>162.08386200000001</v>
      </c>
      <c r="O197" s="222">
        <v>139.11180100000001</v>
      </c>
      <c r="P197" s="222">
        <v>128.104095</v>
      </c>
      <c r="Q197" s="222">
        <v>128.104095</v>
      </c>
      <c r="R197" s="222">
        <v>128.104095</v>
      </c>
      <c r="S197" s="222">
        <v>128.104095</v>
      </c>
      <c r="T197" s="222">
        <v>128.104095</v>
      </c>
      <c r="U197" s="222">
        <v>128.104095</v>
      </c>
      <c r="V197" s="222">
        <v>128.104095</v>
      </c>
      <c r="W197" s="222">
        <v>128.104095</v>
      </c>
      <c r="X197" s="222">
        <v>128.104095</v>
      </c>
      <c r="Y197" s="222">
        <v>128.104095</v>
      </c>
      <c r="Z197" s="222">
        <v>128.104095</v>
      </c>
      <c r="AA197" s="222">
        <v>128.104095</v>
      </c>
      <c r="AB197" s="222">
        <v>128.104095</v>
      </c>
      <c r="AC197" s="222">
        <v>128.104095</v>
      </c>
      <c r="AD197" s="222">
        <v>128.104095</v>
      </c>
      <c r="AE197" s="222">
        <v>128.104095</v>
      </c>
      <c r="AF197" s="214">
        <v>-4.1356999999999998E-2</v>
      </c>
      <c r="AG197" s="31"/>
    </row>
    <row r="198" spans="1:33">
      <c r="A198" s="29"/>
      <c r="B198" s="230" t="s">
        <v>1318</v>
      </c>
      <c r="C198" s="32"/>
      <c r="D198" s="32"/>
      <c r="E198" s="32"/>
      <c r="F198" s="32"/>
      <c r="G198" s="32"/>
      <c r="H198" s="32"/>
      <c r="I198" s="32"/>
      <c r="J198" s="32"/>
      <c r="K198" s="32"/>
      <c r="L198" s="32"/>
      <c r="M198" s="32"/>
      <c r="N198" s="32"/>
      <c r="O198" s="32"/>
      <c r="P198" s="32"/>
      <c r="Q198" s="32"/>
      <c r="R198" s="32"/>
      <c r="S198" s="32"/>
      <c r="T198" s="32"/>
      <c r="U198" s="32"/>
      <c r="V198" s="32"/>
      <c r="W198" s="32"/>
      <c r="X198" s="32"/>
      <c r="Y198" s="32"/>
      <c r="Z198" s="32"/>
      <c r="AA198" s="32"/>
      <c r="AB198" s="32"/>
      <c r="AC198" s="32"/>
      <c r="AD198" s="32"/>
      <c r="AE198" s="32"/>
      <c r="AF198" s="32"/>
      <c r="AG198" s="31"/>
    </row>
    <row r="199" spans="1:33">
      <c r="A199" s="29"/>
      <c r="B199" s="31"/>
      <c r="C199" s="31"/>
      <c r="D199" s="31"/>
      <c r="E199" s="31"/>
      <c r="F199" s="31"/>
      <c r="G199" s="31"/>
      <c r="H199" s="31"/>
      <c r="I199" s="31"/>
      <c r="J199" s="31"/>
      <c r="K199" s="31"/>
      <c r="L199" s="31"/>
      <c r="M199" s="31"/>
      <c r="N199" s="31"/>
      <c r="O199" s="31"/>
      <c r="P199" s="31"/>
      <c r="Q199" s="31"/>
      <c r="R199" s="31"/>
      <c r="S199" s="31"/>
      <c r="T199" s="31"/>
      <c r="U199" s="31"/>
      <c r="V199" s="31"/>
      <c r="W199" s="31"/>
      <c r="X199" s="31"/>
      <c r="Y199" s="31"/>
      <c r="Z199" s="31"/>
      <c r="AA199" s="31"/>
      <c r="AB199" s="31"/>
      <c r="AC199" s="31"/>
      <c r="AD199" s="31"/>
      <c r="AE199" s="31"/>
      <c r="AF199" s="31"/>
      <c r="AG199" s="31"/>
    </row>
    <row r="200" spans="1:33">
      <c r="A200" s="29"/>
      <c r="B200" s="31"/>
      <c r="C200" s="31"/>
      <c r="D200" s="31"/>
      <c r="E200" s="31"/>
      <c r="F200" s="31"/>
      <c r="G200" s="31"/>
      <c r="H200" s="31"/>
      <c r="I200" s="31"/>
      <c r="J200" s="31"/>
      <c r="K200" s="31"/>
      <c r="L200" s="31"/>
      <c r="M200" s="31"/>
      <c r="N200" s="31"/>
      <c r="O200" s="31"/>
      <c r="P200" s="31"/>
      <c r="Q200" s="31"/>
      <c r="R200" s="31"/>
      <c r="S200" s="31"/>
      <c r="T200" s="31"/>
      <c r="U200" s="31"/>
      <c r="V200" s="31"/>
      <c r="W200" s="31"/>
      <c r="X200" s="31"/>
      <c r="Y200" s="31"/>
      <c r="Z200" s="31"/>
      <c r="AA200" s="31"/>
      <c r="AB200" s="31"/>
      <c r="AC200" s="31"/>
      <c r="AD200" s="31"/>
      <c r="AE200" s="31"/>
      <c r="AF200" s="31"/>
      <c r="AG200" s="31"/>
    </row>
    <row r="201" spans="1:33">
      <c r="A201" s="29"/>
      <c r="B201" s="31"/>
      <c r="C201" s="31"/>
      <c r="D201" s="31"/>
      <c r="E201" s="31"/>
      <c r="F201" s="31"/>
      <c r="G201" s="31"/>
      <c r="H201" s="31"/>
      <c r="I201" s="31"/>
      <c r="J201" s="31"/>
      <c r="K201" s="31"/>
      <c r="L201" s="31"/>
      <c r="M201" s="31"/>
      <c r="N201" s="31"/>
      <c r="O201" s="31"/>
      <c r="P201" s="31"/>
      <c r="Q201" s="31"/>
      <c r="R201" s="31"/>
      <c r="S201" s="31"/>
      <c r="T201" s="31"/>
      <c r="U201" s="31"/>
      <c r="V201" s="31"/>
      <c r="W201" s="31"/>
      <c r="X201" s="31"/>
      <c r="Y201" s="31"/>
      <c r="Z201" s="31"/>
      <c r="AA201" s="31"/>
      <c r="AB201" s="31"/>
      <c r="AC201" s="31"/>
      <c r="AD201" s="31"/>
      <c r="AE201" s="31"/>
      <c r="AF201" s="31"/>
      <c r="AG201" s="31"/>
    </row>
    <row r="202" spans="1:33">
      <c r="A202" s="29"/>
      <c r="B202" s="31"/>
      <c r="C202" s="31"/>
      <c r="D202" s="31"/>
      <c r="E202" s="31"/>
      <c r="F202" s="31"/>
      <c r="G202" s="31"/>
      <c r="H202" s="31"/>
      <c r="I202" s="31"/>
      <c r="J202" s="31"/>
      <c r="K202" s="31"/>
      <c r="L202" s="31"/>
      <c r="M202" s="31"/>
      <c r="N202" s="31"/>
      <c r="O202" s="31"/>
      <c r="P202" s="31"/>
      <c r="Q202" s="31"/>
      <c r="R202" s="31"/>
      <c r="S202" s="31"/>
      <c r="T202" s="31"/>
      <c r="U202" s="31"/>
      <c r="V202" s="31"/>
      <c r="W202" s="31"/>
      <c r="X202" s="31"/>
      <c r="Y202" s="31"/>
      <c r="Z202" s="31"/>
      <c r="AA202" s="31"/>
      <c r="AB202" s="31"/>
      <c r="AC202" s="31"/>
      <c r="AD202" s="31"/>
      <c r="AE202" s="31"/>
      <c r="AF202" s="31"/>
      <c r="AG202" s="31"/>
    </row>
    <row r="203" spans="1:33">
      <c r="A203" s="29"/>
      <c r="B203" s="31"/>
      <c r="C203" s="31"/>
      <c r="D203" s="31"/>
      <c r="E203" s="31"/>
      <c r="F203" s="31"/>
      <c r="G203" s="31"/>
      <c r="H203" s="31"/>
      <c r="I203" s="31"/>
      <c r="J203" s="31"/>
      <c r="K203" s="31"/>
      <c r="L203" s="31"/>
      <c r="M203" s="31"/>
      <c r="N203" s="31"/>
      <c r="O203" s="31"/>
      <c r="P203" s="31"/>
      <c r="Q203" s="31"/>
      <c r="R203" s="31"/>
      <c r="S203" s="31"/>
      <c r="T203" s="31"/>
      <c r="U203" s="31"/>
      <c r="V203" s="31"/>
      <c r="W203" s="31"/>
      <c r="X203" s="31"/>
      <c r="Y203" s="31"/>
      <c r="Z203" s="31"/>
      <c r="AA203" s="31"/>
      <c r="AB203" s="31"/>
      <c r="AC203" s="31"/>
      <c r="AD203" s="31"/>
      <c r="AE203" s="31"/>
      <c r="AF203" s="31"/>
      <c r="AG203" s="31"/>
    </row>
    <row r="204" spans="1:33">
      <c r="A204" s="29"/>
      <c r="B204" s="31"/>
      <c r="C204" s="31"/>
      <c r="D204" s="31"/>
      <c r="E204" s="31"/>
      <c r="F204" s="31"/>
      <c r="G204" s="31"/>
      <c r="H204" s="31"/>
      <c r="I204" s="31"/>
      <c r="J204" s="31"/>
      <c r="K204" s="31"/>
      <c r="L204" s="31"/>
      <c r="M204" s="31"/>
      <c r="N204" s="31"/>
      <c r="O204" s="31"/>
      <c r="P204" s="31"/>
      <c r="Q204" s="31"/>
      <c r="R204" s="31"/>
      <c r="S204" s="31"/>
      <c r="T204" s="31"/>
      <c r="U204" s="31"/>
      <c r="V204" s="31"/>
      <c r="W204" s="31"/>
      <c r="X204" s="31"/>
      <c r="Y204" s="31"/>
      <c r="Z204" s="31"/>
      <c r="AA204" s="31"/>
      <c r="AB204" s="31"/>
      <c r="AC204" s="31"/>
      <c r="AD204" s="31"/>
      <c r="AE204" s="31"/>
      <c r="AF204" s="31"/>
      <c r="AG204" s="31"/>
    </row>
    <row r="205" spans="1:33">
      <c r="A205" s="29"/>
      <c r="B205" s="31"/>
      <c r="C205" s="31"/>
      <c r="D205" s="31"/>
      <c r="E205" s="31"/>
      <c r="F205" s="31"/>
      <c r="G205" s="31"/>
      <c r="H205" s="31"/>
      <c r="I205" s="31"/>
      <c r="J205" s="31"/>
      <c r="K205" s="31"/>
      <c r="L205" s="31"/>
      <c r="M205" s="31"/>
      <c r="N205" s="31"/>
      <c r="O205" s="31"/>
      <c r="P205" s="31"/>
      <c r="Q205" s="31"/>
      <c r="R205" s="31"/>
      <c r="S205" s="31"/>
      <c r="T205" s="31"/>
      <c r="U205" s="31"/>
      <c r="V205" s="31"/>
      <c r="W205" s="31"/>
      <c r="X205" s="31"/>
      <c r="Y205" s="31"/>
      <c r="Z205" s="31"/>
      <c r="AA205" s="31"/>
      <c r="AB205" s="31"/>
      <c r="AC205" s="31"/>
      <c r="AD205" s="31"/>
      <c r="AE205" s="31"/>
      <c r="AF205" s="31"/>
      <c r="AG205" s="31"/>
    </row>
    <row r="206" spans="1:33">
      <c r="A206" s="29"/>
      <c r="B206" s="31"/>
      <c r="C206" s="31"/>
      <c r="D206" s="31"/>
      <c r="E206" s="31"/>
      <c r="F206" s="31"/>
      <c r="G206" s="31"/>
      <c r="H206" s="31"/>
      <c r="I206" s="31"/>
      <c r="J206" s="31"/>
      <c r="K206" s="31"/>
      <c r="L206" s="31"/>
      <c r="M206" s="31"/>
      <c r="N206" s="31"/>
      <c r="O206" s="31"/>
      <c r="P206" s="31"/>
      <c r="Q206" s="31"/>
      <c r="R206" s="31"/>
      <c r="S206" s="31"/>
      <c r="T206" s="31"/>
      <c r="U206" s="31"/>
      <c r="V206" s="31"/>
      <c r="W206" s="31"/>
      <c r="X206" s="31"/>
      <c r="Y206" s="31"/>
      <c r="Z206" s="31"/>
      <c r="AA206" s="31"/>
      <c r="AB206" s="31"/>
      <c r="AC206" s="31"/>
      <c r="AD206" s="31"/>
      <c r="AE206" s="31"/>
      <c r="AF206" s="31"/>
      <c r="AG206" s="31"/>
    </row>
    <row r="207" spans="1:33">
      <c r="A207" s="29"/>
      <c r="B207" s="31"/>
      <c r="C207" s="31"/>
      <c r="D207" s="31"/>
      <c r="E207" s="31"/>
      <c r="F207" s="31"/>
      <c r="G207" s="31"/>
      <c r="H207" s="31"/>
      <c r="I207" s="31"/>
      <c r="J207" s="31"/>
      <c r="K207" s="31"/>
      <c r="L207" s="31"/>
      <c r="M207" s="31"/>
      <c r="N207" s="31"/>
      <c r="O207" s="31"/>
      <c r="P207" s="31"/>
      <c r="Q207" s="31"/>
      <c r="R207" s="31"/>
      <c r="S207" s="31"/>
      <c r="T207" s="31"/>
      <c r="U207" s="31"/>
      <c r="V207" s="31"/>
      <c r="W207" s="31"/>
      <c r="X207" s="31"/>
      <c r="Y207" s="31"/>
      <c r="Z207" s="31"/>
      <c r="AA207" s="31"/>
      <c r="AB207" s="31"/>
      <c r="AC207" s="31"/>
      <c r="AD207" s="31"/>
      <c r="AE207" s="31"/>
      <c r="AF207" s="31"/>
      <c r="AG207" s="31"/>
    </row>
    <row r="208" spans="1:33">
      <c r="A208" s="29"/>
      <c r="B208" s="31"/>
      <c r="C208" s="31"/>
      <c r="D208" s="31"/>
      <c r="E208" s="31"/>
      <c r="F208" s="31"/>
      <c r="G208" s="31"/>
      <c r="H208" s="31"/>
      <c r="I208" s="31"/>
      <c r="J208" s="31"/>
      <c r="K208" s="31"/>
      <c r="L208" s="31"/>
      <c r="M208" s="31"/>
      <c r="N208" s="31"/>
      <c r="O208" s="31"/>
      <c r="P208" s="31"/>
      <c r="Q208" s="31"/>
      <c r="R208" s="31"/>
      <c r="S208" s="31"/>
      <c r="T208" s="31"/>
      <c r="U208" s="31"/>
      <c r="V208" s="31"/>
      <c r="W208" s="31"/>
      <c r="X208" s="31"/>
      <c r="Y208" s="31"/>
      <c r="Z208" s="31"/>
      <c r="AA208" s="31"/>
      <c r="AB208" s="31"/>
      <c r="AC208" s="31"/>
      <c r="AD208" s="31"/>
      <c r="AE208" s="31"/>
      <c r="AF208" s="31"/>
      <c r="AG208" s="31"/>
    </row>
    <row r="209" spans="2:33">
      <c r="B209" s="31"/>
      <c r="C209" s="31"/>
      <c r="D209" s="31"/>
      <c r="E209" s="31"/>
      <c r="F209" s="31"/>
      <c r="G209" s="31"/>
      <c r="H209" s="31"/>
      <c r="I209" s="31"/>
      <c r="J209" s="31"/>
      <c r="K209" s="31"/>
      <c r="L209" s="31"/>
      <c r="M209" s="31"/>
      <c r="N209" s="31"/>
      <c r="O209" s="31"/>
      <c r="P209" s="31"/>
      <c r="Q209" s="31"/>
      <c r="R209" s="31"/>
      <c r="S209" s="31"/>
      <c r="T209" s="31"/>
      <c r="U209" s="31"/>
      <c r="V209" s="31"/>
      <c r="W209" s="31"/>
      <c r="X209" s="31"/>
      <c r="Y209" s="31"/>
      <c r="Z209" s="31"/>
      <c r="AA209" s="31"/>
      <c r="AB209" s="31"/>
      <c r="AC209" s="31"/>
      <c r="AD209" s="31"/>
      <c r="AE209" s="31"/>
      <c r="AF209" s="31" t="s">
        <v>655</v>
      </c>
      <c r="AG209" s="31"/>
    </row>
    <row r="258" spans="2:32">
      <c r="B258" s="29"/>
      <c r="C258" s="29"/>
      <c r="D258" s="29"/>
      <c r="E258" s="29"/>
      <c r="F258" s="29"/>
      <c r="G258" s="29"/>
      <c r="H258" s="29"/>
      <c r="I258" s="29"/>
      <c r="J258" s="29"/>
      <c r="K258" s="29"/>
      <c r="L258" s="29"/>
      <c r="M258" s="29"/>
      <c r="N258" s="29"/>
      <c r="O258" s="29"/>
      <c r="P258" s="29"/>
      <c r="Q258" s="29"/>
      <c r="R258" s="29"/>
      <c r="S258" s="29"/>
      <c r="T258" s="29"/>
      <c r="U258" s="29"/>
      <c r="V258" s="29"/>
      <c r="W258" s="29"/>
      <c r="X258" s="29"/>
      <c r="Y258" s="29"/>
      <c r="Z258" s="29"/>
      <c r="AA258" s="29"/>
      <c r="AB258" s="29"/>
      <c r="AC258" s="29"/>
      <c r="AD258" s="29"/>
      <c r="AE258" s="29"/>
      <c r="AF258" s="29"/>
    </row>
    <row r="259" spans="2:32">
      <c r="B259" s="29"/>
      <c r="C259" s="29"/>
      <c r="D259" s="29"/>
      <c r="E259" s="29"/>
      <c r="F259" s="29"/>
      <c r="G259" s="29"/>
      <c r="H259" s="29"/>
      <c r="I259" s="29"/>
      <c r="J259" s="29"/>
      <c r="K259" s="29"/>
      <c r="L259" s="29"/>
      <c r="M259" s="29"/>
      <c r="N259" s="29"/>
      <c r="O259" s="29"/>
      <c r="P259" s="29"/>
      <c r="Q259" s="29"/>
      <c r="R259" s="29"/>
      <c r="S259" s="29"/>
      <c r="T259" s="29"/>
      <c r="U259" s="29"/>
      <c r="V259" s="29"/>
      <c r="W259" s="29"/>
      <c r="X259" s="29"/>
      <c r="Y259" s="29"/>
      <c r="Z259" s="29"/>
      <c r="AA259" s="29"/>
      <c r="AB259" s="29"/>
      <c r="AC259" s="29"/>
      <c r="AD259" s="29"/>
      <c r="AE259" s="29"/>
      <c r="AF259" s="29"/>
    </row>
    <row r="268" spans="2:32">
      <c r="B268" s="29"/>
      <c r="C268" s="29"/>
      <c r="D268" s="29"/>
      <c r="E268" s="29"/>
      <c r="F268" s="29"/>
      <c r="G268" s="29"/>
      <c r="H268" s="29"/>
      <c r="I268" s="29"/>
      <c r="J268" s="29"/>
      <c r="K268" s="29"/>
      <c r="L268" s="29"/>
      <c r="M268" s="29"/>
      <c r="N268" s="29"/>
      <c r="O268" s="29"/>
      <c r="P268" s="29"/>
      <c r="Q268" s="29"/>
      <c r="R268" s="29"/>
      <c r="S268" s="29"/>
      <c r="T268" s="29"/>
      <c r="U268" s="29"/>
      <c r="V268" s="29"/>
      <c r="W268" s="29"/>
      <c r="X268" s="29"/>
      <c r="Y268" s="29"/>
      <c r="Z268" s="29"/>
      <c r="AA268" s="29"/>
      <c r="AB268" s="29"/>
      <c r="AC268" s="29"/>
      <c r="AD268" s="29"/>
      <c r="AE268" s="29"/>
      <c r="AF268" s="29"/>
    </row>
    <row r="269" spans="2:32">
      <c r="B269" s="29"/>
      <c r="C269" s="29"/>
      <c r="D269" s="29"/>
      <c r="E269" s="29"/>
      <c r="F269" s="29"/>
      <c r="G269" s="29"/>
      <c r="H269" s="29"/>
      <c r="I269" s="29"/>
      <c r="J269" s="29"/>
      <c r="K269" s="29"/>
      <c r="L269" s="29"/>
      <c r="M269" s="29"/>
      <c r="N269" s="29"/>
      <c r="O269" s="29"/>
      <c r="P269" s="29"/>
      <c r="Q269" s="29"/>
      <c r="R269" s="29"/>
      <c r="S269" s="29"/>
      <c r="T269" s="29"/>
      <c r="U269" s="29"/>
      <c r="V269" s="29"/>
      <c r="W269" s="29"/>
      <c r="X269" s="29"/>
      <c r="Y269" s="29"/>
      <c r="Z269" s="29"/>
      <c r="AA269" s="29"/>
      <c r="AB269" s="29"/>
      <c r="AC269" s="29"/>
      <c r="AD269" s="29"/>
      <c r="AE269" s="29"/>
      <c r="AF269" s="29"/>
    </row>
    <row r="270" spans="2:32">
      <c r="B270" s="29"/>
      <c r="C270" s="29"/>
      <c r="D270" s="29"/>
      <c r="E270" s="29"/>
      <c r="F270" s="29"/>
      <c r="G270" s="29"/>
      <c r="H270" s="29"/>
      <c r="I270" s="29"/>
      <c r="J270" s="29"/>
      <c r="K270" s="29"/>
      <c r="L270" s="29"/>
      <c r="M270" s="29"/>
      <c r="N270" s="29"/>
      <c r="O270" s="29"/>
      <c r="P270" s="29"/>
      <c r="Q270" s="29"/>
      <c r="R270" s="29"/>
      <c r="S270" s="29"/>
      <c r="T270" s="29"/>
      <c r="U270" s="29"/>
      <c r="V270" s="29"/>
      <c r="W270" s="29"/>
      <c r="X270" s="29"/>
      <c r="Y270" s="29"/>
      <c r="Z270" s="29"/>
      <c r="AA270" s="29"/>
      <c r="AB270" s="29"/>
      <c r="AC270" s="29"/>
      <c r="AD270" s="29"/>
      <c r="AE270" s="29"/>
      <c r="AF270" s="29"/>
    </row>
    <row r="271" spans="2:32">
      <c r="B271" s="29"/>
      <c r="C271" s="29"/>
      <c r="D271" s="29"/>
      <c r="E271" s="29"/>
      <c r="F271" s="29"/>
      <c r="G271" s="29"/>
      <c r="H271" s="29"/>
      <c r="I271" s="29"/>
      <c r="J271" s="29"/>
      <c r="K271" s="29"/>
      <c r="L271" s="29"/>
      <c r="M271" s="29"/>
      <c r="N271" s="29"/>
      <c r="O271" s="29"/>
      <c r="P271" s="29"/>
      <c r="Q271" s="29"/>
      <c r="R271" s="29"/>
      <c r="S271" s="29"/>
      <c r="T271" s="29"/>
      <c r="U271" s="29"/>
      <c r="V271" s="29"/>
      <c r="W271" s="29"/>
      <c r="X271" s="29"/>
      <c r="Y271" s="29"/>
      <c r="Z271" s="29"/>
      <c r="AA271" s="29"/>
      <c r="AB271" s="29"/>
      <c r="AC271" s="29"/>
      <c r="AD271" s="29"/>
      <c r="AE271" s="29"/>
      <c r="AF271" s="29"/>
    </row>
    <row r="272" spans="2:32">
      <c r="B272" s="29"/>
      <c r="C272" s="29"/>
      <c r="D272" s="29"/>
      <c r="E272" s="29"/>
      <c r="F272" s="29"/>
      <c r="G272" s="29"/>
      <c r="H272" s="29"/>
      <c r="I272" s="29"/>
      <c r="J272" s="29"/>
      <c r="K272" s="29"/>
      <c r="L272" s="29"/>
      <c r="M272" s="29"/>
      <c r="N272" s="29"/>
      <c r="O272" s="29"/>
      <c r="P272" s="29"/>
      <c r="Q272" s="29"/>
      <c r="R272" s="29"/>
      <c r="S272" s="29"/>
      <c r="T272" s="29"/>
      <c r="U272" s="29"/>
      <c r="V272" s="29"/>
      <c r="W272" s="29"/>
      <c r="X272" s="29"/>
      <c r="Y272" s="29"/>
      <c r="Z272" s="29"/>
      <c r="AA272" s="29"/>
      <c r="AB272" s="29"/>
      <c r="AC272" s="29"/>
      <c r="AD272" s="29"/>
      <c r="AE272" s="29"/>
      <c r="AF272" s="29"/>
    </row>
    <row r="338" spans="2:32">
      <c r="B338" s="29"/>
      <c r="C338" s="29"/>
      <c r="D338" s="29"/>
      <c r="E338" s="29"/>
      <c r="F338" s="29"/>
      <c r="G338" s="29"/>
      <c r="H338" s="29"/>
      <c r="I338" s="29"/>
      <c r="J338" s="29"/>
      <c r="K338" s="29"/>
      <c r="L338" s="29"/>
      <c r="M338" s="29"/>
      <c r="N338" s="29"/>
      <c r="O338" s="29"/>
      <c r="P338" s="29"/>
      <c r="Q338" s="29"/>
      <c r="R338" s="29"/>
      <c r="S338" s="29"/>
      <c r="T338" s="29"/>
      <c r="U338" s="29"/>
      <c r="V338" s="29"/>
      <c r="W338" s="29"/>
      <c r="X338" s="29"/>
      <c r="Y338" s="29"/>
      <c r="Z338" s="29"/>
      <c r="AA338" s="29"/>
      <c r="AB338" s="29"/>
      <c r="AC338" s="29"/>
      <c r="AD338" s="29"/>
      <c r="AE338" s="29"/>
      <c r="AF338" s="29"/>
    </row>
    <row r="339" spans="2:32">
      <c r="B339" s="29"/>
      <c r="C339" s="29"/>
      <c r="D339" s="29"/>
      <c r="E339" s="29"/>
      <c r="F339" s="29"/>
      <c r="G339" s="29"/>
      <c r="H339" s="29"/>
      <c r="I339" s="29"/>
      <c r="J339" s="29"/>
      <c r="K339" s="29"/>
      <c r="L339" s="29"/>
      <c r="M339" s="29"/>
      <c r="N339" s="29"/>
      <c r="O339" s="29"/>
      <c r="P339" s="29"/>
      <c r="Q339" s="29"/>
      <c r="R339" s="29"/>
      <c r="S339" s="29"/>
      <c r="T339" s="29"/>
      <c r="U339" s="29"/>
      <c r="V339" s="29"/>
      <c r="W339" s="29"/>
      <c r="X339" s="29"/>
      <c r="Y339" s="29"/>
      <c r="Z339" s="29"/>
      <c r="AA339" s="29"/>
      <c r="AB339" s="29"/>
      <c r="AC339" s="29"/>
      <c r="AD339" s="29"/>
      <c r="AE339" s="29"/>
      <c r="AF339" s="29"/>
    </row>
    <row r="348" spans="2:32">
      <c r="B348" s="29"/>
      <c r="C348" s="29"/>
      <c r="D348" s="29"/>
      <c r="E348" s="29"/>
      <c r="F348" s="29"/>
      <c r="G348" s="29"/>
      <c r="H348" s="29"/>
      <c r="I348" s="29"/>
      <c r="J348" s="29"/>
      <c r="K348" s="29"/>
      <c r="L348" s="29"/>
      <c r="M348" s="29"/>
      <c r="N348" s="29"/>
      <c r="O348" s="29"/>
      <c r="P348" s="29"/>
      <c r="Q348" s="29"/>
      <c r="R348" s="29"/>
      <c r="S348" s="29"/>
      <c r="T348" s="29"/>
      <c r="U348" s="29"/>
      <c r="V348" s="29"/>
      <c r="W348" s="29"/>
      <c r="X348" s="29"/>
      <c r="Y348" s="29"/>
      <c r="Z348" s="29"/>
      <c r="AA348" s="29"/>
      <c r="AB348" s="29"/>
      <c r="AC348" s="29"/>
      <c r="AD348" s="29"/>
      <c r="AE348" s="29"/>
      <c r="AF348" s="29"/>
    </row>
    <row r="349" spans="2:32">
      <c r="B349" s="29"/>
      <c r="C349" s="29"/>
      <c r="D349" s="29"/>
      <c r="E349" s="29"/>
      <c r="F349" s="29"/>
      <c r="G349" s="29"/>
      <c r="H349" s="29"/>
      <c r="I349" s="29"/>
      <c r="J349" s="29"/>
      <c r="K349" s="29"/>
      <c r="L349" s="29"/>
      <c r="M349" s="29"/>
      <c r="N349" s="29"/>
      <c r="O349" s="29"/>
      <c r="P349" s="29"/>
      <c r="Q349" s="29"/>
      <c r="R349" s="29"/>
      <c r="S349" s="29"/>
      <c r="T349" s="29"/>
      <c r="U349" s="29"/>
      <c r="V349" s="29"/>
      <c r="W349" s="29"/>
      <c r="X349" s="29"/>
      <c r="Y349" s="29"/>
      <c r="Z349" s="29"/>
      <c r="AA349" s="29"/>
      <c r="AB349" s="29"/>
      <c r="AC349" s="29"/>
      <c r="AD349" s="29"/>
      <c r="AE349" s="29"/>
      <c r="AF349" s="29"/>
    </row>
    <row r="350" spans="2:32">
      <c r="B350" s="29"/>
      <c r="C350" s="29"/>
      <c r="D350" s="29"/>
      <c r="E350" s="29"/>
      <c r="F350" s="29"/>
      <c r="G350" s="29"/>
      <c r="H350" s="29"/>
      <c r="I350" s="29"/>
      <c r="J350" s="29"/>
      <c r="K350" s="29"/>
      <c r="L350" s="29"/>
      <c r="M350" s="29"/>
      <c r="N350" s="29"/>
      <c r="O350" s="29"/>
      <c r="P350" s="29"/>
      <c r="Q350" s="29"/>
      <c r="R350" s="29"/>
      <c r="S350" s="29"/>
      <c r="T350" s="29"/>
      <c r="U350" s="29"/>
      <c r="V350" s="29"/>
      <c r="W350" s="29"/>
      <c r="X350" s="29"/>
      <c r="Y350" s="29"/>
      <c r="Z350" s="29"/>
      <c r="AA350" s="29"/>
      <c r="AB350" s="29"/>
      <c r="AC350" s="29"/>
      <c r="AD350" s="29"/>
      <c r="AE350" s="29"/>
      <c r="AF350" s="29"/>
    </row>
    <row r="351" spans="2:32">
      <c r="B351" s="29"/>
      <c r="C351" s="29"/>
      <c r="D351" s="29"/>
      <c r="E351" s="29"/>
      <c r="F351" s="29"/>
      <c r="G351" s="29"/>
      <c r="H351" s="29"/>
      <c r="I351" s="29"/>
      <c r="J351" s="29"/>
      <c r="K351" s="29"/>
      <c r="L351" s="29"/>
      <c r="M351" s="29"/>
      <c r="N351" s="29"/>
      <c r="O351" s="29"/>
      <c r="P351" s="29"/>
      <c r="Q351" s="29"/>
      <c r="R351" s="29"/>
      <c r="S351" s="29"/>
      <c r="T351" s="29"/>
      <c r="U351" s="29"/>
      <c r="V351" s="29"/>
      <c r="W351" s="29"/>
      <c r="X351" s="29"/>
      <c r="Y351" s="29"/>
      <c r="Z351" s="29"/>
      <c r="AA351" s="29"/>
      <c r="AB351" s="29"/>
      <c r="AC351" s="29"/>
      <c r="AD351" s="29"/>
      <c r="AE351" s="29"/>
      <c r="AF351" s="29"/>
    </row>
    <row r="352" spans="2:32">
      <c r="B352" s="29"/>
      <c r="C352" s="29"/>
      <c r="D352" s="29"/>
      <c r="E352" s="29"/>
      <c r="F352" s="29"/>
      <c r="G352" s="29"/>
      <c r="H352" s="29"/>
      <c r="I352" s="29"/>
      <c r="J352" s="29"/>
      <c r="K352" s="29"/>
      <c r="L352" s="29"/>
      <c r="M352" s="29"/>
      <c r="N352" s="29"/>
      <c r="O352" s="29"/>
      <c r="P352" s="29"/>
      <c r="Q352" s="29"/>
      <c r="R352" s="29"/>
      <c r="S352" s="29"/>
      <c r="T352" s="29"/>
      <c r="U352" s="29"/>
      <c r="V352" s="29"/>
      <c r="W352" s="29"/>
      <c r="X352" s="29"/>
      <c r="Y352" s="29"/>
      <c r="Z352" s="29"/>
      <c r="AA352" s="29"/>
      <c r="AB352" s="29"/>
      <c r="AC352" s="29"/>
      <c r="AD352" s="29"/>
      <c r="AE352" s="29"/>
      <c r="AF352" s="29"/>
    </row>
    <row r="449" spans="2:32">
      <c r="B449" s="29"/>
      <c r="C449" s="29"/>
      <c r="D449" s="29"/>
      <c r="E449" s="29"/>
      <c r="F449" s="29"/>
      <c r="G449" s="29"/>
      <c r="H449" s="29"/>
      <c r="I449" s="29"/>
      <c r="J449" s="29"/>
      <c r="K449" s="29"/>
      <c r="L449" s="29"/>
      <c r="M449" s="29"/>
      <c r="N449" s="29"/>
      <c r="O449" s="29"/>
      <c r="P449" s="29"/>
      <c r="Q449" s="29"/>
      <c r="R449" s="29"/>
      <c r="S449" s="29"/>
      <c r="T449" s="29"/>
      <c r="U449" s="29"/>
      <c r="V449" s="29"/>
      <c r="W449" s="29"/>
      <c r="X449" s="29"/>
      <c r="Y449" s="29"/>
      <c r="Z449" s="29"/>
      <c r="AA449" s="29"/>
      <c r="AB449" s="29"/>
      <c r="AC449" s="29"/>
      <c r="AD449" s="29"/>
      <c r="AE449" s="29"/>
      <c r="AF449" s="29"/>
    </row>
    <row r="451" spans="2:32">
      <c r="B451" s="29"/>
      <c r="C451" s="29"/>
      <c r="D451" s="29"/>
      <c r="E451" s="29"/>
      <c r="F451" s="29"/>
      <c r="G451" s="29"/>
      <c r="H451" s="29"/>
      <c r="I451" s="29"/>
      <c r="J451" s="29"/>
      <c r="K451" s="29"/>
      <c r="L451" s="29"/>
      <c r="M451" s="29"/>
      <c r="N451" s="29"/>
      <c r="O451" s="29"/>
      <c r="P451" s="29"/>
      <c r="Q451" s="29"/>
      <c r="R451" s="29"/>
      <c r="S451" s="29"/>
      <c r="T451" s="29"/>
      <c r="U451" s="29"/>
      <c r="V451" s="29"/>
      <c r="W451" s="29"/>
      <c r="X451" s="29"/>
      <c r="Y451" s="29"/>
      <c r="Z451" s="29"/>
      <c r="AA451" s="29"/>
      <c r="AB451" s="29"/>
      <c r="AC451" s="29"/>
      <c r="AD451" s="29"/>
      <c r="AE451" s="29"/>
      <c r="AF451" s="29"/>
    </row>
    <row r="452" spans="2:32">
      <c r="B452" s="29"/>
      <c r="C452" s="29"/>
      <c r="D452" s="29"/>
      <c r="E452" s="29"/>
      <c r="F452" s="29"/>
      <c r="G452" s="29"/>
      <c r="H452" s="29"/>
      <c r="I452" s="29"/>
      <c r="J452" s="29"/>
      <c r="K452" s="29"/>
      <c r="L452" s="29"/>
      <c r="M452" s="29"/>
      <c r="N452" s="29"/>
      <c r="O452" s="29"/>
      <c r="P452" s="29"/>
      <c r="Q452" s="29"/>
      <c r="R452" s="29"/>
      <c r="S452" s="29"/>
      <c r="T452" s="29"/>
      <c r="U452" s="29"/>
      <c r="V452" s="29"/>
      <c r="W452" s="29"/>
      <c r="X452" s="29"/>
      <c r="Y452" s="29"/>
      <c r="Z452" s="29"/>
      <c r="AA452" s="29"/>
      <c r="AB452" s="29"/>
      <c r="AC452" s="29"/>
      <c r="AD452" s="29"/>
      <c r="AE452" s="29"/>
      <c r="AF452" s="29"/>
    </row>
    <row r="461" spans="2:32">
      <c r="B461" s="29"/>
      <c r="C461" s="29"/>
      <c r="D461" s="29"/>
      <c r="E461" s="29"/>
      <c r="F461" s="29"/>
      <c r="G461" s="29"/>
      <c r="H461" s="29"/>
      <c r="I461" s="29"/>
      <c r="J461" s="29"/>
      <c r="K461" s="29"/>
      <c r="L461" s="29"/>
      <c r="M461" s="29"/>
      <c r="N461" s="29"/>
      <c r="O461" s="29"/>
      <c r="P461" s="29"/>
      <c r="Q461" s="29"/>
      <c r="R461" s="29"/>
      <c r="S461" s="29"/>
      <c r="T461" s="29"/>
      <c r="U461" s="29"/>
      <c r="V461" s="29"/>
      <c r="W461" s="29"/>
      <c r="X461" s="29"/>
      <c r="Y461" s="29"/>
      <c r="Z461" s="29"/>
      <c r="AA461" s="29"/>
      <c r="AB461" s="29"/>
      <c r="AC461" s="29"/>
      <c r="AD461" s="29"/>
      <c r="AE461" s="29"/>
      <c r="AF461" s="29"/>
    </row>
    <row r="462" spans="2:32">
      <c r="B462" s="29"/>
      <c r="C462" s="29"/>
      <c r="D462" s="29"/>
      <c r="E462" s="29"/>
      <c r="F462" s="29"/>
      <c r="G462" s="29"/>
      <c r="H462" s="29"/>
      <c r="I462" s="29"/>
      <c r="J462" s="29"/>
      <c r="K462" s="29"/>
      <c r="L462" s="29"/>
      <c r="M462" s="29"/>
      <c r="N462" s="29"/>
      <c r="O462" s="29"/>
      <c r="P462" s="29"/>
      <c r="Q462" s="29"/>
      <c r="R462" s="29"/>
      <c r="S462" s="29"/>
      <c r="T462" s="29"/>
      <c r="U462" s="29"/>
      <c r="V462" s="29"/>
      <c r="W462" s="29"/>
      <c r="X462" s="29"/>
      <c r="Y462" s="29"/>
      <c r="Z462" s="29"/>
      <c r="AA462" s="29"/>
      <c r="AB462" s="29"/>
      <c r="AC462" s="29"/>
      <c r="AD462" s="29"/>
      <c r="AE462" s="29"/>
      <c r="AF462" s="29"/>
    </row>
    <row r="463" spans="2:32">
      <c r="B463" s="29"/>
      <c r="C463" s="29"/>
      <c r="D463" s="29"/>
      <c r="E463" s="29"/>
      <c r="F463" s="29"/>
      <c r="G463" s="29"/>
      <c r="H463" s="29"/>
      <c r="I463" s="29"/>
      <c r="J463" s="29"/>
      <c r="K463" s="29"/>
      <c r="L463" s="29"/>
      <c r="M463" s="29"/>
      <c r="N463" s="29"/>
      <c r="O463" s="29"/>
      <c r="P463" s="29"/>
      <c r="Q463" s="29"/>
      <c r="R463" s="29"/>
      <c r="S463" s="29"/>
      <c r="T463" s="29"/>
      <c r="U463" s="29"/>
      <c r="V463" s="29"/>
      <c r="W463" s="29"/>
      <c r="X463" s="29"/>
      <c r="Y463" s="29"/>
      <c r="Z463" s="29"/>
      <c r="AA463" s="29"/>
      <c r="AB463" s="29"/>
      <c r="AC463" s="29"/>
      <c r="AD463" s="29"/>
      <c r="AE463" s="29"/>
      <c r="AF463" s="29"/>
    </row>
    <row r="464" spans="2:32">
      <c r="B464" s="29"/>
      <c r="C464" s="29"/>
      <c r="D464" s="29"/>
      <c r="E464" s="29"/>
      <c r="F464" s="29"/>
      <c r="G464" s="29"/>
      <c r="H464" s="29"/>
      <c r="I464" s="29"/>
      <c r="J464" s="29"/>
      <c r="K464" s="29"/>
      <c r="L464" s="29"/>
      <c r="M464" s="29"/>
      <c r="N464" s="29"/>
      <c r="O464" s="29"/>
      <c r="P464" s="29"/>
      <c r="Q464" s="29"/>
      <c r="R464" s="29"/>
      <c r="S464" s="29"/>
      <c r="T464" s="29"/>
      <c r="U464" s="29"/>
      <c r="V464" s="29"/>
      <c r="W464" s="29"/>
      <c r="X464" s="29"/>
      <c r="Y464" s="29"/>
      <c r="Z464" s="29"/>
      <c r="AA464" s="29"/>
      <c r="AB464" s="29"/>
      <c r="AC464" s="29"/>
      <c r="AD464" s="29"/>
      <c r="AE464" s="29"/>
      <c r="AF464" s="29"/>
    </row>
    <row r="497" spans="2:33">
      <c r="B497" s="29"/>
      <c r="C497" s="29"/>
      <c r="D497" s="29"/>
      <c r="E497" s="29"/>
      <c r="F497" s="29"/>
      <c r="G497" s="29"/>
      <c r="H497" s="29"/>
      <c r="I497" s="29"/>
      <c r="J497" s="29"/>
      <c r="K497" s="29"/>
      <c r="L497" s="29"/>
      <c r="M497" s="29"/>
      <c r="N497" s="29"/>
      <c r="O497" s="29"/>
      <c r="P497" s="29"/>
      <c r="Q497" s="29"/>
      <c r="R497" s="29"/>
      <c r="S497" s="29"/>
      <c r="T497" s="29"/>
      <c r="U497" s="29"/>
      <c r="V497" s="29"/>
      <c r="W497" s="29"/>
      <c r="X497" s="29"/>
      <c r="Y497" s="29"/>
      <c r="Z497" s="29"/>
      <c r="AA497" s="29"/>
      <c r="AB497" s="29"/>
      <c r="AC497" s="29"/>
      <c r="AD497" s="29"/>
      <c r="AE497" s="29"/>
      <c r="AF497" s="29"/>
      <c r="AG497" s="29"/>
    </row>
    <row r="498" spans="2:33">
      <c r="B498" s="29"/>
      <c r="C498" s="29"/>
      <c r="D498" s="29"/>
      <c r="E498" s="29"/>
      <c r="F498" s="29"/>
      <c r="G498" s="29"/>
      <c r="H498" s="29"/>
      <c r="I498" s="29"/>
      <c r="J498" s="29"/>
      <c r="K498" s="29"/>
      <c r="L498" s="29"/>
      <c r="M498" s="29"/>
      <c r="N498" s="29"/>
      <c r="O498" s="29"/>
      <c r="P498" s="29"/>
      <c r="Q498" s="29"/>
      <c r="R498" s="29"/>
      <c r="S498" s="29"/>
      <c r="T498" s="29"/>
      <c r="U498" s="29"/>
      <c r="V498" s="29"/>
      <c r="W498" s="29"/>
      <c r="X498" s="29"/>
      <c r="Y498" s="29"/>
      <c r="Z498" s="29"/>
      <c r="AA498" s="29"/>
      <c r="AB498" s="29"/>
      <c r="AC498" s="29"/>
      <c r="AD498" s="29"/>
      <c r="AE498" s="29"/>
      <c r="AF498" s="29"/>
      <c r="AG498" s="29"/>
    </row>
    <row r="499" spans="2:33">
      <c r="B499" s="29"/>
      <c r="C499" s="29"/>
      <c r="D499" s="29"/>
      <c r="E499" s="29"/>
      <c r="F499" s="29"/>
      <c r="G499" s="29"/>
      <c r="H499" s="29"/>
      <c r="I499" s="29"/>
      <c r="J499" s="29"/>
      <c r="K499" s="29"/>
      <c r="L499" s="29"/>
      <c r="M499" s="29"/>
      <c r="N499" s="29"/>
      <c r="O499" s="29"/>
      <c r="P499" s="29"/>
      <c r="Q499" s="29"/>
      <c r="R499" s="29"/>
      <c r="S499" s="29"/>
      <c r="T499" s="29"/>
      <c r="U499" s="29"/>
      <c r="V499" s="29"/>
      <c r="W499" s="29"/>
      <c r="X499" s="29"/>
      <c r="Y499" s="29"/>
      <c r="Z499" s="29"/>
      <c r="AA499" s="29"/>
      <c r="AB499" s="29"/>
      <c r="AC499" s="29"/>
      <c r="AD499" s="29"/>
      <c r="AE499" s="29"/>
      <c r="AF499" s="29"/>
      <c r="AG499" s="29"/>
    </row>
    <row r="500" spans="2:33">
      <c r="B500" s="229"/>
      <c r="C500" s="29"/>
      <c r="D500" s="29"/>
      <c r="E500" s="29"/>
      <c r="F500" s="29"/>
      <c r="G500" s="29"/>
      <c r="H500" s="29"/>
      <c r="I500" s="29"/>
      <c r="J500" s="29"/>
      <c r="K500" s="29"/>
      <c r="L500" s="29"/>
      <c r="M500" s="29"/>
      <c r="N500" s="29"/>
      <c r="O500" s="29"/>
      <c r="P500" s="29"/>
      <c r="Q500" s="29"/>
      <c r="R500" s="29"/>
      <c r="S500" s="29"/>
      <c r="T500" s="29"/>
      <c r="U500" s="29"/>
      <c r="V500" s="29"/>
      <c r="W500" s="29"/>
      <c r="X500" s="29"/>
      <c r="Y500" s="29"/>
      <c r="Z500" s="29"/>
      <c r="AA500" s="29"/>
      <c r="AB500" s="29"/>
      <c r="AC500" s="29"/>
      <c r="AD500" s="29"/>
      <c r="AE500" s="29"/>
      <c r="AF500" s="29"/>
      <c r="AG500" s="29"/>
    </row>
    <row r="503" spans="2:33">
      <c r="B503" s="29"/>
      <c r="C503" s="29"/>
      <c r="D503" s="29"/>
      <c r="E503" s="29"/>
      <c r="F503" s="29"/>
      <c r="G503" s="29"/>
      <c r="H503" s="29"/>
      <c r="I503" s="29"/>
      <c r="J503" s="29"/>
      <c r="K503" s="29"/>
      <c r="L503" s="29"/>
      <c r="M503" s="29"/>
      <c r="N503" s="29"/>
      <c r="O503" s="29"/>
      <c r="P503" s="29"/>
      <c r="Q503" s="29"/>
      <c r="R503" s="29"/>
      <c r="S503" s="29"/>
      <c r="T503" s="29"/>
      <c r="U503" s="29"/>
      <c r="V503" s="29"/>
      <c r="W503" s="29"/>
      <c r="X503" s="29"/>
      <c r="Y503" s="29"/>
      <c r="Z503" s="29"/>
      <c r="AA503" s="29"/>
      <c r="AB503" s="29"/>
      <c r="AC503" s="29"/>
      <c r="AD503" s="29"/>
      <c r="AE503" s="29"/>
      <c r="AF503" s="29"/>
      <c r="AG503" s="29"/>
    </row>
    <row r="504" spans="2:33">
      <c r="B504" s="29"/>
      <c r="C504" s="29"/>
      <c r="D504" s="29"/>
      <c r="E504" s="29"/>
      <c r="F504" s="29"/>
      <c r="G504" s="29"/>
      <c r="H504" s="29"/>
      <c r="I504" s="29"/>
      <c r="J504" s="29"/>
      <c r="K504" s="29"/>
      <c r="L504" s="29"/>
      <c r="M504" s="29"/>
      <c r="N504" s="29"/>
      <c r="O504" s="29"/>
      <c r="P504" s="29"/>
      <c r="Q504" s="29"/>
      <c r="R504" s="29"/>
      <c r="S504" s="29"/>
      <c r="T504" s="29"/>
      <c r="U504" s="29"/>
      <c r="V504" s="29"/>
      <c r="W504" s="29"/>
      <c r="X504" s="29"/>
      <c r="Y504" s="29"/>
      <c r="Z504" s="29"/>
      <c r="AA504" s="29"/>
      <c r="AB504" s="29"/>
      <c r="AC504" s="29"/>
      <c r="AD504" s="29"/>
      <c r="AE504" s="29"/>
      <c r="AF504" s="29"/>
      <c r="AG504" s="29"/>
    </row>
    <row r="510" spans="2:33">
      <c r="B510" s="29"/>
      <c r="C510" s="29"/>
      <c r="D510" s="29"/>
      <c r="E510" s="29"/>
      <c r="F510" s="29"/>
      <c r="G510" s="29"/>
      <c r="H510" s="29"/>
      <c r="I510" s="29"/>
      <c r="J510" s="29"/>
      <c r="K510" s="29"/>
      <c r="L510" s="29"/>
      <c r="M510" s="29"/>
      <c r="N510" s="29"/>
      <c r="O510" s="29"/>
      <c r="P510" s="29"/>
      <c r="Q510" s="29"/>
      <c r="R510" s="29"/>
      <c r="S510" s="29"/>
      <c r="T510" s="29"/>
      <c r="U510" s="29"/>
      <c r="V510" s="29"/>
      <c r="W510" s="29"/>
      <c r="X510" s="29"/>
      <c r="Y510" s="29"/>
      <c r="Z510" s="29"/>
      <c r="AA510" s="29"/>
      <c r="AB510" s="29"/>
      <c r="AC510" s="29"/>
      <c r="AD510" s="29"/>
      <c r="AE510" s="29"/>
      <c r="AF510" s="29"/>
      <c r="AG510" s="29"/>
    </row>
    <row r="564" spans="2:32">
      <c r="B564" s="29"/>
      <c r="C564" s="29"/>
      <c r="D564" s="29"/>
      <c r="E564" s="29"/>
      <c r="F564" s="29"/>
      <c r="G564" s="29"/>
      <c r="H564" s="29"/>
      <c r="I564" s="29"/>
      <c r="J564" s="29"/>
      <c r="K564" s="29"/>
      <c r="L564" s="29"/>
      <c r="M564" s="29"/>
      <c r="N564" s="29"/>
      <c r="O564" s="29"/>
      <c r="P564" s="29"/>
      <c r="Q564" s="29"/>
      <c r="R564" s="29"/>
      <c r="S564" s="29"/>
      <c r="T564" s="29"/>
      <c r="U564" s="29"/>
      <c r="V564" s="29"/>
      <c r="W564" s="29"/>
      <c r="X564" s="29"/>
      <c r="Y564" s="29"/>
      <c r="Z564" s="29"/>
      <c r="AA564" s="29"/>
      <c r="AB564" s="29"/>
      <c r="AC564" s="29"/>
      <c r="AD564" s="29"/>
      <c r="AE564" s="29"/>
      <c r="AF564" s="29"/>
    </row>
    <row r="565" spans="2:32">
      <c r="B565" s="29"/>
      <c r="C565" s="29"/>
      <c r="D565" s="29"/>
      <c r="E565" s="29"/>
      <c r="F565" s="29"/>
      <c r="G565" s="29"/>
      <c r="H565" s="29"/>
      <c r="I565" s="29"/>
      <c r="J565" s="29"/>
      <c r="K565" s="29"/>
      <c r="L565" s="29"/>
      <c r="M565" s="29"/>
      <c r="N565" s="29"/>
      <c r="O565" s="29"/>
      <c r="P565" s="29"/>
      <c r="Q565" s="29"/>
      <c r="R565" s="29"/>
      <c r="S565" s="29"/>
      <c r="T565" s="29"/>
      <c r="U565" s="29"/>
      <c r="V565" s="29"/>
      <c r="W565" s="29"/>
      <c r="X565" s="29"/>
      <c r="Y565" s="29"/>
      <c r="Z565" s="29"/>
      <c r="AA565" s="29"/>
      <c r="AB565" s="29"/>
      <c r="AC565" s="29"/>
      <c r="AD565" s="29"/>
      <c r="AE565" s="29"/>
      <c r="AF565" s="29"/>
    </row>
    <row r="571" spans="2:32">
      <c r="B571" s="29"/>
      <c r="C571" s="29"/>
      <c r="D571" s="29"/>
      <c r="E571" s="29"/>
      <c r="F571" s="29"/>
      <c r="G571" s="29"/>
      <c r="H571" s="29"/>
      <c r="I571" s="29"/>
      <c r="J571" s="29"/>
      <c r="K571" s="29"/>
      <c r="L571" s="29"/>
      <c r="M571" s="29"/>
      <c r="N571" s="29"/>
      <c r="O571" s="29"/>
      <c r="P571" s="29"/>
      <c r="Q571" s="29"/>
      <c r="R571" s="29"/>
      <c r="S571" s="29"/>
      <c r="T571" s="29"/>
      <c r="U571" s="29"/>
      <c r="V571" s="29"/>
      <c r="W571" s="29"/>
      <c r="X571" s="29"/>
      <c r="Y571" s="29"/>
      <c r="Z571" s="29"/>
      <c r="AA571" s="29"/>
      <c r="AB571" s="29"/>
      <c r="AC571" s="29"/>
      <c r="AD571" s="29"/>
      <c r="AE571" s="29"/>
      <c r="AF571" s="29"/>
    </row>
    <row r="572" spans="2:32">
      <c r="B572" s="29"/>
      <c r="C572" s="29"/>
      <c r="D572" s="29"/>
      <c r="E572" s="29"/>
      <c r="F572" s="29"/>
      <c r="G572" s="29"/>
      <c r="H572" s="29"/>
      <c r="I572" s="29"/>
      <c r="J572" s="29"/>
      <c r="K572" s="29"/>
      <c r="L572" s="29"/>
      <c r="M572" s="29"/>
      <c r="N572" s="29"/>
      <c r="O572" s="29"/>
      <c r="P572" s="29"/>
      <c r="Q572" s="29"/>
      <c r="R572" s="29"/>
      <c r="S572" s="29"/>
      <c r="T572" s="29"/>
      <c r="U572" s="29"/>
      <c r="V572" s="29"/>
      <c r="W572" s="29"/>
      <c r="X572" s="29"/>
      <c r="Y572" s="29"/>
      <c r="Z572" s="29"/>
      <c r="AA572" s="29"/>
      <c r="AB572" s="29"/>
      <c r="AC572" s="29"/>
      <c r="AD572" s="29"/>
      <c r="AE572" s="29"/>
      <c r="AF572" s="29"/>
    </row>
    <row r="573" spans="2:32">
      <c r="B573" s="29"/>
      <c r="C573" s="29"/>
      <c r="D573" s="29"/>
      <c r="E573" s="29"/>
      <c r="F573" s="29"/>
      <c r="G573" s="29"/>
      <c r="H573" s="29"/>
      <c r="I573" s="29"/>
      <c r="J573" s="29"/>
      <c r="K573" s="29"/>
      <c r="L573" s="29"/>
      <c r="M573" s="29"/>
      <c r="N573" s="29"/>
      <c r="O573" s="29"/>
      <c r="P573" s="29"/>
      <c r="Q573" s="29"/>
      <c r="R573" s="29"/>
      <c r="S573" s="29"/>
      <c r="T573" s="29"/>
      <c r="U573" s="29"/>
      <c r="V573" s="29"/>
      <c r="W573" s="29"/>
      <c r="X573" s="29"/>
      <c r="Y573" s="29"/>
      <c r="Z573" s="29"/>
      <c r="AA573" s="29"/>
      <c r="AB573" s="29"/>
      <c r="AC573" s="29"/>
      <c r="AD573" s="29"/>
      <c r="AE573" s="29"/>
      <c r="AF573" s="29"/>
    </row>
    <row r="574" spans="2:32">
      <c r="B574" s="29"/>
      <c r="C574" s="29"/>
      <c r="D574" s="29"/>
      <c r="E574" s="29"/>
      <c r="F574" s="29"/>
      <c r="G574" s="29"/>
      <c r="H574" s="29"/>
      <c r="I574" s="29"/>
      <c r="J574" s="29"/>
      <c r="K574" s="29"/>
      <c r="L574" s="29"/>
      <c r="M574" s="29"/>
      <c r="N574" s="29"/>
      <c r="O574" s="29"/>
      <c r="P574" s="29"/>
      <c r="Q574" s="29"/>
      <c r="R574" s="29"/>
      <c r="S574" s="29"/>
      <c r="T574" s="29"/>
      <c r="U574" s="29"/>
      <c r="V574" s="29"/>
      <c r="W574" s="29"/>
      <c r="X574" s="29"/>
      <c r="Y574" s="29"/>
      <c r="Z574" s="29"/>
      <c r="AA574" s="29"/>
      <c r="AB574" s="29"/>
      <c r="AC574" s="29"/>
      <c r="AD574" s="29"/>
      <c r="AE574" s="29"/>
      <c r="AF574" s="29"/>
    </row>
    <row r="575" spans="2:32">
      <c r="B575" s="29"/>
      <c r="C575" s="29"/>
      <c r="D575" s="29"/>
      <c r="E575" s="29"/>
      <c r="F575" s="29"/>
      <c r="G575" s="29"/>
      <c r="H575" s="29"/>
      <c r="I575" s="29"/>
      <c r="J575" s="29"/>
      <c r="K575" s="29"/>
      <c r="L575" s="29"/>
      <c r="M575" s="29"/>
      <c r="N575" s="29"/>
      <c r="O575" s="29"/>
      <c r="P575" s="29"/>
      <c r="Q575" s="29"/>
      <c r="R575" s="29"/>
      <c r="S575" s="29"/>
      <c r="T575" s="29"/>
      <c r="U575" s="29"/>
      <c r="V575" s="29"/>
      <c r="W575" s="29"/>
      <c r="X575" s="29"/>
      <c r="Y575" s="29"/>
      <c r="Z575" s="29"/>
      <c r="AA575" s="29"/>
      <c r="AB575" s="29"/>
      <c r="AC575" s="29"/>
      <c r="AD575" s="29"/>
      <c r="AE575" s="29"/>
      <c r="AF575" s="29"/>
    </row>
    <row r="576" spans="2:32">
      <c r="B576" s="29"/>
      <c r="C576" s="29"/>
      <c r="D576" s="29"/>
      <c r="E576" s="29"/>
      <c r="F576" s="29"/>
      <c r="G576" s="29"/>
      <c r="H576" s="29"/>
      <c r="I576" s="29"/>
      <c r="J576" s="29"/>
      <c r="K576" s="29"/>
      <c r="L576" s="29"/>
      <c r="M576" s="29"/>
      <c r="N576" s="29"/>
      <c r="O576" s="29"/>
      <c r="P576" s="29"/>
      <c r="Q576" s="29"/>
      <c r="R576" s="29"/>
      <c r="S576" s="29"/>
      <c r="T576" s="29"/>
      <c r="U576" s="29"/>
      <c r="V576" s="29"/>
      <c r="W576" s="29"/>
      <c r="X576" s="29"/>
      <c r="Y576" s="29"/>
      <c r="Z576" s="29"/>
      <c r="AA576" s="29"/>
      <c r="AB576" s="29"/>
      <c r="AC576" s="29"/>
      <c r="AD576" s="29"/>
      <c r="AE576" s="29"/>
      <c r="AF576" s="29"/>
    </row>
    <row r="657" spans="2:32">
      <c r="B657" s="29"/>
      <c r="C657" s="29"/>
      <c r="D657" s="29"/>
      <c r="E657" s="29"/>
      <c r="F657" s="29"/>
      <c r="G657" s="29"/>
      <c r="H657" s="29"/>
      <c r="I657" s="29"/>
      <c r="J657" s="29"/>
      <c r="K657" s="29"/>
      <c r="L657" s="29"/>
      <c r="M657" s="29"/>
      <c r="N657" s="29"/>
      <c r="O657" s="29"/>
      <c r="P657" s="29"/>
      <c r="Q657" s="29"/>
      <c r="R657" s="29"/>
      <c r="S657" s="29"/>
      <c r="T657" s="29"/>
      <c r="U657" s="29"/>
      <c r="V657" s="29"/>
      <c r="W657" s="29"/>
      <c r="X657" s="29"/>
      <c r="Y657" s="29"/>
      <c r="Z657" s="29"/>
      <c r="AA657" s="29"/>
      <c r="AB657" s="29"/>
      <c r="AC657" s="29"/>
      <c r="AD657" s="29"/>
      <c r="AE657" s="29"/>
      <c r="AF657" s="29"/>
    </row>
    <row r="658" spans="2:32">
      <c r="B658" s="29"/>
      <c r="C658" s="29"/>
      <c r="D658" s="29"/>
      <c r="E658" s="29"/>
      <c r="F658" s="29"/>
      <c r="G658" s="29"/>
      <c r="H658" s="29"/>
      <c r="I658" s="29"/>
      <c r="J658" s="29"/>
      <c r="K658" s="29"/>
      <c r="L658" s="29"/>
      <c r="M658" s="29"/>
      <c r="N658" s="29"/>
      <c r="O658" s="29"/>
      <c r="P658" s="29"/>
      <c r="Q658" s="29"/>
      <c r="R658" s="29"/>
      <c r="S658" s="29"/>
      <c r="T658" s="29"/>
      <c r="U658" s="29"/>
      <c r="V658" s="29"/>
      <c r="W658" s="29"/>
      <c r="X658" s="29"/>
      <c r="Y658" s="29"/>
      <c r="Z658" s="29"/>
      <c r="AA658" s="29"/>
      <c r="AB658" s="29"/>
      <c r="AC658" s="29"/>
      <c r="AD658" s="29"/>
      <c r="AE658" s="29"/>
      <c r="AF658" s="29"/>
    </row>
    <row r="660" spans="2:32">
      <c r="B660" s="29"/>
      <c r="C660" s="29"/>
      <c r="D660" s="29"/>
      <c r="E660" s="29"/>
      <c r="F660" s="29"/>
      <c r="G660" s="29"/>
      <c r="H660" s="29"/>
      <c r="I660" s="29"/>
      <c r="J660" s="29"/>
      <c r="K660" s="29"/>
      <c r="L660" s="29"/>
      <c r="M660" s="29"/>
      <c r="N660" s="29"/>
      <c r="O660" s="29"/>
      <c r="P660" s="29"/>
      <c r="Q660" s="29"/>
      <c r="R660" s="29"/>
      <c r="S660" s="29"/>
      <c r="T660" s="29"/>
      <c r="U660" s="29"/>
      <c r="V660" s="29"/>
      <c r="W660" s="29"/>
      <c r="X660" s="29"/>
      <c r="Y660" s="29"/>
      <c r="Z660" s="29"/>
      <c r="AA660" s="29"/>
      <c r="AB660" s="29"/>
      <c r="AC660" s="29"/>
      <c r="AD660" s="29"/>
      <c r="AE660" s="29"/>
      <c r="AF660" s="29"/>
    </row>
    <row r="662" spans="2:32">
      <c r="B662" s="29"/>
      <c r="C662" s="29"/>
      <c r="D662" s="29"/>
      <c r="E662" s="29"/>
      <c r="F662" s="29"/>
      <c r="G662" s="29"/>
      <c r="H662" s="29"/>
      <c r="I662" s="29"/>
      <c r="J662" s="29"/>
      <c r="K662" s="29"/>
      <c r="L662" s="29"/>
      <c r="M662" s="29"/>
      <c r="N662" s="29"/>
      <c r="O662" s="29"/>
      <c r="P662" s="29"/>
      <c r="Q662" s="29"/>
      <c r="R662" s="29"/>
      <c r="S662" s="29"/>
      <c r="T662" s="29"/>
      <c r="U662" s="29"/>
      <c r="V662" s="29"/>
      <c r="W662" s="29"/>
      <c r="X662" s="29"/>
      <c r="Y662" s="29"/>
      <c r="Z662" s="29"/>
      <c r="AA662" s="29"/>
      <c r="AB662" s="29"/>
      <c r="AC662" s="29"/>
      <c r="AD662" s="29"/>
      <c r="AE662" s="29"/>
      <c r="AF662" s="29"/>
    </row>
    <row r="663" spans="2:32">
      <c r="B663" s="29"/>
      <c r="C663" s="29"/>
      <c r="D663" s="29"/>
      <c r="E663" s="29"/>
      <c r="F663" s="29"/>
      <c r="G663" s="29"/>
      <c r="H663" s="29"/>
      <c r="I663" s="29"/>
      <c r="J663" s="29"/>
      <c r="K663" s="29"/>
      <c r="L663" s="29"/>
      <c r="M663" s="29"/>
      <c r="N663" s="29"/>
      <c r="O663" s="29"/>
      <c r="P663" s="29"/>
      <c r="Q663" s="29"/>
      <c r="R663" s="29"/>
      <c r="S663" s="29"/>
      <c r="T663" s="29"/>
      <c r="U663" s="29"/>
      <c r="V663" s="29"/>
      <c r="W663" s="29"/>
      <c r="X663" s="29"/>
      <c r="Y663" s="29"/>
      <c r="Z663" s="29"/>
      <c r="AA663" s="29"/>
      <c r="AB663" s="29"/>
      <c r="AC663" s="29"/>
      <c r="AD663" s="29"/>
      <c r="AE663" s="29"/>
      <c r="AF663" s="29"/>
    </row>
    <row r="669" spans="2:32">
      <c r="B669" s="29"/>
      <c r="C669" s="29"/>
      <c r="D669" s="29"/>
      <c r="E669" s="29"/>
      <c r="F669" s="29"/>
      <c r="G669" s="29"/>
      <c r="H669" s="29"/>
      <c r="I669" s="29"/>
      <c r="J669" s="29"/>
      <c r="K669" s="29"/>
      <c r="L669" s="29"/>
      <c r="M669" s="29"/>
      <c r="N669" s="29"/>
      <c r="O669" s="29"/>
      <c r="P669" s="29"/>
      <c r="Q669" s="29"/>
      <c r="R669" s="29"/>
      <c r="S669" s="29"/>
      <c r="T669" s="29"/>
      <c r="U669" s="29"/>
      <c r="V669" s="29"/>
      <c r="W669" s="29"/>
      <c r="X669" s="29"/>
      <c r="Y669" s="29"/>
      <c r="Z669" s="29"/>
      <c r="AA669" s="29"/>
      <c r="AB669" s="29"/>
      <c r="AC669" s="29"/>
      <c r="AD669" s="29"/>
      <c r="AE669" s="29"/>
      <c r="AF669" s="29"/>
    </row>
    <row r="670" spans="2:32">
      <c r="B670" s="29"/>
      <c r="C670" s="29"/>
      <c r="D670" s="29"/>
      <c r="E670" s="29"/>
      <c r="F670" s="29"/>
      <c r="G670" s="29"/>
      <c r="H670" s="29"/>
      <c r="I670" s="29"/>
      <c r="J670" s="29"/>
      <c r="K670" s="29"/>
      <c r="L670" s="29"/>
      <c r="M670" s="29"/>
      <c r="N670" s="29"/>
      <c r="O670" s="29"/>
      <c r="P670" s="29"/>
      <c r="Q670" s="29"/>
      <c r="R670" s="29"/>
      <c r="S670" s="29"/>
      <c r="T670" s="29"/>
      <c r="U670" s="29"/>
      <c r="V670" s="29"/>
      <c r="W670" s="29"/>
      <c r="X670" s="29"/>
      <c r="Y670" s="29"/>
      <c r="Z670" s="29"/>
      <c r="AA670" s="29"/>
      <c r="AB670" s="29"/>
      <c r="AC670" s="29"/>
      <c r="AD670" s="29"/>
      <c r="AE670" s="29"/>
      <c r="AF670" s="29"/>
    </row>
    <row r="671" spans="2:32">
      <c r="B671" s="29"/>
      <c r="C671" s="29"/>
      <c r="D671" s="29"/>
      <c r="E671" s="29"/>
      <c r="F671" s="29"/>
      <c r="G671" s="29"/>
      <c r="H671" s="29"/>
      <c r="I671" s="29"/>
      <c r="J671" s="29"/>
      <c r="K671" s="29"/>
      <c r="L671" s="29"/>
      <c r="M671" s="29"/>
      <c r="N671" s="29"/>
      <c r="O671" s="29"/>
      <c r="P671" s="29"/>
      <c r="Q671" s="29"/>
      <c r="R671" s="29"/>
      <c r="S671" s="29"/>
      <c r="T671" s="29"/>
      <c r="U671" s="29"/>
      <c r="V671" s="29"/>
      <c r="W671" s="29"/>
      <c r="X671" s="29"/>
      <c r="Y671" s="29"/>
      <c r="Z671" s="29"/>
      <c r="AA671" s="29"/>
      <c r="AB671" s="29"/>
      <c r="AC671" s="29"/>
      <c r="AD671" s="29"/>
      <c r="AE671" s="29"/>
      <c r="AF671" s="29"/>
    </row>
    <row r="672" spans="2:32">
      <c r="B672" s="29"/>
      <c r="C672" s="29"/>
      <c r="D672" s="29"/>
      <c r="E672" s="29"/>
      <c r="F672" s="29"/>
      <c r="G672" s="29"/>
      <c r="H672" s="29"/>
      <c r="I672" s="29"/>
      <c r="J672" s="29"/>
      <c r="K672" s="29"/>
      <c r="L672" s="29"/>
      <c r="M672" s="29"/>
      <c r="N672" s="29"/>
      <c r="O672" s="29"/>
      <c r="P672" s="29"/>
      <c r="Q672" s="29"/>
      <c r="R672" s="29"/>
      <c r="S672" s="29"/>
      <c r="T672" s="29"/>
      <c r="U672" s="29"/>
      <c r="V672" s="29"/>
      <c r="W672" s="29"/>
      <c r="X672" s="29"/>
      <c r="Y672" s="29"/>
      <c r="Z672" s="29"/>
      <c r="AA672" s="29"/>
      <c r="AB672" s="29"/>
      <c r="AC672" s="29"/>
      <c r="AD672" s="29"/>
      <c r="AE672" s="29"/>
      <c r="AF672" s="29"/>
    </row>
    <row r="723" spans="2:32">
      <c r="B723" s="29"/>
      <c r="C723" s="29"/>
      <c r="D723" s="29"/>
      <c r="E723" s="29"/>
      <c r="F723" s="29"/>
      <c r="G723" s="29"/>
      <c r="H723" s="29"/>
      <c r="I723" s="29"/>
      <c r="J723" s="29"/>
      <c r="K723" s="29"/>
      <c r="L723" s="29"/>
      <c r="M723" s="29"/>
      <c r="N723" s="29"/>
      <c r="O723" s="29"/>
      <c r="P723" s="29"/>
      <c r="Q723" s="29"/>
      <c r="R723" s="29"/>
      <c r="S723" s="29"/>
      <c r="T723" s="29"/>
      <c r="U723" s="29"/>
      <c r="V723" s="29"/>
      <c r="W723" s="29"/>
      <c r="X723" s="29"/>
      <c r="Y723" s="29"/>
      <c r="Z723" s="29"/>
      <c r="AA723" s="29"/>
      <c r="AB723" s="29"/>
      <c r="AC723" s="29"/>
      <c r="AD723" s="29"/>
      <c r="AE723" s="29"/>
      <c r="AF723" s="29"/>
    </row>
    <row r="728" spans="2:32">
      <c r="B728" s="29"/>
      <c r="C728" s="29"/>
      <c r="D728" s="29"/>
      <c r="E728" s="29"/>
      <c r="F728" s="29"/>
      <c r="G728" s="29"/>
      <c r="H728" s="29"/>
      <c r="I728" s="29"/>
      <c r="J728" s="29"/>
      <c r="K728" s="29"/>
      <c r="L728" s="29"/>
      <c r="M728" s="29"/>
      <c r="N728" s="29"/>
      <c r="O728" s="29"/>
      <c r="P728" s="29"/>
      <c r="Q728" s="29"/>
      <c r="R728" s="29"/>
      <c r="S728" s="29"/>
      <c r="T728" s="29"/>
      <c r="U728" s="29"/>
      <c r="V728" s="29"/>
      <c r="W728" s="29"/>
      <c r="X728" s="29"/>
      <c r="Y728" s="29"/>
      <c r="Z728" s="29"/>
      <c r="AA728" s="29"/>
      <c r="AB728" s="29"/>
      <c r="AC728" s="29"/>
      <c r="AD728" s="29"/>
      <c r="AE728" s="29"/>
      <c r="AF728" s="29"/>
    </row>
    <row r="734" spans="2:32">
      <c r="B734" s="29"/>
      <c r="C734" s="29"/>
      <c r="D734" s="29"/>
      <c r="E734" s="29"/>
      <c r="F734" s="29"/>
      <c r="G734" s="29"/>
      <c r="H734" s="29"/>
      <c r="I734" s="29"/>
      <c r="J734" s="29"/>
      <c r="K734" s="29"/>
      <c r="L734" s="29"/>
      <c r="M734" s="29"/>
      <c r="N734" s="29"/>
      <c r="O734" s="29"/>
      <c r="P734" s="29"/>
      <c r="Q734" s="29"/>
      <c r="R734" s="29"/>
      <c r="S734" s="29"/>
      <c r="T734" s="29"/>
      <c r="U734" s="29"/>
      <c r="V734" s="29"/>
      <c r="W734" s="29"/>
      <c r="X734" s="29"/>
      <c r="Y734" s="29"/>
      <c r="Z734" s="29"/>
      <c r="AA734" s="29"/>
      <c r="AB734" s="29"/>
      <c r="AC734" s="29"/>
      <c r="AD734" s="29"/>
      <c r="AE734" s="29"/>
      <c r="AF734" s="29"/>
    </row>
    <row r="735" spans="2:32">
      <c r="B735" s="29"/>
      <c r="C735" s="29"/>
      <c r="D735" s="29"/>
      <c r="E735" s="29"/>
      <c r="F735" s="29"/>
      <c r="G735" s="29"/>
      <c r="H735" s="29"/>
      <c r="I735" s="29"/>
      <c r="J735" s="29"/>
      <c r="K735" s="29"/>
      <c r="L735" s="29"/>
      <c r="M735" s="29"/>
      <c r="N735" s="29"/>
      <c r="O735" s="29"/>
      <c r="P735" s="29"/>
      <c r="Q735" s="29"/>
      <c r="R735" s="29"/>
      <c r="S735" s="29"/>
      <c r="T735" s="29"/>
      <c r="U735" s="29"/>
      <c r="V735" s="29"/>
      <c r="W735" s="29"/>
      <c r="X735" s="29"/>
      <c r="Y735" s="29"/>
      <c r="Z735" s="29"/>
      <c r="AA735" s="29"/>
      <c r="AB735" s="29"/>
      <c r="AC735" s="29"/>
      <c r="AD735" s="29"/>
      <c r="AE735" s="29"/>
      <c r="AF735" s="29"/>
    </row>
    <row r="906" spans="2:32">
      <c r="B906" s="29"/>
      <c r="C906" s="29"/>
      <c r="D906" s="29"/>
      <c r="E906" s="29"/>
      <c r="F906" s="29"/>
      <c r="G906" s="29"/>
      <c r="H906" s="29"/>
      <c r="I906" s="29"/>
      <c r="J906" s="29"/>
      <c r="K906" s="29"/>
      <c r="L906" s="29"/>
      <c r="M906" s="29"/>
      <c r="N906" s="29"/>
      <c r="O906" s="29"/>
      <c r="P906" s="29"/>
      <c r="Q906" s="29"/>
      <c r="R906" s="29"/>
      <c r="S906" s="29"/>
      <c r="T906" s="29"/>
      <c r="U906" s="29"/>
      <c r="V906" s="29"/>
      <c r="W906" s="29"/>
      <c r="X906" s="29"/>
      <c r="Y906" s="29"/>
      <c r="Z906" s="29"/>
      <c r="AA906" s="29"/>
      <c r="AB906" s="29"/>
      <c r="AC906" s="29"/>
      <c r="AD906" s="29"/>
      <c r="AE906" s="29"/>
      <c r="AF906" s="29"/>
    </row>
    <row r="910" spans="2:32">
      <c r="B910" s="29"/>
      <c r="C910" s="29"/>
      <c r="D910" s="29"/>
      <c r="E910" s="29"/>
      <c r="F910" s="29"/>
      <c r="G910" s="29"/>
      <c r="H910" s="29"/>
      <c r="I910" s="29"/>
      <c r="J910" s="29"/>
      <c r="K910" s="29"/>
      <c r="L910" s="29"/>
      <c r="M910" s="29"/>
      <c r="N910" s="29"/>
      <c r="O910" s="29"/>
      <c r="P910" s="29"/>
      <c r="Q910" s="29"/>
      <c r="R910" s="29"/>
      <c r="S910" s="29"/>
      <c r="T910" s="29"/>
      <c r="U910" s="29"/>
      <c r="V910" s="29"/>
      <c r="W910" s="29"/>
      <c r="X910" s="29"/>
      <c r="Y910" s="29"/>
      <c r="Z910" s="29"/>
      <c r="AA910" s="29"/>
      <c r="AB910" s="29"/>
      <c r="AC910" s="29"/>
      <c r="AD910" s="29"/>
      <c r="AE910" s="29"/>
      <c r="AF910" s="29"/>
    </row>
    <row r="911" spans="2:32">
      <c r="B911" s="29"/>
      <c r="C911" s="29"/>
      <c r="D911" s="29"/>
      <c r="E911" s="29"/>
      <c r="F911" s="29"/>
      <c r="G911" s="29"/>
      <c r="H911" s="29"/>
      <c r="I911" s="29"/>
      <c r="J911" s="29"/>
      <c r="K911" s="29"/>
      <c r="L911" s="29"/>
      <c r="M911" s="29"/>
      <c r="N911" s="29"/>
      <c r="O911" s="29"/>
      <c r="P911" s="29"/>
      <c r="Q911" s="29"/>
      <c r="R911" s="29"/>
      <c r="S911" s="29"/>
      <c r="T911" s="29"/>
      <c r="U911" s="29"/>
      <c r="V911" s="29"/>
      <c r="W911" s="29"/>
      <c r="X911" s="29"/>
      <c r="Y911" s="29"/>
      <c r="Z911" s="29"/>
      <c r="AA911" s="29"/>
      <c r="AB911" s="29"/>
      <c r="AC911" s="29"/>
      <c r="AD911" s="29"/>
      <c r="AE911" s="29"/>
      <c r="AF911" s="29"/>
    </row>
    <row r="993" spans="2:32">
      <c r="B993" s="29"/>
      <c r="C993" s="29"/>
      <c r="D993" s="29"/>
      <c r="E993" s="29"/>
      <c r="F993" s="29"/>
      <c r="G993" s="29"/>
      <c r="H993" s="29"/>
      <c r="I993" s="29"/>
      <c r="J993" s="29"/>
      <c r="K993" s="29"/>
      <c r="L993" s="29"/>
      <c r="M993" s="29"/>
      <c r="N993" s="29"/>
      <c r="O993" s="29"/>
      <c r="P993" s="29"/>
      <c r="Q993" s="29"/>
      <c r="R993" s="29"/>
      <c r="S993" s="29"/>
      <c r="T993" s="29"/>
      <c r="U993" s="29"/>
      <c r="V993" s="29"/>
      <c r="W993" s="29"/>
      <c r="X993" s="29"/>
      <c r="Y993" s="29"/>
      <c r="Z993" s="29"/>
      <c r="AA993" s="29"/>
      <c r="AB993" s="29"/>
      <c r="AC993" s="29"/>
      <c r="AD993" s="29"/>
      <c r="AE993" s="29"/>
      <c r="AF993" s="29"/>
    </row>
    <row r="994" spans="2:32">
      <c r="B994" s="29"/>
      <c r="C994" s="29"/>
      <c r="D994" s="29"/>
      <c r="E994" s="29"/>
      <c r="F994" s="29"/>
      <c r="G994" s="29"/>
      <c r="H994" s="29"/>
      <c r="I994" s="29"/>
      <c r="J994" s="29"/>
      <c r="K994" s="29"/>
      <c r="L994" s="29"/>
      <c r="M994" s="29"/>
      <c r="N994" s="29"/>
      <c r="O994" s="29"/>
      <c r="P994" s="29"/>
      <c r="Q994" s="29"/>
      <c r="R994" s="29"/>
      <c r="S994" s="29"/>
      <c r="T994" s="29"/>
      <c r="U994" s="29"/>
      <c r="V994" s="29"/>
      <c r="W994" s="29"/>
      <c r="X994" s="29"/>
      <c r="Y994" s="29"/>
      <c r="Z994" s="29"/>
      <c r="AA994" s="29"/>
      <c r="AB994" s="29"/>
      <c r="AC994" s="29"/>
      <c r="AD994" s="29"/>
      <c r="AE994" s="29"/>
      <c r="AF994" s="29"/>
    </row>
    <row r="1001" spans="2:32">
      <c r="B1001" s="29"/>
      <c r="C1001" s="29"/>
      <c r="D1001" s="29"/>
      <c r="E1001" s="29"/>
      <c r="F1001" s="29"/>
      <c r="G1001" s="29"/>
      <c r="H1001" s="29"/>
      <c r="I1001" s="29"/>
      <c r="J1001" s="29"/>
      <c r="K1001" s="29"/>
      <c r="L1001" s="29"/>
      <c r="M1001" s="29"/>
      <c r="N1001" s="29"/>
      <c r="O1001" s="29"/>
      <c r="P1001" s="29"/>
      <c r="Q1001" s="29"/>
      <c r="R1001" s="29"/>
      <c r="S1001" s="29"/>
      <c r="T1001" s="29"/>
      <c r="U1001" s="29"/>
      <c r="V1001" s="29"/>
      <c r="W1001" s="29"/>
      <c r="X1001" s="29"/>
      <c r="Y1001" s="29"/>
      <c r="Z1001" s="29"/>
      <c r="AA1001" s="29"/>
      <c r="AB1001" s="29"/>
      <c r="AC1001" s="29"/>
      <c r="AD1001" s="29"/>
      <c r="AE1001" s="29"/>
      <c r="AF1001" s="29"/>
    </row>
    <row r="1002" spans="2:32">
      <c r="B1002" s="29"/>
      <c r="C1002" s="29"/>
      <c r="D1002" s="29"/>
      <c r="E1002" s="29"/>
      <c r="F1002" s="29"/>
      <c r="G1002" s="29"/>
      <c r="H1002" s="29"/>
      <c r="I1002" s="29"/>
      <c r="J1002" s="29"/>
      <c r="K1002" s="29"/>
      <c r="L1002" s="29"/>
      <c r="M1002" s="29"/>
      <c r="N1002" s="29"/>
      <c r="O1002" s="29"/>
      <c r="P1002" s="29"/>
      <c r="Q1002" s="29"/>
      <c r="R1002" s="29"/>
      <c r="S1002" s="29"/>
      <c r="T1002" s="29"/>
      <c r="U1002" s="29"/>
      <c r="V1002" s="29"/>
      <c r="W1002" s="29"/>
      <c r="X1002" s="29"/>
      <c r="Y1002" s="29"/>
      <c r="Z1002" s="29"/>
      <c r="AA1002" s="29"/>
      <c r="AB1002" s="29"/>
      <c r="AC1002" s="29"/>
      <c r="AD1002" s="29"/>
      <c r="AE1002" s="29"/>
      <c r="AF1002" s="29"/>
    </row>
    <row r="1003" spans="2:32">
      <c r="B1003" s="29"/>
      <c r="C1003" s="29"/>
      <c r="D1003" s="29"/>
      <c r="E1003" s="29"/>
      <c r="F1003" s="29"/>
      <c r="G1003" s="29"/>
      <c r="H1003" s="29"/>
      <c r="I1003" s="29"/>
      <c r="J1003" s="29"/>
      <c r="K1003" s="29"/>
      <c r="L1003" s="29"/>
      <c r="M1003" s="29"/>
      <c r="N1003" s="29"/>
      <c r="O1003" s="29"/>
      <c r="P1003" s="29"/>
      <c r="Q1003" s="29"/>
      <c r="R1003" s="29"/>
      <c r="S1003" s="29"/>
      <c r="T1003" s="29"/>
      <c r="U1003" s="29"/>
      <c r="V1003" s="29"/>
      <c r="W1003" s="29"/>
      <c r="X1003" s="29"/>
      <c r="Y1003" s="29"/>
      <c r="Z1003" s="29"/>
      <c r="AA1003" s="29"/>
      <c r="AB1003" s="29"/>
      <c r="AC1003" s="29"/>
      <c r="AD1003" s="29"/>
      <c r="AE1003" s="29"/>
      <c r="AF1003" s="29"/>
    </row>
    <row r="1004" spans="2:32">
      <c r="B1004" s="29"/>
      <c r="C1004" s="29"/>
      <c r="D1004" s="29"/>
      <c r="E1004" s="29"/>
      <c r="F1004" s="29"/>
      <c r="G1004" s="29"/>
      <c r="H1004" s="29"/>
      <c r="I1004" s="29"/>
      <c r="J1004" s="29"/>
      <c r="K1004" s="29"/>
      <c r="L1004" s="29"/>
      <c r="M1004" s="29"/>
      <c r="N1004" s="29"/>
      <c r="O1004" s="29"/>
      <c r="P1004" s="29"/>
      <c r="Q1004" s="29"/>
      <c r="R1004" s="29"/>
      <c r="S1004" s="29"/>
      <c r="T1004" s="29"/>
      <c r="U1004" s="29"/>
      <c r="V1004" s="29"/>
      <c r="W1004" s="29"/>
      <c r="X1004" s="29"/>
      <c r="Y1004" s="29"/>
      <c r="Z1004" s="29"/>
      <c r="AA1004" s="29"/>
      <c r="AB1004" s="29"/>
      <c r="AC1004" s="29"/>
      <c r="AD1004" s="29"/>
      <c r="AE1004" s="29"/>
      <c r="AF1004" s="29"/>
    </row>
    <row r="1005" spans="2:32">
      <c r="B1005" s="29"/>
      <c r="C1005" s="29"/>
      <c r="D1005" s="29"/>
      <c r="E1005" s="29"/>
      <c r="F1005" s="29"/>
      <c r="G1005" s="29"/>
      <c r="H1005" s="29"/>
      <c r="I1005" s="29"/>
      <c r="J1005" s="29"/>
      <c r="K1005" s="29"/>
      <c r="L1005" s="29"/>
      <c r="M1005" s="29"/>
      <c r="N1005" s="29"/>
      <c r="O1005" s="29"/>
      <c r="P1005" s="29"/>
      <c r="Q1005" s="29"/>
      <c r="R1005" s="29"/>
      <c r="S1005" s="29"/>
      <c r="T1005" s="29"/>
      <c r="U1005" s="29"/>
      <c r="V1005" s="29"/>
      <c r="W1005" s="29"/>
      <c r="X1005" s="29"/>
      <c r="Y1005" s="29"/>
      <c r="Z1005" s="29"/>
      <c r="AA1005" s="29"/>
      <c r="AB1005" s="29"/>
      <c r="AC1005" s="29"/>
      <c r="AD1005" s="29"/>
      <c r="AE1005" s="29"/>
      <c r="AF1005" s="29"/>
    </row>
    <row r="1006" spans="2:32">
      <c r="B1006" s="29"/>
      <c r="C1006" s="29"/>
      <c r="D1006" s="29"/>
      <c r="E1006" s="29"/>
      <c r="F1006" s="29"/>
      <c r="G1006" s="29"/>
      <c r="H1006" s="29"/>
      <c r="I1006" s="29"/>
      <c r="J1006" s="29"/>
      <c r="K1006" s="29"/>
      <c r="L1006" s="29"/>
      <c r="M1006" s="29"/>
      <c r="N1006" s="29"/>
      <c r="O1006" s="29"/>
      <c r="P1006" s="29"/>
      <c r="Q1006" s="29"/>
      <c r="R1006" s="29"/>
      <c r="S1006" s="29"/>
      <c r="T1006" s="29"/>
      <c r="U1006" s="29"/>
      <c r="V1006" s="29"/>
      <c r="W1006" s="29"/>
      <c r="X1006" s="29"/>
      <c r="Y1006" s="29"/>
      <c r="Z1006" s="29"/>
      <c r="AA1006" s="29"/>
      <c r="AB1006" s="29"/>
      <c r="AC1006" s="29"/>
      <c r="AD1006" s="29"/>
      <c r="AE1006" s="29"/>
      <c r="AF1006" s="29"/>
    </row>
    <row r="1007" spans="2:32">
      <c r="B1007" s="29"/>
      <c r="C1007" s="29"/>
      <c r="D1007" s="29"/>
      <c r="E1007" s="29"/>
      <c r="F1007" s="29"/>
      <c r="G1007" s="29"/>
      <c r="H1007" s="29"/>
      <c r="I1007" s="29"/>
      <c r="J1007" s="29"/>
      <c r="K1007" s="29"/>
      <c r="L1007" s="29"/>
      <c r="M1007" s="29"/>
      <c r="N1007" s="29"/>
      <c r="O1007" s="29"/>
      <c r="P1007" s="29"/>
      <c r="Q1007" s="29"/>
      <c r="R1007" s="29"/>
      <c r="S1007" s="29"/>
      <c r="T1007" s="29"/>
      <c r="U1007" s="29"/>
      <c r="V1007" s="29"/>
      <c r="W1007" s="29"/>
      <c r="X1007" s="29"/>
      <c r="Y1007" s="29"/>
      <c r="Z1007" s="29"/>
      <c r="AA1007" s="29"/>
      <c r="AB1007" s="29"/>
      <c r="AC1007" s="29"/>
      <c r="AD1007" s="29"/>
      <c r="AE1007" s="29"/>
      <c r="AF1007" s="29"/>
    </row>
    <row r="1008" spans="2:32">
      <c r="B1008" s="29"/>
      <c r="C1008" s="29"/>
      <c r="D1008" s="29"/>
      <c r="E1008" s="29"/>
      <c r="F1008" s="29"/>
      <c r="G1008" s="29"/>
      <c r="H1008" s="29"/>
      <c r="I1008" s="29"/>
      <c r="J1008" s="29"/>
      <c r="K1008" s="29"/>
      <c r="L1008" s="29"/>
      <c r="M1008" s="29"/>
      <c r="N1008" s="29"/>
      <c r="O1008" s="29"/>
      <c r="P1008" s="29"/>
      <c r="Q1008" s="29"/>
      <c r="R1008" s="29"/>
      <c r="S1008" s="29"/>
      <c r="T1008" s="29"/>
      <c r="U1008" s="29"/>
      <c r="V1008" s="29"/>
      <c r="W1008" s="29"/>
      <c r="X1008" s="29"/>
      <c r="Y1008" s="29"/>
      <c r="Z1008" s="29"/>
      <c r="AA1008" s="29"/>
      <c r="AB1008" s="29"/>
      <c r="AC1008" s="29"/>
      <c r="AD1008" s="29"/>
      <c r="AE1008" s="29"/>
      <c r="AF1008" s="29"/>
    </row>
    <row r="1095" spans="2:32">
      <c r="B1095" s="29"/>
      <c r="C1095" s="29"/>
      <c r="D1095" s="29"/>
      <c r="E1095" s="29"/>
      <c r="F1095" s="29"/>
      <c r="G1095" s="29"/>
      <c r="H1095" s="29"/>
      <c r="I1095" s="29"/>
      <c r="J1095" s="29"/>
      <c r="K1095" s="29"/>
      <c r="L1095" s="29"/>
      <c r="M1095" s="29"/>
      <c r="N1095" s="29"/>
      <c r="O1095" s="29"/>
      <c r="P1095" s="29"/>
      <c r="Q1095" s="29"/>
      <c r="R1095" s="29"/>
      <c r="S1095" s="29"/>
      <c r="T1095" s="29"/>
      <c r="U1095" s="29"/>
      <c r="V1095" s="29"/>
      <c r="W1095" s="29"/>
      <c r="X1095" s="29"/>
      <c r="Y1095" s="29"/>
      <c r="Z1095" s="29"/>
      <c r="AA1095" s="29"/>
      <c r="AB1095" s="29"/>
      <c r="AC1095" s="29"/>
      <c r="AD1095" s="29"/>
      <c r="AE1095" s="29"/>
      <c r="AF1095" s="29"/>
    </row>
    <row r="1096" spans="2:32">
      <c r="B1096" s="29"/>
      <c r="C1096" s="29"/>
      <c r="D1096" s="29"/>
      <c r="E1096" s="29"/>
      <c r="F1096" s="29"/>
      <c r="G1096" s="29"/>
      <c r="H1096" s="29"/>
      <c r="I1096" s="29"/>
      <c r="J1096" s="29"/>
      <c r="K1096" s="29"/>
      <c r="L1096" s="29"/>
      <c r="M1096" s="29"/>
      <c r="N1096" s="29"/>
      <c r="O1096" s="29"/>
      <c r="P1096" s="29"/>
      <c r="Q1096" s="29"/>
      <c r="R1096" s="29"/>
      <c r="S1096" s="29"/>
      <c r="T1096" s="29"/>
      <c r="U1096" s="29"/>
      <c r="V1096" s="29"/>
      <c r="W1096" s="29"/>
      <c r="X1096" s="29"/>
      <c r="Y1096" s="29"/>
      <c r="Z1096" s="29"/>
      <c r="AA1096" s="29"/>
      <c r="AB1096" s="29"/>
      <c r="AC1096" s="29"/>
      <c r="AD1096" s="29"/>
      <c r="AE1096" s="29"/>
      <c r="AF1096" s="29"/>
    </row>
    <row r="1103" spans="2:32">
      <c r="B1103" s="29"/>
      <c r="C1103" s="29"/>
      <c r="D1103" s="29"/>
      <c r="E1103" s="29"/>
      <c r="F1103" s="29"/>
      <c r="G1103" s="29"/>
      <c r="H1103" s="29"/>
      <c r="I1103" s="29"/>
      <c r="J1103" s="29"/>
      <c r="K1103" s="29"/>
      <c r="L1103" s="29"/>
      <c r="M1103" s="29"/>
      <c r="N1103" s="29"/>
      <c r="O1103" s="29"/>
      <c r="P1103" s="29"/>
      <c r="Q1103" s="29"/>
      <c r="R1103" s="29"/>
      <c r="S1103" s="29"/>
      <c r="T1103" s="29"/>
      <c r="U1103" s="29"/>
      <c r="V1103" s="29"/>
      <c r="W1103" s="29"/>
      <c r="X1103" s="29"/>
      <c r="Y1103" s="29"/>
      <c r="Z1103" s="29"/>
      <c r="AA1103" s="29"/>
      <c r="AB1103" s="29"/>
      <c r="AC1103" s="29"/>
      <c r="AD1103" s="29"/>
      <c r="AE1103" s="29"/>
      <c r="AF1103" s="29"/>
    </row>
    <row r="1104" spans="2:32">
      <c r="B1104" s="29"/>
      <c r="C1104" s="29"/>
      <c r="D1104" s="29"/>
      <c r="E1104" s="29"/>
      <c r="F1104" s="29"/>
      <c r="G1104" s="29"/>
      <c r="H1104" s="29"/>
      <c r="I1104" s="29"/>
      <c r="J1104" s="29"/>
      <c r="K1104" s="29"/>
      <c r="L1104" s="29"/>
      <c r="M1104" s="29"/>
      <c r="N1104" s="29"/>
      <c r="O1104" s="29"/>
      <c r="P1104" s="29"/>
      <c r="Q1104" s="29"/>
      <c r="R1104" s="29"/>
      <c r="S1104" s="29"/>
      <c r="T1104" s="29"/>
      <c r="U1104" s="29"/>
      <c r="V1104" s="29"/>
      <c r="W1104" s="29"/>
      <c r="X1104" s="29"/>
      <c r="Y1104" s="29"/>
      <c r="Z1104" s="29"/>
      <c r="AA1104" s="29"/>
      <c r="AB1104" s="29"/>
      <c r="AC1104" s="29"/>
      <c r="AD1104" s="29"/>
      <c r="AE1104" s="29"/>
      <c r="AF1104" s="29"/>
    </row>
    <row r="1193" spans="2:32">
      <c r="B1193" s="29"/>
      <c r="C1193" s="29"/>
      <c r="D1193" s="29"/>
      <c r="E1193" s="29"/>
      <c r="F1193" s="29"/>
      <c r="G1193" s="29"/>
      <c r="H1193" s="29"/>
      <c r="I1193" s="29"/>
      <c r="J1193" s="29"/>
      <c r="K1193" s="29"/>
      <c r="L1193" s="29"/>
      <c r="M1193" s="29"/>
      <c r="N1193" s="29"/>
      <c r="O1193" s="29"/>
      <c r="P1193" s="29"/>
      <c r="Q1193" s="29"/>
      <c r="R1193" s="29"/>
      <c r="S1193" s="29"/>
      <c r="T1193" s="29"/>
      <c r="U1193" s="29"/>
      <c r="V1193" s="29"/>
      <c r="W1193" s="29"/>
      <c r="X1193" s="29"/>
      <c r="Y1193" s="29"/>
      <c r="Z1193" s="29"/>
      <c r="AA1193" s="29"/>
      <c r="AB1193" s="29"/>
      <c r="AC1193" s="29"/>
      <c r="AD1193" s="29"/>
      <c r="AE1193" s="29"/>
      <c r="AF1193" s="29"/>
    </row>
    <row r="1194" spans="2:32">
      <c r="B1194" s="29"/>
      <c r="C1194" s="29"/>
      <c r="D1194" s="29"/>
      <c r="E1194" s="29"/>
      <c r="F1194" s="29"/>
      <c r="G1194" s="29"/>
      <c r="H1194" s="29"/>
      <c r="I1194" s="29"/>
      <c r="J1194" s="29"/>
      <c r="K1194" s="29"/>
      <c r="L1194" s="29"/>
      <c r="M1194" s="29"/>
      <c r="N1194" s="29"/>
      <c r="O1194" s="29"/>
      <c r="P1194" s="29"/>
      <c r="Q1194" s="29"/>
      <c r="R1194" s="29"/>
      <c r="S1194" s="29"/>
      <c r="T1194" s="29"/>
      <c r="U1194" s="29"/>
      <c r="V1194" s="29"/>
      <c r="W1194" s="29"/>
      <c r="X1194" s="29"/>
      <c r="Y1194" s="29"/>
      <c r="Z1194" s="29"/>
      <c r="AA1194" s="29"/>
      <c r="AB1194" s="29"/>
      <c r="AC1194" s="29"/>
      <c r="AD1194" s="29"/>
      <c r="AE1194" s="29"/>
      <c r="AF1194" s="29"/>
    </row>
    <row r="1281" spans="2:32">
      <c r="B1281" s="29"/>
      <c r="C1281" s="29"/>
      <c r="D1281" s="29"/>
      <c r="E1281" s="29"/>
      <c r="F1281" s="29"/>
      <c r="G1281" s="29"/>
      <c r="H1281" s="29"/>
      <c r="I1281" s="29"/>
      <c r="J1281" s="29"/>
      <c r="K1281" s="29"/>
      <c r="L1281" s="29"/>
      <c r="M1281" s="29"/>
      <c r="N1281" s="29"/>
      <c r="O1281" s="29"/>
      <c r="P1281" s="29"/>
      <c r="Q1281" s="29"/>
      <c r="R1281" s="29"/>
      <c r="S1281" s="29"/>
      <c r="T1281" s="29"/>
      <c r="U1281" s="29"/>
      <c r="V1281" s="29"/>
      <c r="W1281" s="29"/>
      <c r="X1281" s="29"/>
      <c r="Y1281" s="29"/>
      <c r="Z1281" s="29"/>
      <c r="AA1281" s="29"/>
      <c r="AB1281" s="29"/>
      <c r="AC1281" s="29"/>
      <c r="AD1281" s="29"/>
      <c r="AE1281" s="29"/>
      <c r="AF1281" s="29"/>
    </row>
    <row r="1293" spans="2:32">
      <c r="B1293" s="29"/>
      <c r="C1293" s="29"/>
      <c r="D1293" s="29"/>
      <c r="E1293" s="29"/>
      <c r="F1293" s="29"/>
      <c r="G1293" s="29"/>
      <c r="H1293" s="29"/>
      <c r="I1293" s="29"/>
      <c r="J1293" s="29"/>
      <c r="K1293" s="29"/>
      <c r="L1293" s="29"/>
      <c r="M1293" s="29"/>
      <c r="N1293" s="29"/>
      <c r="O1293" s="29"/>
      <c r="P1293" s="29"/>
      <c r="Q1293" s="29"/>
      <c r="R1293" s="29"/>
      <c r="S1293" s="29"/>
      <c r="T1293" s="29"/>
      <c r="U1293" s="29"/>
      <c r="V1293" s="29"/>
      <c r="W1293" s="29"/>
      <c r="X1293" s="29"/>
      <c r="Y1293" s="29"/>
      <c r="Z1293" s="29"/>
      <c r="AA1293" s="29"/>
      <c r="AB1293" s="29"/>
      <c r="AC1293" s="29"/>
      <c r="AD1293" s="29"/>
      <c r="AE1293" s="29"/>
      <c r="AF1293" s="29"/>
    </row>
    <row r="1294" spans="2:32">
      <c r="B1294" s="29"/>
      <c r="C1294" s="29"/>
      <c r="D1294" s="29"/>
      <c r="E1294" s="29"/>
      <c r="F1294" s="29"/>
      <c r="G1294" s="29"/>
      <c r="H1294" s="29"/>
      <c r="I1294" s="29"/>
      <c r="J1294" s="29"/>
      <c r="K1294" s="29"/>
      <c r="L1294" s="29"/>
      <c r="M1294" s="29"/>
      <c r="N1294" s="29"/>
      <c r="O1294" s="29"/>
      <c r="P1294" s="29"/>
      <c r="Q1294" s="29"/>
      <c r="R1294" s="29"/>
      <c r="S1294" s="29"/>
      <c r="T1294" s="29"/>
      <c r="U1294" s="29"/>
      <c r="V1294" s="29"/>
      <c r="W1294" s="29"/>
      <c r="X1294" s="29"/>
      <c r="Y1294" s="29"/>
      <c r="Z1294" s="29"/>
      <c r="AA1294" s="29"/>
      <c r="AB1294" s="29"/>
      <c r="AC1294" s="29"/>
      <c r="AD1294" s="29"/>
      <c r="AE1294" s="29"/>
      <c r="AF1294" s="29"/>
    </row>
    <row r="1589" spans="2:32">
      <c r="B1589" s="29"/>
      <c r="C1589" s="29"/>
      <c r="D1589" s="29"/>
      <c r="E1589" s="29"/>
      <c r="F1589" s="29"/>
      <c r="G1589" s="29"/>
      <c r="H1589" s="29"/>
      <c r="I1589" s="29"/>
      <c r="J1589" s="29"/>
      <c r="K1589" s="29"/>
      <c r="L1589" s="29"/>
      <c r="M1589" s="29"/>
      <c r="N1589" s="29"/>
      <c r="O1589" s="29"/>
      <c r="P1589" s="29"/>
      <c r="Q1589" s="29"/>
      <c r="R1589" s="29"/>
      <c r="S1589" s="29"/>
      <c r="T1589" s="29"/>
      <c r="U1589" s="29"/>
      <c r="V1589" s="29"/>
      <c r="W1589" s="29"/>
      <c r="X1589" s="29"/>
      <c r="Y1589" s="29"/>
      <c r="Z1589" s="29"/>
      <c r="AA1589" s="29"/>
      <c r="AB1589" s="29"/>
      <c r="AC1589" s="29"/>
      <c r="AD1589" s="29"/>
      <c r="AE1589" s="29"/>
      <c r="AF1589" s="29"/>
    </row>
    <row r="1590" spans="2:32">
      <c r="B1590" s="29"/>
      <c r="C1590" s="29"/>
      <c r="D1590" s="29"/>
      <c r="E1590" s="29"/>
      <c r="F1590" s="29"/>
      <c r="G1590" s="29"/>
      <c r="H1590" s="29"/>
      <c r="I1590" s="29"/>
      <c r="J1590" s="29"/>
      <c r="K1590" s="29"/>
      <c r="L1590" s="29"/>
      <c r="M1590" s="29"/>
      <c r="N1590" s="29"/>
      <c r="O1590" s="29"/>
      <c r="P1590" s="29"/>
      <c r="Q1590" s="29"/>
      <c r="R1590" s="29"/>
      <c r="S1590" s="29"/>
      <c r="T1590" s="29"/>
      <c r="U1590" s="29"/>
      <c r="V1590" s="29"/>
      <c r="W1590" s="29"/>
      <c r="X1590" s="29"/>
      <c r="Y1590" s="29"/>
      <c r="Z1590" s="29"/>
      <c r="AA1590" s="29"/>
      <c r="AB1590" s="29"/>
      <c r="AC1590" s="29"/>
      <c r="AD1590" s="29"/>
      <c r="AE1590" s="29"/>
      <c r="AF1590" s="29"/>
    </row>
    <row r="1599" spans="2:32">
      <c r="B1599" s="29"/>
      <c r="C1599" s="29"/>
      <c r="D1599" s="29"/>
      <c r="E1599" s="29"/>
      <c r="F1599" s="29"/>
      <c r="G1599" s="29"/>
      <c r="H1599" s="29"/>
      <c r="I1599" s="29"/>
      <c r="J1599" s="29"/>
      <c r="K1599" s="29"/>
      <c r="L1599" s="29"/>
      <c r="M1599" s="29"/>
      <c r="N1599" s="29"/>
      <c r="O1599" s="29"/>
      <c r="P1599" s="29"/>
      <c r="Q1599" s="29"/>
      <c r="R1599" s="29"/>
      <c r="S1599" s="29"/>
      <c r="T1599" s="29"/>
      <c r="U1599" s="29"/>
      <c r="V1599" s="29"/>
      <c r="W1599" s="29"/>
      <c r="X1599" s="29"/>
      <c r="Y1599" s="29"/>
      <c r="Z1599" s="29"/>
      <c r="AA1599" s="29"/>
      <c r="AB1599" s="29"/>
      <c r="AC1599" s="29"/>
      <c r="AD1599" s="29"/>
      <c r="AE1599" s="29"/>
      <c r="AF1599" s="29"/>
    </row>
    <row r="1600" spans="2:32">
      <c r="B1600" s="29"/>
      <c r="C1600" s="29"/>
      <c r="D1600" s="29"/>
      <c r="E1600" s="29"/>
      <c r="F1600" s="29"/>
      <c r="G1600" s="29"/>
      <c r="H1600" s="29"/>
      <c r="I1600" s="29"/>
      <c r="J1600" s="29"/>
      <c r="K1600" s="29"/>
      <c r="L1600" s="29"/>
      <c r="M1600" s="29"/>
      <c r="N1600" s="29"/>
      <c r="O1600" s="29"/>
      <c r="P1600" s="29"/>
      <c r="Q1600" s="29"/>
      <c r="R1600" s="29"/>
      <c r="S1600" s="29"/>
      <c r="T1600" s="29"/>
      <c r="U1600" s="29"/>
      <c r="V1600" s="29"/>
      <c r="W1600" s="29"/>
      <c r="X1600" s="29"/>
      <c r="Y1600" s="29"/>
      <c r="Z1600" s="29"/>
      <c r="AA1600" s="29"/>
      <c r="AB1600" s="29"/>
      <c r="AC1600" s="29"/>
      <c r="AD1600" s="29"/>
      <c r="AE1600" s="29"/>
      <c r="AF1600" s="29"/>
    </row>
    <row r="1812" spans="2:32">
      <c r="B1812" s="29"/>
      <c r="C1812" s="29"/>
      <c r="D1812" s="29"/>
      <c r="E1812" s="29"/>
      <c r="F1812" s="29"/>
      <c r="G1812" s="29"/>
      <c r="H1812" s="29"/>
      <c r="I1812" s="29"/>
      <c r="J1812" s="29"/>
      <c r="K1812" s="29"/>
      <c r="L1812" s="29"/>
      <c r="M1812" s="29"/>
      <c r="N1812" s="29"/>
      <c r="O1812" s="29"/>
      <c r="P1812" s="29"/>
      <c r="Q1812" s="29"/>
      <c r="R1812" s="29"/>
      <c r="S1812" s="29"/>
      <c r="T1812" s="29"/>
      <c r="U1812" s="29"/>
      <c r="V1812" s="29"/>
      <c r="W1812" s="29"/>
      <c r="X1812" s="29"/>
      <c r="Y1812" s="29"/>
      <c r="Z1812" s="29"/>
      <c r="AA1812" s="29"/>
      <c r="AB1812" s="29"/>
      <c r="AC1812" s="29"/>
      <c r="AD1812" s="29"/>
      <c r="AE1812" s="29"/>
      <c r="AF1812" s="29"/>
    </row>
    <row r="1813" spans="2:32">
      <c r="B1813" s="29"/>
      <c r="C1813" s="29"/>
      <c r="D1813" s="29"/>
      <c r="E1813" s="29"/>
      <c r="F1813" s="29"/>
      <c r="G1813" s="29"/>
      <c r="H1813" s="29"/>
      <c r="I1813" s="29"/>
      <c r="J1813" s="29"/>
      <c r="K1813" s="29"/>
      <c r="L1813" s="29"/>
      <c r="M1813" s="29"/>
      <c r="N1813" s="29"/>
      <c r="O1813" s="29"/>
      <c r="P1813" s="29"/>
      <c r="Q1813" s="29"/>
      <c r="R1813" s="29"/>
      <c r="S1813" s="29"/>
      <c r="T1813" s="29"/>
      <c r="U1813" s="29"/>
      <c r="V1813" s="29"/>
      <c r="W1813" s="29"/>
      <c r="X1813" s="29"/>
      <c r="Y1813" s="29"/>
      <c r="Z1813" s="29"/>
      <c r="AA1813" s="29"/>
      <c r="AB1813" s="29"/>
      <c r="AC1813" s="29"/>
      <c r="AD1813" s="29"/>
      <c r="AE1813" s="29"/>
      <c r="AF1813" s="29"/>
    </row>
    <row r="1814" spans="2:32">
      <c r="B1814" s="29"/>
      <c r="C1814" s="29"/>
      <c r="D1814" s="29"/>
      <c r="E1814" s="29"/>
      <c r="F1814" s="29"/>
      <c r="G1814" s="29"/>
      <c r="H1814" s="29"/>
      <c r="I1814" s="29"/>
      <c r="J1814" s="29"/>
      <c r="K1814" s="29"/>
      <c r="L1814" s="29"/>
      <c r="M1814" s="29"/>
      <c r="N1814" s="29"/>
      <c r="O1814" s="29"/>
      <c r="P1814" s="29"/>
      <c r="Q1814" s="29"/>
      <c r="R1814" s="29"/>
      <c r="S1814" s="29"/>
      <c r="T1814" s="29"/>
      <c r="U1814" s="29"/>
      <c r="V1814" s="29"/>
      <c r="W1814" s="29"/>
      <c r="X1814" s="29"/>
      <c r="Y1814" s="29"/>
      <c r="Z1814" s="29"/>
      <c r="AA1814" s="29"/>
      <c r="AB1814" s="29"/>
      <c r="AC1814" s="29"/>
      <c r="AD1814" s="29"/>
      <c r="AE1814" s="29"/>
      <c r="AF1814" s="29"/>
    </row>
    <row r="1815" spans="2:32">
      <c r="B1815" s="29"/>
      <c r="C1815" s="29"/>
      <c r="D1815" s="29"/>
      <c r="E1815" s="29"/>
      <c r="F1815" s="29"/>
      <c r="G1815" s="29"/>
      <c r="H1815" s="29"/>
      <c r="I1815" s="29"/>
      <c r="J1815" s="29"/>
      <c r="K1815" s="29"/>
      <c r="L1815" s="29"/>
      <c r="M1815" s="29"/>
      <c r="N1815" s="29"/>
      <c r="O1815" s="29"/>
      <c r="P1815" s="29"/>
      <c r="Q1815" s="29"/>
      <c r="R1815" s="29"/>
      <c r="S1815" s="29"/>
      <c r="T1815" s="29"/>
      <c r="U1815" s="29"/>
      <c r="V1815" s="29"/>
      <c r="W1815" s="29"/>
      <c r="X1815" s="29"/>
      <c r="Y1815" s="29"/>
      <c r="Z1815" s="29"/>
      <c r="AA1815" s="29"/>
      <c r="AB1815" s="29"/>
      <c r="AC1815" s="29"/>
      <c r="AD1815" s="29"/>
      <c r="AE1815" s="29"/>
      <c r="AF1815" s="29"/>
    </row>
    <row r="1816" spans="2:32">
      <c r="B1816" s="29"/>
      <c r="C1816" s="29"/>
      <c r="D1816" s="29"/>
      <c r="E1816" s="29"/>
      <c r="F1816" s="29"/>
      <c r="G1816" s="29"/>
      <c r="H1816" s="29"/>
      <c r="I1816" s="29"/>
      <c r="J1816" s="29"/>
      <c r="K1816" s="29"/>
      <c r="L1816" s="29"/>
      <c r="M1816" s="29"/>
      <c r="N1816" s="29"/>
      <c r="O1816" s="29"/>
      <c r="P1816" s="29"/>
      <c r="Q1816" s="29"/>
      <c r="R1816" s="29"/>
      <c r="S1816" s="29"/>
      <c r="T1816" s="29"/>
      <c r="U1816" s="29"/>
      <c r="V1816" s="29"/>
      <c r="W1816" s="29"/>
      <c r="X1816" s="29"/>
      <c r="Y1816" s="29"/>
      <c r="Z1816" s="29"/>
      <c r="AA1816" s="29"/>
      <c r="AB1816" s="29"/>
      <c r="AC1816" s="29"/>
      <c r="AD1816" s="29"/>
      <c r="AE1816" s="29"/>
      <c r="AF1816" s="29"/>
    </row>
    <row r="1817" spans="2:32">
      <c r="B1817" s="29"/>
      <c r="C1817" s="29"/>
      <c r="D1817" s="29"/>
      <c r="E1817" s="29"/>
      <c r="F1817" s="29"/>
      <c r="G1817" s="29"/>
      <c r="H1817" s="29"/>
      <c r="I1817" s="29"/>
      <c r="J1817" s="29"/>
      <c r="K1817" s="29"/>
      <c r="L1817" s="29"/>
      <c r="M1817" s="29"/>
      <c r="N1817" s="29"/>
      <c r="O1817" s="29"/>
      <c r="P1817" s="29"/>
      <c r="Q1817" s="29"/>
      <c r="R1817" s="29"/>
      <c r="S1817" s="29"/>
      <c r="T1817" s="29"/>
      <c r="U1817" s="29"/>
      <c r="V1817" s="29"/>
      <c r="W1817" s="29"/>
      <c r="X1817" s="29"/>
      <c r="Y1817" s="29"/>
      <c r="Z1817" s="29"/>
      <c r="AA1817" s="29"/>
      <c r="AB1817" s="29"/>
      <c r="AC1817" s="29"/>
      <c r="AD1817" s="29"/>
      <c r="AE1817" s="29"/>
      <c r="AF1817" s="29"/>
    </row>
    <row r="1818" spans="2:32">
      <c r="B1818" s="29"/>
      <c r="C1818" s="29"/>
      <c r="D1818" s="29"/>
      <c r="E1818" s="29"/>
      <c r="F1818" s="29"/>
      <c r="G1818" s="29"/>
      <c r="H1818" s="29"/>
      <c r="I1818" s="29"/>
      <c r="J1818" s="29"/>
      <c r="K1818" s="29"/>
      <c r="L1818" s="29"/>
      <c r="M1818" s="29"/>
      <c r="N1818" s="29"/>
      <c r="O1818" s="29"/>
      <c r="P1818" s="29"/>
      <c r="Q1818" s="29"/>
      <c r="R1818" s="29"/>
      <c r="S1818" s="29"/>
      <c r="T1818" s="29"/>
      <c r="U1818" s="29"/>
      <c r="V1818" s="29"/>
      <c r="W1818" s="29"/>
      <c r="X1818" s="29"/>
      <c r="Y1818" s="29"/>
      <c r="Z1818" s="29"/>
      <c r="AA1818" s="29"/>
      <c r="AB1818" s="29"/>
      <c r="AC1818" s="29"/>
      <c r="AD1818" s="29"/>
      <c r="AE1818" s="29"/>
      <c r="AF1818" s="29"/>
    </row>
    <row r="1819" spans="2:32">
      <c r="B1819" s="29"/>
      <c r="C1819" s="29"/>
      <c r="D1819" s="29"/>
      <c r="E1819" s="29"/>
      <c r="F1819" s="29"/>
      <c r="G1819" s="29"/>
      <c r="H1819" s="29"/>
      <c r="I1819" s="29"/>
      <c r="J1819" s="29"/>
      <c r="K1819" s="29"/>
      <c r="L1819" s="29"/>
      <c r="M1819" s="29"/>
      <c r="N1819" s="29"/>
      <c r="O1819" s="29"/>
      <c r="P1819" s="29"/>
      <c r="Q1819" s="29"/>
      <c r="R1819" s="29"/>
      <c r="S1819" s="29"/>
      <c r="T1819" s="29"/>
      <c r="U1819" s="29"/>
      <c r="V1819" s="29"/>
      <c r="W1819" s="29"/>
      <c r="X1819" s="29"/>
      <c r="Y1819" s="29"/>
      <c r="Z1819" s="29"/>
      <c r="AA1819" s="29"/>
      <c r="AB1819" s="29"/>
      <c r="AC1819" s="29"/>
      <c r="AD1819" s="29"/>
      <c r="AE1819" s="29"/>
      <c r="AF1819" s="29"/>
    </row>
    <row r="1820" spans="2:32">
      <c r="B1820" s="29"/>
      <c r="C1820" s="29"/>
      <c r="D1820" s="29"/>
      <c r="E1820" s="29"/>
      <c r="F1820" s="29"/>
      <c r="G1820" s="29"/>
      <c r="H1820" s="29"/>
      <c r="I1820" s="29"/>
      <c r="J1820" s="29"/>
      <c r="K1820" s="29"/>
      <c r="L1820" s="29"/>
      <c r="M1820" s="29"/>
      <c r="N1820" s="29"/>
      <c r="O1820" s="29"/>
      <c r="P1820" s="29"/>
      <c r="Q1820" s="29"/>
      <c r="R1820" s="29"/>
      <c r="S1820" s="29"/>
      <c r="T1820" s="29"/>
      <c r="U1820" s="29"/>
      <c r="V1820" s="29"/>
      <c r="W1820" s="29"/>
      <c r="X1820" s="29"/>
      <c r="Y1820" s="29"/>
      <c r="Z1820" s="29"/>
      <c r="AA1820" s="29"/>
      <c r="AB1820" s="29"/>
      <c r="AC1820" s="29"/>
      <c r="AD1820" s="29"/>
      <c r="AE1820" s="29"/>
      <c r="AF1820" s="29"/>
    </row>
    <row r="1821" spans="2:32">
      <c r="B1821" s="29"/>
      <c r="C1821" s="29"/>
      <c r="D1821" s="29"/>
      <c r="E1821" s="29"/>
      <c r="F1821" s="29"/>
      <c r="G1821" s="29"/>
      <c r="H1821" s="29"/>
      <c r="I1821" s="29"/>
      <c r="J1821" s="29"/>
      <c r="K1821" s="29"/>
      <c r="L1821" s="29"/>
      <c r="M1821" s="29"/>
      <c r="N1821" s="29"/>
      <c r="O1821" s="29"/>
      <c r="P1821" s="29"/>
      <c r="Q1821" s="29"/>
      <c r="R1821" s="29"/>
      <c r="S1821" s="29"/>
      <c r="T1821" s="29"/>
      <c r="U1821" s="29"/>
      <c r="V1821" s="29"/>
      <c r="W1821" s="29"/>
      <c r="X1821" s="29"/>
      <c r="Y1821" s="29"/>
      <c r="Z1821" s="29"/>
      <c r="AA1821" s="29"/>
      <c r="AB1821" s="29"/>
      <c r="AC1821" s="29"/>
      <c r="AD1821" s="29"/>
      <c r="AE1821" s="29"/>
      <c r="AF1821" s="29"/>
    </row>
    <row r="1822" spans="2:32">
      <c r="B1822" s="29"/>
      <c r="C1822" s="29"/>
      <c r="D1822" s="29"/>
      <c r="E1822" s="29"/>
      <c r="F1822" s="29"/>
      <c r="G1822" s="29"/>
      <c r="H1822" s="29"/>
      <c r="I1822" s="29"/>
      <c r="J1822" s="29"/>
      <c r="K1822" s="29"/>
      <c r="L1822" s="29"/>
      <c r="M1822" s="29"/>
      <c r="N1822" s="29"/>
      <c r="O1822" s="29"/>
      <c r="P1822" s="29"/>
      <c r="Q1822" s="29"/>
      <c r="R1822" s="29"/>
      <c r="S1822" s="29"/>
      <c r="T1822" s="29"/>
      <c r="U1822" s="29"/>
      <c r="V1822" s="29"/>
      <c r="W1822" s="29"/>
      <c r="X1822" s="29"/>
      <c r="Y1822" s="29"/>
      <c r="Z1822" s="29"/>
      <c r="AA1822" s="29"/>
      <c r="AB1822" s="29"/>
      <c r="AC1822" s="29"/>
      <c r="AD1822" s="29"/>
      <c r="AE1822" s="29"/>
      <c r="AF1822" s="29"/>
    </row>
    <row r="1823" spans="2:32">
      <c r="B1823" s="29"/>
      <c r="C1823" s="29"/>
      <c r="D1823" s="29"/>
      <c r="E1823" s="29"/>
      <c r="F1823" s="29"/>
      <c r="G1823" s="29"/>
      <c r="H1823" s="29"/>
      <c r="I1823" s="29"/>
      <c r="J1823" s="29"/>
      <c r="K1823" s="29"/>
      <c r="L1823" s="29"/>
      <c r="M1823" s="29"/>
      <c r="N1823" s="29"/>
      <c r="O1823" s="29"/>
      <c r="P1823" s="29"/>
      <c r="Q1823" s="29"/>
      <c r="R1823" s="29"/>
      <c r="S1823" s="29"/>
      <c r="T1823" s="29"/>
      <c r="U1823" s="29"/>
      <c r="V1823" s="29"/>
      <c r="W1823" s="29"/>
      <c r="X1823" s="29"/>
      <c r="Y1823" s="29"/>
      <c r="Z1823" s="29"/>
      <c r="AA1823" s="29"/>
      <c r="AB1823" s="29"/>
      <c r="AC1823" s="29"/>
      <c r="AD1823" s="29"/>
      <c r="AE1823" s="29"/>
      <c r="AF1823" s="29"/>
    </row>
    <row r="1824" spans="2:32">
      <c r="B1824" s="29"/>
      <c r="C1824" s="29"/>
      <c r="D1824" s="29"/>
      <c r="E1824" s="29"/>
      <c r="F1824" s="29"/>
      <c r="G1824" s="29"/>
      <c r="H1824" s="29"/>
      <c r="I1824" s="29"/>
      <c r="J1824" s="29"/>
      <c r="K1824" s="29"/>
      <c r="L1824" s="29"/>
      <c r="M1824" s="29"/>
      <c r="N1824" s="29"/>
      <c r="O1824" s="29"/>
      <c r="P1824" s="29"/>
      <c r="Q1824" s="29"/>
      <c r="R1824" s="29"/>
      <c r="S1824" s="29"/>
      <c r="T1824" s="29"/>
      <c r="U1824" s="29"/>
      <c r="V1824" s="29"/>
      <c r="W1824" s="29"/>
      <c r="X1824" s="29"/>
      <c r="Y1824" s="29"/>
      <c r="Z1824" s="29"/>
      <c r="AA1824" s="29"/>
      <c r="AB1824" s="29"/>
      <c r="AC1824" s="29"/>
      <c r="AD1824" s="29"/>
      <c r="AE1824" s="29"/>
      <c r="AF1824" s="29"/>
    </row>
    <row r="2089" spans="2:32">
      <c r="B2089" s="29"/>
      <c r="C2089" s="29"/>
      <c r="D2089" s="29"/>
      <c r="E2089" s="29"/>
      <c r="F2089" s="29"/>
      <c r="G2089" s="29"/>
      <c r="H2089" s="29"/>
      <c r="I2089" s="29"/>
      <c r="J2089" s="29"/>
      <c r="K2089" s="29"/>
      <c r="L2089" s="29"/>
      <c r="M2089" s="29"/>
      <c r="N2089" s="29"/>
      <c r="O2089" s="29"/>
      <c r="P2089" s="29"/>
      <c r="Q2089" s="29"/>
      <c r="R2089" s="29"/>
      <c r="S2089" s="29"/>
      <c r="T2089" s="29"/>
      <c r="U2089" s="29"/>
      <c r="V2089" s="29"/>
      <c r="W2089" s="29"/>
      <c r="X2089" s="29"/>
      <c r="Y2089" s="29"/>
      <c r="Z2089" s="29"/>
      <c r="AA2089" s="29"/>
      <c r="AB2089" s="29"/>
      <c r="AC2089" s="29"/>
      <c r="AD2089" s="29"/>
      <c r="AE2089" s="29"/>
      <c r="AF2089" s="29"/>
    </row>
    <row r="2090" spans="2:32">
      <c r="B2090" s="29"/>
      <c r="C2090" s="29"/>
      <c r="D2090" s="29"/>
      <c r="E2090" s="29"/>
      <c r="F2090" s="29"/>
      <c r="G2090" s="29"/>
      <c r="H2090" s="29"/>
      <c r="I2090" s="29"/>
      <c r="J2090" s="29"/>
      <c r="K2090" s="29"/>
      <c r="L2090" s="29"/>
      <c r="M2090" s="29"/>
      <c r="N2090" s="29"/>
      <c r="O2090" s="29"/>
      <c r="P2090" s="29"/>
      <c r="Q2090" s="29"/>
      <c r="R2090" s="29"/>
      <c r="S2090" s="29"/>
      <c r="T2090" s="29"/>
      <c r="U2090" s="29"/>
      <c r="V2090" s="29"/>
      <c r="W2090" s="29"/>
      <c r="X2090" s="29"/>
      <c r="Y2090" s="29"/>
      <c r="Z2090" s="29"/>
      <c r="AA2090" s="29"/>
      <c r="AB2090" s="29"/>
      <c r="AC2090" s="29"/>
      <c r="AD2090" s="29"/>
      <c r="AE2090" s="29"/>
      <c r="AF2090" s="29"/>
    </row>
    <row r="2424" spans="2:32">
      <c r="B2424" s="29"/>
      <c r="C2424" s="29"/>
      <c r="D2424" s="29"/>
      <c r="E2424" s="29"/>
      <c r="F2424" s="29"/>
      <c r="G2424" s="29"/>
      <c r="H2424" s="29"/>
      <c r="I2424" s="29"/>
      <c r="J2424" s="29"/>
      <c r="K2424" s="29"/>
      <c r="L2424" s="29"/>
      <c r="M2424" s="29"/>
      <c r="N2424" s="29"/>
      <c r="O2424" s="29"/>
      <c r="P2424" s="29"/>
      <c r="Q2424" s="29"/>
      <c r="R2424" s="29"/>
      <c r="S2424" s="29"/>
      <c r="T2424" s="29"/>
      <c r="U2424" s="29"/>
      <c r="V2424" s="29"/>
      <c r="W2424" s="29"/>
      <c r="X2424" s="29"/>
      <c r="Y2424" s="29"/>
      <c r="Z2424" s="29"/>
      <c r="AA2424" s="29"/>
      <c r="AB2424" s="29"/>
      <c r="AC2424" s="29"/>
      <c r="AD2424" s="29"/>
      <c r="AE2424" s="29"/>
      <c r="AF2424" s="29"/>
    </row>
    <row r="2425" spans="2:32">
      <c r="B2425" s="29"/>
      <c r="C2425" s="29"/>
      <c r="D2425" s="29"/>
      <c r="E2425" s="29"/>
      <c r="F2425" s="29"/>
      <c r="G2425" s="29"/>
      <c r="H2425" s="29"/>
      <c r="I2425" s="29"/>
      <c r="J2425" s="29"/>
      <c r="K2425" s="29"/>
      <c r="L2425" s="29"/>
      <c r="M2425" s="29"/>
      <c r="N2425" s="29"/>
      <c r="O2425" s="29"/>
      <c r="P2425" s="29"/>
      <c r="Q2425" s="29"/>
      <c r="R2425" s="29"/>
      <c r="S2425" s="29"/>
      <c r="T2425" s="29"/>
      <c r="U2425" s="29"/>
      <c r="V2425" s="29"/>
      <c r="W2425" s="29"/>
      <c r="X2425" s="29"/>
      <c r="Y2425" s="29"/>
      <c r="Z2425" s="29"/>
      <c r="AA2425" s="29"/>
      <c r="AB2425" s="29"/>
      <c r="AC2425" s="29"/>
      <c r="AD2425" s="29"/>
      <c r="AE2425" s="29"/>
      <c r="AF2425" s="29"/>
    </row>
    <row r="2744" spans="2:32">
      <c r="B2744" s="29"/>
      <c r="C2744" s="29"/>
      <c r="D2744" s="29"/>
      <c r="E2744" s="29"/>
      <c r="F2744" s="29"/>
      <c r="G2744" s="29"/>
      <c r="H2744" s="29"/>
      <c r="I2744" s="29"/>
      <c r="J2744" s="29"/>
      <c r="K2744" s="29"/>
      <c r="L2744" s="29"/>
      <c r="M2744" s="29"/>
      <c r="N2744" s="29"/>
      <c r="O2744" s="29"/>
      <c r="P2744" s="29"/>
      <c r="Q2744" s="29"/>
      <c r="R2744" s="29"/>
      <c r="S2744" s="29"/>
      <c r="T2744" s="29"/>
      <c r="U2744" s="29"/>
      <c r="V2744" s="29"/>
      <c r="W2744" s="29"/>
      <c r="X2744" s="29"/>
      <c r="Y2744" s="29"/>
      <c r="Z2744" s="29"/>
      <c r="AA2744" s="29"/>
      <c r="AB2744" s="29"/>
      <c r="AC2744" s="29"/>
      <c r="AD2744" s="29"/>
      <c r="AE2744" s="29"/>
      <c r="AF2744" s="29"/>
    </row>
    <row r="2745" spans="2:32">
      <c r="B2745" s="29"/>
      <c r="C2745" s="29"/>
      <c r="D2745" s="29"/>
      <c r="E2745" s="29"/>
      <c r="F2745" s="29"/>
      <c r="G2745" s="29"/>
      <c r="H2745" s="29"/>
      <c r="I2745" s="29"/>
      <c r="J2745" s="29"/>
      <c r="K2745" s="29"/>
      <c r="L2745" s="29"/>
      <c r="M2745" s="29"/>
      <c r="N2745" s="29"/>
      <c r="O2745" s="29"/>
      <c r="P2745" s="29"/>
      <c r="Q2745" s="29"/>
      <c r="R2745" s="29"/>
      <c r="S2745" s="29"/>
      <c r="T2745" s="29"/>
      <c r="U2745" s="29"/>
      <c r="V2745" s="29"/>
      <c r="W2745" s="29"/>
      <c r="X2745" s="29"/>
      <c r="Y2745" s="29"/>
      <c r="Z2745" s="29"/>
      <c r="AA2745" s="29"/>
      <c r="AB2745" s="29"/>
      <c r="AC2745" s="29"/>
      <c r="AD2745" s="29"/>
      <c r="AE2745" s="29"/>
      <c r="AF2745" s="29"/>
    </row>
    <row r="2747" spans="2:32">
      <c r="B2747" s="29"/>
      <c r="C2747" s="29"/>
      <c r="D2747" s="29"/>
      <c r="E2747" s="29"/>
      <c r="F2747" s="29"/>
      <c r="G2747" s="29"/>
      <c r="H2747" s="29"/>
      <c r="I2747" s="29"/>
      <c r="J2747" s="29"/>
      <c r="K2747" s="29"/>
      <c r="L2747" s="29"/>
      <c r="M2747" s="29"/>
      <c r="N2747" s="29"/>
      <c r="O2747" s="29"/>
      <c r="P2747" s="29"/>
      <c r="Q2747" s="29"/>
      <c r="R2747" s="29"/>
      <c r="S2747" s="29"/>
      <c r="T2747" s="29"/>
      <c r="U2747" s="29"/>
      <c r="V2747" s="29"/>
      <c r="W2747" s="29"/>
      <c r="X2747" s="29"/>
      <c r="Y2747" s="29"/>
      <c r="Z2747" s="29"/>
      <c r="AA2747" s="29"/>
      <c r="AB2747" s="29"/>
      <c r="AC2747" s="29"/>
      <c r="AD2747" s="29"/>
      <c r="AE2747" s="29"/>
      <c r="AF2747" s="29"/>
    </row>
    <row r="2748" spans="2:32">
      <c r="B2748" s="29"/>
      <c r="C2748" s="29"/>
      <c r="D2748" s="29"/>
      <c r="E2748" s="29"/>
      <c r="F2748" s="29"/>
      <c r="G2748" s="29"/>
      <c r="H2748" s="29"/>
      <c r="I2748" s="29"/>
      <c r="J2748" s="29"/>
      <c r="K2748" s="29"/>
      <c r="L2748" s="29"/>
      <c r="M2748" s="29"/>
      <c r="N2748" s="29"/>
      <c r="O2748" s="29"/>
      <c r="P2748" s="29"/>
      <c r="Q2748" s="29"/>
      <c r="R2748" s="29"/>
      <c r="S2748" s="29"/>
      <c r="T2748" s="29"/>
      <c r="U2748" s="29"/>
      <c r="V2748" s="29"/>
      <c r="W2748" s="29"/>
      <c r="X2748" s="29"/>
      <c r="Y2748" s="29"/>
      <c r="Z2748" s="29"/>
      <c r="AA2748" s="29"/>
      <c r="AB2748" s="29"/>
      <c r="AC2748" s="29"/>
      <c r="AD2748" s="29"/>
      <c r="AE2748" s="29"/>
      <c r="AF2748" s="29"/>
    </row>
    <row r="2749" spans="2:32">
      <c r="B2749" s="29"/>
      <c r="C2749" s="29"/>
      <c r="D2749" s="29"/>
      <c r="E2749" s="29"/>
      <c r="F2749" s="29"/>
      <c r="G2749" s="29"/>
      <c r="H2749" s="29"/>
      <c r="I2749" s="29"/>
      <c r="J2749" s="29"/>
      <c r="K2749" s="29"/>
      <c r="L2749" s="29"/>
      <c r="M2749" s="29"/>
      <c r="N2749" s="29"/>
      <c r="O2749" s="29"/>
      <c r="P2749" s="29"/>
      <c r="Q2749" s="29"/>
      <c r="R2749" s="29"/>
      <c r="S2749" s="29"/>
      <c r="T2749" s="29"/>
      <c r="U2749" s="29"/>
      <c r="V2749" s="29"/>
      <c r="W2749" s="29"/>
      <c r="X2749" s="29"/>
      <c r="Y2749" s="29"/>
      <c r="Z2749" s="29"/>
      <c r="AA2749" s="29"/>
      <c r="AB2749" s="29"/>
      <c r="AC2749" s="29"/>
      <c r="AD2749" s="29"/>
      <c r="AE2749" s="29"/>
      <c r="AF2749" s="29"/>
    </row>
    <row r="2750" spans="2:32">
      <c r="B2750" s="29"/>
      <c r="C2750" s="29"/>
      <c r="D2750" s="29"/>
      <c r="E2750" s="29"/>
      <c r="F2750" s="29"/>
      <c r="G2750" s="29"/>
      <c r="H2750" s="29"/>
      <c r="I2750" s="29"/>
      <c r="J2750" s="29"/>
      <c r="K2750" s="29"/>
      <c r="L2750" s="29"/>
      <c r="M2750" s="29"/>
      <c r="N2750" s="29"/>
      <c r="O2750" s="29"/>
      <c r="P2750" s="29"/>
      <c r="Q2750" s="29"/>
      <c r="R2750" s="29"/>
      <c r="S2750" s="29"/>
      <c r="T2750" s="29"/>
      <c r="U2750" s="29"/>
      <c r="V2750" s="29"/>
      <c r="W2750" s="29"/>
      <c r="X2750" s="29"/>
      <c r="Y2750" s="29"/>
      <c r="Z2750" s="29"/>
      <c r="AA2750" s="29"/>
      <c r="AB2750" s="29"/>
      <c r="AC2750" s="29"/>
      <c r="AD2750" s="29"/>
      <c r="AE2750" s="29"/>
      <c r="AF2750" s="29"/>
    </row>
    <row r="2751" spans="2:32">
      <c r="B2751" s="29"/>
      <c r="C2751" s="29"/>
      <c r="D2751" s="29"/>
      <c r="E2751" s="29"/>
      <c r="F2751" s="29"/>
      <c r="G2751" s="29"/>
      <c r="H2751" s="29"/>
      <c r="I2751" s="29"/>
      <c r="J2751" s="29"/>
      <c r="K2751" s="29"/>
      <c r="L2751" s="29"/>
      <c r="M2751" s="29"/>
      <c r="N2751" s="29"/>
      <c r="O2751" s="29"/>
      <c r="P2751" s="29"/>
      <c r="Q2751" s="29"/>
      <c r="R2751" s="29"/>
      <c r="S2751" s="29"/>
      <c r="T2751" s="29"/>
      <c r="U2751" s="29"/>
      <c r="V2751" s="29"/>
      <c r="W2751" s="29"/>
      <c r="X2751" s="29"/>
      <c r="Y2751" s="29"/>
      <c r="Z2751" s="29"/>
      <c r="AA2751" s="29"/>
      <c r="AB2751" s="29"/>
      <c r="AC2751" s="29"/>
      <c r="AD2751" s="29"/>
      <c r="AE2751" s="29"/>
      <c r="AF2751" s="29"/>
    </row>
    <row r="2752" spans="2:32">
      <c r="B2752" s="29"/>
      <c r="C2752" s="29"/>
      <c r="D2752" s="29"/>
      <c r="E2752" s="29"/>
      <c r="F2752" s="29"/>
      <c r="G2752" s="29"/>
      <c r="H2752" s="29"/>
      <c r="I2752" s="29"/>
      <c r="J2752" s="29"/>
      <c r="K2752" s="29"/>
      <c r="L2752" s="29"/>
      <c r="M2752" s="29"/>
      <c r="N2752" s="29"/>
      <c r="O2752" s="29"/>
      <c r="P2752" s="29"/>
      <c r="Q2752" s="29"/>
      <c r="R2752" s="29"/>
      <c r="S2752" s="29"/>
      <c r="T2752" s="29"/>
      <c r="U2752" s="29"/>
      <c r="V2752" s="29"/>
      <c r="W2752" s="29"/>
      <c r="X2752" s="29"/>
      <c r="Y2752" s="29"/>
      <c r="Z2752" s="29"/>
      <c r="AA2752" s="29"/>
      <c r="AB2752" s="29"/>
      <c r="AC2752" s="29"/>
      <c r="AD2752" s="29"/>
      <c r="AE2752" s="29"/>
      <c r="AF2752" s="29"/>
    </row>
    <row r="3075" spans="2:32">
      <c r="B3075" s="29"/>
      <c r="C3075" s="29"/>
      <c r="D3075" s="29"/>
      <c r="E3075" s="29"/>
      <c r="F3075" s="29"/>
      <c r="G3075" s="29"/>
      <c r="H3075" s="29"/>
      <c r="I3075" s="29"/>
      <c r="J3075" s="29"/>
      <c r="K3075" s="29"/>
      <c r="L3075" s="29"/>
      <c r="M3075" s="29"/>
      <c r="N3075" s="29"/>
      <c r="O3075" s="29"/>
      <c r="P3075" s="29"/>
      <c r="Q3075" s="29"/>
      <c r="R3075" s="29"/>
      <c r="S3075" s="29"/>
      <c r="T3075" s="29"/>
      <c r="U3075" s="29"/>
      <c r="V3075" s="29"/>
      <c r="W3075" s="29"/>
      <c r="X3075" s="29"/>
      <c r="Y3075" s="29"/>
      <c r="Z3075" s="29"/>
      <c r="AA3075" s="29"/>
      <c r="AB3075" s="29"/>
      <c r="AC3075" s="29"/>
      <c r="AD3075" s="29"/>
      <c r="AE3075" s="29"/>
      <c r="AF3075" s="29"/>
    </row>
    <row r="3076" spans="2:32">
      <c r="B3076" s="29"/>
      <c r="C3076" s="29"/>
      <c r="D3076" s="29"/>
      <c r="E3076" s="29"/>
      <c r="F3076" s="29"/>
      <c r="G3076" s="29"/>
      <c r="H3076" s="29"/>
      <c r="I3076" s="29"/>
      <c r="J3076" s="29"/>
      <c r="K3076" s="29"/>
      <c r="L3076" s="29"/>
      <c r="M3076" s="29"/>
      <c r="N3076" s="29"/>
      <c r="O3076" s="29"/>
      <c r="P3076" s="29"/>
      <c r="Q3076" s="29"/>
      <c r="R3076" s="29"/>
      <c r="S3076" s="29"/>
      <c r="T3076" s="29"/>
      <c r="U3076" s="29"/>
      <c r="V3076" s="29"/>
      <c r="W3076" s="29"/>
      <c r="X3076" s="29"/>
      <c r="Y3076" s="29"/>
      <c r="Z3076" s="29"/>
      <c r="AA3076" s="29"/>
      <c r="AB3076" s="29"/>
      <c r="AC3076" s="29"/>
      <c r="AD3076" s="29"/>
      <c r="AE3076" s="29"/>
      <c r="AF3076" s="29"/>
    </row>
    <row r="3079" spans="2:32">
      <c r="B3079" s="29"/>
      <c r="C3079" s="29"/>
      <c r="D3079" s="29"/>
      <c r="E3079" s="29"/>
      <c r="F3079" s="29"/>
      <c r="G3079" s="29"/>
      <c r="H3079" s="29"/>
      <c r="I3079" s="29"/>
      <c r="J3079" s="29"/>
      <c r="K3079" s="29"/>
      <c r="L3079" s="29"/>
      <c r="M3079" s="29"/>
      <c r="N3079" s="29"/>
      <c r="O3079" s="29"/>
      <c r="P3079" s="29"/>
      <c r="Q3079" s="29"/>
      <c r="R3079" s="29"/>
      <c r="S3079" s="29"/>
      <c r="T3079" s="29"/>
      <c r="U3079" s="29"/>
      <c r="V3079" s="29"/>
      <c r="W3079" s="29"/>
      <c r="X3079" s="29"/>
      <c r="Y3079" s="29"/>
      <c r="Z3079" s="29"/>
      <c r="AA3079" s="29"/>
      <c r="AB3079" s="29"/>
      <c r="AC3079" s="29"/>
      <c r="AD3079" s="29"/>
      <c r="AE3079" s="29"/>
      <c r="AF3079" s="29"/>
    </row>
    <row r="3080" spans="2:32">
      <c r="B3080" s="29"/>
      <c r="C3080" s="29"/>
      <c r="D3080" s="29"/>
      <c r="E3080" s="29"/>
      <c r="F3080" s="29"/>
      <c r="G3080" s="29"/>
      <c r="H3080" s="29"/>
      <c r="I3080" s="29"/>
      <c r="J3080" s="29"/>
      <c r="K3080" s="29"/>
      <c r="L3080" s="29"/>
      <c r="M3080" s="29"/>
      <c r="N3080" s="29"/>
      <c r="O3080" s="29"/>
      <c r="P3080" s="29"/>
      <c r="Q3080" s="29"/>
      <c r="R3080" s="29"/>
      <c r="S3080" s="29"/>
      <c r="T3080" s="29"/>
      <c r="U3080" s="29"/>
      <c r="V3080" s="29"/>
      <c r="W3080" s="29"/>
      <c r="X3080" s="29"/>
      <c r="Y3080" s="29"/>
      <c r="Z3080" s="29"/>
      <c r="AA3080" s="29"/>
      <c r="AB3080" s="29"/>
      <c r="AC3080" s="29"/>
      <c r="AD3080" s="29"/>
      <c r="AE3080" s="29"/>
      <c r="AF3080" s="29"/>
    </row>
    <row r="3081" spans="2:32">
      <c r="B3081" s="29"/>
      <c r="C3081" s="29"/>
      <c r="D3081" s="29"/>
      <c r="E3081" s="29"/>
      <c r="F3081" s="29"/>
      <c r="G3081" s="29"/>
      <c r="H3081" s="29"/>
      <c r="I3081" s="29"/>
      <c r="J3081" s="29"/>
      <c r="K3081" s="29"/>
      <c r="L3081" s="29"/>
      <c r="M3081" s="29"/>
      <c r="N3081" s="29"/>
      <c r="O3081" s="29"/>
      <c r="P3081" s="29"/>
      <c r="Q3081" s="29"/>
      <c r="R3081" s="29"/>
      <c r="S3081" s="29"/>
      <c r="T3081" s="29"/>
      <c r="U3081" s="29"/>
      <c r="V3081" s="29"/>
      <c r="W3081" s="29"/>
      <c r="X3081" s="29"/>
      <c r="Y3081" s="29"/>
      <c r="Z3081" s="29"/>
      <c r="AA3081" s="29"/>
      <c r="AB3081" s="29"/>
      <c r="AC3081" s="29"/>
      <c r="AD3081" s="29"/>
      <c r="AE3081" s="29"/>
      <c r="AF3081" s="29"/>
    </row>
    <row r="3082" spans="2:32">
      <c r="B3082" s="29"/>
      <c r="C3082" s="29"/>
      <c r="D3082" s="29"/>
      <c r="E3082" s="29"/>
      <c r="F3082" s="29"/>
      <c r="G3082" s="29"/>
      <c r="H3082" s="29"/>
      <c r="I3082" s="29"/>
      <c r="J3082" s="29"/>
      <c r="K3082" s="29"/>
      <c r="L3082" s="29"/>
      <c r="M3082" s="29"/>
      <c r="N3082" s="29"/>
      <c r="O3082" s="29"/>
      <c r="P3082" s="29"/>
      <c r="Q3082" s="29"/>
      <c r="R3082" s="29"/>
      <c r="S3082" s="29"/>
      <c r="T3082" s="29"/>
      <c r="U3082" s="29"/>
      <c r="V3082" s="29"/>
      <c r="W3082" s="29"/>
      <c r="X3082" s="29"/>
      <c r="Y3082" s="29"/>
      <c r="Z3082" s="29"/>
      <c r="AA3082" s="29"/>
      <c r="AB3082" s="29"/>
      <c r="AC3082" s="29"/>
      <c r="AD3082" s="29"/>
      <c r="AE3082" s="29"/>
      <c r="AF3082" s="29"/>
    </row>
    <row r="3083" spans="2:32">
      <c r="B3083" s="29"/>
      <c r="C3083" s="29"/>
      <c r="D3083" s="29"/>
      <c r="E3083" s="29"/>
      <c r="F3083" s="29"/>
      <c r="G3083" s="29"/>
      <c r="H3083" s="29"/>
      <c r="I3083" s="29"/>
      <c r="J3083" s="29"/>
      <c r="K3083" s="29"/>
      <c r="L3083" s="29"/>
      <c r="M3083" s="29"/>
      <c r="N3083" s="29"/>
      <c r="O3083" s="29"/>
      <c r="P3083" s="29"/>
      <c r="Q3083" s="29"/>
      <c r="R3083" s="29"/>
      <c r="S3083" s="29"/>
      <c r="T3083" s="29"/>
      <c r="U3083" s="29"/>
      <c r="V3083" s="29"/>
      <c r="W3083" s="29"/>
      <c r="X3083" s="29"/>
      <c r="Y3083" s="29"/>
      <c r="Z3083" s="29"/>
      <c r="AA3083" s="29"/>
      <c r="AB3083" s="29"/>
      <c r="AC3083" s="29"/>
      <c r="AD3083" s="29"/>
      <c r="AE3083" s="29"/>
      <c r="AF3083" s="29"/>
    </row>
    <row r="3084" spans="2:32">
      <c r="B3084" s="29"/>
      <c r="C3084" s="29"/>
      <c r="D3084" s="29"/>
      <c r="E3084" s="29"/>
      <c r="F3084" s="29"/>
      <c r="G3084" s="29"/>
      <c r="H3084" s="29"/>
      <c r="I3084" s="29"/>
      <c r="J3084" s="29"/>
      <c r="K3084" s="29"/>
      <c r="L3084" s="29"/>
      <c r="M3084" s="29"/>
      <c r="N3084" s="29"/>
      <c r="O3084" s="29"/>
      <c r="P3084" s="29"/>
      <c r="Q3084" s="29"/>
      <c r="R3084" s="29"/>
      <c r="S3084" s="29"/>
      <c r="T3084" s="29"/>
      <c r="U3084" s="29"/>
      <c r="V3084" s="29"/>
      <c r="W3084" s="29"/>
      <c r="X3084" s="29"/>
      <c r="Y3084" s="29"/>
      <c r="Z3084" s="29"/>
      <c r="AA3084" s="29"/>
      <c r="AB3084" s="29"/>
      <c r="AC3084" s="29"/>
      <c r="AD3084" s="29"/>
      <c r="AE3084" s="29"/>
      <c r="AF3084" s="29"/>
    </row>
    <row r="3085" spans="2:32">
      <c r="B3085" s="29"/>
      <c r="C3085" s="29"/>
      <c r="D3085" s="29"/>
      <c r="E3085" s="29"/>
      <c r="F3085" s="29"/>
      <c r="G3085" s="29"/>
      <c r="H3085" s="29"/>
      <c r="I3085" s="29"/>
      <c r="J3085" s="29"/>
      <c r="K3085" s="29"/>
      <c r="L3085" s="29"/>
      <c r="M3085" s="29"/>
      <c r="N3085" s="29"/>
      <c r="O3085" s="29"/>
      <c r="P3085" s="29"/>
      <c r="Q3085" s="29"/>
      <c r="R3085" s="29"/>
      <c r="S3085" s="29"/>
      <c r="T3085" s="29"/>
      <c r="U3085" s="29"/>
      <c r="V3085" s="29"/>
      <c r="W3085" s="29"/>
      <c r="X3085" s="29"/>
      <c r="Y3085" s="29"/>
      <c r="Z3085" s="29"/>
      <c r="AA3085" s="29"/>
      <c r="AB3085" s="29"/>
      <c r="AC3085" s="29"/>
      <c r="AD3085" s="29"/>
      <c r="AE3085" s="29"/>
      <c r="AF3085" s="29"/>
    </row>
    <row r="3086" spans="2:32">
      <c r="B3086" s="29"/>
      <c r="C3086" s="29"/>
      <c r="D3086" s="29"/>
      <c r="E3086" s="29"/>
      <c r="F3086" s="29"/>
      <c r="G3086" s="29"/>
      <c r="H3086" s="29"/>
      <c r="I3086" s="29"/>
      <c r="J3086" s="29"/>
      <c r="K3086" s="29"/>
      <c r="L3086" s="29"/>
      <c r="M3086" s="29"/>
      <c r="N3086" s="29"/>
      <c r="O3086" s="29"/>
      <c r="P3086" s="29"/>
      <c r="Q3086" s="29"/>
      <c r="R3086" s="29"/>
      <c r="S3086" s="29"/>
      <c r="T3086" s="29"/>
      <c r="U3086" s="29"/>
      <c r="V3086" s="29"/>
      <c r="W3086" s="29"/>
      <c r="X3086" s="29"/>
      <c r="Y3086" s="29"/>
      <c r="Z3086" s="29"/>
      <c r="AA3086" s="29"/>
      <c r="AB3086" s="29"/>
      <c r="AC3086" s="29"/>
      <c r="AD3086" s="29"/>
      <c r="AE3086" s="29"/>
      <c r="AF3086" s="29"/>
    </row>
    <row r="3087" spans="2:32">
      <c r="B3087" s="29"/>
      <c r="C3087" s="29"/>
      <c r="D3087" s="29"/>
      <c r="E3087" s="29"/>
      <c r="F3087" s="29"/>
      <c r="G3087" s="29"/>
      <c r="H3087" s="29"/>
      <c r="I3087" s="29"/>
      <c r="J3087" s="29"/>
      <c r="K3087" s="29"/>
      <c r="L3087" s="29"/>
      <c r="M3087" s="29"/>
      <c r="N3087" s="29"/>
      <c r="O3087" s="29"/>
      <c r="P3087" s="29"/>
      <c r="Q3087" s="29"/>
      <c r="R3087" s="29"/>
      <c r="S3087" s="29"/>
      <c r="T3087" s="29"/>
      <c r="U3087" s="29"/>
      <c r="V3087" s="29"/>
      <c r="W3087" s="29"/>
      <c r="X3087" s="29"/>
      <c r="Y3087" s="29"/>
      <c r="Z3087" s="29"/>
      <c r="AA3087" s="29"/>
      <c r="AB3087" s="29"/>
      <c r="AC3087" s="29"/>
      <c r="AD3087" s="29"/>
      <c r="AE3087" s="29"/>
      <c r="AF3087" s="29"/>
    </row>
    <row r="3088" spans="2:32">
      <c r="B3088" s="29"/>
      <c r="C3088" s="29"/>
      <c r="D3088" s="29"/>
      <c r="E3088" s="29"/>
      <c r="F3088" s="29"/>
      <c r="G3088" s="29"/>
      <c r="H3088" s="29"/>
      <c r="I3088" s="29"/>
      <c r="J3088" s="29"/>
      <c r="K3088" s="29"/>
      <c r="L3088" s="29"/>
      <c r="M3088" s="29"/>
      <c r="N3088" s="29"/>
      <c r="O3088" s="29"/>
      <c r="P3088" s="29"/>
      <c r="Q3088" s="29"/>
      <c r="R3088" s="29"/>
      <c r="S3088" s="29"/>
      <c r="T3088" s="29"/>
      <c r="U3088" s="29"/>
      <c r="V3088" s="29"/>
      <c r="W3088" s="29"/>
      <c r="X3088" s="29"/>
      <c r="Y3088" s="29"/>
      <c r="Z3088" s="29"/>
      <c r="AA3088" s="29"/>
      <c r="AB3088" s="29"/>
      <c r="AC3088" s="29"/>
      <c r="AD3088" s="29"/>
      <c r="AE3088" s="29"/>
      <c r="AF3088" s="29"/>
    </row>
    <row r="3393" spans="2:32">
      <c r="B3393" s="29"/>
      <c r="C3393" s="29"/>
      <c r="D3393" s="29"/>
      <c r="E3393" s="29"/>
      <c r="F3393" s="29"/>
      <c r="G3393" s="29"/>
      <c r="H3393" s="29"/>
      <c r="I3393" s="29"/>
      <c r="J3393" s="29"/>
      <c r="K3393" s="29"/>
      <c r="L3393" s="29"/>
      <c r="M3393" s="29"/>
      <c r="N3393" s="29"/>
      <c r="O3393" s="29"/>
      <c r="P3393" s="29"/>
      <c r="Q3393" s="29"/>
      <c r="R3393" s="29"/>
      <c r="S3393" s="29"/>
      <c r="T3393" s="29"/>
      <c r="U3393" s="29"/>
      <c r="V3393" s="29"/>
      <c r="W3393" s="29"/>
      <c r="X3393" s="29"/>
      <c r="Y3393" s="29"/>
      <c r="Z3393" s="29"/>
      <c r="AA3393" s="29"/>
      <c r="AB3393" s="29"/>
      <c r="AC3393" s="29"/>
      <c r="AD3393" s="29"/>
      <c r="AE3393" s="29"/>
      <c r="AF3393" s="29"/>
    </row>
    <row r="3394" spans="2:32">
      <c r="B3394" s="29"/>
      <c r="C3394" s="29"/>
      <c r="D3394" s="29"/>
      <c r="E3394" s="29"/>
      <c r="F3394" s="29"/>
      <c r="G3394" s="29"/>
      <c r="H3394" s="29"/>
      <c r="I3394" s="29"/>
      <c r="J3394" s="29"/>
      <c r="K3394" s="29"/>
      <c r="L3394" s="29"/>
      <c r="M3394" s="29"/>
      <c r="N3394" s="29"/>
      <c r="O3394" s="29"/>
      <c r="P3394" s="29"/>
      <c r="Q3394" s="29"/>
      <c r="R3394" s="29"/>
      <c r="S3394" s="29"/>
      <c r="T3394" s="29"/>
      <c r="U3394" s="29"/>
      <c r="V3394" s="29"/>
      <c r="W3394" s="29"/>
      <c r="X3394" s="29"/>
      <c r="Y3394" s="29"/>
      <c r="Z3394" s="29"/>
      <c r="AA3394" s="29"/>
      <c r="AB3394" s="29"/>
      <c r="AC3394" s="29"/>
      <c r="AD3394" s="29"/>
      <c r="AE3394" s="29"/>
      <c r="AF3394" s="29"/>
    </row>
    <row r="3395" spans="2:32">
      <c r="B3395" s="29"/>
      <c r="C3395" s="29"/>
      <c r="D3395" s="29"/>
      <c r="E3395" s="29"/>
      <c r="F3395" s="29"/>
      <c r="G3395" s="29"/>
      <c r="H3395" s="29"/>
      <c r="I3395" s="29"/>
      <c r="J3395" s="29"/>
      <c r="K3395" s="29"/>
      <c r="L3395" s="29"/>
      <c r="M3395" s="29"/>
      <c r="N3395" s="29"/>
      <c r="O3395" s="29"/>
      <c r="P3395" s="29"/>
      <c r="Q3395" s="29"/>
      <c r="R3395" s="29"/>
      <c r="S3395" s="29"/>
      <c r="T3395" s="29"/>
      <c r="U3395" s="29"/>
      <c r="V3395" s="29"/>
      <c r="W3395" s="29"/>
      <c r="X3395" s="29"/>
      <c r="Y3395" s="29"/>
      <c r="Z3395" s="29"/>
      <c r="AA3395" s="29"/>
      <c r="AB3395" s="29"/>
      <c r="AC3395" s="29"/>
      <c r="AD3395" s="29"/>
      <c r="AE3395" s="29"/>
      <c r="AF3395" s="29"/>
    </row>
    <row r="3396" spans="2:32">
      <c r="B3396" s="29"/>
      <c r="C3396" s="29"/>
      <c r="D3396" s="29"/>
      <c r="E3396" s="29"/>
      <c r="F3396" s="29"/>
      <c r="G3396" s="29"/>
      <c r="H3396" s="29"/>
      <c r="I3396" s="29"/>
      <c r="J3396" s="29"/>
      <c r="K3396" s="29"/>
      <c r="L3396" s="29"/>
      <c r="M3396" s="29"/>
      <c r="N3396" s="29"/>
      <c r="O3396" s="29"/>
      <c r="P3396" s="29"/>
      <c r="Q3396" s="29"/>
      <c r="R3396" s="29"/>
      <c r="S3396" s="29"/>
      <c r="T3396" s="29"/>
      <c r="U3396" s="29"/>
      <c r="V3396" s="29"/>
      <c r="W3396" s="29"/>
      <c r="X3396" s="29"/>
      <c r="Y3396" s="29"/>
      <c r="Z3396" s="29"/>
      <c r="AA3396" s="29"/>
      <c r="AB3396" s="29"/>
      <c r="AC3396" s="29"/>
      <c r="AD3396" s="29"/>
      <c r="AE3396" s="29"/>
      <c r="AF3396" s="29"/>
    </row>
    <row r="3397" spans="2:32">
      <c r="B3397" s="29"/>
      <c r="C3397" s="29"/>
      <c r="D3397" s="29"/>
      <c r="E3397" s="29"/>
      <c r="F3397" s="29"/>
      <c r="G3397" s="29"/>
      <c r="H3397" s="29"/>
      <c r="I3397" s="29"/>
      <c r="J3397" s="29"/>
      <c r="K3397" s="29"/>
      <c r="L3397" s="29"/>
      <c r="M3397" s="29"/>
      <c r="N3397" s="29"/>
      <c r="O3397" s="29"/>
      <c r="P3397" s="29"/>
      <c r="Q3397" s="29"/>
      <c r="R3397" s="29"/>
      <c r="S3397" s="29"/>
      <c r="T3397" s="29"/>
      <c r="U3397" s="29"/>
      <c r="V3397" s="29"/>
      <c r="W3397" s="29"/>
      <c r="X3397" s="29"/>
      <c r="Y3397" s="29"/>
      <c r="Z3397" s="29"/>
      <c r="AA3397" s="29"/>
      <c r="AB3397" s="29"/>
      <c r="AC3397" s="29"/>
      <c r="AD3397" s="29"/>
      <c r="AE3397" s="29"/>
      <c r="AF3397" s="29"/>
    </row>
    <row r="3398" spans="2:32">
      <c r="B3398" s="29"/>
      <c r="C3398" s="29"/>
      <c r="D3398" s="29"/>
      <c r="E3398" s="29"/>
      <c r="F3398" s="29"/>
      <c r="G3398" s="29"/>
      <c r="H3398" s="29"/>
      <c r="I3398" s="29"/>
      <c r="J3398" s="29"/>
      <c r="K3398" s="29"/>
      <c r="L3398" s="29"/>
      <c r="M3398" s="29"/>
      <c r="N3398" s="29"/>
      <c r="O3398" s="29"/>
      <c r="P3398" s="29"/>
      <c r="Q3398" s="29"/>
      <c r="R3398" s="29"/>
      <c r="S3398" s="29"/>
      <c r="T3398" s="29"/>
      <c r="U3398" s="29"/>
      <c r="V3398" s="29"/>
      <c r="W3398" s="29"/>
      <c r="X3398" s="29"/>
      <c r="Y3398" s="29"/>
      <c r="Z3398" s="29"/>
      <c r="AA3398" s="29"/>
      <c r="AB3398" s="29"/>
      <c r="AC3398" s="29"/>
      <c r="AD3398" s="29"/>
      <c r="AE3398" s="29"/>
      <c r="AF3398" s="29"/>
    </row>
    <row r="3399" spans="2:32">
      <c r="B3399" s="29"/>
      <c r="C3399" s="29"/>
      <c r="D3399" s="29"/>
      <c r="E3399" s="29"/>
      <c r="F3399" s="29"/>
      <c r="G3399" s="29"/>
      <c r="H3399" s="29"/>
      <c r="I3399" s="29"/>
      <c r="J3399" s="29"/>
      <c r="K3399" s="29"/>
      <c r="L3399" s="29"/>
      <c r="M3399" s="29"/>
      <c r="N3399" s="29"/>
      <c r="O3399" s="29"/>
      <c r="P3399" s="29"/>
      <c r="Q3399" s="29"/>
      <c r="R3399" s="29"/>
      <c r="S3399" s="29"/>
      <c r="T3399" s="29"/>
      <c r="U3399" s="29"/>
      <c r="V3399" s="29"/>
      <c r="W3399" s="29"/>
      <c r="X3399" s="29"/>
      <c r="Y3399" s="29"/>
      <c r="Z3399" s="29"/>
      <c r="AA3399" s="29"/>
      <c r="AB3399" s="29"/>
      <c r="AC3399" s="29"/>
      <c r="AD3399" s="29"/>
      <c r="AE3399" s="29"/>
      <c r="AF3399" s="29"/>
    </row>
    <row r="3400" spans="2:32">
      <c r="B3400" s="29"/>
      <c r="C3400" s="29"/>
      <c r="D3400" s="29"/>
      <c r="E3400" s="29"/>
      <c r="F3400" s="29"/>
      <c r="G3400" s="29"/>
      <c r="H3400" s="29"/>
      <c r="I3400" s="29"/>
      <c r="J3400" s="29"/>
      <c r="K3400" s="29"/>
      <c r="L3400" s="29"/>
      <c r="M3400" s="29"/>
      <c r="N3400" s="29"/>
      <c r="O3400" s="29"/>
      <c r="P3400" s="29"/>
      <c r="Q3400" s="29"/>
      <c r="R3400" s="29"/>
      <c r="S3400" s="29"/>
      <c r="T3400" s="29"/>
      <c r="U3400" s="29"/>
      <c r="V3400" s="29"/>
      <c r="W3400" s="29"/>
      <c r="X3400" s="29"/>
      <c r="Y3400" s="29"/>
      <c r="Z3400" s="29"/>
      <c r="AA3400" s="29"/>
      <c r="AB3400" s="29"/>
      <c r="AC3400" s="29"/>
      <c r="AD3400" s="29"/>
      <c r="AE3400" s="29"/>
      <c r="AF3400" s="29"/>
    </row>
    <row r="3401" spans="2:32">
      <c r="B3401" s="29"/>
      <c r="C3401" s="29"/>
      <c r="D3401" s="29"/>
      <c r="E3401" s="29"/>
      <c r="F3401" s="29"/>
      <c r="G3401" s="29"/>
      <c r="H3401" s="29"/>
      <c r="I3401" s="29"/>
      <c r="J3401" s="29"/>
      <c r="K3401" s="29"/>
      <c r="L3401" s="29"/>
      <c r="M3401" s="29"/>
      <c r="N3401" s="29"/>
      <c r="O3401" s="29"/>
      <c r="P3401" s="29"/>
      <c r="Q3401" s="29"/>
      <c r="R3401" s="29"/>
      <c r="S3401" s="29"/>
      <c r="T3401" s="29"/>
      <c r="U3401" s="29"/>
      <c r="V3401" s="29"/>
      <c r="W3401" s="29"/>
      <c r="X3401" s="29"/>
      <c r="Y3401" s="29"/>
      <c r="Z3401" s="29"/>
      <c r="AA3401" s="29"/>
      <c r="AB3401" s="29"/>
      <c r="AC3401" s="29"/>
      <c r="AD3401" s="29"/>
      <c r="AE3401" s="29"/>
      <c r="AF3401" s="29"/>
    </row>
    <row r="3402" spans="2:32">
      <c r="B3402" s="29"/>
      <c r="C3402" s="29"/>
      <c r="D3402" s="29"/>
      <c r="E3402" s="29"/>
      <c r="F3402" s="29"/>
      <c r="G3402" s="29"/>
      <c r="H3402" s="29"/>
      <c r="I3402" s="29"/>
      <c r="J3402" s="29"/>
      <c r="K3402" s="29"/>
      <c r="L3402" s="29"/>
      <c r="M3402" s="29"/>
      <c r="N3402" s="29"/>
      <c r="O3402" s="29"/>
      <c r="P3402" s="29"/>
      <c r="Q3402" s="29"/>
      <c r="R3402" s="29"/>
      <c r="S3402" s="29"/>
      <c r="T3402" s="29"/>
      <c r="U3402" s="29"/>
      <c r="V3402" s="29"/>
      <c r="W3402" s="29"/>
      <c r="X3402" s="29"/>
      <c r="Y3402" s="29"/>
      <c r="Z3402" s="29"/>
      <c r="AA3402" s="29"/>
      <c r="AB3402" s="29"/>
      <c r="AC3402" s="29"/>
      <c r="AD3402" s="29"/>
      <c r="AE3402" s="29"/>
      <c r="AF3402" s="29"/>
    </row>
    <row r="3403" spans="2:32">
      <c r="B3403" s="29"/>
      <c r="C3403" s="29"/>
      <c r="D3403" s="29"/>
      <c r="E3403" s="29"/>
      <c r="F3403" s="29"/>
      <c r="G3403" s="29"/>
      <c r="H3403" s="29"/>
      <c r="I3403" s="29"/>
      <c r="J3403" s="29"/>
      <c r="K3403" s="29"/>
      <c r="L3403" s="29"/>
      <c r="M3403" s="29"/>
      <c r="N3403" s="29"/>
      <c r="O3403" s="29"/>
      <c r="P3403" s="29"/>
      <c r="Q3403" s="29"/>
      <c r="R3403" s="29"/>
      <c r="S3403" s="29"/>
      <c r="T3403" s="29"/>
      <c r="U3403" s="29"/>
      <c r="V3403" s="29"/>
      <c r="W3403" s="29"/>
      <c r="X3403" s="29"/>
      <c r="Y3403" s="29"/>
      <c r="Z3403" s="29"/>
      <c r="AA3403" s="29"/>
      <c r="AB3403" s="29"/>
      <c r="AC3403" s="29"/>
      <c r="AD3403" s="29"/>
      <c r="AE3403" s="29"/>
      <c r="AF3403" s="29"/>
    </row>
    <row r="3404" spans="2:32">
      <c r="B3404" s="29"/>
      <c r="C3404" s="29"/>
      <c r="D3404" s="29"/>
      <c r="E3404" s="29"/>
      <c r="F3404" s="29"/>
      <c r="G3404" s="29"/>
      <c r="H3404" s="29"/>
      <c r="I3404" s="29"/>
      <c r="J3404" s="29"/>
      <c r="K3404" s="29"/>
      <c r="L3404" s="29"/>
      <c r="M3404" s="29"/>
      <c r="N3404" s="29"/>
      <c r="O3404" s="29"/>
      <c r="P3404" s="29"/>
      <c r="Q3404" s="29"/>
      <c r="R3404" s="29"/>
      <c r="S3404" s="29"/>
      <c r="T3404" s="29"/>
      <c r="U3404" s="29"/>
      <c r="V3404" s="29"/>
      <c r="W3404" s="29"/>
      <c r="X3404" s="29"/>
      <c r="Y3404" s="29"/>
      <c r="Z3404" s="29"/>
      <c r="AA3404" s="29"/>
      <c r="AB3404" s="29"/>
      <c r="AC3404" s="29"/>
      <c r="AD3404" s="29"/>
      <c r="AE3404" s="29"/>
      <c r="AF3404" s="29"/>
    </row>
    <row r="3405" spans="2:32">
      <c r="B3405" s="29"/>
      <c r="C3405" s="29"/>
      <c r="D3405" s="29"/>
      <c r="E3405" s="29"/>
      <c r="F3405" s="29"/>
      <c r="G3405" s="29"/>
      <c r="H3405" s="29"/>
      <c r="I3405" s="29"/>
      <c r="J3405" s="29"/>
      <c r="K3405" s="29"/>
      <c r="L3405" s="29"/>
      <c r="M3405" s="29"/>
      <c r="N3405" s="29"/>
      <c r="O3405" s="29"/>
      <c r="P3405" s="29"/>
      <c r="Q3405" s="29"/>
      <c r="R3405" s="29"/>
      <c r="S3405" s="29"/>
      <c r="T3405" s="29"/>
      <c r="U3405" s="29"/>
      <c r="V3405" s="29"/>
      <c r="W3405" s="29"/>
      <c r="X3405" s="29"/>
      <c r="Y3405" s="29"/>
      <c r="Z3405" s="29"/>
      <c r="AA3405" s="29"/>
      <c r="AB3405" s="29"/>
      <c r="AC3405" s="29"/>
      <c r="AD3405" s="29"/>
      <c r="AE3405" s="29"/>
      <c r="AF3405" s="29"/>
    </row>
    <row r="3406" spans="2:32">
      <c r="B3406" s="29"/>
      <c r="C3406" s="29"/>
      <c r="D3406" s="29"/>
      <c r="E3406" s="29"/>
      <c r="F3406" s="29"/>
      <c r="G3406" s="29"/>
      <c r="H3406" s="29"/>
      <c r="I3406" s="29"/>
      <c r="J3406" s="29"/>
      <c r="K3406" s="29"/>
      <c r="L3406" s="29"/>
      <c r="M3406" s="29"/>
      <c r="N3406" s="29"/>
      <c r="O3406" s="29"/>
      <c r="P3406" s="29"/>
      <c r="Q3406" s="29"/>
      <c r="R3406" s="29"/>
      <c r="S3406" s="29"/>
      <c r="T3406" s="29"/>
      <c r="U3406" s="29"/>
      <c r="V3406" s="29"/>
      <c r="W3406" s="29"/>
      <c r="X3406" s="29"/>
      <c r="Y3406" s="29"/>
      <c r="Z3406" s="29"/>
      <c r="AA3406" s="29"/>
      <c r="AB3406" s="29"/>
      <c r="AC3406" s="29"/>
      <c r="AD3406" s="29"/>
      <c r="AE3406" s="29"/>
      <c r="AF3406" s="29"/>
    </row>
    <row r="3407" spans="2:32">
      <c r="B3407" s="29"/>
      <c r="C3407" s="29"/>
      <c r="D3407" s="29"/>
      <c r="E3407" s="29"/>
      <c r="F3407" s="29"/>
      <c r="G3407" s="29"/>
      <c r="H3407" s="29"/>
      <c r="I3407" s="29"/>
      <c r="J3407" s="29"/>
      <c r="K3407" s="29"/>
      <c r="L3407" s="29"/>
      <c r="M3407" s="29"/>
      <c r="N3407" s="29"/>
      <c r="O3407" s="29"/>
      <c r="P3407" s="29"/>
      <c r="Q3407" s="29"/>
      <c r="R3407" s="29"/>
      <c r="S3407" s="29"/>
      <c r="T3407" s="29"/>
      <c r="U3407" s="29"/>
      <c r="V3407" s="29"/>
      <c r="W3407" s="29"/>
      <c r="X3407" s="29"/>
      <c r="Y3407" s="29"/>
      <c r="Z3407" s="29"/>
      <c r="AA3407" s="29"/>
      <c r="AB3407" s="29"/>
      <c r="AC3407" s="29"/>
      <c r="AD3407" s="29"/>
      <c r="AE3407" s="29"/>
      <c r="AF3407" s="29"/>
    </row>
    <row r="3408" spans="2:32">
      <c r="B3408" s="29"/>
      <c r="C3408" s="29"/>
      <c r="D3408" s="29"/>
      <c r="E3408" s="29"/>
      <c r="F3408" s="29"/>
      <c r="G3408" s="29"/>
      <c r="H3408" s="29"/>
      <c r="I3408" s="29"/>
      <c r="J3408" s="29"/>
      <c r="K3408" s="29"/>
      <c r="L3408" s="29"/>
      <c r="M3408" s="29"/>
      <c r="N3408" s="29"/>
      <c r="O3408" s="29"/>
      <c r="P3408" s="29"/>
      <c r="Q3408" s="29"/>
      <c r="R3408" s="29"/>
      <c r="S3408" s="29"/>
      <c r="T3408" s="29"/>
      <c r="U3408" s="29"/>
      <c r="V3408" s="29"/>
      <c r="W3408" s="29"/>
      <c r="X3408" s="29"/>
      <c r="Y3408" s="29"/>
      <c r="Z3408" s="29"/>
      <c r="AA3408" s="29"/>
      <c r="AB3408" s="29"/>
      <c r="AC3408" s="29"/>
      <c r="AD3408" s="29"/>
      <c r="AE3408" s="29"/>
      <c r="AF3408" s="29"/>
    </row>
    <row r="3496" spans="2:32">
      <c r="B3496" s="29"/>
      <c r="C3496" s="29"/>
      <c r="D3496" s="29"/>
      <c r="E3496" s="29"/>
      <c r="F3496" s="29"/>
      <c r="G3496" s="29"/>
      <c r="H3496" s="29"/>
      <c r="I3496" s="29"/>
      <c r="J3496" s="29"/>
      <c r="K3496" s="29"/>
      <c r="L3496" s="29"/>
      <c r="M3496" s="29"/>
      <c r="N3496" s="29"/>
      <c r="O3496" s="29"/>
      <c r="P3496" s="29"/>
      <c r="Q3496" s="29"/>
      <c r="R3496" s="29"/>
      <c r="S3496" s="29"/>
      <c r="T3496" s="29"/>
      <c r="U3496" s="29"/>
      <c r="V3496" s="29"/>
      <c r="W3496" s="29"/>
      <c r="X3496" s="29"/>
      <c r="Y3496" s="29"/>
      <c r="Z3496" s="29"/>
      <c r="AA3496" s="29"/>
      <c r="AB3496" s="29"/>
      <c r="AC3496" s="29"/>
      <c r="AD3496" s="29"/>
      <c r="AE3496" s="29"/>
      <c r="AF3496" s="29"/>
    </row>
    <row r="3499" spans="2:32">
      <c r="B3499" s="29"/>
      <c r="C3499" s="29"/>
      <c r="D3499" s="29"/>
      <c r="E3499" s="29"/>
      <c r="F3499" s="29"/>
      <c r="G3499" s="29"/>
      <c r="H3499" s="29"/>
      <c r="I3499" s="29"/>
      <c r="J3499" s="29"/>
      <c r="K3499" s="29"/>
      <c r="L3499" s="29"/>
      <c r="M3499" s="29"/>
      <c r="N3499" s="29"/>
      <c r="O3499" s="29"/>
      <c r="P3499" s="29"/>
      <c r="Q3499" s="29"/>
      <c r="R3499" s="29"/>
      <c r="S3499" s="29"/>
      <c r="T3499" s="29"/>
      <c r="U3499" s="29"/>
      <c r="V3499" s="29"/>
      <c r="W3499" s="29"/>
      <c r="X3499" s="29"/>
      <c r="Y3499" s="29"/>
      <c r="Z3499" s="29"/>
      <c r="AA3499" s="29"/>
      <c r="AB3499" s="29"/>
      <c r="AC3499" s="29"/>
      <c r="AD3499" s="29"/>
      <c r="AE3499" s="29"/>
      <c r="AF3499" s="29"/>
    </row>
    <row r="3501" spans="2:32">
      <c r="B3501" s="29"/>
      <c r="C3501" s="29"/>
      <c r="D3501" s="29"/>
      <c r="E3501" s="29"/>
      <c r="F3501" s="29"/>
      <c r="G3501" s="29"/>
      <c r="H3501" s="29"/>
      <c r="I3501" s="29"/>
      <c r="J3501" s="29"/>
      <c r="K3501" s="29"/>
      <c r="L3501" s="29"/>
      <c r="M3501" s="29"/>
      <c r="N3501" s="29"/>
      <c r="O3501" s="29"/>
      <c r="P3501" s="29"/>
      <c r="Q3501" s="29"/>
      <c r="R3501" s="29"/>
      <c r="S3501" s="29"/>
      <c r="T3501" s="29"/>
      <c r="U3501" s="29"/>
      <c r="V3501" s="29"/>
      <c r="W3501" s="29"/>
      <c r="X3501" s="29"/>
      <c r="Y3501" s="29"/>
      <c r="Z3501" s="29"/>
      <c r="AA3501" s="29"/>
      <c r="AB3501" s="29"/>
      <c r="AC3501" s="29"/>
      <c r="AD3501" s="29"/>
      <c r="AE3501" s="29"/>
      <c r="AF3501" s="29"/>
    </row>
    <row r="3502" spans="2:32">
      <c r="B3502" s="29"/>
      <c r="C3502" s="29"/>
      <c r="D3502" s="29"/>
      <c r="E3502" s="29"/>
      <c r="F3502" s="29"/>
      <c r="G3502" s="29"/>
      <c r="H3502" s="29"/>
      <c r="I3502" s="29"/>
      <c r="J3502" s="29"/>
      <c r="K3502" s="29"/>
      <c r="L3502" s="29"/>
      <c r="M3502" s="29"/>
      <c r="N3502" s="29"/>
      <c r="O3502" s="29"/>
      <c r="P3502" s="29"/>
      <c r="Q3502" s="29"/>
      <c r="R3502" s="29"/>
      <c r="S3502" s="29"/>
      <c r="T3502" s="29"/>
      <c r="U3502" s="29"/>
      <c r="V3502" s="29"/>
      <c r="W3502" s="29"/>
      <c r="X3502" s="29"/>
      <c r="Y3502" s="29"/>
      <c r="Z3502" s="29"/>
      <c r="AA3502" s="29"/>
      <c r="AB3502" s="29"/>
      <c r="AC3502" s="29"/>
      <c r="AD3502" s="29"/>
      <c r="AE3502" s="29"/>
      <c r="AF3502" s="29"/>
    </row>
    <row r="3621" spans="2:32">
      <c r="B3621" s="29"/>
      <c r="C3621" s="29"/>
      <c r="D3621" s="29"/>
      <c r="E3621" s="29"/>
      <c r="F3621" s="29"/>
      <c r="G3621" s="29"/>
      <c r="H3621" s="29"/>
      <c r="I3621" s="29"/>
      <c r="J3621" s="29"/>
      <c r="K3621" s="29"/>
      <c r="L3621" s="29"/>
      <c r="M3621" s="29"/>
      <c r="N3621" s="29"/>
      <c r="O3621" s="29"/>
      <c r="P3621" s="29"/>
      <c r="Q3621" s="29"/>
      <c r="R3621" s="29"/>
      <c r="S3621" s="29"/>
      <c r="T3621" s="29"/>
      <c r="U3621" s="29"/>
      <c r="V3621" s="29"/>
      <c r="W3621" s="29"/>
      <c r="X3621" s="29"/>
      <c r="Y3621" s="29"/>
      <c r="Z3621" s="29"/>
      <c r="AA3621" s="29"/>
      <c r="AB3621" s="29"/>
      <c r="AC3621" s="29"/>
      <c r="AD3621" s="29"/>
      <c r="AE3621" s="29"/>
      <c r="AF3621" s="29"/>
    </row>
    <row r="3624" spans="2:32">
      <c r="B3624" s="29"/>
      <c r="C3624" s="29"/>
      <c r="D3624" s="29"/>
      <c r="E3624" s="29"/>
      <c r="F3624" s="29"/>
      <c r="G3624" s="29"/>
      <c r="H3624" s="29"/>
      <c r="I3624" s="29"/>
      <c r="J3624" s="29"/>
      <c r="K3624" s="29"/>
      <c r="L3624" s="29"/>
      <c r="M3624" s="29"/>
      <c r="N3624" s="29"/>
      <c r="O3624" s="29"/>
      <c r="P3624" s="29"/>
      <c r="Q3624" s="29"/>
      <c r="R3624" s="29"/>
      <c r="S3624" s="29"/>
      <c r="T3624" s="29"/>
      <c r="U3624" s="29"/>
      <c r="V3624" s="29"/>
      <c r="W3624" s="29"/>
      <c r="X3624" s="29"/>
      <c r="Y3624" s="29"/>
      <c r="Z3624" s="29"/>
      <c r="AA3624" s="29"/>
      <c r="AB3624" s="29"/>
      <c r="AC3624" s="29"/>
      <c r="AD3624" s="29"/>
      <c r="AE3624" s="29"/>
      <c r="AF3624" s="29"/>
    </row>
    <row r="3626" spans="2:32">
      <c r="B3626" s="29"/>
      <c r="C3626" s="29"/>
      <c r="D3626" s="29"/>
      <c r="E3626" s="29"/>
      <c r="F3626" s="29"/>
      <c r="G3626" s="29"/>
      <c r="H3626" s="29"/>
      <c r="I3626" s="29"/>
      <c r="J3626" s="29"/>
      <c r="K3626" s="29"/>
      <c r="L3626" s="29"/>
      <c r="M3626" s="29"/>
      <c r="N3626" s="29"/>
      <c r="O3626" s="29"/>
      <c r="P3626" s="29"/>
      <c r="Q3626" s="29"/>
      <c r="R3626" s="29"/>
      <c r="S3626" s="29"/>
      <c r="T3626" s="29"/>
      <c r="U3626" s="29"/>
      <c r="V3626" s="29"/>
      <c r="W3626" s="29"/>
      <c r="X3626" s="29"/>
      <c r="Y3626" s="29"/>
      <c r="Z3626" s="29"/>
      <c r="AA3626" s="29"/>
      <c r="AB3626" s="29"/>
      <c r="AC3626" s="29"/>
      <c r="AD3626" s="29"/>
      <c r="AE3626" s="29"/>
      <c r="AF3626" s="29"/>
    </row>
    <row r="3627" spans="2:32">
      <c r="B3627" s="29"/>
      <c r="C3627" s="29"/>
      <c r="D3627" s="29"/>
      <c r="E3627" s="29"/>
      <c r="F3627" s="29"/>
      <c r="G3627" s="29"/>
      <c r="H3627" s="29"/>
      <c r="I3627" s="29"/>
      <c r="J3627" s="29"/>
      <c r="K3627" s="29"/>
      <c r="L3627" s="29"/>
      <c r="M3627" s="29"/>
      <c r="N3627" s="29"/>
      <c r="O3627" s="29"/>
      <c r="P3627" s="29"/>
      <c r="Q3627" s="29"/>
      <c r="R3627" s="29"/>
      <c r="S3627" s="29"/>
      <c r="T3627" s="29"/>
      <c r="U3627" s="29"/>
      <c r="V3627" s="29"/>
      <c r="W3627" s="29"/>
      <c r="X3627" s="29"/>
      <c r="Y3627" s="29"/>
      <c r="Z3627" s="29"/>
      <c r="AA3627" s="29"/>
      <c r="AB3627" s="29"/>
      <c r="AC3627" s="29"/>
      <c r="AD3627" s="29"/>
      <c r="AE3627" s="29"/>
      <c r="AF3627" s="29"/>
    </row>
    <row r="3746" spans="2:32">
      <c r="B3746" s="29"/>
      <c r="C3746" s="29"/>
      <c r="D3746" s="29"/>
      <c r="E3746" s="29"/>
      <c r="F3746" s="29"/>
      <c r="G3746" s="29"/>
      <c r="H3746" s="29"/>
      <c r="I3746" s="29"/>
      <c r="J3746" s="29"/>
      <c r="K3746" s="29"/>
      <c r="L3746" s="29"/>
      <c r="M3746" s="29"/>
      <c r="N3746" s="29"/>
      <c r="O3746" s="29"/>
      <c r="P3746" s="29"/>
      <c r="Q3746" s="29"/>
      <c r="R3746" s="29"/>
      <c r="S3746" s="29"/>
      <c r="T3746" s="29"/>
      <c r="U3746" s="29"/>
      <c r="V3746" s="29"/>
      <c r="W3746" s="29"/>
      <c r="X3746" s="29"/>
      <c r="Y3746" s="29"/>
      <c r="Z3746" s="29"/>
      <c r="AA3746" s="29"/>
      <c r="AB3746" s="29"/>
      <c r="AC3746" s="29"/>
      <c r="AD3746" s="29"/>
      <c r="AE3746" s="29"/>
      <c r="AF3746" s="29"/>
    </row>
    <row r="3749" spans="2:32">
      <c r="B3749" s="29"/>
      <c r="C3749" s="29"/>
      <c r="D3749" s="29"/>
      <c r="E3749" s="29"/>
      <c r="F3749" s="29"/>
      <c r="G3749" s="29"/>
      <c r="H3749" s="29"/>
      <c r="I3749" s="29"/>
      <c r="J3749" s="29"/>
      <c r="K3749" s="29"/>
      <c r="L3749" s="29"/>
      <c r="M3749" s="29"/>
      <c r="N3749" s="29"/>
      <c r="O3749" s="29"/>
      <c r="P3749" s="29"/>
      <c r="Q3749" s="29"/>
      <c r="R3749" s="29"/>
      <c r="S3749" s="29"/>
      <c r="T3749" s="29"/>
      <c r="U3749" s="29"/>
      <c r="V3749" s="29"/>
      <c r="W3749" s="29"/>
      <c r="X3749" s="29"/>
      <c r="Y3749" s="29"/>
      <c r="Z3749" s="29"/>
      <c r="AA3749" s="29"/>
      <c r="AB3749" s="29"/>
      <c r="AC3749" s="29"/>
      <c r="AD3749" s="29"/>
      <c r="AE3749" s="29"/>
      <c r="AF3749" s="29"/>
    </row>
    <row r="3751" spans="2:32">
      <c r="B3751" s="29"/>
      <c r="C3751" s="29"/>
      <c r="D3751" s="29"/>
      <c r="E3751" s="29"/>
      <c r="F3751" s="29"/>
      <c r="G3751" s="29"/>
      <c r="H3751" s="29"/>
      <c r="I3751" s="29"/>
      <c r="J3751" s="29"/>
      <c r="K3751" s="29"/>
      <c r="L3751" s="29"/>
      <c r="M3751" s="29"/>
      <c r="N3751" s="29"/>
      <c r="O3751" s="29"/>
      <c r="P3751" s="29"/>
      <c r="Q3751" s="29"/>
      <c r="R3751" s="29"/>
      <c r="S3751" s="29"/>
      <c r="T3751" s="29"/>
      <c r="U3751" s="29"/>
      <c r="V3751" s="29"/>
      <c r="W3751" s="29"/>
      <c r="X3751" s="29"/>
      <c r="Y3751" s="29"/>
      <c r="Z3751" s="29"/>
      <c r="AA3751" s="29"/>
      <c r="AB3751" s="29"/>
      <c r="AC3751" s="29"/>
      <c r="AD3751" s="29"/>
      <c r="AE3751" s="29"/>
      <c r="AF3751" s="29"/>
    </row>
    <row r="3752" spans="2:32">
      <c r="B3752" s="29"/>
      <c r="C3752" s="29"/>
      <c r="D3752" s="29"/>
      <c r="E3752" s="29"/>
      <c r="F3752" s="29"/>
      <c r="G3752" s="29"/>
      <c r="H3752" s="29"/>
      <c r="I3752" s="29"/>
      <c r="J3752" s="29"/>
      <c r="K3752" s="29"/>
      <c r="L3752" s="29"/>
      <c r="M3752" s="29"/>
      <c r="N3752" s="29"/>
      <c r="O3752" s="29"/>
      <c r="P3752" s="29"/>
      <c r="Q3752" s="29"/>
      <c r="R3752" s="29"/>
      <c r="S3752" s="29"/>
      <c r="T3752" s="29"/>
      <c r="U3752" s="29"/>
      <c r="V3752" s="29"/>
      <c r="W3752" s="29"/>
      <c r="X3752" s="29"/>
      <c r="Y3752" s="29"/>
      <c r="Z3752" s="29"/>
      <c r="AA3752" s="29"/>
      <c r="AB3752" s="29"/>
      <c r="AC3752" s="29"/>
      <c r="AD3752" s="29"/>
      <c r="AE3752" s="29"/>
      <c r="AF3752" s="29"/>
    </row>
    <row r="3874" spans="2:32">
      <c r="B3874" s="29"/>
      <c r="C3874" s="29"/>
      <c r="D3874" s="29"/>
      <c r="E3874" s="29"/>
      <c r="F3874" s="29"/>
      <c r="G3874" s="29"/>
      <c r="H3874" s="29"/>
      <c r="I3874" s="29"/>
      <c r="J3874" s="29"/>
      <c r="K3874" s="29"/>
      <c r="L3874" s="29"/>
      <c r="M3874" s="29"/>
      <c r="N3874" s="29"/>
      <c r="O3874" s="29"/>
      <c r="P3874" s="29"/>
      <c r="Q3874" s="29"/>
      <c r="R3874" s="29"/>
      <c r="S3874" s="29"/>
      <c r="T3874" s="29"/>
      <c r="U3874" s="29"/>
      <c r="V3874" s="29"/>
      <c r="W3874" s="29"/>
      <c r="X3874" s="29"/>
      <c r="Y3874" s="29"/>
      <c r="Z3874" s="29"/>
      <c r="AA3874" s="29"/>
      <c r="AB3874" s="29"/>
      <c r="AC3874" s="29"/>
      <c r="AD3874" s="29"/>
      <c r="AE3874" s="29"/>
      <c r="AF3874" s="29"/>
    </row>
    <row r="3876" spans="2:32">
      <c r="B3876" s="29"/>
      <c r="C3876" s="29"/>
      <c r="D3876" s="29"/>
      <c r="E3876" s="29"/>
      <c r="F3876" s="29"/>
      <c r="G3876" s="29"/>
      <c r="H3876" s="29"/>
      <c r="I3876" s="29"/>
      <c r="J3876" s="29"/>
      <c r="K3876" s="29"/>
      <c r="L3876" s="29"/>
      <c r="M3876" s="29"/>
      <c r="N3876" s="29"/>
      <c r="O3876" s="29"/>
      <c r="P3876" s="29"/>
      <c r="Q3876" s="29"/>
      <c r="R3876" s="29"/>
      <c r="S3876" s="29"/>
      <c r="T3876" s="29"/>
      <c r="U3876" s="29"/>
      <c r="V3876" s="29"/>
      <c r="W3876" s="29"/>
      <c r="X3876" s="29"/>
      <c r="Y3876" s="29"/>
      <c r="Z3876" s="29"/>
      <c r="AA3876" s="29"/>
      <c r="AB3876" s="29"/>
      <c r="AC3876" s="29"/>
      <c r="AD3876" s="29"/>
      <c r="AE3876" s="29"/>
      <c r="AF3876" s="29"/>
    </row>
    <row r="3877" spans="2:32">
      <c r="B3877" s="29"/>
      <c r="C3877" s="29"/>
      <c r="D3877" s="29"/>
      <c r="E3877" s="29"/>
      <c r="F3877" s="29"/>
      <c r="G3877" s="29"/>
      <c r="H3877" s="29"/>
      <c r="I3877" s="29"/>
      <c r="J3877" s="29"/>
      <c r="K3877" s="29"/>
      <c r="L3877" s="29"/>
      <c r="M3877" s="29"/>
      <c r="N3877" s="29"/>
      <c r="O3877" s="29"/>
      <c r="P3877" s="29"/>
      <c r="Q3877" s="29"/>
      <c r="R3877" s="29"/>
      <c r="S3877" s="29"/>
      <c r="T3877" s="29"/>
      <c r="U3877" s="29"/>
      <c r="V3877" s="29"/>
      <c r="W3877" s="29"/>
      <c r="X3877" s="29"/>
      <c r="Y3877" s="29"/>
      <c r="Z3877" s="29"/>
      <c r="AA3877" s="29"/>
      <c r="AB3877" s="29"/>
      <c r="AC3877" s="29"/>
      <c r="AD3877" s="29"/>
      <c r="AE3877" s="29"/>
      <c r="AF3877" s="29"/>
    </row>
    <row r="3886" spans="2:32">
      <c r="B3886" s="29"/>
      <c r="C3886" s="29"/>
      <c r="D3886" s="29"/>
      <c r="E3886" s="29"/>
      <c r="F3886" s="29"/>
      <c r="G3886" s="29"/>
      <c r="H3886" s="29"/>
      <c r="I3886" s="29"/>
      <c r="J3886" s="29"/>
      <c r="K3886" s="29"/>
      <c r="L3886" s="29"/>
      <c r="M3886" s="29"/>
      <c r="N3886" s="29"/>
      <c r="O3886" s="29"/>
      <c r="P3886" s="29"/>
      <c r="Q3886" s="29"/>
      <c r="R3886" s="29"/>
      <c r="S3886" s="29"/>
      <c r="T3886" s="29"/>
      <c r="U3886" s="29"/>
      <c r="V3886" s="29"/>
      <c r="W3886" s="29"/>
      <c r="X3886" s="29"/>
      <c r="Y3886" s="29"/>
      <c r="Z3886" s="29"/>
      <c r="AA3886" s="29"/>
      <c r="AB3886" s="29"/>
      <c r="AC3886" s="29"/>
      <c r="AD3886" s="29"/>
      <c r="AE3886" s="29"/>
      <c r="AF3886" s="29"/>
    </row>
    <row r="3887" spans="2:32">
      <c r="B3887" s="29"/>
      <c r="C3887" s="29"/>
      <c r="D3887" s="29"/>
      <c r="E3887" s="29"/>
      <c r="F3887" s="29"/>
      <c r="G3887" s="29"/>
      <c r="H3887" s="29"/>
      <c r="I3887" s="29"/>
      <c r="J3887" s="29"/>
      <c r="K3887" s="29"/>
      <c r="L3887" s="29"/>
      <c r="M3887" s="29"/>
      <c r="N3887" s="29"/>
      <c r="O3887" s="29"/>
      <c r="P3887" s="29"/>
      <c r="Q3887" s="29"/>
      <c r="R3887" s="29"/>
      <c r="S3887" s="29"/>
      <c r="T3887" s="29"/>
      <c r="U3887" s="29"/>
      <c r="V3887" s="29"/>
      <c r="W3887" s="29"/>
      <c r="X3887" s="29"/>
      <c r="Y3887" s="29"/>
      <c r="Z3887" s="29"/>
      <c r="AA3887" s="29"/>
      <c r="AB3887" s="29"/>
      <c r="AC3887" s="29"/>
      <c r="AD3887" s="29"/>
      <c r="AE3887" s="29"/>
      <c r="AF3887" s="29"/>
    </row>
    <row r="3888" spans="2:32">
      <c r="B3888" s="29"/>
      <c r="C3888" s="29"/>
      <c r="D3888" s="29"/>
      <c r="E3888" s="29"/>
      <c r="F3888" s="29"/>
      <c r="G3888" s="29"/>
      <c r="H3888" s="29"/>
      <c r="I3888" s="29"/>
      <c r="J3888" s="29"/>
      <c r="K3888" s="29"/>
      <c r="L3888" s="29"/>
      <c r="M3888" s="29"/>
      <c r="N3888" s="29"/>
      <c r="O3888" s="29"/>
      <c r="P3888" s="29"/>
      <c r="Q3888" s="29"/>
      <c r="R3888" s="29"/>
      <c r="S3888" s="29"/>
      <c r="T3888" s="29"/>
      <c r="U3888" s="29"/>
      <c r="V3888" s="29"/>
      <c r="W3888" s="29"/>
      <c r="X3888" s="29"/>
      <c r="Y3888" s="29"/>
      <c r="Z3888" s="29"/>
      <c r="AA3888" s="29"/>
      <c r="AB3888" s="29"/>
      <c r="AC3888" s="29"/>
      <c r="AD3888" s="29"/>
      <c r="AE3888" s="29"/>
      <c r="AF3888" s="29"/>
    </row>
    <row r="4001" spans="2:32">
      <c r="B4001" s="29"/>
      <c r="C4001" s="29"/>
      <c r="D4001" s="29"/>
      <c r="E4001" s="29"/>
      <c r="F4001" s="29"/>
      <c r="G4001" s="29"/>
      <c r="H4001" s="29"/>
      <c r="I4001" s="29"/>
      <c r="J4001" s="29"/>
      <c r="K4001" s="29"/>
      <c r="L4001" s="29"/>
      <c r="M4001" s="29"/>
      <c r="N4001" s="29"/>
      <c r="O4001" s="29"/>
      <c r="P4001" s="29"/>
      <c r="Q4001" s="29"/>
      <c r="R4001" s="29"/>
      <c r="S4001" s="29"/>
      <c r="T4001" s="29"/>
      <c r="U4001" s="29"/>
      <c r="V4001" s="29"/>
      <c r="W4001" s="29"/>
      <c r="X4001" s="29"/>
      <c r="Y4001" s="29"/>
      <c r="Z4001" s="29"/>
      <c r="AA4001" s="29"/>
      <c r="AB4001" s="29"/>
      <c r="AC4001" s="29"/>
      <c r="AD4001" s="29"/>
      <c r="AE4001" s="29"/>
      <c r="AF4001" s="29"/>
    </row>
    <row r="4002" spans="2:32">
      <c r="B4002" s="29"/>
      <c r="C4002" s="29"/>
      <c r="D4002" s="29"/>
      <c r="E4002" s="29"/>
      <c r="F4002" s="29"/>
      <c r="G4002" s="29"/>
      <c r="H4002" s="29"/>
      <c r="I4002" s="29"/>
      <c r="J4002" s="29"/>
      <c r="K4002" s="29"/>
      <c r="L4002" s="29"/>
      <c r="M4002" s="29"/>
      <c r="N4002" s="29"/>
      <c r="O4002" s="29"/>
      <c r="P4002" s="29"/>
      <c r="Q4002" s="29"/>
      <c r="R4002" s="29"/>
      <c r="S4002" s="29"/>
      <c r="T4002" s="29"/>
      <c r="U4002" s="29"/>
      <c r="V4002" s="29"/>
      <c r="W4002" s="29"/>
      <c r="X4002" s="29"/>
      <c r="Y4002" s="29"/>
      <c r="Z4002" s="29"/>
      <c r="AA4002" s="29"/>
      <c r="AB4002" s="29"/>
      <c r="AC4002" s="29"/>
      <c r="AD4002" s="29"/>
      <c r="AE4002" s="29"/>
      <c r="AF4002" s="29"/>
    </row>
    <row r="4011" spans="2:32">
      <c r="B4011" s="29"/>
      <c r="C4011" s="29"/>
      <c r="D4011" s="29"/>
      <c r="E4011" s="29"/>
      <c r="F4011" s="29"/>
      <c r="G4011" s="29"/>
      <c r="H4011" s="29"/>
      <c r="I4011" s="29"/>
      <c r="J4011" s="29"/>
      <c r="K4011" s="29"/>
      <c r="L4011" s="29"/>
      <c r="M4011" s="29"/>
      <c r="N4011" s="29"/>
      <c r="O4011" s="29"/>
      <c r="P4011" s="29"/>
      <c r="Q4011" s="29"/>
      <c r="R4011" s="29"/>
      <c r="S4011" s="29"/>
      <c r="T4011" s="29"/>
      <c r="U4011" s="29"/>
      <c r="V4011" s="29"/>
      <c r="W4011" s="29"/>
      <c r="X4011" s="29"/>
      <c r="Y4011" s="29"/>
      <c r="Z4011" s="29"/>
      <c r="AA4011" s="29"/>
      <c r="AB4011" s="29"/>
      <c r="AC4011" s="29"/>
      <c r="AD4011" s="29"/>
      <c r="AE4011" s="29"/>
      <c r="AF4011" s="29"/>
    </row>
    <row r="4012" spans="2:32">
      <c r="B4012" s="29"/>
      <c r="C4012" s="29"/>
      <c r="D4012" s="29"/>
      <c r="E4012" s="29"/>
      <c r="F4012" s="29"/>
      <c r="G4012" s="29"/>
      <c r="H4012" s="29"/>
      <c r="I4012" s="29"/>
      <c r="J4012" s="29"/>
      <c r="K4012" s="29"/>
      <c r="L4012" s="29"/>
      <c r="M4012" s="29"/>
      <c r="N4012" s="29"/>
      <c r="O4012" s="29"/>
      <c r="P4012" s="29"/>
      <c r="Q4012" s="29"/>
      <c r="R4012" s="29"/>
      <c r="S4012" s="29"/>
      <c r="T4012" s="29"/>
      <c r="U4012" s="29"/>
      <c r="V4012" s="29"/>
      <c r="W4012" s="29"/>
      <c r="X4012" s="29"/>
      <c r="Y4012" s="29"/>
      <c r="Z4012" s="29"/>
      <c r="AA4012" s="29"/>
      <c r="AB4012" s="29"/>
      <c r="AC4012" s="29"/>
      <c r="AD4012" s="29"/>
      <c r="AE4012" s="29"/>
      <c r="AF4012" s="29"/>
    </row>
    <row r="4013" spans="2:32">
      <c r="B4013" s="29"/>
      <c r="C4013" s="29"/>
      <c r="D4013" s="29"/>
      <c r="E4013" s="29"/>
      <c r="F4013" s="29"/>
      <c r="G4013" s="29"/>
      <c r="H4013" s="29"/>
      <c r="I4013" s="29"/>
      <c r="J4013" s="29"/>
      <c r="K4013" s="29"/>
      <c r="L4013" s="29"/>
      <c r="M4013" s="29"/>
      <c r="N4013" s="29"/>
      <c r="O4013" s="29"/>
      <c r="P4013" s="29"/>
      <c r="Q4013" s="29"/>
      <c r="R4013" s="29"/>
      <c r="S4013" s="29"/>
      <c r="T4013" s="29"/>
      <c r="U4013" s="29"/>
      <c r="V4013" s="29"/>
      <c r="W4013" s="29"/>
      <c r="X4013" s="29"/>
      <c r="Y4013" s="29"/>
      <c r="Z4013" s="29"/>
      <c r="AA4013" s="29"/>
      <c r="AB4013" s="29"/>
      <c r="AC4013" s="29"/>
      <c r="AD4013" s="29"/>
      <c r="AE4013" s="29"/>
      <c r="AF4013" s="29"/>
    </row>
    <row r="4014" spans="2:32">
      <c r="B4014" s="29"/>
      <c r="C4014" s="29"/>
      <c r="D4014" s="29"/>
      <c r="E4014" s="29"/>
      <c r="F4014" s="29"/>
      <c r="G4014" s="29"/>
      <c r="H4014" s="29"/>
      <c r="I4014" s="29"/>
      <c r="J4014" s="29"/>
      <c r="K4014" s="29"/>
      <c r="L4014" s="29"/>
      <c r="M4014" s="29"/>
      <c r="N4014" s="29"/>
      <c r="O4014" s="29"/>
      <c r="P4014" s="29"/>
      <c r="Q4014" s="29"/>
      <c r="R4014" s="29"/>
      <c r="S4014" s="29"/>
      <c r="T4014" s="29"/>
      <c r="U4014" s="29"/>
      <c r="V4014" s="29"/>
      <c r="W4014" s="29"/>
      <c r="X4014" s="29"/>
      <c r="Y4014" s="29"/>
      <c r="Z4014" s="29"/>
      <c r="AA4014" s="29"/>
      <c r="AB4014" s="29"/>
      <c r="AC4014" s="29"/>
      <c r="AD4014" s="29"/>
      <c r="AE4014" s="29"/>
      <c r="AF4014" s="29"/>
    </row>
    <row r="4015" spans="2:32">
      <c r="B4015" s="29"/>
      <c r="C4015" s="29"/>
      <c r="D4015" s="29"/>
      <c r="E4015" s="29"/>
      <c r="F4015" s="29"/>
      <c r="G4015" s="29"/>
      <c r="H4015" s="29"/>
      <c r="I4015" s="29"/>
      <c r="J4015" s="29"/>
      <c r="K4015" s="29"/>
      <c r="L4015" s="29"/>
      <c r="M4015" s="29"/>
      <c r="N4015" s="29"/>
      <c r="O4015" s="29"/>
      <c r="P4015" s="29"/>
      <c r="Q4015" s="29"/>
      <c r="R4015" s="29"/>
      <c r="S4015" s="29"/>
      <c r="T4015" s="29"/>
      <c r="U4015" s="29"/>
      <c r="V4015" s="29"/>
      <c r="W4015" s="29"/>
      <c r="X4015" s="29"/>
      <c r="Y4015" s="29"/>
      <c r="Z4015" s="29"/>
      <c r="AA4015" s="29"/>
      <c r="AB4015" s="29"/>
      <c r="AC4015" s="29"/>
      <c r="AD4015" s="29"/>
      <c r="AE4015" s="29"/>
      <c r="AF4015" s="29"/>
    </row>
    <row r="4016" spans="2:32">
      <c r="B4016" s="29"/>
      <c r="C4016" s="29"/>
      <c r="D4016" s="29"/>
      <c r="E4016" s="29"/>
      <c r="F4016" s="29"/>
      <c r="G4016" s="29"/>
      <c r="H4016" s="29"/>
      <c r="I4016" s="29"/>
      <c r="J4016" s="29"/>
      <c r="K4016" s="29"/>
      <c r="L4016" s="29"/>
      <c r="M4016" s="29"/>
      <c r="N4016" s="29"/>
      <c r="O4016" s="29"/>
      <c r="P4016" s="29"/>
      <c r="Q4016" s="29"/>
      <c r="R4016" s="29"/>
      <c r="S4016" s="29"/>
      <c r="T4016" s="29"/>
      <c r="U4016" s="29"/>
      <c r="V4016" s="29"/>
      <c r="W4016" s="29"/>
      <c r="X4016" s="29"/>
      <c r="Y4016" s="29"/>
      <c r="Z4016" s="29"/>
      <c r="AA4016" s="29"/>
      <c r="AB4016" s="29"/>
      <c r="AC4016" s="29"/>
      <c r="AD4016" s="29"/>
      <c r="AE4016" s="29"/>
      <c r="AF4016" s="29"/>
    </row>
    <row r="4121" spans="2:32">
      <c r="B4121" s="29"/>
      <c r="C4121" s="29"/>
      <c r="D4121" s="29"/>
      <c r="E4121" s="29"/>
      <c r="F4121" s="29"/>
      <c r="G4121" s="29"/>
      <c r="H4121" s="29"/>
      <c r="I4121" s="29"/>
      <c r="J4121" s="29"/>
      <c r="K4121" s="29"/>
      <c r="L4121" s="29"/>
      <c r="M4121" s="29"/>
      <c r="N4121" s="29"/>
      <c r="O4121" s="29"/>
      <c r="P4121" s="29"/>
      <c r="Q4121" s="29"/>
      <c r="R4121" s="29"/>
      <c r="S4121" s="29"/>
      <c r="T4121" s="29"/>
      <c r="U4121" s="29"/>
      <c r="V4121" s="29"/>
      <c r="W4121" s="29"/>
      <c r="X4121" s="29"/>
      <c r="Y4121" s="29"/>
      <c r="Z4121" s="29"/>
      <c r="AA4121" s="29"/>
      <c r="AB4121" s="29"/>
      <c r="AC4121" s="29"/>
      <c r="AD4121" s="29"/>
      <c r="AE4121" s="29"/>
      <c r="AF4121" s="29"/>
    </row>
    <row r="4124" spans="2:32">
      <c r="B4124" s="29"/>
      <c r="C4124" s="29"/>
      <c r="D4124" s="29"/>
      <c r="E4124" s="29"/>
      <c r="F4124" s="29"/>
      <c r="G4124" s="29"/>
      <c r="H4124" s="29"/>
      <c r="I4124" s="29"/>
      <c r="J4124" s="29"/>
      <c r="K4124" s="29"/>
      <c r="L4124" s="29"/>
      <c r="M4124" s="29"/>
      <c r="N4124" s="29"/>
      <c r="O4124" s="29"/>
      <c r="P4124" s="29"/>
      <c r="Q4124" s="29"/>
      <c r="R4124" s="29"/>
      <c r="S4124" s="29"/>
      <c r="T4124" s="29"/>
      <c r="U4124" s="29"/>
      <c r="V4124" s="29"/>
      <c r="W4124" s="29"/>
      <c r="X4124" s="29"/>
      <c r="Y4124" s="29"/>
      <c r="Z4124" s="29"/>
      <c r="AA4124" s="29"/>
      <c r="AB4124" s="29"/>
      <c r="AC4124" s="29"/>
      <c r="AD4124" s="29"/>
      <c r="AE4124" s="29"/>
      <c r="AF4124" s="29"/>
    </row>
    <row r="4126" spans="2:32">
      <c r="B4126" s="29"/>
      <c r="C4126" s="29"/>
      <c r="D4126" s="29"/>
      <c r="E4126" s="29"/>
      <c r="F4126" s="29"/>
      <c r="G4126" s="29"/>
      <c r="H4126" s="29"/>
      <c r="I4126" s="29"/>
      <c r="J4126" s="29"/>
      <c r="K4126" s="29"/>
      <c r="L4126" s="29"/>
      <c r="M4126" s="29"/>
      <c r="N4126" s="29"/>
      <c r="O4126" s="29"/>
      <c r="P4126" s="29"/>
      <c r="Q4126" s="29"/>
      <c r="R4126" s="29"/>
      <c r="S4126" s="29"/>
      <c r="T4126" s="29"/>
      <c r="U4126" s="29"/>
      <c r="V4126" s="29"/>
      <c r="W4126" s="29"/>
      <c r="X4126" s="29"/>
      <c r="Y4126" s="29"/>
      <c r="Z4126" s="29"/>
      <c r="AA4126" s="29"/>
      <c r="AB4126" s="29"/>
      <c r="AC4126" s="29"/>
      <c r="AD4126" s="29"/>
      <c r="AE4126" s="29"/>
      <c r="AF4126" s="29"/>
    </row>
    <row r="4127" spans="2:32">
      <c r="B4127" s="29"/>
      <c r="C4127" s="29"/>
      <c r="D4127" s="29"/>
      <c r="E4127" s="29"/>
      <c r="F4127" s="29"/>
      <c r="G4127" s="29"/>
      <c r="H4127" s="29"/>
      <c r="I4127" s="29"/>
      <c r="J4127" s="29"/>
      <c r="K4127" s="29"/>
      <c r="L4127" s="29"/>
      <c r="M4127" s="29"/>
      <c r="N4127" s="29"/>
      <c r="O4127" s="29"/>
      <c r="P4127" s="29"/>
      <c r="Q4127" s="29"/>
      <c r="R4127" s="29"/>
      <c r="S4127" s="29"/>
      <c r="T4127" s="29"/>
      <c r="U4127" s="29"/>
      <c r="V4127" s="29"/>
      <c r="W4127" s="29"/>
      <c r="X4127" s="29"/>
      <c r="Y4127" s="29"/>
      <c r="Z4127" s="29"/>
      <c r="AA4127" s="29"/>
      <c r="AB4127" s="29"/>
      <c r="AC4127" s="29"/>
      <c r="AD4127" s="29"/>
      <c r="AE4127" s="29"/>
      <c r="AF4127" s="29"/>
    </row>
    <row r="4246" spans="2:32">
      <c r="B4246" s="29"/>
      <c r="C4246" s="29"/>
      <c r="D4246" s="29"/>
      <c r="E4246" s="29"/>
      <c r="F4246" s="29"/>
      <c r="G4246" s="29"/>
      <c r="H4246" s="29"/>
      <c r="I4246" s="29"/>
      <c r="J4246" s="29"/>
      <c r="K4246" s="29"/>
      <c r="L4246" s="29"/>
      <c r="M4246" s="29"/>
      <c r="N4246" s="29"/>
      <c r="O4246" s="29"/>
      <c r="P4246" s="29"/>
      <c r="Q4246" s="29"/>
      <c r="R4246" s="29"/>
      <c r="S4246" s="29"/>
      <c r="T4246" s="29"/>
      <c r="U4246" s="29"/>
      <c r="V4246" s="29"/>
      <c r="W4246" s="29"/>
      <c r="X4246" s="29"/>
      <c r="Y4246" s="29"/>
      <c r="Z4246" s="29"/>
      <c r="AA4246" s="29"/>
      <c r="AB4246" s="29"/>
      <c r="AC4246" s="29"/>
      <c r="AD4246" s="29"/>
      <c r="AE4246" s="29"/>
      <c r="AF4246" s="29"/>
    </row>
    <row r="4249" spans="2:32">
      <c r="B4249" s="29"/>
      <c r="C4249" s="29"/>
      <c r="D4249" s="29"/>
      <c r="E4249" s="29"/>
      <c r="F4249" s="29"/>
      <c r="G4249" s="29"/>
      <c r="H4249" s="29"/>
      <c r="I4249" s="29"/>
      <c r="J4249" s="29"/>
      <c r="K4249" s="29"/>
      <c r="L4249" s="29"/>
      <c r="M4249" s="29"/>
      <c r="N4249" s="29"/>
      <c r="O4249" s="29"/>
      <c r="P4249" s="29"/>
      <c r="Q4249" s="29"/>
      <c r="R4249" s="29"/>
      <c r="S4249" s="29"/>
      <c r="T4249" s="29"/>
      <c r="U4249" s="29"/>
      <c r="V4249" s="29"/>
      <c r="W4249" s="29"/>
      <c r="X4249" s="29"/>
      <c r="Y4249" s="29"/>
      <c r="Z4249" s="29"/>
      <c r="AA4249" s="29"/>
      <c r="AB4249" s="29"/>
      <c r="AC4249" s="29"/>
      <c r="AD4249" s="29"/>
      <c r="AE4249" s="29"/>
      <c r="AF4249" s="29"/>
    </row>
    <row r="4251" spans="2:32">
      <c r="B4251" s="29"/>
      <c r="C4251" s="29"/>
      <c r="D4251" s="29"/>
      <c r="E4251" s="29"/>
      <c r="F4251" s="29"/>
      <c r="G4251" s="29"/>
      <c r="H4251" s="29"/>
      <c r="I4251" s="29"/>
      <c r="J4251" s="29"/>
      <c r="K4251" s="29"/>
      <c r="L4251" s="29"/>
      <c r="M4251" s="29"/>
      <c r="N4251" s="29"/>
      <c r="O4251" s="29"/>
      <c r="P4251" s="29"/>
      <c r="Q4251" s="29"/>
      <c r="R4251" s="29"/>
      <c r="S4251" s="29"/>
      <c r="T4251" s="29"/>
      <c r="U4251" s="29"/>
      <c r="V4251" s="29"/>
      <c r="W4251" s="29"/>
      <c r="X4251" s="29"/>
      <c r="Y4251" s="29"/>
      <c r="Z4251" s="29"/>
      <c r="AA4251" s="29"/>
      <c r="AB4251" s="29"/>
      <c r="AC4251" s="29"/>
      <c r="AD4251" s="29"/>
      <c r="AE4251" s="29"/>
      <c r="AF4251" s="29"/>
    </row>
    <row r="4252" spans="2:32">
      <c r="B4252" s="29"/>
      <c r="C4252" s="29"/>
      <c r="D4252" s="29"/>
      <c r="E4252" s="29"/>
      <c r="F4252" s="29"/>
      <c r="G4252" s="29"/>
      <c r="H4252" s="29"/>
      <c r="I4252" s="29"/>
      <c r="J4252" s="29"/>
      <c r="K4252" s="29"/>
      <c r="L4252" s="29"/>
      <c r="M4252" s="29"/>
      <c r="N4252" s="29"/>
      <c r="O4252" s="29"/>
      <c r="P4252" s="29"/>
      <c r="Q4252" s="29"/>
      <c r="R4252" s="29"/>
      <c r="S4252" s="29"/>
      <c r="T4252" s="29"/>
      <c r="U4252" s="29"/>
      <c r="V4252" s="29"/>
      <c r="W4252" s="29"/>
      <c r="X4252" s="29"/>
      <c r="Y4252" s="29"/>
      <c r="Z4252" s="29"/>
      <c r="AA4252" s="29"/>
      <c r="AB4252" s="29"/>
      <c r="AC4252" s="29"/>
      <c r="AD4252" s="29"/>
      <c r="AE4252" s="29"/>
      <c r="AF4252" s="29"/>
    </row>
    <row r="4371" spans="2:32">
      <c r="B4371" s="29"/>
      <c r="C4371" s="29"/>
      <c r="D4371" s="29"/>
      <c r="E4371" s="29"/>
      <c r="F4371" s="29"/>
      <c r="G4371" s="29"/>
      <c r="H4371" s="29"/>
      <c r="I4371" s="29"/>
      <c r="J4371" s="29"/>
      <c r="K4371" s="29"/>
      <c r="L4371" s="29"/>
      <c r="M4371" s="29"/>
      <c r="N4371" s="29"/>
      <c r="O4371" s="29"/>
      <c r="P4371" s="29"/>
      <c r="Q4371" s="29"/>
      <c r="R4371" s="29"/>
      <c r="S4371" s="29"/>
      <c r="T4371" s="29"/>
      <c r="U4371" s="29"/>
      <c r="V4371" s="29"/>
      <c r="W4371" s="29"/>
      <c r="X4371" s="29"/>
      <c r="Y4371" s="29"/>
      <c r="Z4371" s="29"/>
      <c r="AA4371" s="29"/>
      <c r="AB4371" s="29"/>
      <c r="AC4371" s="29"/>
      <c r="AD4371" s="29"/>
      <c r="AE4371" s="29"/>
      <c r="AF4371" s="29"/>
    </row>
    <row r="4374" spans="2:32">
      <c r="B4374" s="29"/>
      <c r="C4374" s="29"/>
      <c r="D4374" s="29"/>
      <c r="E4374" s="29"/>
      <c r="F4374" s="29"/>
      <c r="G4374" s="29"/>
      <c r="H4374" s="29"/>
      <c r="I4374" s="29"/>
      <c r="J4374" s="29"/>
      <c r="K4374" s="29"/>
      <c r="L4374" s="29"/>
      <c r="M4374" s="29"/>
      <c r="N4374" s="29"/>
      <c r="O4374" s="29"/>
      <c r="P4374" s="29"/>
      <c r="Q4374" s="29"/>
      <c r="R4374" s="29"/>
      <c r="S4374" s="29"/>
      <c r="T4374" s="29"/>
      <c r="U4374" s="29"/>
      <c r="V4374" s="29"/>
      <c r="W4374" s="29"/>
      <c r="X4374" s="29"/>
      <c r="Y4374" s="29"/>
      <c r="Z4374" s="29"/>
      <c r="AA4374" s="29"/>
      <c r="AB4374" s="29"/>
      <c r="AC4374" s="29"/>
      <c r="AD4374" s="29"/>
      <c r="AE4374" s="29"/>
      <c r="AF4374" s="29"/>
    </row>
    <row r="4376" spans="2:32">
      <c r="B4376" s="29"/>
      <c r="C4376" s="29"/>
      <c r="D4376" s="29"/>
      <c r="E4376" s="29"/>
      <c r="F4376" s="29"/>
      <c r="G4376" s="29"/>
      <c r="H4376" s="29"/>
      <c r="I4376" s="29"/>
      <c r="J4376" s="29"/>
      <c r="K4376" s="29"/>
      <c r="L4376" s="29"/>
      <c r="M4376" s="29"/>
      <c r="N4376" s="29"/>
      <c r="O4376" s="29"/>
      <c r="P4376" s="29"/>
      <c r="Q4376" s="29"/>
      <c r="R4376" s="29"/>
      <c r="S4376" s="29"/>
      <c r="T4376" s="29"/>
      <c r="U4376" s="29"/>
      <c r="V4376" s="29"/>
      <c r="W4376" s="29"/>
      <c r="X4376" s="29"/>
      <c r="Y4376" s="29"/>
      <c r="Z4376" s="29"/>
      <c r="AA4376" s="29"/>
      <c r="AB4376" s="29"/>
      <c r="AC4376" s="29"/>
      <c r="AD4376" s="29"/>
      <c r="AE4376" s="29"/>
      <c r="AF4376" s="29"/>
    </row>
    <row r="4377" spans="2:32">
      <c r="B4377" s="29"/>
      <c r="C4377" s="29"/>
      <c r="D4377" s="29"/>
      <c r="E4377" s="29"/>
      <c r="F4377" s="29"/>
      <c r="G4377" s="29"/>
      <c r="H4377" s="29"/>
      <c r="I4377" s="29"/>
      <c r="J4377" s="29"/>
      <c r="K4377" s="29"/>
      <c r="L4377" s="29"/>
      <c r="M4377" s="29"/>
      <c r="N4377" s="29"/>
      <c r="O4377" s="29"/>
      <c r="P4377" s="29"/>
      <c r="Q4377" s="29"/>
      <c r="R4377" s="29"/>
      <c r="S4377" s="29"/>
      <c r="T4377" s="29"/>
      <c r="U4377" s="29"/>
      <c r="V4377" s="29"/>
      <c r="W4377" s="29"/>
      <c r="X4377" s="29"/>
      <c r="Y4377" s="29"/>
      <c r="Z4377" s="29"/>
      <c r="AA4377" s="29"/>
      <c r="AB4377" s="29"/>
      <c r="AC4377" s="29"/>
      <c r="AD4377" s="29"/>
      <c r="AE4377" s="29"/>
      <c r="AF4377" s="29"/>
    </row>
    <row r="4499" spans="2:32">
      <c r="B4499" s="29"/>
      <c r="C4499" s="29"/>
      <c r="D4499" s="29"/>
      <c r="E4499" s="29"/>
      <c r="F4499" s="29"/>
      <c r="G4499" s="29"/>
      <c r="H4499" s="29"/>
      <c r="I4499" s="29"/>
      <c r="J4499" s="29"/>
      <c r="K4499" s="29"/>
      <c r="L4499" s="29"/>
      <c r="M4499" s="29"/>
      <c r="N4499" s="29"/>
      <c r="O4499" s="29"/>
      <c r="P4499" s="29"/>
      <c r="Q4499" s="29"/>
      <c r="R4499" s="29"/>
      <c r="S4499" s="29"/>
      <c r="T4499" s="29"/>
      <c r="U4499" s="29"/>
      <c r="V4499" s="29"/>
      <c r="W4499" s="29"/>
      <c r="X4499" s="29"/>
      <c r="Y4499" s="29"/>
      <c r="Z4499" s="29"/>
      <c r="AA4499" s="29"/>
      <c r="AB4499" s="29"/>
      <c r="AC4499" s="29"/>
      <c r="AD4499" s="29"/>
      <c r="AE4499" s="29"/>
      <c r="AF4499" s="29"/>
    </row>
    <row r="4501" spans="2:32">
      <c r="B4501" s="29"/>
      <c r="C4501" s="29"/>
      <c r="D4501" s="29"/>
      <c r="E4501" s="29"/>
      <c r="F4501" s="29"/>
      <c r="G4501" s="29"/>
      <c r="H4501" s="29"/>
      <c r="I4501" s="29"/>
      <c r="J4501" s="29"/>
      <c r="K4501" s="29"/>
      <c r="L4501" s="29"/>
      <c r="M4501" s="29"/>
      <c r="N4501" s="29"/>
      <c r="O4501" s="29"/>
      <c r="P4501" s="29"/>
      <c r="Q4501" s="29"/>
      <c r="R4501" s="29"/>
      <c r="S4501" s="29"/>
      <c r="T4501" s="29"/>
      <c r="U4501" s="29"/>
      <c r="V4501" s="29"/>
      <c r="W4501" s="29"/>
      <c r="X4501" s="29"/>
      <c r="Y4501" s="29"/>
      <c r="Z4501" s="29"/>
      <c r="AA4501" s="29"/>
      <c r="AB4501" s="29"/>
      <c r="AC4501" s="29"/>
      <c r="AD4501" s="29"/>
      <c r="AE4501" s="29"/>
      <c r="AF4501" s="29"/>
    </row>
    <row r="4502" spans="2:32">
      <c r="B4502" s="29"/>
      <c r="C4502" s="29"/>
      <c r="D4502" s="29"/>
      <c r="E4502" s="29"/>
      <c r="F4502" s="29"/>
      <c r="G4502" s="29"/>
      <c r="H4502" s="29"/>
      <c r="I4502" s="29"/>
      <c r="J4502" s="29"/>
      <c r="K4502" s="29"/>
      <c r="L4502" s="29"/>
      <c r="M4502" s="29"/>
      <c r="N4502" s="29"/>
      <c r="O4502" s="29"/>
      <c r="P4502" s="29"/>
      <c r="Q4502" s="29"/>
      <c r="R4502" s="29"/>
      <c r="S4502" s="29"/>
      <c r="T4502" s="29"/>
      <c r="U4502" s="29"/>
      <c r="V4502" s="29"/>
      <c r="W4502" s="29"/>
      <c r="X4502" s="29"/>
      <c r="Y4502" s="29"/>
      <c r="Z4502" s="29"/>
      <c r="AA4502" s="29"/>
      <c r="AB4502" s="29"/>
      <c r="AC4502" s="29"/>
      <c r="AD4502" s="29"/>
      <c r="AE4502" s="29"/>
      <c r="AF4502" s="29"/>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999784-CADC-4380-9D92-F28E47981F22}">
  <dimension ref="A1:AH4502"/>
  <sheetViews>
    <sheetView workbookViewId="0"/>
    <sheetView workbookViewId="1"/>
  </sheetViews>
  <sheetFormatPr defaultRowHeight="14.75"/>
  <cols>
    <col min="2" max="2" width="48" customWidth="1"/>
  </cols>
  <sheetData>
    <row r="1" spans="1:33" ht="15.5" thickBot="1">
      <c r="A1" s="29"/>
      <c r="B1" s="34" t="s">
        <v>649</v>
      </c>
      <c r="C1" s="207">
        <v>2022</v>
      </c>
      <c r="D1" s="207">
        <v>2023</v>
      </c>
      <c r="E1" s="207">
        <v>2024</v>
      </c>
      <c r="F1" s="207">
        <v>2025</v>
      </c>
      <c r="G1" s="207">
        <v>2026</v>
      </c>
      <c r="H1" s="207">
        <v>2027</v>
      </c>
      <c r="I1" s="207">
        <v>2028</v>
      </c>
      <c r="J1" s="207">
        <v>2029</v>
      </c>
      <c r="K1" s="207">
        <v>2030</v>
      </c>
      <c r="L1" s="207">
        <v>2031</v>
      </c>
      <c r="M1" s="207">
        <v>2032</v>
      </c>
      <c r="N1" s="207">
        <v>2033</v>
      </c>
      <c r="O1" s="207">
        <v>2034</v>
      </c>
      <c r="P1" s="207">
        <v>2035</v>
      </c>
      <c r="Q1" s="207">
        <v>2036</v>
      </c>
      <c r="R1" s="207">
        <v>2037</v>
      </c>
      <c r="S1" s="207">
        <v>2038</v>
      </c>
      <c r="T1" s="207">
        <v>2039</v>
      </c>
      <c r="U1" s="207">
        <v>2040</v>
      </c>
      <c r="V1" s="207">
        <v>2041</v>
      </c>
      <c r="W1" s="207">
        <v>2042</v>
      </c>
      <c r="X1" s="207">
        <v>2043</v>
      </c>
      <c r="Y1" s="207">
        <v>2044</v>
      </c>
      <c r="Z1" s="207">
        <v>2045</v>
      </c>
      <c r="AA1" s="207">
        <v>2046</v>
      </c>
      <c r="AB1" s="207">
        <v>2047</v>
      </c>
      <c r="AC1" s="207">
        <v>2048</v>
      </c>
      <c r="AD1" s="207">
        <v>2049</v>
      </c>
      <c r="AE1" s="207">
        <v>2050</v>
      </c>
      <c r="AF1" s="29"/>
      <c r="AG1" s="29"/>
    </row>
    <row r="2" spans="1:33" ht="15.5" thickTop="1">
      <c r="A2" s="29"/>
      <c r="B2" s="29"/>
      <c r="C2" s="29"/>
      <c r="D2" s="29"/>
      <c r="E2" s="29"/>
      <c r="F2" s="29"/>
      <c r="G2" s="29"/>
      <c r="H2" s="29"/>
      <c r="I2" s="29"/>
      <c r="J2" s="29"/>
      <c r="K2" s="29"/>
      <c r="L2" s="29"/>
      <c r="M2" s="29"/>
      <c r="N2" s="29"/>
      <c r="O2" s="29"/>
      <c r="P2" s="29"/>
      <c r="Q2" s="29"/>
      <c r="R2" s="29"/>
      <c r="S2" s="29"/>
      <c r="T2" s="29"/>
      <c r="U2" s="29"/>
      <c r="V2" s="29"/>
      <c r="W2" s="29"/>
      <c r="X2" s="29"/>
      <c r="Y2" s="29"/>
      <c r="Z2" s="29"/>
      <c r="AA2" s="29"/>
      <c r="AB2" s="29"/>
      <c r="AC2" s="29"/>
      <c r="AD2" s="29"/>
      <c r="AE2" s="29"/>
      <c r="AF2" s="29"/>
      <c r="AG2" s="29"/>
    </row>
    <row r="3" spans="1:33">
      <c r="A3" s="29"/>
      <c r="B3" s="29"/>
      <c r="C3" s="40" t="s">
        <v>265</v>
      </c>
      <c r="D3" s="40" t="s">
        <v>650</v>
      </c>
      <c r="E3" s="36"/>
      <c r="F3" s="36"/>
      <c r="G3" s="36"/>
      <c r="H3" s="29"/>
      <c r="I3" s="29"/>
      <c r="J3" s="29"/>
      <c r="K3" s="29"/>
      <c r="L3" s="29"/>
      <c r="M3" s="29"/>
      <c r="N3" s="29"/>
      <c r="O3" s="29"/>
      <c r="P3" s="29"/>
      <c r="Q3" s="29"/>
      <c r="R3" s="29"/>
      <c r="S3" s="29"/>
      <c r="T3" s="29"/>
      <c r="U3" s="29"/>
      <c r="V3" s="29"/>
      <c r="W3" s="29"/>
      <c r="X3" s="29"/>
      <c r="Y3" s="29"/>
      <c r="Z3" s="29"/>
      <c r="AA3" s="29"/>
      <c r="AB3" s="29"/>
      <c r="AC3" s="29"/>
      <c r="AD3" s="29"/>
      <c r="AE3" s="29"/>
      <c r="AF3" s="29"/>
      <c r="AG3" s="29"/>
    </row>
    <row r="4" spans="1:33">
      <c r="A4" s="29"/>
      <c r="B4" s="29"/>
      <c r="C4" s="40" t="s">
        <v>266</v>
      </c>
      <c r="D4" s="40" t="s">
        <v>651</v>
      </c>
      <c r="E4" s="36"/>
      <c r="F4" s="36"/>
      <c r="G4" s="40" t="s">
        <v>652</v>
      </c>
      <c r="H4" s="29"/>
      <c r="I4" s="29"/>
      <c r="J4" s="29"/>
      <c r="K4" s="29"/>
      <c r="L4" s="29"/>
      <c r="M4" s="29"/>
      <c r="N4" s="29"/>
      <c r="O4" s="29"/>
      <c r="P4" s="29"/>
      <c r="Q4" s="29"/>
      <c r="R4" s="29"/>
      <c r="S4" s="29"/>
      <c r="T4" s="29"/>
      <c r="U4" s="29"/>
      <c r="V4" s="29"/>
      <c r="W4" s="29"/>
      <c r="X4" s="29"/>
      <c r="Y4" s="29"/>
      <c r="Z4" s="29"/>
      <c r="AA4" s="29"/>
      <c r="AB4" s="29"/>
      <c r="AC4" s="29"/>
      <c r="AD4" s="29"/>
      <c r="AE4" s="29"/>
      <c r="AF4" s="29"/>
      <c r="AG4" s="29"/>
    </row>
    <row r="5" spans="1:33">
      <c r="A5" s="29"/>
      <c r="B5" s="29"/>
      <c r="C5" s="40" t="s">
        <v>267</v>
      </c>
      <c r="D5" s="40" t="s">
        <v>653</v>
      </c>
      <c r="E5" s="36"/>
      <c r="F5" s="36"/>
      <c r="G5" s="36"/>
      <c r="H5" s="29"/>
      <c r="I5" s="29"/>
      <c r="J5" s="29"/>
      <c r="K5" s="29"/>
      <c r="L5" s="29"/>
      <c r="M5" s="29"/>
      <c r="N5" s="29"/>
      <c r="O5" s="29"/>
      <c r="P5" s="29"/>
      <c r="Q5" s="29"/>
      <c r="R5" s="29"/>
      <c r="S5" s="29"/>
      <c r="T5" s="29"/>
      <c r="U5" s="29"/>
      <c r="V5" s="29"/>
      <c r="W5" s="29"/>
      <c r="X5" s="29"/>
      <c r="Y5" s="29"/>
      <c r="Z5" s="29"/>
      <c r="AA5" s="29"/>
      <c r="AB5" s="29"/>
      <c r="AC5" s="29"/>
      <c r="AD5" s="29"/>
      <c r="AE5" s="29"/>
      <c r="AF5" s="29"/>
      <c r="AG5" s="29"/>
    </row>
    <row r="6" spans="1:33">
      <c r="A6" s="29"/>
      <c r="B6" s="29"/>
      <c r="C6" s="40" t="s">
        <v>268</v>
      </c>
      <c r="D6" s="36"/>
      <c r="E6" s="40" t="s">
        <v>654</v>
      </c>
      <c r="F6" s="36"/>
      <c r="G6" s="36"/>
      <c r="H6" s="29"/>
      <c r="I6" s="29"/>
      <c r="J6" s="29"/>
      <c r="K6" s="29"/>
      <c r="L6" s="29"/>
      <c r="M6" s="29"/>
      <c r="N6" s="29"/>
      <c r="O6" s="29"/>
      <c r="P6" s="29"/>
      <c r="Q6" s="29"/>
      <c r="R6" s="29"/>
      <c r="S6" s="29"/>
      <c r="T6" s="29"/>
      <c r="U6" s="29"/>
      <c r="V6" s="29"/>
      <c r="W6" s="29"/>
      <c r="X6" s="29"/>
      <c r="Y6" s="29"/>
      <c r="Z6" s="29"/>
      <c r="AA6" s="29"/>
      <c r="AB6" s="29"/>
      <c r="AC6" s="29"/>
      <c r="AD6" s="29"/>
      <c r="AE6" s="29"/>
      <c r="AF6" s="29"/>
      <c r="AG6" s="29"/>
    </row>
    <row r="7" spans="1:33">
      <c r="A7" s="29"/>
      <c r="B7" s="29"/>
      <c r="C7" s="29"/>
      <c r="D7" s="29"/>
      <c r="E7" s="29"/>
      <c r="F7" s="29"/>
      <c r="G7" s="29"/>
      <c r="H7" s="29"/>
      <c r="I7" s="29"/>
      <c r="J7" s="29"/>
      <c r="K7" s="29"/>
      <c r="L7" s="29"/>
      <c r="M7" s="29"/>
      <c r="N7" s="29"/>
      <c r="O7" s="29"/>
      <c r="P7" s="29"/>
      <c r="Q7" s="29"/>
      <c r="R7" s="29"/>
      <c r="S7" s="29"/>
      <c r="T7" s="29"/>
      <c r="U7" s="29"/>
      <c r="V7" s="29"/>
      <c r="W7" s="29"/>
      <c r="X7" s="29"/>
      <c r="Y7" s="29"/>
      <c r="Z7" s="29"/>
      <c r="AA7" s="29"/>
      <c r="AB7" s="29"/>
      <c r="AC7" s="29"/>
      <c r="AD7" s="29"/>
      <c r="AE7" s="29"/>
      <c r="AF7" s="29"/>
      <c r="AG7" s="29"/>
    </row>
    <row r="8" spans="1:33">
      <c r="A8" s="29"/>
      <c r="B8" s="29"/>
      <c r="C8" s="29"/>
      <c r="D8" s="29"/>
      <c r="E8" s="29"/>
      <c r="F8" s="29"/>
      <c r="G8" s="29"/>
      <c r="H8" s="29"/>
      <c r="I8" s="29"/>
      <c r="J8" s="29"/>
      <c r="K8" s="29"/>
      <c r="L8" s="29"/>
      <c r="M8" s="29"/>
      <c r="N8" s="29"/>
      <c r="O8" s="29"/>
      <c r="P8" s="29"/>
      <c r="Q8" s="29"/>
      <c r="R8" s="29"/>
      <c r="S8" s="29"/>
      <c r="T8" s="29"/>
      <c r="U8" s="29"/>
      <c r="V8" s="29"/>
      <c r="W8" s="29"/>
      <c r="X8" s="29"/>
      <c r="Y8" s="29"/>
      <c r="Z8" s="29"/>
      <c r="AA8" s="29"/>
      <c r="AB8" s="29"/>
      <c r="AC8" s="29"/>
      <c r="AD8" s="29"/>
      <c r="AE8" s="29"/>
      <c r="AF8" s="29"/>
      <c r="AG8" s="29"/>
    </row>
    <row r="9" spans="1:33">
      <c r="A9" s="29"/>
      <c r="B9" s="29"/>
      <c r="C9" s="29"/>
      <c r="D9" s="29"/>
      <c r="E9" s="29"/>
      <c r="F9" s="29"/>
      <c r="G9" s="29"/>
      <c r="H9" s="29"/>
      <c r="I9" s="29"/>
      <c r="J9" s="29"/>
      <c r="K9" s="29"/>
      <c r="L9" s="29"/>
      <c r="M9" s="29"/>
      <c r="N9" s="29"/>
      <c r="O9" s="29"/>
      <c r="P9" s="29"/>
      <c r="Q9" s="29"/>
      <c r="R9" s="29"/>
      <c r="S9" s="29"/>
      <c r="T9" s="29"/>
      <c r="U9" s="29"/>
      <c r="V9" s="29"/>
      <c r="W9" s="29"/>
      <c r="X9" s="29"/>
      <c r="Y9" s="29"/>
      <c r="Z9" s="29"/>
      <c r="AA9" s="29"/>
      <c r="AB9" s="29"/>
      <c r="AC9" s="29"/>
      <c r="AD9" s="29"/>
      <c r="AE9" s="29"/>
      <c r="AF9" s="29"/>
      <c r="AG9" s="29"/>
    </row>
    <row r="10" spans="1:33" ht="16">
      <c r="A10" s="30" t="s">
        <v>412</v>
      </c>
      <c r="B10" s="45" t="s">
        <v>413</v>
      </c>
      <c r="C10" s="31"/>
      <c r="D10" s="31"/>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7" t="s">
        <v>656</v>
      </c>
      <c r="AG10" s="31"/>
    </row>
    <row r="11" spans="1:33">
      <c r="A11" s="29"/>
      <c r="B11" s="46"/>
      <c r="C11" s="31"/>
      <c r="D11" s="31"/>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7" t="s">
        <v>657</v>
      </c>
      <c r="AG11" s="31"/>
    </row>
    <row r="12" spans="1:33">
      <c r="A12" s="29"/>
      <c r="B12" s="46"/>
      <c r="C12" s="38"/>
      <c r="D12" s="38"/>
      <c r="E12" s="38"/>
      <c r="F12" s="38"/>
      <c r="G12" s="38"/>
      <c r="H12" s="38"/>
      <c r="I12" s="38"/>
      <c r="J12" s="38"/>
      <c r="K12" s="38"/>
      <c r="L12" s="38"/>
      <c r="M12" s="38"/>
      <c r="N12" s="38"/>
      <c r="O12" s="38"/>
      <c r="P12" s="38"/>
      <c r="Q12" s="38"/>
      <c r="R12" s="38"/>
      <c r="S12" s="38"/>
      <c r="T12" s="38"/>
      <c r="U12" s="38"/>
      <c r="V12" s="38"/>
      <c r="W12" s="38"/>
      <c r="X12" s="38"/>
      <c r="Y12" s="38"/>
      <c r="Z12" s="38"/>
      <c r="AA12" s="38"/>
      <c r="AB12" s="38"/>
      <c r="AC12" s="38"/>
      <c r="AD12" s="38"/>
      <c r="AE12" s="38"/>
      <c r="AF12" s="37" t="s">
        <v>658</v>
      </c>
      <c r="AG12" s="31"/>
    </row>
    <row r="13" spans="1:33" ht="15.5" thickBot="1">
      <c r="A13" s="29"/>
      <c r="B13" s="208" t="s">
        <v>414</v>
      </c>
      <c r="C13" s="208">
        <v>2022</v>
      </c>
      <c r="D13" s="208">
        <v>2023</v>
      </c>
      <c r="E13" s="208">
        <v>2024</v>
      </c>
      <c r="F13" s="208">
        <v>2025</v>
      </c>
      <c r="G13" s="208">
        <v>2026</v>
      </c>
      <c r="H13" s="208">
        <v>2027</v>
      </c>
      <c r="I13" s="208">
        <v>2028</v>
      </c>
      <c r="J13" s="208">
        <v>2029</v>
      </c>
      <c r="K13" s="208">
        <v>2030</v>
      </c>
      <c r="L13" s="208">
        <v>2031</v>
      </c>
      <c r="M13" s="208">
        <v>2032</v>
      </c>
      <c r="N13" s="208">
        <v>2033</v>
      </c>
      <c r="O13" s="208">
        <v>2034</v>
      </c>
      <c r="P13" s="208">
        <v>2035</v>
      </c>
      <c r="Q13" s="208">
        <v>2036</v>
      </c>
      <c r="R13" s="208">
        <v>2037</v>
      </c>
      <c r="S13" s="208">
        <v>2038</v>
      </c>
      <c r="T13" s="208">
        <v>2039</v>
      </c>
      <c r="U13" s="208">
        <v>2040</v>
      </c>
      <c r="V13" s="208">
        <v>2041</v>
      </c>
      <c r="W13" s="208">
        <v>2042</v>
      </c>
      <c r="X13" s="208">
        <v>2043</v>
      </c>
      <c r="Y13" s="208">
        <v>2044</v>
      </c>
      <c r="Z13" s="208">
        <v>2045</v>
      </c>
      <c r="AA13" s="208">
        <v>2046</v>
      </c>
      <c r="AB13" s="208">
        <v>2047</v>
      </c>
      <c r="AC13" s="208">
        <v>2048</v>
      </c>
      <c r="AD13" s="208">
        <v>2049</v>
      </c>
      <c r="AE13" s="208">
        <v>2050</v>
      </c>
      <c r="AF13" s="48">
        <v>2050</v>
      </c>
      <c r="AG13" s="31"/>
    </row>
    <row r="14" spans="1:33" ht="15.5" thickTop="1">
      <c r="A14" s="29"/>
      <c r="B14" s="31"/>
      <c r="C14" s="31"/>
      <c r="D14" s="31"/>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row>
    <row r="15" spans="1:33">
      <c r="A15" s="29"/>
      <c r="B15" s="209" t="s">
        <v>415</v>
      </c>
      <c r="C15" s="31"/>
      <c r="D15" s="31"/>
      <c r="E15" s="31"/>
      <c r="F15" s="31"/>
      <c r="G15" s="31"/>
      <c r="H15" s="31"/>
      <c r="I15" s="31"/>
      <c r="J15" s="31"/>
      <c r="K15" s="31"/>
      <c r="L15" s="31"/>
      <c r="M15" s="31"/>
      <c r="N15" s="31"/>
      <c r="O15" s="31"/>
      <c r="P15" s="31"/>
      <c r="Q15" s="31"/>
      <c r="R15" s="31"/>
      <c r="S15" s="31"/>
      <c r="T15" s="31"/>
      <c r="U15" s="31"/>
      <c r="V15" s="31"/>
      <c r="W15" s="31"/>
      <c r="X15" s="31"/>
      <c r="Y15" s="31"/>
      <c r="Z15" s="31"/>
      <c r="AA15" s="31"/>
      <c r="AB15" s="31"/>
      <c r="AC15" s="31"/>
      <c r="AD15" s="31"/>
      <c r="AE15" s="31"/>
      <c r="AF15" s="31"/>
      <c r="AG15" s="31"/>
    </row>
    <row r="16" spans="1:33">
      <c r="A16" s="29"/>
      <c r="B16" s="31"/>
      <c r="C16" s="31"/>
      <c r="D16" s="31"/>
      <c r="E16" s="31"/>
      <c r="F16" s="31"/>
      <c r="G16" s="31"/>
      <c r="H16" s="31"/>
      <c r="I16" s="31"/>
      <c r="J16" s="31"/>
      <c r="K16" s="31"/>
      <c r="L16" s="31"/>
      <c r="M16" s="31"/>
      <c r="N16" s="31"/>
      <c r="O16" s="31"/>
      <c r="P16" s="31"/>
      <c r="Q16" s="31"/>
      <c r="R16" s="31"/>
      <c r="S16" s="31"/>
      <c r="T16" s="31"/>
      <c r="U16" s="31"/>
      <c r="V16" s="31"/>
      <c r="W16" s="31"/>
      <c r="X16" s="31"/>
      <c r="Y16" s="31"/>
      <c r="Z16" s="31"/>
      <c r="AA16" s="31"/>
      <c r="AB16" s="31"/>
      <c r="AC16" s="31"/>
      <c r="AD16" s="31"/>
      <c r="AE16" s="31"/>
      <c r="AF16" s="31"/>
      <c r="AG16" s="31"/>
    </row>
    <row r="17" spans="1:33">
      <c r="A17" s="29"/>
      <c r="B17" s="209" t="s">
        <v>416</v>
      </c>
      <c r="C17" s="31"/>
      <c r="D17" s="31"/>
      <c r="E17" s="31"/>
      <c r="F17" s="31"/>
      <c r="G17" s="31"/>
      <c r="H17" s="31"/>
      <c r="I17" s="31"/>
      <c r="J17" s="31"/>
      <c r="K17" s="31"/>
      <c r="L17" s="31"/>
      <c r="M17" s="31"/>
      <c r="N17" s="31"/>
      <c r="O17" s="31"/>
      <c r="P17" s="31"/>
      <c r="Q17" s="31"/>
      <c r="R17" s="31"/>
      <c r="S17" s="31"/>
      <c r="T17" s="31"/>
      <c r="U17" s="31"/>
      <c r="V17" s="31"/>
      <c r="W17" s="31"/>
      <c r="X17" s="31"/>
      <c r="Y17" s="31"/>
      <c r="Z17" s="31"/>
      <c r="AA17" s="31"/>
      <c r="AB17" s="31"/>
      <c r="AC17" s="31"/>
      <c r="AD17" s="31"/>
      <c r="AE17" s="31"/>
      <c r="AF17" s="31"/>
      <c r="AG17" s="31"/>
    </row>
    <row r="18" spans="1:33">
      <c r="A18" s="29"/>
      <c r="B18" s="209" t="s">
        <v>1036</v>
      </c>
      <c r="C18" s="31"/>
      <c r="D18" s="31"/>
      <c r="E18" s="31"/>
      <c r="F18" s="31"/>
      <c r="G18" s="31"/>
      <c r="H18" s="31"/>
      <c r="I18" s="31"/>
      <c r="J18" s="31"/>
      <c r="K18" s="31"/>
      <c r="L18" s="31"/>
      <c r="M18" s="31"/>
      <c r="N18" s="31"/>
      <c r="O18" s="31"/>
      <c r="P18" s="31"/>
      <c r="Q18" s="31"/>
      <c r="R18" s="31"/>
      <c r="S18" s="31"/>
      <c r="T18" s="31"/>
      <c r="U18" s="31"/>
      <c r="V18" s="31"/>
      <c r="W18" s="31"/>
      <c r="X18" s="31"/>
      <c r="Y18" s="31"/>
      <c r="Z18" s="31"/>
      <c r="AA18" s="31"/>
      <c r="AB18" s="31"/>
      <c r="AC18" s="31"/>
      <c r="AD18" s="31"/>
      <c r="AE18" s="31"/>
      <c r="AF18" s="31"/>
      <c r="AG18" s="31"/>
    </row>
    <row r="19" spans="1:33">
      <c r="A19" s="30" t="s">
        <v>417</v>
      </c>
      <c r="B19" s="210" t="s">
        <v>1037</v>
      </c>
      <c r="C19" s="211">
        <v>54.392623999999998</v>
      </c>
      <c r="D19" s="211">
        <v>53.187412000000002</v>
      </c>
      <c r="E19" s="211">
        <v>52.529724000000002</v>
      </c>
      <c r="F19" s="211">
        <v>52.479733000000003</v>
      </c>
      <c r="G19" s="211">
        <v>52.720959000000001</v>
      </c>
      <c r="H19" s="211">
        <v>52.851050999999998</v>
      </c>
      <c r="I19" s="211">
        <v>52.993167999999997</v>
      </c>
      <c r="J19" s="211">
        <v>53.175175000000003</v>
      </c>
      <c r="K19" s="211">
        <v>53.566817999999998</v>
      </c>
      <c r="L19" s="211">
        <v>54.220244999999998</v>
      </c>
      <c r="M19" s="211">
        <v>55.079853</v>
      </c>
      <c r="N19" s="211">
        <v>55.840674999999997</v>
      </c>
      <c r="O19" s="211">
        <v>56.638934999999996</v>
      </c>
      <c r="P19" s="211">
        <v>57.504395000000002</v>
      </c>
      <c r="Q19" s="211">
        <v>58.304447000000003</v>
      </c>
      <c r="R19" s="211">
        <v>59.176174000000003</v>
      </c>
      <c r="S19" s="211">
        <v>60.063701999999999</v>
      </c>
      <c r="T19" s="211">
        <v>61.000945999999999</v>
      </c>
      <c r="U19" s="211">
        <v>62.044392000000002</v>
      </c>
      <c r="V19" s="211">
        <v>63.120776999999997</v>
      </c>
      <c r="W19" s="211">
        <v>64.186768000000001</v>
      </c>
      <c r="X19" s="211">
        <v>65.249404999999996</v>
      </c>
      <c r="Y19" s="211">
        <v>66.318534999999997</v>
      </c>
      <c r="Z19" s="211">
        <v>67.468947999999997</v>
      </c>
      <c r="AA19" s="211">
        <v>68.816581999999997</v>
      </c>
      <c r="AB19" s="211">
        <v>70.243613999999994</v>
      </c>
      <c r="AC19" s="211">
        <v>71.603301999999999</v>
      </c>
      <c r="AD19" s="211">
        <v>73.056640999999999</v>
      </c>
      <c r="AE19" s="211">
        <v>74.779610000000005</v>
      </c>
      <c r="AF19" s="212">
        <v>1.1433E-2</v>
      </c>
      <c r="AG19" s="31"/>
    </row>
    <row r="20" spans="1:33">
      <c r="A20" s="30" t="s">
        <v>418</v>
      </c>
      <c r="B20" s="210" t="s">
        <v>1038</v>
      </c>
      <c r="C20" s="211">
        <v>16.846205000000001</v>
      </c>
      <c r="D20" s="211">
        <v>17.761892</v>
      </c>
      <c r="E20" s="211">
        <v>18.763459999999998</v>
      </c>
      <c r="F20" s="211">
        <v>19.899121999999998</v>
      </c>
      <c r="G20" s="211">
        <v>21.083855</v>
      </c>
      <c r="H20" s="211">
        <v>22.151053999999998</v>
      </c>
      <c r="I20" s="211">
        <v>23.138805000000001</v>
      </c>
      <c r="J20" s="211">
        <v>24.075592</v>
      </c>
      <c r="K20" s="211">
        <v>25.031351000000001</v>
      </c>
      <c r="L20" s="211">
        <v>26.026824999999999</v>
      </c>
      <c r="M20" s="211">
        <v>27.096857</v>
      </c>
      <c r="N20" s="211">
        <v>28.109197999999999</v>
      </c>
      <c r="O20" s="211">
        <v>29.092110000000002</v>
      </c>
      <c r="P20" s="211">
        <v>30.063576000000001</v>
      </c>
      <c r="Q20" s="211">
        <v>30.988947</v>
      </c>
      <c r="R20" s="211">
        <v>31.943773</v>
      </c>
      <c r="S20" s="211">
        <v>32.878410000000002</v>
      </c>
      <c r="T20" s="211">
        <v>33.782879000000001</v>
      </c>
      <c r="U20" s="211">
        <v>34.707160999999999</v>
      </c>
      <c r="V20" s="211">
        <v>35.655670000000001</v>
      </c>
      <c r="W20" s="211">
        <v>36.558773000000002</v>
      </c>
      <c r="X20" s="211">
        <v>37.368586999999998</v>
      </c>
      <c r="Y20" s="211">
        <v>38.121651</v>
      </c>
      <c r="Z20" s="211">
        <v>38.871417999999998</v>
      </c>
      <c r="AA20" s="211">
        <v>39.695540999999999</v>
      </c>
      <c r="AB20" s="211">
        <v>40.532322000000001</v>
      </c>
      <c r="AC20" s="211">
        <v>41.299179000000002</v>
      </c>
      <c r="AD20" s="211">
        <v>42.100203999999998</v>
      </c>
      <c r="AE20" s="211">
        <v>43.049956999999999</v>
      </c>
      <c r="AF20" s="212">
        <v>3.4076000000000002E-2</v>
      </c>
      <c r="AG20" s="31"/>
    </row>
    <row r="21" spans="1:33">
      <c r="A21" s="30" t="s">
        <v>419</v>
      </c>
      <c r="B21" s="210" t="s">
        <v>1039</v>
      </c>
      <c r="C21" s="211">
        <v>5.8500000000000002E-4</v>
      </c>
      <c r="D21" s="211">
        <v>7.6309999999999998E-3</v>
      </c>
      <c r="E21" s="211">
        <v>1.4685E-2</v>
      </c>
      <c r="F21" s="211">
        <v>2.1224E-2</v>
      </c>
      <c r="G21" s="211">
        <v>2.7498000000000002E-2</v>
      </c>
      <c r="H21" s="211">
        <v>3.3387E-2</v>
      </c>
      <c r="I21" s="211">
        <v>3.8968000000000003E-2</v>
      </c>
      <c r="J21" s="211">
        <v>4.4345000000000002E-2</v>
      </c>
      <c r="K21" s="211">
        <v>4.9703999999999998E-2</v>
      </c>
      <c r="L21" s="211">
        <v>5.5247999999999998E-2</v>
      </c>
      <c r="M21" s="211">
        <v>6.1055999999999999E-2</v>
      </c>
      <c r="N21" s="211">
        <v>6.6844000000000001E-2</v>
      </c>
      <c r="O21" s="211">
        <v>7.2696999999999998E-2</v>
      </c>
      <c r="P21" s="211">
        <v>7.8773999999999997E-2</v>
      </c>
      <c r="Q21" s="211">
        <v>8.5073999999999997E-2</v>
      </c>
      <c r="R21" s="211">
        <v>9.1911000000000007E-2</v>
      </c>
      <c r="S21" s="211">
        <v>9.9267999999999995E-2</v>
      </c>
      <c r="T21" s="211">
        <v>0.10728699999999999</v>
      </c>
      <c r="U21" s="211">
        <v>0.116186</v>
      </c>
      <c r="V21" s="211">
        <v>0.125999</v>
      </c>
      <c r="W21" s="211">
        <v>0.13661799999999999</v>
      </c>
      <c r="X21" s="211">
        <v>0.14805499999999999</v>
      </c>
      <c r="Y21" s="211">
        <v>0.160189</v>
      </c>
      <c r="Z21" s="211">
        <v>0.173373</v>
      </c>
      <c r="AA21" s="211">
        <v>0.18800800000000001</v>
      </c>
      <c r="AB21" s="211">
        <v>0.203789</v>
      </c>
      <c r="AC21" s="211">
        <v>0.22024199999999999</v>
      </c>
      <c r="AD21" s="211">
        <v>0.237737</v>
      </c>
      <c r="AE21" s="211">
        <v>0.256857</v>
      </c>
      <c r="AF21" s="212">
        <v>0.242756</v>
      </c>
      <c r="AG21" s="31"/>
    </row>
    <row r="22" spans="1:33">
      <c r="A22" s="30" t="s">
        <v>420</v>
      </c>
      <c r="B22" s="210" t="s">
        <v>1040</v>
      </c>
      <c r="C22" s="211">
        <v>1.5417999999999999E-2</v>
      </c>
      <c r="D22" s="211">
        <v>1.3986E-2</v>
      </c>
      <c r="E22" s="211">
        <v>1.2747E-2</v>
      </c>
      <c r="F22" s="211">
        <v>1.1705E-2</v>
      </c>
      <c r="G22" s="211">
        <v>1.0794E-2</v>
      </c>
      <c r="H22" s="211">
        <v>9.9299999999999996E-3</v>
      </c>
      <c r="I22" s="211">
        <v>9.1299999999999992E-3</v>
      </c>
      <c r="J22" s="211">
        <v>8.3929999999999994E-3</v>
      </c>
      <c r="K22" s="211">
        <v>7.7320000000000002E-3</v>
      </c>
      <c r="L22" s="211">
        <v>7.1459999999999996E-3</v>
      </c>
      <c r="M22" s="211">
        <v>6.6239999999999997E-3</v>
      </c>
      <c r="N22" s="211">
        <v>6.0930000000000003E-3</v>
      </c>
      <c r="O22" s="211">
        <v>5.5430000000000002E-3</v>
      </c>
      <c r="P22" s="211">
        <v>4.9630000000000004E-3</v>
      </c>
      <c r="Q22" s="211">
        <v>4.3689999999999996E-3</v>
      </c>
      <c r="R22" s="211">
        <v>3.7439999999999999E-3</v>
      </c>
      <c r="S22" s="211">
        <v>3.1649999999999998E-3</v>
      </c>
      <c r="T22" s="211">
        <v>2.637E-3</v>
      </c>
      <c r="U22" s="211">
        <v>2.1050000000000001E-3</v>
      </c>
      <c r="V22" s="211">
        <v>1.683E-3</v>
      </c>
      <c r="W22" s="211">
        <v>1.3730000000000001E-3</v>
      </c>
      <c r="X22" s="211">
        <v>1.147E-3</v>
      </c>
      <c r="Y22" s="211">
        <v>1E-3</v>
      </c>
      <c r="Z22" s="211">
        <v>8.9899999999999995E-4</v>
      </c>
      <c r="AA22" s="211">
        <v>8.1999999999999998E-4</v>
      </c>
      <c r="AB22" s="211">
        <v>7.6900000000000004E-4</v>
      </c>
      <c r="AC22" s="211">
        <v>7.0299999999999996E-4</v>
      </c>
      <c r="AD22" s="211">
        <v>6.2500000000000001E-4</v>
      </c>
      <c r="AE22" s="211">
        <v>5.2899999999999996E-4</v>
      </c>
      <c r="AF22" s="212">
        <v>-0.11348800000000001</v>
      </c>
      <c r="AG22" s="31"/>
    </row>
    <row r="23" spans="1:33">
      <c r="A23" s="30" t="s">
        <v>421</v>
      </c>
      <c r="B23" s="210" t="s">
        <v>1041</v>
      </c>
      <c r="C23" s="211">
        <v>3.793104</v>
      </c>
      <c r="D23" s="211">
        <v>3.7339889999999998</v>
      </c>
      <c r="E23" s="211">
        <v>3.7011970000000001</v>
      </c>
      <c r="F23" s="211">
        <v>3.6948340000000002</v>
      </c>
      <c r="G23" s="211">
        <v>3.7055539999999998</v>
      </c>
      <c r="H23" s="211">
        <v>3.7133219999999998</v>
      </c>
      <c r="I23" s="211">
        <v>3.7223549999999999</v>
      </c>
      <c r="J23" s="211">
        <v>3.7376019999999999</v>
      </c>
      <c r="K23" s="211">
        <v>3.7636449999999999</v>
      </c>
      <c r="L23" s="211">
        <v>3.8070430000000002</v>
      </c>
      <c r="M23" s="211">
        <v>3.8642319999999999</v>
      </c>
      <c r="N23" s="211">
        <v>3.9146670000000001</v>
      </c>
      <c r="O23" s="211">
        <v>3.9473159999999998</v>
      </c>
      <c r="P23" s="211">
        <v>3.9684680000000001</v>
      </c>
      <c r="Q23" s="211">
        <v>3.9718550000000001</v>
      </c>
      <c r="R23" s="211">
        <v>3.975454</v>
      </c>
      <c r="S23" s="211">
        <v>3.964083</v>
      </c>
      <c r="T23" s="211">
        <v>3.9534349999999998</v>
      </c>
      <c r="U23" s="211">
        <v>3.955495</v>
      </c>
      <c r="V23" s="211">
        <v>3.9734389999999999</v>
      </c>
      <c r="W23" s="211">
        <v>4.000788</v>
      </c>
      <c r="X23" s="211">
        <v>4.0414599999999998</v>
      </c>
      <c r="Y23" s="211">
        <v>4.0953679999999997</v>
      </c>
      <c r="Z23" s="211">
        <v>4.15557</v>
      </c>
      <c r="AA23" s="211">
        <v>4.2257569999999998</v>
      </c>
      <c r="AB23" s="211">
        <v>4.2996879999999997</v>
      </c>
      <c r="AC23" s="211">
        <v>4.3678400000000002</v>
      </c>
      <c r="AD23" s="211">
        <v>4.4369680000000002</v>
      </c>
      <c r="AE23" s="211">
        <v>4.5171900000000003</v>
      </c>
      <c r="AF23" s="212">
        <v>6.2589999999999998E-3</v>
      </c>
      <c r="AG23" s="31"/>
    </row>
    <row r="24" spans="1:33">
      <c r="A24" s="30" t="s">
        <v>422</v>
      </c>
      <c r="B24" s="210" t="s">
        <v>1042</v>
      </c>
      <c r="C24" s="211">
        <v>8.03E-4</v>
      </c>
      <c r="D24" s="211">
        <v>7.2599999999999997E-4</v>
      </c>
      <c r="E24" s="211">
        <v>6.6500000000000001E-4</v>
      </c>
      <c r="F24" s="211">
        <v>6.1799999999999995E-4</v>
      </c>
      <c r="G24" s="211">
        <v>5.8399999999999999E-4</v>
      </c>
      <c r="H24" s="211">
        <v>5.5699999999999999E-4</v>
      </c>
      <c r="I24" s="211">
        <v>5.3600000000000002E-4</v>
      </c>
      <c r="J24" s="211">
        <v>5.04E-4</v>
      </c>
      <c r="K24" s="211">
        <v>4.6299999999999998E-4</v>
      </c>
      <c r="L24" s="211">
        <v>4.2499999999999998E-4</v>
      </c>
      <c r="M24" s="211">
        <v>3.9199999999999999E-4</v>
      </c>
      <c r="N24" s="211">
        <v>3.3E-4</v>
      </c>
      <c r="O24" s="211">
        <v>2.5999999999999998E-4</v>
      </c>
      <c r="P24" s="211">
        <v>2.05E-4</v>
      </c>
      <c r="Q24" s="211">
        <v>1.6100000000000001E-4</v>
      </c>
      <c r="R24" s="211">
        <v>1.26E-4</v>
      </c>
      <c r="S24" s="211">
        <v>9.8999999999999994E-5</v>
      </c>
      <c r="T24" s="211">
        <v>7.7000000000000001E-5</v>
      </c>
      <c r="U24" s="211">
        <v>6.8999999999999997E-5</v>
      </c>
      <c r="V24" s="211">
        <v>6.7000000000000002E-5</v>
      </c>
      <c r="W24" s="211">
        <v>6.6000000000000005E-5</v>
      </c>
      <c r="X24" s="211">
        <v>6.3999999999999997E-5</v>
      </c>
      <c r="Y24" s="211">
        <v>5.1999999999999997E-5</v>
      </c>
      <c r="Z24" s="211">
        <v>3.6000000000000001E-5</v>
      </c>
      <c r="AA24" s="211">
        <v>2.5999999999999998E-5</v>
      </c>
      <c r="AB24" s="211">
        <v>1.8E-5</v>
      </c>
      <c r="AC24" s="211">
        <v>1.2999999999999999E-5</v>
      </c>
      <c r="AD24" s="211">
        <v>9.0000000000000002E-6</v>
      </c>
      <c r="AE24" s="211">
        <v>6.0000000000000002E-6</v>
      </c>
      <c r="AF24" s="212">
        <v>-0.15909799999999999</v>
      </c>
      <c r="AG24" s="31"/>
    </row>
    <row r="25" spans="1:33">
      <c r="A25" s="30" t="s">
        <v>423</v>
      </c>
      <c r="B25" s="210" t="s">
        <v>1043</v>
      </c>
      <c r="C25" s="211">
        <v>0</v>
      </c>
      <c r="D25" s="211">
        <v>5.7910000000000001E-3</v>
      </c>
      <c r="E25" s="211">
        <v>1.1641E-2</v>
      </c>
      <c r="F25" s="211">
        <v>1.7745E-2</v>
      </c>
      <c r="G25" s="211">
        <v>2.4024E-2</v>
      </c>
      <c r="H25" s="211">
        <v>3.0276999999999998E-2</v>
      </c>
      <c r="I25" s="211">
        <v>3.6507999999999999E-2</v>
      </c>
      <c r="J25" s="211">
        <v>4.2764999999999997E-2</v>
      </c>
      <c r="K25" s="211">
        <v>4.9185E-2</v>
      </c>
      <c r="L25" s="211">
        <v>5.5924000000000001E-2</v>
      </c>
      <c r="M25" s="211">
        <v>6.3112000000000001E-2</v>
      </c>
      <c r="N25" s="211">
        <v>7.0484000000000005E-2</v>
      </c>
      <c r="O25" s="211">
        <v>7.8226000000000004E-2</v>
      </c>
      <c r="P25" s="211">
        <v>8.6534E-2</v>
      </c>
      <c r="Q25" s="211">
        <v>9.5422000000000007E-2</v>
      </c>
      <c r="R25" s="211">
        <v>0.10527400000000001</v>
      </c>
      <c r="S25" s="211">
        <v>0.11618100000000001</v>
      </c>
      <c r="T25" s="211">
        <v>0.128332</v>
      </c>
      <c r="U25" s="211">
        <v>0.14206299999999999</v>
      </c>
      <c r="V25" s="211">
        <v>0.157389</v>
      </c>
      <c r="W25" s="211">
        <v>0.17405100000000001</v>
      </c>
      <c r="X25" s="211">
        <v>0.19183600000000001</v>
      </c>
      <c r="Y25" s="211">
        <v>0.21071500000000001</v>
      </c>
      <c r="Z25" s="211">
        <v>0.23088900000000001</v>
      </c>
      <c r="AA25" s="211">
        <v>0.25246600000000002</v>
      </c>
      <c r="AB25" s="211">
        <v>0.27496199999999998</v>
      </c>
      <c r="AC25" s="211">
        <v>0.29769299999999999</v>
      </c>
      <c r="AD25" s="211">
        <v>0.32119900000000001</v>
      </c>
      <c r="AE25" s="211">
        <v>0.34622399999999998</v>
      </c>
      <c r="AF25" s="212" t="s">
        <v>340</v>
      </c>
      <c r="AG25" s="31"/>
    </row>
    <row r="26" spans="1:33">
      <c r="A26" s="30" t="s">
        <v>424</v>
      </c>
      <c r="B26" s="210" t="s">
        <v>1044</v>
      </c>
      <c r="C26" s="211">
        <v>0</v>
      </c>
      <c r="D26" s="211">
        <v>6.025E-3</v>
      </c>
      <c r="E26" s="211">
        <v>1.2128999999999999E-2</v>
      </c>
      <c r="F26" s="211">
        <v>1.8395000000000002E-2</v>
      </c>
      <c r="G26" s="211">
        <v>2.4749E-2</v>
      </c>
      <c r="H26" s="211">
        <v>3.0966E-2</v>
      </c>
      <c r="I26" s="211">
        <v>3.7011000000000002E-2</v>
      </c>
      <c r="J26" s="211">
        <v>4.2945999999999998E-2</v>
      </c>
      <c r="K26" s="211">
        <v>4.8956E-2</v>
      </c>
      <c r="L26" s="211">
        <v>5.5273999999999997E-2</v>
      </c>
      <c r="M26" s="211">
        <v>6.2050000000000001E-2</v>
      </c>
      <c r="N26" s="211">
        <v>6.9098000000000007E-2</v>
      </c>
      <c r="O26" s="211">
        <v>7.6633999999999994E-2</v>
      </c>
      <c r="P26" s="211">
        <v>8.4903000000000006E-2</v>
      </c>
      <c r="Q26" s="211">
        <v>9.3932000000000002E-2</v>
      </c>
      <c r="R26" s="211">
        <v>0.104143</v>
      </c>
      <c r="S26" s="211">
        <v>0.115635</v>
      </c>
      <c r="T26" s="211">
        <v>0.12864999999999999</v>
      </c>
      <c r="U26" s="211">
        <v>0.14353199999999999</v>
      </c>
      <c r="V26" s="211">
        <v>0.160333</v>
      </c>
      <c r="W26" s="211">
        <v>0.17879300000000001</v>
      </c>
      <c r="X26" s="211">
        <v>0.198736</v>
      </c>
      <c r="Y26" s="211">
        <v>0.21998000000000001</v>
      </c>
      <c r="Z26" s="211">
        <v>0.24280499999999999</v>
      </c>
      <c r="AA26" s="211">
        <v>0.26719799999999999</v>
      </c>
      <c r="AB26" s="211">
        <v>0.29270299999999999</v>
      </c>
      <c r="AC26" s="211">
        <v>0.318521</v>
      </c>
      <c r="AD26" s="211">
        <v>0.34528500000000001</v>
      </c>
      <c r="AE26" s="211">
        <v>0.37370199999999998</v>
      </c>
      <c r="AF26" s="212" t="s">
        <v>340</v>
      </c>
      <c r="AG26" s="31"/>
    </row>
    <row r="27" spans="1:33">
      <c r="A27" s="30" t="s">
        <v>425</v>
      </c>
      <c r="B27" s="210" t="s">
        <v>1045</v>
      </c>
      <c r="C27" s="211">
        <v>0</v>
      </c>
      <c r="D27" s="211">
        <v>0</v>
      </c>
      <c r="E27" s="211">
        <v>1.9999999999999999E-6</v>
      </c>
      <c r="F27" s="211">
        <v>3.9999999999999998E-6</v>
      </c>
      <c r="G27" s="211">
        <v>6.0000000000000002E-6</v>
      </c>
      <c r="H27" s="211">
        <v>7.9999999999999996E-6</v>
      </c>
      <c r="I27" s="211">
        <v>1.0000000000000001E-5</v>
      </c>
      <c r="J27" s="211">
        <v>1.1E-5</v>
      </c>
      <c r="K27" s="211">
        <v>1.2999999999999999E-5</v>
      </c>
      <c r="L27" s="211">
        <v>1.5E-5</v>
      </c>
      <c r="M27" s="211">
        <v>1.7E-5</v>
      </c>
      <c r="N27" s="211">
        <v>1.8E-5</v>
      </c>
      <c r="O27" s="211">
        <v>2.0000000000000002E-5</v>
      </c>
      <c r="P27" s="211">
        <v>2.0999999999999999E-5</v>
      </c>
      <c r="Q27" s="211">
        <v>2.1999999999999999E-5</v>
      </c>
      <c r="R27" s="211">
        <v>2.3E-5</v>
      </c>
      <c r="S27" s="211">
        <v>2.4000000000000001E-5</v>
      </c>
      <c r="T27" s="211">
        <v>2.5000000000000001E-5</v>
      </c>
      <c r="U27" s="211">
        <v>2.5999999999999998E-5</v>
      </c>
      <c r="V27" s="211">
        <v>2.6999999999999999E-5</v>
      </c>
      <c r="W27" s="211">
        <v>2.8E-5</v>
      </c>
      <c r="X27" s="211">
        <v>2.8E-5</v>
      </c>
      <c r="Y27" s="211">
        <v>2.8E-5</v>
      </c>
      <c r="Z27" s="211">
        <v>2.9E-5</v>
      </c>
      <c r="AA27" s="211">
        <v>2.9E-5</v>
      </c>
      <c r="AB27" s="211">
        <v>2.8E-5</v>
      </c>
      <c r="AC27" s="211">
        <v>2.8E-5</v>
      </c>
      <c r="AD27" s="211">
        <v>2.6999999999999999E-5</v>
      </c>
      <c r="AE27" s="211">
        <v>2.6999999999999999E-5</v>
      </c>
      <c r="AF27" s="212" t="s">
        <v>340</v>
      </c>
      <c r="AG27" s="31"/>
    </row>
    <row r="28" spans="1:33" s="255" customFormat="1">
      <c r="A28" s="250" t="s">
        <v>426</v>
      </c>
      <c r="B28" s="257" t="s">
        <v>1046</v>
      </c>
      <c r="C28" s="258">
        <v>75.048714000000004</v>
      </c>
      <c r="D28" s="258">
        <v>74.717513999999994</v>
      </c>
      <c r="E28" s="258">
        <v>75.046081999999998</v>
      </c>
      <c r="F28" s="258">
        <v>76.143508999999995</v>
      </c>
      <c r="G28" s="258">
        <v>77.597999999999999</v>
      </c>
      <c r="H28" s="258">
        <v>78.820419000000001</v>
      </c>
      <c r="I28" s="258">
        <v>79.976401999999993</v>
      </c>
      <c r="J28" s="258">
        <v>81.127167</v>
      </c>
      <c r="K28" s="258">
        <v>82.517714999999995</v>
      </c>
      <c r="L28" s="258">
        <v>84.228110999999998</v>
      </c>
      <c r="M28" s="258">
        <v>86.234122999999997</v>
      </c>
      <c r="N28" s="258">
        <v>88.077529999999996</v>
      </c>
      <c r="O28" s="258">
        <v>89.911659</v>
      </c>
      <c r="P28" s="258">
        <v>91.791747999999998</v>
      </c>
      <c r="Q28" s="258">
        <v>93.544196999999997</v>
      </c>
      <c r="R28" s="258">
        <v>95.400565999999998</v>
      </c>
      <c r="S28" s="258">
        <v>97.240463000000005</v>
      </c>
      <c r="T28" s="258">
        <v>99.104270999999997</v>
      </c>
      <c r="U28" s="258">
        <v>101.111</v>
      </c>
      <c r="V28" s="258">
        <v>103.19528200000001</v>
      </c>
      <c r="W28" s="258">
        <v>105.237099</v>
      </c>
      <c r="X28" s="258">
        <v>107.199234</v>
      </c>
      <c r="Y28" s="258">
        <v>109.127678</v>
      </c>
      <c r="Z28" s="258">
        <v>111.1437</v>
      </c>
      <c r="AA28" s="258">
        <v>113.446144</v>
      </c>
      <c r="AB28" s="258">
        <v>115.847984</v>
      </c>
      <c r="AC28" s="258">
        <v>118.10760500000001</v>
      </c>
      <c r="AD28" s="258">
        <v>120.49865</v>
      </c>
      <c r="AE28" s="258">
        <v>123.323883</v>
      </c>
      <c r="AF28" s="259">
        <v>1.7897E-2</v>
      </c>
      <c r="AG28" s="254"/>
    </row>
    <row r="29" spans="1:33">
      <c r="A29" s="29"/>
      <c r="B29" s="209" t="s">
        <v>1047</v>
      </c>
      <c r="C29" s="31"/>
      <c r="D29" s="31"/>
      <c r="E29" s="31"/>
      <c r="F29" s="31"/>
      <c r="G29" s="31"/>
      <c r="H29" s="31"/>
      <c r="I29" s="31"/>
      <c r="J29" s="31"/>
      <c r="K29" s="31"/>
      <c r="L29" s="31"/>
      <c r="M29" s="31"/>
      <c r="N29" s="31"/>
      <c r="O29" s="31"/>
      <c r="P29" s="31"/>
      <c r="Q29" s="31"/>
      <c r="R29" s="31"/>
      <c r="S29" s="31"/>
      <c r="T29" s="31"/>
      <c r="U29" s="31"/>
      <c r="V29" s="31"/>
      <c r="W29" s="31"/>
      <c r="X29" s="31"/>
      <c r="Y29" s="31"/>
      <c r="Z29" s="31"/>
      <c r="AA29" s="31"/>
      <c r="AB29" s="31"/>
      <c r="AC29" s="31"/>
      <c r="AD29" s="31"/>
      <c r="AE29" s="31"/>
      <c r="AF29" s="31"/>
      <c r="AG29" s="31"/>
    </row>
    <row r="30" spans="1:33">
      <c r="A30" s="30" t="s">
        <v>427</v>
      </c>
      <c r="B30" s="210" t="s">
        <v>1037</v>
      </c>
      <c r="C30" s="211">
        <v>39.558543999999998</v>
      </c>
      <c r="D30" s="211">
        <v>39.337626999999998</v>
      </c>
      <c r="E30" s="211">
        <v>39.299655999999999</v>
      </c>
      <c r="F30" s="211">
        <v>39.581608000000003</v>
      </c>
      <c r="G30" s="211">
        <v>40.110664</v>
      </c>
      <c r="H30" s="211">
        <v>40.671706999999998</v>
      </c>
      <c r="I30" s="211">
        <v>41.263809000000002</v>
      </c>
      <c r="J30" s="211">
        <v>41.765324</v>
      </c>
      <c r="K30" s="211">
        <v>42.233722999999998</v>
      </c>
      <c r="L30" s="211">
        <v>42.755890000000001</v>
      </c>
      <c r="M30" s="211">
        <v>43.429985000000002</v>
      </c>
      <c r="N30" s="211">
        <v>44.019016000000001</v>
      </c>
      <c r="O30" s="211">
        <v>44.583286000000001</v>
      </c>
      <c r="P30" s="211">
        <v>45.18047</v>
      </c>
      <c r="Q30" s="211">
        <v>45.736732000000003</v>
      </c>
      <c r="R30" s="211">
        <v>46.355182999999997</v>
      </c>
      <c r="S30" s="211">
        <v>46.957836</v>
      </c>
      <c r="T30" s="211">
        <v>47.563808000000002</v>
      </c>
      <c r="U30" s="211">
        <v>48.222565000000003</v>
      </c>
      <c r="V30" s="211">
        <v>48.907677</v>
      </c>
      <c r="W30" s="211">
        <v>49.573700000000002</v>
      </c>
      <c r="X30" s="211">
        <v>50.240974000000001</v>
      </c>
      <c r="Y30" s="211">
        <v>50.887698999999998</v>
      </c>
      <c r="Z30" s="211">
        <v>51.487983999999997</v>
      </c>
      <c r="AA30" s="211">
        <v>52.142113000000002</v>
      </c>
      <c r="AB30" s="211">
        <v>52.823295999999999</v>
      </c>
      <c r="AC30" s="211">
        <v>53.454895</v>
      </c>
      <c r="AD30" s="211">
        <v>54.11842</v>
      </c>
      <c r="AE30" s="211">
        <v>54.955475</v>
      </c>
      <c r="AF30" s="212">
        <v>1.1809999999999999E-2</v>
      </c>
      <c r="AG30" s="31"/>
    </row>
    <row r="31" spans="1:33">
      <c r="A31" s="30" t="s">
        <v>428</v>
      </c>
      <c r="B31" s="210" t="s">
        <v>1038</v>
      </c>
      <c r="C31" s="211">
        <v>19.487116</v>
      </c>
      <c r="D31" s="211">
        <v>19.215472999999999</v>
      </c>
      <c r="E31" s="211">
        <v>19.072890999999998</v>
      </c>
      <c r="F31" s="211">
        <v>19.059853</v>
      </c>
      <c r="G31" s="211">
        <v>19.182478</v>
      </c>
      <c r="H31" s="211">
        <v>19.313580999999999</v>
      </c>
      <c r="I31" s="211">
        <v>19.478919999999999</v>
      </c>
      <c r="J31" s="211">
        <v>19.629051</v>
      </c>
      <c r="K31" s="211">
        <v>19.775127000000001</v>
      </c>
      <c r="L31" s="211">
        <v>19.949099</v>
      </c>
      <c r="M31" s="211">
        <v>20.215589999999999</v>
      </c>
      <c r="N31" s="211">
        <v>20.442692000000001</v>
      </c>
      <c r="O31" s="211">
        <v>20.670752</v>
      </c>
      <c r="P31" s="211">
        <v>20.911200000000001</v>
      </c>
      <c r="Q31" s="211">
        <v>21.112674999999999</v>
      </c>
      <c r="R31" s="211">
        <v>21.367301999999999</v>
      </c>
      <c r="S31" s="211">
        <v>21.576695999999998</v>
      </c>
      <c r="T31" s="211">
        <v>21.845286999999999</v>
      </c>
      <c r="U31" s="211">
        <v>22.114789999999999</v>
      </c>
      <c r="V31" s="211">
        <v>22.415617000000001</v>
      </c>
      <c r="W31" s="211">
        <v>22.714939000000001</v>
      </c>
      <c r="X31" s="211">
        <v>23.016795999999999</v>
      </c>
      <c r="Y31" s="211">
        <v>23.311952999999999</v>
      </c>
      <c r="Z31" s="211">
        <v>23.583117999999999</v>
      </c>
      <c r="AA31" s="211">
        <v>23.878855000000001</v>
      </c>
      <c r="AB31" s="211">
        <v>24.179131999999999</v>
      </c>
      <c r="AC31" s="211">
        <v>24.450662999999999</v>
      </c>
      <c r="AD31" s="211">
        <v>24.739687</v>
      </c>
      <c r="AE31" s="211">
        <v>25.097049999999999</v>
      </c>
      <c r="AF31" s="212">
        <v>9.077E-3</v>
      </c>
      <c r="AG31" s="31"/>
    </row>
    <row r="32" spans="1:33">
      <c r="A32" s="30" t="s">
        <v>429</v>
      </c>
      <c r="B32" s="210" t="s">
        <v>1039</v>
      </c>
      <c r="C32" s="211">
        <v>3.5519000000000002E-2</v>
      </c>
      <c r="D32" s="211">
        <v>3.6849E-2</v>
      </c>
      <c r="E32" s="211">
        <v>3.8300000000000001E-2</v>
      </c>
      <c r="F32" s="211">
        <v>3.9927999999999998E-2</v>
      </c>
      <c r="G32" s="211">
        <v>4.1890999999999998E-2</v>
      </c>
      <c r="H32" s="211">
        <v>4.3984000000000002E-2</v>
      </c>
      <c r="I32" s="211">
        <v>4.6241999999999998E-2</v>
      </c>
      <c r="J32" s="211">
        <v>4.8501000000000002E-2</v>
      </c>
      <c r="K32" s="211">
        <v>5.0944999999999997E-2</v>
      </c>
      <c r="L32" s="211">
        <v>5.3742999999999999E-2</v>
      </c>
      <c r="M32" s="211">
        <v>5.7158E-2</v>
      </c>
      <c r="N32" s="211">
        <v>6.1107000000000002E-2</v>
      </c>
      <c r="O32" s="211">
        <v>6.5478999999999996E-2</v>
      </c>
      <c r="P32" s="211">
        <v>6.9911000000000001E-2</v>
      </c>
      <c r="Q32" s="211">
        <v>7.4637999999999996E-2</v>
      </c>
      <c r="R32" s="211">
        <v>7.9952999999999996E-2</v>
      </c>
      <c r="S32" s="211">
        <v>8.5781999999999997E-2</v>
      </c>
      <c r="T32" s="211">
        <v>9.2218999999999995E-2</v>
      </c>
      <c r="U32" s="211">
        <v>9.9416000000000004E-2</v>
      </c>
      <c r="V32" s="211">
        <v>0.10742400000000001</v>
      </c>
      <c r="W32" s="211">
        <v>0.115934</v>
      </c>
      <c r="X32" s="211">
        <v>0.124888</v>
      </c>
      <c r="Y32" s="211">
        <v>0.13411600000000001</v>
      </c>
      <c r="Z32" s="211">
        <v>0.143486</v>
      </c>
      <c r="AA32" s="211">
        <v>0.153252</v>
      </c>
      <c r="AB32" s="211">
        <v>0.16322400000000001</v>
      </c>
      <c r="AC32" s="211">
        <v>0.17308100000000001</v>
      </c>
      <c r="AD32" s="211">
        <v>0.18249199999999999</v>
      </c>
      <c r="AE32" s="211">
        <v>0.19253300000000001</v>
      </c>
      <c r="AF32" s="212">
        <v>6.2223000000000001E-2</v>
      </c>
      <c r="AG32" s="31"/>
    </row>
    <row r="33" spans="1:33">
      <c r="A33" s="30" t="s">
        <v>430</v>
      </c>
      <c r="B33" s="210" t="s">
        <v>1040</v>
      </c>
      <c r="C33" s="211">
        <v>4.0710999999999997E-2</v>
      </c>
      <c r="D33" s="211">
        <v>3.8744000000000001E-2</v>
      </c>
      <c r="E33" s="211">
        <v>3.6801E-2</v>
      </c>
      <c r="F33" s="211">
        <v>3.5048999999999997E-2</v>
      </c>
      <c r="G33" s="211">
        <v>3.3437000000000001E-2</v>
      </c>
      <c r="H33" s="211">
        <v>3.1725999999999997E-2</v>
      </c>
      <c r="I33" s="211">
        <v>3.0068000000000001E-2</v>
      </c>
      <c r="J33" s="211">
        <v>2.8327000000000001E-2</v>
      </c>
      <c r="K33" s="211">
        <v>2.6554000000000001E-2</v>
      </c>
      <c r="L33" s="211">
        <v>2.4896000000000001E-2</v>
      </c>
      <c r="M33" s="211">
        <v>2.3394999999999999E-2</v>
      </c>
      <c r="N33" s="211">
        <v>2.1885999999999999E-2</v>
      </c>
      <c r="O33" s="211">
        <v>2.0383999999999999E-2</v>
      </c>
      <c r="P33" s="211">
        <v>1.8924E-2</v>
      </c>
      <c r="Q33" s="211">
        <v>1.7500999999999999E-2</v>
      </c>
      <c r="R33" s="211">
        <v>1.6240000000000001E-2</v>
      </c>
      <c r="S33" s="211">
        <v>1.5091E-2</v>
      </c>
      <c r="T33" s="211">
        <v>1.4094000000000001E-2</v>
      </c>
      <c r="U33" s="211">
        <v>1.316E-2</v>
      </c>
      <c r="V33" s="211">
        <v>1.2222E-2</v>
      </c>
      <c r="W33" s="211">
        <v>1.1379999999999999E-2</v>
      </c>
      <c r="X33" s="211">
        <v>1.0423999999999999E-2</v>
      </c>
      <c r="Y33" s="211">
        <v>9.4500000000000001E-3</v>
      </c>
      <c r="Z33" s="211">
        <v>8.6359999999999996E-3</v>
      </c>
      <c r="AA33" s="211">
        <v>7.9539999999999993E-3</v>
      </c>
      <c r="AB33" s="211">
        <v>7.2659999999999999E-3</v>
      </c>
      <c r="AC33" s="211">
        <v>6.5680000000000001E-3</v>
      </c>
      <c r="AD33" s="211">
        <v>5.9379999999999997E-3</v>
      </c>
      <c r="AE33" s="211">
        <v>5.4149999999999997E-3</v>
      </c>
      <c r="AF33" s="212">
        <v>-6.9514000000000006E-2</v>
      </c>
      <c r="AG33" s="31"/>
    </row>
    <row r="34" spans="1:33">
      <c r="A34" s="30" t="s">
        <v>431</v>
      </c>
      <c r="B34" s="210" t="s">
        <v>1041</v>
      </c>
      <c r="C34" s="211">
        <v>0.56798599999999999</v>
      </c>
      <c r="D34" s="211">
        <v>0.59782800000000003</v>
      </c>
      <c r="E34" s="211">
        <v>0.637764</v>
      </c>
      <c r="F34" s="211">
        <v>0.68537099999999995</v>
      </c>
      <c r="G34" s="211">
        <v>0.74296300000000004</v>
      </c>
      <c r="H34" s="211">
        <v>0.80857800000000002</v>
      </c>
      <c r="I34" s="211">
        <v>0.87989099999999998</v>
      </c>
      <c r="J34" s="211">
        <v>0.95517399999999997</v>
      </c>
      <c r="K34" s="211">
        <v>1.0367869999999999</v>
      </c>
      <c r="L34" s="211">
        <v>1.129257</v>
      </c>
      <c r="M34" s="211">
        <v>1.2372430000000001</v>
      </c>
      <c r="N34" s="211">
        <v>1.3557220000000001</v>
      </c>
      <c r="O34" s="211">
        <v>1.486297</v>
      </c>
      <c r="P34" s="211">
        <v>1.6277839999999999</v>
      </c>
      <c r="Q34" s="211">
        <v>1.7695620000000001</v>
      </c>
      <c r="R34" s="211">
        <v>1.9196610000000001</v>
      </c>
      <c r="S34" s="211">
        <v>2.070964</v>
      </c>
      <c r="T34" s="211">
        <v>2.2238769999999999</v>
      </c>
      <c r="U34" s="211">
        <v>2.3845040000000002</v>
      </c>
      <c r="V34" s="211">
        <v>2.5457839999999998</v>
      </c>
      <c r="W34" s="211">
        <v>2.7054459999999998</v>
      </c>
      <c r="X34" s="211">
        <v>2.8628369999999999</v>
      </c>
      <c r="Y34" s="211">
        <v>3.0127489999999999</v>
      </c>
      <c r="Z34" s="211">
        <v>3.1550750000000001</v>
      </c>
      <c r="AA34" s="211">
        <v>3.292932</v>
      </c>
      <c r="AB34" s="211">
        <v>3.4261879999999998</v>
      </c>
      <c r="AC34" s="211">
        <v>3.547679</v>
      </c>
      <c r="AD34" s="211">
        <v>3.667386</v>
      </c>
      <c r="AE34" s="211">
        <v>3.7930950000000001</v>
      </c>
      <c r="AF34" s="212">
        <v>7.0167999999999994E-2</v>
      </c>
      <c r="AG34" s="31"/>
    </row>
    <row r="35" spans="1:33">
      <c r="A35" s="30" t="s">
        <v>432</v>
      </c>
      <c r="B35" s="210" t="s">
        <v>1042</v>
      </c>
      <c r="C35" s="211">
        <v>4.7990000000000003E-3</v>
      </c>
      <c r="D35" s="211">
        <v>5.7080000000000004E-3</v>
      </c>
      <c r="E35" s="211">
        <v>6.4009999999999996E-3</v>
      </c>
      <c r="F35" s="211">
        <v>6.9449999999999998E-3</v>
      </c>
      <c r="G35" s="211">
        <v>7.3709999999999999E-3</v>
      </c>
      <c r="H35" s="211">
        <v>7.6620000000000004E-3</v>
      </c>
      <c r="I35" s="211">
        <v>7.8370000000000002E-3</v>
      </c>
      <c r="J35" s="211">
        <v>7.9019999999999993E-3</v>
      </c>
      <c r="K35" s="211">
        <v>7.8869999999999999E-3</v>
      </c>
      <c r="L35" s="211">
        <v>7.8220000000000008E-3</v>
      </c>
      <c r="M35" s="211">
        <v>7.7270000000000004E-3</v>
      </c>
      <c r="N35" s="211">
        <v>7.5750000000000001E-3</v>
      </c>
      <c r="O35" s="211">
        <v>7.3740000000000003E-3</v>
      </c>
      <c r="P35" s="211">
        <v>7.1599999999999997E-3</v>
      </c>
      <c r="Q35" s="211">
        <v>6.8789999999999997E-3</v>
      </c>
      <c r="R35" s="211">
        <v>6.5760000000000002E-3</v>
      </c>
      <c r="S35" s="211">
        <v>6.319E-3</v>
      </c>
      <c r="T35" s="211">
        <v>6.0559999999999998E-3</v>
      </c>
      <c r="U35" s="211">
        <v>5.7580000000000001E-3</v>
      </c>
      <c r="V35" s="211">
        <v>5.4679999999999998E-3</v>
      </c>
      <c r="W35" s="211">
        <v>5.1850000000000004E-3</v>
      </c>
      <c r="X35" s="211">
        <v>4.9100000000000003E-3</v>
      </c>
      <c r="Y35" s="211">
        <v>4.6449999999999998E-3</v>
      </c>
      <c r="Z35" s="211">
        <v>4.3909999999999999E-3</v>
      </c>
      <c r="AA35" s="211">
        <v>4.1580000000000002E-3</v>
      </c>
      <c r="AB35" s="211">
        <v>3.9370000000000004E-3</v>
      </c>
      <c r="AC35" s="211">
        <v>3.7230000000000002E-3</v>
      </c>
      <c r="AD35" s="211">
        <v>3.516E-3</v>
      </c>
      <c r="AE35" s="211">
        <v>3.3319999999999999E-3</v>
      </c>
      <c r="AF35" s="212">
        <v>-1.2949E-2</v>
      </c>
      <c r="AG35" s="31"/>
    </row>
    <row r="36" spans="1:33">
      <c r="A36" s="30" t="s">
        <v>433</v>
      </c>
      <c r="B36" s="210" t="s">
        <v>1043</v>
      </c>
      <c r="C36" s="211">
        <v>0</v>
      </c>
      <c r="D36" s="211">
        <v>0</v>
      </c>
      <c r="E36" s="211">
        <v>4.8300000000000001E-3</v>
      </c>
      <c r="F36" s="211">
        <v>9.332E-3</v>
      </c>
      <c r="G36" s="211">
        <v>1.3625E-2</v>
      </c>
      <c r="H36" s="211">
        <v>1.7784000000000001E-2</v>
      </c>
      <c r="I36" s="211">
        <v>2.1821E-2</v>
      </c>
      <c r="J36" s="211">
        <v>2.5634000000000001E-2</v>
      </c>
      <c r="K36" s="211">
        <v>2.9242000000000001E-2</v>
      </c>
      <c r="L36" s="211">
        <v>3.2780999999999998E-2</v>
      </c>
      <c r="M36" s="211">
        <v>3.644E-2</v>
      </c>
      <c r="N36" s="211">
        <v>4.0143999999999999E-2</v>
      </c>
      <c r="O36" s="211">
        <v>4.3930999999999998E-2</v>
      </c>
      <c r="P36" s="211">
        <v>4.7813000000000001E-2</v>
      </c>
      <c r="Q36" s="211">
        <v>5.1763000000000003E-2</v>
      </c>
      <c r="R36" s="211">
        <v>5.5931000000000002E-2</v>
      </c>
      <c r="S36" s="211">
        <v>6.0281000000000001E-2</v>
      </c>
      <c r="T36" s="211">
        <v>6.4887E-2</v>
      </c>
      <c r="U36" s="211">
        <v>6.9919999999999996E-2</v>
      </c>
      <c r="V36" s="211">
        <v>7.5448000000000001E-2</v>
      </c>
      <c r="W36" s="211">
        <v>8.1417000000000003E-2</v>
      </c>
      <c r="X36" s="211">
        <v>8.7566000000000005E-2</v>
      </c>
      <c r="Y36" s="211">
        <v>9.4056000000000001E-2</v>
      </c>
      <c r="Z36" s="211">
        <v>0.10083300000000001</v>
      </c>
      <c r="AA36" s="211">
        <v>0.108103</v>
      </c>
      <c r="AB36" s="211">
        <v>0.11576599999999999</v>
      </c>
      <c r="AC36" s="211">
        <v>0.123626</v>
      </c>
      <c r="AD36" s="211">
        <v>0.131829</v>
      </c>
      <c r="AE36" s="211">
        <v>0.140711</v>
      </c>
      <c r="AF36" s="212" t="s">
        <v>340</v>
      </c>
      <c r="AG36" s="31"/>
    </row>
    <row r="37" spans="1:33">
      <c r="A37" s="30" t="s">
        <v>434</v>
      </c>
      <c r="B37" s="210" t="s">
        <v>1044</v>
      </c>
      <c r="C37" s="211">
        <v>0</v>
      </c>
      <c r="D37" s="211">
        <v>0</v>
      </c>
      <c r="E37" s="211">
        <v>4.6990000000000001E-3</v>
      </c>
      <c r="F37" s="211">
        <v>8.9820000000000004E-3</v>
      </c>
      <c r="G37" s="211">
        <v>1.3004E-2</v>
      </c>
      <c r="H37" s="211">
        <v>1.6833000000000001E-2</v>
      </c>
      <c r="I37" s="211">
        <v>2.0468E-2</v>
      </c>
      <c r="J37" s="211">
        <v>2.3865000000000001E-2</v>
      </c>
      <c r="K37" s="211">
        <v>2.7097E-2</v>
      </c>
      <c r="L37" s="211">
        <v>3.0356999999999999E-2</v>
      </c>
      <c r="M37" s="211">
        <v>3.3845E-2</v>
      </c>
      <c r="N37" s="211">
        <v>3.7533999999999998E-2</v>
      </c>
      <c r="O37" s="211">
        <v>4.1471000000000001E-2</v>
      </c>
      <c r="P37" s="211">
        <v>4.5675E-2</v>
      </c>
      <c r="Q37" s="211">
        <v>5.0146000000000003E-2</v>
      </c>
      <c r="R37" s="211">
        <v>5.5066999999999998E-2</v>
      </c>
      <c r="S37" s="211">
        <v>6.0408000000000003E-2</v>
      </c>
      <c r="T37" s="211">
        <v>6.6288E-2</v>
      </c>
      <c r="U37" s="211">
        <v>7.2910000000000003E-2</v>
      </c>
      <c r="V37" s="211">
        <v>8.0391000000000004E-2</v>
      </c>
      <c r="W37" s="211">
        <v>8.8689000000000004E-2</v>
      </c>
      <c r="X37" s="211">
        <v>9.7592999999999999E-2</v>
      </c>
      <c r="Y37" s="211">
        <v>0.107179</v>
      </c>
      <c r="Z37" s="211">
        <v>0.11736099999999999</v>
      </c>
      <c r="AA37" s="211">
        <v>0.12828400000000001</v>
      </c>
      <c r="AB37" s="211">
        <v>0.139872</v>
      </c>
      <c r="AC37" s="211">
        <v>0.15181700000000001</v>
      </c>
      <c r="AD37" s="211">
        <v>0.16430400000000001</v>
      </c>
      <c r="AE37" s="211">
        <v>0.177619</v>
      </c>
      <c r="AF37" s="212" t="s">
        <v>340</v>
      </c>
      <c r="AG37" s="31"/>
    </row>
    <row r="38" spans="1:33">
      <c r="A38" s="30" t="s">
        <v>435</v>
      </c>
      <c r="B38" s="210" t="s">
        <v>1045</v>
      </c>
      <c r="C38" s="211">
        <v>0</v>
      </c>
      <c r="D38" s="211">
        <v>0</v>
      </c>
      <c r="E38" s="211">
        <v>8.0780000000000001E-3</v>
      </c>
      <c r="F38" s="211">
        <v>1.5644999999999999E-2</v>
      </c>
      <c r="G38" s="211">
        <v>2.2988999999999999E-2</v>
      </c>
      <c r="H38" s="211">
        <v>3.0179000000000001E-2</v>
      </c>
      <c r="I38" s="211">
        <v>3.7161E-2</v>
      </c>
      <c r="J38" s="211">
        <v>4.3795000000000001E-2</v>
      </c>
      <c r="K38" s="211">
        <v>5.0102000000000001E-2</v>
      </c>
      <c r="L38" s="211">
        <v>5.6294999999999998E-2</v>
      </c>
      <c r="M38" s="211">
        <v>6.2640000000000001E-2</v>
      </c>
      <c r="N38" s="211">
        <v>6.8956000000000003E-2</v>
      </c>
      <c r="O38" s="211">
        <v>7.5354000000000004E-2</v>
      </c>
      <c r="P38" s="211">
        <v>8.1948999999999994E-2</v>
      </c>
      <c r="Q38" s="211">
        <v>8.8664000000000007E-2</v>
      </c>
      <c r="R38" s="211">
        <v>9.5808000000000004E-2</v>
      </c>
      <c r="S38" s="211">
        <v>0.103379</v>
      </c>
      <c r="T38" s="211">
        <v>0.11151700000000001</v>
      </c>
      <c r="U38" s="211">
        <v>0.12053700000000001</v>
      </c>
      <c r="V38" s="211">
        <v>0.13056699999999999</v>
      </c>
      <c r="W38" s="211">
        <v>0.14152300000000001</v>
      </c>
      <c r="X38" s="211">
        <v>0.152972</v>
      </c>
      <c r="Y38" s="211">
        <v>0.16517100000000001</v>
      </c>
      <c r="Z38" s="211">
        <v>0.178007</v>
      </c>
      <c r="AA38" s="211">
        <v>0.191833</v>
      </c>
      <c r="AB38" s="211">
        <v>0.20646700000000001</v>
      </c>
      <c r="AC38" s="211">
        <v>0.22154599999999999</v>
      </c>
      <c r="AD38" s="211">
        <v>0.23730999999999999</v>
      </c>
      <c r="AE38" s="211">
        <v>0.25435600000000003</v>
      </c>
      <c r="AF38" s="212" t="s">
        <v>340</v>
      </c>
      <c r="AG38" s="31"/>
    </row>
    <row r="39" spans="1:33">
      <c r="A39" s="30" t="s">
        <v>436</v>
      </c>
      <c r="B39" s="210" t="s">
        <v>1048</v>
      </c>
      <c r="C39" s="211">
        <v>59.694575999999998</v>
      </c>
      <c r="D39" s="211">
        <v>59.232098000000001</v>
      </c>
      <c r="E39" s="211">
        <v>59.109397999999999</v>
      </c>
      <c r="F39" s="211">
        <v>59.442653999999997</v>
      </c>
      <c r="G39" s="211">
        <v>60.168362000000002</v>
      </c>
      <c r="H39" s="211">
        <v>60.942036000000002</v>
      </c>
      <c r="I39" s="211">
        <v>61.786160000000002</v>
      </c>
      <c r="J39" s="211">
        <v>62.527434999999997</v>
      </c>
      <c r="K39" s="211">
        <v>63.237366000000002</v>
      </c>
      <c r="L39" s="211">
        <v>64.040108000000004</v>
      </c>
      <c r="M39" s="211">
        <v>65.104018999999994</v>
      </c>
      <c r="N39" s="211">
        <v>66.054314000000005</v>
      </c>
      <c r="O39" s="211">
        <v>66.994217000000006</v>
      </c>
      <c r="P39" s="211">
        <v>67.990768000000003</v>
      </c>
      <c r="Q39" s="211">
        <v>68.908278999999993</v>
      </c>
      <c r="R39" s="211">
        <v>69.951363000000001</v>
      </c>
      <c r="S39" s="211">
        <v>70.936751999999998</v>
      </c>
      <c r="T39" s="211">
        <v>71.987885000000006</v>
      </c>
      <c r="U39" s="211">
        <v>73.103226000000006</v>
      </c>
      <c r="V39" s="211">
        <v>74.280495000000002</v>
      </c>
      <c r="W39" s="211">
        <v>75.437995999999998</v>
      </c>
      <c r="X39" s="211">
        <v>76.598990999999998</v>
      </c>
      <c r="Y39" s="211">
        <v>77.726692</v>
      </c>
      <c r="Z39" s="211">
        <v>78.778594999999996</v>
      </c>
      <c r="AA39" s="211">
        <v>79.907218999999998</v>
      </c>
      <c r="AB39" s="211">
        <v>81.064887999999996</v>
      </c>
      <c r="AC39" s="211">
        <v>82.133056999999994</v>
      </c>
      <c r="AD39" s="211">
        <v>83.250366</v>
      </c>
      <c r="AE39" s="211">
        <v>84.619040999999996</v>
      </c>
      <c r="AF39" s="212">
        <v>1.2539E-2</v>
      </c>
      <c r="AG39" s="31"/>
    </row>
    <row r="40" spans="1:33">
      <c r="A40" s="29"/>
      <c r="B40" s="209" t="s">
        <v>1049</v>
      </c>
      <c r="C40" s="31"/>
      <c r="D40" s="31"/>
      <c r="E40" s="31"/>
      <c r="F40" s="31"/>
      <c r="G40" s="31"/>
      <c r="H40" s="31"/>
      <c r="I40" s="31"/>
      <c r="J40" s="31"/>
      <c r="K40" s="31"/>
      <c r="L40" s="31"/>
      <c r="M40" s="31"/>
      <c r="N40" s="31"/>
      <c r="O40" s="31"/>
      <c r="P40" s="31"/>
      <c r="Q40" s="31"/>
      <c r="R40" s="31"/>
      <c r="S40" s="31"/>
      <c r="T40" s="31"/>
      <c r="U40" s="31"/>
      <c r="V40" s="31"/>
      <c r="W40" s="31"/>
      <c r="X40" s="31"/>
      <c r="Y40" s="31"/>
      <c r="Z40" s="31"/>
      <c r="AA40" s="31"/>
      <c r="AB40" s="31"/>
      <c r="AC40" s="31"/>
      <c r="AD40" s="31"/>
      <c r="AE40" s="31"/>
      <c r="AF40" s="31"/>
      <c r="AG40" s="31"/>
    </row>
    <row r="41" spans="1:33">
      <c r="A41" s="30" t="s">
        <v>437</v>
      </c>
      <c r="B41" s="210" t="s">
        <v>1037</v>
      </c>
      <c r="C41" s="211">
        <v>184.85647599999999</v>
      </c>
      <c r="D41" s="211">
        <v>184.36309800000001</v>
      </c>
      <c r="E41" s="211">
        <v>184.53233299999999</v>
      </c>
      <c r="F41" s="211">
        <v>185.92311100000001</v>
      </c>
      <c r="G41" s="211">
        <v>188.09622200000001</v>
      </c>
      <c r="H41" s="211">
        <v>189.92868000000001</v>
      </c>
      <c r="I41" s="211">
        <v>191.46675099999999</v>
      </c>
      <c r="J41" s="211">
        <v>192.31585699999999</v>
      </c>
      <c r="K41" s="211">
        <v>192.75872799999999</v>
      </c>
      <c r="L41" s="211">
        <v>193.261459</v>
      </c>
      <c r="M41" s="211">
        <v>194.18498199999999</v>
      </c>
      <c r="N41" s="211">
        <v>194.74160800000001</v>
      </c>
      <c r="O41" s="211">
        <v>195.212692</v>
      </c>
      <c r="P41" s="211">
        <v>195.789413</v>
      </c>
      <c r="Q41" s="211">
        <v>196.09771699999999</v>
      </c>
      <c r="R41" s="211">
        <v>196.645309</v>
      </c>
      <c r="S41" s="211">
        <v>197.177887</v>
      </c>
      <c r="T41" s="211">
        <v>197.587006</v>
      </c>
      <c r="U41" s="211">
        <v>198.118088</v>
      </c>
      <c r="V41" s="211">
        <v>198.717422</v>
      </c>
      <c r="W41" s="211">
        <v>199.29679899999999</v>
      </c>
      <c r="X41" s="211">
        <v>199.71180699999999</v>
      </c>
      <c r="Y41" s="211">
        <v>199.916168</v>
      </c>
      <c r="Z41" s="211">
        <v>199.88377399999999</v>
      </c>
      <c r="AA41" s="211">
        <v>199.97645600000001</v>
      </c>
      <c r="AB41" s="211">
        <v>200.03840600000001</v>
      </c>
      <c r="AC41" s="211">
        <v>199.82255599999999</v>
      </c>
      <c r="AD41" s="211">
        <v>199.676208</v>
      </c>
      <c r="AE41" s="211">
        <v>200.11251799999999</v>
      </c>
      <c r="AF41" s="212">
        <v>2.836E-3</v>
      </c>
      <c r="AG41" s="31"/>
    </row>
    <row r="42" spans="1:33">
      <c r="A42" s="30" t="s">
        <v>438</v>
      </c>
      <c r="B42" s="210" t="s">
        <v>1038</v>
      </c>
      <c r="C42" s="211">
        <v>0.177811</v>
      </c>
      <c r="D42" s="211">
        <v>0.177786</v>
      </c>
      <c r="E42" s="211">
        <v>0.18096300000000001</v>
      </c>
      <c r="F42" s="211">
        <v>0.18684300000000001</v>
      </c>
      <c r="G42" s="211">
        <v>0.19617399999999999</v>
      </c>
      <c r="H42" s="211">
        <v>0.207373</v>
      </c>
      <c r="I42" s="211">
        <v>0.21936700000000001</v>
      </c>
      <c r="J42" s="211">
        <v>0.23114199999999999</v>
      </c>
      <c r="K42" s="211">
        <v>0.243587</v>
      </c>
      <c r="L42" s="211">
        <v>0.25589200000000001</v>
      </c>
      <c r="M42" s="211">
        <v>0.26813500000000001</v>
      </c>
      <c r="N42" s="211">
        <v>0.27929500000000002</v>
      </c>
      <c r="O42" s="211">
        <v>0.28943799999999997</v>
      </c>
      <c r="P42" s="211">
        <v>0.29867300000000002</v>
      </c>
      <c r="Q42" s="211">
        <v>0.30595</v>
      </c>
      <c r="R42" s="211">
        <v>0.31252000000000002</v>
      </c>
      <c r="S42" s="211">
        <v>0.317911</v>
      </c>
      <c r="T42" s="211">
        <v>0.32267299999999999</v>
      </c>
      <c r="U42" s="211">
        <v>0.32754699999999998</v>
      </c>
      <c r="V42" s="211">
        <v>0.33221099999999998</v>
      </c>
      <c r="W42" s="211">
        <v>0.33520299999999997</v>
      </c>
      <c r="X42" s="211">
        <v>0.33737800000000001</v>
      </c>
      <c r="Y42" s="211">
        <v>0.33995199999999998</v>
      </c>
      <c r="Z42" s="211">
        <v>0.34246199999999999</v>
      </c>
      <c r="AA42" s="211">
        <v>0.34548699999999999</v>
      </c>
      <c r="AB42" s="211">
        <v>0.34853699999999999</v>
      </c>
      <c r="AC42" s="211">
        <v>0.351078</v>
      </c>
      <c r="AD42" s="211">
        <v>0.35373399999999999</v>
      </c>
      <c r="AE42" s="211">
        <v>0.35739300000000002</v>
      </c>
      <c r="AF42" s="212">
        <v>2.5246000000000001E-2</v>
      </c>
      <c r="AG42" s="31"/>
    </row>
    <row r="43" spans="1:33">
      <c r="A43" s="30" t="s">
        <v>439</v>
      </c>
      <c r="B43" s="210" t="s">
        <v>1039</v>
      </c>
      <c r="C43" s="211">
        <v>2.7640999999999999E-2</v>
      </c>
      <c r="D43" s="211">
        <v>3.0197000000000002E-2</v>
      </c>
      <c r="E43" s="211">
        <v>3.2635999999999998E-2</v>
      </c>
      <c r="F43" s="211">
        <v>3.4937000000000003E-2</v>
      </c>
      <c r="G43" s="211">
        <v>3.7206000000000003E-2</v>
      </c>
      <c r="H43" s="211">
        <v>3.9183000000000003E-2</v>
      </c>
      <c r="I43" s="211">
        <v>4.0808999999999998E-2</v>
      </c>
      <c r="J43" s="211">
        <v>4.1921E-2</v>
      </c>
      <c r="K43" s="211">
        <v>4.2710999999999999E-2</v>
      </c>
      <c r="L43" s="211">
        <v>4.3318000000000002E-2</v>
      </c>
      <c r="M43" s="211">
        <v>4.3885E-2</v>
      </c>
      <c r="N43" s="211">
        <v>4.4438999999999999E-2</v>
      </c>
      <c r="O43" s="211">
        <v>4.5072000000000001E-2</v>
      </c>
      <c r="P43" s="211">
        <v>4.5765E-2</v>
      </c>
      <c r="Q43" s="211">
        <v>4.6310999999999998E-2</v>
      </c>
      <c r="R43" s="211">
        <v>4.6865999999999998E-2</v>
      </c>
      <c r="S43" s="211">
        <v>4.7247999999999998E-2</v>
      </c>
      <c r="T43" s="211">
        <v>4.7566999999999998E-2</v>
      </c>
      <c r="U43" s="211">
        <v>4.7884999999999997E-2</v>
      </c>
      <c r="V43" s="211">
        <v>4.8297E-2</v>
      </c>
      <c r="W43" s="211">
        <v>4.8665E-2</v>
      </c>
      <c r="X43" s="211">
        <v>4.8979000000000002E-2</v>
      </c>
      <c r="Y43" s="211">
        <v>4.9224999999999998E-2</v>
      </c>
      <c r="Z43" s="211">
        <v>4.9414E-2</v>
      </c>
      <c r="AA43" s="211">
        <v>4.9660999999999997E-2</v>
      </c>
      <c r="AB43" s="211">
        <v>4.9919999999999999E-2</v>
      </c>
      <c r="AC43" s="211">
        <v>5.0112999999999998E-2</v>
      </c>
      <c r="AD43" s="211">
        <v>5.0276000000000001E-2</v>
      </c>
      <c r="AE43" s="211">
        <v>5.0529999999999999E-2</v>
      </c>
      <c r="AF43" s="212">
        <v>2.1777999999999999E-2</v>
      </c>
      <c r="AG43" s="31"/>
    </row>
    <row r="44" spans="1:33">
      <c r="A44" s="30" t="s">
        <v>440</v>
      </c>
      <c r="B44" s="210" t="s">
        <v>1040</v>
      </c>
      <c r="C44" s="211">
        <v>2.1454529999999998</v>
      </c>
      <c r="D44" s="211">
        <v>2.1948080000000001</v>
      </c>
      <c r="E44" s="211">
        <v>2.238753</v>
      </c>
      <c r="F44" s="211">
        <v>2.2810100000000002</v>
      </c>
      <c r="G44" s="211">
        <v>2.3176160000000001</v>
      </c>
      <c r="H44" s="211">
        <v>2.333008</v>
      </c>
      <c r="I44" s="211">
        <v>2.3302770000000002</v>
      </c>
      <c r="J44" s="211">
        <v>2.3079909999999999</v>
      </c>
      <c r="K44" s="211">
        <v>2.2735799999999999</v>
      </c>
      <c r="L44" s="211">
        <v>2.2439960000000001</v>
      </c>
      <c r="M44" s="211">
        <v>2.2315640000000001</v>
      </c>
      <c r="N44" s="211">
        <v>2.2348680000000001</v>
      </c>
      <c r="O44" s="211">
        <v>2.258435</v>
      </c>
      <c r="P44" s="211">
        <v>2.300837</v>
      </c>
      <c r="Q44" s="211">
        <v>2.3548930000000001</v>
      </c>
      <c r="R44" s="211">
        <v>2.4257279999999999</v>
      </c>
      <c r="S44" s="211">
        <v>2.5085950000000001</v>
      </c>
      <c r="T44" s="211">
        <v>2.603091</v>
      </c>
      <c r="U44" s="211">
        <v>2.7135720000000001</v>
      </c>
      <c r="V44" s="211">
        <v>2.839585</v>
      </c>
      <c r="W44" s="211">
        <v>2.9759509999999998</v>
      </c>
      <c r="X44" s="211">
        <v>3.1213359999999999</v>
      </c>
      <c r="Y44" s="211">
        <v>3.2739780000000001</v>
      </c>
      <c r="Z44" s="211">
        <v>3.4313400000000001</v>
      </c>
      <c r="AA44" s="211">
        <v>3.5991050000000002</v>
      </c>
      <c r="AB44" s="211">
        <v>3.7760549999999999</v>
      </c>
      <c r="AC44" s="211">
        <v>3.9549439999999998</v>
      </c>
      <c r="AD44" s="211">
        <v>4.1425939999999999</v>
      </c>
      <c r="AE44" s="211">
        <v>4.3523269999999998</v>
      </c>
      <c r="AF44" s="212">
        <v>2.5585E-2</v>
      </c>
      <c r="AG44" s="31"/>
    </row>
    <row r="45" spans="1:33">
      <c r="A45" s="30" t="s">
        <v>441</v>
      </c>
      <c r="B45" s="210" t="s">
        <v>1041</v>
      </c>
      <c r="C45" s="211">
        <v>0</v>
      </c>
      <c r="D45" s="211">
        <v>0</v>
      </c>
      <c r="E45" s="211">
        <v>0</v>
      </c>
      <c r="F45" s="211">
        <v>0</v>
      </c>
      <c r="G45" s="211">
        <v>0</v>
      </c>
      <c r="H45" s="211">
        <v>0</v>
      </c>
      <c r="I45" s="211">
        <v>0</v>
      </c>
      <c r="J45" s="211">
        <v>0</v>
      </c>
      <c r="K45" s="211">
        <v>0</v>
      </c>
      <c r="L45" s="211">
        <v>0</v>
      </c>
      <c r="M45" s="211">
        <v>0</v>
      </c>
      <c r="N45" s="211">
        <v>0</v>
      </c>
      <c r="O45" s="211">
        <v>0</v>
      </c>
      <c r="P45" s="211">
        <v>0</v>
      </c>
      <c r="Q45" s="211">
        <v>0</v>
      </c>
      <c r="R45" s="211">
        <v>0</v>
      </c>
      <c r="S45" s="211">
        <v>0</v>
      </c>
      <c r="T45" s="211">
        <v>0</v>
      </c>
      <c r="U45" s="211">
        <v>0</v>
      </c>
      <c r="V45" s="211">
        <v>0</v>
      </c>
      <c r="W45" s="211">
        <v>0</v>
      </c>
      <c r="X45" s="211">
        <v>0</v>
      </c>
      <c r="Y45" s="211">
        <v>0</v>
      </c>
      <c r="Z45" s="211">
        <v>0</v>
      </c>
      <c r="AA45" s="211">
        <v>0</v>
      </c>
      <c r="AB45" s="211">
        <v>0</v>
      </c>
      <c r="AC45" s="211">
        <v>0</v>
      </c>
      <c r="AD45" s="211">
        <v>0</v>
      </c>
      <c r="AE45" s="211">
        <v>0</v>
      </c>
      <c r="AF45" s="212" t="s">
        <v>340</v>
      </c>
      <c r="AG45" s="31"/>
    </row>
    <row r="46" spans="1:33">
      <c r="A46" s="30" t="s">
        <v>442</v>
      </c>
      <c r="B46" s="210" t="s">
        <v>1042</v>
      </c>
      <c r="C46" s="211">
        <v>4.2640000000000004E-3</v>
      </c>
      <c r="D46" s="211">
        <v>4.9620000000000003E-3</v>
      </c>
      <c r="E46" s="211">
        <v>5.5589999999999997E-3</v>
      </c>
      <c r="F46" s="211">
        <v>6.0879999999999997E-3</v>
      </c>
      <c r="G46" s="211">
        <v>6.5510000000000004E-3</v>
      </c>
      <c r="H46" s="211">
        <v>6.9119999999999997E-3</v>
      </c>
      <c r="I46" s="211">
        <v>7.1720000000000004E-3</v>
      </c>
      <c r="J46" s="211">
        <v>7.3239999999999998E-3</v>
      </c>
      <c r="K46" s="211">
        <v>7.3829999999999998E-3</v>
      </c>
      <c r="L46" s="211">
        <v>7.3670000000000003E-3</v>
      </c>
      <c r="M46" s="211">
        <v>7.2839999999999997E-3</v>
      </c>
      <c r="N46" s="211">
        <v>7.1079999999999997E-3</v>
      </c>
      <c r="O46" s="211">
        <v>6.8630000000000002E-3</v>
      </c>
      <c r="P46" s="211">
        <v>6.574E-3</v>
      </c>
      <c r="Q46" s="211">
        <v>6.2440000000000004E-3</v>
      </c>
      <c r="R46" s="211">
        <v>5.9220000000000002E-3</v>
      </c>
      <c r="S46" s="211">
        <v>5.6039999999999996E-3</v>
      </c>
      <c r="T46" s="211">
        <v>5.2440000000000004E-3</v>
      </c>
      <c r="U46" s="211">
        <v>4.8760000000000001E-3</v>
      </c>
      <c r="V46" s="211">
        <v>4.5599999999999998E-3</v>
      </c>
      <c r="W46" s="211">
        <v>4.2989999999999999E-3</v>
      </c>
      <c r="X46" s="211">
        <v>4.0299999999999997E-3</v>
      </c>
      <c r="Y46" s="211">
        <v>3.7850000000000002E-3</v>
      </c>
      <c r="Z46" s="211">
        <v>3.5599999999999998E-3</v>
      </c>
      <c r="AA46" s="211">
        <v>3.3570000000000002E-3</v>
      </c>
      <c r="AB46" s="211">
        <v>3.1700000000000001E-3</v>
      </c>
      <c r="AC46" s="211">
        <v>2.9910000000000002E-3</v>
      </c>
      <c r="AD46" s="211">
        <v>2.826E-3</v>
      </c>
      <c r="AE46" s="211">
        <v>2.6809999999999998E-3</v>
      </c>
      <c r="AF46" s="212">
        <v>-1.6431000000000001E-2</v>
      </c>
      <c r="AG46" s="31"/>
    </row>
    <row r="47" spans="1:33">
      <c r="A47" s="30" t="s">
        <v>443</v>
      </c>
      <c r="B47" s="210" t="s">
        <v>1043</v>
      </c>
      <c r="C47" s="211">
        <v>0</v>
      </c>
      <c r="D47" s="211">
        <v>0</v>
      </c>
      <c r="E47" s="211">
        <v>1.2459999999999999E-3</v>
      </c>
      <c r="F47" s="211">
        <v>2.4299999999999999E-3</v>
      </c>
      <c r="G47" s="211">
        <v>3.5999999999999999E-3</v>
      </c>
      <c r="H47" s="211">
        <v>4.7790000000000003E-3</v>
      </c>
      <c r="I47" s="211">
        <v>5.9699999999999996E-3</v>
      </c>
      <c r="J47" s="211">
        <v>7.1459999999999996E-3</v>
      </c>
      <c r="K47" s="211">
        <v>8.3099999999999997E-3</v>
      </c>
      <c r="L47" s="211">
        <v>9.4830000000000001E-3</v>
      </c>
      <c r="M47" s="211">
        <v>1.0697E-2</v>
      </c>
      <c r="N47" s="211">
        <v>1.1908E-2</v>
      </c>
      <c r="O47" s="211">
        <v>1.3110999999999999E-2</v>
      </c>
      <c r="P47" s="211">
        <v>1.4297000000000001E-2</v>
      </c>
      <c r="Q47" s="211">
        <v>1.5442000000000001E-2</v>
      </c>
      <c r="R47" s="211">
        <v>1.6583000000000001E-2</v>
      </c>
      <c r="S47" s="211">
        <v>1.7701999999999999E-2</v>
      </c>
      <c r="T47" s="211">
        <v>1.8821000000000001E-2</v>
      </c>
      <c r="U47" s="211">
        <v>1.9993E-2</v>
      </c>
      <c r="V47" s="211">
        <v>2.1249000000000001E-2</v>
      </c>
      <c r="W47" s="211">
        <v>2.2599000000000001E-2</v>
      </c>
      <c r="X47" s="211">
        <v>2.4008999999999999E-2</v>
      </c>
      <c r="Y47" s="211">
        <v>2.5467E-2</v>
      </c>
      <c r="Z47" s="211">
        <v>2.7012999999999999E-2</v>
      </c>
      <c r="AA47" s="211">
        <v>2.8766E-2</v>
      </c>
      <c r="AB47" s="211">
        <v>3.0682000000000001E-2</v>
      </c>
      <c r="AC47" s="211">
        <v>3.2723000000000002E-2</v>
      </c>
      <c r="AD47" s="211">
        <v>3.4948E-2</v>
      </c>
      <c r="AE47" s="211">
        <v>3.7458999999999999E-2</v>
      </c>
      <c r="AF47" s="212" t="s">
        <v>340</v>
      </c>
      <c r="AG47" s="31"/>
    </row>
    <row r="48" spans="1:33">
      <c r="A48" s="30" t="s">
        <v>444</v>
      </c>
      <c r="B48" s="210" t="s">
        <v>1044</v>
      </c>
      <c r="C48" s="211">
        <v>0</v>
      </c>
      <c r="D48" s="211">
        <v>0</v>
      </c>
      <c r="E48" s="211">
        <v>2.7629999999999998E-3</v>
      </c>
      <c r="F48" s="211">
        <v>5.3410000000000003E-3</v>
      </c>
      <c r="G48" s="211">
        <v>7.8609999999999999E-3</v>
      </c>
      <c r="H48" s="211">
        <v>1.0366999999999999E-2</v>
      </c>
      <c r="I48" s="211">
        <v>1.2848999999999999E-2</v>
      </c>
      <c r="J48" s="211">
        <v>1.5254999999999999E-2</v>
      </c>
      <c r="K48" s="211">
        <v>1.7602E-2</v>
      </c>
      <c r="L48" s="211">
        <v>1.9949999999999999E-2</v>
      </c>
      <c r="M48" s="211">
        <v>2.2349999999999998E-2</v>
      </c>
      <c r="N48" s="211">
        <v>2.4709999999999999E-2</v>
      </c>
      <c r="O48" s="211">
        <v>2.7015999999999998E-2</v>
      </c>
      <c r="P48" s="211">
        <v>2.9253000000000001E-2</v>
      </c>
      <c r="Q48" s="211">
        <v>3.1358999999999998E-2</v>
      </c>
      <c r="R48" s="211">
        <v>3.3411999999999997E-2</v>
      </c>
      <c r="S48" s="211">
        <v>3.5375999999999998E-2</v>
      </c>
      <c r="T48" s="211">
        <v>3.7298999999999999E-2</v>
      </c>
      <c r="U48" s="211">
        <v>3.9281999999999997E-2</v>
      </c>
      <c r="V48" s="211">
        <v>4.1389000000000002E-2</v>
      </c>
      <c r="W48" s="211">
        <v>4.3633999999999999E-2</v>
      </c>
      <c r="X48" s="211">
        <v>4.5939000000000001E-2</v>
      </c>
      <c r="Y48" s="211">
        <v>4.8251000000000002E-2</v>
      </c>
      <c r="Z48" s="211">
        <v>5.0642E-2</v>
      </c>
      <c r="AA48" s="211">
        <v>5.3318999999999998E-2</v>
      </c>
      <c r="AB48" s="211">
        <v>5.6163999999999999E-2</v>
      </c>
      <c r="AC48" s="211">
        <v>5.9069999999999998E-2</v>
      </c>
      <c r="AD48" s="211">
        <v>6.2129999999999998E-2</v>
      </c>
      <c r="AE48" s="211">
        <v>6.5481999999999999E-2</v>
      </c>
      <c r="AF48" s="212" t="s">
        <v>340</v>
      </c>
      <c r="AG48" s="31"/>
    </row>
    <row r="49" spans="1:33">
      <c r="A49" s="30" t="s">
        <v>445</v>
      </c>
      <c r="B49" s="210" t="s">
        <v>1045</v>
      </c>
      <c r="C49" s="211">
        <v>0</v>
      </c>
      <c r="D49" s="211">
        <v>0</v>
      </c>
      <c r="E49" s="211">
        <v>6.7799999999999996E-3</v>
      </c>
      <c r="F49" s="211">
        <v>1.3259E-2</v>
      </c>
      <c r="G49" s="211">
        <v>1.9751000000000001E-2</v>
      </c>
      <c r="H49" s="211">
        <v>2.6343999999999999E-2</v>
      </c>
      <c r="I49" s="211">
        <v>3.2989999999999998E-2</v>
      </c>
      <c r="J49" s="211">
        <v>3.9545999999999998E-2</v>
      </c>
      <c r="K49" s="211">
        <v>4.5989000000000002E-2</v>
      </c>
      <c r="L49" s="211">
        <v>5.2422999999999997E-2</v>
      </c>
      <c r="M49" s="211">
        <v>5.8964999999999997E-2</v>
      </c>
      <c r="N49" s="211">
        <v>6.5315999999999999E-2</v>
      </c>
      <c r="O49" s="211">
        <v>7.1456000000000006E-2</v>
      </c>
      <c r="P49" s="211">
        <v>7.7359999999999998E-2</v>
      </c>
      <c r="Q49" s="211">
        <v>8.2834000000000005E-2</v>
      </c>
      <c r="R49" s="211">
        <v>8.8063000000000002E-2</v>
      </c>
      <c r="S49" s="211">
        <v>9.2966999999999994E-2</v>
      </c>
      <c r="T49" s="211">
        <v>9.7628999999999994E-2</v>
      </c>
      <c r="U49" s="211">
        <v>0.102295</v>
      </c>
      <c r="V49" s="211">
        <v>0.107098</v>
      </c>
      <c r="W49" s="211">
        <v>0.112072</v>
      </c>
      <c r="X49" s="211">
        <v>0.117018</v>
      </c>
      <c r="Y49" s="211">
        <v>0.121867</v>
      </c>
      <c r="Z49" s="211">
        <v>0.126833</v>
      </c>
      <c r="AA49" s="211">
        <v>0.13251499999999999</v>
      </c>
      <c r="AB49" s="211">
        <v>0.13867199999999999</v>
      </c>
      <c r="AC49" s="211">
        <v>0.14514199999999999</v>
      </c>
      <c r="AD49" s="211">
        <v>0.15223400000000001</v>
      </c>
      <c r="AE49" s="211">
        <v>0.16041800000000001</v>
      </c>
      <c r="AF49" s="212" t="s">
        <v>340</v>
      </c>
      <c r="AG49" s="31"/>
    </row>
    <row r="50" spans="1:33">
      <c r="A50" s="30" t="s">
        <v>446</v>
      </c>
      <c r="B50" s="210" t="s">
        <v>1050</v>
      </c>
      <c r="C50" s="211">
        <v>187.21160900000001</v>
      </c>
      <c r="D50" s="211">
        <v>186.77065999999999</v>
      </c>
      <c r="E50" s="211">
        <v>187.000778</v>
      </c>
      <c r="F50" s="211">
        <v>188.45283499999999</v>
      </c>
      <c r="G50" s="211">
        <v>190.68485999999999</v>
      </c>
      <c r="H50" s="211">
        <v>192.55638099999999</v>
      </c>
      <c r="I50" s="211">
        <v>194.11634799999999</v>
      </c>
      <c r="J50" s="211">
        <v>194.965881</v>
      </c>
      <c r="K50" s="211">
        <v>195.39752200000001</v>
      </c>
      <c r="L50" s="211">
        <v>195.89364599999999</v>
      </c>
      <c r="M50" s="211">
        <v>196.827133</v>
      </c>
      <c r="N50" s="211">
        <v>197.409042</v>
      </c>
      <c r="O50" s="211">
        <v>197.923721</v>
      </c>
      <c r="P50" s="211">
        <v>198.56163000000001</v>
      </c>
      <c r="Q50" s="211">
        <v>198.940033</v>
      </c>
      <c r="R50" s="211">
        <v>199.57363900000001</v>
      </c>
      <c r="S50" s="211">
        <v>200.20254499999999</v>
      </c>
      <c r="T50" s="211">
        <v>200.71847500000001</v>
      </c>
      <c r="U50" s="211">
        <v>201.372726</v>
      </c>
      <c r="V50" s="211">
        <v>202.11119099999999</v>
      </c>
      <c r="W50" s="211">
        <v>202.83833300000001</v>
      </c>
      <c r="X50" s="211">
        <v>203.409256</v>
      </c>
      <c r="Y50" s="211">
        <v>203.777603</v>
      </c>
      <c r="Z50" s="211">
        <v>203.91366600000001</v>
      </c>
      <c r="AA50" s="211">
        <v>204.18713399999999</v>
      </c>
      <c r="AB50" s="211">
        <v>204.44009399999999</v>
      </c>
      <c r="AC50" s="211">
        <v>204.41752600000001</v>
      </c>
      <c r="AD50" s="211">
        <v>204.47378499999999</v>
      </c>
      <c r="AE50" s="211">
        <v>205.13784799999999</v>
      </c>
      <c r="AF50" s="212">
        <v>3.271E-3</v>
      </c>
      <c r="AG50" s="31"/>
    </row>
    <row r="51" spans="1:33">
      <c r="A51" s="30" t="s">
        <v>447</v>
      </c>
      <c r="B51" s="209" t="s">
        <v>448</v>
      </c>
      <c r="C51" s="213">
        <v>321.95382699999999</v>
      </c>
      <c r="D51" s="213">
        <v>320.71957400000002</v>
      </c>
      <c r="E51" s="213">
        <v>321.15536500000002</v>
      </c>
      <c r="F51" s="213">
        <v>324.03747600000003</v>
      </c>
      <c r="G51" s="213">
        <v>328.449524</v>
      </c>
      <c r="H51" s="213">
        <v>332.317474</v>
      </c>
      <c r="I51" s="213">
        <v>335.87713600000001</v>
      </c>
      <c r="J51" s="213">
        <v>338.61987299999998</v>
      </c>
      <c r="K51" s="213">
        <v>341.150757</v>
      </c>
      <c r="L51" s="213">
        <v>344.15997299999998</v>
      </c>
      <c r="M51" s="213">
        <v>348.16451999999998</v>
      </c>
      <c r="N51" s="213">
        <v>351.53851300000002</v>
      </c>
      <c r="O51" s="213">
        <v>354.827271</v>
      </c>
      <c r="P51" s="213">
        <v>358.34310900000003</v>
      </c>
      <c r="Q51" s="213">
        <v>361.39160199999998</v>
      </c>
      <c r="R51" s="213">
        <v>364.92498799999998</v>
      </c>
      <c r="S51" s="213">
        <v>368.37805200000003</v>
      </c>
      <c r="T51" s="213">
        <v>371.80917399999998</v>
      </c>
      <c r="U51" s="213">
        <v>375.585419</v>
      </c>
      <c r="V51" s="213">
        <v>379.58303799999999</v>
      </c>
      <c r="W51" s="213">
        <v>383.51110799999998</v>
      </c>
      <c r="X51" s="213">
        <v>387.20507800000001</v>
      </c>
      <c r="Y51" s="213">
        <v>390.63012700000002</v>
      </c>
      <c r="Z51" s="213">
        <v>393.83450299999998</v>
      </c>
      <c r="AA51" s="213">
        <v>397.53842200000003</v>
      </c>
      <c r="AB51" s="213">
        <v>401.35025000000002</v>
      </c>
      <c r="AC51" s="213">
        <v>404.65438799999998</v>
      </c>
      <c r="AD51" s="213">
        <v>408.21890300000001</v>
      </c>
      <c r="AE51" s="213">
        <v>413.07754499999999</v>
      </c>
      <c r="AF51" s="214">
        <v>8.9409999999999993E-3</v>
      </c>
      <c r="AG51" s="31"/>
    </row>
    <row r="52" spans="1:33">
      <c r="A52" s="29"/>
      <c r="B52" s="31"/>
      <c r="C52" s="31"/>
      <c r="D52" s="31"/>
      <c r="E52" s="31"/>
      <c r="F52" s="31"/>
      <c r="G52" s="31"/>
      <c r="H52" s="31"/>
      <c r="I52" s="31"/>
      <c r="J52" s="31"/>
      <c r="K52" s="31"/>
      <c r="L52" s="31"/>
      <c r="M52" s="31"/>
      <c r="N52" s="31"/>
      <c r="O52" s="31"/>
      <c r="P52" s="31"/>
      <c r="Q52" s="31"/>
      <c r="R52" s="31"/>
      <c r="S52" s="31"/>
      <c r="T52" s="31"/>
      <c r="U52" s="31"/>
      <c r="V52" s="31"/>
      <c r="W52" s="31"/>
      <c r="X52" s="31"/>
      <c r="Y52" s="31"/>
      <c r="Z52" s="31"/>
      <c r="AA52" s="31"/>
      <c r="AB52" s="31"/>
      <c r="AC52" s="31"/>
      <c r="AD52" s="31"/>
      <c r="AE52" s="31"/>
      <c r="AF52" s="31"/>
      <c r="AG52" s="31"/>
    </row>
    <row r="53" spans="1:33">
      <c r="A53" s="29"/>
      <c r="B53" s="209" t="s">
        <v>449</v>
      </c>
      <c r="C53" s="31"/>
      <c r="D53" s="31"/>
      <c r="E53" s="31"/>
      <c r="F53" s="31"/>
      <c r="G53" s="31"/>
      <c r="H53" s="31"/>
      <c r="I53" s="31"/>
      <c r="J53" s="31"/>
      <c r="K53" s="31"/>
      <c r="L53" s="31"/>
      <c r="M53" s="31"/>
      <c r="N53" s="31"/>
      <c r="O53" s="31"/>
      <c r="P53" s="31"/>
      <c r="Q53" s="31"/>
      <c r="R53" s="31"/>
      <c r="S53" s="31"/>
      <c r="T53" s="31"/>
      <c r="U53" s="31"/>
      <c r="V53" s="31"/>
      <c r="W53" s="31"/>
      <c r="X53" s="31"/>
      <c r="Y53" s="31"/>
      <c r="Z53" s="31"/>
      <c r="AA53" s="31"/>
      <c r="AB53" s="31"/>
      <c r="AC53" s="31"/>
      <c r="AD53" s="31"/>
      <c r="AE53" s="31"/>
      <c r="AF53" s="31"/>
      <c r="AG53" s="31"/>
    </row>
    <row r="54" spans="1:33">
      <c r="A54" s="29"/>
      <c r="B54" s="209" t="s">
        <v>1036</v>
      </c>
      <c r="C54" s="31"/>
      <c r="D54" s="31"/>
      <c r="E54" s="31"/>
      <c r="F54" s="31"/>
      <c r="G54" s="31"/>
      <c r="H54" s="31"/>
      <c r="I54" s="31"/>
      <c r="J54" s="31"/>
      <c r="K54" s="31"/>
      <c r="L54" s="31"/>
      <c r="M54" s="31"/>
      <c r="N54" s="31"/>
      <c r="O54" s="31"/>
      <c r="P54" s="31"/>
      <c r="Q54" s="31"/>
      <c r="R54" s="31"/>
      <c r="S54" s="31"/>
      <c r="T54" s="31"/>
      <c r="U54" s="31"/>
      <c r="V54" s="31"/>
      <c r="W54" s="31"/>
      <c r="X54" s="31"/>
      <c r="Y54" s="31"/>
      <c r="Z54" s="31"/>
      <c r="AA54" s="31"/>
      <c r="AB54" s="31"/>
      <c r="AC54" s="31"/>
      <c r="AD54" s="31"/>
      <c r="AE54" s="31"/>
      <c r="AF54" s="31"/>
      <c r="AG54" s="31"/>
    </row>
    <row r="55" spans="1:33">
      <c r="A55" s="30" t="s">
        <v>450</v>
      </c>
      <c r="B55" s="210" t="s">
        <v>1037</v>
      </c>
      <c r="C55" s="211">
        <v>503.23831200000001</v>
      </c>
      <c r="D55" s="211">
        <v>484.80926499999998</v>
      </c>
      <c r="E55" s="211">
        <v>470.10183699999999</v>
      </c>
      <c r="F55" s="211">
        <v>459.78448500000002</v>
      </c>
      <c r="G55" s="211">
        <v>451.87814300000002</v>
      </c>
      <c r="H55" s="211">
        <v>443.24606299999999</v>
      </c>
      <c r="I55" s="211">
        <v>435.43273900000003</v>
      </c>
      <c r="J55" s="211">
        <v>428.57592799999998</v>
      </c>
      <c r="K55" s="211">
        <v>424.18490600000001</v>
      </c>
      <c r="L55" s="211">
        <v>422.56686400000001</v>
      </c>
      <c r="M55" s="211">
        <v>423.05703699999998</v>
      </c>
      <c r="N55" s="211">
        <v>423.25711100000001</v>
      </c>
      <c r="O55" s="211">
        <v>424.284088</v>
      </c>
      <c r="P55" s="211">
        <v>426.25698899999998</v>
      </c>
      <c r="Q55" s="211">
        <v>428.07437099999999</v>
      </c>
      <c r="R55" s="211">
        <v>430.74142499999999</v>
      </c>
      <c r="S55" s="211">
        <v>433.84167500000001</v>
      </c>
      <c r="T55" s="211">
        <v>437.71460000000002</v>
      </c>
      <c r="U55" s="211">
        <v>442.68820199999999</v>
      </c>
      <c r="V55" s="211">
        <v>448.15237400000001</v>
      </c>
      <c r="W55" s="211">
        <v>453.842896</v>
      </c>
      <c r="X55" s="211">
        <v>459.89022799999998</v>
      </c>
      <c r="Y55" s="211">
        <v>466.29980499999999</v>
      </c>
      <c r="Z55" s="211">
        <v>473.53125</v>
      </c>
      <c r="AA55" s="211">
        <v>482.34017899999998</v>
      </c>
      <c r="AB55" s="211">
        <v>491.89630099999999</v>
      </c>
      <c r="AC55" s="211">
        <v>501.23675500000002</v>
      </c>
      <c r="AD55" s="211">
        <v>511.31161500000002</v>
      </c>
      <c r="AE55" s="211">
        <v>523.31237799999997</v>
      </c>
      <c r="AF55" s="212">
        <v>1.3979999999999999E-3</v>
      </c>
      <c r="AG55" s="31"/>
    </row>
    <row r="56" spans="1:33">
      <c r="A56" s="30" t="s">
        <v>451</v>
      </c>
      <c r="B56" s="210" t="s">
        <v>1038</v>
      </c>
      <c r="C56" s="211">
        <v>196.41987599999999</v>
      </c>
      <c r="D56" s="211">
        <v>201.42117300000001</v>
      </c>
      <c r="E56" s="211">
        <v>206.93258700000001</v>
      </c>
      <c r="F56" s="211">
        <v>213.48280299999999</v>
      </c>
      <c r="G56" s="211">
        <v>220.532242</v>
      </c>
      <c r="H56" s="211">
        <v>226.21765099999999</v>
      </c>
      <c r="I56" s="211">
        <v>231.31050099999999</v>
      </c>
      <c r="J56" s="211">
        <v>235.959091</v>
      </c>
      <c r="K56" s="211">
        <v>241.020599</v>
      </c>
      <c r="L56" s="211">
        <v>246.62307699999999</v>
      </c>
      <c r="M56" s="211">
        <v>253.26930200000001</v>
      </c>
      <c r="N56" s="211">
        <v>259.52279700000003</v>
      </c>
      <c r="O56" s="211">
        <v>265.59988399999997</v>
      </c>
      <c r="P56" s="211">
        <v>271.63848899999999</v>
      </c>
      <c r="Q56" s="211">
        <v>277.36450200000002</v>
      </c>
      <c r="R56" s="211">
        <v>283.44360399999999</v>
      </c>
      <c r="S56" s="211">
        <v>289.37484699999999</v>
      </c>
      <c r="T56" s="211">
        <v>295.02786300000002</v>
      </c>
      <c r="U56" s="211">
        <v>300.90585299999998</v>
      </c>
      <c r="V56" s="211">
        <v>307.12255900000002</v>
      </c>
      <c r="W56" s="211">
        <v>313.00485200000003</v>
      </c>
      <c r="X56" s="211">
        <v>318.11236600000001</v>
      </c>
      <c r="Y56" s="211">
        <v>322.94775399999997</v>
      </c>
      <c r="Z56" s="211">
        <v>327.87622099999999</v>
      </c>
      <c r="AA56" s="211">
        <v>333.58059700000001</v>
      </c>
      <c r="AB56" s="211">
        <v>339.54461700000002</v>
      </c>
      <c r="AC56" s="211">
        <v>345.05282599999998</v>
      </c>
      <c r="AD56" s="211">
        <v>350.95578</v>
      </c>
      <c r="AE56" s="211">
        <v>358.22073399999999</v>
      </c>
      <c r="AF56" s="212">
        <v>2.1693E-2</v>
      </c>
      <c r="AG56" s="31"/>
    </row>
    <row r="57" spans="1:33">
      <c r="A57" s="30" t="s">
        <v>452</v>
      </c>
      <c r="B57" s="210" t="s">
        <v>1039</v>
      </c>
      <c r="C57" s="211">
        <v>8.8240000000000002E-3</v>
      </c>
      <c r="D57" s="211">
        <v>7.9077999999999996E-2</v>
      </c>
      <c r="E57" s="211">
        <v>0.148368</v>
      </c>
      <c r="F57" s="211">
        <v>0.21179600000000001</v>
      </c>
      <c r="G57" s="211">
        <v>0.27223000000000003</v>
      </c>
      <c r="H57" s="211">
        <v>0.32808500000000002</v>
      </c>
      <c r="I57" s="211">
        <v>0.38041599999999998</v>
      </c>
      <c r="J57" s="211">
        <v>0.42970399999999997</v>
      </c>
      <c r="K57" s="211">
        <v>0.47746899999999998</v>
      </c>
      <c r="L57" s="211">
        <v>0.52570099999999997</v>
      </c>
      <c r="M57" s="211">
        <v>0.57518100000000005</v>
      </c>
      <c r="N57" s="211">
        <v>0.62354500000000002</v>
      </c>
      <c r="O57" s="211">
        <v>0.67189600000000005</v>
      </c>
      <c r="P57" s="211">
        <v>0.72209299999999998</v>
      </c>
      <c r="Q57" s="211">
        <v>0.774258</v>
      </c>
      <c r="R57" s="211">
        <v>0.83129299999999995</v>
      </c>
      <c r="S57" s="211">
        <v>0.89303100000000002</v>
      </c>
      <c r="T57" s="211">
        <v>0.96070500000000003</v>
      </c>
      <c r="U57" s="211">
        <v>1.0362130000000001</v>
      </c>
      <c r="V57" s="211">
        <v>1.1198399999999999</v>
      </c>
      <c r="W57" s="211">
        <v>1.2106049999999999</v>
      </c>
      <c r="X57" s="211">
        <v>1.308586</v>
      </c>
      <c r="Y57" s="211">
        <v>1.4124559999999999</v>
      </c>
      <c r="Z57" s="211">
        <v>1.5254019999999999</v>
      </c>
      <c r="AA57" s="211">
        <v>1.6511499999999999</v>
      </c>
      <c r="AB57" s="211">
        <v>1.7869219999999999</v>
      </c>
      <c r="AC57" s="211">
        <v>1.9285939999999999</v>
      </c>
      <c r="AD57" s="211">
        <v>2.0794359999999998</v>
      </c>
      <c r="AE57" s="211">
        <v>2.2445430000000002</v>
      </c>
      <c r="AF57" s="212">
        <v>0.21873799999999999</v>
      </c>
      <c r="AG57" s="31"/>
    </row>
    <row r="58" spans="1:33">
      <c r="A58" s="30" t="s">
        <v>453</v>
      </c>
      <c r="B58" s="210" t="s">
        <v>1040</v>
      </c>
      <c r="C58" s="211">
        <v>0.19211600000000001</v>
      </c>
      <c r="D58" s="211">
        <v>0.174257</v>
      </c>
      <c r="E58" s="211">
        <v>0.158799</v>
      </c>
      <c r="F58" s="211">
        <v>0.14580599999999999</v>
      </c>
      <c r="G58" s="211">
        <v>0.134438</v>
      </c>
      <c r="H58" s="211">
        <v>0.123654</v>
      </c>
      <c r="I58" s="211">
        <v>0.113679</v>
      </c>
      <c r="J58" s="211">
        <v>0.10448499999999999</v>
      </c>
      <c r="K58" s="211">
        <v>9.6243999999999996E-2</v>
      </c>
      <c r="L58" s="211">
        <v>8.8942999999999994E-2</v>
      </c>
      <c r="M58" s="211">
        <v>8.2427E-2</v>
      </c>
      <c r="N58" s="211">
        <v>7.5772999999999993E-2</v>
      </c>
      <c r="O58" s="211">
        <v>6.8821999999999994E-2</v>
      </c>
      <c r="P58" s="211">
        <v>6.1432E-2</v>
      </c>
      <c r="Q58" s="211">
        <v>5.3884000000000001E-2</v>
      </c>
      <c r="R58" s="211">
        <v>4.5974000000000001E-2</v>
      </c>
      <c r="S58" s="211">
        <v>3.8684999999999997E-2</v>
      </c>
      <c r="T58" s="211">
        <v>3.2133000000000002E-2</v>
      </c>
      <c r="U58" s="211">
        <v>2.5618999999999999E-2</v>
      </c>
      <c r="V58" s="211">
        <v>2.0525000000000002E-2</v>
      </c>
      <c r="W58" s="211">
        <v>1.6806999999999999E-2</v>
      </c>
      <c r="X58" s="211">
        <v>1.4121999999999999E-2</v>
      </c>
      <c r="Y58" s="211">
        <v>1.2397999999999999E-2</v>
      </c>
      <c r="Z58" s="211">
        <v>1.1207999999999999E-2</v>
      </c>
      <c r="AA58" s="211">
        <v>1.0267E-2</v>
      </c>
      <c r="AB58" s="211">
        <v>9.6069999999999992E-3</v>
      </c>
      <c r="AC58" s="211">
        <v>8.7349999999999997E-3</v>
      </c>
      <c r="AD58" s="211">
        <v>7.7340000000000004E-3</v>
      </c>
      <c r="AE58" s="211">
        <v>6.4900000000000001E-3</v>
      </c>
      <c r="AF58" s="212">
        <v>-0.11396199999999999</v>
      </c>
      <c r="AG58" s="31"/>
    </row>
    <row r="59" spans="1:33">
      <c r="A59" s="30" t="s">
        <v>454</v>
      </c>
      <c r="B59" s="210" t="s">
        <v>1041</v>
      </c>
      <c r="C59" s="211">
        <v>45.964244999999998</v>
      </c>
      <c r="D59" s="211">
        <v>44.611794000000003</v>
      </c>
      <c r="E59" s="211">
        <v>43.499820999999997</v>
      </c>
      <c r="F59" s="211">
        <v>42.670467000000002</v>
      </c>
      <c r="G59" s="211">
        <v>42.056103</v>
      </c>
      <c r="H59" s="211">
        <v>41.417850000000001</v>
      </c>
      <c r="I59" s="211">
        <v>40.858673000000003</v>
      </c>
      <c r="J59" s="211">
        <v>40.401375000000002</v>
      </c>
      <c r="K59" s="211">
        <v>40.094642999999998</v>
      </c>
      <c r="L59" s="211">
        <v>39.995682000000002</v>
      </c>
      <c r="M59" s="211">
        <v>40.077168</v>
      </c>
      <c r="N59" s="211">
        <v>40.087780000000002</v>
      </c>
      <c r="O59" s="211">
        <v>39.881618000000003</v>
      </c>
      <c r="P59" s="211">
        <v>39.530631999999997</v>
      </c>
      <c r="Q59" s="211">
        <v>38.979152999999997</v>
      </c>
      <c r="R59" s="211">
        <v>38.427227000000002</v>
      </c>
      <c r="S59" s="211">
        <v>37.705452000000001</v>
      </c>
      <c r="T59" s="211">
        <v>37.000895999999997</v>
      </c>
      <c r="U59" s="211">
        <v>36.440112999999997</v>
      </c>
      <c r="V59" s="211">
        <v>36.083660000000002</v>
      </c>
      <c r="W59" s="211">
        <v>35.872028</v>
      </c>
      <c r="X59" s="211">
        <v>35.852294999999998</v>
      </c>
      <c r="Y59" s="211">
        <v>36.018428999999998</v>
      </c>
      <c r="Z59" s="211">
        <v>36.285957000000003</v>
      </c>
      <c r="AA59" s="211">
        <v>36.676158999999998</v>
      </c>
      <c r="AB59" s="211">
        <v>37.130253000000003</v>
      </c>
      <c r="AC59" s="211">
        <v>37.561069000000003</v>
      </c>
      <c r="AD59" s="211">
        <v>38.004097000000002</v>
      </c>
      <c r="AE59" s="211">
        <v>38.549273999999997</v>
      </c>
      <c r="AF59" s="212">
        <v>-6.2630000000000003E-3</v>
      </c>
      <c r="AG59" s="31"/>
    </row>
    <row r="60" spans="1:33">
      <c r="A60" s="30" t="s">
        <v>455</v>
      </c>
      <c r="B60" s="210" t="s">
        <v>1042</v>
      </c>
      <c r="C60" s="211">
        <v>4.6179999999999997E-3</v>
      </c>
      <c r="D60" s="211">
        <v>4.1770000000000002E-3</v>
      </c>
      <c r="E60" s="211">
        <v>3.8210000000000002E-3</v>
      </c>
      <c r="F60" s="211">
        <v>3.5539999999999999E-3</v>
      </c>
      <c r="G60" s="211">
        <v>3.3570000000000002E-3</v>
      </c>
      <c r="H60" s="211">
        <v>3.2000000000000002E-3</v>
      </c>
      <c r="I60" s="211">
        <v>3.0839999999999999E-3</v>
      </c>
      <c r="J60" s="211">
        <v>2.8990000000000001E-3</v>
      </c>
      <c r="K60" s="211">
        <v>2.6640000000000001E-3</v>
      </c>
      <c r="L60" s="211">
        <v>2.4459999999999998E-3</v>
      </c>
      <c r="M60" s="211">
        <v>2.2529999999999998E-3</v>
      </c>
      <c r="N60" s="211">
        <v>1.897E-3</v>
      </c>
      <c r="O60" s="211">
        <v>1.495E-3</v>
      </c>
      <c r="P60" s="211">
        <v>1.176E-3</v>
      </c>
      <c r="Q60" s="211">
        <v>9.2299999999999999E-4</v>
      </c>
      <c r="R60" s="211">
        <v>7.2400000000000003E-4</v>
      </c>
      <c r="S60" s="211">
        <v>5.6800000000000004E-4</v>
      </c>
      <c r="T60" s="211">
        <v>4.44E-4</v>
      </c>
      <c r="U60" s="211">
        <v>3.9599999999999998E-4</v>
      </c>
      <c r="V60" s="211">
        <v>3.8699999999999997E-4</v>
      </c>
      <c r="W60" s="211">
        <v>3.7800000000000003E-4</v>
      </c>
      <c r="X60" s="211">
        <v>3.68E-4</v>
      </c>
      <c r="Y60" s="211">
        <v>2.9799999999999998E-4</v>
      </c>
      <c r="Z60" s="211">
        <v>2.0900000000000001E-4</v>
      </c>
      <c r="AA60" s="211">
        <v>1.47E-4</v>
      </c>
      <c r="AB60" s="211">
        <v>1.03E-4</v>
      </c>
      <c r="AC60" s="211">
        <v>7.2999999999999999E-5</v>
      </c>
      <c r="AD60" s="211">
        <v>5.1E-5</v>
      </c>
      <c r="AE60" s="211">
        <v>3.6000000000000001E-5</v>
      </c>
      <c r="AF60" s="212">
        <v>-0.15909899999999999</v>
      </c>
      <c r="AG60" s="31"/>
    </row>
    <row r="61" spans="1:33">
      <c r="A61" s="30" t="s">
        <v>456</v>
      </c>
      <c r="B61" s="210" t="s">
        <v>1043</v>
      </c>
      <c r="C61" s="211">
        <v>0</v>
      </c>
      <c r="D61" s="211">
        <v>3.4696999999999999E-2</v>
      </c>
      <c r="E61" s="211">
        <v>6.8790000000000004E-2</v>
      </c>
      <c r="F61" s="211">
        <v>0.10378999999999999</v>
      </c>
      <c r="G61" s="211">
        <v>0.13921900000000001</v>
      </c>
      <c r="H61" s="211">
        <v>0.17366699999999999</v>
      </c>
      <c r="I61" s="211">
        <v>0.207235</v>
      </c>
      <c r="J61" s="211">
        <v>0.239813</v>
      </c>
      <c r="K61" s="211">
        <v>0.27203899999999998</v>
      </c>
      <c r="L61" s="211">
        <v>0.30468499999999998</v>
      </c>
      <c r="M61" s="211">
        <v>0.338422</v>
      </c>
      <c r="N61" s="211">
        <v>0.37222899999999998</v>
      </c>
      <c r="O61" s="211">
        <v>0.40734900000000002</v>
      </c>
      <c r="P61" s="211">
        <v>0.444994</v>
      </c>
      <c r="Q61" s="211">
        <v>0.48526599999999998</v>
      </c>
      <c r="R61" s="211">
        <v>0.53018200000000004</v>
      </c>
      <c r="S61" s="211">
        <v>0.58024100000000001</v>
      </c>
      <c r="T61" s="211">
        <v>0.63640699999999994</v>
      </c>
      <c r="U61" s="211">
        <v>0.70034300000000005</v>
      </c>
      <c r="V61" s="211">
        <v>0.77213600000000004</v>
      </c>
      <c r="W61" s="211">
        <v>0.85035000000000005</v>
      </c>
      <c r="X61" s="211">
        <v>0.93393899999999996</v>
      </c>
      <c r="Y61" s="211">
        <v>1.022764</v>
      </c>
      <c r="Z61" s="211">
        <v>1.1177969999999999</v>
      </c>
      <c r="AA61" s="211">
        <v>1.219284</v>
      </c>
      <c r="AB61" s="211">
        <v>1.324989</v>
      </c>
      <c r="AC61" s="211">
        <v>1.431711</v>
      </c>
      <c r="AD61" s="211">
        <v>1.542152</v>
      </c>
      <c r="AE61" s="211">
        <v>1.6598889999999999</v>
      </c>
      <c r="AF61" s="212" t="s">
        <v>340</v>
      </c>
      <c r="AG61" s="31"/>
    </row>
    <row r="62" spans="1:33">
      <c r="A62" s="30" t="s">
        <v>457</v>
      </c>
      <c r="B62" s="210" t="s">
        <v>1044</v>
      </c>
      <c r="C62" s="211">
        <v>0</v>
      </c>
      <c r="D62" s="211">
        <v>3.9742E-2</v>
      </c>
      <c r="E62" s="211">
        <v>7.9436000000000007E-2</v>
      </c>
      <c r="F62" s="211">
        <v>0.11969100000000001</v>
      </c>
      <c r="G62" s="211">
        <v>0.160329</v>
      </c>
      <c r="H62" s="211">
        <v>0.19969200000000001</v>
      </c>
      <c r="I62" s="211">
        <v>0.23766300000000001</v>
      </c>
      <c r="J62" s="211">
        <v>0.27445999999999998</v>
      </c>
      <c r="K62" s="211">
        <v>0.311191</v>
      </c>
      <c r="L62" s="211">
        <v>0.34926800000000002</v>
      </c>
      <c r="M62" s="211">
        <v>0.38959700000000003</v>
      </c>
      <c r="N62" s="211">
        <v>0.43108600000000002</v>
      </c>
      <c r="O62" s="211">
        <v>0.47512700000000002</v>
      </c>
      <c r="P62" s="211">
        <v>0.523366</v>
      </c>
      <c r="Q62" s="211">
        <v>0.57591300000000001</v>
      </c>
      <c r="R62" s="211">
        <v>0.63542900000000002</v>
      </c>
      <c r="S62" s="211">
        <v>0.70260500000000004</v>
      </c>
      <c r="T62" s="211">
        <v>0.77890000000000004</v>
      </c>
      <c r="U62" s="211">
        <v>0.86641400000000002</v>
      </c>
      <c r="V62" s="211">
        <v>0.96546299999999996</v>
      </c>
      <c r="W62" s="211">
        <v>1.074376</v>
      </c>
      <c r="X62" s="211">
        <v>1.1920660000000001</v>
      </c>
      <c r="Y62" s="211">
        <v>1.317839</v>
      </c>
      <c r="Z62" s="211">
        <v>1.452814</v>
      </c>
      <c r="AA62" s="211">
        <v>1.5967849999999999</v>
      </c>
      <c r="AB62" s="211">
        <v>1.746942</v>
      </c>
      <c r="AC62" s="211">
        <v>1.89845</v>
      </c>
      <c r="AD62" s="211">
        <v>2.054983</v>
      </c>
      <c r="AE62" s="211">
        <v>2.2206440000000001</v>
      </c>
      <c r="AF62" s="212" t="s">
        <v>340</v>
      </c>
      <c r="AG62" s="31"/>
    </row>
    <row r="63" spans="1:33">
      <c r="A63" s="30" t="s">
        <v>458</v>
      </c>
      <c r="B63" s="210" t="s">
        <v>1045</v>
      </c>
      <c r="C63" s="211">
        <v>0</v>
      </c>
      <c r="D63" s="211">
        <v>0</v>
      </c>
      <c r="E63" s="211">
        <v>1.4E-5</v>
      </c>
      <c r="F63" s="211">
        <v>3.0000000000000001E-5</v>
      </c>
      <c r="G63" s="211">
        <v>4.6999999999999997E-5</v>
      </c>
      <c r="H63" s="211">
        <v>6.3E-5</v>
      </c>
      <c r="I63" s="211">
        <v>8.0000000000000007E-5</v>
      </c>
      <c r="J63" s="211">
        <v>9.5000000000000005E-5</v>
      </c>
      <c r="K63" s="211">
        <v>1.1E-4</v>
      </c>
      <c r="L63" s="211">
        <v>1.25E-4</v>
      </c>
      <c r="M63" s="211">
        <v>1.3999999999999999E-4</v>
      </c>
      <c r="N63" s="211">
        <v>1.5300000000000001E-4</v>
      </c>
      <c r="O63" s="211">
        <v>1.66E-4</v>
      </c>
      <c r="P63" s="211">
        <v>1.7699999999999999E-4</v>
      </c>
      <c r="Q63" s="211">
        <v>1.8799999999999999E-4</v>
      </c>
      <c r="R63" s="211">
        <v>1.9699999999999999E-4</v>
      </c>
      <c r="S63" s="211">
        <v>2.0599999999999999E-4</v>
      </c>
      <c r="T63" s="211">
        <v>2.1499999999999999E-4</v>
      </c>
      <c r="U63" s="211">
        <v>2.22E-4</v>
      </c>
      <c r="V63" s="211">
        <v>2.2900000000000001E-4</v>
      </c>
      <c r="W63" s="211">
        <v>2.3499999999999999E-4</v>
      </c>
      <c r="X63" s="211">
        <v>2.3900000000000001E-4</v>
      </c>
      <c r="Y63" s="211">
        <v>2.41E-4</v>
      </c>
      <c r="Z63" s="211">
        <v>2.43E-4</v>
      </c>
      <c r="AA63" s="211">
        <v>2.43E-4</v>
      </c>
      <c r="AB63" s="211">
        <v>2.41E-4</v>
      </c>
      <c r="AC63" s="211">
        <v>2.3800000000000001E-4</v>
      </c>
      <c r="AD63" s="211">
        <v>2.32E-4</v>
      </c>
      <c r="AE63" s="211">
        <v>2.2599999999999999E-4</v>
      </c>
      <c r="AF63" s="212" t="s">
        <v>340</v>
      </c>
      <c r="AG63" s="31"/>
    </row>
    <row r="64" spans="1:33">
      <c r="A64" s="30" t="s">
        <v>459</v>
      </c>
      <c r="B64" s="210" t="s">
        <v>1046</v>
      </c>
      <c r="C64" s="211">
        <v>745.82800299999997</v>
      </c>
      <c r="D64" s="211">
        <v>731.17419400000006</v>
      </c>
      <c r="E64" s="211">
        <v>720.99334699999997</v>
      </c>
      <c r="F64" s="211">
        <v>716.52270499999997</v>
      </c>
      <c r="G64" s="211">
        <v>715.17602499999998</v>
      </c>
      <c r="H64" s="211">
        <v>711.70977800000003</v>
      </c>
      <c r="I64" s="211">
        <v>708.54400599999997</v>
      </c>
      <c r="J64" s="211">
        <v>705.98767099999998</v>
      </c>
      <c r="K64" s="211">
        <v>706.45977800000003</v>
      </c>
      <c r="L64" s="211">
        <v>710.45648200000005</v>
      </c>
      <c r="M64" s="211">
        <v>717.79107699999997</v>
      </c>
      <c r="N64" s="211">
        <v>724.37237500000003</v>
      </c>
      <c r="O64" s="211">
        <v>731.39025900000001</v>
      </c>
      <c r="P64" s="211">
        <v>739.17913799999997</v>
      </c>
      <c r="Q64" s="211">
        <v>746.30835000000002</v>
      </c>
      <c r="R64" s="211">
        <v>754.65625</v>
      </c>
      <c r="S64" s="211">
        <v>763.13678000000004</v>
      </c>
      <c r="T64" s="211">
        <v>772.15191700000003</v>
      </c>
      <c r="U64" s="211">
        <v>782.66351299999997</v>
      </c>
      <c r="V64" s="211">
        <v>794.23699999999997</v>
      </c>
      <c r="W64" s="211">
        <v>805.87268100000006</v>
      </c>
      <c r="X64" s="211">
        <v>817.30413799999997</v>
      </c>
      <c r="Y64" s="211">
        <v>829.03204300000004</v>
      </c>
      <c r="Z64" s="211">
        <v>841.80078100000003</v>
      </c>
      <c r="AA64" s="211">
        <v>857.074524</v>
      </c>
      <c r="AB64" s="211">
        <v>873.44000200000005</v>
      </c>
      <c r="AC64" s="211">
        <v>889.11822500000005</v>
      </c>
      <c r="AD64" s="211">
        <v>905.955872</v>
      </c>
      <c r="AE64" s="211">
        <v>926.21386700000005</v>
      </c>
      <c r="AF64" s="212">
        <v>7.7660000000000003E-3</v>
      </c>
      <c r="AG64" s="31"/>
    </row>
    <row r="65" spans="1:33">
      <c r="A65" s="29"/>
      <c r="B65" s="209" t="s">
        <v>1047</v>
      </c>
      <c r="C65" s="31"/>
      <c r="D65" s="31"/>
      <c r="E65" s="31"/>
      <c r="F65" s="31"/>
      <c r="G65" s="31"/>
      <c r="H65" s="31"/>
      <c r="I65" s="31"/>
      <c r="J65" s="31"/>
      <c r="K65" s="31"/>
      <c r="L65" s="31"/>
      <c r="M65" s="31"/>
      <c r="N65" s="31"/>
      <c r="O65" s="31"/>
      <c r="P65" s="31"/>
      <c r="Q65" s="31"/>
      <c r="R65" s="31"/>
      <c r="S65" s="31"/>
      <c r="T65" s="31"/>
      <c r="U65" s="31"/>
      <c r="V65" s="31"/>
      <c r="W65" s="31"/>
      <c r="X65" s="31"/>
      <c r="Y65" s="31"/>
      <c r="Z65" s="31"/>
      <c r="AA65" s="31"/>
      <c r="AB65" s="31"/>
      <c r="AC65" s="31"/>
      <c r="AD65" s="31"/>
      <c r="AE65" s="31"/>
      <c r="AF65" s="31"/>
      <c r="AG65" s="31"/>
    </row>
    <row r="66" spans="1:33">
      <c r="A66" s="30" t="s">
        <v>460</v>
      </c>
      <c r="B66" s="210" t="s">
        <v>1037</v>
      </c>
      <c r="C66" s="211">
        <v>596.79718000000003</v>
      </c>
      <c r="D66" s="211">
        <v>582.57031199999994</v>
      </c>
      <c r="E66" s="211">
        <v>570.54583700000001</v>
      </c>
      <c r="F66" s="211">
        <v>562.60992399999998</v>
      </c>
      <c r="G66" s="211">
        <v>557.47637899999995</v>
      </c>
      <c r="H66" s="211">
        <v>552.10058600000002</v>
      </c>
      <c r="I66" s="211">
        <v>547.56726100000003</v>
      </c>
      <c r="J66" s="211">
        <v>541.83489999999995</v>
      </c>
      <c r="K66" s="211">
        <v>535.99304199999995</v>
      </c>
      <c r="L66" s="211">
        <v>531.105774</v>
      </c>
      <c r="M66" s="211">
        <v>528.55798300000004</v>
      </c>
      <c r="N66" s="211">
        <v>525.61999500000002</v>
      </c>
      <c r="O66" s="211">
        <v>523.05523700000003</v>
      </c>
      <c r="P66" s="211">
        <v>521.635132</v>
      </c>
      <c r="Q66" s="211">
        <v>520.47326699999996</v>
      </c>
      <c r="R66" s="211">
        <v>520.68817100000001</v>
      </c>
      <c r="S66" s="211">
        <v>521.26672399999995</v>
      </c>
      <c r="T66" s="211">
        <v>522.35955799999999</v>
      </c>
      <c r="U66" s="211">
        <v>524.42358400000001</v>
      </c>
      <c r="V66" s="211">
        <v>527.08154300000001</v>
      </c>
      <c r="W66" s="211">
        <v>529.90252699999996</v>
      </c>
      <c r="X66" s="211">
        <v>533.30059800000004</v>
      </c>
      <c r="Y66" s="211">
        <v>536.98974599999997</v>
      </c>
      <c r="Z66" s="211">
        <v>540.51788299999998</v>
      </c>
      <c r="AA66" s="211">
        <v>544.76953100000003</v>
      </c>
      <c r="AB66" s="211">
        <v>549.50622599999997</v>
      </c>
      <c r="AC66" s="211">
        <v>553.89520300000004</v>
      </c>
      <c r="AD66" s="211">
        <v>558.68853799999999</v>
      </c>
      <c r="AE66" s="211">
        <v>565.29272500000002</v>
      </c>
      <c r="AF66" s="212">
        <v>-1.9350000000000001E-3</v>
      </c>
      <c r="AG66" s="31"/>
    </row>
    <row r="67" spans="1:33">
      <c r="A67" s="30" t="s">
        <v>461</v>
      </c>
      <c r="B67" s="210" t="s">
        <v>1038</v>
      </c>
      <c r="C67" s="211">
        <v>361.09713699999998</v>
      </c>
      <c r="D67" s="211">
        <v>352.45266700000002</v>
      </c>
      <c r="E67" s="211">
        <v>345.87948599999999</v>
      </c>
      <c r="F67" s="211">
        <v>341.195312</v>
      </c>
      <c r="G67" s="211">
        <v>338.49740600000001</v>
      </c>
      <c r="H67" s="211">
        <v>335.44927999999999</v>
      </c>
      <c r="I67" s="211">
        <v>333.12942500000003</v>
      </c>
      <c r="J67" s="211">
        <v>330.41744999999997</v>
      </c>
      <c r="K67" s="211">
        <v>327.605164</v>
      </c>
      <c r="L67" s="211">
        <v>325.20840500000003</v>
      </c>
      <c r="M67" s="211">
        <v>324.38137799999998</v>
      </c>
      <c r="N67" s="211">
        <v>322.96948200000003</v>
      </c>
      <c r="O67" s="211">
        <v>321.80856299999999</v>
      </c>
      <c r="P67" s="211">
        <v>321.02459700000003</v>
      </c>
      <c r="Q67" s="211">
        <v>319.85522500000002</v>
      </c>
      <c r="R67" s="211">
        <v>319.80575599999997</v>
      </c>
      <c r="S67" s="211">
        <v>319.18862899999999</v>
      </c>
      <c r="T67" s="211">
        <v>319.81021099999998</v>
      </c>
      <c r="U67" s="211">
        <v>320.52459700000003</v>
      </c>
      <c r="V67" s="211">
        <v>321.91735799999998</v>
      </c>
      <c r="W67" s="211">
        <v>323.479828</v>
      </c>
      <c r="X67" s="211">
        <v>325.354736</v>
      </c>
      <c r="Y67" s="211">
        <v>327.38092</v>
      </c>
      <c r="Z67" s="211">
        <v>329.19854700000002</v>
      </c>
      <c r="AA67" s="211">
        <v>331.44744900000001</v>
      </c>
      <c r="AB67" s="211">
        <v>333.82504299999999</v>
      </c>
      <c r="AC67" s="211">
        <v>335.92965700000002</v>
      </c>
      <c r="AD67" s="211">
        <v>338.38473499999998</v>
      </c>
      <c r="AE67" s="211">
        <v>341.79480000000001</v>
      </c>
      <c r="AF67" s="212">
        <v>-1.9599999999999999E-3</v>
      </c>
      <c r="AG67" s="31"/>
    </row>
    <row r="68" spans="1:33">
      <c r="A68" s="30" t="s">
        <v>462</v>
      </c>
      <c r="B68" s="210" t="s">
        <v>1039</v>
      </c>
      <c r="C68" s="211">
        <v>0.66559500000000005</v>
      </c>
      <c r="D68" s="211">
        <v>0.68273300000000003</v>
      </c>
      <c r="E68" s="211">
        <v>0.70085900000000001</v>
      </c>
      <c r="F68" s="211">
        <v>0.72075599999999995</v>
      </c>
      <c r="G68" s="211">
        <v>0.74448800000000004</v>
      </c>
      <c r="H68" s="211">
        <v>0.76778900000000005</v>
      </c>
      <c r="I68" s="211">
        <v>0.79256400000000005</v>
      </c>
      <c r="J68" s="211">
        <v>0.81504200000000004</v>
      </c>
      <c r="K68" s="211">
        <v>0.83886099999999997</v>
      </c>
      <c r="L68" s="211">
        <v>0.86650700000000003</v>
      </c>
      <c r="M68" s="211">
        <v>0.90220500000000003</v>
      </c>
      <c r="N68" s="211">
        <v>0.94494599999999995</v>
      </c>
      <c r="O68" s="211">
        <v>0.99329800000000001</v>
      </c>
      <c r="P68" s="211">
        <v>1.0406519999999999</v>
      </c>
      <c r="Q68" s="211">
        <v>1.0919840000000001</v>
      </c>
      <c r="R68" s="211">
        <v>1.1519010000000001</v>
      </c>
      <c r="S68" s="211">
        <v>1.219368</v>
      </c>
      <c r="T68" s="211">
        <v>1.295874</v>
      </c>
      <c r="U68" s="211">
        <v>1.3836520000000001</v>
      </c>
      <c r="V68" s="211">
        <v>1.4835039999999999</v>
      </c>
      <c r="W68" s="211">
        <v>1.590991</v>
      </c>
      <c r="X68" s="211">
        <v>1.705203</v>
      </c>
      <c r="Y68" s="211">
        <v>1.8237920000000001</v>
      </c>
      <c r="Z68" s="211">
        <v>1.9449419999999999</v>
      </c>
      <c r="AA68" s="211">
        <v>2.071958</v>
      </c>
      <c r="AB68" s="211">
        <v>2.202169</v>
      </c>
      <c r="AC68" s="211">
        <v>2.3311099999999998</v>
      </c>
      <c r="AD68" s="211">
        <v>2.4515280000000002</v>
      </c>
      <c r="AE68" s="211">
        <v>2.5810140000000001</v>
      </c>
      <c r="AF68" s="212">
        <v>4.9591999999999997E-2</v>
      </c>
      <c r="AG68" s="31"/>
    </row>
    <row r="69" spans="1:33">
      <c r="A69" s="30" t="s">
        <v>463</v>
      </c>
      <c r="B69" s="210" t="s">
        <v>1040</v>
      </c>
      <c r="C69" s="211">
        <v>0.76194399999999995</v>
      </c>
      <c r="D69" s="211">
        <v>0.71869899999999998</v>
      </c>
      <c r="E69" s="211">
        <v>0.67632099999999995</v>
      </c>
      <c r="F69" s="211">
        <v>0.637992</v>
      </c>
      <c r="G69" s="211">
        <v>0.60286899999999999</v>
      </c>
      <c r="H69" s="211">
        <v>0.56657000000000002</v>
      </c>
      <c r="I69" s="211">
        <v>0.53246199999999999</v>
      </c>
      <c r="J69" s="211">
        <v>0.49757600000000002</v>
      </c>
      <c r="K69" s="211">
        <v>0.46278799999999998</v>
      </c>
      <c r="L69" s="211">
        <v>0.43082799999999999</v>
      </c>
      <c r="M69" s="211">
        <v>0.40238600000000002</v>
      </c>
      <c r="N69" s="211">
        <v>0.37443300000000002</v>
      </c>
      <c r="O69" s="211">
        <v>0.346945</v>
      </c>
      <c r="P69" s="211">
        <v>0.32059799999999999</v>
      </c>
      <c r="Q69" s="211">
        <v>0.29521900000000001</v>
      </c>
      <c r="R69" s="211">
        <v>0.27301599999999998</v>
      </c>
      <c r="S69" s="211">
        <v>0.253025</v>
      </c>
      <c r="T69" s="211">
        <v>0.23599700000000001</v>
      </c>
      <c r="U69" s="211">
        <v>0.22023300000000001</v>
      </c>
      <c r="V69" s="211">
        <v>0.204292</v>
      </c>
      <c r="W69" s="211">
        <v>0.19014900000000001</v>
      </c>
      <c r="X69" s="211">
        <v>0.17355699999999999</v>
      </c>
      <c r="Y69" s="211">
        <v>0.156469</v>
      </c>
      <c r="Z69" s="211">
        <v>0.14242199999999999</v>
      </c>
      <c r="AA69" s="211">
        <v>0.13080600000000001</v>
      </c>
      <c r="AB69" s="211">
        <v>0.11888700000000001</v>
      </c>
      <c r="AC69" s="211">
        <v>0.106766</v>
      </c>
      <c r="AD69" s="211">
        <v>9.5868999999999996E-2</v>
      </c>
      <c r="AE69" s="211">
        <v>8.6902999999999994E-2</v>
      </c>
      <c r="AF69" s="212">
        <v>-7.4608999999999995E-2</v>
      </c>
      <c r="AG69" s="31"/>
    </row>
    <row r="70" spans="1:33">
      <c r="A70" s="30" t="s">
        <v>464</v>
      </c>
      <c r="B70" s="210" t="s">
        <v>1041</v>
      </c>
      <c r="C70" s="211">
        <v>10.331885</v>
      </c>
      <c r="D70" s="211">
        <v>10.758182</v>
      </c>
      <c r="E70" s="211">
        <v>11.321586</v>
      </c>
      <c r="F70" s="211">
        <v>11.975374</v>
      </c>
      <c r="G70" s="211">
        <v>12.744726</v>
      </c>
      <c r="H70" s="211">
        <v>13.587192999999999</v>
      </c>
      <c r="I70" s="211">
        <v>14.506133999999999</v>
      </c>
      <c r="J70" s="211">
        <v>15.44483</v>
      </c>
      <c r="K70" s="211">
        <v>16.450348000000002</v>
      </c>
      <c r="L70" s="211">
        <v>17.581883999999999</v>
      </c>
      <c r="M70" s="211">
        <v>18.915562000000001</v>
      </c>
      <c r="N70" s="211">
        <v>20.372982</v>
      </c>
      <c r="O70" s="211">
        <v>22.01041</v>
      </c>
      <c r="P70" s="211">
        <v>23.794563</v>
      </c>
      <c r="Q70" s="211">
        <v>25.577529999999999</v>
      </c>
      <c r="R70" s="211">
        <v>27.489719000000001</v>
      </c>
      <c r="S70" s="211">
        <v>29.423684999999999</v>
      </c>
      <c r="T70" s="211">
        <v>31.3827</v>
      </c>
      <c r="U70" s="211">
        <v>33.470939999999999</v>
      </c>
      <c r="V70" s="211">
        <v>35.564487</v>
      </c>
      <c r="W70" s="211">
        <v>37.641945</v>
      </c>
      <c r="X70" s="211">
        <v>39.693420000000003</v>
      </c>
      <c r="Y70" s="211">
        <v>41.646500000000003</v>
      </c>
      <c r="Z70" s="211">
        <v>43.501041000000001</v>
      </c>
      <c r="AA70" s="211">
        <v>45.296207000000003</v>
      </c>
      <c r="AB70" s="211">
        <v>47.027523000000002</v>
      </c>
      <c r="AC70" s="211">
        <v>48.595694999999999</v>
      </c>
      <c r="AD70" s="211">
        <v>50.145443</v>
      </c>
      <c r="AE70" s="211">
        <v>51.783786999999997</v>
      </c>
      <c r="AF70" s="212">
        <v>5.9255000000000002E-2</v>
      </c>
      <c r="AG70" s="31"/>
    </row>
    <row r="71" spans="1:33">
      <c r="A71" s="30" t="s">
        <v>465</v>
      </c>
      <c r="B71" s="210" t="s">
        <v>1042</v>
      </c>
      <c r="C71" s="211">
        <v>3.8241999999999998E-2</v>
      </c>
      <c r="D71" s="211">
        <v>4.5435000000000003E-2</v>
      </c>
      <c r="E71" s="211">
        <v>5.0754000000000001E-2</v>
      </c>
      <c r="F71" s="211">
        <v>5.4753000000000003E-2</v>
      </c>
      <c r="G71" s="211">
        <v>5.7683999999999999E-2</v>
      </c>
      <c r="H71" s="211">
        <v>5.9468E-2</v>
      </c>
      <c r="I71" s="211">
        <v>6.0365000000000002E-2</v>
      </c>
      <c r="J71" s="211">
        <v>6.0382999999999999E-2</v>
      </c>
      <c r="K71" s="211">
        <v>5.9790000000000003E-2</v>
      </c>
      <c r="L71" s="211">
        <v>5.8833999999999997E-2</v>
      </c>
      <c r="M71" s="211">
        <v>5.7679000000000001E-2</v>
      </c>
      <c r="N71" s="211">
        <v>5.6148999999999998E-2</v>
      </c>
      <c r="O71" s="211">
        <v>5.4413999999999997E-2</v>
      </c>
      <c r="P71" s="211">
        <v>5.2582999999999998E-2</v>
      </c>
      <c r="Q71" s="211">
        <v>5.0235000000000002E-2</v>
      </c>
      <c r="R71" s="211">
        <v>4.7787000000000003E-2</v>
      </c>
      <c r="S71" s="211">
        <v>4.5777999999999999E-2</v>
      </c>
      <c r="T71" s="211">
        <v>4.3761000000000001E-2</v>
      </c>
      <c r="U71" s="211">
        <v>4.1475999999999999E-2</v>
      </c>
      <c r="V71" s="211">
        <v>3.9280000000000002E-2</v>
      </c>
      <c r="W71" s="211">
        <v>3.7173999999999999E-2</v>
      </c>
      <c r="X71" s="211">
        <v>3.5144000000000002E-2</v>
      </c>
      <c r="Y71" s="211">
        <v>3.3201000000000001E-2</v>
      </c>
      <c r="Z71" s="211">
        <v>3.1363000000000002E-2</v>
      </c>
      <c r="AA71" s="211">
        <v>2.9679000000000001E-2</v>
      </c>
      <c r="AB71" s="211">
        <v>2.809E-2</v>
      </c>
      <c r="AC71" s="211">
        <v>2.6553E-2</v>
      </c>
      <c r="AD71" s="211">
        <v>2.5127E-2</v>
      </c>
      <c r="AE71" s="211">
        <v>2.3810000000000001E-2</v>
      </c>
      <c r="AF71" s="212">
        <v>-1.678E-2</v>
      </c>
      <c r="AG71" s="31"/>
    </row>
    <row r="72" spans="1:33">
      <c r="A72" s="30" t="s">
        <v>466</v>
      </c>
      <c r="B72" s="210" t="s">
        <v>1043</v>
      </c>
      <c r="C72" s="211">
        <v>0</v>
      </c>
      <c r="D72" s="211">
        <v>0</v>
      </c>
      <c r="E72" s="211">
        <v>4.6031000000000002E-2</v>
      </c>
      <c r="F72" s="211">
        <v>8.7363999999999997E-2</v>
      </c>
      <c r="G72" s="211">
        <v>0.125998</v>
      </c>
      <c r="H72" s="211">
        <v>0.162359</v>
      </c>
      <c r="I72" s="211">
        <v>0.19692899999999999</v>
      </c>
      <c r="J72" s="211">
        <v>0.22856599999999999</v>
      </c>
      <c r="K72" s="211">
        <v>0.25760300000000003</v>
      </c>
      <c r="L72" s="211">
        <v>0.28515600000000002</v>
      </c>
      <c r="M72" s="211">
        <v>0.31272899999999998</v>
      </c>
      <c r="N72" s="211">
        <v>0.339615</v>
      </c>
      <c r="O72" s="211">
        <v>0.36632999999999999</v>
      </c>
      <c r="P72" s="211">
        <v>0.39357700000000001</v>
      </c>
      <c r="Q72" s="211">
        <v>0.42073300000000002</v>
      </c>
      <c r="R72" s="211">
        <v>0.44928600000000002</v>
      </c>
      <c r="S72" s="211">
        <v>0.47926000000000002</v>
      </c>
      <c r="T72" s="211">
        <v>0.51125699999999996</v>
      </c>
      <c r="U72" s="211">
        <v>0.54663899999999999</v>
      </c>
      <c r="V72" s="211">
        <v>0.58593899999999999</v>
      </c>
      <c r="W72" s="211">
        <v>0.62877000000000005</v>
      </c>
      <c r="X72" s="211">
        <v>0.672651</v>
      </c>
      <c r="Y72" s="211">
        <v>0.71931100000000003</v>
      </c>
      <c r="Z72" s="211">
        <v>0.76830799999999999</v>
      </c>
      <c r="AA72" s="211">
        <v>0.82118100000000005</v>
      </c>
      <c r="AB72" s="211">
        <v>0.877112</v>
      </c>
      <c r="AC72" s="211">
        <v>0.93461899999999998</v>
      </c>
      <c r="AD72" s="211">
        <v>0.99479200000000001</v>
      </c>
      <c r="AE72" s="211">
        <v>1.0601590000000001</v>
      </c>
      <c r="AF72" s="212" t="s">
        <v>340</v>
      </c>
      <c r="AG72" s="31"/>
    </row>
    <row r="73" spans="1:33">
      <c r="A73" s="30" t="s">
        <v>467</v>
      </c>
      <c r="B73" s="210" t="s">
        <v>1044</v>
      </c>
      <c r="C73" s="211">
        <v>0</v>
      </c>
      <c r="D73" s="211">
        <v>0</v>
      </c>
      <c r="E73" s="211">
        <v>5.5973000000000002E-2</v>
      </c>
      <c r="F73" s="211">
        <v>0.10538500000000001</v>
      </c>
      <c r="G73" s="211">
        <v>0.15109300000000001</v>
      </c>
      <c r="H73" s="211">
        <v>0.193687</v>
      </c>
      <c r="I73" s="211">
        <v>0.233462</v>
      </c>
      <c r="J73" s="211">
        <v>0.26946999999999999</v>
      </c>
      <c r="K73" s="211">
        <v>0.30264600000000003</v>
      </c>
      <c r="L73" s="211">
        <v>0.33501599999999998</v>
      </c>
      <c r="M73" s="211">
        <v>0.368535</v>
      </c>
      <c r="N73" s="211">
        <v>0.40277000000000002</v>
      </c>
      <c r="O73" s="211">
        <v>0.43828299999999998</v>
      </c>
      <c r="P73" s="211">
        <v>0.47615099999999999</v>
      </c>
      <c r="Q73" s="211">
        <v>0.51575199999999999</v>
      </c>
      <c r="R73" s="211">
        <v>0.55924499999999999</v>
      </c>
      <c r="S73" s="211">
        <v>0.606796</v>
      </c>
      <c r="T73" s="211">
        <v>0.65962699999999996</v>
      </c>
      <c r="U73" s="211">
        <v>0.71974099999999996</v>
      </c>
      <c r="V73" s="211">
        <v>0.78828900000000002</v>
      </c>
      <c r="W73" s="211">
        <v>0.86488600000000004</v>
      </c>
      <c r="X73" s="211">
        <v>0.94691499999999995</v>
      </c>
      <c r="Y73" s="211">
        <v>1.0356989999999999</v>
      </c>
      <c r="Z73" s="211">
        <v>1.130374</v>
      </c>
      <c r="AA73" s="211">
        <v>1.23231</v>
      </c>
      <c r="AB73" s="211">
        <v>1.340697</v>
      </c>
      <c r="AC73" s="211">
        <v>1.452583</v>
      </c>
      <c r="AD73" s="211">
        <v>1.5697239999999999</v>
      </c>
      <c r="AE73" s="211">
        <v>1.6954130000000001</v>
      </c>
      <c r="AF73" s="212" t="s">
        <v>340</v>
      </c>
      <c r="AG73" s="31"/>
    </row>
    <row r="74" spans="1:33">
      <c r="A74" s="30" t="s">
        <v>468</v>
      </c>
      <c r="B74" s="210" t="s">
        <v>1045</v>
      </c>
      <c r="C74" s="211">
        <v>0</v>
      </c>
      <c r="D74" s="211">
        <v>0</v>
      </c>
      <c r="E74" s="211">
        <v>9.7281999999999993E-2</v>
      </c>
      <c r="F74" s="211">
        <v>0.18842100000000001</v>
      </c>
      <c r="G74" s="211">
        <v>0.27685799999999999</v>
      </c>
      <c r="H74" s="211">
        <v>0.363454</v>
      </c>
      <c r="I74" s="211">
        <v>0.44753700000000002</v>
      </c>
      <c r="J74" s="211">
        <v>0.52742900000000004</v>
      </c>
      <c r="K74" s="211">
        <v>0.60339299999999996</v>
      </c>
      <c r="L74" s="211">
        <v>0.67797099999999999</v>
      </c>
      <c r="M74" s="211">
        <v>0.75438000000000005</v>
      </c>
      <c r="N74" s="211">
        <v>0.83045100000000005</v>
      </c>
      <c r="O74" s="211">
        <v>0.90750299999999995</v>
      </c>
      <c r="P74" s="211">
        <v>0.98692000000000002</v>
      </c>
      <c r="Q74" s="211">
        <v>1.0677970000000001</v>
      </c>
      <c r="R74" s="211">
        <v>1.153837</v>
      </c>
      <c r="S74" s="211">
        <v>1.2450049999999999</v>
      </c>
      <c r="T74" s="211">
        <v>1.3430200000000001</v>
      </c>
      <c r="U74" s="211">
        <v>1.4516439999999999</v>
      </c>
      <c r="V74" s="211">
        <v>1.572443</v>
      </c>
      <c r="W74" s="211">
        <v>1.7043809999999999</v>
      </c>
      <c r="X74" s="211">
        <v>1.8422590000000001</v>
      </c>
      <c r="Y74" s="211">
        <v>1.9891760000000001</v>
      </c>
      <c r="Z74" s="211">
        <v>2.1437659999999998</v>
      </c>
      <c r="AA74" s="211">
        <v>2.310273</v>
      </c>
      <c r="AB74" s="211">
        <v>2.48651</v>
      </c>
      <c r="AC74" s="211">
        <v>2.6681050000000002</v>
      </c>
      <c r="AD74" s="211">
        <v>2.8579460000000001</v>
      </c>
      <c r="AE74" s="211">
        <v>3.0632440000000001</v>
      </c>
      <c r="AF74" s="212" t="s">
        <v>340</v>
      </c>
      <c r="AG74" s="31"/>
    </row>
    <row r="75" spans="1:33">
      <c r="A75" s="30" t="s">
        <v>469</v>
      </c>
      <c r="B75" s="210" t="s">
        <v>1048</v>
      </c>
      <c r="C75" s="211">
        <v>969.69219999999996</v>
      </c>
      <c r="D75" s="211">
        <v>947.22790499999996</v>
      </c>
      <c r="E75" s="211">
        <v>929.37390100000005</v>
      </c>
      <c r="F75" s="211">
        <v>917.57488999999998</v>
      </c>
      <c r="G75" s="211">
        <v>910.67767300000003</v>
      </c>
      <c r="H75" s="211">
        <v>903.25073199999997</v>
      </c>
      <c r="I75" s="211">
        <v>897.46606399999996</v>
      </c>
      <c r="J75" s="211">
        <v>890.09558100000004</v>
      </c>
      <c r="K75" s="211">
        <v>882.57385299999999</v>
      </c>
      <c r="L75" s="211">
        <v>876.55035399999997</v>
      </c>
      <c r="M75" s="211">
        <v>874.65283199999999</v>
      </c>
      <c r="N75" s="211">
        <v>871.910706</v>
      </c>
      <c r="O75" s="211">
        <v>869.98089600000003</v>
      </c>
      <c r="P75" s="211">
        <v>869.72479199999998</v>
      </c>
      <c r="Q75" s="211">
        <v>869.347534</v>
      </c>
      <c r="R75" s="211">
        <v>871.618469</v>
      </c>
      <c r="S75" s="211">
        <v>873.72820999999999</v>
      </c>
      <c r="T75" s="211">
        <v>877.64209000000005</v>
      </c>
      <c r="U75" s="211">
        <v>882.78265399999998</v>
      </c>
      <c r="V75" s="211">
        <v>889.23706100000004</v>
      </c>
      <c r="W75" s="211">
        <v>896.04046600000004</v>
      </c>
      <c r="X75" s="211">
        <v>903.72448699999995</v>
      </c>
      <c r="Y75" s="211">
        <v>911.77453600000001</v>
      </c>
      <c r="Z75" s="211">
        <v>919.37823500000002</v>
      </c>
      <c r="AA75" s="211">
        <v>928.10968000000003</v>
      </c>
      <c r="AB75" s="211">
        <v>937.41241500000001</v>
      </c>
      <c r="AC75" s="211">
        <v>945.94018600000004</v>
      </c>
      <c r="AD75" s="211">
        <v>955.21374500000002</v>
      </c>
      <c r="AE75" s="211">
        <v>967.38214100000005</v>
      </c>
      <c r="AF75" s="212">
        <v>-8.5000000000000006E-5</v>
      </c>
      <c r="AG75" s="31"/>
    </row>
    <row r="76" spans="1:33">
      <c r="A76" s="29"/>
      <c r="B76" s="209" t="s">
        <v>1049</v>
      </c>
      <c r="C76" s="31"/>
      <c r="D76" s="31"/>
      <c r="E76" s="31"/>
      <c r="F76" s="31"/>
      <c r="G76" s="31"/>
      <c r="H76" s="31"/>
      <c r="I76" s="31"/>
      <c r="J76" s="31"/>
      <c r="K76" s="31"/>
      <c r="L76" s="31"/>
      <c r="M76" s="31"/>
      <c r="N76" s="31"/>
      <c r="O76" s="31"/>
      <c r="P76" s="31"/>
      <c r="Q76" s="31"/>
      <c r="R76" s="31"/>
      <c r="S76" s="31"/>
      <c r="T76" s="31"/>
      <c r="U76" s="31"/>
      <c r="V76" s="31"/>
      <c r="W76" s="31"/>
      <c r="X76" s="31"/>
      <c r="Y76" s="31"/>
      <c r="Z76" s="31"/>
      <c r="AA76" s="31"/>
      <c r="AB76" s="31"/>
      <c r="AC76" s="31"/>
      <c r="AD76" s="31"/>
      <c r="AE76" s="31"/>
      <c r="AF76" s="31"/>
      <c r="AG76" s="31"/>
    </row>
    <row r="77" spans="1:33">
      <c r="A77" s="30" t="s">
        <v>470</v>
      </c>
      <c r="B77" s="210" t="s">
        <v>1037</v>
      </c>
      <c r="C77" s="211">
        <v>4152.294922</v>
      </c>
      <c r="D77" s="211">
        <v>4082.8315429999998</v>
      </c>
      <c r="E77" s="211">
        <v>4021.451172</v>
      </c>
      <c r="F77" s="211">
        <v>3982.2763669999999</v>
      </c>
      <c r="G77" s="211">
        <v>3955.953125</v>
      </c>
      <c r="H77" s="211">
        <v>3919.7482909999999</v>
      </c>
      <c r="I77" s="211">
        <v>3881.1032709999999</v>
      </c>
      <c r="J77" s="211">
        <v>3831.7788089999999</v>
      </c>
      <c r="K77" s="211">
        <v>3778.5307619999999</v>
      </c>
      <c r="L77" s="211">
        <v>3730.3295899999998</v>
      </c>
      <c r="M77" s="211">
        <v>3694.220703</v>
      </c>
      <c r="N77" s="211">
        <v>3656.8642580000001</v>
      </c>
      <c r="O77" s="211">
        <v>3623.7570799999999</v>
      </c>
      <c r="P77" s="211">
        <v>3598.0146479999999</v>
      </c>
      <c r="Q77" s="211">
        <v>3572.140625</v>
      </c>
      <c r="R77" s="211">
        <v>3555.0131839999999</v>
      </c>
      <c r="S77" s="211">
        <v>3541.656982</v>
      </c>
      <c r="T77" s="211">
        <v>3529.0092770000001</v>
      </c>
      <c r="U77" s="211">
        <v>3520.9711910000001</v>
      </c>
      <c r="V77" s="211">
        <v>3515.9072270000001</v>
      </c>
      <c r="W77" s="211">
        <v>3513.1889649999998</v>
      </c>
      <c r="X77" s="211">
        <v>3509.6179200000001</v>
      </c>
      <c r="Y77" s="211">
        <v>3504.0908199999999</v>
      </c>
      <c r="Z77" s="211">
        <v>3495.7058109999998</v>
      </c>
      <c r="AA77" s="211">
        <v>3490.008057</v>
      </c>
      <c r="AB77" s="211">
        <v>3484.0903320000002</v>
      </c>
      <c r="AC77" s="211">
        <v>3473.501953</v>
      </c>
      <c r="AD77" s="211">
        <v>3463.9399410000001</v>
      </c>
      <c r="AE77" s="211">
        <v>3464.1235350000002</v>
      </c>
      <c r="AF77" s="212">
        <v>-6.4510000000000001E-3</v>
      </c>
      <c r="AG77" s="31"/>
    </row>
    <row r="78" spans="1:33">
      <c r="A78" s="30" t="s">
        <v>471</v>
      </c>
      <c r="B78" s="210" t="s">
        <v>1038</v>
      </c>
      <c r="C78" s="211">
        <v>3.9674480000000001</v>
      </c>
      <c r="D78" s="211">
        <v>3.9112100000000001</v>
      </c>
      <c r="E78" s="211">
        <v>3.927975</v>
      </c>
      <c r="F78" s="211">
        <v>4.0033329999999996</v>
      </c>
      <c r="G78" s="211">
        <v>4.154909</v>
      </c>
      <c r="H78" s="211">
        <v>4.3465829999999999</v>
      </c>
      <c r="I78" s="211">
        <v>4.5559409999999998</v>
      </c>
      <c r="J78" s="211">
        <v>4.7584520000000001</v>
      </c>
      <c r="K78" s="211">
        <v>4.9760099999999996</v>
      </c>
      <c r="L78" s="211">
        <v>5.1881700000000004</v>
      </c>
      <c r="M78" s="211">
        <v>5.3957819999999996</v>
      </c>
      <c r="N78" s="211">
        <v>5.5792359999999999</v>
      </c>
      <c r="O78" s="211">
        <v>5.7431809999999999</v>
      </c>
      <c r="P78" s="211">
        <v>5.8900360000000003</v>
      </c>
      <c r="Q78" s="211">
        <v>5.9984260000000003</v>
      </c>
      <c r="R78" s="211">
        <v>6.0940690000000002</v>
      </c>
      <c r="S78" s="211">
        <v>6.1672099999999999</v>
      </c>
      <c r="T78" s="211">
        <v>6.22837</v>
      </c>
      <c r="U78" s="211">
        <v>6.2926219999999997</v>
      </c>
      <c r="V78" s="211">
        <v>6.356681</v>
      </c>
      <c r="W78" s="211">
        <v>6.3895749999999998</v>
      </c>
      <c r="X78" s="211">
        <v>6.4071030000000002</v>
      </c>
      <c r="Y78" s="211">
        <v>6.4340310000000001</v>
      </c>
      <c r="Z78" s="211">
        <v>6.4656529999999997</v>
      </c>
      <c r="AA78" s="211">
        <v>6.5095479999999997</v>
      </c>
      <c r="AB78" s="211">
        <v>6.5554730000000001</v>
      </c>
      <c r="AC78" s="211">
        <v>6.5929979999999997</v>
      </c>
      <c r="AD78" s="211">
        <v>6.6332560000000003</v>
      </c>
      <c r="AE78" s="211">
        <v>6.6926329999999998</v>
      </c>
      <c r="AF78" s="212">
        <v>1.8849999999999999E-2</v>
      </c>
      <c r="AG78" s="31"/>
    </row>
    <row r="79" spans="1:33">
      <c r="A79" s="30" t="s">
        <v>472</v>
      </c>
      <c r="B79" s="210" t="s">
        <v>1039</v>
      </c>
      <c r="C79" s="211">
        <v>0.57084699999999999</v>
      </c>
      <c r="D79" s="211">
        <v>0.62436700000000001</v>
      </c>
      <c r="E79" s="211">
        <v>0.67565299999999995</v>
      </c>
      <c r="F79" s="211">
        <v>0.72345599999999999</v>
      </c>
      <c r="G79" s="211">
        <v>0.76954900000000004</v>
      </c>
      <c r="H79" s="211">
        <v>0.80783199999999999</v>
      </c>
      <c r="I79" s="211">
        <v>0.83759799999999995</v>
      </c>
      <c r="J79" s="211">
        <v>0.85494300000000001</v>
      </c>
      <c r="K79" s="211">
        <v>0.86416899999999996</v>
      </c>
      <c r="L79" s="211">
        <v>0.86825799999999997</v>
      </c>
      <c r="M79" s="211">
        <v>0.87042299999999995</v>
      </c>
      <c r="N79" s="211">
        <v>0.87198200000000003</v>
      </c>
      <c r="O79" s="211">
        <v>0.876027</v>
      </c>
      <c r="P79" s="211">
        <v>0.88223799999999997</v>
      </c>
      <c r="Q79" s="211">
        <v>0.88616399999999995</v>
      </c>
      <c r="R79" s="211">
        <v>0.890656</v>
      </c>
      <c r="S79" s="211">
        <v>0.89219300000000001</v>
      </c>
      <c r="T79" s="211">
        <v>0.89300599999999997</v>
      </c>
      <c r="U79" s="211">
        <v>0.89404300000000003</v>
      </c>
      <c r="V79" s="211">
        <v>0.89725900000000003</v>
      </c>
      <c r="W79" s="211">
        <v>0.90047600000000005</v>
      </c>
      <c r="X79" s="211">
        <v>0.90321899999999999</v>
      </c>
      <c r="Y79" s="211">
        <v>0.90516799999999997</v>
      </c>
      <c r="Z79" s="211">
        <v>0.90654199999999996</v>
      </c>
      <c r="AA79" s="211">
        <v>0.90933900000000001</v>
      </c>
      <c r="AB79" s="211">
        <v>0.91265600000000002</v>
      </c>
      <c r="AC79" s="211">
        <v>0.91492600000000002</v>
      </c>
      <c r="AD79" s="211">
        <v>0.91651300000000002</v>
      </c>
      <c r="AE79" s="211">
        <v>0.91947900000000005</v>
      </c>
      <c r="AF79" s="212">
        <v>1.7170000000000001E-2</v>
      </c>
      <c r="AG79" s="31"/>
    </row>
    <row r="80" spans="1:33">
      <c r="A80" s="30" t="s">
        <v>473</v>
      </c>
      <c r="B80" s="210" t="s">
        <v>1040</v>
      </c>
      <c r="C80" s="211">
        <v>50.390869000000002</v>
      </c>
      <c r="D80" s="211">
        <v>50.880237999999999</v>
      </c>
      <c r="E80" s="211">
        <v>51.130661000000003</v>
      </c>
      <c r="F80" s="211">
        <v>51.278004000000003</v>
      </c>
      <c r="G80" s="211">
        <v>51.266300000000001</v>
      </c>
      <c r="H80" s="211">
        <v>50.763759999999998</v>
      </c>
      <c r="I80" s="211">
        <v>49.941105</v>
      </c>
      <c r="J80" s="211">
        <v>48.755848</v>
      </c>
      <c r="K80" s="211">
        <v>47.376193999999998</v>
      </c>
      <c r="L80" s="211">
        <v>46.136257000000001</v>
      </c>
      <c r="M80" s="211">
        <v>45.289948000000003</v>
      </c>
      <c r="N80" s="211">
        <v>44.815620000000003</v>
      </c>
      <c r="O80" s="211">
        <v>44.797992999999998</v>
      </c>
      <c r="P80" s="211">
        <v>45.188122</v>
      </c>
      <c r="Q80" s="211">
        <v>45.832714000000003</v>
      </c>
      <c r="R80" s="211">
        <v>46.829082</v>
      </c>
      <c r="S80" s="211">
        <v>48.081806</v>
      </c>
      <c r="T80" s="211">
        <v>49.582222000000002</v>
      </c>
      <c r="U80" s="211">
        <v>51.412018000000003</v>
      </c>
      <c r="V80" s="211">
        <v>53.560184</v>
      </c>
      <c r="W80" s="211">
        <v>55.921677000000003</v>
      </c>
      <c r="X80" s="211">
        <v>58.465366000000003</v>
      </c>
      <c r="Y80" s="211">
        <v>61.153961000000002</v>
      </c>
      <c r="Z80" s="211">
        <v>63.935595999999997</v>
      </c>
      <c r="AA80" s="211">
        <v>66.919730999999999</v>
      </c>
      <c r="AB80" s="211">
        <v>70.067229999999995</v>
      </c>
      <c r="AC80" s="211">
        <v>73.232262000000006</v>
      </c>
      <c r="AD80" s="211">
        <v>76.543907000000004</v>
      </c>
      <c r="AE80" s="211">
        <v>80.243094999999997</v>
      </c>
      <c r="AF80" s="212">
        <v>1.6754999999999999E-2</v>
      </c>
      <c r="AG80" s="31"/>
    </row>
    <row r="81" spans="1:33">
      <c r="A81" s="30" t="s">
        <v>474</v>
      </c>
      <c r="B81" s="210" t="s">
        <v>1041</v>
      </c>
      <c r="C81" s="211">
        <v>0</v>
      </c>
      <c r="D81" s="211">
        <v>0</v>
      </c>
      <c r="E81" s="211">
        <v>0</v>
      </c>
      <c r="F81" s="211">
        <v>0</v>
      </c>
      <c r="G81" s="211">
        <v>0</v>
      </c>
      <c r="H81" s="211">
        <v>0</v>
      </c>
      <c r="I81" s="211">
        <v>0</v>
      </c>
      <c r="J81" s="211">
        <v>0</v>
      </c>
      <c r="K81" s="211">
        <v>0</v>
      </c>
      <c r="L81" s="211">
        <v>0</v>
      </c>
      <c r="M81" s="211">
        <v>0</v>
      </c>
      <c r="N81" s="211">
        <v>0</v>
      </c>
      <c r="O81" s="211">
        <v>0</v>
      </c>
      <c r="P81" s="211">
        <v>0</v>
      </c>
      <c r="Q81" s="211">
        <v>0</v>
      </c>
      <c r="R81" s="211">
        <v>0</v>
      </c>
      <c r="S81" s="211">
        <v>0</v>
      </c>
      <c r="T81" s="211">
        <v>0</v>
      </c>
      <c r="U81" s="211">
        <v>0</v>
      </c>
      <c r="V81" s="211">
        <v>0</v>
      </c>
      <c r="W81" s="211">
        <v>0</v>
      </c>
      <c r="X81" s="211">
        <v>0</v>
      </c>
      <c r="Y81" s="211">
        <v>0</v>
      </c>
      <c r="Z81" s="211">
        <v>0</v>
      </c>
      <c r="AA81" s="211">
        <v>0</v>
      </c>
      <c r="AB81" s="211">
        <v>0</v>
      </c>
      <c r="AC81" s="211">
        <v>0</v>
      </c>
      <c r="AD81" s="211">
        <v>0</v>
      </c>
      <c r="AE81" s="211">
        <v>0</v>
      </c>
      <c r="AF81" s="212" t="s">
        <v>340</v>
      </c>
      <c r="AG81" s="31"/>
    </row>
    <row r="82" spans="1:33">
      <c r="A82" s="30" t="s">
        <v>475</v>
      </c>
      <c r="B82" s="210" t="s">
        <v>1042</v>
      </c>
      <c r="C82" s="211">
        <v>4.7272000000000002E-2</v>
      </c>
      <c r="D82" s="211">
        <v>5.6365999999999999E-2</v>
      </c>
      <c r="E82" s="211">
        <v>6.4062999999999995E-2</v>
      </c>
      <c r="F82" s="211">
        <v>7.0821999999999996E-2</v>
      </c>
      <c r="G82" s="211">
        <v>7.6726000000000003E-2</v>
      </c>
      <c r="H82" s="211">
        <v>8.1382999999999997E-2</v>
      </c>
      <c r="I82" s="211">
        <v>8.4830000000000003E-2</v>
      </c>
      <c r="J82" s="211">
        <v>8.6957999999999994E-2</v>
      </c>
      <c r="K82" s="211">
        <v>8.7952000000000002E-2</v>
      </c>
      <c r="L82" s="211">
        <v>8.8012999999999994E-2</v>
      </c>
      <c r="M82" s="211">
        <v>8.7249999999999994E-2</v>
      </c>
      <c r="N82" s="211">
        <v>8.5333000000000006E-2</v>
      </c>
      <c r="O82" s="211">
        <v>8.2535999999999998E-2</v>
      </c>
      <c r="P82" s="211">
        <v>7.9114000000000004E-2</v>
      </c>
      <c r="Q82" s="211">
        <v>7.5203999999999993E-2</v>
      </c>
      <c r="R82" s="211">
        <v>7.1353E-2</v>
      </c>
      <c r="S82" s="211">
        <v>6.7466999999999999E-2</v>
      </c>
      <c r="T82" s="211">
        <v>6.3056000000000001E-2</v>
      </c>
      <c r="U82" s="211">
        <v>5.8637000000000002E-2</v>
      </c>
      <c r="V82" s="211">
        <v>5.4799E-2</v>
      </c>
      <c r="W82" s="211">
        <v>5.1536999999999999E-2</v>
      </c>
      <c r="X82" s="211">
        <v>4.8205999999999999E-2</v>
      </c>
      <c r="Y82" s="211">
        <v>4.5224E-2</v>
      </c>
      <c r="Z82" s="211">
        <v>4.2495999999999999E-2</v>
      </c>
      <c r="AA82" s="211">
        <v>4.0057000000000002E-2</v>
      </c>
      <c r="AB82" s="211">
        <v>3.7803999999999997E-2</v>
      </c>
      <c r="AC82" s="211">
        <v>3.5659000000000003E-2</v>
      </c>
      <c r="AD82" s="211">
        <v>3.3694000000000002E-2</v>
      </c>
      <c r="AE82" s="211">
        <v>3.1962999999999998E-2</v>
      </c>
      <c r="AF82" s="212">
        <v>-1.3879000000000001E-2</v>
      </c>
      <c r="AG82" s="31"/>
    </row>
    <row r="83" spans="1:33">
      <c r="A83" s="30" t="s">
        <v>476</v>
      </c>
      <c r="B83" s="210" t="s">
        <v>1043</v>
      </c>
      <c r="C83" s="211">
        <v>0</v>
      </c>
      <c r="D83" s="211">
        <v>0</v>
      </c>
      <c r="E83" s="211">
        <v>0.111749</v>
      </c>
      <c r="F83" s="211">
        <v>0.12651799999999999</v>
      </c>
      <c r="G83" s="211">
        <v>0.14269399999999999</v>
      </c>
      <c r="H83" s="211">
        <v>0.15934000000000001</v>
      </c>
      <c r="I83" s="211">
        <v>0.17621300000000001</v>
      </c>
      <c r="J83" s="211">
        <v>0.19222800000000001</v>
      </c>
      <c r="K83" s="211">
        <v>0.20724500000000001</v>
      </c>
      <c r="L83" s="211">
        <v>0.22140099999999999</v>
      </c>
      <c r="M83" s="211">
        <v>0.23488800000000001</v>
      </c>
      <c r="N83" s="211">
        <v>0.24656900000000001</v>
      </c>
      <c r="O83" s="211">
        <v>0.25659700000000002</v>
      </c>
      <c r="P83" s="211">
        <v>0.26520700000000003</v>
      </c>
      <c r="Q83" s="211">
        <v>0.27205200000000002</v>
      </c>
      <c r="R83" s="211">
        <v>0.278225</v>
      </c>
      <c r="S83" s="211">
        <v>0.28399799999999997</v>
      </c>
      <c r="T83" s="211">
        <v>0.29017999999999999</v>
      </c>
      <c r="U83" s="211">
        <v>0.29806500000000002</v>
      </c>
      <c r="V83" s="211">
        <v>0.30863000000000002</v>
      </c>
      <c r="W83" s="211">
        <v>0.32256400000000002</v>
      </c>
      <c r="X83" s="211">
        <v>0.334818</v>
      </c>
      <c r="Y83" s="211">
        <v>0.34677599999999997</v>
      </c>
      <c r="Z83" s="211">
        <v>0.36227599999999999</v>
      </c>
      <c r="AA83" s="211">
        <v>0.384801</v>
      </c>
      <c r="AB83" s="211">
        <v>0.40742899999999999</v>
      </c>
      <c r="AC83" s="211">
        <v>0.43170500000000001</v>
      </c>
      <c r="AD83" s="211">
        <v>0.458424</v>
      </c>
      <c r="AE83" s="211">
        <v>0.48888399999999999</v>
      </c>
      <c r="AF83" s="212" t="s">
        <v>340</v>
      </c>
      <c r="AG83" s="31"/>
    </row>
    <row r="84" spans="1:33">
      <c r="A84" s="30" t="s">
        <v>477</v>
      </c>
      <c r="B84" s="210" t="s">
        <v>1044</v>
      </c>
      <c r="C84" s="211">
        <v>0</v>
      </c>
      <c r="D84" s="211">
        <v>0</v>
      </c>
      <c r="E84" s="211">
        <v>0.23414399999999999</v>
      </c>
      <c r="F84" s="211">
        <v>0.26273600000000003</v>
      </c>
      <c r="G84" s="211">
        <v>0.29418100000000003</v>
      </c>
      <c r="H84" s="211">
        <v>0.326345</v>
      </c>
      <c r="I84" s="211">
        <v>0.35836099999999999</v>
      </c>
      <c r="J84" s="211">
        <v>0.388214</v>
      </c>
      <c r="K84" s="211">
        <v>0.41574299999999997</v>
      </c>
      <c r="L84" s="211">
        <v>0.44134699999999999</v>
      </c>
      <c r="M84" s="211">
        <v>0.46522400000000003</v>
      </c>
      <c r="N84" s="211">
        <v>0.485016</v>
      </c>
      <c r="O84" s="211">
        <v>0.50097899999999995</v>
      </c>
      <c r="P84" s="211">
        <v>0.51362799999999997</v>
      </c>
      <c r="Q84" s="211">
        <v>0.522262</v>
      </c>
      <c r="R84" s="211">
        <v>0.52908999999999995</v>
      </c>
      <c r="S84" s="211">
        <v>0.53469299999999997</v>
      </c>
      <c r="T84" s="211">
        <v>0.54074299999999997</v>
      </c>
      <c r="U84" s="211">
        <v>0.54972399999999999</v>
      </c>
      <c r="V84" s="211">
        <v>0.56356499999999998</v>
      </c>
      <c r="W84" s="211">
        <v>0.58364300000000002</v>
      </c>
      <c r="X84" s="211">
        <v>0.59923099999999996</v>
      </c>
      <c r="Y84" s="211">
        <v>0.613008</v>
      </c>
      <c r="Z84" s="211">
        <v>0.63285800000000003</v>
      </c>
      <c r="AA84" s="211">
        <v>0.66527599999999998</v>
      </c>
      <c r="AB84" s="211">
        <v>0.69548399999999999</v>
      </c>
      <c r="AC84" s="211">
        <v>0.72656200000000004</v>
      </c>
      <c r="AD84" s="211">
        <v>0.75966500000000003</v>
      </c>
      <c r="AE84" s="211">
        <v>0.79641600000000001</v>
      </c>
      <c r="AF84" s="212" t="s">
        <v>340</v>
      </c>
      <c r="AG84" s="31"/>
    </row>
    <row r="85" spans="1:33">
      <c r="A85" s="30" t="s">
        <v>478</v>
      </c>
      <c r="B85" s="210" t="s">
        <v>1045</v>
      </c>
      <c r="C85" s="211">
        <v>0</v>
      </c>
      <c r="D85" s="211">
        <v>0</v>
      </c>
      <c r="E85" s="211">
        <v>0.13243099999999999</v>
      </c>
      <c r="F85" s="211">
        <v>0.25880199999999998</v>
      </c>
      <c r="G85" s="211">
        <v>0.385407</v>
      </c>
      <c r="H85" s="211">
        <v>0.51399799999999995</v>
      </c>
      <c r="I85" s="211">
        <v>0.64363300000000001</v>
      </c>
      <c r="J85" s="211">
        <v>0.77151199999999998</v>
      </c>
      <c r="K85" s="211">
        <v>0.89717499999999994</v>
      </c>
      <c r="L85" s="211">
        <v>1.0226690000000001</v>
      </c>
      <c r="M85" s="211">
        <v>1.1502559999999999</v>
      </c>
      <c r="N85" s="211">
        <v>1.2741119999999999</v>
      </c>
      <c r="O85" s="211">
        <v>1.393794</v>
      </c>
      <c r="P85" s="211">
        <v>1.5088429999999999</v>
      </c>
      <c r="Q85" s="211">
        <v>1.6154120000000001</v>
      </c>
      <c r="R85" s="211">
        <v>1.717117</v>
      </c>
      <c r="S85" s="211">
        <v>1.812324</v>
      </c>
      <c r="T85" s="211">
        <v>1.902677</v>
      </c>
      <c r="U85" s="211">
        <v>1.9929779999999999</v>
      </c>
      <c r="V85" s="211">
        <v>2.0859009999999998</v>
      </c>
      <c r="W85" s="211">
        <v>2.1821549999999998</v>
      </c>
      <c r="X85" s="211">
        <v>2.2778990000000001</v>
      </c>
      <c r="Y85" s="211">
        <v>2.3718539999999999</v>
      </c>
      <c r="Z85" s="211">
        <v>2.4681579999999999</v>
      </c>
      <c r="AA85" s="211">
        <v>2.5784799999999999</v>
      </c>
      <c r="AB85" s="211">
        <v>2.69808</v>
      </c>
      <c r="AC85" s="211">
        <v>2.8237719999999999</v>
      </c>
      <c r="AD85" s="211">
        <v>2.9616039999999999</v>
      </c>
      <c r="AE85" s="211">
        <v>3.1206100000000001</v>
      </c>
      <c r="AF85" s="212" t="s">
        <v>340</v>
      </c>
      <c r="AG85" s="31"/>
    </row>
    <row r="86" spans="1:33">
      <c r="A86" s="30" t="s">
        <v>479</v>
      </c>
      <c r="B86" s="210" t="s">
        <v>1050</v>
      </c>
      <c r="C86" s="211">
        <v>4207.2734380000002</v>
      </c>
      <c r="D86" s="211">
        <v>4138.3027339999999</v>
      </c>
      <c r="E86" s="211">
        <v>4077.727539</v>
      </c>
      <c r="F86" s="211">
        <v>4039.0002439999998</v>
      </c>
      <c r="G86" s="211">
        <v>4013.0429690000001</v>
      </c>
      <c r="H86" s="211">
        <v>3976.7485350000002</v>
      </c>
      <c r="I86" s="211">
        <v>3937.7006839999999</v>
      </c>
      <c r="J86" s="211">
        <v>3887.586182</v>
      </c>
      <c r="K86" s="211">
        <v>3833.3564449999999</v>
      </c>
      <c r="L86" s="211">
        <v>3784.2958979999999</v>
      </c>
      <c r="M86" s="211">
        <v>3747.7145999999998</v>
      </c>
      <c r="N86" s="211">
        <v>3710.2214359999998</v>
      </c>
      <c r="O86" s="211">
        <v>3677.4077149999998</v>
      </c>
      <c r="P86" s="211">
        <v>3652.3427729999999</v>
      </c>
      <c r="Q86" s="211">
        <v>3627.3422850000002</v>
      </c>
      <c r="R86" s="211">
        <v>3611.421875</v>
      </c>
      <c r="S86" s="211">
        <v>3599.4953609999998</v>
      </c>
      <c r="T86" s="211">
        <v>3588.5097660000001</v>
      </c>
      <c r="U86" s="211">
        <v>3582.46875</v>
      </c>
      <c r="V86" s="211">
        <v>3579.7346189999998</v>
      </c>
      <c r="W86" s="211">
        <v>3579.5410160000001</v>
      </c>
      <c r="X86" s="211">
        <v>3578.6530760000001</v>
      </c>
      <c r="Y86" s="211">
        <v>3575.961182</v>
      </c>
      <c r="Z86" s="211">
        <v>3570.5195309999999</v>
      </c>
      <c r="AA86" s="211">
        <v>3568.0158689999998</v>
      </c>
      <c r="AB86" s="211">
        <v>3565.4648440000001</v>
      </c>
      <c r="AC86" s="211">
        <v>3558.258789</v>
      </c>
      <c r="AD86" s="211">
        <v>3552.2460940000001</v>
      </c>
      <c r="AE86" s="211">
        <v>3556.4155270000001</v>
      </c>
      <c r="AF86" s="212">
        <v>-5.9839999999999997E-3</v>
      </c>
      <c r="AG86" s="31"/>
    </row>
    <row r="87" spans="1:33">
      <c r="A87" s="29"/>
      <c r="B87" s="209" t="s">
        <v>1051</v>
      </c>
      <c r="C87" s="31"/>
      <c r="D87" s="31"/>
      <c r="E87" s="31"/>
      <c r="F87" s="31"/>
      <c r="G87" s="31"/>
      <c r="H87" s="31"/>
      <c r="I87" s="31"/>
      <c r="J87" s="31"/>
      <c r="K87" s="31"/>
      <c r="L87" s="31"/>
      <c r="M87" s="31"/>
      <c r="N87" s="31"/>
      <c r="O87" s="31"/>
      <c r="P87" s="31"/>
      <c r="Q87" s="31"/>
      <c r="R87" s="31"/>
      <c r="S87" s="31"/>
      <c r="T87" s="31"/>
      <c r="U87" s="31"/>
      <c r="V87" s="31"/>
      <c r="W87" s="31"/>
      <c r="X87" s="31"/>
      <c r="Y87" s="31"/>
      <c r="Z87" s="31"/>
      <c r="AA87" s="31"/>
      <c r="AB87" s="31"/>
      <c r="AC87" s="31"/>
      <c r="AD87" s="31"/>
      <c r="AE87" s="31"/>
      <c r="AF87" s="31"/>
      <c r="AG87" s="31"/>
    </row>
    <row r="88" spans="1:33">
      <c r="A88" s="30" t="s">
        <v>480</v>
      </c>
      <c r="B88" s="210" t="s">
        <v>1037</v>
      </c>
      <c r="C88" s="211">
        <v>5252.3305659999996</v>
      </c>
      <c r="D88" s="211">
        <v>5150.2109380000002</v>
      </c>
      <c r="E88" s="211">
        <v>5062.0986329999996</v>
      </c>
      <c r="F88" s="211">
        <v>5004.6708980000003</v>
      </c>
      <c r="G88" s="211">
        <v>4965.3076170000004</v>
      </c>
      <c r="H88" s="211">
        <v>4915.0947269999997</v>
      </c>
      <c r="I88" s="211">
        <v>4864.1035160000001</v>
      </c>
      <c r="J88" s="211">
        <v>4802.189453</v>
      </c>
      <c r="K88" s="211">
        <v>4738.7089839999999</v>
      </c>
      <c r="L88" s="211">
        <v>4684.001953</v>
      </c>
      <c r="M88" s="211">
        <v>4645.8359380000002</v>
      </c>
      <c r="N88" s="211">
        <v>4605.7412109999996</v>
      </c>
      <c r="O88" s="211">
        <v>4571.0966799999997</v>
      </c>
      <c r="P88" s="211">
        <v>4545.9067379999997</v>
      </c>
      <c r="Q88" s="211">
        <v>4520.6884769999997</v>
      </c>
      <c r="R88" s="211">
        <v>4506.4428710000002</v>
      </c>
      <c r="S88" s="211">
        <v>4496.765625</v>
      </c>
      <c r="T88" s="211">
        <v>4489.0834960000002</v>
      </c>
      <c r="U88" s="211">
        <v>4488.0830079999996</v>
      </c>
      <c r="V88" s="211">
        <v>4491.1411129999997</v>
      </c>
      <c r="W88" s="211">
        <v>4496.9345700000003</v>
      </c>
      <c r="X88" s="211">
        <v>4502.8085940000001</v>
      </c>
      <c r="Y88" s="211">
        <v>4507.3803710000002</v>
      </c>
      <c r="Z88" s="211">
        <v>4509.7548829999996</v>
      </c>
      <c r="AA88" s="211">
        <v>4517.1176759999998</v>
      </c>
      <c r="AB88" s="211">
        <v>4525.4931640000004</v>
      </c>
      <c r="AC88" s="211">
        <v>4528.6337890000004</v>
      </c>
      <c r="AD88" s="211">
        <v>4533.9399409999996</v>
      </c>
      <c r="AE88" s="211">
        <v>4552.7285160000001</v>
      </c>
      <c r="AF88" s="212">
        <v>-5.0920000000000002E-3</v>
      </c>
      <c r="AG88" s="31"/>
    </row>
    <row r="89" spans="1:33">
      <c r="A89" s="30" t="s">
        <v>481</v>
      </c>
      <c r="B89" s="210" t="s">
        <v>1038</v>
      </c>
      <c r="C89" s="211">
        <v>561.48449700000003</v>
      </c>
      <c r="D89" s="211">
        <v>557.785034</v>
      </c>
      <c r="E89" s="211">
        <v>556.74005099999999</v>
      </c>
      <c r="F89" s="211">
        <v>558.68145800000002</v>
      </c>
      <c r="G89" s="211">
        <v>563.18457000000001</v>
      </c>
      <c r="H89" s="211">
        <v>566.01348900000005</v>
      </c>
      <c r="I89" s="211">
        <v>568.99591099999998</v>
      </c>
      <c r="J89" s="211">
        <v>571.13494900000001</v>
      </c>
      <c r="K89" s="211">
        <v>573.60174600000005</v>
      </c>
      <c r="L89" s="211">
        <v>577.01965299999995</v>
      </c>
      <c r="M89" s="211">
        <v>583.04650900000001</v>
      </c>
      <c r="N89" s="211">
        <v>588.07153300000004</v>
      </c>
      <c r="O89" s="211">
        <v>593.151611</v>
      </c>
      <c r="P89" s="211">
        <v>598.55310099999997</v>
      </c>
      <c r="Q89" s="211">
        <v>603.21813999999995</v>
      </c>
      <c r="R89" s="211">
        <v>609.34344499999997</v>
      </c>
      <c r="S89" s="211">
        <v>614.73071300000004</v>
      </c>
      <c r="T89" s="211">
        <v>621.06646699999999</v>
      </c>
      <c r="U89" s="211">
        <v>627.72302200000001</v>
      </c>
      <c r="V89" s="211">
        <v>635.39660600000002</v>
      </c>
      <c r="W89" s="211">
        <v>642.87426800000003</v>
      </c>
      <c r="X89" s="211">
        <v>649.87420699999996</v>
      </c>
      <c r="Y89" s="211">
        <v>656.76269500000001</v>
      </c>
      <c r="Z89" s="211">
        <v>663.54040499999996</v>
      </c>
      <c r="AA89" s="211">
        <v>671.537598</v>
      </c>
      <c r="AB89" s="211">
        <v>679.92511000000002</v>
      </c>
      <c r="AC89" s="211">
        <v>687.57550000000003</v>
      </c>
      <c r="AD89" s="211">
        <v>695.97375499999998</v>
      </c>
      <c r="AE89" s="211">
        <v>706.70812999999998</v>
      </c>
      <c r="AF89" s="212">
        <v>8.2489999999999994E-3</v>
      </c>
      <c r="AG89" s="31"/>
    </row>
    <row r="90" spans="1:33">
      <c r="A90" s="30" t="s">
        <v>482</v>
      </c>
      <c r="B90" s="210" t="s">
        <v>1039</v>
      </c>
      <c r="C90" s="211">
        <v>1.2452650000000001</v>
      </c>
      <c r="D90" s="211">
        <v>1.3861779999999999</v>
      </c>
      <c r="E90" s="211">
        <v>1.52488</v>
      </c>
      <c r="F90" s="211">
        <v>1.6560079999999999</v>
      </c>
      <c r="G90" s="211">
        <v>1.7862659999999999</v>
      </c>
      <c r="H90" s="211">
        <v>1.903707</v>
      </c>
      <c r="I90" s="211">
        <v>2.0105780000000002</v>
      </c>
      <c r="J90" s="211">
        <v>2.099688</v>
      </c>
      <c r="K90" s="211">
        <v>2.1804990000000002</v>
      </c>
      <c r="L90" s="211">
        <v>2.2604660000000001</v>
      </c>
      <c r="M90" s="211">
        <v>2.3478080000000001</v>
      </c>
      <c r="N90" s="211">
        <v>2.4404729999999999</v>
      </c>
      <c r="O90" s="211">
        <v>2.5412210000000002</v>
      </c>
      <c r="P90" s="211">
        <v>2.6449829999999999</v>
      </c>
      <c r="Q90" s="211">
        <v>2.752405</v>
      </c>
      <c r="R90" s="211">
        <v>2.8738489999999999</v>
      </c>
      <c r="S90" s="211">
        <v>3.004591</v>
      </c>
      <c r="T90" s="211">
        <v>3.1495850000000001</v>
      </c>
      <c r="U90" s="211">
        <v>3.3139080000000001</v>
      </c>
      <c r="V90" s="211">
        <v>3.5006020000000002</v>
      </c>
      <c r="W90" s="211">
        <v>3.7020719999999998</v>
      </c>
      <c r="X90" s="211">
        <v>3.9170069999999999</v>
      </c>
      <c r="Y90" s="211">
        <v>4.1414150000000003</v>
      </c>
      <c r="Z90" s="211">
        <v>4.3768859999999998</v>
      </c>
      <c r="AA90" s="211">
        <v>4.632447</v>
      </c>
      <c r="AB90" s="211">
        <v>4.9017460000000002</v>
      </c>
      <c r="AC90" s="211">
        <v>5.1746309999999998</v>
      </c>
      <c r="AD90" s="211">
        <v>5.4474770000000001</v>
      </c>
      <c r="AE90" s="211">
        <v>5.7450359999999998</v>
      </c>
      <c r="AF90" s="212">
        <v>5.6125000000000001E-2</v>
      </c>
      <c r="AG90" s="31"/>
    </row>
    <row r="91" spans="1:33">
      <c r="A91" s="30" t="s">
        <v>483</v>
      </c>
      <c r="B91" s="210" t="s">
        <v>1040</v>
      </c>
      <c r="C91" s="211">
        <v>51.344929</v>
      </c>
      <c r="D91" s="211">
        <v>51.773192999999999</v>
      </c>
      <c r="E91" s="211">
        <v>51.965781999999997</v>
      </c>
      <c r="F91" s="211">
        <v>52.061802</v>
      </c>
      <c r="G91" s="211">
        <v>52.003608999999997</v>
      </c>
      <c r="H91" s="211">
        <v>51.453983000000001</v>
      </c>
      <c r="I91" s="211">
        <v>50.587246</v>
      </c>
      <c r="J91" s="211">
        <v>49.357909999999997</v>
      </c>
      <c r="K91" s="211">
        <v>47.935226</v>
      </c>
      <c r="L91" s="211">
        <v>46.656028999999997</v>
      </c>
      <c r="M91" s="211">
        <v>45.774760999999998</v>
      </c>
      <c r="N91" s="211">
        <v>45.265827000000002</v>
      </c>
      <c r="O91" s="211">
        <v>45.213760000000001</v>
      </c>
      <c r="P91" s="211">
        <v>45.570152</v>
      </c>
      <c r="Q91" s="211">
        <v>46.181815999999998</v>
      </c>
      <c r="R91" s="211">
        <v>47.148071000000002</v>
      </c>
      <c r="S91" s="211">
        <v>48.373516000000002</v>
      </c>
      <c r="T91" s="211">
        <v>49.850352999999998</v>
      </c>
      <c r="U91" s="211">
        <v>51.657871</v>
      </c>
      <c r="V91" s="211">
        <v>53.785004000000001</v>
      </c>
      <c r="W91" s="211">
        <v>56.128632000000003</v>
      </c>
      <c r="X91" s="211">
        <v>58.653046000000003</v>
      </c>
      <c r="Y91" s="211">
        <v>61.322830000000003</v>
      </c>
      <c r="Z91" s="211">
        <v>64.089225999999996</v>
      </c>
      <c r="AA91" s="211">
        <v>67.060805999999999</v>
      </c>
      <c r="AB91" s="211">
        <v>70.195723999999998</v>
      </c>
      <c r="AC91" s="211">
        <v>73.347763</v>
      </c>
      <c r="AD91" s="211">
        <v>76.647514000000001</v>
      </c>
      <c r="AE91" s="211">
        <v>80.336487000000005</v>
      </c>
      <c r="AF91" s="212">
        <v>1.6115999999999998E-2</v>
      </c>
      <c r="AG91" s="31"/>
    </row>
    <row r="92" spans="1:33">
      <c r="A92" s="30" t="s">
        <v>484</v>
      </c>
      <c r="B92" s="210" t="s">
        <v>1041</v>
      </c>
      <c r="C92" s="211">
        <v>56.296131000000003</v>
      </c>
      <c r="D92" s="211">
        <v>55.369976000000001</v>
      </c>
      <c r="E92" s="211">
        <v>54.821407000000001</v>
      </c>
      <c r="F92" s="211">
        <v>54.645843999999997</v>
      </c>
      <c r="G92" s="211">
        <v>54.800826999999998</v>
      </c>
      <c r="H92" s="211">
        <v>55.005043000000001</v>
      </c>
      <c r="I92" s="211">
        <v>55.364806999999999</v>
      </c>
      <c r="J92" s="211">
        <v>55.846207</v>
      </c>
      <c r="K92" s="211">
        <v>56.544991000000003</v>
      </c>
      <c r="L92" s="211">
        <v>57.577567999999999</v>
      </c>
      <c r="M92" s="211">
        <v>58.992728999999997</v>
      </c>
      <c r="N92" s="211">
        <v>60.460762000000003</v>
      </c>
      <c r="O92" s="211">
        <v>61.892029000000001</v>
      </c>
      <c r="P92" s="211">
        <v>63.325195000000001</v>
      </c>
      <c r="Q92" s="211">
        <v>64.556685999999999</v>
      </c>
      <c r="R92" s="211">
        <v>65.916945999999996</v>
      </c>
      <c r="S92" s="211">
        <v>67.129135000000005</v>
      </c>
      <c r="T92" s="211">
        <v>68.383598000000006</v>
      </c>
      <c r="U92" s="211">
        <v>69.911057</v>
      </c>
      <c r="V92" s="211">
        <v>71.648148000000006</v>
      </c>
      <c r="W92" s="211">
        <v>73.513976999999997</v>
      </c>
      <c r="X92" s="211">
        <v>75.545715000000001</v>
      </c>
      <c r="Y92" s="211">
        <v>77.664931999999993</v>
      </c>
      <c r="Z92" s="211">
        <v>79.787002999999999</v>
      </c>
      <c r="AA92" s="211">
        <v>81.972365999999994</v>
      </c>
      <c r="AB92" s="211">
        <v>84.157775999999998</v>
      </c>
      <c r="AC92" s="211">
        <v>86.156768999999997</v>
      </c>
      <c r="AD92" s="211">
        <v>88.149535999999998</v>
      </c>
      <c r="AE92" s="211">
        <v>90.333061000000001</v>
      </c>
      <c r="AF92" s="212">
        <v>1.7031999999999999E-2</v>
      </c>
      <c r="AG92" s="31"/>
    </row>
    <row r="93" spans="1:33">
      <c r="A93" s="30" t="s">
        <v>485</v>
      </c>
      <c r="B93" s="210" t="s">
        <v>1042</v>
      </c>
      <c r="C93" s="211">
        <v>9.0132000000000004E-2</v>
      </c>
      <c r="D93" s="211">
        <v>0.105979</v>
      </c>
      <c r="E93" s="211">
        <v>0.11863799999999999</v>
      </c>
      <c r="F93" s="211">
        <v>0.12912899999999999</v>
      </c>
      <c r="G93" s="211">
        <v>0.137766</v>
      </c>
      <c r="H93" s="211">
        <v>0.14405100000000001</v>
      </c>
      <c r="I93" s="211">
        <v>0.14827899999999999</v>
      </c>
      <c r="J93" s="211">
        <v>0.15024000000000001</v>
      </c>
      <c r="K93" s="211">
        <v>0.15040500000000001</v>
      </c>
      <c r="L93" s="211">
        <v>0.14929400000000001</v>
      </c>
      <c r="M93" s="211">
        <v>0.14718300000000001</v>
      </c>
      <c r="N93" s="211">
        <v>0.14337900000000001</v>
      </c>
      <c r="O93" s="211">
        <v>0.13844500000000001</v>
      </c>
      <c r="P93" s="211">
        <v>0.13287299999999999</v>
      </c>
      <c r="Q93" s="211">
        <v>0.126362</v>
      </c>
      <c r="R93" s="211">
        <v>0.119864</v>
      </c>
      <c r="S93" s="211">
        <v>0.113812</v>
      </c>
      <c r="T93" s="211">
        <v>0.107261</v>
      </c>
      <c r="U93" s="211">
        <v>0.100509</v>
      </c>
      <c r="V93" s="211">
        <v>9.4465999999999994E-2</v>
      </c>
      <c r="W93" s="211">
        <v>8.9089000000000002E-2</v>
      </c>
      <c r="X93" s="211">
        <v>8.3718000000000001E-2</v>
      </c>
      <c r="Y93" s="211">
        <v>7.8723000000000001E-2</v>
      </c>
      <c r="Z93" s="211">
        <v>7.4067999999999995E-2</v>
      </c>
      <c r="AA93" s="211">
        <v>6.9883000000000001E-2</v>
      </c>
      <c r="AB93" s="211">
        <v>6.5998000000000001E-2</v>
      </c>
      <c r="AC93" s="211">
        <v>6.2285E-2</v>
      </c>
      <c r="AD93" s="211">
        <v>5.8872000000000001E-2</v>
      </c>
      <c r="AE93" s="211">
        <v>5.5808999999999997E-2</v>
      </c>
      <c r="AF93" s="212">
        <v>-1.6974E-2</v>
      </c>
      <c r="AG93" s="31"/>
    </row>
    <row r="94" spans="1:33">
      <c r="A94" s="30" t="s">
        <v>486</v>
      </c>
      <c r="B94" s="210" t="s">
        <v>1043</v>
      </c>
      <c r="C94" s="211">
        <v>0</v>
      </c>
      <c r="D94" s="211">
        <v>3.4696999999999999E-2</v>
      </c>
      <c r="E94" s="211">
        <v>0.22656999999999999</v>
      </c>
      <c r="F94" s="211">
        <v>0.31767200000000001</v>
      </c>
      <c r="G94" s="211">
        <v>0.40790999999999999</v>
      </c>
      <c r="H94" s="211">
        <v>0.495367</v>
      </c>
      <c r="I94" s="211">
        <v>0.58037700000000003</v>
      </c>
      <c r="J94" s="211">
        <v>0.66060700000000006</v>
      </c>
      <c r="K94" s="211">
        <v>0.73688600000000004</v>
      </c>
      <c r="L94" s="211">
        <v>0.81124300000000005</v>
      </c>
      <c r="M94" s="211">
        <v>0.88603900000000002</v>
      </c>
      <c r="N94" s="211">
        <v>0.95841299999999996</v>
      </c>
      <c r="O94" s="211">
        <v>1.030276</v>
      </c>
      <c r="P94" s="211">
        <v>1.1037779999999999</v>
      </c>
      <c r="Q94" s="211">
        <v>1.1780520000000001</v>
      </c>
      <c r="R94" s="211">
        <v>1.2576940000000001</v>
      </c>
      <c r="S94" s="211">
        <v>1.343499</v>
      </c>
      <c r="T94" s="211">
        <v>1.4378439999999999</v>
      </c>
      <c r="U94" s="211">
        <v>1.5450470000000001</v>
      </c>
      <c r="V94" s="211">
        <v>1.6667050000000001</v>
      </c>
      <c r="W94" s="211">
        <v>1.8016829999999999</v>
      </c>
      <c r="X94" s="211">
        <v>1.9414089999999999</v>
      </c>
      <c r="Y94" s="211">
        <v>2.088851</v>
      </c>
      <c r="Z94" s="211">
        <v>2.2483810000000002</v>
      </c>
      <c r="AA94" s="211">
        <v>2.4252669999999998</v>
      </c>
      <c r="AB94" s="211">
        <v>2.6095299999999999</v>
      </c>
      <c r="AC94" s="211">
        <v>2.798035</v>
      </c>
      <c r="AD94" s="211">
        <v>2.995368</v>
      </c>
      <c r="AE94" s="211">
        <v>3.2089319999999999</v>
      </c>
      <c r="AF94" s="212" t="s">
        <v>340</v>
      </c>
      <c r="AG94" s="31"/>
    </row>
    <row r="95" spans="1:33">
      <c r="A95" s="30" t="s">
        <v>487</v>
      </c>
      <c r="B95" s="210" t="s">
        <v>1044</v>
      </c>
      <c r="C95" s="211">
        <v>0</v>
      </c>
      <c r="D95" s="211">
        <v>3.9742E-2</v>
      </c>
      <c r="E95" s="211">
        <v>0.36955300000000002</v>
      </c>
      <c r="F95" s="211">
        <v>0.48781200000000002</v>
      </c>
      <c r="G95" s="211">
        <v>0.605603</v>
      </c>
      <c r="H95" s="211">
        <v>0.71972499999999995</v>
      </c>
      <c r="I95" s="211">
        <v>0.82948599999999995</v>
      </c>
      <c r="J95" s="211">
        <v>0.93214399999999997</v>
      </c>
      <c r="K95" s="211">
        <v>1.0295799999999999</v>
      </c>
      <c r="L95" s="211">
        <v>1.1256299999999999</v>
      </c>
      <c r="M95" s="211">
        <v>1.223357</v>
      </c>
      <c r="N95" s="211">
        <v>1.3188709999999999</v>
      </c>
      <c r="O95" s="211">
        <v>1.4143889999999999</v>
      </c>
      <c r="P95" s="211">
        <v>1.513145</v>
      </c>
      <c r="Q95" s="211">
        <v>1.6139269999999999</v>
      </c>
      <c r="R95" s="211">
        <v>1.7237640000000001</v>
      </c>
      <c r="S95" s="211">
        <v>1.8440939999999999</v>
      </c>
      <c r="T95" s="211">
        <v>1.979271</v>
      </c>
      <c r="U95" s="211">
        <v>2.1358799999999998</v>
      </c>
      <c r="V95" s="211">
        <v>2.3173180000000002</v>
      </c>
      <c r="W95" s="211">
        <v>2.522904</v>
      </c>
      <c r="X95" s="211">
        <v>2.7382110000000002</v>
      </c>
      <c r="Y95" s="211">
        <v>2.9665469999999998</v>
      </c>
      <c r="Z95" s="211">
        <v>3.2160470000000001</v>
      </c>
      <c r="AA95" s="211">
        <v>3.49437</v>
      </c>
      <c r="AB95" s="211">
        <v>3.7831229999999998</v>
      </c>
      <c r="AC95" s="211">
        <v>4.0775949999999996</v>
      </c>
      <c r="AD95" s="211">
        <v>4.3843719999999999</v>
      </c>
      <c r="AE95" s="211">
        <v>4.712472</v>
      </c>
      <c r="AF95" s="212" t="s">
        <v>340</v>
      </c>
      <c r="AG95" s="31"/>
    </row>
    <row r="96" spans="1:33">
      <c r="A96" s="30" t="s">
        <v>488</v>
      </c>
      <c r="B96" s="210" t="s">
        <v>1045</v>
      </c>
      <c r="C96" s="211">
        <v>0</v>
      </c>
      <c r="D96" s="211">
        <v>0</v>
      </c>
      <c r="E96" s="211">
        <v>0.22972699999999999</v>
      </c>
      <c r="F96" s="211">
        <v>0.44725199999999998</v>
      </c>
      <c r="G96" s="211">
        <v>0.66231200000000001</v>
      </c>
      <c r="H96" s="211">
        <v>0.87751500000000004</v>
      </c>
      <c r="I96" s="211">
        <v>1.0912500000000001</v>
      </c>
      <c r="J96" s="211">
        <v>1.2990360000000001</v>
      </c>
      <c r="K96" s="211">
        <v>1.5006790000000001</v>
      </c>
      <c r="L96" s="211">
        <v>1.7007650000000001</v>
      </c>
      <c r="M96" s="211">
        <v>1.904776</v>
      </c>
      <c r="N96" s="211">
        <v>2.1047159999999998</v>
      </c>
      <c r="O96" s="211">
        <v>2.3014619999999999</v>
      </c>
      <c r="P96" s="211">
        <v>2.49594</v>
      </c>
      <c r="Q96" s="211">
        <v>2.6833969999999998</v>
      </c>
      <c r="R96" s="211">
        <v>2.8711519999999999</v>
      </c>
      <c r="S96" s="211">
        <v>3.0575359999999998</v>
      </c>
      <c r="T96" s="211">
        <v>3.245911</v>
      </c>
      <c r="U96" s="211">
        <v>3.4448439999999998</v>
      </c>
      <c r="V96" s="211">
        <v>3.6585730000000001</v>
      </c>
      <c r="W96" s="211">
        <v>3.886771</v>
      </c>
      <c r="X96" s="211">
        <v>4.1203969999999996</v>
      </c>
      <c r="Y96" s="211">
        <v>4.3612710000000003</v>
      </c>
      <c r="Z96" s="211">
        <v>4.6121660000000002</v>
      </c>
      <c r="AA96" s="211">
        <v>4.8889959999999997</v>
      </c>
      <c r="AB96" s="211">
        <v>5.184831</v>
      </c>
      <c r="AC96" s="211">
        <v>5.4921150000000001</v>
      </c>
      <c r="AD96" s="211">
        <v>5.8197830000000002</v>
      </c>
      <c r="AE96" s="211">
        <v>6.1840799999999998</v>
      </c>
      <c r="AF96" s="212" t="s">
        <v>340</v>
      </c>
      <c r="AG96" s="31"/>
    </row>
    <row r="97" spans="1:33">
      <c r="A97" s="30" t="s">
        <v>489</v>
      </c>
      <c r="B97" s="209" t="s">
        <v>1052</v>
      </c>
      <c r="C97" s="213">
        <v>5922.7944340000004</v>
      </c>
      <c r="D97" s="213">
        <v>5816.705078</v>
      </c>
      <c r="E97" s="213">
        <v>5728.095703</v>
      </c>
      <c r="F97" s="213">
        <v>5673.0986329999996</v>
      </c>
      <c r="G97" s="213">
        <v>5638.8974609999996</v>
      </c>
      <c r="H97" s="213">
        <v>5591.7060549999997</v>
      </c>
      <c r="I97" s="213">
        <v>5543.7099609999996</v>
      </c>
      <c r="J97" s="213">
        <v>5483.6723629999997</v>
      </c>
      <c r="K97" s="213">
        <v>5422.3881840000004</v>
      </c>
      <c r="L97" s="213">
        <v>5371.3041990000002</v>
      </c>
      <c r="M97" s="213">
        <v>5340.1577150000003</v>
      </c>
      <c r="N97" s="213">
        <v>5306.5058589999999</v>
      </c>
      <c r="O97" s="213">
        <v>5278.78125</v>
      </c>
      <c r="P97" s="213">
        <v>5261.2451170000004</v>
      </c>
      <c r="Q97" s="213">
        <v>5243.0034180000002</v>
      </c>
      <c r="R97" s="213">
        <v>5237.6967770000001</v>
      </c>
      <c r="S97" s="213">
        <v>5236.3603519999997</v>
      </c>
      <c r="T97" s="213">
        <v>5238.3046880000002</v>
      </c>
      <c r="U97" s="213">
        <v>5247.9135740000002</v>
      </c>
      <c r="V97" s="213">
        <v>5263.2055659999996</v>
      </c>
      <c r="W97" s="213">
        <v>5281.453125</v>
      </c>
      <c r="X97" s="213">
        <v>5299.6840819999998</v>
      </c>
      <c r="Y97" s="213">
        <v>5316.767578</v>
      </c>
      <c r="Z97" s="213">
        <v>5331.7001950000003</v>
      </c>
      <c r="AA97" s="213">
        <v>5353.1962890000004</v>
      </c>
      <c r="AB97" s="213">
        <v>5376.3159180000002</v>
      </c>
      <c r="AC97" s="213">
        <v>5393.3193359999996</v>
      </c>
      <c r="AD97" s="213">
        <v>5413.4169920000004</v>
      </c>
      <c r="AE97" s="213">
        <v>5450.013672</v>
      </c>
      <c r="AF97" s="214">
        <v>-2.967E-3</v>
      </c>
      <c r="AG97" s="31"/>
    </row>
    <row r="98" spans="1:33">
      <c r="A98" s="29"/>
      <c r="B98" s="31"/>
      <c r="C98" s="31"/>
      <c r="D98" s="31"/>
      <c r="E98" s="31"/>
      <c r="F98" s="31"/>
      <c r="G98" s="31"/>
      <c r="H98" s="31"/>
      <c r="I98" s="31"/>
      <c r="J98" s="31"/>
      <c r="K98" s="31"/>
      <c r="L98" s="31"/>
      <c r="M98" s="31"/>
      <c r="N98" s="31"/>
      <c r="O98" s="31"/>
      <c r="P98" s="31"/>
      <c r="Q98" s="31"/>
      <c r="R98" s="31"/>
      <c r="S98" s="31"/>
      <c r="T98" s="31"/>
      <c r="U98" s="31"/>
      <c r="V98" s="31"/>
      <c r="W98" s="31"/>
      <c r="X98" s="31"/>
      <c r="Y98" s="31"/>
      <c r="Z98" s="31"/>
      <c r="AA98" s="31"/>
      <c r="AB98" s="31"/>
      <c r="AC98" s="31"/>
      <c r="AD98" s="31"/>
      <c r="AE98" s="31"/>
      <c r="AF98" s="31"/>
      <c r="AG98" s="31"/>
    </row>
    <row r="99" spans="1:33">
      <c r="A99" s="29"/>
      <c r="B99" s="209" t="s">
        <v>490</v>
      </c>
      <c r="C99" s="31"/>
      <c r="D99" s="31"/>
      <c r="E99" s="31"/>
      <c r="F99" s="31"/>
      <c r="G99" s="31"/>
      <c r="H99" s="31"/>
      <c r="I99" s="31"/>
      <c r="J99" s="31"/>
      <c r="K99" s="31"/>
      <c r="L99" s="31"/>
      <c r="M99" s="31"/>
      <c r="N99" s="31"/>
      <c r="O99" s="31"/>
      <c r="P99" s="31"/>
      <c r="Q99" s="31"/>
      <c r="R99" s="31"/>
      <c r="S99" s="31"/>
      <c r="T99" s="31"/>
      <c r="U99" s="31"/>
      <c r="V99" s="31"/>
      <c r="W99" s="31"/>
      <c r="X99" s="31"/>
      <c r="Y99" s="31"/>
      <c r="Z99" s="31"/>
      <c r="AA99" s="31"/>
      <c r="AB99" s="31"/>
      <c r="AC99" s="31"/>
      <c r="AD99" s="31"/>
      <c r="AE99" s="31"/>
      <c r="AF99" s="31"/>
      <c r="AG99" s="31"/>
    </row>
    <row r="100" spans="1:33">
      <c r="A100" s="29"/>
      <c r="B100" s="209" t="s">
        <v>1036</v>
      </c>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1"/>
      <c r="AB100" s="31"/>
      <c r="AC100" s="31"/>
      <c r="AD100" s="31"/>
      <c r="AE100" s="31"/>
      <c r="AF100" s="31"/>
      <c r="AG100" s="31"/>
    </row>
    <row r="101" spans="1:33">
      <c r="A101" s="30" t="s">
        <v>491</v>
      </c>
      <c r="B101" s="210" t="s">
        <v>1037</v>
      </c>
      <c r="C101" s="211">
        <v>14.991417999999999</v>
      </c>
      <c r="D101" s="211">
        <v>15.216495999999999</v>
      </c>
      <c r="E101" s="211">
        <v>15.498507</v>
      </c>
      <c r="F101" s="211">
        <v>15.831193000000001</v>
      </c>
      <c r="G101" s="211">
        <v>16.182243</v>
      </c>
      <c r="H101" s="211">
        <v>16.538081999999999</v>
      </c>
      <c r="I101" s="211">
        <v>16.880116000000001</v>
      </c>
      <c r="J101" s="211">
        <v>17.209087</v>
      </c>
      <c r="K101" s="211">
        <v>17.515287000000001</v>
      </c>
      <c r="L101" s="211">
        <v>17.796841000000001</v>
      </c>
      <c r="M101" s="211">
        <v>18.058009999999999</v>
      </c>
      <c r="N101" s="211">
        <v>18.298815000000001</v>
      </c>
      <c r="O101" s="211">
        <v>18.515478000000002</v>
      </c>
      <c r="P101" s="211">
        <v>18.711390999999999</v>
      </c>
      <c r="Q101" s="211">
        <v>18.891172000000001</v>
      </c>
      <c r="R101" s="211">
        <v>19.054907</v>
      </c>
      <c r="S101" s="211">
        <v>19.202491999999999</v>
      </c>
      <c r="T101" s="211">
        <v>19.329568999999999</v>
      </c>
      <c r="U101" s="211">
        <v>19.439314</v>
      </c>
      <c r="V101" s="211">
        <v>19.535429000000001</v>
      </c>
      <c r="W101" s="211">
        <v>19.61628</v>
      </c>
      <c r="X101" s="211">
        <v>19.678816000000001</v>
      </c>
      <c r="Y101" s="211">
        <v>19.726330000000001</v>
      </c>
      <c r="Z101" s="211">
        <v>19.762045000000001</v>
      </c>
      <c r="AA101" s="211">
        <v>19.788633000000001</v>
      </c>
      <c r="AB101" s="211">
        <v>19.806604</v>
      </c>
      <c r="AC101" s="211">
        <v>19.813744</v>
      </c>
      <c r="AD101" s="211">
        <v>19.817585000000001</v>
      </c>
      <c r="AE101" s="211">
        <v>19.819794000000002</v>
      </c>
      <c r="AF101" s="212">
        <v>1.0021E-2</v>
      </c>
      <c r="AG101" s="31"/>
    </row>
    <row r="102" spans="1:33">
      <c r="A102" s="30" t="s">
        <v>492</v>
      </c>
      <c r="B102" s="210" t="s">
        <v>1038</v>
      </c>
      <c r="C102" s="211">
        <v>10.726876000000001</v>
      </c>
      <c r="D102" s="211">
        <v>11.029114999999999</v>
      </c>
      <c r="E102" s="211">
        <v>11.340722</v>
      </c>
      <c r="F102" s="211">
        <v>11.658097</v>
      </c>
      <c r="G102" s="211">
        <v>11.957341</v>
      </c>
      <c r="H102" s="211">
        <v>12.246843</v>
      </c>
      <c r="I102" s="211">
        <v>12.511288</v>
      </c>
      <c r="J102" s="211">
        <v>12.761357</v>
      </c>
      <c r="K102" s="211">
        <v>12.989336</v>
      </c>
      <c r="L102" s="211">
        <v>13.199085999999999</v>
      </c>
      <c r="M102" s="211">
        <v>13.381130000000001</v>
      </c>
      <c r="N102" s="211">
        <v>13.546595999999999</v>
      </c>
      <c r="O102" s="211">
        <v>13.699472</v>
      </c>
      <c r="P102" s="211">
        <v>13.842229</v>
      </c>
      <c r="Q102" s="211">
        <v>13.973739</v>
      </c>
      <c r="R102" s="211">
        <v>14.095364</v>
      </c>
      <c r="S102" s="211">
        <v>14.210414999999999</v>
      </c>
      <c r="T102" s="211">
        <v>14.321558</v>
      </c>
      <c r="U102" s="211">
        <v>14.425992000000001</v>
      </c>
      <c r="V102" s="211">
        <v>14.520219000000001</v>
      </c>
      <c r="W102" s="211">
        <v>14.608215</v>
      </c>
      <c r="X102" s="211">
        <v>14.692059</v>
      </c>
      <c r="Y102" s="211">
        <v>14.763736</v>
      </c>
      <c r="Z102" s="211">
        <v>14.827795999999999</v>
      </c>
      <c r="AA102" s="211">
        <v>14.883236999999999</v>
      </c>
      <c r="AB102" s="211">
        <v>14.930063000000001</v>
      </c>
      <c r="AC102" s="211">
        <v>14.969678</v>
      </c>
      <c r="AD102" s="211">
        <v>15.003341000000001</v>
      </c>
      <c r="AE102" s="211">
        <v>15.030684000000001</v>
      </c>
      <c r="AF102" s="212">
        <v>1.2121E-2</v>
      </c>
      <c r="AG102" s="31"/>
    </row>
    <row r="103" spans="1:33">
      <c r="A103" s="30" t="s">
        <v>493</v>
      </c>
      <c r="B103" s="210" t="s">
        <v>1039</v>
      </c>
      <c r="C103" s="211">
        <v>8.2871159999999993</v>
      </c>
      <c r="D103" s="211">
        <v>12.070017</v>
      </c>
      <c r="E103" s="211">
        <v>12.378905</v>
      </c>
      <c r="F103" s="211">
        <v>12.533067000000001</v>
      </c>
      <c r="G103" s="211">
        <v>12.633637</v>
      </c>
      <c r="H103" s="211">
        <v>12.727520999999999</v>
      </c>
      <c r="I103" s="211">
        <v>12.811731999999999</v>
      </c>
      <c r="J103" s="211">
        <v>12.9071</v>
      </c>
      <c r="K103" s="211">
        <v>13.019793999999999</v>
      </c>
      <c r="L103" s="211">
        <v>13.144209</v>
      </c>
      <c r="M103" s="211">
        <v>13.276356</v>
      </c>
      <c r="N103" s="211">
        <v>13.407525</v>
      </c>
      <c r="O103" s="211">
        <v>13.532327</v>
      </c>
      <c r="P103" s="211">
        <v>13.644149000000001</v>
      </c>
      <c r="Q103" s="211">
        <v>13.742635</v>
      </c>
      <c r="R103" s="211">
        <v>13.828310999999999</v>
      </c>
      <c r="S103" s="211">
        <v>13.902666</v>
      </c>
      <c r="T103" s="211">
        <v>13.967390999999999</v>
      </c>
      <c r="U103" s="211">
        <v>14.023659</v>
      </c>
      <c r="V103" s="211">
        <v>14.072395999999999</v>
      </c>
      <c r="W103" s="211">
        <v>14.11443</v>
      </c>
      <c r="X103" s="211">
        <v>14.150719</v>
      </c>
      <c r="Y103" s="211">
        <v>14.184551000000001</v>
      </c>
      <c r="Z103" s="211">
        <v>14.215185999999999</v>
      </c>
      <c r="AA103" s="211">
        <v>14.241229000000001</v>
      </c>
      <c r="AB103" s="211">
        <v>14.26371</v>
      </c>
      <c r="AC103" s="211">
        <v>14.282851000000001</v>
      </c>
      <c r="AD103" s="211">
        <v>14.299067000000001</v>
      </c>
      <c r="AE103" s="211">
        <v>14.312678</v>
      </c>
      <c r="AF103" s="212">
        <v>1.9708E-2</v>
      </c>
      <c r="AG103" s="31"/>
    </row>
    <row r="104" spans="1:33">
      <c r="A104" s="30" t="s">
        <v>494</v>
      </c>
      <c r="B104" s="210" t="s">
        <v>1040</v>
      </c>
      <c r="C104" s="211">
        <v>10.037065</v>
      </c>
      <c r="D104" s="211">
        <v>10.03825</v>
      </c>
      <c r="E104" s="211">
        <v>10.039481</v>
      </c>
      <c r="F104" s="211">
        <v>10.040760000000001</v>
      </c>
      <c r="G104" s="211">
        <v>10.04208</v>
      </c>
      <c r="H104" s="211">
        <v>10.043437000000001</v>
      </c>
      <c r="I104" s="211">
        <v>10.044827</v>
      </c>
      <c r="J104" s="211">
        <v>10.046251</v>
      </c>
      <c r="K104" s="211">
        <v>10.047701</v>
      </c>
      <c r="L104" s="211">
        <v>10.049175999999999</v>
      </c>
      <c r="M104" s="211">
        <v>10.050672</v>
      </c>
      <c r="N104" s="211">
        <v>10.057157</v>
      </c>
      <c r="O104" s="211">
        <v>10.073521</v>
      </c>
      <c r="P104" s="211">
        <v>10.105247</v>
      </c>
      <c r="Q104" s="211">
        <v>10.140972</v>
      </c>
      <c r="R104" s="211">
        <v>10.185604</v>
      </c>
      <c r="S104" s="211">
        <v>10.231821</v>
      </c>
      <c r="T104" s="211">
        <v>10.265867999999999</v>
      </c>
      <c r="U104" s="211">
        <v>10.275093</v>
      </c>
      <c r="V104" s="211">
        <v>10.25789</v>
      </c>
      <c r="W104" s="211">
        <v>10.216537000000001</v>
      </c>
      <c r="X104" s="211">
        <v>10.161300000000001</v>
      </c>
      <c r="Y104" s="211">
        <v>10.092753999999999</v>
      </c>
      <c r="Z104" s="211">
        <v>10.027177</v>
      </c>
      <c r="AA104" s="211">
        <v>9.99404</v>
      </c>
      <c r="AB104" s="211">
        <v>10.014455</v>
      </c>
      <c r="AC104" s="211">
        <v>10.061934000000001</v>
      </c>
      <c r="AD104" s="211">
        <v>10.114001</v>
      </c>
      <c r="AE104" s="211">
        <v>10.188727</v>
      </c>
      <c r="AF104" s="212">
        <v>5.3600000000000002E-4</v>
      </c>
      <c r="AG104" s="31"/>
    </row>
    <row r="105" spans="1:33">
      <c r="A105" s="30" t="s">
        <v>495</v>
      </c>
      <c r="B105" s="210" t="s">
        <v>1041</v>
      </c>
      <c r="C105" s="211">
        <v>10.321225</v>
      </c>
      <c r="D105" s="211">
        <v>10.468386000000001</v>
      </c>
      <c r="E105" s="211">
        <v>10.641707</v>
      </c>
      <c r="F105" s="211">
        <v>10.829888</v>
      </c>
      <c r="G105" s="211">
        <v>11.019978999999999</v>
      </c>
      <c r="H105" s="211">
        <v>11.213248</v>
      </c>
      <c r="I105" s="211">
        <v>11.394366</v>
      </c>
      <c r="J105" s="211">
        <v>11.570538000000001</v>
      </c>
      <c r="K105" s="211">
        <v>11.740290999999999</v>
      </c>
      <c r="L105" s="211">
        <v>11.905053000000001</v>
      </c>
      <c r="M105" s="211">
        <v>12.059313</v>
      </c>
      <c r="N105" s="211">
        <v>12.213480000000001</v>
      </c>
      <c r="O105" s="211">
        <v>12.379014</v>
      </c>
      <c r="P105" s="211">
        <v>12.555837</v>
      </c>
      <c r="Q105" s="211">
        <v>12.744346</v>
      </c>
      <c r="R105" s="211">
        <v>12.939107999999999</v>
      </c>
      <c r="S105" s="211">
        <v>13.149075</v>
      </c>
      <c r="T105" s="211">
        <v>13.363464</v>
      </c>
      <c r="U105" s="211">
        <v>13.576193</v>
      </c>
      <c r="V105" s="211">
        <v>13.772496</v>
      </c>
      <c r="W105" s="211">
        <v>13.949099</v>
      </c>
      <c r="X105" s="211">
        <v>14.098661999999999</v>
      </c>
      <c r="Y105" s="211">
        <v>14.220824</v>
      </c>
      <c r="Z105" s="211">
        <v>14.323482</v>
      </c>
      <c r="AA105" s="211">
        <v>14.410444</v>
      </c>
      <c r="AB105" s="211">
        <v>14.483241</v>
      </c>
      <c r="AC105" s="211">
        <v>14.544046</v>
      </c>
      <c r="AD105" s="211">
        <v>14.60201</v>
      </c>
      <c r="AE105" s="211">
        <v>14.655778</v>
      </c>
      <c r="AF105" s="212">
        <v>1.2600999999999999E-2</v>
      </c>
      <c r="AG105" s="31"/>
    </row>
    <row r="106" spans="1:33">
      <c r="A106" s="30" t="s">
        <v>496</v>
      </c>
      <c r="B106" s="210" t="s">
        <v>1042</v>
      </c>
      <c r="C106" s="211">
        <v>24.120543999999999</v>
      </c>
      <c r="D106" s="211">
        <v>24.120650999999999</v>
      </c>
      <c r="E106" s="211">
        <v>24.120832</v>
      </c>
      <c r="F106" s="211">
        <v>24.121077</v>
      </c>
      <c r="G106" s="211">
        <v>24.121357</v>
      </c>
      <c r="H106" s="211">
        <v>24.121646999999999</v>
      </c>
      <c r="I106" s="211">
        <v>24.121905999999999</v>
      </c>
      <c r="J106" s="211">
        <v>24.1206</v>
      </c>
      <c r="K106" s="211">
        <v>24.120342000000001</v>
      </c>
      <c r="L106" s="211">
        <v>24.120311999999998</v>
      </c>
      <c r="M106" s="211">
        <v>24.120283000000001</v>
      </c>
      <c r="N106" s="211">
        <v>24.116168999999999</v>
      </c>
      <c r="O106" s="211">
        <v>24.116142</v>
      </c>
      <c r="P106" s="211">
        <v>24.116114</v>
      </c>
      <c r="Q106" s="211">
        <v>24.116087</v>
      </c>
      <c r="R106" s="211">
        <v>24.116057999999999</v>
      </c>
      <c r="S106" s="211">
        <v>24.116029999999999</v>
      </c>
      <c r="T106" s="211">
        <v>24.116002999999999</v>
      </c>
      <c r="U106" s="211">
        <v>24.121919999999999</v>
      </c>
      <c r="V106" s="211">
        <v>24.121894999999999</v>
      </c>
      <c r="W106" s="211">
        <v>24.121872</v>
      </c>
      <c r="X106" s="211">
        <v>24.121846999999999</v>
      </c>
      <c r="Y106" s="211">
        <v>24.121846999999999</v>
      </c>
      <c r="Z106" s="211">
        <v>24.121846999999999</v>
      </c>
      <c r="AA106" s="211">
        <v>24.121846999999999</v>
      </c>
      <c r="AB106" s="211">
        <v>24.121846999999999</v>
      </c>
      <c r="AC106" s="211">
        <v>24.121846999999999</v>
      </c>
      <c r="AD106" s="211">
        <v>24.121846999999999</v>
      </c>
      <c r="AE106" s="211">
        <v>24.121849000000001</v>
      </c>
      <c r="AF106" s="212">
        <v>1.9999999999999999E-6</v>
      </c>
      <c r="AG106" s="31"/>
    </row>
    <row r="107" spans="1:33">
      <c r="A107" s="30" t="s">
        <v>497</v>
      </c>
      <c r="B107" s="210" t="s">
        <v>1043</v>
      </c>
      <c r="C107" s="211">
        <v>0</v>
      </c>
      <c r="D107" s="211">
        <v>23.149469</v>
      </c>
      <c r="E107" s="211">
        <v>23.472180999999999</v>
      </c>
      <c r="F107" s="211">
        <v>23.713379</v>
      </c>
      <c r="G107" s="211">
        <v>23.934065</v>
      </c>
      <c r="H107" s="211">
        <v>24.180558999999999</v>
      </c>
      <c r="I107" s="211">
        <v>24.434350999999999</v>
      </c>
      <c r="J107" s="211">
        <v>24.733726999999998</v>
      </c>
      <c r="K107" s="211">
        <v>25.076927000000001</v>
      </c>
      <c r="L107" s="211">
        <v>25.458096999999999</v>
      </c>
      <c r="M107" s="211">
        <v>25.866046999999998</v>
      </c>
      <c r="N107" s="211">
        <v>26.263549999999999</v>
      </c>
      <c r="O107" s="211">
        <v>26.635529999999999</v>
      </c>
      <c r="P107" s="211">
        <v>26.971720000000001</v>
      </c>
      <c r="Q107" s="211">
        <v>27.273852999999999</v>
      </c>
      <c r="R107" s="211">
        <v>27.540438000000002</v>
      </c>
      <c r="S107" s="211">
        <v>27.771664000000001</v>
      </c>
      <c r="T107" s="211">
        <v>27.968972999999998</v>
      </c>
      <c r="U107" s="211">
        <v>28.134948999999999</v>
      </c>
      <c r="V107" s="211">
        <v>28.272074</v>
      </c>
      <c r="W107" s="211">
        <v>28.389306999999999</v>
      </c>
      <c r="X107" s="211">
        <v>28.489751999999999</v>
      </c>
      <c r="Y107" s="211">
        <v>28.575668</v>
      </c>
      <c r="Z107" s="211">
        <v>28.649501999999998</v>
      </c>
      <c r="AA107" s="211">
        <v>28.719356999999999</v>
      </c>
      <c r="AB107" s="211">
        <v>28.78302</v>
      </c>
      <c r="AC107" s="211">
        <v>28.839659000000001</v>
      </c>
      <c r="AD107" s="211">
        <v>28.888365</v>
      </c>
      <c r="AE107" s="211">
        <v>28.930430999999999</v>
      </c>
      <c r="AF107" s="212" t="s">
        <v>340</v>
      </c>
      <c r="AG107" s="31"/>
    </row>
    <row r="108" spans="1:33">
      <c r="A108" s="30" t="s">
        <v>498</v>
      </c>
      <c r="B108" s="210" t="s">
        <v>1044</v>
      </c>
      <c r="C108" s="211">
        <v>0</v>
      </c>
      <c r="D108" s="211">
        <v>18.959842999999999</v>
      </c>
      <c r="E108" s="211">
        <v>19.097798999999998</v>
      </c>
      <c r="F108" s="211">
        <v>19.221861000000001</v>
      </c>
      <c r="G108" s="211">
        <v>19.306705000000001</v>
      </c>
      <c r="H108" s="211">
        <v>19.394665</v>
      </c>
      <c r="I108" s="211">
        <v>19.477266</v>
      </c>
      <c r="J108" s="211">
        <v>19.57037</v>
      </c>
      <c r="K108" s="211">
        <v>19.676134000000001</v>
      </c>
      <c r="L108" s="211">
        <v>19.793496999999999</v>
      </c>
      <c r="M108" s="211">
        <v>19.919716000000001</v>
      </c>
      <c r="N108" s="211">
        <v>20.047338</v>
      </c>
      <c r="O108" s="211">
        <v>20.172951000000001</v>
      </c>
      <c r="P108" s="211">
        <v>20.289746999999998</v>
      </c>
      <c r="Q108" s="211">
        <v>20.399184999999999</v>
      </c>
      <c r="R108" s="211">
        <v>20.498297000000001</v>
      </c>
      <c r="S108" s="211">
        <v>20.584267000000001</v>
      </c>
      <c r="T108" s="211">
        <v>20.657764</v>
      </c>
      <c r="U108" s="211">
        <v>20.719555</v>
      </c>
      <c r="V108" s="211">
        <v>20.770308</v>
      </c>
      <c r="W108" s="211">
        <v>20.813773999999999</v>
      </c>
      <c r="X108" s="211">
        <v>20.851306999999998</v>
      </c>
      <c r="Y108" s="211">
        <v>20.877443</v>
      </c>
      <c r="Z108" s="211">
        <v>20.902785999999999</v>
      </c>
      <c r="AA108" s="211">
        <v>20.928736000000001</v>
      </c>
      <c r="AB108" s="211">
        <v>20.955839000000001</v>
      </c>
      <c r="AC108" s="211">
        <v>20.984338999999999</v>
      </c>
      <c r="AD108" s="211">
        <v>21.014859999999999</v>
      </c>
      <c r="AE108" s="211">
        <v>21.047606999999999</v>
      </c>
      <c r="AF108" s="212" t="s">
        <v>340</v>
      </c>
      <c r="AG108" s="31"/>
    </row>
    <row r="109" spans="1:33">
      <c r="A109" s="30" t="s">
        <v>499</v>
      </c>
      <c r="B109" s="210" t="s">
        <v>1045</v>
      </c>
      <c r="C109" s="211">
        <v>0</v>
      </c>
      <c r="D109" s="211">
        <v>0</v>
      </c>
      <c r="E109" s="211">
        <v>18.589186000000002</v>
      </c>
      <c r="F109" s="211">
        <v>17.317968</v>
      </c>
      <c r="G109" s="211">
        <v>16.950768</v>
      </c>
      <c r="H109" s="211">
        <v>16.763815000000001</v>
      </c>
      <c r="I109" s="211">
        <v>16.648444999999999</v>
      </c>
      <c r="J109" s="211">
        <v>16.569084</v>
      </c>
      <c r="K109" s="211">
        <v>16.510998000000001</v>
      </c>
      <c r="L109" s="211">
        <v>16.466656</v>
      </c>
      <c r="M109" s="211">
        <v>16.431818</v>
      </c>
      <c r="N109" s="211">
        <v>16.404015000000001</v>
      </c>
      <c r="O109" s="211">
        <v>16.381551999999999</v>
      </c>
      <c r="P109" s="211">
        <v>16.363289000000002</v>
      </c>
      <c r="Q109" s="211">
        <v>16.348462999999999</v>
      </c>
      <c r="R109" s="211">
        <v>16.336552000000001</v>
      </c>
      <c r="S109" s="211">
        <v>16.327078</v>
      </c>
      <c r="T109" s="211">
        <v>16.319696</v>
      </c>
      <c r="U109" s="211">
        <v>16.314050999999999</v>
      </c>
      <c r="V109" s="211">
        <v>16.30987</v>
      </c>
      <c r="W109" s="211">
        <v>16.306847000000001</v>
      </c>
      <c r="X109" s="211">
        <v>16.301434</v>
      </c>
      <c r="Y109" s="211">
        <v>16.296316000000001</v>
      </c>
      <c r="Z109" s="211">
        <v>16.291889000000001</v>
      </c>
      <c r="AA109" s="211">
        <v>16.288053999999999</v>
      </c>
      <c r="AB109" s="211">
        <v>16.279157999999999</v>
      </c>
      <c r="AC109" s="211">
        <v>16.272285</v>
      </c>
      <c r="AD109" s="211">
        <v>16.266923999999999</v>
      </c>
      <c r="AE109" s="211">
        <v>16.262709000000001</v>
      </c>
      <c r="AF109" s="212" t="s">
        <v>340</v>
      </c>
      <c r="AG109" s="31"/>
    </row>
    <row r="110" spans="1:33">
      <c r="A110" s="30" t="s">
        <v>500</v>
      </c>
      <c r="B110" s="210" t="s">
        <v>1053</v>
      </c>
      <c r="C110" s="211">
        <v>13.701998</v>
      </c>
      <c r="D110" s="211">
        <v>13.894455000000001</v>
      </c>
      <c r="E110" s="211">
        <v>14.1332</v>
      </c>
      <c r="F110" s="211">
        <v>14.411139</v>
      </c>
      <c r="G110" s="211">
        <v>14.696726999999999</v>
      </c>
      <c r="H110" s="211">
        <v>14.984973999999999</v>
      </c>
      <c r="I110" s="211">
        <v>15.258081000000001</v>
      </c>
      <c r="J110" s="211">
        <v>15.520238000000001</v>
      </c>
      <c r="K110" s="211">
        <v>15.762815</v>
      </c>
      <c r="L110" s="211">
        <v>15.987064999999999</v>
      </c>
      <c r="M110" s="211">
        <v>16.188490000000002</v>
      </c>
      <c r="N110" s="211">
        <v>16.371717</v>
      </c>
      <c r="O110" s="211">
        <v>16.538298000000001</v>
      </c>
      <c r="P110" s="211">
        <v>16.691216000000001</v>
      </c>
      <c r="Q110" s="211">
        <v>16.830991999999998</v>
      </c>
      <c r="R110" s="211">
        <v>16.958241999999998</v>
      </c>
      <c r="S110" s="211">
        <v>17.075382000000001</v>
      </c>
      <c r="T110" s="211">
        <v>17.182625000000002</v>
      </c>
      <c r="U110" s="211">
        <v>17.279478000000001</v>
      </c>
      <c r="V110" s="211">
        <v>17.364405000000001</v>
      </c>
      <c r="W110" s="211">
        <v>17.440176000000001</v>
      </c>
      <c r="X110" s="211">
        <v>17.507937999999999</v>
      </c>
      <c r="Y110" s="211">
        <v>17.564014</v>
      </c>
      <c r="Z110" s="211">
        <v>17.611903999999999</v>
      </c>
      <c r="AA110" s="211">
        <v>17.652002</v>
      </c>
      <c r="AB110" s="211">
        <v>17.684301000000001</v>
      </c>
      <c r="AC110" s="211">
        <v>17.708280999999999</v>
      </c>
      <c r="AD110" s="211">
        <v>17.728021999999999</v>
      </c>
      <c r="AE110" s="211">
        <v>17.743794999999999</v>
      </c>
      <c r="AF110" s="212">
        <v>9.2750000000000003E-3</v>
      </c>
      <c r="AG110" s="31"/>
    </row>
    <row r="111" spans="1:33">
      <c r="A111" s="29"/>
      <c r="B111" s="209" t="s">
        <v>1047</v>
      </c>
      <c r="C111" s="31"/>
      <c r="D111" s="31"/>
      <c r="E111" s="31"/>
      <c r="F111" s="31"/>
      <c r="G111" s="31"/>
      <c r="H111" s="31"/>
      <c r="I111" s="31"/>
      <c r="J111" s="31"/>
      <c r="K111" s="31"/>
      <c r="L111" s="31"/>
      <c r="M111" s="31"/>
      <c r="N111" s="31"/>
      <c r="O111" s="31"/>
      <c r="P111" s="31"/>
      <c r="Q111" s="31"/>
      <c r="R111" s="31"/>
      <c r="S111" s="31"/>
      <c r="T111" s="31"/>
      <c r="U111" s="31"/>
      <c r="V111" s="31"/>
      <c r="W111" s="31"/>
      <c r="X111" s="31"/>
      <c r="Y111" s="31"/>
      <c r="Z111" s="31"/>
      <c r="AA111" s="31"/>
      <c r="AB111" s="31"/>
      <c r="AC111" s="31"/>
      <c r="AD111" s="31"/>
      <c r="AE111" s="31"/>
      <c r="AF111" s="31"/>
      <c r="AG111" s="31"/>
    </row>
    <row r="112" spans="1:33">
      <c r="A112" s="30" t="s">
        <v>501</v>
      </c>
      <c r="B112" s="210" t="s">
        <v>1037</v>
      </c>
      <c r="C112" s="211">
        <v>9.1936929999999997</v>
      </c>
      <c r="D112" s="211">
        <v>9.3656079999999999</v>
      </c>
      <c r="E112" s="211">
        <v>9.5537709999999993</v>
      </c>
      <c r="F112" s="211">
        <v>9.7580460000000002</v>
      </c>
      <c r="G112" s="211">
        <v>9.9795289999999994</v>
      </c>
      <c r="H112" s="211">
        <v>10.217642</v>
      </c>
      <c r="I112" s="211">
        <v>10.452211999999999</v>
      </c>
      <c r="J112" s="211">
        <v>10.691178000000001</v>
      </c>
      <c r="K112" s="211">
        <v>10.928903</v>
      </c>
      <c r="L112" s="211">
        <v>11.165851</v>
      </c>
      <c r="M112" s="211">
        <v>11.396546000000001</v>
      </c>
      <c r="N112" s="211">
        <v>11.615690000000001</v>
      </c>
      <c r="O112" s="211">
        <v>11.822267999999999</v>
      </c>
      <c r="P112" s="211">
        <v>12.013245</v>
      </c>
      <c r="Q112" s="211">
        <v>12.188295</v>
      </c>
      <c r="R112" s="211">
        <v>12.348012000000001</v>
      </c>
      <c r="S112" s="211">
        <v>12.494664999999999</v>
      </c>
      <c r="T112" s="211">
        <v>12.629422999999999</v>
      </c>
      <c r="U112" s="211">
        <v>12.753945</v>
      </c>
      <c r="V112" s="211">
        <v>12.869916999999999</v>
      </c>
      <c r="W112" s="211">
        <v>12.975726</v>
      </c>
      <c r="X112" s="211">
        <v>13.066599</v>
      </c>
      <c r="Y112" s="211">
        <v>13.143876000000001</v>
      </c>
      <c r="Z112" s="211">
        <v>13.212106</v>
      </c>
      <c r="AA112" s="211">
        <v>13.275549</v>
      </c>
      <c r="AB112" s="211">
        <v>13.33305</v>
      </c>
      <c r="AC112" s="211">
        <v>13.385566000000001</v>
      </c>
      <c r="AD112" s="211">
        <v>13.435430999999999</v>
      </c>
      <c r="AE112" s="211">
        <v>13.483851</v>
      </c>
      <c r="AF112" s="212">
        <v>1.3772E-2</v>
      </c>
      <c r="AG112" s="31"/>
    </row>
    <row r="113" spans="1:33">
      <c r="A113" s="30" t="s">
        <v>502</v>
      </c>
      <c r="B113" s="210" t="s">
        <v>1038</v>
      </c>
      <c r="C113" s="211">
        <v>6.749625</v>
      </c>
      <c r="D113" s="211">
        <v>6.8187819999999997</v>
      </c>
      <c r="E113" s="211">
        <v>6.8968119999999997</v>
      </c>
      <c r="F113" s="211">
        <v>6.9867109999999997</v>
      </c>
      <c r="G113" s="211">
        <v>7.0877090000000003</v>
      </c>
      <c r="H113" s="211">
        <v>7.2009949999999998</v>
      </c>
      <c r="I113" s="211">
        <v>7.3132250000000001</v>
      </c>
      <c r="J113" s="211">
        <v>7.4300740000000003</v>
      </c>
      <c r="K113" s="211">
        <v>7.5496179999999997</v>
      </c>
      <c r="L113" s="211">
        <v>7.6721680000000001</v>
      </c>
      <c r="M113" s="211">
        <v>7.7944769999999997</v>
      </c>
      <c r="N113" s="211">
        <v>7.9165010000000002</v>
      </c>
      <c r="O113" s="211">
        <v>8.0336940000000006</v>
      </c>
      <c r="P113" s="211">
        <v>8.1469880000000003</v>
      </c>
      <c r="Q113" s="211">
        <v>8.2555569999999996</v>
      </c>
      <c r="R113" s="211">
        <v>8.3564089999999993</v>
      </c>
      <c r="S113" s="211">
        <v>8.4546189999999992</v>
      </c>
      <c r="T113" s="211">
        <v>8.5432349999999992</v>
      </c>
      <c r="U113" s="211">
        <v>8.6293539999999993</v>
      </c>
      <c r="V113" s="211">
        <v>8.708888</v>
      </c>
      <c r="W113" s="211">
        <v>8.7825589999999991</v>
      </c>
      <c r="X113" s="211">
        <v>8.8479890000000001</v>
      </c>
      <c r="Y113" s="211">
        <v>8.9059849999999994</v>
      </c>
      <c r="Z113" s="211">
        <v>8.9598390000000006</v>
      </c>
      <c r="AA113" s="211">
        <v>9.0106319999999993</v>
      </c>
      <c r="AB113" s="211">
        <v>9.0589600000000008</v>
      </c>
      <c r="AC113" s="211">
        <v>9.1032890000000002</v>
      </c>
      <c r="AD113" s="211">
        <v>9.1440789999999996</v>
      </c>
      <c r="AE113" s="211">
        <v>9.1836179999999992</v>
      </c>
      <c r="AF113" s="212">
        <v>1.1058E-2</v>
      </c>
      <c r="AG113" s="31"/>
    </row>
    <row r="114" spans="1:33">
      <c r="A114" s="30" t="s">
        <v>503</v>
      </c>
      <c r="B114" s="210" t="s">
        <v>1039</v>
      </c>
      <c r="C114" s="211">
        <v>6.6743629999999996</v>
      </c>
      <c r="D114" s="211">
        <v>6.7503399999999996</v>
      </c>
      <c r="E114" s="211">
        <v>6.8347340000000001</v>
      </c>
      <c r="F114" s="211">
        <v>6.9285519999999998</v>
      </c>
      <c r="G114" s="211">
        <v>7.0375389999999998</v>
      </c>
      <c r="H114" s="211">
        <v>7.1648250000000004</v>
      </c>
      <c r="I114" s="211">
        <v>7.2973169999999996</v>
      </c>
      <c r="J114" s="211">
        <v>7.4426379999999996</v>
      </c>
      <c r="K114" s="211">
        <v>7.595675</v>
      </c>
      <c r="L114" s="211">
        <v>7.7572469999999996</v>
      </c>
      <c r="M114" s="211">
        <v>7.9236519999999997</v>
      </c>
      <c r="N114" s="211">
        <v>8.0880279999999996</v>
      </c>
      <c r="O114" s="211">
        <v>8.2448350000000001</v>
      </c>
      <c r="P114" s="211">
        <v>8.4022679999999994</v>
      </c>
      <c r="Q114" s="211">
        <v>8.5486609999999992</v>
      </c>
      <c r="R114" s="211">
        <v>8.6811869999999995</v>
      </c>
      <c r="S114" s="211">
        <v>8.7986620000000002</v>
      </c>
      <c r="T114" s="211">
        <v>8.9005259999999993</v>
      </c>
      <c r="U114" s="211">
        <v>8.9864390000000007</v>
      </c>
      <c r="V114" s="211">
        <v>9.0566899999999997</v>
      </c>
      <c r="W114" s="211">
        <v>9.1138080000000006</v>
      </c>
      <c r="X114" s="211">
        <v>9.1601370000000006</v>
      </c>
      <c r="Y114" s="211">
        <v>9.1973389999999995</v>
      </c>
      <c r="Z114" s="211">
        <v>9.2269989999999993</v>
      </c>
      <c r="AA114" s="211">
        <v>9.2508189999999999</v>
      </c>
      <c r="AB114" s="211">
        <v>9.2702109999999998</v>
      </c>
      <c r="AC114" s="211">
        <v>9.2862960000000001</v>
      </c>
      <c r="AD114" s="211">
        <v>9.3103250000000006</v>
      </c>
      <c r="AE114" s="211">
        <v>9.3297629999999998</v>
      </c>
      <c r="AF114" s="212">
        <v>1.2034E-2</v>
      </c>
      <c r="AG114" s="31"/>
    </row>
    <row r="115" spans="1:33">
      <c r="A115" s="30" t="s">
        <v>504</v>
      </c>
      <c r="B115" s="210" t="s">
        <v>1040</v>
      </c>
      <c r="C115" s="211">
        <v>6.6825780000000004</v>
      </c>
      <c r="D115" s="211">
        <v>6.7423450000000003</v>
      </c>
      <c r="E115" s="211">
        <v>6.8055500000000002</v>
      </c>
      <c r="F115" s="211">
        <v>6.8709239999999996</v>
      </c>
      <c r="G115" s="211">
        <v>6.936928</v>
      </c>
      <c r="H115" s="211">
        <v>7.0035639999999999</v>
      </c>
      <c r="I115" s="211">
        <v>7.0627769999999996</v>
      </c>
      <c r="J115" s="211">
        <v>7.1203580000000004</v>
      </c>
      <c r="K115" s="211">
        <v>7.1764029999999996</v>
      </c>
      <c r="L115" s="211">
        <v>7.227449</v>
      </c>
      <c r="M115" s="211">
        <v>7.2715829999999997</v>
      </c>
      <c r="N115" s="211">
        <v>7.310689</v>
      </c>
      <c r="O115" s="211">
        <v>7.3482479999999999</v>
      </c>
      <c r="P115" s="211">
        <v>7.3825830000000003</v>
      </c>
      <c r="Q115" s="211">
        <v>7.4144519999999998</v>
      </c>
      <c r="R115" s="211">
        <v>7.4396360000000001</v>
      </c>
      <c r="S115" s="211">
        <v>7.4596830000000001</v>
      </c>
      <c r="T115" s="211">
        <v>7.4693519999999998</v>
      </c>
      <c r="U115" s="211">
        <v>7.4733830000000001</v>
      </c>
      <c r="V115" s="211">
        <v>7.4823339999999998</v>
      </c>
      <c r="W115" s="211">
        <v>7.4853820000000004</v>
      </c>
      <c r="X115" s="211">
        <v>7.5116059999999996</v>
      </c>
      <c r="Y115" s="211">
        <v>7.5539040000000002</v>
      </c>
      <c r="Z115" s="211">
        <v>7.5841479999999999</v>
      </c>
      <c r="AA115" s="211">
        <v>7.6054649999999997</v>
      </c>
      <c r="AB115" s="211">
        <v>7.643802</v>
      </c>
      <c r="AC115" s="211">
        <v>7.6943020000000004</v>
      </c>
      <c r="AD115" s="211">
        <v>7.7469619999999999</v>
      </c>
      <c r="AE115" s="211">
        <v>7.7930609999999998</v>
      </c>
      <c r="AF115" s="212">
        <v>5.5050000000000003E-3</v>
      </c>
      <c r="AG115" s="31"/>
    </row>
    <row r="116" spans="1:33">
      <c r="A116" s="30" t="s">
        <v>505</v>
      </c>
      <c r="B116" s="210" t="s">
        <v>1041</v>
      </c>
      <c r="C116" s="211">
        <v>6.8756690000000003</v>
      </c>
      <c r="D116" s="211">
        <v>6.9501460000000002</v>
      </c>
      <c r="E116" s="211">
        <v>7.0454549999999996</v>
      </c>
      <c r="F116" s="211">
        <v>7.1580300000000001</v>
      </c>
      <c r="G116" s="211">
        <v>7.2911039999999998</v>
      </c>
      <c r="H116" s="211">
        <v>7.4430180000000004</v>
      </c>
      <c r="I116" s="211">
        <v>7.5863610000000001</v>
      </c>
      <c r="J116" s="211">
        <v>7.7349189999999997</v>
      </c>
      <c r="K116" s="211">
        <v>7.8826219999999996</v>
      </c>
      <c r="L116" s="211">
        <v>8.0331209999999995</v>
      </c>
      <c r="M116" s="211">
        <v>8.1807379999999998</v>
      </c>
      <c r="N116" s="211">
        <v>8.3228650000000002</v>
      </c>
      <c r="O116" s="211">
        <v>8.4456779999999991</v>
      </c>
      <c r="P116" s="211">
        <v>8.5560939999999999</v>
      </c>
      <c r="Q116" s="211">
        <v>8.6529340000000001</v>
      </c>
      <c r="R116" s="211">
        <v>8.7339490000000009</v>
      </c>
      <c r="S116" s="211">
        <v>8.803032</v>
      </c>
      <c r="T116" s="211">
        <v>8.8629239999999996</v>
      </c>
      <c r="U116" s="211">
        <v>8.910183</v>
      </c>
      <c r="V116" s="211">
        <v>8.9528590000000001</v>
      </c>
      <c r="W116" s="211">
        <v>8.9892479999999999</v>
      </c>
      <c r="X116" s="211">
        <v>9.0205870000000008</v>
      </c>
      <c r="Y116" s="211">
        <v>9.0477559999999997</v>
      </c>
      <c r="Z116" s="211">
        <v>9.0712449999999993</v>
      </c>
      <c r="AA116" s="211">
        <v>9.0923820000000006</v>
      </c>
      <c r="AB116" s="211">
        <v>9.1120409999999996</v>
      </c>
      <c r="AC116" s="211">
        <v>9.1306829999999994</v>
      </c>
      <c r="AD116" s="211">
        <v>9.1470629999999993</v>
      </c>
      <c r="AE116" s="211">
        <v>9.1612849999999995</v>
      </c>
      <c r="AF116" s="212">
        <v>1.0303E-2</v>
      </c>
      <c r="AG116" s="31"/>
    </row>
    <row r="117" spans="1:33">
      <c r="A117" s="30" t="s">
        <v>506</v>
      </c>
      <c r="B117" s="210" t="s">
        <v>1042</v>
      </c>
      <c r="C117" s="215">
        <v>17.406853000000002</v>
      </c>
      <c r="D117" s="215">
        <v>17.424419</v>
      </c>
      <c r="E117" s="215">
        <v>17.492840000000001</v>
      </c>
      <c r="F117" s="215">
        <v>17.594168</v>
      </c>
      <c r="G117" s="215">
        <v>17.723022</v>
      </c>
      <c r="H117" s="215">
        <v>17.870365</v>
      </c>
      <c r="I117" s="215">
        <v>18.006972999999999</v>
      </c>
      <c r="J117" s="215">
        <v>18.150782</v>
      </c>
      <c r="K117" s="215">
        <v>18.295826000000002</v>
      </c>
      <c r="L117" s="215">
        <v>18.440176000000001</v>
      </c>
      <c r="M117" s="215">
        <v>18.580342999999999</v>
      </c>
      <c r="N117" s="215">
        <v>18.711387999999999</v>
      </c>
      <c r="O117" s="215">
        <v>18.795469000000001</v>
      </c>
      <c r="P117" s="215">
        <v>18.886208</v>
      </c>
      <c r="Q117" s="215">
        <v>18.994534999999999</v>
      </c>
      <c r="R117" s="215">
        <v>19.086106999999998</v>
      </c>
      <c r="S117" s="215">
        <v>19.144750999999999</v>
      </c>
      <c r="T117" s="215">
        <v>19.193377999999999</v>
      </c>
      <c r="U117" s="215">
        <v>19.256512000000001</v>
      </c>
      <c r="V117" s="215">
        <v>19.306592999999999</v>
      </c>
      <c r="W117" s="215">
        <v>19.347332000000002</v>
      </c>
      <c r="X117" s="215">
        <v>19.379252999999999</v>
      </c>
      <c r="Y117" s="215">
        <v>19.403368</v>
      </c>
      <c r="Z117" s="215">
        <v>19.420500000000001</v>
      </c>
      <c r="AA117" s="215">
        <v>19.432022</v>
      </c>
      <c r="AB117" s="215">
        <v>19.441696</v>
      </c>
      <c r="AC117" s="215">
        <v>19.448132999999999</v>
      </c>
      <c r="AD117" s="215">
        <v>19.409203000000002</v>
      </c>
      <c r="AE117" s="215">
        <v>19.409485</v>
      </c>
      <c r="AF117" s="216">
        <v>3.8969999999999999E-3</v>
      </c>
      <c r="AG117" s="31"/>
    </row>
    <row r="118" spans="1:33">
      <c r="A118" s="30" t="s">
        <v>507</v>
      </c>
      <c r="B118" s="210" t="s">
        <v>1043</v>
      </c>
      <c r="C118" s="211">
        <v>0</v>
      </c>
      <c r="D118" s="211">
        <v>0</v>
      </c>
      <c r="E118" s="211">
        <v>14.553951</v>
      </c>
      <c r="F118" s="211">
        <v>14.815011999999999</v>
      </c>
      <c r="G118" s="211">
        <v>14.998927999999999</v>
      </c>
      <c r="H118" s="211">
        <v>15.192572</v>
      </c>
      <c r="I118" s="211">
        <v>15.368869</v>
      </c>
      <c r="J118" s="211">
        <v>15.555434</v>
      </c>
      <c r="K118" s="211">
        <v>15.744630000000001</v>
      </c>
      <c r="L118" s="211">
        <v>15.944782999999999</v>
      </c>
      <c r="M118" s="211">
        <v>16.161604000000001</v>
      </c>
      <c r="N118" s="211">
        <v>16.394955</v>
      </c>
      <c r="O118" s="211">
        <v>16.63316</v>
      </c>
      <c r="P118" s="211">
        <v>16.849796000000001</v>
      </c>
      <c r="Q118" s="211">
        <v>17.064274000000001</v>
      </c>
      <c r="R118" s="211">
        <v>17.266493000000001</v>
      </c>
      <c r="S118" s="211">
        <v>17.445629</v>
      </c>
      <c r="T118" s="211">
        <v>17.603285</v>
      </c>
      <c r="U118" s="211">
        <v>17.74091</v>
      </c>
      <c r="V118" s="211">
        <v>17.859545000000001</v>
      </c>
      <c r="W118" s="211">
        <v>17.959697999999999</v>
      </c>
      <c r="X118" s="211">
        <v>18.056013</v>
      </c>
      <c r="Y118" s="211">
        <v>18.136147000000001</v>
      </c>
      <c r="Z118" s="211">
        <v>18.203022000000001</v>
      </c>
      <c r="AA118" s="211">
        <v>18.258938000000001</v>
      </c>
      <c r="AB118" s="211">
        <v>18.306379</v>
      </c>
      <c r="AC118" s="211">
        <v>18.346488999999998</v>
      </c>
      <c r="AD118" s="211">
        <v>18.380383999999999</v>
      </c>
      <c r="AE118" s="211">
        <v>18.409164000000001</v>
      </c>
      <c r="AF118" s="212" t="s">
        <v>340</v>
      </c>
      <c r="AG118" s="31"/>
    </row>
    <row r="119" spans="1:33">
      <c r="A119" s="30" t="s">
        <v>508</v>
      </c>
      <c r="B119" s="210" t="s">
        <v>1044</v>
      </c>
      <c r="C119" s="211">
        <v>0</v>
      </c>
      <c r="D119" s="211">
        <v>0</v>
      </c>
      <c r="E119" s="211">
        <v>10.500607</v>
      </c>
      <c r="F119" s="211">
        <v>10.659801</v>
      </c>
      <c r="G119" s="211">
        <v>10.764203999999999</v>
      </c>
      <c r="H119" s="211">
        <v>10.869498999999999</v>
      </c>
      <c r="I119" s="211">
        <v>10.965210000000001</v>
      </c>
      <c r="J119" s="211">
        <v>11.076699</v>
      </c>
      <c r="K119" s="211">
        <v>11.197986</v>
      </c>
      <c r="L119" s="211">
        <v>11.333318999999999</v>
      </c>
      <c r="M119" s="211">
        <v>11.486076000000001</v>
      </c>
      <c r="N119" s="211">
        <v>11.655321000000001</v>
      </c>
      <c r="O119" s="211">
        <v>11.834339</v>
      </c>
      <c r="P119" s="211">
        <v>11.997350000000001</v>
      </c>
      <c r="Q119" s="211">
        <v>12.160628000000001</v>
      </c>
      <c r="R119" s="211">
        <v>12.31541</v>
      </c>
      <c r="S119" s="211">
        <v>12.45102</v>
      </c>
      <c r="T119" s="211">
        <v>12.568764</v>
      </c>
      <c r="U119" s="211">
        <v>12.669667</v>
      </c>
      <c r="V119" s="211">
        <v>12.754915</v>
      </c>
      <c r="W119" s="211">
        <v>12.825293</v>
      </c>
      <c r="X119" s="211">
        <v>12.890333999999999</v>
      </c>
      <c r="Y119" s="211">
        <v>12.942886</v>
      </c>
      <c r="Z119" s="211">
        <v>12.985455</v>
      </c>
      <c r="AA119" s="211">
        <v>13.019958000000001</v>
      </c>
      <c r="AB119" s="211">
        <v>13.048401999999999</v>
      </c>
      <c r="AC119" s="211">
        <v>13.071823999999999</v>
      </c>
      <c r="AD119" s="211">
        <v>13.091234999999999</v>
      </c>
      <c r="AE119" s="211">
        <v>13.10303</v>
      </c>
      <c r="AF119" s="212" t="s">
        <v>340</v>
      </c>
      <c r="AG119" s="31"/>
    </row>
    <row r="120" spans="1:33">
      <c r="A120" s="30" t="s">
        <v>509</v>
      </c>
      <c r="B120" s="210" t="s">
        <v>1045</v>
      </c>
      <c r="C120" s="211">
        <v>0</v>
      </c>
      <c r="D120" s="211">
        <v>0</v>
      </c>
      <c r="E120" s="211">
        <v>11.516576000000001</v>
      </c>
      <c r="F120" s="211">
        <v>11.516745</v>
      </c>
      <c r="G120" s="211">
        <v>11.516781999999999</v>
      </c>
      <c r="H120" s="211">
        <v>11.516798</v>
      </c>
      <c r="I120" s="211">
        <v>11.516812</v>
      </c>
      <c r="J120" s="211">
        <v>11.516826</v>
      </c>
      <c r="K120" s="211">
        <v>11.51684</v>
      </c>
      <c r="L120" s="211">
        <v>11.516855</v>
      </c>
      <c r="M120" s="211">
        <v>11.516871999999999</v>
      </c>
      <c r="N120" s="211">
        <v>11.516886</v>
      </c>
      <c r="O120" s="211">
        <v>11.516901000000001</v>
      </c>
      <c r="P120" s="211">
        <v>11.516908000000001</v>
      </c>
      <c r="Q120" s="211">
        <v>11.516905</v>
      </c>
      <c r="R120" s="211">
        <v>11.516907</v>
      </c>
      <c r="S120" s="211">
        <v>11.516909</v>
      </c>
      <c r="T120" s="211">
        <v>11.516912</v>
      </c>
      <c r="U120" s="211">
        <v>11.516919</v>
      </c>
      <c r="V120" s="211">
        <v>11.516923999999999</v>
      </c>
      <c r="W120" s="211">
        <v>11.516925000000001</v>
      </c>
      <c r="X120" s="211">
        <v>11.516932000000001</v>
      </c>
      <c r="Y120" s="211">
        <v>11.516935999999999</v>
      </c>
      <c r="Z120" s="211">
        <v>11.516940999999999</v>
      </c>
      <c r="AA120" s="211">
        <v>11.516942999999999</v>
      </c>
      <c r="AB120" s="211">
        <v>11.516949</v>
      </c>
      <c r="AC120" s="211">
        <v>11.516953000000001</v>
      </c>
      <c r="AD120" s="211">
        <v>11.516953000000001</v>
      </c>
      <c r="AE120" s="211">
        <v>11.516959</v>
      </c>
      <c r="AF120" s="212" t="s">
        <v>340</v>
      </c>
      <c r="AG120" s="31"/>
    </row>
    <row r="121" spans="1:33">
      <c r="A121" s="30" t="s">
        <v>510</v>
      </c>
      <c r="B121" s="210" t="s">
        <v>1054</v>
      </c>
      <c r="C121" s="211">
        <v>8.2098399999999998</v>
      </c>
      <c r="D121" s="211">
        <v>8.3404410000000002</v>
      </c>
      <c r="E121" s="211">
        <v>8.4829690000000006</v>
      </c>
      <c r="F121" s="211">
        <v>8.6408909999999999</v>
      </c>
      <c r="G121" s="211">
        <v>8.8129430000000006</v>
      </c>
      <c r="H121" s="211">
        <v>9.0002259999999996</v>
      </c>
      <c r="I121" s="211">
        <v>9.1844359999999998</v>
      </c>
      <c r="J121" s="211">
        <v>9.3722469999999998</v>
      </c>
      <c r="K121" s="211">
        <v>9.5603230000000003</v>
      </c>
      <c r="L121" s="211">
        <v>9.7494200000000006</v>
      </c>
      <c r="M121" s="211">
        <v>9.9342159999999993</v>
      </c>
      <c r="N121" s="211">
        <v>10.112831999999999</v>
      </c>
      <c r="O121" s="211">
        <v>10.281893999999999</v>
      </c>
      <c r="P121" s="211">
        <v>10.441013999999999</v>
      </c>
      <c r="Q121" s="211">
        <v>10.590353</v>
      </c>
      <c r="R121" s="211">
        <v>10.726647</v>
      </c>
      <c r="S121" s="211">
        <v>10.856488000000001</v>
      </c>
      <c r="T121" s="211">
        <v>10.972559</v>
      </c>
      <c r="U121" s="211">
        <v>11.083036</v>
      </c>
      <c r="V121" s="211">
        <v>11.184754999999999</v>
      </c>
      <c r="W121" s="211">
        <v>11.277801999999999</v>
      </c>
      <c r="X121" s="211">
        <v>11.358744</v>
      </c>
      <c r="Y121" s="211">
        <v>11.428658</v>
      </c>
      <c r="Z121" s="211">
        <v>11.491809999999999</v>
      </c>
      <c r="AA121" s="211">
        <v>11.55086</v>
      </c>
      <c r="AB121" s="211">
        <v>11.605866000000001</v>
      </c>
      <c r="AC121" s="211">
        <v>11.656457</v>
      </c>
      <c r="AD121" s="211">
        <v>11.703754999999999</v>
      </c>
      <c r="AE121" s="211">
        <v>11.750068000000001</v>
      </c>
      <c r="AF121" s="212">
        <v>1.2886999999999999E-2</v>
      </c>
      <c r="AG121" s="31"/>
    </row>
    <row r="122" spans="1:33">
      <c r="A122" s="29"/>
      <c r="B122" s="209" t="s">
        <v>1049</v>
      </c>
      <c r="C122" s="31"/>
      <c r="D122" s="31"/>
      <c r="E122" s="31"/>
      <c r="F122" s="31"/>
      <c r="G122" s="31"/>
      <c r="H122" s="31"/>
      <c r="I122" s="31"/>
      <c r="J122" s="31"/>
      <c r="K122" s="31"/>
      <c r="L122" s="31"/>
      <c r="M122" s="31"/>
      <c r="N122" s="31"/>
      <c r="O122" s="31"/>
      <c r="P122" s="31"/>
      <c r="Q122" s="31"/>
      <c r="R122" s="31"/>
      <c r="S122" s="31"/>
      <c r="T122" s="31"/>
      <c r="U122" s="31"/>
      <c r="V122" s="31"/>
      <c r="W122" s="31"/>
      <c r="X122" s="31"/>
      <c r="Y122" s="31"/>
      <c r="Z122" s="31"/>
      <c r="AA122" s="31"/>
      <c r="AB122" s="31"/>
      <c r="AC122" s="31"/>
      <c r="AD122" s="31"/>
      <c r="AE122" s="31"/>
      <c r="AF122" s="31"/>
      <c r="AG122" s="31"/>
    </row>
    <row r="123" spans="1:33">
      <c r="A123" s="30" t="s">
        <v>511</v>
      </c>
      <c r="B123" s="210" t="s">
        <v>1037</v>
      </c>
      <c r="C123" s="211">
        <v>6.174798</v>
      </c>
      <c r="D123" s="211">
        <v>6.2630949999999999</v>
      </c>
      <c r="E123" s="211">
        <v>6.3645230000000002</v>
      </c>
      <c r="F123" s="211">
        <v>6.4755140000000004</v>
      </c>
      <c r="G123" s="211">
        <v>6.5947199999999997</v>
      </c>
      <c r="H123" s="211">
        <v>6.7204090000000001</v>
      </c>
      <c r="I123" s="211">
        <v>6.8422190000000001</v>
      </c>
      <c r="J123" s="211">
        <v>6.9609690000000004</v>
      </c>
      <c r="K123" s="211">
        <v>7.0752560000000004</v>
      </c>
      <c r="L123" s="211">
        <v>7.1852980000000004</v>
      </c>
      <c r="M123" s="211">
        <v>7.2900910000000003</v>
      </c>
      <c r="N123" s="211">
        <v>7.3855190000000004</v>
      </c>
      <c r="O123" s="211">
        <v>7.4707850000000002</v>
      </c>
      <c r="P123" s="211">
        <v>7.5460839999999996</v>
      </c>
      <c r="Q123" s="211">
        <v>7.6121340000000002</v>
      </c>
      <c r="R123" s="211">
        <v>7.6693059999999997</v>
      </c>
      <c r="S123" s="211">
        <v>7.7178800000000001</v>
      </c>
      <c r="T123" s="211">
        <v>7.7600699999999998</v>
      </c>
      <c r="U123" s="211">
        <v>7.7969379999999999</v>
      </c>
      <c r="V123" s="211">
        <v>7.8299960000000004</v>
      </c>
      <c r="W123" s="211">
        <v>7.8573079999999997</v>
      </c>
      <c r="X123" s="211">
        <v>7.880395</v>
      </c>
      <c r="Y123" s="211">
        <v>7.8999480000000002</v>
      </c>
      <c r="Z123" s="211">
        <v>7.9169460000000003</v>
      </c>
      <c r="AA123" s="211">
        <v>7.9330990000000003</v>
      </c>
      <c r="AB123" s="211">
        <v>7.9487300000000003</v>
      </c>
      <c r="AC123" s="211">
        <v>7.9641529999999996</v>
      </c>
      <c r="AD123" s="211">
        <v>7.9801409999999997</v>
      </c>
      <c r="AE123" s="211">
        <v>7.9969340000000004</v>
      </c>
      <c r="AF123" s="212">
        <v>9.2779999999999998E-3</v>
      </c>
      <c r="AG123" s="31"/>
    </row>
    <row r="124" spans="1:33">
      <c r="A124" s="30" t="s">
        <v>512</v>
      </c>
      <c r="B124" s="210" t="s">
        <v>1038</v>
      </c>
      <c r="C124" s="211">
        <v>5.6053519999999999</v>
      </c>
      <c r="D124" s="211">
        <v>5.6851630000000002</v>
      </c>
      <c r="E124" s="211">
        <v>5.7620750000000003</v>
      </c>
      <c r="F124" s="211">
        <v>5.8372330000000003</v>
      </c>
      <c r="G124" s="211">
        <v>5.9050890000000003</v>
      </c>
      <c r="H124" s="211">
        <v>5.9668659999999996</v>
      </c>
      <c r="I124" s="211">
        <v>6.0218819999999997</v>
      </c>
      <c r="J124" s="211">
        <v>6.0750270000000004</v>
      </c>
      <c r="K124" s="211">
        <v>6.1221620000000003</v>
      </c>
      <c r="L124" s="211">
        <v>6.1683779999999997</v>
      </c>
      <c r="M124" s="211">
        <v>6.2146990000000004</v>
      </c>
      <c r="N124" s="211">
        <v>6.2603840000000002</v>
      </c>
      <c r="O124" s="211">
        <v>6.3023579999999999</v>
      </c>
      <c r="P124" s="211">
        <v>6.3409950000000004</v>
      </c>
      <c r="Q124" s="211">
        <v>6.3776359999999999</v>
      </c>
      <c r="R124" s="211">
        <v>6.4116439999999999</v>
      </c>
      <c r="S124" s="211">
        <v>6.4439479999999998</v>
      </c>
      <c r="T124" s="211">
        <v>6.4750249999999996</v>
      </c>
      <c r="U124" s="211">
        <v>6.5043160000000002</v>
      </c>
      <c r="V124" s="211">
        <v>6.5290499999999998</v>
      </c>
      <c r="W124" s="211">
        <v>6.5526530000000003</v>
      </c>
      <c r="X124" s="211">
        <v>6.5760810000000003</v>
      </c>
      <c r="Y124" s="211">
        <v>6.5977519999999998</v>
      </c>
      <c r="Z124" s="211">
        <v>6.6134740000000001</v>
      </c>
      <c r="AA124" s="211">
        <v>6.6265970000000003</v>
      </c>
      <c r="AB124" s="211">
        <v>6.6380759999999999</v>
      </c>
      <c r="AC124" s="211">
        <v>6.6483280000000002</v>
      </c>
      <c r="AD124" s="211">
        <v>6.6579069999999998</v>
      </c>
      <c r="AE124" s="211">
        <v>6.6670059999999998</v>
      </c>
      <c r="AF124" s="212">
        <v>6.2139999999999999E-3</v>
      </c>
      <c r="AG124" s="31"/>
    </row>
    <row r="125" spans="1:33">
      <c r="A125" s="30" t="s">
        <v>513</v>
      </c>
      <c r="B125" s="210" t="s">
        <v>1039</v>
      </c>
      <c r="C125" s="211">
        <v>6.0561619999999996</v>
      </c>
      <c r="D125" s="211">
        <v>6.0490139999999997</v>
      </c>
      <c r="E125" s="211">
        <v>6.0413300000000003</v>
      </c>
      <c r="F125" s="211">
        <v>6.0397550000000004</v>
      </c>
      <c r="G125" s="211">
        <v>6.0466559999999996</v>
      </c>
      <c r="H125" s="211">
        <v>6.0661889999999996</v>
      </c>
      <c r="I125" s="211">
        <v>6.0933279999999996</v>
      </c>
      <c r="J125" s="211">
        <v>6.1323319999999999</v>
      </c>
      <c r="K125" s="211">
        <v>6.1810369999999999</v>
      </c>
      <c r="L125" s="211">
        <v>6.2393669999999997</v>
      </c>
      <c r="M125" s="211">
        <v>6.3051560000000002</v>
      </c>
      <c r="N125" s="211">
        <v>6.3731140000000002</v>
      </c>
      <c r="O125" s="211">
        <v>6.4338220000000002</v>
      </c>
      <c r="P125" s="211">
        <v>6.4864230000000003</v>
      </c>
      <c r="Q125" s="211">
        <v>6.5340740000000004</v>
      </c>
      <c r="R125" s="211">
        <v>6.5780960000000004</v>
      </c>
      <c r="S125" s="211">
        <v>6.6189390000000001</v>
      </c>
      <c r="T125" s="211">
        <v>6.656015</v>
      </c>
      <c r="U125" s="211">
        <v>6.6907750000000004</v>
      </c>
      <c r="V125" s="211">
        <v>6.7222429999999997</v>
      </c>
      <c r="W125" s="211">
        <v>6.7477010000000002</v>
      </c>
      <c r="X125" s="211">
        <v>6.7691860000000004</v>
      </c>
      <c r="Y125" s="211">
        <v>6.7874949999999998</v>
      </c>
      <c r="Z125" s="211">
        <v>6.802632</v>
      </c>
      <c r="AA125" s="211">
        <v>6.8150360000000001</v>
      </c>
      <c r="AB125" s="211">
        <v>6.8253909999999998</v>
      </c>
      <c r="AC125" s="211">
        <v>6.8345450000000003</v>
      </c>
      <c r="AD125" s="211">
        <v>6.8446889999999998</v>
      </c>
      <c r="AE125" s="211">
        <v>6.8567840000000002</v>
      </c>
      <c r="AF125" s="212">
        <v>4.444E-3</v>
      </c>
      <c r="AG125" s="31"/>
    </row>
    <row r="126" spans="1:33">
      <c r="A126" s="30" t="s">
        <v>514</v>
      </c>
      <c r="B126" s="210" t="s">
        <v>1040</v>
      </c>
      <c r="C126" s="211">
        <v>5.905322</v>
      </c>
      <c r="D126" s="211">
        <v>5.9830639999999997</v>
      </c>
      <c r="E126" s="211">
        <v>6.0729699999999998</v>
      </c>
      <c r="F126" s="211">
        <v>6.1697509999999998</v>
      </c>
      <c r="G126" s="211">
        <v>6.2701130000000003</v>
      </c>
      <c r="H126" s="211">
        <v>6.3741599999999998</v>
      </c>
      <c r="I126" s="211">
        <v>6.4715020000000001</v>
      </c>
      <c r="J126" s="211">
        <v>6.5653430000000004</v>
      </c>
      <c r="K126" s="211">
        <v>6.6557139999999997</v>
      </c>
      <c r="L126" s="211">
        <v>6.7455530000000001</v>
      </c>
      <c r="M126" s="211">
        <v>6.8333729999999999</v>
      </c>
      <c r="N126" s="211">
        <v>6.9156950000000004</v>
      </c>
      <c r="O126" s="211">
        <v>6.9910300000000003</v>
      </c>
      <c r="P126" s="211">
        <v>7.0602270000000003</v>
      </c>
      <c r="Q126" s="211">
        <v>7.1236040000000003</v>
      </c>
      <c r="R126" s="211">
        <v>7.1804309999999996</v>
      </c>
      <c r="S126" s="211">
        <v>7.2303940000000004</v>
      </c>
      <c r="T126" s="211">
        <v>7.2732939999999999</v>
      </c>
      <c r="U126" s="211">
        <v>7.3093329999999996</v>
      </c>
      <c r="V126" s="211">
        <v>7.3391260000000003</v>
      </c>
      <c r="W126" s="211">
        <v>7.3641690000000004</v>
      </c>
      <c r="X126" s="211">
        <v>7.3857489999999997</v>
      </c>
      <c r="Y126" s="211">
        <v>7.4047210000000003</v>
      </c>
      <c r="Z126" s="211">
        <v>7.4218250000000001</v>
      </c>
      <c r="AA126" s="211">
        <v>7.4367340000000004</v>
      </c>
      <c r="AB126" s="211">
        <v>7.451314</v>
      </c>
      <c r="AC126" s="211">
        <v>7.4666230000000002</v>
      </c>
      <c r="AD126" s="211">
        <v>7.4822319999999998</v>
      </c>
      <c r="AE126" s="211">
        <v>7.498291</v>
      </c>
      <c r="AF126" s="212">
        <v>8.5660000000000007E-3</v>
      </c>
      <c r="AG126" s="31"/>
    </row>
    <row r="127" spans="1:33">
      <c r="A127" s="30" t="s">
        <v>515</v>
      </c>
      <c r="B127" s="210" t="s">
        <v>1041</v>
      </c>
      <c r="C127" s="211">
        <v>0</v>
      </c>
      <c r="D127" s="211">
        <v>0</v>
      </c>
      <c r="E127" s="211">
        <v>0</v>
      </c>
      <c r="F127" s="211">
        <v>0</v>
      </c>
      <c r="G127" s="211">
        <v>0</v>
      </c>
      <c r="H127" s="211">
        <v>0</v>
      </c>
      <c r="I127" s="211">
        <v>0</v>
      </c>
      <c r="J127" s="211">
        <v>0</v>
      </c>
      <c r="K127" s="211">
        <v>0</v>
      </c>
      <c r="L127" s="211">
        <v>0</v>
      </c>
      <c r="M127" s="211">
        <v>0</v>
      </c>
      <c r="N127" s="211">
        <v>0</v>
      </c>
      <c r="O127" s="211">
        <v>0</v>
      </c>
      <c r="P127" s="211">
        <v>0</v>
      </c>
      <c r="Q127" s="211">
        <v>0</v>
      </c>
      <c r="R127" s="211">
        <v>0</v>
      </c>
      <c r="S127" s="211">
        <v>0</v>
      </c>
      <c r="T127" s="211">
        <v>0</v>
      </c>
      <c r="U127" s="211">
        <v>0</v>
      </c>
      <c r="V127" s="211">
        <v>0</v>
      </c>
      <c r="W127" s="211">
        <v>0</v>
      </c>
      <c r="X127" s="211">
        <v>0</v>
      </c>
      <c r="Y127" s="211">
        <v>0</v>
      </c>
      <c r="Z127" s="211">
        <v>0</v>
      </c>
      <c r="AA127" s="211">
        <v>0</v>
      </c>
      <c r="AB127" s="211">
        <v>0</v>
      </c>
      <c r="AC127" s="211">
        <v>0</v>
      </c>
      <c r="AD127" s="211">
        <v>0</v>
      </c>
      <c r="AE127" s="211">
        <v>0</v>
      </c>
      <c r="AF127" s="212" t="s">
        <v>340</v>
      </c>
      <c r="AG127" s="31"/>
    </row>
    <row r="128" spans="1:33">
      <c r="A128" s="30" t="s">
        <v>516</v>
      </c>
      <c r="B128" s="210" t="s">
        <v>1042</v>
      </c>
      <c r="C128" s="211">
        <v>12.511471999999999</v>
      </c>
      <c r="D128" s="211">
        <v>12.210798</v>
      </c>
      <c r="E128" s="211">
        <v>12.035378</v>
      </c>
      <c r="F128" s="211">
        <v>11.922769000000001</v>
      </c>
      <c r="G128" s="211">
        <v>11.842131</v>
      </c>
      <c r="H128" s="211">
        <v>11.780157000000001</v>
      </c>
      <c r="I128" s="211">
        <v>11.726812000000001</v>
      </c>
      <c r="J128" s="211">
        <v>11.681986</v>
      </c>
      <c r="K128" s="211">
        <v>11.643143999999999</v>
      </c>
      <c r="L128" s="211">
        <v>11.608420000000001</v>
      </c>
      <c r="M128" s="211">
        <v>11.577750999999999</v>
      </c>
      <c r="N128" s="211">
        <v>11.55185</v>
      </c>
      <c r="O128" s="211">
        <v>11.532499</v>
      </c>
      <c r="P128" s="211">
        <v>11.522676000000001</v>
      </c>
      <c r="Q128" s="211">
        <v>11.51253</v>
      </c>
      <c r="R128" s="211">
        <v>11.507656000000001</v>
      </c>
      <c r="S128" s="211">
        <v>11.514357</v>
      </c>
      <c r="T128" s="211">
        <v>11.526049</v>
      </c>
      <c r="U128" s="211">
        <v>11.521922999999999</v>
      </c>
      <c r="V128" s="211">
        <v>11.528378</v>
      </c>
      <c r="W128" s="211">
        <v>11.553936999999999</v>
      </c>
      <c r="X128" s="211">
        <v>11.578481999999999</v>
      </c>
      <c r="Y128" s="211">
        <v>11.590909</v>
      </c>
      <c r="Z128" s="211">
        <v>11.599613</v>
      </c>
      <c r="AA128" s="211">
        <v>11.605518999999999</v>
      </c>
      <c r="AB128" s="211">
        <v>11.609627</v>
      </c>
      <c r="AC128" s="211">
        <v>11.612548</v>
      </c>
      <c r="AD128" s="211">
        <v>11.614598000000001</v>
      </c>
      <c r="AE128" s="211">
        <v>11.615857</v>
      </c>
      <c r="AF128" s="212">
        <v>-2.6489999999999999E-3</v>
      </c>
      <c r="AG128" s="31"/>
    </row>
    <row r="129" spans="1:33">
      <c r="A129" s="30" t="s">
        <v>517</v>
      </c>
      <c r="B129" s="210" t="s">
        <v>1043</v>
      </c>
      <c r="C129" s="211">
        <v>0</v>
      </c>
      <c r="D129" s="211">
        <v>0</v>
      </c>
      <c r="E129" s="211">
        <v>1.546108</v>
      </c>
      <c r="F129" s="211">
        <v>2.664183</v>
      </c>
      <c r="G129" s="211">
        <v>3.4990290000000002</v>
      </c>
      <c r="H129" s="211">
        <v>4.1596690000000001</v>
      </c>
      <c r="I129" s="211">
        <v>4.6990999999999996</v>
      </c>
      <c r="J129" s="211">
        <v>5.1562080000000003</v>
      </c>
      <c r="K129" s="211">
        <v>5.5611940000000004</v>
      </c>
      <c r="L129" s="211">
        <v>5.9406049999999997</v>
      </c>
      <c r="M129" s="211">
        <v>6.3162120000000002</v>
      </c>
      <c r="N129" s="211">
        <v>6.6977019999999996</v>
      </c>
      <c r="O129" s="211">
        <v>7.0859899999999998</v>
      </c>
      <c r="P129" s="211">
        <v>7.4756780000000003</v>
      </c>
      <c r="Q129" s="211">
        <v>7.8704789999999996</v>
      </c>
      <c r="R129" s="211">
        <v>8.2631910000000008</v>
      </c>
      <c r="S129" s="211">
        <v>8.6400120000000005</v>
      </c>
      <c r="T129" s="211">
        <v>8.9883590000000009</v>
      </c>
      <c r="U129" s="211">
        <v>9.2928049999999995</v>
      </c>
      <c r="V129" s="211">
        <v>9.5358350000000005</v>
      </c>
      <c r="W129" s="211">
        <v>9.700844</v>
      </c>
      <c r="X129" s="211">
        <v>9.9268219999999996</v>
      </c>
      <c r="Y129" s="211">
        <v>10.164901</v>
      </c>
      <c r="Z129" s="211">
        <v>10.319011</v>
      </c>
      <c r="AA129" s="211">
        <v>10.344773</v>
      </c>
      <c r="AB129" s="211">
        <v>10.42065</v>
      </c>
      <c r="AC129" s="211">
        <v>10.488389</v>
      </c>
      <c r="AD129" s="211">
        <v>10.548454</v>
      </c>
      <c r="AE129" s="211">
        <v>10.601648000000001</v>
      </c>
      <c r="AF129" s="212" t="s">
        <v>340</v>
      </c>
      <c r="AG129" s="31"/>
    </row>
    <row r="130" spans="1:33">
      <c r="A130" s="30" t="s">
        <v>518</v>
      </c>
      <c r="B130" s="210" t="s">
        <v>1044</v>
      </c>
      <c r="C130" s="211">
        <v>0</v>
      </c>
      <c r="D130" s="211">
        <v>0</v>
      </c>
      <c r="E130" s="211">
        <v>1.475894</v>
      </c>
      <c r="F130" s="211">
        <v>2.5423819999999999</v>
      </c>
      <c r="G130" s="211">
        <v>3.3420420000000002</v>
      </c>
      <c r="H130" s="211">
        <v>3.9731420000000002</v>
      </c>
      <c r="I130" s="211">
        <v>4.4840580000000001</v>
      </c>
      <c r="J130" s="211">
        <v>4.9145440000000002</v>
      </c>
      <c r="K130" s="211">
        <v>5.2951240000000004</v>
      </c>
      <c r="L130" s="211">
        <v>5.6530180000000003</v>
      </c>
      <c r="M130" s="211">
        <v>6.0081530000000001</v>
      </c>
      <c r="N130" s="211">
        <v>6.3713059999999997</v>
      </c>
      <c r="O130" s="211">
        <v>6.7437389999999997</v>
      </c>
      <c r="P130" s="211">
        <v>7.1219239999999999</v>
      </c>
      <c r="Q130" s="211">
        <v>7.5077629999999997</v>
      </c>
      <c r="R130" s="211">
        <v>7.8949509999999998</v>
      </c>
      <c r="S130" s="211">
        <v>8.2699909999999992</v>
      </c>
      <c r="T130" s="211">
        <v>8.6198800000000002</v>
      </c>
      <c r="U130" s="211">
        <v>8.9274210000000007</v>
      </c>
      <c r="V130" s="211">
        <v>9.1725209999999997</v>
      </c>
      <c r="W130" s="211">
        <v>9.3351539999999993</v>
      </c>
      <c r="X130" s="211">
        <v>9.5703130000000005</v>
      </c>
      <c r="Y130" s="211">
        <v>9.8242899999999995</v>
      </c>
      <c r="Z130" s="211">
        <v>9.9863700000000009</v>
      </c>
      <c r="AA130" s="211">
        <v>10.00128</v>
      </c>
      <c r="AB130" s="211">
        <v>10.076916000000001</v>
      </c>
      <c r="AC130" s="211">
        <v>10.144606</v>
      </c>
      <c r="AD130" s="211">
        <v>10.20481</v>
      </c>
      <c r="AE130" s="211">
        <v>10.258661</v>
      </c>
      <c r="AF130" s="212" t="s">
        <v>340</v>
      </c>
      <c r="AG130" s="31"/>
    </row>
    <row r="131" spans="1:33">
      <c r="A131" s="30" t="s">
        <v>519</v>
      </c>
      <c r="B131" s="210" t="s">
        <v>1045</v>
      </c>
      <c r="C131" s="211">
        <v>0</v>
      </c>
      <c r="D131" s="211">
        <v>0</v>
      </c>
      <c r="E131" s="211">
        <v>7.1006340000000003</v>
      </c>
      <c r="F131" s="211">
        <v>7.1057309999999996</v>
      </c>
      <c r="G131" s="211">
        <v>7.1073639999999996</v>
      </c>
      <c r="H131" s="211">
        <v>7.1081630000000002</v>
      </c>
      <c r="I131" s="211">
        <v>7.1086039999999997</v>
      </c>
      <c r="J131" s="211">
        <v>7.1088789999999999</v>
      </c>
      <c r="K131" s="211">
        <v>7.1090270000000002</v>
      </c>
      <c r="L131" s="211">
        <v>7.1090970000000002</v>
      </c>
      <c r="M131" s="211">
        <v>7.1091550000000003</v>
      </c>
      <c r="N131" s="211">
        <v>7.1092209999999998</v>
      </c>
      <c r="O131" s="211">
        <v>7.1092950000000004</v>
      </c>
      <c r="P131" s="211">
        <v>7.1093820000000001</v>
      </c>
      <c r="Q131" s="211">
        <v>7.1094809999999997</v>
      </c>
      <c r="R131" s="211">
        <v>7.1095889999999997</v>
      </c>
      <c r="S131" s="211">
        <v>7.1097070000000002</v>
      </c>
      <c r="T131" s="211">
        <v>7.1098350000000003</v>
      </c>
      <c r="U131" s="211">
        <v>7.109972</v>
      </c>
      <c r="V131" s="211">
        <v>7.1101159999999997</v>
      </c>
      <c r="W131" s="211">
        <v>7.1102699999999999</v>
      </c>
      <c r="X131" s="211">
        <v>7.1104589999999996</v>
      </c>
      <c r="Y131" s="211">
        <v>7.110671</v>
      </c>
      <c r="Z131" s="211">
        <v>7.1108859999999998</v>
      </c>
      <c r="AA131" s="211">
        <v>7.1110879999999996</v>
      </c>
      <c r="AB131" s="211">
        <v>7.1113179999999998</v>
      </c>
      <c r="AC131" s="211">
        <v>7.1115579999999996</v>
      </c>
      <c r="AD131" s="211">
        <v>7.111809</v>
      </c>
      <c r="AE131" s="211">
        <v>7.1120650000000003</v>
      </c>
      <c r="AF131" s="212" t="s">
        <v>340</v>
      </c>
      <c r="AG131" s="31"/>
    </row>
    <row r="132" spans="1:33">
      <c r="A132" s="30" t="s">
        <v>520</v>
      </c>
      <c r="B132" s="210" t="s">
        <v>1055</v>
      </c>
      <c r="C132" s="211">
        <v>6.1709569999999996</v>
      </c>
      <c r="D132" s="211">
        <v>6.2590110000000001</v>
      </c>
      <c r="E132" s="211">
        <v>6.3601650000000003</v>
      </c>
      <c r="F132" s="211">
        <v>6.4708430000000003</v>
      </c>
      <c r="G132" s="211">
        <v>6.589664</v>
      </c>
      <c r="H132" s="211">
        <v>6.7149279999999996</v>
      </c>
      <c r="I132" s="211">
        <v>6.8362869999999996</v>
      </c>
      <c r="J132" s="211">
        <v>6.9546010000000003</v>
      </c>
      <c r="K132" s="211">
        <v>7.068473</v>
      </c>
      <c r="L132" s="211">
        <v>7.1781480000000002</v>
      </c>
      <c r="M132" s="211">
        <v>7.282597</v>
      </c>
      <c r="N132" s="211">
        <v>7.3776999999999999</v>
      </c>
      <c r="O132" s="211">
        <v>7.4626390000000002</v>
      </c>
      <c r="P132" s="211">
        <v>7.5376300000000001</v>
      </c>
      <c r="Q132" s="211">
        <v>7.6034009999999999</v>
      </c>
      <c r="R132" s="211">
        <v>7.6603089999999998</v>
      </c>
      <c r="S132" s="211">
        <v>7.7086389999999998</v>
      </c>
      <c r="T132" s="211">
        <v>7.750559</v>
      </c>
      <c r="U132" s="211">
        <v>7.7871069999999998</v>
      </c>
      <c r="V132" s="211">
        <v>7.819769</v>
      </c>
      <c r="W132" s="211">
        <v>7.8466990000000001</v>
      </c>
      <c r="X132" s="211">
        <v>7.8693970000000002</v>
      </c>
      <c r="Y132" s="211">
        <v>7.8885500000000004</v>
      </c>
      <c r="Z132" s="211">
        <v>7.9051289999999996</v>
      </c>
      <c r="AA132" s="211">
        <v>7.9208100000000004</v>
      </c>
      <c r="AB132" s="211">
        <v>7.9359409999999997</v>
      </c>
      <c r="AC132" s="211">
        <v>7.9508619999999999</v>
      </c>
      <c r="AD132" s="211">
        <v>7.9663209999999998</v>
      </c>
      <c r="AE132" s="211">
        <v>7.9825520000000001</v>
      </c>
      <c r="AF132" s="212">
        <v>9.2350000000000002E-3</v>
      </c>
      <c r="AG132" s="31"/>
    </row>
    <row r="133" spans="1:33">
      <c r="A133" s="30" t="s">
        <v>521</v>
      </c>
      <c r="B133" s="209" t="s">
        <v>522</v>
      </c>
      <c r="C133" s="213">
        <v>7.4724060000000003</v>
      </c>
      <c r="D133" s="213">
        <v>7.5785309999999999</v>
      </c>
      <c r="E133" s="213">
        <v>7.7053209999999996</v>
      </c>
      <c r="F133" s="213">
        <v>7.8485909999999999</v>
      </c>
      <c r="G133" s="213">
        <v>8.0023800000000005</v>
      </c>
      <c r="H133" s="213">
        <v>8.1636780000000009</v>
      </c>
      <c r="I133" s="213">
        <v>8.3212820000000001</v>
      </c>
      <c r="J133" s="213">
        <v>8.4797530000000005</v>
      </c>
      <c r="K133" s="213">
        <v>8.6382940000000001</v>
      </c>
      <c r="L133" s="213">
        <v>8.7959300000000002</v>
      </c>
      <c r="M133" s="213">
        <v>8.9485519999999994</v>
      </c>
      <c r="N133" s="213">
        <v>9.0909969999999998</v>
      </c>
      <c r="O133" s="213">
        <v>9.2225169999999999</v>
      </c>
      <c r="P133" s="213">
        <v>9.3430680000000006</v>
      </c>
      <c r="Q133" s="213">
        <v>9.4533190000000005</v>
      </c>
      <c r="R133" s="213">
        <v>9.5530659999999994</v>
      </c>
      <c r="S133" s="213">
        <v>9.6434460000000009</v>
      </c>
      <c r="T133" s="213">
        <v>9.7267150000000004</v>
      </c>
      <c r="U133" s="213">
        <v>9.8045980000000004</v>
      </c>
      <c r="V133" s="213">
        <v>9.8772749999999991</v>
      </c>
      <c r="W133" s="213">
        <v>9.9424340000000004</v>
      </c>
      <c r="X133" s="213">
        <v>10.001575000000001</v>
      </c>
      <c r="Y133" s="213">
        <v>10.055849</v>
      </c>
      <c r="Z133" s="213">
        <v>10.108461999999999</v>
      </c>
      <c r="AA133" s="213">
        <v>10.161237</v>
      </c>
      <c r="AB133" s="213">
        <v>10.213322</v>
      </c>
      <c r="AC133" s="213">
        <v>10.263771999999999</v>
      </c>
      <c r="AD133" s="213">
        <v>10.314520999999999</v>
      </c>
      <c r="AE133" s="213">
        <v>10.365862999999999</v>
      </c>
      <c r="AF133" s="214">
        <v>1.1757999999999999E-2</v>
      </c>
      <c r="AG133" s="31"/>
    </row>
    <row r="134" spans="1:33">
      <c r="A134" s="29"/>
      <c r="B134" s="31"/>
      <c r="C134" s="31"/>
      <c r="D134" s="31"/>
      <c r="E134" s="31"/>
      <c r="F134" s="31"/>
      <c r="G134" s="31"/>
      <c r="H134" s="31"/>
      <c r="I134" s="31"/>
      <c r="J134" s="31"/>
      <c r="K134" s="31"/>
      <c r="L134" s="31"/>
      <c r="M134" s="31"/>
      <c r="N134" s="31"/>
      <c r="O134" s="31"/>
      <c r="P134" s="31"/>
      <c r="Q134" s="31"/>
      <c r="R134" s="31"/>
      <c r="S134" s="31"/>
      <c r="T134" s="31"/>
      <c r="U134" s="31"/>
      <c r="V134" s="31"/>
      <c r="W134" s="31"/>
      <c r="X134" s="31"/>
      <c r="Y134" s="31"/>
      <c r="Z134" s="31"/>
      <c r="AA134" s="31"/>
      <c r="AB134" s="31"/>
      <c r="AC134" s="31"/>
      <c r="AD134" s="31"/>
      <c r="AE134" s="31"/>
      <c r="AF134" s="31"/>
      <c r="AG134" s="31"/>
    </row>
    <row r="135" spans="1:33">
      <c r="A135" s="29"/>
      <c r="B135" s="209" t="s">
        <v>523</v>
      </c>
      <c r="C135" s="31"/>
      <c r="D135" s="31"/>
      <c r="E135" s="31"/>
      <c r="F135" s="31"/>
      <c r="G135" s="31"/>
      <c r="H135" s="31"/>
      <c r="I135" s="31"/>
      <c r="J135" s="31"/>
      <c r="K135" s="31"/>
      <c r="L135" s="31"/>
      <c r="M135" s="31"/>
      <c r="N135" s="31"/>
      <c r="O135" s="31"/>
      <c r="P135" s="31"/>
      <c r="Q135" s="31"/>
      <c r="R135" s="31"/>
      <c r="S135" s="31"/>
      <c r="T135" s="31"/>
      <c r="U135" s="31"/>
      <c r="V135" s="31"/>
      <c r="W135" s="31"/>
      <c r="X135" s="31"/>
      <c r="Y135" s="31"/>
      <c r="Z135" s="31"/>
      <c r="AA135" s="31"/>
      <c r="AB135" s="31"/>
      <c r="AC135" s="31"/>
      <c r="AD135" s="31"/>
      <c r="AE135" s="31"/>
      <c r="AF135" s="31"/>
      <c r="AG135" s="31"/>
    </row>
    <row r="136" spans="1:33">
      <c r="A136" s="29"/>
      <c r="B136" s="209" t="s">
        <v>1036</v>
      </c>
      <c r="C136" s="31"/>
      <c r="D136" s="31"/>
      <c r="E136" s="31"/>
      <c r="F136" s="31"/>
      <c r="G136" s="31"/>
      <c r="H136" s="31"/>
      <c r="I136" s="31"/>
      <c r="J136" s="31"/>
      <c r="K136" s="31"/>
      <c r="L136" s="31"/>
      <c r="M136" s="31"/>
      <c r="N136" s="31"/>
      <c r="O136" s="31"/>
      <c r="P136" s="31"/>
      <c r="Q136" s="31"/>
      <c r="R136" s="31"/>
      <c r="S136" s="31"/>
      <c r="T136" s="31"/>
      <c r="U136" s="31"/>
      <c r="V136" s="31"/>
      <c r="W136" s="31"/>
      <c r="X136" s="31"/>
      <c r="Y136" s="31"/>
      <c r="Z136" s="31"/>
      <c r="AA136" s="31"/>
      <c r="AB136" s="31"/>
      <c r="AC136" s="31"/>
      <c r="AD136" s="31"/>
      <c r="AE136" s="31"/>
      <c r="AF136" s="31"/>
      <c r="AG136" s="31"/>
    </row>
    <row r="137" spans="1:33">
      <c r="A137" s="30" t="s">
        <v>524</v>
      </c>
      <c r="B137" s="210" t="s">
        <v>1037</v>
      </c>
      <c r="C137" s="217">
        <v>3.0155479999999999</v>
      </c>
      <c r="D137" s="217">
        <v>3.0975450000000002</v>
      </c>
      <c r="E137" s="217">
        <v>3.1834560000000001</v>
      </c>
      <c r="F137" s="217">
        <v>3.2715930000000002</v>
      </c>
      <c r="G137" s="217">
        <v>3.3587579999999999</v>
      </c>
      <c r="H137" s="217">
        <v>3.4430320000000001</v>
      </c>
      <c r="I137" s="217">
        <v>3.5241380000000002</v>
      </c>
      <c r="J137" s="217">
        <v>3.6023369999999999</v>
      </c>
      <c r="K137" s="217">
        <v>3.6774779999999998</v>
      </c>
      <c r="L137" s="217">
        <v>3.7492040000000002</v>
      </c>
      <c r="M137" s="217">
        <v>3.8192210000000002</v>
      </c>
      <c r="N137" s="217">
        <v>3.8820770000000002</v>
      </c>
      <c r="O137" s="217">
        <v>3.9423219999999999</v>
      </c>
      <c r="P137" s="217">
        <v>4.0002969999999998</v>
      </c>
      <c r="Q137" s="217">
        <v>4.0587710000000001</v>
      </c>
      <c r="R137" s="217">
        <v>4.1174879999999998</v>
      </c>
      <c r="S137" s="217">
        <v>4.1771779999999996</v>
      </c>
      <c r="T137" s="217">
        <v>4.2348249999999998</v>
      </c>
      <c r="U137" s="217">
        <v>4.2897980000000002</v>
      </c>
      <c r="V137" s="217">
        <v>4.3460570000000001</v>
      </c>
      <c r="W137" s="217">
        <v>4.4020840000000003</v>
      </c>
      <c r="X137" s="217">
        <v>4.4646600000000003</v>
      </c>
      <c r="Y137" s="217">
        <v>4.531682</v>
      </c>
      <c r="Z137" s="217">
        <v>4.5975450000000002</v>
      </c>
      <c r="AA137" s="217">
        <v>4.6616299999999997</v>
      </c>
      <c r="AB137" s="217">
        <v>4.7283970000000002</v>
      </c>
      <c r="AC137" s="217">
        <v>4.796106</v>
      </c>
      <c r="AD137" s="217">
        <v>4.8608450000000003</v>
      </c>
      <c r="AE137" s="217">
        <v>4.9257439999999999</v>
      </c>
      <c r="AF137" s="212">
        <v>1.7679E-2</v>
      </c>
      <c r="AG137" s="31"/>
    </row>
    <row r="138" spans="1:33">
      <c r="A138" s="30" t="s">
        <v>525</v>
      </c>
      <c r="B138" s="210" t="s">
        <v>1038</v>
      </c>
      <c r="C138" s="217">
        <v>1.3121959999999999</v>
      </c>
      <c r="D138" s="217">
        <v>1.390077</v>
      </c>
      <c r="E138" s="217">
        <v>1.475538</v>
      </c>
      <c r="F138" s="217">
        <v>1.5668089999999999</v>
      </c>
      <c r="G138" s="217">
        <v>1.6607769999999999</v>
      </c>
      <c r="H138" s="217">
        <v>1.755242</v>
      </c>
      <c r="I138" s="217">
        <v>1.8484970000000001</v>
      </c>
      <c r="J138" s="217">
        <v>1.9400980000000001</v>
      </c>
      <c r="K138" s="217">
        <v>2.0310440000000001</v>
      </c>
      <c r="L138" s="217">
        <v>2.1199050000000002</v>
      </c>
      <c r="M138" s="217">
        <v>2.2087729999999999</v>
      </c>
      <c r="N138" s="217">
        <v>2.2942230000000001</v>
      </c>
      <c r="O138" s="217">
        <v>2.378069</v>
      </c>
      <c r="P138" s="217">
        <v>2.4599419999999999</v>
      </c>
      <c r="Q138" s="217">
        <v>2.5430779999999999</v>
      </c>
      <c r="R138" s="217">
        <v>2.6269550000000002</v>
      </c>
      <c r="S138" s="217">
        <v>2.7103890000000002</v>
      </c>
      <c r="T138" s="217">
        <v>2.793024</v>
      </c>
      <c r="U138" s="217">
        <v>2.8754759999999999</v>
      </c>
      <c r="V138" s="217">
        <v>2.9603380000000001</v>
      </c>
      <c r="W138" s="217">
        <v>3.0429689999999998</v>
      </c>
      <c r="X138" s="217">
        <v>3.128209</v>
      </c>
      <c r="Y138" s="217">
        <v>3.2178049999999998</v>
      </c>
      <c r="Z138" s="217">
        <v>3.3088250000000001</v>
      </c>
      <c r="AA138" s="217">
        <v>3.3999440000000001</v>
      </c>
      <c r="AB138" s="217">
        <v>3.492642</v>
      </c>
      <c r="AC138" s="217">
        <v>3.5847199999999999</v>
      </c>
      <c r="AD138" s="217">
        <v>3.6734100000000001</v>
      </c>
      <c r="AE138" s="217">
        <v>3.7600479999999998</v>
      </c>
      <c r="AF138" s="212">
        <v>3.8313E-2</v>
      </c>
      <c r="AG138" s="31"/>
    </row>
    <row r="139" spans="1:33">
      <c r="A139" s="30" t="s">
        <v>526</v>
      </c>
      <c r="B139" s="210" t="s">
        <v>1039</v>
      </c>
      <c r="C139" s="217">
        <v>1.18E-4</v>
      </c>
      <c r="D139" s="217">
        <v>3.9100000000000002E-4</v>
      </c>
      <c r="E139" s="217">
        <v>6.7400000000000001E-4</v>
      </c>
      <c r="F139" s="217">
        <v>9.5699999999999995E-4</v>
      </c>
      <c r="G139" s="217">
        <v>1.2470000000000001E-3</v>
      </c>
      <c r="H139" s="217">
        <v>1.542E-3</v>
      </c>
      <c r="I139" s="217">
        <v>1.843E-3</v>
      </c>
      <c r="J139" s="217">
        <v>2.1510000000000001E-3</v>
      </c>
      <c r="K139" s="217">
        <v>2.4689999999999998E-3</v>
      </c>
      <c r="L139" s="217">
        <v>2.7989999999999998E-3</v>
      </c>
      <c r="M139" s="217">
        <v>3.143E-3</v>
      </c>
      <c r="N139" s="217">
        <v>3.5010000000000002E-3</v>
      </c>
      <c r="O139" s="217">
        <v>3.859E-3</v>
      </c>
      <c r="P139" s="217">
        <v>4.2300000000000003E-3</v>
      </c>
      <c r="Q139" s="217">
        <v>4.6340000000000001E-3</v>
      </c>
      <c r="R139" s="217">
        <v>5.071E-3</v>
      </c>
      <c r="S139" s="217">
        <v>5.5459999999999997E-3</v>
      </c>
      <c r="T139" s="217">
        <v>6.0610000000000004E-3</v>
      </c>
      <c r="U139" s="217">
        <v>6.6210000000000001E-3</v>
      </c>
      <c r="V139" s="217">
        <v>7.228E-3</v>
      </c>
      <c r="W139" s="217">
        <v>7.8829999999999994E-3</v>
      </c>
      <c r="X139" s="217">
        <v>8.5920000000000007E-3</v>
      </c>
      <c r="Y139" s="217">
        <v>9.3589999999999993E-3</v>
      </c>
      <c r="Z139" s="217">
        <v>1.0192E-2</v>
      </c>
      <c r="AA139" s="217">
        <v>1.1091E-2</v>
      </c>
      <c r="AB139" s="217">
        <v>1.2054E-2</v>
      </c>
      <c r="AC139" s="217">
        <v>1.3077999999999999E-2</v>
      </c>
      <c r="AD139" s="217">
        <v>1.4161E-2</v>
      </c>
      <c r="AE139" s="217">
        <v>1.5303000000000001E-2</v>
      </c>
      <c r="AF139" s="212">
        <v>0.189804</v>
      </c>
      <c r="AG139" s="31"/>
    </row>
    <row r="140" spans="1:33">
      <c r="A140" s="30" t="s">
        <v>527</v>
      </c>
      <c r="B140" s="210" t="s">
        <v>1040</v>
      </c>
      <c r="C140" s="217">
        <v>8.1099999999999998E-4</v>
      </c>
      <c r="D140" s="217">
        <v>8.0800000000000002E-4</v>
      </c>
      <c r="E140" s="217">
        <v>8.0500000000000005E-4</v>
      </c>
      <c r="F140" s="217">
        <v>8.0099999999999995E-4</v>
      </c>
      <c r="G140" s="217">
        <v>7.9600000000000005E-4</v>
      </c>
      <c r="H140" s="217">
        <v>7.9100000000000004E-4</v>
      </c>
      <c r="I140" s="217">
        <v>7.8399999999999997E-4</v>
      </c>
      <c r="J140" s="217">
        <v>7.7800000000000005E-4</v>
      </c>
      <c r="K140" s="217">
        <v>7.6999999999999996E-4</v>
      </c>
      <c r="L140" s="217">
        <v>7.6199999999999998E-4</v>
      </c>
      <c r="M140" s="217">
        <v>7.5299999999999998E-4</v>
      </c>
      <c r="N140" s="217">
        <v>7.4299999999999995E-4</v>
      </c>
      <c r="O140" s="217">
        <v>7.3300000000000004E-4</v>
      </c>
      <c r="P140" s="217">
        <v>7.2199999999999999E-4</v>
      </c>
      <c r="Q140" s="217">
        <v>7.1100000000000004E-4</v>
      </c>
      <c r="R140" s="217">
        <v>6.9899999999999997E-4</v>
      </c>
      <c r="S140" s="217">
        <v>6.8599999999999998E-4</v>
      </c>
      <c r="T140" s="217">
        <v>6.7299999999999999E-4</v>
      </c>
      <c r="U140" s="217">
        <v>6.6E-4</v>
      </c>
      <c r="V140" s="217">
        <v>6.4599999999999998E-4</v>
      </c>
      <c r="W140" s="217">
        <v>6.3199999999999997E-4</v>
      </c>
      <c r="X140" s="217">
        <v>6.1700000000000004E-4</v>
      </c>
      <c r="Y140" s="217">
        <v>6.02E-4</v>
      </c>
      <c r="Z140" s="217">
        <v>5.8699999999999996E-4</v>
      </c>
      <c r="AA140" s="217">
        <v>5.6400000000000005E-4</v>
      </c>
      <c r="AB140" s="217">
        <v>5.2999999999999998E-4</v>
      </c>
      <c r="AC140" s="217">
        <v>4.8200000000000001E-4</v>
      </c>
      <c r="AD140" s="217">
        <v>4.2700000000000002E-4</v>
      </c>
      <c r="AE140" s="217">
        <v>3.5799999999999997E-4</v>
      </c>
      <c r="AF140" s="212">
        <v>-2.8745E-2</v>
      </c>
      <c r="AG140" s="31"/>
    </row>
    <row r="141" spans="1:33">
      <c r="A141" s="30" t="s">
        <v>528</v>
      </c>
      <c r="B141" s="210" t="s">
        <v>1041</v>
      </c>
      <c r="C141" s="217">
        <v>0.228495</v>
      </c>
      <c r="D141" s="217">
        <v>0.23946799999999999</v>
      </c>
      <c r="E141" s="217">
        <v>0.25094</v>
      </c>
      <c r="F141" s="217">
        <v>0.26208999999999999</v>
      </c>
      <c r="G141" s="217">
        <v>0.27283400000000002</v>
      </c>
      <c r="H141" s="217">
        <v>0.28325600000000001</v>
      </c>
      <c r="I141" s="217">
        <v>0.29306500000000002</v>
      </c>
      <c r="J141" s="217">
        <v>0.30256499999999997</v>
      </c>
      <c r="K141" s="217">
        <v>0.311807</v>
      </c>
      <c r="L141" s="217">
        <v>0.32098700000000002</v>
      </c>
      <c r="M141" s="217">
        <v>0.32999000000000001</v>
      </c>
      <c r="N141" s="217">
        <v>0.33899699999999999</v>
      </c>
      <c r="O141" s="217">
        <v>0.34797400000000001</v>
      </c>
      <c r="P141" s="217">
        <v>0.35700599999999999</v>
      </c>
      <c r="Q141" s="217">
        <v>0.36603000000000002</v>
      </c>
      <c r="R141" s="217">
        <v>0.37504999999999999</v>
      </c>
      <c r="S141" s="217">
        <v>0.38404199999999999</v>
      </c>
      <c r="T141" s="217">
        <v>0.39302700000000002</v>
      </c>
      <c r="U141" s="217">
        <v>0.402001</v>
      </c>
      <c r="V141" s="217">
        <v>0.41092400000000001</v>
      </c>
      <c r="W141" s="217">
        <v>0.419794</v>
      </c>
      <c r="X141" s="217">
        <v>0.42865399999999998</v>
      </c>
      <c r="Y141" s="217">
        <v>0.43625900000000001</v>
      </c>
      <c r="Z141" s="217">
        <v>0.44089800000000001</v>
      </c>
      <c r="AA141" s="217">
        <v>0.44327499999999997</v>
      </c>
      <c r="AB141" s="217">
        <v>0.44412699999999999</v>
      </c>
      <c r="AC141" s="217">
        <v>0.44450499999999998</v>
      </c>
      <c r="AD141" s="217">
        <v>0.44182100000000002</v>
      </c>
      <c r="AE141" s="217">
        <v>0.43831300000000001</v>
      </c>
      <c r="AF141" s="212">
        <v>2.3538E-2</v>
      </c>
      <c r="AG141" s="31"/>
    </row>
    <row r="142" spans="1:33">
      <c r="A142" s="30" t="s">
        <v>529</v>
      </c>
      <c r="B142" s="210" t="s">
        <v>1042</v>
      </c>
      <c r="C142" s="217">
        <v>6.7000000000000002E-5</v>
      </c>
      <c r="D142" s="217">
        <v>6.6000000000000005E-5</v>
      </c>
      <c r="E142" s="217">
        <v>6.4999999999999994E-5</v>
      </c>
      <c r="F142" s="217">
        <v>6.4999999999999994E-5</v>
      </c>
      <c r="G142" s="217">
        <v>6.3999999999999997E-5</v>
      </c>
      <c r="H142" s="217">
        <v>6.3E-5</v>
      </c>
      <c r="I142" s="217">
        <v>6.2000000000000003E-5</v>
      </c>
      <c r="J142" s="217">
        <v>6.0999999999999999E-5</v>
      </c>
      <c r="K142" s="217">
        <v>6.0000000000000002E-5</v>
      </c>
      <c r="L142" s="217">
        <v>5.8999999999999998E-5</v>
      </c>
      <c r="M142" s="217">
        <v>5.8E-5</v>
      </c>
      <c r="N142" s="217">
        <v>5.7000000000000003E-5</v>
      </c>
      <c r="O142" s="217">
        <v>5.5999999999999999E-5</v>
      </c>
      <c r="P142" s="217">
        <v>5.5000000000000002E-5</v>
      </c>
      <c r="Q142" s="217">
        <v>5.3999999999999998E-5</v>
      </c>
      <c r="R142" s="217">
        <v>5.3000000000000001E-5</v>
      </c>
      <c r="S142" s="217">
        <v>5.1E-5</v>
      </c>
      <c r="T142" s="217">
        <v>5.0000000000000002E-5</v>
      </c>
      <c r="U142" s="217">
        <v>4.8999999999999998E-5</v>
      </c>
      <c r="V142" s="217">
        <v>4.6999999999999997E-5</v>
      </c>
      <c r="W142" s="217">
        <v>4.6E-5</v>
      </c>
      <c r="X142" s="217">
        <v>4.5000000000000003E-5</v>
      </c>
      <c r="Y142" s="217">
        <v>3.6000000000000001E-5</v>
      </c>
      <c r="Z142" s="217">
        <v>2.5000000000000001E-5</v>
      </c>
      <c r="AA142" s="217">
        <v>1.8E-5</v>
      </c>
      <c r="AB142" s="217">
        <v>1.2E-5</v>
      </c>
      <c r="AC142" s="217">
        <v>9.0000000000000002E-6</v>
      </c>
      <c r="AD142" s="217">
        <v>6.0000000000000002E-6</v>
      </c>
      <c r="AE142" s="217">
        <v>3.9999999999999998E-6</v>
      </c>
      <c r="AF142" s="212">
        <v>-9.3524999999999997E-2</v>
      </c>
      <c r="AG142" s="31"/>
    </row>
    <row r="143" spans="1:33">
      <c r="A143" s="30" t="s">
        <v>530</v>
      </c>
      <c r="B143" s="210" t="s">
        <v>1043</v>
      </c>
      <c r="C143" s="217">
        <v>0</v>
      </c>
      <c r="D143" s="217">
        <v>3.1599999999999998E-4</v>
      </c>
      <c r="E143" s="217">
        <v>6.4700000000000001E-4</v>
      </c>
      <c r="F143" s="217">
        <v>9.8799999999999995E-4</v>
      </c>
      <c r="G143" s="217">
        <v>1.3370000000000001E-3</v>
      </c>
      <c r="H143" s="217">
        <v>1.6949999999999999E-3</v>
      </c>
      <c r="I143" s="217">
        <v>2.0669999999999998E-3</v>
      </c>
      <c r="J143" s="217">
        <v>2.4559999999999998E-3</v>
      </c>
      <c r="K143" s="217">
        <v>2.8660000000000001E-3</v>
      </c>
      <c r="L143" s="217">
        <v>3.3E-3</v>
      </c>
      <c r="M143" s="217">
        <v>3.7629999999999999E-3</v>
      </c>
      <c r="N143" s="217">
        <v>4.2560000000000002E-3</v>
      </c>
      <c r="O143" s="217">
        <v>4.7840000000000001E-3</v>
      </c>
      <c r="P143" s="217">
        <v>5.3569999999999998E-3</v>
      </c>
      <c r="Q143" s="217">
        <v>5.9829999999999996E-3</v>
      </c>
      <c r="R143" s="217">
        <v>6.6709999999999998E-3</v>
      </c>
      <c r="S143" s="217">
        <v>7.4289999999999998E-3</v>
      </c>
      <c r="T143" s="217">
        <v>8.2660000000000008E-3</v>
      </c>
      <c r="U143" s="217">
        <v>9.1909999999999995E-3</v>
      </c>
      <c r="V143" s="217">
        <v>1.0203E-2</v>
      </c>
      <c r="W143" s="217">
        <v>1.1304E-2</v>
      </c>
      <c r="X143" s="217">
        <v>1.2494999999999999E-2</v>
      </c>
      <c r="Y143" s="217">
        <v>1.3772E-2</v>
      </c>
      <c r="Z143" s="217">
        <v>1.5141E-2</v>
      </c>
      <c r="AA143" s="217">
        <v>1.6594999999999999E-2</v>
      </c>
      <c r="AB143" s="217">
        <v>1.8123E-2</v>
      </c>
      <c r="AC143" s="217">
        <v>1.9715E-2</v>
      </c>
      <c r="AD143" s="217">
        <v>2.1368000000000002E-2</v>
      </c>
      <c r="AE143" s="217">
        <v>2.308E-2</v>
      </c>
      <c r="AF143" s="212" t="s">
        <v>340</v>
      </c>
      <c r="AG143" s="31"/>
    </row>
    <row r="144" spans="1:33">
      <c r="A144" s="30" t="s">
        <v>531</v>
      </c>
      <c r="B144" s="210" t="s">
        <v>1044</v>
      </c>
      <c r="C144" s="217">
        <v>0</v>
      </c>
      <c r="D144" s="217">
        <v>3.2899999999999997E-4</v>
      </c>
      <c r="E144" s="217">
        <v>6.7400000000000001E-4</v>
      </c>
      <c r="F144" s="217">
        <v>1.024E-3</v>
      </c>
      <c r="G144" s="217">
        <v>1.377E-3</v>
      </c>
      <c r="H144" s="217">
        <v>1.7340000000000001E-3</v>
      </c>
      <c r="I144" s="217">
        <v>2.0950000000000001E-3</v>
      </c>
      <c r="J144" s="217">
        <v>2.467E-3</v>
      </c>
      <c r="K144" s="217">
        <v>2.856E-3</v>
      </c>
      <c r="L144" s="217">
        <v>3.2680000000000001E-3</v>
      </c>
      <c r="M144" s="217">
        <v>3.7100000000000002E-3</v>
      </c>
      <c r="N144" s="217">
        <v>4.1869999999999997E-3</v>
      </c>
      <c r="O144" s="217">
        <v>4.705E-3</v>
      </c>
      <c r="P144" s="217">
        <v>5.2760000000000003E-3</v>
      </c>
      <c r="Q144" s="217">
        <v>5.9090000000000002E-3</v>
      </c>
      <c r="R144" s="217">
        <v>6.6140000000000001E-3</v>
      </c>
      <c r="S144" s="217">
        <v>7.4009999999999996E-3</v>
      </c>
      <c r="T144" s="217">
        <v>8.2810000000000002E-3</v>
      </c>
      <c r="U144" s="217">
        <v>9.2630000000000004E-3</v>
      </c>
      <c r="V144" s="217">
        <v>1.0349000000000001E-2</v>
      </c>
      <c r="W144" s="217">
        <v>1.1542999999999999E-2</v>
      </c>
      <c r="X144" s="217">
        <v>1.2847000000000001E-2</v>
      </c>
      <c r="Y144" s="217">
        <v>1.4251E-2</v>
      </c>
      <c r="Z144" s="217">
        <v>1.5765000000000001E-2</v>
      </c>
      <c r="AA144" s="217">
        <v>1.7374000000000001E-2</v>
      </c>
      <c r="AB144" s="217">
        <v>1.9071000000000001E-2</v>
      </c>
      <c r="AC144" s="217">
        <v>2.0840999999999998E-2</v>
      </c>
      <c r="AD144" s="217">
        <v>2.2685E-2</v>
      </c>
      <c r="AE144" s="217">
        <v>2.4594000000000001E-2</v>
      </c>
      <c r="AF144" s="212" t="s">
        <v>340</v>
      </c>
      <c r="AG144" s="31"/>
    </row>
    <row r="145" spans="1:33">
      <c r="A145" s="30" t="s">
        <v>532</v>
      </c>
      <c r="B145" s="210" t="s">
        <v>1045</v>
      </c>
      <c r="C145" s="217">
        <v>0</v>
      </c>
      <c r="D145" s="217">
        <v>0</v>
      </c>
      <c r="E145" s="217">
        <v>0</v>
      </c>
      <c r="F145" s="217">
        <v>0</v>
      </c>
      <c r="G145" s="217">
        <v>0</v>
      </c>
      <c r="H145" s="217">
        <v>0</v>
      </c>
      <c r="I145" s="217">
        <v>9.9999999999999995E-7</v>
      </c>
      <c r="J145" s="217">
        <v>9.9999999999999995E-7</v>
      </c>
      <c r="K145" s="217">
        <v>9.9999999999999995E-7</v>
      </c>
      <c r="L145" s="217">
        <v>9.9999999999999995E-7</v>
      </c>
      <c r="M145" s="217">
        <v>9.9999999999999995E-7</v>
      </c>
      <c r="N145" s="217">
        <v>9.9999999999999995E-7</v>
      </c>
      <c r="O145" s="217">
        <v>9.9999999999999995E-7</v>
      </c>
      <c r="P145" s="217">
        <v>9.9999999999999995E-7</v>
      </c>
      <c r="Q145" s="217">
        <v>9.9999999999999995E-7</v>
      </c>
      <c r="R145" s="217">
        <v>9.9999999999999995E-7</v>
      </c>
      <c r="S145" s="217">
        <v>1.9999999999999999E-6</v>
      </c>
      <c r="T145" s="217">
        <v>1.9999999999999999E-6</v>
      </c>
      <c r="U145" s="217">
        <v>1.9999999999999999E-6</v>
      </c>
      <c r="V145" s="217">
        <v>1.9999999999999999E-6</v>
      </c>
      <c r="W145" s="217">
        <v>1.9999999999999999E-6</v>
      </c>
      <c r="X145" s="217">
        <v>1.9999999999999999E-6</v>
      </c>
      <c r="Y145" s="217">
        <v>1.9999999999999999E-6</v>
      </c>
      <c r="Z145" s="217">
        <v>1.9999999999999999E-6</v>
      </c>
      <c r="AA145" s="217">
        <v>1.9999999999999999E-6</v>
      </c>
      <c r="AB145" s="217">
        <v>1.9999999999999999E-6</v>
      </c>
      <c r="AC145" s="217">
        <v>1.9999999999999999E-6</v>
      </c>
      <c r="AD145" s="217">
        <v>1.9999999999999999E-6</v>
      </c>
      <c r="AE145" s="217">
        <v>1.9999999999999999E-6</v>
      </c>
      <c r="AF145" s="212" t="s">
        <v>340</v>
      </c>
      <c r="AG145" s="31"/>
    </row>
    <row r="146" spans="1:33" s="260" customFormat="1">
      <c r="A146" s="267" t="s">
        <v>533</v>
      </c>
      <c r="B146" s="268" t="s">
        <v>1046</v>
      </c>
      <c r="C146" s="269">
        <v>4.5572350000000004</v>
      </c>
      <c r="D146" s="269">
        <v>4.7290020000000004</v>
      </c>
      <c r="E146" s="269">
        <v>4.9127999999999998</v>
      </c>
      <c r="F146" s="269">
        <v>5.1043260000000004</v>
      </c>
      <c r="G146" s="269">
        <v>5.2971899999999996</v>
      </c>
      <c r="H146" s="269">
        <v>5.487355</v>
      </c>
      <c r="I146" s="269">
        <v>5.6725500000000002</v>
      </c>
      <c r="J146" s="269">
        <v>5.8529099999999996</v>
      </c>
      <c r="K146" s="269">
        <v>6.02935</v>
      </c>
      <c r="L146" s="269">
        <v>6.2002790000000001</v>
      </c>
      <c r="M146" s="269">
        <v>6.3694100000000002</v>
      </c>
      <c r="N146" s="269">
        <v>6.5280370000000003</v>
      </c>
      <c r="O146" s="269">
        <v>6.6825029999999996</v>
      </c>
      <c r="P146" s="269">
        <v>6.8328829999999998</v>
      </c>
      <c r="Q146" s="269">
        <v>6.9851679999999998</v>
      </c>
      <c r="R146" s="269">
        <v>7.1385949999999996</v>
      </c>
      <c r="S146" s="269">
        <v>7.2927179999999998</v>
      </c>
      <c r="T146" s="269">
        <v>7.444204</v>
      </c>
      <c r="U146" s="269">
        <v>7.5930559999999998</v>
      </c>
      <c r="V146" s="269">
        <v>7.7457929999999999</v>
      </c>
      <c r="W146" s="269">
        <v>7.8962500000000002</v>
      </c>
      <c r="X146" s="269">
        <v>8.0561190000000007</v>
      </c>
      <c r="Y146" s="269">
        <v>8.2237679999999997</v>
      </c>
      <c r="Z146" s="269">
        <v>8.3889849999999999</v>
      </c>
      <c r="AA146" s="269">
        <v>8.5504960000000008</v>
      </c>
      <c r="AB146" s="269">
        <v>8.7149520000000003</v>
      </c>
      <c r="AC146" s="269">
        <v>8.8794520000000006</v>
      </c>
      <c r="AD146" s="269">
        <v>9.0347190000000008</v>
      </c>
      <c r="AE146" s="269">
        <v>9.1874509999999994</v>
      </c>
      <c r="AF146" s="270">
        <v>2.5356E-2</v>
      </c>
      <c r="AG146" s="271"/>
    </row>
    <row r="147" spans="1:33">
      <c r="A147" s="29"/>
      <c r="B147" s="209" t="s">
        <v>1047</v>
      </c>
      <c r="C147" s="31"/>
      <c r="D147" s="31"/>
      <c r="E147" s="31"/>
      <c r="F147" s="31"/>
      <c r="G147" s="31"/>
      <c r="H147" s="31"/>
      <c r="I147" s="31"/>
      <c r="J147" s="31"/>
      <c r="K147" s="31"/>
      <c r="L147" s="31"/>
      <c r="M147" s="31"/>
      <c r="N147" s="31"/>
      <c r="O147" s="31"/>
      <c r="P147" s="31"/>
      <c r="Q147" s="31"/>
      <c r="R147" s="31"/>
      <c r="S147" s="31"/>
      <c r="T147" s="31"/>
      <c r="U147" s="31"/>
      <c r="V147" s="31"/>
      <c r="W147" s="31"/>
      <c r="X147" s="31"/>
      <c r="Y147" s="31"/>
      <c r="Z147" s="31"/>
      <c r="AA147" s="31"/>
      <c r="AB147" s="31"/>
      <c r="AC147" s="31"/>
      <c r="AD147" s="31"/>
      <c r="AE147" s="31"/>
      <c r="AF147" s="31"/>
      <c r="AG147" s="31"/>
    </row>
    <row r="148" spans="1:33">
      <c r="A148" s="30" t="s">
        <v>534</v>
      </c>
      <c r="B148" s="210" t="s">
        <v>1037</v>
      </c>
      <c r="C148" s="217">
        <v>2.2437369999999999</v>
      </c>
      <c r="D148" s="217">
        <v>2.286295</v>
      </c>
      <c r="E148" s="217">
        <v>2.3282590000000001</v>
      </c>
      <c r="F148" s="217">
        <v>2.3705020000000001</v>
      </c>
      <c r="G148" s="217">
        <v>2.414231</v>
      </c>
      <c r="H148" s="217">
        <v>2.4601289999999998</v>
      </c>
      <c r="I148" s="217">
        <v>2.5065369999999998</v>
      </c>
      <c r="J148" s="217">
        <v>2.5488789999999999</v>
      </c>
      <c r="K148" s="217">
        <v>2.5876809999999999</v>
      </c>
      <c r="L148" s="217">
        <v>2.6220119999999998</v>
      </c>
      <c r="M148" s="217">
        <v>2.655789</v>
      </c>
      <c r="N148" s="217">
        <v>2.685311</v>
      </c>
      <c r="O148" s="217">
        <v>2.7116950000000002</v>
      </c>
      <c r="P148" s="217">
        <v>2.7389969999999999</v>
      </c>
      <c r="Q148" s="217">
        <v>2.7686130000000002</v>
      </c>
      <c r="R148" s="217">
        <v>2.7995800000000002</v>
      </c>
      <c r="S148" s="217">
        <v>2.8301050000000001</v>
      </c>
      <c r="T148" s="217">
        <v>2.8587389999999999</v>
      </c>
      <c r="U148" s="217">
        <v>2.8855249999999999</v>
      </c>
      <c r="V148" s="217">
        <v>2.9108130000000001</v>
      </c>
      <c r="W148" s="217">
        <v>2.9366029999999999</v>
      </c>
      <c r="X148" s="217">
        <v>2.96862</v>
      </c>
      <c r="Y148" s="217">
        <v>3.0048659999999998</v>
      </c>
      <c r="Z148" s="217">
        <v>3.0403660000000001</v>
      </c>
      <c r="AA148" s="217">
        <v>3.0729690000000001</v>
      </c>
      <c r="AB148" s="217">
        <v>3.1057389999999998</v>
      </c>
      <c r="AC148" s="217">
        <v>3.1385649999999998</v>
      </c>
      <c r="AD148" s="217">
        <v>3.1691940000000001</v>
      </c>
      <c r="AE148" s="217">
        <v>3.1979829999999998</v>
      </c>
      <c r="AF148" s="212">
        <v>1.2737E-2</v>
      </c>
      <c r="AG148" s="31"/>
    </row>
    <row r="149" spans="1:33">
      <c r="A149" s="30" t="s">
        <v>535</v>
      </c>
      <c r="B149" s="210" t="s">
        <v>1038</v>
      </c>
      <c r="C149" s="217">
        <v>1.5028010000000001</v>
      </c>
      <c r="D149" s="217">
        <v>1.5106599999999999</v>
      </c>
      <c r="E149" s="217">
        <v>1.521682</v>
      </c>
      <c r="F149" s="217">
        <v>1.536027</v>
      </c>
      <c r="G149" s="217">
        <v>1.553299</v>
      </c>
      <c r="H149" s="217">
        <v>1.5740670000000001</v>
      </c>
      <c r="I149" s="217">
        <v>1.595553</v>
      </c>
      <c r="J149" s="217">
        <v>1.615586</v>
      </c>
      <c r="K149" s="217">
        <v>1.634533</v>
      </c>
      <c r="L149" s="217">
        <v>1.6496409999999999</v>
      </c>
      <c r="M149" s="217">
        <v>1.6660779999999999</v>
      </c>
      <c r="N149" s="217">
        <v>1.679308</v>
      </c>
      <c r="O149" s="217">
        <v>1.691457</v>
      </c>
      <c r="P149" s="217">
        <v>1.7060569999999999</v>
      </c>
      <c r="Q149" s="217">
        <v>1.72157</v>
      </c>
      <c r="R149" s="217">
        <v>1.7378290000000001</v>
      </c>
      <c r="S149" s="217">
        <v>1.753844</v>
      </c>
      <c r="T149" s="217">
        <v>1.770923</v>
      </c>
      <c r="U149" s="217">
        <v>1.786276</v>
      </c>
      <c r="V149" s="217">
        <v>1.802689</v>
      </c>
      <c r="W149" s="217">
        <v>1.8201099999999999</v>
      </c>
      <c r="X149" s="217">
        <v>1.840473</v>
      </c>
      <c r="Y149" s="217">
        <v>1.862393</v>
      </c>
      <c r="Z149" s="217">
        <v>1.8824430000000001</v>
      </c>
      <c r="AA149" s="217">
        <v>1.900587</v>
      </c>
      <c r="AB149" s="217">
        <v>1.9178740000000001</v>
      </c>
      <c r="AC149" s="217">
        <v>1.9347449999999999</v>
      </c>
      <c r="AD149" s="217">
        <v>1.9508810000000001</v>
      </c>
      <c r="AE149" s="217">
        <v>1.9650270000000001</v>
      </c>
      <c r="AF149" s="212">
        <v>9.6240000000000006E-3</v>
      </c>
      <c r="AG149" s="31"/>
    </row>
    <row r="150" spans="1:33">
      <c r="A150" s="30" t="s">
        <v>536</v>
      </c>
      <c r="B150" s="210" t="s">
        <v>1039</v>
      </c>
      <c r="C150" s="217">
        <v>2.4919999999999999E-3</v>
      </c>
      <c r="D150" s="217">
        <v>2.5119999999999999E-3</v>
      </c>
      <c r="E150" s="217">
        <v>2.565E-3</v>
      </c>
      <c r="F150" s="217">
        <v>2.6389999999999999E-3</v>
      </c>
      <c r="G150" s="217">
        <v>2.7409999999999999E-3</v>
      </c>
      <c r="H150" s="217">
        <v>2.8609999999999998E-3</v>
      </c>
      <c r="I150" s="217">
        <v>2.9970000000000001E-3</v>
      </c>
      <c r="J150" s="217">
        <v>3.1280000000000001E-3</v>
      </c>
      <c r="K150" s="217">
        <v>3.2650000000000001E-3</v>
      </c>
      <c r="L150" s="217">
        <v>3.4060000000000002E-3</v>
      </c>
      <c r="M150" s="217">
        <v>3.5660000000000002E-3</v>
      </c>
      <c r="N150" s="217">
        <v>3.7569999999999999E-3</v>
      </c>
      <c r="O150" s="217">
        <v>3.9490000000000003E-3</v>
      </c>
      <c r="P150" s="217">
        <v>4.1520000000000003E-3</v>
      </c>
      <c r="Q150" s="217">
        <v>4.3949999999999996E-3</v>
      </c>
      <c r="R150" s="217">
        <v>4.6769999999999997E-3</v>
      </c>
      <c r="S150" s="217">
        <v>4.9950000000000003E-3</v>
      </c>
      <c r="T150" s="217">
        <v>5.3480000000000003E-3</v>
      </c>
      <c r="U150" s="217">
        <v>5.7359999999999998E-3</v>
      </c>
      <c r="V150" s="217">
        <v>6.1580000000000003E-3</v>
      </c>
      <c r="W150" s="217">
        <v>6.6080000000000002E-3</v>
      </c>
      <c r="X150" s="217">
        <v>7.0899999999999999E-3</v>
      </c>
      <c r="Y150" s="217">
        <v>7.5950000000000002E-3</v>
      </c>
      <c r="Z150" s="217">
        <v>8.116E-3</v>
      </c>
      <c r="AA150" s="217">
        <v>8.6529999999999992E-3</v>
      </c>
      <c r="AB150" s="217">
        <v>9.2040000000000004E-3</v>
      </c>
      <c r="AC150" s="217">
        <v>9.7710000000000002E-3</v>
      </c>
      <c r="AD150" s="217">
        <v>1.0267999999999999E-2</v>
      </c>
      <c r="AE150" s="217">
        <v>1.0788000000000001E-2</v>
      </c>
      <c r="AF150" s="212">
        <v>5.3726999999999997E-2</v>
      </c>
      <c r="AG150" s="31"/>
    </row>
    <row r="151" spans="1:33">
      <c r="A151" s="30" t="s">
        <v>537</v>
      </c>
      <c r="B151" s="210" t="s">
        <v>1040</v>
      </c>
      <c r="C151" s="217">
        <v>2.4350000000000001E-3</v>
      </c>
      <c r="D151" s="217">
        <v>2.467E-3</v>
      </c>
      <c r="E151" s="217">
        <v>2.4859999999999999E-3</v>
      </c>
      <c r="F151" s="217">
        <v>2.493E-3</v>
      </c>
      <c r="G151" s="217">
        <v>2.4880000000000002E-3</v>
      </c>
      <c r="H151" s="217">
        <v>2.4729999999999999E-3</v>
      </c>
      <c r="I151" s="217">
        <v>2.4499999999999999E-3</v>
      </c>
      <c r="J151" s="217">
        <v>2.4160000000000002E-3</v>
      </c>
      <c r="K151" s="217">
        <v>2.3749999999999999E-3</v>
      </c>
      <c r="L151" s="217">
        <v>2.3249999999999998E-3</v>
      </c>
      <c r="M151" s="217">
        <v>2.2680000000000001E-3</v>
      </c>
      <c r="N151" s="217">
        <v>2.2060000000000001E-3</v>
      </c>
      <c r="O151" s="217">
        <v>2.137E-3</v>
      </c>
      <c r="P151" s="217">
        <v>2.062E-3</v>
      </c>
      <c r="Q151" s="217">
        <v>1.977E-3</v>
      </c>
      <c r="R151" s="217">
        <v>1.89E-3</v>
      </c>
      <c r="S151" s="217">
        <v>1.802E-3</v>
      </c>
      <c r="T151" s="217">
        <v>1.719E-3</v>
      </c>
      <c r="U151" s="217">
        <v>1.6410000000000001E-3</v>
      </c>
      <c r="V151" s="217">
        <v>1.5510000000000001E-3</v>
      </c>
      <c r="W151" s="217">
        <v>1.47E-3</v>
      </c>
      <c r="X151" s="217">
        <v>1.3649999999999999E-3</v>
      </c>
      <c r="Y151" s="217">
        <v>1.2509999999999999E-3</v>
      </c>
      <c r="Z151" s="217">
        <v>1.158E-3</v>
      </c>
      <c r="AA151" s="217">
        <v>1.077E-3</v>
      </c>
      <c r="AB151" s="217">
        <v>9.9200000000000004E-4</v>
      </c>
      <c r="AC151" s="217">
        <v>9.0200000000000002E-4</v>
      </c>
      <c r="AD151" s="217">
        <v>8.1999999999999998E-4</v>
      </c>
      <c r="AE151" s="217">
        <v>7.5000000000000002E-4</v>
      </c>
      <c r="AF151" s="212">
        <v>-4.1189000000000003E-2</v>
      </c>
      <c r="AG151" s="31"/>
    </row>
    <row r="152" spans="1:33">
      <c r="A152" s="30" t="s">
        <v>538</v>
      </c>
      <c r="B152" s="210" t="s">
        <v>1041</v>
      </c>
      <c r="C152" s="217">
        <v>3.3721000000000001E-2</v>
      </c>
      <c r="D152" s="217">
        <v>3.7009E-2</v>
      </c>
      <c r="E152" s="217">
        <v>4.0771000000000002E-2</v>
      </c>
      <c r="F152" s="217">
        <v>4.4796000000000002E-2</v>
      </c>
      <c r="G152" s="217">
        <v>4.9252999999999998E-2</v>
      </c>
      <c r="H152" s="217">
        <v>5.4266000000000002E-2</v>
      </c>
      <c r="I152" s="217">
        <v>5.9671000000000002E-2</v>
      </c>
      <c r="J152" s="217">
        <v>6.5405000000000005E-2</v>
      </c>
      <c r="K152" s="217">
        <v>7.1421999999999999E-2</v>
      </c>
      <c r="L152" s="217">
        <v>7.7891000000000002E-2</v>
      </c>
      <c r="M152" s="217">
        <v>8.4977999999999998E-2</v>
      </c>
      <c r="N152" s="217">
        <v>9.2817999999999998E-2</v>
      </c>
      <c r="O152" s="217">
        <v>0.101296</v>
      </c>
      <c r="P152" s="217">
        <v>0.11043600000000001</v>
      </c>
      <c r="Q152" s="217">
        <v>0.120042</v>
      </c>
      <c r="R152" s="217">
        <v>0.13008800000000001</v>
      </c>
      <c r="S152" s="217">
        <v>0.140457</v>
      </c>
      <c r="T152" s="217">
        <v>0.15113299999999999</v>
      </c>
      <c r="U152" s="217">
        <v>0.16206599999999999</v>
      </c>
      <c r="V152" s="217">
        <v>0.17324300000000001</v>
      </c>
      <c r="W152" s="217">
        <v>0.184556</v>
      </c>
      <c r="X152" s="217">
        <v>0.19605900000000001</v>
      </c>
      <c r="Y152" s="217">
        <v>0.20741200000000001</v>
      </c>
      <c r="Z152" s="217">
        <v>0.21848600000000001</v>
      </c>
      <c r="AA152" s="217">
        <v>0.22906399999999999</v>
      </c>
      <c r="AB152" s="217">
        <v>0.239314</v>
      </c>
      <c r="AC152" s="217">
        <v>0.24909800000000001</v>
      </c>
      <c r="AD152" s="217">
        <v>0.25861600000000001</v>
      </c>
      <c r="AE152" s="217">
        <v>0.26780399999999999</v>
      </c>
      <c r="AF152" s="212">
        <v>7.6813000000000006E-2</v>
      </c>
      <c r="AG152" s="31"/>
    </row>
    <row r="153" spans="1:33">
      <c r="A153" s="30" t="s">
        <v>539</v>
      </c>
      <c r="B153" s="210" t="s">
        <v>1042</v>
      </c>
      <c r="C153" s="217">
        <v>2.4399999999999999E-4</v>
      </c>
      <c r="D153" s="217">
        <v>3.0200000000000002E-4</v>
      </c>
      <c r="E153" s="217">
        <v>3.5399999999999999E-4</v>
      </c>
      <c r="F153" s="217">
        <v>3.9800000000000002E-4</v>
      </c>
      <c r="G153" s="217">
        <v>4.3800000000000002E-4</v>
      </c>
      <c r="H153" s="217">
        <v>4.7199999999999998E-4</v>
      </c>
      <c r="I153" s="217">
        <v>5.0199999999999995E-4</v>
      </c>
      <c r="J153" s="217">
        <v>5.2599999999999999E-4</v>
      </c>
      <c r="K153" s="217">
        <v>5.4500000000000002E-4</v>
      </c>
      <c r="L153" s="217">
        <v>5.5900000000000004E-4</v>
      </c>
      <c r="M153" s="217">
        <v>5.6899999999999995E-4</v>
      </c>
      <c r="N153" s="217">
        <v>5.7600000000000001E-4</v>
      </c>
      <c r="O153" s="217">
        <v>5.7899999999999998E-4</v>
      </c>
      <c r="P153" s="217">
        <v>5.7899999999999998E-4</v>
      </c>
      <c r="Q153" s="217">
        <v>5.7700000000000004E-4</v>
      </c>
      <c r="R153" s="217">
        <v>5.71E-4</v>
      </c>
      <c r="S153" s="217">
        <v>5.6300000000000002E-4</v>
      </c>
      <c r="T153" s="217">
        <v>5.53E-4</v>
      </c>
      <c r="U153" s="217">
        <v>5.4100000000000003E-4</v>
      </c>
      <c r="V153" s="217">
        <v>5.2800000000000004E-4</v>
      </c>
      <c r="W153" s="217">
        <v>5.13E-4</v>
      </c>
      <c r="X153" s="217">
        <v>4.9700000000000005E-4</v>
      </c>
      <c r="Y153" s="217">
        <v>4.8000000000000001E-4</v>
      </c>
      <c r="Z153" s="217">
        <v>4.6200000000000001E-4</v>
      </c>
      <c r="AA153" s="217">
        <v>4.44E-4</v>
      </c>
      <c r="AB153" s="217">
        <v>4.26E-4</v>
      </c>
      <c r="AC153" s="217">
        <v>4.08E-4</v>
      </c>
      <c r="AD153" s="217">
        <v>3.8900000000000002E-4</v>
      </c>
      <c r="AE153" s="217">
        <v>3.7100000000000002E-4</v>
      </c>
      <c r="AF153" s="212">
        <v>1.5082E-2</v>
      </c>
      <c r="AG153" s="31"/>
    </row>
    <row r="154" spans="1:33">
      <c r="A154" s="30" t="s">
        <v>540</v>
      </c>
      <c r="B154" s="210" t="s">
        <v>1043</v>
      </c>
      <c r="C154" s="217">
        <v>0</v>
      </c>
      <c r="D154" s="217">
        <v>0</v>
      </c>
      <c r="E154" s="217">
        <v>2.2499999999999999E-4</v>
      </c>
      <c r="F154" s="217">
        <v>4.5199999999999998E-4</v>
      </c>
      <c r="G154" s="217">
        <v>6.8199999999999999E-4</v>
      </c>
      <c r="H154" s="217">
        <v>9.2100000000000005E-4</v>
      </c>
      <c r="I154" s="217">
        <v>1.1659999999999999E-3</v>
      </c>
      <c r="J154" s="217">
        <v>1.413E-3</v>
      </c>
      <c r="K154" s="217">
        <v>1.6570000000000001E-3</v>
      </c>
      <c r="L154" s="217">
        <v>1.9009999999999999E-3</v>
      </c>
      <c r="M154" s="217">
        <v>2.1510000000000001E-3</v>
      </c>
      <c r="N154" s="217">
        <v>2.4130000000000002E-3</v>
      </c>
      <c r="O154" s="217">
        <v>2.6849999999999999E-3</v>
      </c>
      <c r="P154" s="217">
        <v>2.9680000000000002E-3</v>
      </c>
      <c r="Q154" s="217">
        <v>3.264E-3</v>
      </c>
      <c r="R154" s="217">
        <v>3.5739999999999999E-3</v>
      </c>
      <c r="S154" s="217">
        <v>3.8990000000000001E-3</v>
      </c>
      <c r="T154" s="217">
        <v>4.241E-3</v>
      </c>
      <c r="U154" s="217">
        <v>4.6030000000000003E-3</v>
      </c>
      <c r="V154" s="217">
        <v>4.9880000000000002E-3</v>
      </c>
      <c r="W154" s="217">
        <v>5.3949999999999996E-3</v>
      </c>
      <c r="X154" s="217">
        <v>5.8279999999999998E-3</v>
      </c>
      <c r="Y154" s="217">
        <v>6.2830000000000004E-3</v>
      </c>
      <c r="Z154" s="217">
        <v>6.7559999999999999E-3</v>
      </c>
      <c r="AA154" s="217">
        <v>7.2459999999999998E-3</v>
      </c>
      <c r="AB154" s="217">
        <v>7.757E-3</v>
      </c>
      <c r="AC154" s="217">
        <v>8.2869999999999992E-3</v>
      </c>
      <c r="AD154" s="217">
        <v>8.8350000000000008E-3</v>
      </c>
      <c r="AE154" s="217">
        <v>9.3989999999999994E-3</v>
      </c>
      <c r="AF154" s="212" t="s">
        <v>340</v>
      </c>
      <c r="AG154" s="31"/>
    </row>
    <row r="155" spans="1:33">
      <c r="A155" s="30" t="s">
        <v>541</v>
      </c>
      <c r="B155" s="210" t="s">
        <v>1044</v>
      </c>
      <c r="C155" s="217">
        <v>0</v>
      </c>
      <c r="D155" s="217">
        <v>0</v>
      </c>
      <c r="E155" s="217">
        <v>2.1900000000000001E-4</v>
      </c>
      <c r="F155" s="217">
        <v>4.35E-4</v>
      </c>
      <c r="G155" s="217">
        <v>6.5200000000000002E-4</v>
      </c>
      <c r="H155" s="217">
        <v>8.7200000000000005E-4</v>
      </c>
      <c r="I155" s="217">
        <v>1.096E-3</v>
      </c>
      <c r="J155" s="217">
        <v>1.3179999999999999E-3</v>
      </c>
      <c r="K155" s="217">
        <v>1.539E-3</v>
      </c>
      <c r="L155" s="217">
        <v>1.7639999999999999E-3</v>
      </c>
      <c r="M155" s="217">
        <v>2.0010000000000002E-3</v>
      </c>
      <c r="N155" s="217">
        <v>2.2560000000000002E-3</v>
      </c>
      <c r="O155" s="217">
        <v>2.529E-3</v>
      </c>
      <c r="P155" s="217">
        <v>2.8219999999999999E-3</v>
      </c>
      <c r="Q155" s="217">
        <v>3.1380000000000002E-3</v>
      </c>
      <c r="R155" s="217">
        <v>3.48E-3</v>
      </c>
      <c r="S155" s="217">
        <v>3.8500000000000001E-3</v>
      </c>
      <c r="T155" s="217">
        <v>4.2529999999999998E-3</v>
      </c>
      <c r="U155" s="217">
        <v>4.6940000000000003E-3</v>
      </c>
      <c r="V155" s="217">
        <v>5.1770000000000002E-3</v>
      </c>
      <c r="W155" s="217">
        <v>5.7060000000000001E-3</v>
      </c>
      <c r="X155" s="217">
        <v>6.2849999999999998E-3</v>
      </c>
      <c r="Y155" s="217">
        <v>6.9100000000000003E-3</v>
      </c>
      <c r="Z155" s="217">
        <v>7.5719999999999997E-3</v>
      </c>
      <c r="AA155" s="217">
        <v>8.2699999999999996E-3</v>
      </c>
      <c r="AB155" s="217">
        <v>9.0060000000000001E-3</v>
      </c>
      <c r="AC155" s="217">
        <v>9.7789999999999995E-3</v>
      </c>
      <c r="AD155" s="217">
        <v>1.0584E-2</v>
      </c>
      <c r="AE155" s="217">
        <v>1.1415E-2</v>
      </c>
      <c r="AF155" s="212" t="s">
        <v>340</v>
      </c>
      <c r="AG155" s="31"/>
    </row>
    <row r="156" spans="1:33">
      <c r="A156" s="30" t="s">
        <v>542</v>
      </c>
      <c r="B156" s="210" t="s">
        <v>1045</v>
      </c>
      <c r="C156" s="217">
        <v>0</v>
      </c>
      <c r="D156" s="217">
        <v>0</v>
      </c>
      <c r="E156" s="217">
        <v>3.7599999999999998E-4</v>
      </c>
      <c r="F156" s="217">
        <v>7.5799999999999999E-4</v>
      </c>
      <c r="G156" s="217">
        <v>1.1509999999999999E-3</v>
      </c>
      <c r="H156" s="217">
        <v>1.5610000000000001E-3</v>
      </c>
      <c r="I156" s="217">
        <v>1.9840000000000001E-3</v>
      </c>
      <c r="J156" s="217">
        <v>2.4109999999999999E-3</v>
      </c>
      <c r="K156" s="217">
        <v>2.8349999999999998E-3</v>
      </c>
      <c r="L156" s="217">
        <v>3.2590000000000002E-3</v>
      </c>
      <c r="M156" s="217">
        <v>3.692E-3</v>
      </c>
      <c r="N156" s="217">
        <v>4.1390000000000003E-3</v>
      </c>
      <c r="O156" s="217">
        <v>4.6020000000000002E-3</v>
      </c>
      <c r="P156" s="217">
        <v>5.084E-3</v>
      </c>
      <c r="Q156" s="217">
        <v>5.5890000000000002E-3</v>
      </c>
      <c r="R156" s="217">
        <v>6.1209999999999997E-3</v>
      </c>
      <c r="S156" s="217">
        <v>6.6839999999999998E-3</v>
      </c>
      <c r="T156" s="217">
        <v>7.2820000000000003E-3</v>
      </c>
      <c r="U156" s="217">
        <v>7.9209999999999992E-3</v>
      </c>
      <c r="V156" s="217">
        <v>8.6079999999999993E-3</v>
      </c>
      <c r="W156" s="217">
        <v>9.3430000000000006E-3</v>
      </c>
      <c r="X156" s="217">
        <v>1.0130999999999999E-2</v>
      </c>
      <c r="Y156" s="217">
        <v>1.0968E-2</v>
      </c>
      <c r="Z156" s="217">
        <v>1.1842999999999999E-2</v>
      </c>
      <c r="AA156" s="217">
        <v>1.2758E-2</v>
      </c>
      <c r="AB156" s="217">
        <v>1.3715E-2</v>
      </c>
      <c r="AC156" s="217">
        <v>1.4716E-2</v>
      </c>
      <c r="AD156" s="217">
        <v>1.5751999999999999E-2</v>
      </c>
      <c r="AE156" s="217">
        <v>1.6823000000000001E-2</v>
      </c>
      <c r="AF156" s="212" t="s">
        <v>340</v>
      </c>
      <c r="AG156" s="31"/>
    </row>
    <row r="157" spans="1:33" s="260" customFormat="1">
      <c r="A157" s="267" t="s">
        <v>543</v>
      </c>
      <c r="B157" s="268" t="s">
        <v>1048</v>
      </c>
      <c r="C157" s="269">
        <v>3.7854269999999999</v>
      </c>
      <c r="D157" s="269">
        <v>3.8392460000000002</v>
      </c>
      <c r="E157" s="269">
        <v>3.896935</v>
      </c>
      <c r="F157" s="269">
        <v>3.9585020000000002</v>
      </c>
      <c r="G157" s="269">
        <v>4.0249319999999997</v>
      </c>
      <c r="H157" s="269">
        <v>4.097626</v>
      </c>
      <c r="I157" s="269">
        <v>4.1719590000000002</v>
      </c>
      <c r="J157" s="269">
        <v>4.2410829999999997</v>
      </c>
      <c r="K157" s="269">
        <v>4.3058509999999997</v>
      </c>
      <c r="L157" s="269">
        <v>4.3627609999999999</v>
      </c>
      <c r="M157" s="269">
        <v>4.4210929999999999</v>
      </c>
      <c r="N157" s="269">
        <v>4.4727800000000002</v>
      </c>
      <c r="O157" s="269">
        <v>4.5209279999999996</v>
      </c>
      <c r="P157" s="269">
        <v>4.5731520000000003</v>
      </c>
      <c r="Q157" s="269">
        <v>4.6291640000000003</v>
      </c>
      <c r="R157" s="269">
        <v>4.6878130000000002</v>
      </c>
      <c r="S157" s="269">
        <v>4.7462020000000003</v>
      </c>
      <c r="T157" s="269">
        <v>4.8041939999999999</v>
      </c>
      <c r="U157" s="269">
        <v>4.8590020000000003</v>
      </c>
      <c r="V157" s="269">
        <v>4.9137469999999999</v>
      </c>
      <c r="W157" s="269">
        <v>4.9703020000000002</v>
      </c>
      <c r="X157" s="269">
        <v>5.0363410000000002</v>
      </c>
      <c r="Y157" s="269">
        <v>5.1081560000000001</v>
      </c>
      <c r="Z157" s="269">
        <v>5.1772010000000002</v>
      </c>
      <c r="AA157" s="269">
        <v>5.2410680000000003</v>
      </c>
      <c r="AB157" s="269">
        <v>5.3040250000000002</v>
      </c>
      <c r="AC157" s="269">
        <v>5.3662710000000002</v>
      </c>
      <c r="AD157" s="269">
        <v>5.4253349999999996</v>
      </c>
      <c r="AE157" s="269">
        <v>5.4803610000000003</v>
      </c>
      <c r="AF157" s="270">
        <v>1.3302E-2</v>
      </c>
      <c r="AG157" s="271"/>
    </row>
    <row r="158" spans="1:33">
      <c r="A158" s="29"/>
      <c r="B158" s="209" t="s">
        <v>1049</v>
      </c>
      <c r="C158" s="31"/>
      <c r="D158" s="31"/>
      <c r="E158" s="31"/>
      <c r="F158" s="31"/>
      <c r="G158" s="31"/>
      <c r="H158" s="31"/>
      <c r="I158" s="31"/>
      <c r="J158" s="31"/>
      <c r="K158" s="31"/>
      <c r="L158" s="31"/>
      <c r="M158" s="31"/>
      <c r="N158" s="31"/>
      <c r="O158" s="31"/>
      <c r="P158" s="31"/>
      <c r="Q158" s="31"/>
      <c r="R158" s="31"/>
      <c r="S158" s="31"/>
      <c r="T158" s="31"/>
      <c r="U158" s="31"/>
      <c r="V158" s="31"/>
      <c r="W158" s="31"/>
      <c r="X158" s="31"/>
      <c r="Y158" s="31"/>
      <c r="Z158" s="31"/>
      <c r="AA158" s="31"/>
      <c r="AB158" s="31"/>
      <c r="AC158" s="31"/>
      <c r="AD158" s="31"/>
      <c r="AE158" s="31"/>
      <c r="AF158" s="31"/>
      <c r="AG158" s="31"/>
    </row>
    <row r="159" spans="1:33">
      <c r="A159" s="30" t="s">
        <v>544</v>
      </c>
      <c r="B159" s="210" t="s">
        <v>1037</v>
      </c>
      <c r="C159" s="217">
        <v>5.2064019999999998</v>
      </c>
      <c r="D159" s="217">
        <v>5.2888780000000004</v>
      </c>
      <c r="E159" s="217">
        <v>5.3703010000000004</v>
      </c>
      <c r="F159" s="217">
        <v>5.4525410000000001</v>
      </c>
      <c r="G159" s="217">
        <v>5.5382790000000002</v>
      </c>
      <c r="H159" s="217">
        <v>5.627815</v>
      </c>
      <c r="I159" s="217">
        <v>5.7139410000000002</v>
      </c>
      <c r="J159" s="217">
        <v>5.7869250000000001</v>
      </c>
      <c r="K159" s="217">
        <v>5.8481120000000004</v>
      </c>
      <c r="L159" s="217">
        <v>5.9006040000000004</v>
      </c>
      <c r="M159" s="217">
        <v>5.9465589999999997</v>
      </c>
      <c r="N159" s="217">
        <v>5.9845050000000004</v>
      </c>
      <c r="O159" s="217">
        <v>6.0113009999999996</v>
      </c>
      <c r="P159" s="217">
        <v>6.0395349999999999</v>
      </c>
      <c r="Q159" s="217">
        <v>6.0732929999999996</v>
      </c>
      <c r="R159" s="217">
        <v>6.1074250000000001</v>
      </c>
      <c r="S159" s="217">
        <v>6.1398859999999997</v>
      </c>
      <c r="T159" s="217">
        <v>6.1630339999999997</v>
      </c>
      <c r="U159" s="217">
        <v>6.179583</v>
      </c>
      <c r="V159" s="217">
        <v>6.1844590000000004</v>
      </c>
      <c r="W159" s="217">
        <v>6.1998239999999996</v>
      </c>
      <c r="X159" s="217">
        <v>6.2213029999999998</v>
      </c>
      <c r="Y159" s="217">
        <v>6.2479550000000001</v>
      </c>
      <c r="Z159" s="217">
        <v>6.2727950000000003</v>
      </c>
      <c r="AA159" s="217">
        <v>6.2884719999999996</v>
      </c>
      <c r="AB159" s="217">
        <v>6.2973910000000002</v>
      </c>
      <c r="AC159" s="217">
        <v>6.3017019999999997</v>
      </c>
      <c r="AD159" s="217">
        <v>6.2968999999999999</v>
      </c>
      <c r="AE159" s="217">
        <v>6.2831700000000001</v>
      </c>
      <c r="AF159" s="212">
        <v>6.7359999999999998E-3</v>
      </c>
      <c r="AG159" s="31"/>
    </row>
    <row r="160" spans="1:33">
      <c r="A160" s="30" t="s">
        <v>545</v>
      </c>
      <c r="B160" s="210" t="s">
        <v>1038</v>
      </c>
      <c r="C160" s="217">
        <v>4.3720000000000002E-2</v>
      </c>
      <c r="D160" s="217">
        <v>3.9244000000000001E-2</v>
      </c>
      <c r="E160" s="217">
        <v>3.5563999999999998E-2</v>
      </c>
      <c r="F160" s="217">
        <v>3.2551999999999998E-2</v>
      </c>
      <c r="G160" s="217">
        <v>3.0339000000000001E-2</v>
      </c>
      <c r="H160" s="217">
        <v>2.8802999999999999E-2</v>
      </c>
      <c r="I160" s="217">
        <v>2.7737999999999999E-2</v>
      </c>
      <c r="J160" s="217">
        <v>2.6907E-2</v>
      </c>
      <c r="K160" s="217">
        <v>2.6339000000000001E-2</v>
      </c>
      <c r="L160" s="217">
        <v>2.5862E-2</v>
      </c>
      <c r="M160" s="217">
        <v>2.5571E-2</v>
      </c>
      <c r="N160" s="217">
        <v>2.5485000000000001E-2</v>
      </c>
      <c r="O160" s="217">
        <v>2.5562000000000001E-2</v>
      </c>
      <c r="P160" s="217">
        <v>2.5825000000000001E-2</v>
      </c>
      <c r="Q160" s="217">
        <v>2.6147E-2</v>
      </c>
      <c r="R160" s="217">
        <v>2.6608E-2</v>
      </c>
      <c r="S160" s="217">
        <v>2.7149E-2</v>
      </c>
      <c r="T160" s="217">
        <v>2.7682999999999999E-2</v>
      </c>
      <c r="U160" s="217">
        <v>2.8167000000000001E-2</v>
      </c>
      <c r="V160" s="217">
        <v>2.8698999999999999E-2</v>
      </c>
      <c r="W160" s="217">
        <v>2.913E-2</v>
      </c>
      <c r="X160" s="217">
        <v>2.9527000000000001E-2</v>
      </c>
      <c r="Y160" s="217">
        <v>2.9994E-2</v>
      </c>
      <c r="Z160" s="217">
        <v>3.0487E-2</v>
      </c>
      <c r="AA160" s="217">
        <v>3.0977000000000001E-2</v>
      </c>
      <c r="AB160" s="217">
        <v>3.1455999999999998E-2</v>
      </c>
      <c r="AC160" s="217">
        <v>3.1931000000000001E-2</v>
      </c>
      <c r="AD160" s="217">
        <v>3.2369000000000002E-2</v>
      </c>
      <c r="AE160" s="217">
        <v>3.2777000000000001E-2</v>
      </c>
      <c r="AF160" s="212">
        <v>-1.0236E-2</v>
      </c>
      <c r="AG160" s="31"/>
    </row>
    <row r="161" spans="1:33">
      <c r="A161" s="30" t="s">
        <v>546</v>
      </c>
      <c r="B161" s="210" t="s">
        <v>1039</v>
      </c>
      <c r="C161" s="217">
        <v>3.2079999999999999E-3</v>
      </c>
      <c r="D161" s="217">
        <v>3.1340000000000001E-3</v>
      </c>
      <c r="E161" s="217">
        <v>3.0799999999999998E-3</v>
      </c>
      <c r="F161" s="217">
        <v>3.0439999999999998E-3</v>
      </c>
      <c r="G161" s="217">
        <v>3.052E-3</v>
      </c>
      <c r="H161" s="217">
        <v>3.0769999999999999E-3</v>
      </c>
      <c r="I161" s="217">
        <v>3.0990000000000002E-3</v>
      </c>
      <c r="J161" s="217">
        <v>3.0829999999999998E-3</v>
      </c>
      <c r="K161" s="217">
        <v>3.075E-3</v>
      </c>
      <c r="L161" s="217">
        <v>3.068E-3</v>
      </c>
      <c r="M161" s="217">
        <v>3.058E-3</v>
      </c>
      <c r="N161" s="217">
        <v>3.0829999999999998E-3</v>
      </c>
      <c r="O161" s="217">
        <v>3.1280000000000001E-3</v>
      </c>
      <c r="P161" s="217">
        <v>3.1879999999999999E-3</v>
      </c>
      <c r="Q161" s="217">
        <v>3.2569999999999999E-3</v>
      </c>
      <c r="R161" s="217">
        <v>3.3300000000000001E-3</v>
      </c>
      <c r="S161" s="217">
        <v>3.405E-3</v>
      </c>
      <c r="T161" s="217">
        <v>3.4789999999999999E-3</v>
      </c>
      <c r="U161" s="217">
        <v>3.5530000000000002E-3</v>
      </c>
      <c r="V161" s="217">
        <v>3.6229999999999999E-3</v>
      </c>
      <c r="W161" s="217">
        <v>3.6909999999999998E-3</v>
      </c>
      <c r="X161" s="217">
        <v>3.7550000000000001E-3</v>
      </c>
      <c r="Y161" s="217">
        <v>3.8159999999999999E-3</v>
      </c>
      <c r="Z161" s="217">
        <v>3.8709999999999999E-3</v>
      </c>
      <c r="AA161" s="217">
        <v>3.921E-3</v>
      </c>
      <c r="AB161" s="217">
        <v>3.967E-3</v>
      </c>
      <c r="AC161" s="217">
        <v>4.0090000000000004E-3</v>
      </c>
      <c r="AD161" s="217">
        <v>4.0270000000000002E-3</v>
      </c>
      <c r="AE161" s="217">
        <v>4.0179999999999999E-3</v>
      </c>
      <c r="AF161" s="212">
        <v>8.071E-3</v>
      </c>
      <c r="AG161" s="31"/>
    </row>
    <row r="162" spans="1:33">
      <c r="A162" s="30" t="s">
        <v>547</v>
      </c>
      <c r="B162" s="210" t="s">
        <v>1040</v>
      </c>
      <c r="C162" s="217">
        <v>4.9806000000000003E-2</v>
      </c>
      <c r="D162" s="217">
        <v>5.3505999999999998E-2</v>
      </c>
      <c r="E162" s="217">
        <v>5.7007000000000002E-2</v>
      </c>
      <c r="F162" s="217">
        <v>6.0267000000000001E-2</v>
      </c>
      <c r="G162" s="217">
        <v>6.3335000000000002E-2</v>
      </c>
      <c r="H162" s="217">
        <v>6.6187999999999997E-2</v>
      </c>
      <c r="I162" s="217">
        <v>6.8793000000000007E-2</v>
      </c>
      <c r="J162" s="217">
        <v>7.1056999999999995E-2</v>
      </c>
      <c r="K162" s="217">
        <v>7.2950000000000001E-2</v>
      </c>
      <c r="L162" s="217">
        <v>7.4646000000000004E-2</v>
      </c>
      <c r="M162" s="217">
        <v>7.6287999999999995E-2</v>
      </c>
      <c r="N162" s="217">
        <v>7.7964000000000006E-2</v>
      </c>
      <c r="O162" s="217">
        <v>7.9705999999999999E-2</v>
      </c>
      <c r="P162" s="217">
        <v>8.1534999999999996E-2</v>
      </c>
      <c r="Q162" s="217">
        <v>8.3455000000000001E-2</v>
      </c>
      <c r="R162" s="217">
        <v>8.5483000000000003E-2</v>
      </c>
      <c r="S162" s="217">
        <v>8.7620000000000003E-2</v>
      </c>
      <c r="T162" s="217">
        <v>8.9883000000000005E-2</v>
      </c>
      <c r="U162" s="217">
        <v>9.2301999999999995E-2</v>
      </c>
      <c r="V162" s="217">
        <v>9.4889000000000001E-2</v>
      </c>
      <c r="W162" s="217">
        <v>9.7609000000000001E-2</v>
      </c>
      <c r="X162" s="217">
        <v>0.100438</v>
      </c>
      <c r="Y162" s="217">
        <v>0.103409</v>
      </c>
      <c r="Z162" s="217">
        <v>0.106421</v>
      </c>
      <c r="AA162" s="217">
        <v>0.109391</v>
      </c>
      <c r="AB162" s="217">
        <v>0.112428</v>
      </c>
      <c r="AC162" s="217">
        <v>0.11534700000000001</v>
      </c>
      <c r="AD162" s="217">
        <v>0.11822199999999999</v>
      </c>
      <c r="AE162" s="217">
        <v>0.12117</v>
      </c>
      <c r="AF162" s="212">
        <v>3.2260999999999998E-2</v>
      </c>
      <c r="AG162" s="31"/>
    </row>
    <row r="163" spans="1:33">
      <c r="A163" s="30" t="s">
        <v>548</v>
      </c>
      <c r="B163" s="210" t="s">
        <v>1041</v>
      </c>
      <c r="C163" s="217">
        <v>0</v>
      </c>
      <c r="D163" s="217">
        <v>0</v>
      </c>
      <c r="E163" s="217">
        <v>0</v>
      </c>
      <c r="F163" s="217">
        <v>0</v>
      </c>
      <c r="G163" s="217">
        <v>0</v>
      </c>
      <c r="H163" s="217">
        <v>0</v>
      </c>
      <c r="I163" s="217">
        <v>0</v>
      </c>
      <c r="J163" s="217">
        <v>0</v>
      </c>
      <c r="K163" s="217">
        <v>0</v>
      </c>
      <c r="L163" s="217">
        <v>0</v>
      </c>
      <c r="M163" s="217">
        <v>0</v>
      </c>
      <c r="N163" s="217">
        <v>0</v>
      </c>
      <c r="O163" s="217">
        <v>0</v>
      </c>
      <c r="P163" s="217">
        <v>0</v>
      </c>
      <c r="Q163" s="217">
        <v>0</v>
      </c>
      <c r="R163" s="217">
        <v>0</v>
      </c>
      <c r="S163" s="217">
        <v>0</v>
      </c>
      <c r="T163" s="217">
        <v>0</v>
      </c>
      <c r="U163" s="217">
        <v>0</v>
      </c>
      <c r="V163" s="217">
        <v>0</v>
      </c>
      <c r="W163" s="217">
        <v>0</v>
      </c>
      <c r="X163" s="217">
        <v>0</v>
      </c>
      <c r="Y163" s="217">
        <v>0</v>
      </c>
      <c r="Z163" s="217">
        <v>0</v>
      </c>
      <c r="AA163" s="217">
        <v>0</v>
      </c>
      <c r="AB163" s="217">
        <v>0</v>
      </c>
      <c r="AC163" s="217">
        <v>0</v>
      </c>
      <c r="AD163" s="217">
        <v>0</v>
      </c>
      <c r="AE163" s="217">
        <v>0</v>
      </c>
      <c r="AF163" s="212" t="s">
        <v>340</v>
      </c>
      <c r="AG163" s="31"/>
    </row>
    <row r="164" spans="1:33">
      <c r="A164" s="30" t="s">
        <v>549</v>
      </c>
      <c r="B164" s="210" t="s">
        <v>1042</v>
      </c>
      <c r="C164" s="217">
        <v>2.13E-4</v>
      </c>
      <c r="D164" s="217">
        <v>2.5500000000000002E-4</v>
      </c>
      <c r="E164" s="217">
        <v>2.92E-4</v>
      </c>
      <c r="F164" s="217">
        <v>3.2400000000000001E-4</v>
      </c>
      <c r="G164" s="217">
        <v>3.5199999999999999E-4</v>
      </c>
      <c r="H164" s="217">
        <v>3.77E-4</v>
      </c>
      <c r="I164" s="217">
        <v>3.9899999999999999E-4</v>
      </c>
      <c r="J164" s="217">
        <v>4.17E-4</v>
      </c>
      <c r="K164" s="217">
        <v>4.3100000000000001E-4</v>
      </c>
      <c r="L164" s="217">
        <v>4.4200000000000001E-4</v>
      </c>
      <c r="M164" s="217">
        <v>4.5100000000000001E-4</v>
      </c>
      <c r="N164" s="217">
        <v>4.57E-4</v>
      </c>
      <c r="O164" s="217">
        <v>4.6200000000000001E-4</v>
      </c>
      <c r="P164" s="217">
        <v>4.64E-4</v>
      </c>
      <c r="Q164" s="217">
        <v>4.64E-4</v>
      </c>
      <c r="R164" s="217">
        <v>4.6299999999999998E-4</v>
      </c>
      <c r="S164" s="217">
        <v>4.5899999999999999E-4</v>
      </c>
      <c r="T164" s="217">
        <v>4.55E-4</v>
      </c>
      <c r="U164" s="217">
        <v>4.4900000000000002E-4</v>
      </c>
      <c r="V164" s="217">
        <v>4.4200000000000001E-4</v>
      </c>
      <c r="W164" s="217">
        <v>4.3399999999999998E-4</v>
      </c>
      <c r="X164" s="217">
        <v>4.2499999999999998E-4</v>
      </c>
      <c r="Y164" s="217">
        <v>4.15E-4</v>
      </c>
      <c r="Z164" s="217">
        <v>4.0400000000000001E-4</v>
      </c>
      <c r="AA164" s="217">
        <v>3.9300000000000001E-4</v>
      </c>
      <c r="AB164" s="217">
        <v>3.8200000000000002E-4</v>
      </c>
      <c r="AC164" s="217">
        <v>3.6999999999999999E-4</v>
      </c>
      <c r="AD164" s="217">
        <v>3.5799999999999997E-4</v>
      </c>
      <c r="AE164" s="217">
        <v>3.4600000000000001E-4</v>
      </c>
      <c r="AF164" s="212">
        <v>1.7475000000000001E-2</v>
      </c>
      <c r="AG164" s="31"/>
    </row>
    <row r="165" spans="1:33">
      <c r="A165" s="30" t="s">
        <v>550</v>
      </c>
      <c r="B165" s="210" t="s">
        <v>1043</v>
      </c>
      <c r="C165" s="217">
        <v>0</v>
      </c>
      <c r="D165" s="217">
        <v>0</v>
      </c>
      <c r="E165" s="217">
        <v>1.2400000000000001E-4</v>
      </c>
      <c r="F165" s="217">
        <v>2.4699999999999999E-4</v>
      </c>
      <c r="G165" s="217">
        <v>3.7100000000000002E-4</v>
      </c>
      <c r="H165" s="217">
        <v>4.9700000000000005E-4</v>
      </c>
      <c r="I165" s="217">
        <v>6.2600000000000004E-4</v>
      </c>
      <c r="J165" s="217">
        <v>7.54E-4</v>
      </c>
      <c r="K165" s="217">
        <v>8.8099999999999995E-4</v>
      </c>
      <c r="L165" s="217">
        <v>1.0059999999999999E-3</v>
      </c>
      <c r="M165" s="217">
        <v>1.134E-3</v>
      </c>
      <c r="N165" s="217">
        <v>1.266E-3</v>
      </c>
      <c r="O165" s="217">
        <v>1.403E-3</v>
      </c>
      <c r="P165" s="217">
        <v>1.5430000000000001E-3</v>
      </c>
      <c r="Q165" s="217">
        <v>1.689E-3</v>
      </c>
      <c r="R165" s="217">
        <v>1.8400000000000001E-3</v>
      </c>
      <c r="S165" s="217">
        <v>1.9970000000000001E-3</v>
      </c>
      <c r="T165" s="217">
        <v>2.1589999999999999E-3</v>
      </c>
      <c r="U165" s="217">
        <v>2.33E-3</v>
      </c>
      <c r="V165" s="217">
        <v>2.5089999999999999E-3</v>
      </c>
      <c r="W165" s="217">
        <v>2.6970000000000002E-3</v>
      </c>
      <c r="X165" s="217">
        <v>2.8969999999999998E-3</v>
      </c>
      <c r="Y165" s="217">
        <v>3.1080000000000001E-3</v>
      </c>
      <c r="Z165" s="217">
        <v>3.3279999999999998E-3</v>
      </c>
      <c r="AA165" s="217">
        <v>3.5590000000000001E-3</v>
      </c>
      <c r="AB165" s="217">
        <v>3.803E-3</v>
      </c>
      <c r="AC165" s="217">
        <v>4.0629999999999998E-3</v>
      </c>
      <c r="AD165" s="217">
        <v>4.3379999999999998E-3</v>
      </c>
      <c r="AE165" s="217">
        <v>4.6299999999999996E-3</v>
      </c>
      <c r="AF165" s="212" t="s">
        <v>340</v>
      </c>
      <c r="AG165" s="31"/>
    </row>
    <row r="166" spans="1:33">
      <c r="A166" s="30" t="s">
        <v>551</v>
      </c>
      <c r="B166" s="210" t="s">
        <v>1044</v>
      </c>
      <c r="C166" s="217">
        <v>0</v>
      </c>
      <c r="D166" s="217">
        <v>0</v>
      </c>
      <c r="E166" s="217">
        <v>2.7500000000000002E-4</v>
      </c>
      <c r="F166" s="217">
        <v>5.44E-4</v>
      </c>
      <c r="G166" s="217">
        <v>8.0999999999999996E-4</v>
      </c>
      <c r="H166" s="217">
        <v>1.0790000000000001E-3</v>
      </c>
      <c r="I166" s="217">
        <v>1.348E-3</v>
      </c>
      <c r="J166" s="217">
        <v>1.6100000000000001E-3</v>
      </c>
      <c r="K166" s="217">
        <v>1.866E-3</v>
      </c>
      <c r="L166" s="217">
        <v>2.117E-3</v>
      </c>
      <c r="M166" s="217">
        <v>2.3709999999999998E-3</v>
      </c>
      <c r="N166" s="217">
        <v>2.6310000000000001E-3</v>
      </c>
      <c r="O166" s="217">
        <v>2.8960000000000001E-3</v>
      </c>
      <c r="P166" s="217">
        <v>3.166E-3</v>
      </c>
      <c r="Q166" s="217">
        <v>3.4429999999999999E-3</v>
      </c>
      <c r="R166" s="217">
        <v>3.7269999999999998E-3</v>
      </c>
      <c r="S166" s="217">
        <v>4.0179999999999999E-3</v>
      </c>
      <c r="T166" s="217">
        <v>4.3169999999999997E-3</v>
      </c>
      <c r="U166" s="217">
        <v>4.6259999999999999E-3</v>
      </c>
      <c r="V166" s="217">
        <v>4.9480000000000001E-3</v>
      </c>
      <c r="W166" s="217">
        <v>5.2830000000000004E-3</v>
      </c>
      <c r="X166" s="217">
        <v>5.6319999999999999E-3</v>
      </c>
      <c r="Y166" s="217">
        <v>5.9940000000000002E-3</v>
      </c>
      <c r="Z166" s="217">
        <v>6.3629999999999997E-3</v>
      </c>
      <c r="AA166" s="217">
        <v>6.7409999999999996E-3</v>
      </c>
      <c r="AB166" s="217">
        <v>7.1279999999999998E-3</v>
      </c>
      <c r="AC166" s="217">
        <v>7.5269999999999998E-3</v>
      </c>
      <c r="AD166" s="217">
        <v>7.9330000000000008E-3</v>
      </c>
      <c r="AE166" s="217">
        <v>8.3479999999999995E-3</v>
      </c>
      <c r="AF166" s="212" t="s">
        <v>340</v>
      </c>
      <c r="AG166" s="31"/>
    </row>
    <row r="167" spans="1:33">
      <c r="A167" s="30" t="s">
        <v>552</v>
      </c>
      <c r="B167" s="210" t="s">
        <v>1045</v>
      </c>
      <c r="C167" s="217">
        <v>0</v>
      </c>
      <c r="D167" s="217">
        <v>0</v>
      </c>
      <c r="E167" s="217">
        <v>4.0999999999999999E-4</v>
      </c>
      <c r="F167" s="217">
        <v>8.1999999999999998E-4</v>
      </c>
      <c r="G167" s="217">
        <v>1.2359999999999999E-3</v>
      </c>
      <c r="H167" s="217">
        <v>1.6659999999999999E-3</v>
      </c>
      <c r="I167" s="217">
        <v>2.1020000000000001E-3</v>
      </c>
      <c r="J167" s="217">
        <v>2.5360000000000001E-3</v>
      </c>
      <c r="K167" s="217">
        <v>2.9610000000000001E-3</v>
      </c>
      <c r="L167" s="217">
        <v>3.3800000000000002E-3</v>
      </c>
      <c r="M167" s="217">
        <v>3.7989999999999999E-3</v>
      </c>
      <c r="N167" s="217">
        <v>4.2220000000000001E-3</v>
      </c>
      <c r="O167" s="217">
        <v>4.6490000000000004E-3</v>
      </c>
      <c r="P167" s="217">
        <v>5.0800000000000003E-3</v>
      </c>
      <c r="Q167" s="217">
        <v>5.5160000000000001E-3</v>
      </c>
      <c r="R167" s="217">
        <v>5.9569999999999996E-3</v>
      </c>
      <c r="S167" s="217">
        <v>6.404E-3</v>
      </c>
      <c r="T167" s="217">
        <v>6.8560000000000001E-3</v>
      </c>
      <c r="U167" s="217">
        <v>7.3169999999999997E-3</v>
      </c>
      <c r="V167" s="217">
        <v>7.7889999999999999E-3</v>
      </c>
      <c r="W167" s="217">
        <v>8.2699999999999996E-3</v>
      </c>
      <c r="X167" s="217">
        <v>8.7650000000000002E-3</v>
      </c>
      <c r="Y167" s="217">
        <v>9.2700000000000005E-3</v>
      </c>
      <c r="Z167" s="217">
        <v>9.783E-3</v>
      </c>
      <c r="AA167" s="217">
        <v>1.0307E-2</v>
      </c>
      <c r="AB167" s="217">
        <v>1.0848999999999999E-2</v>
      </c>
      <c r="AC167" s="217">
        <v>1.1415E-2</v>
      </c>
      <c r="AD167" s="217">
        <v>1.2005E-2</v>
      </c>
      <c r="AE167" s="217">
        <v>1.2626E-2</v>
      </c>
      <c r="AF167" s="212" t="s">
        <v>340</v>
      </c>
      <c r="AG167" s="31"/>
    </row>
    <row r="168" spans="1:33">
      <c r="A168" s="30" t="s">
        <v>553</v>
      </c>
      <c r="B168" s="210" t="s">
        <v>1050</v>
      </c>
      <c r="C168" s="217">
        <v>5.3033510000000001</v>
      </c>
      <c r="D168" s="217">
        <v>5.3850160000000002</v>
      </c>
      <c r="E168" s="217">
        <v>5.4670500000000004</v>
      </c>
      <c r="F168" s="217">
        <v>5.5503419999999997</v>
      </c>
      <c r="G168" s="217">
        <v>5.6377740000000003</v>
      </c>
      <c r="H168" s="217">
        <v>5.7295040000000004</v>
      </c>
      <c r="I168" s="217">
        <v>5.8180490000000002</v>
      </c>
      <c r="J168" s="217">
        <v>5.8932869999999999</v>
      </c>
      <c r="K168" s="217">
        <v>5.9566129999999999</v>
      </c>
      <c r="L168" s="217">
        <v>6.011126</v>
      </c>
      <c r="M168" s="217">
        <v>6.0592329999999999</v>
      </c>
      <c r="N168" s="217">
        <v>6.0996160000000001</v>
      </c>
      <c r="O168" s="217">
        <v>6.1291029999999997</v>
      </c>
      <c r="P168" s="217">
        <v>6.1603370000000002</v>
      </c>
      <c r="Q168" s="217">
        <v>6.1972659999999999</v>
      </c>
      <c r="R168" s="217">
        <v>6.2348379999999999</v>
      </c>
      <c r="S168" s="217">
        <v>6.2709359999999998</v>
      </c>
      <c r="T168" s="217">
        <v>6.2978690000000004</v>
      </c>
      <c r="U168" s="217">
        <v>6.318327</v>
      </c>
      <c r="V168" s="217">
        <v>6.3273599999999997</v>
      </c>
      <c r="W168" s="217">
        <v>6.3469429999999996</v>
      </c>
      <c r="X168" s="217">
        <v>6.3727369999999999</v>
      </c>
      <c r="Y168" s="217">
        <v>6.4039590000000004</v>
      </c>
      <c r="Z168" s="217">
        <v>6.4334600000000002</v>
      </c>
      <c r="AA168" s="217">
        <v>6.4537589999999998</v>
      </c>
      <c r="AB168" s="217">
        <v>6.4674019999999999</v>
      </c>
      <c r="AC168" s="217">
        <v>6.4763640000000002</v>
      </c>
      <c r="AD168" s="217">
        <v>6.476153</v>
      </c>
      <c r="AE168" s="217">
        <v>6.4670829999999997</v>
      </c>
      <c r="AF168" s="212">
        <v>7.11E-3</v>
      </c>
      <c r="AG168" s="31"/>
    </row>
    <row r="169" spans="1:33">
      <c r="A169" s="30" t="s">
        <v>554</v>
      </c>
      <c r="B169" s="209" t="s">
        <v>555</v>
      </c>
      <c r="C169" s="218">
        <v>13.646018</v>
      </c>
      <c r="D169" s="218">
        <v>13.95327</v>
      </c>
      <c r="E169" s="218">
        <v>14.276797999999999</v>
      </c>
      <c r="F169" s="218">
        <v>14.613163</v>
      </c>
      <c r="G169" s="218">
        <v>14.959908</v>
      </c>
      <c r="H169" s="218">
        <v>15.314479</v>
      </c>
      <c r="I169" s="218">
        <v>15.662544</v>
      </c>
      <c r="J169" s="218">
        <v>15.987280999999999</v>
      </c>
      <c r="K169" s="218">
        <v>16.291819</v>
      </c>
      <c r="L169" s="218">
        <v>16.574141999999998</v>
      </c>
      <c r="M169" s="218">
        <v>16.849737000000001</v>
      </c>
      <c r="N169" s="218">
        <v>17.100439000000001</v>
      </c>
      <c r="O169" s="218">
        <v>17.332543999999999</v>
      </c>
      <c r="P169" s="218">
        <v>17.566399000000001</v>
      </c>
      <c r="Q169" s="218">
        <v>17.811584</v>
      </c>
      <c r="R169" s="218">
        <v>18.061226000000001</v>
      </c>
      <c r="S169" s="218">
        <v>18.309864000000001</v>
      </c>
      <c r="T169" s="218">
        <v>18.546267</v>
      </c>
      <c r="U169" s="218">
        <v>18.770368999999999</v>
      </c>
      <c r="V169" s="218">
        <v>18.986908</v>
      </c>
      <c r="W169" s="218">
        <v>19.213488000000002</v>
      </c>
      <c r="X169" s="218">
        <v>19.465219000000001</v>
      </c>
      <c r="Y169" s="218">
        <v>19.735880000000002</v>
      </c>
      <c r="Z169" s="218">
        <v>19.999655000000001</v>
      </c>
      <c r="AA169" s="218">
        <v>20.24531</v>
      </c>
      <c r="AB169" s="218">
        <v>20.486383</v>
      </c>
      <c r="AC169" s="218">
        <v>20.722092</v>
      </c>
      <c r="AD169" s="218">
        <v>20.936222000000001</v>
      </c>
      <c r="AE169" s="218">
        <v>21.134900999999999</v>
      </c>
      <c r="AF169" s="214">
        <v>1.5747000000000001E-2</v>
      </c>
      <c r="AG169" s="31"/>
    </row>
    <row r="170" spans="1:33">
      <c r="A170" s="29"/>
      <c r="B170" s="31"/>
      <c r="C170" s="31"/>
      <c r="D170" s="31"/>
      <c r="E170" s="31"/>
      <c r="F170" s="31"/>
      <c r="G170" s="31"/>
      <c r="H170" s="31"/>
      <c r="I170" s="31"/>
      <c r="J170" s="31"/>
      <c r="K170" s="31"/>
      <c r="L170" s="31"/>
      <c r="M170" s="31"/>
      <c r="N170" s="31"/>
      <c r="O170" s="31"/>
      <c r="P170" s="31"/>
      <c r="Q170" s="31"/>
      <c r="R170" s="31"/>
      <c r="S170" s="31"/>
      <c r="T170" s="31"/>
      <c r="U170" s="31"/>
      <c r="V170" s="31"/>
      <c r="W170" s="31"/>
      <c r="X170" s="31"/>
      <c r="Y170" s="31"/>
      <c r="Z170" s="31"/>
      <c r="AA170" s="31"/>
      <c r="AB170" s="31"/>
      <c r="AC170" s="31"/>
      <c r="AD170" s="31"/>
      <c r="AE170" s="31"/>
      <c r="AF170" s="31"/>
      <c r="AG170" s="31"/>
    </row>
    <row r="171" spans="1:33">
      <c r="A171" s="29"/>
      <c r="B171" s="209" t="s">
        <v>191</v>
      </c>
      <c r="C171" s="31"/>
      <c r="D171" s="31"/>
      <c r="E171" s="31"/>
      <c r="F171" s="31"/>
      <c r="G171" s="31"/>
      <c r="H171" s="31"/>
      <c r="I171" s="31"/>
      <c r="J171" s="31"/>
      <c r="K171" s="31"/>
      <c r="L171" s="31"/>
      <c r="M171" s="31"/>
      <c r="N171" s="31"/>
      <c r="O171" s="31"/>
      <c r="P171" s="31"/>
      <c r="Q171" s="31"/>
      <c r="R171" s="31"/>
      <c r="S171" s="31"/>
      <c r="T171" s="31"/>
      <c r="U171" s="31"/>
      <c r="V171" s="31"/>
      <c r="W171" s="31"/>
      <c r="X171" s="31"/>
      <c r="Y171" s="31"/>
      <c r="Z171" s="31"/>
      <c r="AA171" s="31"/>
      <c r="AB171" s="31"/>
      <c r="AC171" s="31"/>
      <c r="AD171" s="31"/>
      <c r="AE171" s="31"/>
      <c r="AF171" s="31"/>
      <c r="AG171" s="31"/>
    </row>
    <row r="172" spans="1:33">
      <c r="A172" s="29"/>
      <c r="B172" s="31"/>
      <c r="C172" s="31"/>
      <c r="D172" s="31"/>
      <c r="E172" s="31"/>
      <c r="F172" s="31"/>
      <c r="G172" s="31"/>
      <c r="H172" s="31"/>
      <c r="I172" s="31"/>
      <c r="J172" s="31"/>
      <c r="K172" s="31"/>
      <c r="L172" s="31"/>
      <c r="M172" s="31"/>
      <c r="N172" s="31"/>
      <c r="O172" s="31"/>
      <c r="P172" s="31"/>
      <c r="Q172" s="31"/>
      <c r="R172" s="31"/>
      <c r="S172" s="31"/>
      <c r="T172" s="31"/>
      <c r="U172" s="31"/>
      <c r="V172" s="31"/>
      <c r="W172" s="31"/>
      <c r="X172" s="31"/>
      <c r="Y172" s="31"/>
      <c r="Z172" s="31"/>
      <c r="AA172" s="31"/>
      <c r="AB172" s="31"/>
      <c r="AC172" s="31"/>
      <c r="AD172" s="31"/>
      <c r="AE172" s="31"/>
      <c r="AF172" s="31"/>
      <c r="AG172" s="31"/>
    </row>
    <row r="173" spans="1:33">
      <c r="A173" s="29"/>
      <c r="B173" s="209" t="s">
        <v>490</v>
      </c>
      <c r="C173" s="31"/>
      <c r="D173" s="31"/>
      <c r="E173" s="31"/>
      <c r="F173" s="31"/>
      <c r="G173" s="31"/>
      <c r="H173" s="31"/>
      <c r="I173" s="31"/>
      <c r="J173" s="31"/>
      <c r="K173" s="31"/>
      <c r="L173" s="31"/>
      <c r="M173" s="31"/>
      <c r="N173" s="31"/>
      <c r="O173" s="31"/>
      <c r="P173" s="31"/>
      <c r="Q173" s="31"/>
      <c r="R173" s="31"/>
      <c r="S173" s="31"/>
      <c r="T173" s="31"/>
      <c r="U173" s="31"/>
      <c r="V173" s="31"/>
      <c r="W173" s="31"/>
      <c r="X173" s="31"/>
      <c r="Y173" s="31"/>
      <c r="Z173" s="31"/>
      <c r="AA173" s="31"/>
      <c r="AB173" s="31"/>
      <c r="AC173" s="31"/>
      <c r="AD173" s="31"/>
      <c r="AE173" s="31"/>
      <c r="AF173" s="31"/>
      <c r="AG173" s="31"/>
    </row>
    <row r="174" spans="1:33">
      <c r="A174" s="29"/>
      <c r="B174" s="209" t="s">
        <v>1036</v>
      </c>
      <c r="C174" s="31"/>
      <c r="D174" s="31"/>
      <c r="E174" s="31"/>
      <c r="F174" s="31"/>
      <c r="G174" s="31"/>
      <c r="H174" s="31"/>
      <c r="I174" s="31"/>
      <c r="J174" s="31"/>
      <c r="K174" s="31"/>
      <c r="L174" s="31"/>
      <c r="M174" s="31"/>
      <c r="N174" s="31"/>
      <c r="O174" s="31"/>
      <c r="P174" s="31"/>
      <c r="Q174" s="31"/>
      <c r="R174" s="31"/>
      <c r="S174" s="31"/>
      <c r="T174" s="31"/>
      <c r="U174" s="31"/>
      <c r="V174" s="31"/>
      <c r="W174" s="31"/>
      <c r="X174" s="31"/>
      <c r="Y174" s="31"/>
      <c r="Z174" s="31"/>
      <c r="AA174" s="31"/>
      <c r="AB174" s="31"/>
      <c r="AC174" s="31"/>
      <c r="AD174" s="31"/>
      <c r="AE174" s="31"/>
      <c r="AF174" s="31"/>
      <c r="AG174" s="31"/>
    </row>
    <row r="175" spans="1:33">
      <c r="A175" s="30" t="s">
        <v>556</v>
      </c>
      <c r="B175" s="210" t="s">
        <v>1037</v>
      </c>
      <c r="C175" s="211">
        <v>17.217651</v>
      </c>
      <c r="D175" s="211">
        <v>17.743234999999999</v>
      </c>
      <c r="E175" s="211">
        <v>18.596025000000001</v>
      </c>
      <c r="F175" s="211">
        <v>19.408501000000001</v>
      </c>
      <c r="G175" s="211">
        <v>19.821732999999998</v>
      </c>
      <c r="H175" s="211">
        <v>20.081854</v>
      </c>
      <c r="I175" s="211">
        <v>20.115541</v>
      </c>
      <c r="J175" s="211">
        <v>20.175732</v>
      </c>
      <c r="K175" s="211">
        <v>20.175187999999999</v>
      </c>
      <c r="L175" s="211">
        <v>20.160620000000002</v>
      </c>
      <c r="M175" s="211">
        <v>20.126877</v>
      </c>
      <c r="N175" s="211">
        <v>20.083185</v>
      </c>
      <c r="O175" s="211">
        <v>20.045784000000001</v>
      </c>
      <c r="P175" s="211">
        <v>20.013750000000002</v>
      </c>
      <c r="Q175" s="211">
        <v>19.985996</v>
      </c>
      <c r="R175" s="211">
        <v>19.962015000000001</v>
      </c>
      <c r="S175" s="211">
        <v>19.941241999999999</v>
      </c>
      <c r="T175" s="211">
        <v>19.923152999999999</v>
      </c>
      <c r="U175" s="211">
        <v>19.907523999999999</v>
      </c>
      <c r="V175" s="211">
        <v>19.893719000000001</v>
      </c>
      <c r="W175" s="211">
        <v>19.881819</v>
      </c>
      <c r="X175" s="211">
        <v>19.871511000000002</v>
      </c>
      <c r="Y175" s="211">
        <v>19.862354</v>
      </c>
      <c r="Z175" s="211">
        <v>19.854208</v>
      </c>
      <c r="AA175" s="211">
        <v>19.847239999999999</v>
      </c>
      <c r="AB175" s="211">
        <v>19.841653999999998</v>
      </c>
      <c r="AC175" s="211">
        <v>19.799841000000001</v>
      </c>
      <c r="AD175" s="211">
        <v>19.799527999999999</v>
      </c>
      <c r="AE175" s="211">
        <v>19.801586</v>
      </c>
      <c r="AF175" s="212">
        <v>5.006E-3</v>
      </c>
      <c r="AG175" s="31"/>
    </row>
    <row r="176" spans="1:33">
      <c r="A176" s="30" t="s">
        <v>557</v>
      </c>
      <c r="B176" s="210" t="s">
        <v>1038</v>
      </c>
      <c r="C176" s="211">
        <v>12.59516</v>
      </c>
      <c r="D176" s="211">
        <v>13.424738</v>
      </c>
      <c r="E176" s="211">
        <v>13.843267000000001</v>
      </c>
      <c r="F176" s="211">
        <v>14.275459</v>
      </c>
      <c r="G176" s="211">
        <v>14.428558000000001</v>
      </c>
      <c r="H176" s="211">
        <v>14.685053</v>
      </c>
      <c r="I176" s="211">
        <v>14.690815000000001</v>
      </c>
      <c r="J176" s="211">
        <v>14.856868</v>
      </c>
      <c r="K176" s="211">
        <v>14.931994</v>
      </c>
      <c r="L176" s="211">
        <v>14.986435</v>
      </c>
      <c r="M176" s="211">
        <v>14.919237000000001</v>
      </c>
      <c r="N176" s="211">
        <v>15.001118999999999</v>
      </c>
      <c r="O176" s="211">
        <v>15.069096999999999</v>
      </c>
      <c r="P176" s="211">
        <v>15.113496</v>
      </c>
      <c r="Q176" s="211">
        <v>15.145144</v>
      </c>
      <c r="R176" s="211">
        <v>15.166649</v>
      </c>
      <c r="S176" s="211">
        <v>15.177457</v>
      </c>
      <c r="T176" s="211">
        <v>15.176923</v>
      </c>
      <c r="U176" s="211">
        <v>15.17581</v>
      </c>
      <c r="V176" s="211">
        <v>15.174847</v>
      </c>
      <c r="W176" s="211">
        <v>15.174041000000001</v>
      </c>
      <c r="X176" s="211">
        <v>15.173346</v>
      </c>
      <c r="Y176" s="211">
        <v>15.172763</v>
      </c>
      <c r="Z176" s="211">
        <v>15.172198</v>
      </c>
      <c r="AA176" s="211">
        <v>15.171754</v>
      </c>
      <c r="AB176" s="211">
        <v>15.171353999999999</v>
      </c>
      <c r="AC176" s="211">
        <v>15.171044</v>
      </c>
      <c r="AD176" s="211">
        <v>15.170722</v>
      </c>
      <c r="AE176" s="211">
        <v>15.170489999999999</v>
      </c>
      <c r="AF176" s="212">
        <v>6.6660000000000001E-3</v>
      </c>
      <c r="AG176" s="31"/>
    </row>
    <row r="177" spans="1:33">
      <c r="A177" s="30" t="s">
        <v>558</v>
      </c>
      <c r="B177" s="210" t="s">
        <v>1039</v>
      </c>
      <c r="C177" s="211">
        <v>12.370099</v>
      </c>
      <c r="D177" s="211">
        <v>12.423861</v>
      </c>
      <c r="E177" s="211">
        <v>12.630001999999999</v>
      </c>
      <c r="F177" s="211">
        <v>12.778555000000001</v>
      </c>
      <c r="G177" s="211">
        <v>12.863218</v>
      </c>
      <c r="H177" s="211">
        <v>13.019094000000001</v>
      </c>
      <c r="I177" s="211">
        <v>13.145066</v>
      </c>
      <c r="J177" s="211">
        <v>13.360619</v>
      </c>
      <c r="K177" s="211">
        <v>13.615053</v>
      </c>
      <c r="L177" s="211">
        <v>13.851718</v>
      </c>
      <c r="M177" s="211">
        <v>14.074310000000001</v>
      </c>
      <c r="N177" s="211">
        <v>14.236444000000001</v>
      </c>
      <c r="O177" s="211">
        <v>14.328803000000001</v>
      </c>
      <c r="P177" s="211">
        <v>14.355442</v>
      </c>
      <c r="Q177" s="211">
        <v>14.372279000000001</v>
      </c>
      <c r="R177" s="211">
        <v>14.372299</v>
      </c>
      <c r="S177" s="211">
        <v>14.369871</v>
      </c>
      <c r="T177" s="211">
        <v>14.368024999999999</v>
      </c>
      <c r="U177" s="211">
        <v>14.366300000000001</v>
      </c>
      <c r="V177" s="211">
        <v>14.365119999999999</v>
      </c>
      <c r="W177" s="211">
        <v>14.364024000000001</v>
      </c>
      <c r="X177" s="211">
        <v>14.363379999999999</v>
      </c>
      <c r="Y177" s="211">
        <v>14.362422</v>
      </c>
      <c r="Z177" s="211">
        <v>14.361484000000001</v>
      </c>
      <c r="AA177" s="211">
        <v>14.3536</v>
      </c>
      <c r="AB177" s="211">
        <v>14.353339</v>
      </c>
      <c r="AC177" s="211">
        <v>14.353724</v>
      </c>
      <c r="AD177" s="211">
        <v>14.355268000000001</v>
      </c>
      <c r="AE177" s="211">
        <v>14.357434</v>
      </c>
      <c r="AF177" s="212">
        <v>5.3350000000000003E-3</v>
      </c>
      <c r="AG177" s="31"/>
    </row>
    <row r="178" spans="1:33">
      <c r="A178" s="30" t="s">
        <v>559</v>
      </c>
      <c r="B178" s="210" t="s">
        <v>1040</v>
      </c>
      <c r="C178" s="211">
        <v>12.486860999999999</v>
      </c>
      <c r="D178" s="211">
        <v>12.486863</v>
      </c>
      <c r="E178" s="211">
        <v>12.48686</v>
      </c>
      <c r="F178" s="211">
        <v>12.486863</v>
      </c>
      <c r="G178" s="211">
        <v>12.486863</v>
      </c>
      <c r="H178" s="211">
        <v>12.486863</v>
      </c>
      <c r="I178" s="211">
        <v>12.486860999999999</v>
      </c>
      <c r="J178" s="211">
        <v>12.486864000000001</v>
      </c>
      <c r="K178" s="211">
        <v>12.486863</v>
      </c>
      <c r="L178" s="211">
        <v>12.486863</v>
      </c>
      <c r="M178" s="211">
        <v>12.486863</v>
      </c>
      <c r="N178" s="211">
        <v>12.486863</v>
      </c>
      <c r="O178" s="211">
        <v>12.486860999999999</v>
      </c>
      <c r="P178" s="211">
        <v>12.486860999999999</v>
      </c>
      <c r="Q178" s="211">
        <v>12.486860999999999</v>
      </c>
      <c r="R178" s="211">
        <v>12.486863</v>
      </c>
      <c r="S178" s="211">
        <v>12.48686</v>
      </c>
      <c r="T178" s="211">
        <v>12.48686</v>
      </c>
      <c r="U178" s="211">
        <v>12.486860999999999</v>
      </c>
      <c r="V178" s="211">
        <v>12.48686</v>
      </c>
      <c r="W178" s="211">
        <v>12.486863</v>
      </c>
      <c r="X178" s="211">
        <v>12.486863</v>
      </c>
      <c r="Y178" s="211">
        <v>12.486860999999999</v>
      </c>
      <c r="Z178" s="211">
        <v>12.486863</v>
      </c>
      <c r="AA178" s="211">
        <v>12.48686</v>
      </c>
      <c r="AB178" s="211">
        <v>12.486863</v>
      </c>
      <c r="AC178" s="211">
        <v>12.486860999999999</v>
      </c>
      <c r="AD178" s="211">
        <v>12.486863</v>
      </c>
      <c r="AE178" s="211">
        <v>12.486863</v>
      </c>
      <c r="AF178" s="212">
        <v>0</v>
      </c>
      <c r="AG178" s="31"/>
    </row>
    <row r="179" spans="1:33">
      <c r="A179" s="30" t="s">
        <v>560</v>
      </c>
      <c r="B179" s="210" t="s">
        <v>1041</v>
      </c>
      <c r="C179" s="211">
        <v>12.846411</v>
      </c>
      <c r="D179" s="211">
        <v>13.218121999999999</v>
      </c>
      <c r="E179" s="211">
        <v>13.627822999999999</v>
      </c>
      <c r="F179" s="211">
        <v>14.042638999999999</v>
      </c>
      <c r="G179" s="211">
        <v>14.186604000000001</v>
      </c>
      <c r="H179" s="211">
        <v>14.434004</v>
      </c>
      <c r="I179" s="211">
        <v>14.442583000000001</v>
      </c>
      <c r="J179" s="211">
        <v>14.608980000000001</v>
      </c>
      <c r="K179" s="211">
        <v>14.684302000000001</v>
      </c>
      <c r="L179" s="211">
        <v>14.735426</v>
      </c>
      <c r="M179" s="211">
        <v>14.661357000000001</v>
      </c>
      <c r="N179" s="211">
        <v>14.739395</v>
      </c>
      <c r="O179" s="211">
        <v>14.804073000000001</v>
      </c>
      <c r="P179" s="211">
        <v>14.848421</v>
      </c>
      <c r="Q179" s="211">
        <v>14.881249</v>
      </c>
      <c r="R179" s="211">
        <v>14.904825000000001</v>
      </c>
      <c r="S179" s="211">
        <v>14.916617</v>
      </c>
      <c r="T179" s="211">
        <v>14.917142</v>
      </c>
      <c r="U179" s="211">
        <v>14.915953</v>
      </c>
      <c r="V179" s="211">
        <v>14.915247000000001</v>
      </c>
      <c r="W179" s="211">
        <v>14.914173</v>
      </c>
      <c r="X179" s="211">
        <v>14.913214999999999</v>
      </c>
      <c r="Y179" s="211">
        <v>14.911542000000001</v>
      </c>
      <c r="Z179" s="211">
        <v>14.911346999999999</v>
      </c>
      <c r="AA179" s="211">
        <v>14.910938</v>
      </c>
      <c r="AB179" s="211">
        <v>14.912041</v>
      </c>
      <c r="AC179" s="211">
        <v>14.912226</v>
      </c>
      <c r="AD179" s="211">
        <v>14.913921999999999</v>
      </c>
      <c r="AE179" s="211">
        <v>14.914241000000001</v>
      </c>
      <c r="AF179" s="212">
        <v>5.3449999999999999E-3</v>
      </c>
      <c r="AG179" s="31"/>
    </row>
    <row r="180" spans="1:33">
      <c r="A180" s="30" t="s">
        <v>561</v>
      </c>
      <c r="B180" s="210" t="s">
        <v>1042</v>
      </c>
      <c r="C180" s="211">
        <v>27.219131000000001</v>
      </c>
      <c r="D180" s="211">
        <v>27.246206000000001</v>
      </c>
      <c r="E180" s="211">
        <v>27.281466000000002</v>
      </c>
      <c r="F180" s="211">
        <v>27.325966000000001</v>
      </c>
      <c r="G180" s="211">
        <v>27.380199000000001</v>
      </c>
      <c r="H180" s="211">
        <v>27.443327</v>
      </c>
      <c r="I180" s="211">
        <v>27.474117</v>
      </c>
      <c r="J180" s="211">
        <v>27.529731999999999</v>
      </c>
      <c r="K180" s="211">
        <v>27.583223</v>
      </c>
      <c r="L180" s="211">
        <v>27.632815999999998</v>
      </c>
      <c r="M180" s="211">
        <v>27.676708000000001</v>
      </c>
      <c r="N180" s="211">
        <v>27.703455000000002</v>
      </c>
      <c r="O180" s="211">
        <v>27.712814000000002</v>
      </c>
      <c r="P180" s="211">
        <v>27.721041</v>
      </c>
      <c r="Q180" s="211">
        <v>27.722708000000001</v>
      </c>
      <c r="R180" s="211">
        <v>27.722674999999999</v>
      </c>
      <c r="S180" s="211">
        <v>27.722640999999999</v>
      </c>
      <c r="T180" s="211">
        <v>27.722618000000001</v>
      </c>
      <c r="U180" s="211">
        <v>27.722601000000001</v>
      </c>
      <c r="V180" s="211">
        <v>27.722587999999998</v>
      </c>
      <c r="W180" s="211">
        <v>27.722577999999999</v>
      </c>
      <c r="X180" s="211">
        <v>27.722570000000001</v>
      </c>
      <c r="Y180" s="211">
        <v>27.722560999999999</v>
      </c>
      <c r="Z180" s="211">
        <v>27.722559</v>
      </c>
      <c r="AA180" s="211">
        <v>27.722549000000001</v>
      </c>
      <c r="AB180" s="211">
        <v>27.722548</v>
      </c>
      <c r="AC180" s="211">
        <v>27.722542000000001</v>
      </c>
      <c r="AD180" s="211">
        <v>27.722543999999999</v>
      </c>
      <c r="AE180" s="211">
        <v>27.722542000000001</v>
      </c>
      <c r="AF180" s="212">
        <v>6.5499999999999998E-4</v>
      </c>
      <c r="AG180" s="31"/>
    </row>
    <row r="181" spans="1:33">
      <c r="A181" s="30" t="s">
        <v>562</v>
      </c>
      <c r="B181" s="210" t="s">
        <v>1043</v>
      </c>
      <c r="C181" s="211">
        <v>0</v>
      </c>
      <c r="D181" s="211">
        <v>23.149469</v>
      </c>
      <c r="E181" s="211">
        <v>23.788757</v>
      </c>
      <c r="F181" s="211">
        <v>24.201412000000001</v>
      </c>
      <c r="G181" s="211">
        <v>24.593264000000001</v>
      </c>
      <c r="H181" s="211">
        <v>25.140753</v>
      </c>
      <c r="I181" s="211">
        <v>25.620788999999998</v>
      </c>
      <c r="J181" s="211">
        <v>26.339625999999999</v>
      </c>
      <c r="K181" s="211">
        <v>27.120087000000002</v>
      </c>
      <c r="L181" s="211">
        <v>27.894962</v>
      </c>
      <c r="M181" s="211">
        <v>28.583632999999999</v>
      </c>
      <c r="N181" s="211">
        <v>28.93169</v>
      </c>
      <c r="O181" s="211">
        <v>29.087039999999998</v>
      </c>
      <c r="P181" s="211">
        <v>29.106612999999999</v>
      </c>
      <c r="Q181" s="211">
        <v>29.125404</v>
      </c>
      <c r="R181" s="211">
        <v>29.129776</v>
      </c>
      <c r="S181" s="211">
        <v>29.124500000000001</v>
      </c>
      <c r="T181" s="211">
        <v>29.119802</v>
      </c>
      <c r="U181" s="211">
        <v>29.115503</v>
      </c>
      <c r="V181" s="211">
        <v>29.111118000000001</v>
      </c>
      <c r="W181" s="211">
        <v>29.106992999999999</v>
      </c>
      <c r="X181" s="211">
        <v>29.103442999999999</v>
      </c>
      <c r="Y181" s="211">
        <v>29.100300000000001</v>
      </c>
      <c r="Z181" s="211">
        <v>29.097477000000001</v>
      </c>
      <c r="AA181" s="211">
        <v>29.095098</v>
      </c>
      <c r="AB181" s="211">
        <v>29.093209999999999</v>
      </c>
      <c r="AC181" s="211">
        <v>29.091781999999998</v>
      </c>
      <c r="AD181" s="211">
        <v>29.083096000000001</v>
      </c>
      <c r="AE181" s="211">
        <v>29.086570999999999</v>
      </c>
      <c r="AF181" s="212" t="s">
        <v>340</v>
      </c>
      <c r="AG181" s="31"/>
    </row>
    <row r="182" spans="1:33">
      <c r="A182" s="30" t="s">
        <v>563</v>
      </c>
      <c r="B182" s="210" t="s">
        <v>1044</v>
      </c>
      <c r="C182" s="211">
        <v>0</v>
      </c>
      <c r="D182" s="211">
        <v>18.959845000000001</v>
      </c>
      <c r="E182" s="211">
        <v>19.230974</v>
      </c>
      <c r="F182" s="211">
        <v>19.473016999999999</v>
      </c>
      <c r="G182" s="211">
        <v>19.562275</v>
      </c>
      <c r="H182" s="211">
        <v>19.736988</v>
      </c>
      <c r="I182" s="211">
        <v>19.864495999999999</v>
      </c>
      <c r="J182" s="211">
        <v>20.069866000000001</v>
      </c>
      <c r="K182" s="211">
        <v>20.301096000000001</v>
      </c>
      <c r="L182" s="211">
        <v>20.525687999999999</v>
      </c>
      <c r="M182" s="211">
        <v>20.728285</v>
      </c>
      <c r="N182" s="211">
        <v>20.866682000000001</v>
      </c>
      <c r="O182" s="211">
        <v>20.968336000000001</v>
      </c>
      <c r="P182" s="211">
        <v>21.002409</v>
      </c>
      <c r="Q182" s="211">
        <v>21.046901999999999</v>
      </c>
      <c r="R182" s="211">
        <v>21.067965999999998</v>
      </c>
      <c r="S182" s="211">
        <v>21.064533000000001</v>
      </c>
      <c r="T182" s="211">
        <v>21.062408000000001</v>
      </c>
      <c r="U182" s="211">
        <v>21.060576999999999</v>
      </c>
      <c r="V182" s="211">
        <v>21.057089000000001</v>
      </c>
      <c r="W182" s="211">
        <v>21.059256000000001</v>
      </c>
      <c r="X182" s="211">
        <v>21.063654</v>
      </c>
      <c r="Y182" s="211">
        <v>21.017776000000001</v>
      </c>
      <c r="Z182" s="211">
        <v>21.046399999999998</v>
      </c>
      <c r="AA182" s="211">
        <v>21.070132999999998</v>
      </c>
      <c r="AB182" s="211">
        <v>21.104872</v>
      </c>
      <c r="AC182" s="211">
        <v>21.148212000000001</v>
      </c>
      <c r="AD182" s="211">
        <v>21.199916999999999</v>
      </c>
      <c r="AE182" s="211">
        <v>21.257977</v>
      </c>
      <c r="AF182" s="212" t="s">
        <v>340</v>
      </c>
      <c r="AG182" s="31"/>
    </row>
    <row r="183" spans="1:33">
      <c r="A183" s="30" t="s">
        <v>564</v>
      </c>
      <c r="B183" s="210" t="s">
        <v>1045</v>
      </c>
      <c r="C183" s="211">
        <v>0</v>
      </c>
      <c r="D183" s="211">
        <v>0</v>
      </c>
      <c r="E183" s="211">
        <v>18.589186000000002</v>
      </c>
      <c r="F183" s="211">
        <v>16.244858000000001</v>
      </c>
      <c r="G183" s="211">
        <v>16.244858000000001</v>
      </c>
      <c r="H183" s="211">
        <v>16.244858000000001</v>
      </c>
      <c r="I183" s="211">
        <v>16.244858000000001</v>
      </c>
      <c r="J183" s="211">
        <v>16.244858000000001</v>
      </c>
      <c r="K183" s="211">
        <v>16.244858000000001</v>
      </c>
      <c r="L183" s="211">
        <v>16.244858000000001</v>
      </c>
      <c r="M183" s="211">
        <v>16.244858000000001</v>
      </c>
      <c r="N183" s="211">
        <v>16.244858000000001</v>
      </c>
      <c r="O183" s="211">
        <v>16.244858000000001</v>
      </c>
      <c r="P183" s="211">
        <v>16.244858000000001</v>
      </c>
      <c r="Q183" s="211">
        <v>16.244858000000001</v>
      </c>
      <c r="R183" s="211">
        <v>16.244858000000001</v>
      </c>
      <c r="S183" s="211">
        <v>16.244858000000001</v>
      </c>
      <c r="T183" s="211">
        <v>16.244858000000001</v>
      </c>
      <c r="U183" s="211">
        <v>16.244858000000001</v>
      </c>
      <c r="V183" s="211">
        <v>16.244858000000001</v>
      </c>
      <c r="W183" s="211">
        <v>16.244858000000001</v>
      </c>
      <c r="X183" s="211">
        <v>16.244858000000001</v>
      </c>
      <c r="Y183" s="211">
        <v>16.244858000000001</v>
      </c>
      <c r="Z183" s="211">
        <v>16.244858000000001</v>
      </c>
      <c r="AA183" s="211">
        <v>16.244858000000001</v>
      </c>
      <c r="AB183" s="211">
        <v>16.244858000000001</v>
      </c>
      <c r="AC183" s="211">
        <v>16.244858000000001</v>
      </c>
      <c r="AD183" s="211">
        <v>16.244858000000001</v>
      </c>
      <c r="AE183" s="211">
        <v>16.244858000000001</v>
      </c>
      <c r="AF183" s="212" t="s">
        <v>340</v>
      </c>
      <c r="AG183" s="31"/>
    </row>
    <row r="184" spans="1:33">
      <c r="A184" s="30" t="s">
        <v>565</v>
      </c>
      <c r="B184" s="210" t="s">
        <v>1053</v>
      </c>
      <c r="C184" s="211">
        <v>15.487391000000001</v>
      </c>
      <c r="D184" s="211">
        <v>16.165934</v>
      </c>
      <c r="E184" s="211">
        <v>16.852744999999999</v>
      </c>
      <c r="F184" s="211">
        <v>17.521813999999999</v>
      </c>
      <c r="G184" s="211">
        <v>17.836521000000001</v>
      </c>
      <c r="H184" s="211">
        <v>18.110120999999999</v>
      </c>
      <c r="I184" s="211">
        <v>18.140739</v>
      </c>
      <c r="J184" s="211">
        <v>18.257238000000001</v>
      </c>
      <c r="K184" s="211">
        <v>18.297186</v>
      </c>
      <c r="L184" s="211">
        <v>18.318868999999999</v>
      </c>
      <c r="M184" s="211">
        <v>18.275967000000001</v>
      </c>
      <c r="N184" s="211">
        <v>18.290842000000001</v>
      </c>
      <c r="O184" s="211">
        <v>18.302257999999998</v>
      </c>
      <c r="P184" s="211">
        <v>18.305890999999999</v>
      </c>
      <c r="Q184" s="211">
        <v>18.306034</v>
      </c>
      <c r="R184" s="211">
        <v>18.303612000000001</v>
      </c>
      <c r="S184" s="211">
        <v>18.298258000000001</v>
      </c>
      <c r="T184" s="211">
        <v>18.289453999999999</v>
      </c>
      <c r="U184" s="211">
        <v>18.281590000000001</v>
      </c>
      <c r="V184" s="211">
        <v>18.27459</v>
      </c>
      <c r="W184" s="211">
        <v>18.26857</v>
      </c>
      <c r="X184" s="211">
        <v>18.263286999999998</v>
      </c>
      <c r="Y184" s="211">
        <v>18.258537</v>
      </c>
      <c r="Z184" s="211">
        <v>18.25423</v>
      </c>
      <c r="AA184" s="211">
        <v>18.250519000000001</v>
      </c>
      <c r="AB184" s="211">
        <v>18.247578000000001</v>
      </c>
      <c r="AC184" s="211">
        <v>18.222587999999998</v>
      </c>
      <c r="AD184" s="211">
        <v>18.222778000000002</v>
      </c>
      <c r="AE184" s="211">
        <v>18.224402999999999</v>
      </c>
      <c r="AF184" s="212">
        <v>5.829E-3</v>
      </c>
      <c r="AG184" s="31"/>
    </row>
    <row r="185" spans="1:33">
      <c r="A185" s="29"/>
      <c r="B185" s="209" t="s">
        <v>1047</v>
      </c>
      <c r="C185" s="31"/>
      <c r="D185" s="31"/>
      <c r="E185" s="31"/>
      <c r="F185" s="31"/>
      <c r="G185" s="31"/>
      <c r="H185" s="31"/>
      <c r="I185" s="31"/>
      <c r="J185" s="31"/>
      <c r="K185" s="31"/>
      <c r="L185" s="31"/>
      <c r="M185" s="31"/>
      <c r="N185" s="31"/>
      <c r="O185" s="31"/>
      <c r="P185" s="31"/>
      <c r="Q185" s="31"/>
      <c r="R185" s="31"/>
      <c r="S185" s="31"/>
      <c r="T185" s="31"/>
      <c r="U185" s="31"/>
      <c r="V185" s="31"/>
      <c r="W185" s="31"/>
      <c r="X185" s="31"/>
      <c r="Y185" s="31"/>
      <c r="Z185" s="31"/>
      <c r="AA185" s="31"/>
      <c r="AB185" s="31"/>
      <c r="AC185" s="31"/>
      <c r="AD185" s="31"/>
      <c r="AE185" s="31"/>
      <c r="AF185" s="31"/>
      <c r="AG185" s="31"/>
    </row>
    <row r="186" spans="1:33">
      <c r="A186" s="30" t="s">
        <v>566</v>
      </c>
      <c r="B186" s="210" t="s">
        <v>1037</v>
      </c>
      <c r="C186" s="211">
        <v>10.573097000000001</v>
      </c>
      <c r="D186" s="211">
        <v>11.142485000000001</v>
      </c>
      <c r="E186" s="211">
        <v>11.550504999999999</v>
      </c>
      <c r="F186" s="211">
        <v>11.977176</v>
      </c>
      <c r="G186" s="211">
        <v>12.42301</v>
      </c>
      <c r="H186" s="211">
        <v>12.830263</v>
      </c>
      <c r="I186" s="211">
        <v>12.987424000000001</v>
      </c>
      <c r="J186" s="211">
        <v>13.305011</v>
      </c>
      <c r="K186" s="211">
        <v>13.589658</v>
      </c>
      <c r="L186" s="211">
        <v>13.852079</v>
      </c>
      <c r="M186" s="211">
        <v>13.977544999999999</v>
      </c>
      <c r="N186" s="211">
        <v>13.952327</v>
      </c>
      <c r="O186" s="211">
        <v>13.932137000000001</v>
      </c>
      <c r="P186" s="211">
        <v>13.905892</v>
      </c>
      <c r="Q186" s="211">
        <v>13.899329</v>
      </c>
      <c r="R186" s="211">
        <v>13.892861</v>
      </c>
      <c r="S186" s="211">
        <v>13.886645</v>
      </c>
      <c r="T186" s="211">
        <v>13.880846999999999</v>
      </c>
      <c r="U186" s="211">
        <v>13.875050999999999</v>
      </c>
      <c r="V186" s="211">
        <v>13.869313</v>
      </c>
      <c r="W186" s="211">
        <v>13.864424</v>
      </c>
      <c r="X186" s="211">
        <v>13.860239</v>
      </c>
      <c r="Y186" s="211">
        <v>13.8566</v>
      </c>
      <c r="Z186" s="211">
        <v>13.853432</v>
      </c>
      <c r="AA186" s="211">
        <v>13.850702</v>
      </c>
      <c r="AB186" s="211">
        <v>13.848376999999999</v>
      </c>
      <c r="AC186" s="211">
        <v>13.846394</v>
      </c>
      <c r="AD186" s="211">
        <v>13.844652999999999</v>
      </c>
      <c r="AE186" s="211">
        <v>13.843116999999999</v>
      </c>
      <c r="AF186" s="212">
        <v>9.6710000000000008E-3</v>
      </c>
      <c r="AG186" s="31"/>
    </row>
    <row r="187" spans="1:33">
      <c r="A187" s="30" t="s">
        <v>567</v>
      </c>
      <c r="B187" s="210" t="s">
        <v>1038</v>
      </c>
      <c r="C187" s="211">
        <v>7.5911910000000002</v>
      </c>
      <c r="D187" s="211">
        <v>7.6611630000000002</v>
      </c>
      <c r="E187" s="211">
        <v>7.8782069999999997</v>
      </c>
      <c r="F187" s="211">
        <v>8.1282580000000006</v>
      </c>
      <c r="G187" s="211">
        <v>8.4002669999999995</v>
      </c>
      <c r="H187" s="211">
        <v>8.6649030000000007</v>
      </c>
      <c r="I187" s="211">
        <v>8.7525060000000003</v>
      </c>
      <c r="J187" s="211">
        <v>8.9603819999999992</v>
      </c>
      <c r="K187" s="211">
        <v>9.1422589999999992</v>
      </c>
      <c r="L187" s="211">
        <v>9.3097940000000001</v>
      </c>
      <c r="M187" s="211">
        <v>9.4206289999999999</v>
      </c>
      <c r="N187" s="211">
        <v>9.4643309999999996</v>
      </c>
      <c r="O187" s="211">
        <v>9.4966589999999993</v>
      </c>
      <c r="P187" s="211">
        <v>9.5174789999999998</v>
      </c>
      <c r="Q187" s="211">
        <v>9.5179650000000002</v>
      </c>
      <c r="R187" s="211">
        <v>9.5173430000000003</v>
      </c>
      <c r="S187" s="211">
        <v>9.5168689999999998</v>
      </c>
      <c r="T187" s="211">
        <v>9.5165019999999991</v>
      </c>
      <c r="U187" s="211">
        <v>9.5162209999999998</v>
      </c>
      <c r="V187" s="211">
        <v>9.516</v>
      </c>
      <c r="W187" s="211">
        <v>9.5158260000000006</v>
      </c>
      <c r="X187" s="211">
        <v>9.5156919999999996</v>
      </c>
      <c r="Y187" s="211">
        <v>9.5155860000000008</v>
      </c>
      <c r="Z187" s="211">
        <v>9.5155010000000004</v>
      </c>
      <c r="AA187" s="211">
        <v>9.5154379999999996</v>
      </c>
      <c r="AB187" s="211">
        <v>9.51539</v>
      </c>
      <c r="AC187" s="211">
        <v>9.5153510000000008</v>
      </c>
      <c r="AD187" s="211">
        <v>9.5153219999999994</v>
      </c>
      <c r="AE187" s="211">
        <v>9.5152990000000006</v>
      </c>
      <c r="AF187" s="212">
        <v>8.1010000000000006E-3</v>
      </c>
      <c r="AG187" s="31"/>
    </row>
    <row r="188" spans="1:33">
      <c r="A188" s="30" t="s">
        <v>568</v>
      </c>
      <c r="B188" s="210" t="s">
        <v>1039</v>
      </c>
      <c r="C188" s="211">
        <v>7.1242470000000004</v>
      </c>
      <c r="D188" s="211">
        <v>7.2168130000000001</v>
      </c>
      <c r="E188" s="211">
        <v>7.3563900000000002</v>
      </c>
      <c r="F188" s="211">
        <v>7.5275650000000001</v>
      </c>
      <c r="G188" s="211">
        <v>7.7367249999999999</v>
      </c>
      <c r="H188" s="211">
        <v>7.9800310000000003</v>
      </c>
      <c r="I188" s="211">
        <v>8.1323980000000002</v>
      </c>
      <c r="J188" s="211">
        <v>8.3864009999999993</v>
      </c>
      <c r="K188" s="211">
        <v>8.6378269999999997</v>
      </c>
      <c r="L188" s="211">
        <v>8.8904259999999997</v>
      </c>
      <c r="M188" s="211">
        <v>9.1115209999999998</v>
      </c>
      <c r="N188" s="211">
        <v>9.2799289999999992</v>
      </c>
      <c r="O188" s="211">
        <v>9.3770019999999992</v>
      </c>
      <c r="P188" s="211">
        <v>9.4107590000000005</v>
      </c>
      <c r="Q188" s="211">
        <v>9.4246560000000006</v>
      </c>
      <c r="R188" s="211">
        <v>9.4245020000000004</v>
      </c>
      <c r="S188" s="211">
        <v>9.4241159999999997</v>
      </c>
      <c r="T188" s="211">
        <v>9.4238</v>
      </c>
      <c r="U188" s="211">
        <v>9.4235679999999995</v>
      </c>
      <c r="V188" s="211">
        <v>9.4233779999999996</v>
      </c>
      <c r="W188" s="211">
        <v>9.4232479999999992</v>
      </c>
      <c r="X188" s="211">
        <v>9.4231280000000002</v>
      </c>
      <c r="Y188" s="211">
        <v>9.4230619999999998</v>
      </c>
      <c r="Z188" s="211">
        <v>9.423019</v>
      </c>
      <c r="AA188" s="211">
        <v>9.4229979999999998</v>
      </c>
      <c r="AB188" s="211">
        <v>9.4229979999999998</v>
      </c>
      <c r="AC188" s="211">
        <v>9.4230040000000006</v>
      </c>
      <c r="AD188" s="211">
        <v>9.4230070000000001</v>
      </c>
      <c r="AE188" s="211">
        <v>9.4230029999999996</v>
      </c>
      <c r="AF188" s="212">
        <v>1.0038E-2</v>
      </c>
      <c r="AG188" s="31"/>
    </row>
    <row r="189" spans="1:33">
      <c r="A189" s="30" t="s">
        <v>569</v>
      </c>
      <c r="B189" s="210" t="s">
        <v>1040</v>
      </c>
      <c r="C189" s="211">
        <v>7.292211</v>
      </c>
      <c r="D189" s="211">
        <v>7.4884079999999997</v>
      </c>
      <c r="E189" s="211">
        <v>7.6983680000000003</v>
      </c>
      <c r="F189" s="211">
        <v>7.9397979999999997</v>
      </c>
      <c r="G189" s="211">
        <v>8.1937759999999997</v>
      </c>
      <c r="H189" s="211">
        <v>8.4428420000000006</v>
      </c>
      <c r="I189" s="211">
        <v>8.5494730000000008</v>
      </c>
      <c r="J189" s="211">
        <v>8.7347490000000008</v>
      </c>
      <c r="K189" s="211">
        <v>8.8995069999999998</v>
      </c>
      <c r="L189" s="211">
        <v>9.0537989999999997</v>
      </c>
      <c r="M189" s="211">
        <v>9.1548890000000007</v>
      </c>
      <c r="N189" s="211">
        <v>9.1676400000000005</v>
      </c>
      <c r="O189" s="211">
        <v>9.1625399999999999</v>
      </c>
      <c r="P189" s="211">
        <v>9.1586540000000003</v>
      </c>
      <c r="Q189" s="211">
        <v>9.1556639999999998</v>
      </c>
      <c r="R189" s="211">
        <v>9.1533379999999998</v>
      </c>
      <c r="S189" s="211">
        <v>9.1515199999999997</v>
      </c>
      <c r="T189" s="211">
        <v>9.1500839999999997</v>
      </c>
      <c r="U189" s="211">
        <v>9.1489410000000007</v>
      </c>
      <c r="V189" s="211">
        <v>9.1480250000000005</v>
      </c>
      <c r="W189" s="211">
        <v>9.1472890000000007</v>
      </c>
      <c r="X189" s="211">
        <v>9.1466879999999993</v>
      </c>
      <c r="Y189" s="211">
        <v>9.1461900000000007</v>
      </c>
      <c r="Z189" s="211">
        <v>9.1457750000000004</v>
      </c>
      <c r="AA189" s="211">
        <v>9.1454409999999999</v>
      </c>
      <c r="AB189" s="211">
        <v>9.1451709999999995</v>
      </c>
      <c r="AC189" s="211">
        <v>9.1449479999999994</v>
      </c>
      <c r="AD189" s="211">
        <v>9.1447570000000002</v>
      </c>
      <c r="AE189" s="211">
        <v>9.1445919999999994</v>
      </c>
      <c r="AF189" s="212">
        <v>8.1169999999999992E-3</v>
      </c>
      <c r="AG189" s="31"/>
    </row>
    <row r="190" spans="1:33">
      <c r="A190" s="30" t="s">
        <v>570</v>
      </c>
      <c r="B190" s="210" t="s">
        <v>1041</v>
      </c>
      <c r="C190" s="211">
        <v>7.268243</v>
      </c>
      <c r="D190" s="211">
        <v>7.4635480000000003</v>
      </c>
      <c r="E190" s="211">
        <v>7.6750480000000003</v>
      </c>
      <c r="F190" s="211">
        <v>7.9198219999999999</v>
      </c>
      <c r="G190" s="211">
        <v>8.185416</v>
      </c>
      <c r="H190" s="211">
        <v>8.4430309999999995</v>
      </c>
      <c r="I190" s="211">
        <v>8.5276650000000007</v>
      </c>
      <c r="J190" s="211">
        <v>8.7294079999999994</v>
      </c>
      <c r="K190" s="211">
        <v>8.9058630000000001</v>
      </c>
      <c r="L190" s="211">
        <v>9.0684369999999994</v>
      </c>
      <c r="M190" s="211">
        <v>9.1760070000000002</v>
      </c>
      <c r="N190" s="211">
        <v>9.2184139999999992</v>
      </c>
      <c r="O190" s="211">
        <v>9.2498050000000003</v>
      </c>
      <c r="P190" s="211">
        <v>9.2703319999999998</v>
      </c>
      <c r="Q190" s="211">
        <v>9.2718019999999992</v>
      </c>
      <c r="R190" s="211">
        <v>9.2710109999999997</v>
      </c>
      <c r="S190" s="211">
        <v>9.2704079999999998</v>
      </c>
      <c r="T190" s="211">
        <v>9.269933</v>
      </c>
      <c r="U190" s="211">
        <v>9.2696070000000006</v>
      </c>
      <c r="V190" s="211">
        <v>9.2693589999999997</v>
      </c>
      <c r="W190" s="211">
        <v>9.2692110000000003</v>
      </c>
      <c r="X190" s="211">
        <v>9.2690979999999996</v>
      </c>
      <c r="Y190" s="211">
        <v>9.2690529999999995</v>
      </c>
      <c r="Z190" s="211">
        <v>9.2689599999999999</v>
      </c>
      <c r="AA190" s="211">
        <v>9.2688970000000008</v>
      </c>
      <c r="AB190" s="211">
        <v>9.2687869999999997</v>
      </c>
      <c r="AC190" s="211">
        <v>9.2687290000000004</v>
      </c>
      <c r="AD190" s="211">
        <v>9.2686460000000004</v>
      </c>
      <c r="AE190" s="211">
        <v>9.2686039999999998</v>
      </c>
      <c r="AF190" s="212">
        <v>8.7209999999999996E-3</v>
      </c>
      <c r="AG190" s="31"/>
    </row>
    <row r="191" spans="1:33">
      <c r="A191" s="30" t="s">
        <v>571</v>
      </c>
      <c r="B191" s="210" t="s">
        <v>1042</v>
      </c>
      <c r="C191" s="211">
        <v>17.261649999999999</v>
      </c>
      <c r="D191" s="211">
        <v>17.508261000000001</v>
      </c>
      <c r="E191" s="211">
        <v>17.854417999999999</v>
      </c>
      <c r="F191" s="211">
        <v>18.277363000000001</v>
      </c>
      <c r="G191" s="211">
        <v>18.790918000000001</v>
      </c>
      <c r="H191" s="211">
        <v>19.316697999999999</v>
      </c>
      <c r="I191" s="211">
        <v>19.565182</v>
      </c>
      <c r="J191" s="211">
        <v>20.084275999999999</v>
      </c>
      <c r="K191" s="211">
        <v>20.588906999999999</v>
      </c>
      <c r="L191" s="211">
        <v>21.061657</v>
      </c>
      <c r="M191" s="211">
        <v>21.391763999999998</v>
      </c>
      <c r="N191" s="211">
        <v>21.534663999999999</v>
      </c>
      <c r="O191" s="211">
        <v>21.618568</v>
      </c>
      <c r="P191" s="211">
        <v>21.688912999999999</v>
      </c>
      <c r="Q191" s="211">
        <v>21.743261</v>
      </c>
      <c r="R191" s="211">
        <v>21.778696</v>
      </c>
      <c r="S191" s="211">
        <v>21.801825000000001</v>
      </c>
      <c r="T191" s="211">
        <v>21.804839999999999</v>
      </c>
      <c r="U191" s="211">
        <v>21.806774000000001</v>
      </c>
      <c r="V191" s="211">
        <v>21.808716</v>
      </c>
      <c r="W191" s="211">
        <v>21.810666999999999</v>
      </c>
      <c r="X191" s="211">
        <v>21.812643000000001</v>
      </c>
      <c r="Y191" s="211">
        <v>21.814662999999999</v>
      </c>
      <c r="Z191" s="211">
        <v>21.816706</v>
      </c>
      <c r="AA191" s="211">
        <v>21.818787</v>
      </c>
      <c r="AB191" s="211">
        <v>21.821026</v>
      </c>
      <c r="AC191" s="211">
        <v>21.823440999999999</v>
      </c>
      <c r="AD191" s="211">
        <v>21.825979</v>
      </c>
      <c r="AE191" s="211">
        <v>21.828533</v>
      </c>
      <c r="AF191" s="212">
        <v>8.4180000000000001E-3</v>
      </c>
      <c r="AG191" s="31"/>
    </row>
    <row r="192" spans="1:33">
      <c r="A192" s="30" t="s">
        <v>572</v>
      </c>
      <c r="B192" s="210" t="s">
        <v>1043</v>
      </c>
      <c r="C192" s="211">
        <v>0</v>
      </c>
      <c r="D192" s="211">
        <v>0</v>
      </c>
      <c r="E192" s="211">
        <v>14.553951</v>
      </c>
      <c r="F192" s="211">
        <v>15.06725</v>
      </c>
      <c r="G192" s="211">
        <v>15.341901</v>
      </c>
      <c r="H192" s="211">
        <v>15.710222999999999</v>
      </c>
      <c r="I192" s="211">
        <v>15.970879</v>
      </c>
      <c r="J192" s="211">
        <v>16.342666999999999</v>
      </c>
      <c r="K192" s="211">
        <v>16.697527000000001</v>
      </c>
      <c r="L192" s="211">
        <v>17.096664000000001</v>
      </c>
      <c r="M192" s="211">
        <v>17.514284</v>
      </c>
      <c r="N192" s="211">
        <v>17.923280999999999</v>
      </c>
      <c r="O192" s="211">
        <v>18.248905000000001</v>
      </c>
      <c r="P192" s="211">
        <v>18.335930000000001</v>
      </c>
      <c r="Q192" s="211">
        <v>18.547796000000002</v>
      </c>
      <c r="R192" s="211">
        <v>18.661673</v>
      </c>
      <c r="S192" s="211">
        <v>18.668140000000001</v>
      </c>
      <c r="T192" s="211">
        <v>18.668623</v>
      </c>
      <c r="U192" s="211">
        <v>18.665022</v>
      </c>
      <c r="V192" s="211">
        <v>18.661655</v>
      </c>
      <c r="W192" s="211">
        <v>18.658579</v>
      </c>
      <c r="X192" s="211">
        <v>18.654143999999999</v>
      </c>
      <c r="Y192" s="211">
        <v>18.648935000000002</v>
      </c>
      <c r="Z192" s="211">
        <v>18.644413</v>
      </c>
      <c r="AA192" s="211">
        <v>18.640536999999998</v>
      </c>
      <c r="AB192" s="211">
        <v>18.637250999999999</v>
      </c>
      <c r="AC192" s="211">
        <v>18.63447</v>
      </c>
      <c r="AD192" s="211">
        <v>18.632059000000002</v>
      </c>
      <c r="AE192" s="211">
        <v>18.629958999999999</v>
      </c>
      <c r="AF192" s="212" t="s">
        <v>340</v>
      </c>
      <c r="AG192" s="31"/>
    </row>
    <row r="193" spans="1:33">
      <c r="A193" s="30" t="s">
        <v>573</v>
      </c>
      <c r="B193" s="210" t="s">
        <v>1044</v>
      </c>
      <c r="C193" s="211">
        <v>0</v>
      </c>
      <c r="D193" s="211">
        <v>0</v>
      </c>
      <c r="E193" s="211">
        <v>10.500607</v>
      </c>
      <c r="F193" s="211">
        <v>10.816065</v>
      </c>
      <c r="G193" s="211">
        <v>10.962262000000001</v>
      </c>
      <c r="H193" s="211">
        <v>11.156472000000001</v>
      </c>
      <c r="I193" s="211">
        <v>11.301285999999999</v>
      </c>
      <c r="J193" s="211">
        <v>11.561089000000001</v>
      </c>
      <c r="K193" s="211">
        <v>11.822108999999999</v>
      </c>
      <c r="L193" s="211">
        <v>12.112679</v>
      </c>
      <c r="M193" s="211">
        <v>12.419242000000001</v>
      </c>
      <c r="N193" s="211">
        <v>12.713984999999999</v>
      </c>
      <c r="O193" s="211">
        <v>12.972481999999999</v>
      </c>
      <c r="P193" s="211">
        <v>13.026942</v>
      </c>
      <c r="Q193" s="211">
        <v>13.184941</v>
      </c>
      <c r="R193" s="211">
        <v>13.26976</v>
      </c>
      <c r="S193" s="211">
        <v>13.268578</v>
      </c>
      <c r="T193" s="211">
        <v>13.262771000000001</v>
      </c>
      <c r="U193" s="211">
        <v>13.254457</v>
      </c>
      <c r="V193" s="211">
        <v>13.247040999999999</v>
      </c>
      <c r="W193" s="211">
        <v>13.24062</v>
      </c>
      <c r="X193" s="211">
        <v>13.234921999999999</v>
      </c>
      <c r="Y193" s="211">
        <v>13.230038</v>
      </c>
      <c r="Z193" s="211">
        <v>13.225935</v>
      </c>
      <c r="AA193" s="211">
        <v>13.222815000000001</v>
      </c>
      <c r="AB193" s="211">
        <v>13.220615</v>
      </c>
      <c r="AC193" s="211">
        <v>13.219594000000001</v>
      </c>
      <c r="AD193" s="211">
        <v>13.219208999999999</v>
      </c>
      <c r="AE193" s="211">
        <v>13.183807</v>
      </c>
      <c r="AF193" s="212" t="s">
        <v>340</v>
      </c>
      <c r="AG193" s="31"/>
    </row>
    <row r="194" spans="1:33">
      <c r="A194" s="30" t="s">
        <v>574</v>
      </c>
      <c r="B194" s="210" t="s">
        <v>1045</v>
      </c>
      <c r="C194" s="211">
        <v>0</v>
      </c>
      <c r="D194" s="211">
        <v>0</v>
      </c>
      <c r="E194" s="211">
        <v>11.516576000000001</v>
      </c>
      <c r="F194" s="211">
        <v>11.5169</v>
      </c>
      <c r="G194" s="211">
        <v>11.51685</v>
      </c>
      <c r="H194" s="211">
        <v>11.516837000000001</v>
      </c>
      <c r="I194" s="211">
        <v>11.516859</v>
      </c>
      <c r="J194" s="211">
        <v>11.51688</v>
      </c>
      <c r="K194" s="211">
        <v>11.516907</v>
      </c>
      <c r="L194" s="211">
        <v>11.516935</v>
      </c>
      <c r="M194" s="211">
        <v>11.516961999999999</v>
      </c>
      <c r="N194" s="211">
        <v>11.516977000000001</v>
      </c>
      <c r="O194" s="211">
        <v>11.516978999999999</v>
      </c>
      <c r="P194" s="211">
        <v>11.51695</v>
      </c>
      <c r="Q194" s="211">
        <v>11.51689</v>
      </c>
      <c r="R194" s="211">
        <v>11.516907</v>
      </c>
      <c r="S194" s="211">
        <v>11.516923999999999</v>
      </c>
      <c r="T194" s="211">
        <v>11.516938</v>
      </c>
      <c r="U194" s="211">
        <v>11.516947999999999</v>
      </c>
      <c r="V194" s="211">
        <v>11.516954999999999</v>
      </c>
      <c r="W194" s="211">
        <v>11.516959999999999</v>
      </c>
      <c r="X194" s="211">
        <v>11.516964</v>
      </c>
      <c r="Y194" s="211">
        <v>11.516964</v>
      </c>
      <c r="Z194" s="211">
        <v>11.516968</v>
      </c>
      <c r="AA194" s="211">
        <v>11.516969</v>
      </c>
      <c r="AB194" s="211">
        <v>11.516973</v>
      </c>
      <c r="AC194" s="211">
        <v>11.516973999999999</v>
      </c>
      <c r="AD194" s="211">
        <v>11.516978</v>
      </c>
      <c r="AE194" s="211">
        <v>11.516980999999999</v>
      </c>
      <c r="AF194" s="212" t="s">
        <v>340</v>
      </c>
      <c r="AG194" s="31"/>
    </row>
    <row r="195" spans="1:33">
      <c r="A195" s="30" t="s">
        <v>575</v>
      </c>
      <c r="B195" s="210" t="s">
        <v>1054</v>
      </c>
      <c r="C195" s="211">
        <v>9.5247820000000001</v>
      </c>
      <c r="D195" s="211">
        <v>9.8885430000000003</v>
      </c>
      <c r="E195" s="211">
        <v>10.224921</v>
      </c>
      <c r="F195" s="211">
        <v>10.587244999999999</v>
      </c>
      <c r="G195" s="211">
        <v>10.97054</v>
      </c>
      <c r="H195" s="211">
        <v>11.328587000000001</v>
      </c>
      <c r="I195" s="211">
        <v>11.461983</v>
      </c>
      <c r="J195" s="211">
        <v>11.742497999999999</v>
      </c>
      <c r="K195" s="211">
        <v>11.992036000000001</v>
      </c>
      <c r="L195" s="211">
        <v>12.222080999999999</v>
      </c>
      <c r="M195" s="211">
        <v>12.347753000000001</v>
      </c>
      <c r="N195" s="211">
        <v>12.356037000000001</v>
      </c>
      <c r="O195" s="211">
        <v>12.361373</v>
      </c>
      <c r="P195" s="211">
        <v>12.357457</v>
      </c>
      <c r="Q195" s="211">
        <v>12.355285</v>
      </c>
      <c r="R195" s="211">
        <v>12.352421</v>
      </c>
      <c r="S195" s="211">
        <v>12.349617</v>
      </c>
      <c r="T195" s="211">
        <v>12.34694</v>
      </c>
      <c r="U195" s="211">
        <v>12.344196</v>
      </c>
      <c r="V195" s="211">
        <v>12.341397000000001</v>
      </c>
      <c r="W195" s="211">
        <v>12.33905</v>
      </c>
      <c r="X195" s="211">
        <v>12.337028</v>
      </c>
      <c r="Y195" s="211">
        <v>12.335281999999999</v>
      </c>
      <c r="Z195" s="211">
        <v>12.333774</v>
      </c>
      <c r="AA195" s="211">
        <v>12.332497999999999</v>
      </c>
      <c r="AB195" s="211">
        <v>12.33145</v>
      </c>
      <c r="AC195" s="211">
        <v>12.330605</v>
      </c>
      <c r="AD195" s="211">
        <v>12.329912999999999</v>
      </c>
      <c r="AE195" s="211">
        <v>12.329328</v>
      </c>
      <c r="AF195" s="212">
        <v>9.2599999999999991E-3</v>
      </c>
      <c r="AG195" s="31"/>
    </row>
    <row r="196" spans="1:33">
      <c r="A196" s="29"/>
      <c r="B196" s="209" t="s">
        <v>1049</v>
      </c>
      <c r="C196" s="31"/>
      <c r="D196" s="31"/>
      <c r="E196" s="31"/>
      <c r="F196" s="31"/>
      <c r="G196" s="31"/>
      <c r="H196" s="31"/>
      <c r="I196" s="31"/>
      <c r="J196" s="31"/>
      <c r="K196" s="31"/>
      <c r="L196" s="31"/>
      <c r="M196" s="31"/>
      <c r="N196" s="31"/>
      <c r="O196" s="31"/>
      <c r="P196" s="31"/>
      <c r="Q196" s="31"/>
      <c r="R196" s="31"/>
      <c r="S196" s="31"/>
      <c r="T196" s="31"/>
      <c r="U196" s="31"/>
      <c r="V196" s="31"/>
      <c r="W196" s="31"/>
      <c r="X196" s="31"/>
      <c r="Y196" s="31"/>
      <c r="Z196" s="31"/>
      <c r="AA196" s="31"/>
      <c r="AB196" s="31"/>
      <c r="AC196" s="31"/>
      <c r="AD196" s="31"/>
      <c r="AE196" s="31"/>
      <c r="AF196" s="31"/>
      <c r="AG196" s="31"/>
    </row>
    <row r="197" spans="1:33">
      <c r="A197" s="30" t="s">
        <v>576</v>
      </c>
      <c r="B197" s="210" t="s">
        <v>1037</v>
      </c>
      <c r="C197" s="211">
        <v>6.6741390000000003</v>
      </c>
      <c r="D197" s="211">
        <v>6.8852849999999997</v>
      </c>
      <c r="E197" s="211">
        <v>7.1006530000000003</v>
      </c>
      <c r="F197" s="211">
        <v>7.3028760000000004</v>
      </c>
      <c r="G197" s="211">
        <v>7.4948119999999996</v>
      </c>
      <c r="H197" s="211">
        <v>7.663227</v>
      </c>
      <c r="I197" s="211">
        <v>7.7350300000000001</v>
      </c>
      <c r="J197" s="211">
        <v>7.8437489999999999</v>
      </c>
      <c r="K197" s="211">
        <v>7.9559100000000003</v>
      </c>
      <c r="L197" s="211">
        <v>8.0614980000000003</v>
      </c>
      <c r="M197" s="211">
        <v>8.1245209999999997</v>
      </c>
      <c r="N197" s="211">
        <v>8.1302219999999998</v>
      </c>
      <c r="O197" s="211">
        <v>8.1312309999999997</v>
      </c>
      <c r="P197" s="211">
        <v>8.1314919999999997</v>
      </c>
      <c r="Q197" s="211">
        <v>8.1320390000000007</v>
      </c>
      <c r="R197" s="211">
        <v>8.132225</v>
      </c>
      <c r="S197" s="211">
        <v>8.1321949999999994</v>
      </c>
      <c r="T197" s="211">
        <v>8.1307700000000001</v>
      </c>
      <c r="U197" s="211">
        <v>8.1306799999999999</v>
      </c>
      <c r="V197" s="211">
        <v>8.1299430000000008</v>
      </c>
      <c r="W197" s="211">
        <v>8.1248360000000002</v>
      </c>
      <c r="X197" s="211">
        <v>8.1218679999999992</v>
      </c>
      <c r="Y197" s="211">
        <v>8.1227850000000004</v>
      </c>
      <c r="Z197" s="211">
        <v>8.1243200000000009</v>
      </c>
      <c r="AA197" s="211">
        <v>8.1272590000000005</v>
      </c>
      <c r="AB197" s="211">
        <v>8.1302529999999997</v>
      </c>
      <c r="AC197" s="211">
        <v>8.1340679999999992</v>
      </c>
      <c r="AD197" s="211">
        <v>8.1372649999999993</v>
      </c>
      <c r="AE197" s="211">
        <v>8.1407100000000003</v>
      </c>
      <c r="AF197" s="212">
        <v>7.1190000000000003E-3</v>
      </c>
      <c r="AG197" s="31"/>
    </row>
    <row r="198" spans="1:33">
      <c r="A198" s="30" t="s">
        <v>577</v>
      </c>
      <c r="B198" s="210" t="s">
        <v>1038</v>
      </c>
      <c r="C198" s="211">
        <v>6.9596289999999996</v>
      </c>
      <c r="D198" s="211">
        <v>5.9529370000000004</v>
      </c>
      <c r="E198" s="211">
        <v>6.0073610000000004</v>
      </c>
      <c r="F198" s="211">
        <v>6.0720479999999997</v>
      </c>
      <c r="G198" s="211">
        <v>6.1373980000000001</v>
      </c>
      <c r="H198" s="211">
        <v>6.2228519999999996</v>
      </c>
      <c r="I198" s="211">
        <v>6.2788729999999999</v>
      </c>
      <c r="J198" s="211">
        <v>6.3708169999999997</v>
      </c>
      <c r="K198" s="211">
        <v>6.4585290000000004</v>
      </c>
      <c r="L198" s="211">
        <v>6.5475839999999996</v>
      </c>
      <c r="M198" s="211">
        <v>6.6296109999999997</v>
      </c>
      <c r="N198" s="211">
        <v>6.6995250000000004</v>
      </c>
      <c r="O198" s="211">
        <v>6.7108980000000003</v>
      </c>
      <c r="P198" s="211">
        <v>6.7106630000000003</v>
      </c>
      <c r="Q198" s="211">
        <v>6.7066330000000001</v>
      </c>
      <c r="R198" s="211">
        <v>6.7053219999999998</v>
      </c>
      <c r="S198" s="211">
        <v>6.7082680000000003</v>
      </c>
      <c r="T198" s="211">
        <v>6.711773</v>
      </c>
      <c r="U198" s="211">
        <v>6.7035689999999999</v>
      </c>
      <c r="V198" s="211">
        <v>6.7096999999999998</v>
      </c>
      <c r="W198" s="211">
        <v>6.7159459999999997</v>
      </c>
      <c r="X198" s="211">
        <v>6.7233270000000003</v>
      </c>
      <c r="Y198" s="211">
        <v>6.7327940000000002</v>
      </c>
      <c r="Z198" s="211">
        <v>6.7314930000000004</v>
      </c>
      <c r="AA198" s="211">
        <v>6.7413860000000003</v>
      </c>
      <c r="AB198" s="211">
        <v>6.7536569999999996</v>
      </c>
      <c r="AC198" s="211">
        <v>6.7673569999999996</v>
      </c>
      <c r="AD198" s="211">
        <v>6.7780480000000001</v>
      </c>
      <c r="AE198" s="211">
        <v>6.7935040000000004</v>
      </c>
      <c r="AF198" s="212">
        <v>-8.6200000000000003E-4</v>
      </c>
      <c r="AG198" s="31"/>
    </row>
    <row r="199" spans="1:33">
      <c r="A199" s="30" t="s">
        <v>578</v>
      </c>
      <c r="B199" s="210" t="s">
        <v>1039</v>
      </c>
      <c r="C199" s="211">
        <v>6.8185469999999997</v>
      </c>
      <c r="D199" s="211">
        <v>5.9032249999999999</v>
      </c>
      <c r="E199" s="211">
        <v>5.9652900000000004</v>
      </c>
      <c r="F199" s="211">
        <v>6.0359860000000003</v>
      </c>
      <c r="G199" s="211">
        <v>6.1126189999999996</v>
      </c>
      <c r="H199" s="211">
        <v>6.2137469999999997</v>
      </c>
      <c r="I199" s="211">
        <v>6.279903</v>
      </c>
      <c r="J199" s="211">
        <v>6.3897709999999996</v>
      </c>
      <c r="K199" s="211">
        <v>6.5028079999999999</v>
      </c>
      <c r="L199" s="211">
        <v>6.6191000000000004</v>
      </c>
      <c r="M199" s="211">
        <v>6.7335399999999996</v>
      </c>
      <c r="N199" s="211">
        <v>6.8337839999999996</v>
      </c>
      <c r="O199" s="211">
        <v>6.8738299999999999</v>
      </c>
      <c r="P199" s="211">
        <v>6.8977680000000001</v>
      </c>
      <c r="Q199" s="211">
        <v>6.9141079999999997</v>
      </c>
      <c r="R199" s="211">
        <v>6.9316990000000001</v>
      </c>
      <c r="S199" s="211">
        <v>6.9468240000000003</v>
      </c>
      <c r="T199" s="211">
        <v>6.9481419999999998</v>
      </c>
      <c r="U199" s="211">
        <v>6.9544230000000002</v>
      </c>
      <c r="V199" s="211">
        <v>6.9588419999999998</v>
      </c>
      <c r="W199" s="211">
        <v>6.9626419999999998</v>
      </c>
      <c r="X199" s="211">
        <v>6.9627559999999997</v>
      </c>
      <c r="Y199" s="211">
        <v>6.967187</v>
      </c>
      <c r="Z199" s="211">
        <v>6.9683719999999996</v>
      </c>
      <c r="AA199" s="211">
        <v>6.9689730000000001</v>
      </c>
      <c r="AB199" s="211">
        <v>6.9715740000000004</v>
      </c>
      <c r="AC199" s="211">
        <v>6.9744000000000002</v>
      </c>
      <c r="AD199" s="211">
        <v>6.9764480000000004</v>
      </c>
      <c r="AE199" s="211">
        <v>6.9796610000000001</v>
      </c>
      <c r="AF199" s="212">
        <v>8.34E-4</v>
      </c>
      <c r="AG199" s="31"/>
    </row>
    <row r="200" spans="1:33">
      <c r="A200" s="30" t="s">
        <v>579</v>
      </c>
      <c r="B200" s="210" t="s">
        <v>1040</v>
      </c>
      <c r="C200" s="211">
        <v>6.2555990000000001</v>
      </c>
      <c r="D200" s="211">
        <v>6.4593990000000003</v>
      </c>
      <c r="E200" s="211">
        <v>6.6792319999999998</v>
      </c>
      <c r="F200" s="211">
        <v>6.8722630000000002</v>
      </c>
      <c r="G200" s="211">
        <v>7.0303750000000003</v>
      </c>
      <c r="H200" s="211">
        <v>7.197673</v>
      </c>
      <c r="I200" s="211">
        <v>7.2429790000000001</v>
      </c>
      <c r="J200" s="211">
        <v>7.3378269999999999</v>
      </c>
      <c r="K200" s="211">
        <v>7.4347209999999997</v>
      </c>
      <c r="L200" s="211">
        <v>7.5286330000000001</v>
      </c>
      <c r="M200" s="211">
        <v>7.5792349999999997</v>
      </c>
      <c r="N200" s="211">
        <v>7.5904689999999997</v>
      </c>
      <c r="O200" s="211">
        <v>7.592085</v>
      </c>
      <c r="P200" s="211">
        <v>7.5954969999999999</v>
      </c>
      <c r="Q200" s="211">
        <v>7.5945070000000001</v>
      </c>
      <c r="R200" s="211">
        <v>7.5939490000000003</v>
      </c>
      <c r="S200" s="211">
        <v>7.5919169999999996</v>
      </c>
      <c r="T200" s="211">
        <v>7.5879479999999999</v>
      </c>
      <c r="U200" s="211">
        <v>7.5832319999999998</v>
      </c>
      <c r="V200" s="211">
        <v>7.5789249999999999</v>
      </c>
      <c r="W200" s="211">
        <v>7.5766530000000003</v>
      </c>
      <c r="X200" s="211">
        <v>7.5721049999999996</v>
      </c>
      <c r="Y200" s="211">
        <v>7.5735400000000004</v>
      </c>
      <c r="Z200" s="211">
        <v>7.5757190000000003</v>
      </c>
      <c r="AA200" s="211">
        <v>7.5675840000000001</v>
      </c>
      <c r="AB200" s="211">
        <v>7.5741889999999996</v>
      </c>
      <c r="AC200" s="211">
        <v>7.5766689999999999</v>
      </c>
      <c r="AD200" s="211">
        <v>7.5783950000000004</v>
      </c>
      <c r="AE200" s="211">
        <v>7.5872270000000004</v>
      </c>
      <c r="AF200" s="212">
        <v>6.9160000000000003E-3</v>
      </c>
      <c r="AG200" s="31"/>
    </row>
    <row r="201" spans="1:33">
      <c r="A201" s="30" t="s">
        <v>580</v>
      </c>
      <c r="B201" s="210" t="s">
        <v>1041</v>
      </c>
      <c r="C201" s="211">
        <v>0</v>
      </c>
      <c r="D201" s="211">
        <v>0</v>
      </c>
      <c r="E201" s="211">
        <v>0</v>
      </c>
      <c r="F201" s="211">
        <v>0</v>
      </c>
      <c r="G201" s="211">
        <v>0</v>
      </c>
      <c r="H201" s="211">
        <v>0</v>
      </c>
      <c r="I201" s="211">
        <v>0</v>
      </c>
      <c r="J201" s="211">
        <v>0</v>
      </c>
      <c r="K201" s="211">
        <v>0</v>
      </c>
      <c r="L201" s="211">
        <v>0</v>
      </c>
      <c r="M201" s="211">
        <v>0</v>
      </c>
      <c r="N201" s="211">
        <v>0</v>
      </c>
      <c r="O201" s="211">
        <v>0</v>
      </c>
      <c r="P201" s="211">
        <v>0</v>
      </c>
      <c r="Q201" s="211">
        <v>0</v>
      </c>
      <c r="R201" s="211">
        <v>0</v>
      </c>
      <c r="S201" s="211">
        <v>0</v>
      </c>
      <c r="T201" s="211">
        <v>0</v>
      </c>
      <c r="U201" s="211">
        <v>0</v>
      </c>
      <c r="V201" s="211">
        <v>0</v>
      </c>
      <c r="W201" s="211">
        <v>0</v>
      </c>
      <c r="X201" s="211">
        <v>0</v>
      </c>
      <c r="Y201" s="211">
        <v>0</v>
      </c>
      <c r="Z201" s="211">
        <v>0</v>
      </c>
      <c r="AA201" s="211">
        <v>0</v>
      </c>
      <c r="AB201" s="211">
        <v>0</v>
      </c>
      <c r="AC201" s="211">
        <v>0</v>
      </c>
      <c r="AD201" s="211">
        <v>0</v>
      </c>
      <c r="AE201" s="211">
        <v>0</v>
      </c>
      <c r="AF201" s="212" t="s">
        <v>340</v>
      </c>
      <c r="AG201" s="31"/>
    </row>
    <row r="202" spans="1:33">
      <c r="A202" s="30" t="s">
        <v>581</v>
      </c>
      <c r="B202" s="210" t="s">
        <v>1042</v>
      </c>
      <c r="C202" s="211">
        <v>10.834061999999999</v>
      </c>
      <c r="D202" s="211">
        <v>10.882393</v>
      </c>
      <c r="E202" s="211">
        <v>10.964416999999999</v>
      </c>
      <c r="F202" s="211">
        <v>11.061455</v>
      </c>
      <c r="G202" s="211">
        <v>11.153900999999999</v>
      </c>
      <c r="H202" s="211">
        <v>11.253285</v>
      </c>
      <c r="I202" s="211">
        <v>11.296942</v>
      </c>
      <c r="J202" s="211">
        <v>11.379332</v>
      </c>
      <c r="K202" s="211">
        <v>11.454438</v>
      </c>
      <c r="L202" s="211">
        <v>11.507104</v>
      </c>
      <c r="M202" s="211">
        <v>11.546773</v>
      </c>
      <c r="N202" s="211">
        <v>11.565410999999999</v>
      </c>
      <c r="O202" s="211">
        <v>11.569518</v>
      </c>
      <c r="P202" s="211">
        <v>11.570686</v>
      </c>
      <c r="Q202" s="211">
        <v>11.571607</v>
      </c>
      <c r="R202" s="211">
        <v>11.572569</v>
      </c>
      <c r="S202" s="211">
        <v>11.573530999999999</v>
      </c>
      <c r="T202" s="211">
        <v>11.574866</v>
      </c>
      <c r="U202" s="211">
        <v>11.57612</v>
      </c>
      <c r="V202" s="211">
        <v>11.575917</v>
      </c>
      <c r="W202" s="211">
        <v>11.578455</v>
      </c>
      <c r="X202" s="211">
        <v>11.581327</v>
      </c>
      <c r="Y202" s="211">
        <v>11.584543</v>
      </c>
      <c r="Z202" s="211">
        <v>11.58811</v>
      </c>
      <c r="AA202" s="211">
        <v>11.592025</v>
      </c>
      <c r="AB202" s="211">
        <v>11.596264</v>
      </c>
      <c r="AC202" s="211">
        <v>11.600784000000001</v>
      </c>
      <c r="AD202" s="211">
        <v>11.605504</v>
      </c>
      <c r="AE202" s="211">
        <v>11.610388</v>
      </c>
      <c r="AF202" s="212">
        <v>2.4750000000000002E-3</v>
      </c>
      <c r="AG202" s="31"/>
    </row>
    <row r="203" spans="1:33">
      <c r="A203" s="30" t="s">
        <v>582</v>
      </c>
      <c r="B203" s="210" t="s">
        <v>1043</v>
      </c>
      <c r="C203" s="211">
        <v>0</v>
      </c>
      <c r="D203" s="211">
        <v>0</v>
      </c>
      <c r="E203" s="211">
        <v>1.546108</v>
      </c>
      <c r="F203" s="211">
        <v>9.1605530000000002</v>
      </c>
      <c r="G203" s="211">
        <v>9.3005800000000001</v>
      </c>
      <c r="H203" s="211">
        <v>9.4671909999999997</v>
      </c>
      <c r="I203" s="211">
        <v>9.5727759999999993</v>
      </c>
      <c r="J203" s="211">
        <v>9.7524759999999997</v>
      </c>
      <c r="K203" s="211">
        <v>9.9656310000000001</v>
      </c>
      <c r="L203" s="211">
        <v>10.195888999999999</v>
      </c>
      <c r="M203" s="211">
        <v>10.426992</v>
      </c>
      <c r="N203" s="211">
        <v>10.635256999999999</v>
      </c>
      <c r="O203" s="211">
        <v>10.808609000000001</v>
      </c>
      <c r="P203" s="211">
        <v>10.854663</v>
      </c>
      <c r="Q203" s="211">
        <v>10.974729</v>
      </c>
      <c r="R203" s="211">
        <v>11.053928000000001</v>
      </c>
      <c r="S203" s="211">
        <v>11.057185</v>
      </c>
      <c r="T203" s="211">
        <v>11.058393000000001</v>
      </c>
      <c r="U203" s="211">
        <v>11.058843</v>
      </c>
      <c r="V203" s="211">
        <v>11.059227999999999</v>
      </c>
      <c r="W203" s="211">
        <v>11.059545999999999</v>
      </c>
      <c r="X203" s="211">
        <v>11.059043000000001</v>
      </c>
      <c r="Y203" s="211">
        <v>11.057752000000001</v>
      </c>
      <c r="Z203" s="211">
        <v>11.056799</v>
      </c>
      <c r="AA203" s="211">
        <v>11.056058999999999</v>
      </c>
      <c r="AB203" s="211">
        <v>11.055630000000001</v>
      </c>
      <c r="AC203" s="211">
        <v>11.055448999999999</v>
      </c>
      <c r="AD203" s="211">
        <v>11.055422999999999</v>
      </c>
      <c r="AE203" s="211">
        <v>11.055533</v>
      </c>
      <c r="AF203" s="212" t="s">
        <v>340</v>
      </c>
      <c r="AG203" s="31"/>
    </row>
    <row r="204" spans="1:33">
      <c r="A204" s="30" t="s">
        <v>583</v>
      </c>
      <c r="B204" s="210" t="s">
        <v>1044</v>
      </c>
      <c r="C204" s="211">
        <v>0</v>
      </c>
      <c r="D204" s="211">
        <v>0</v>
      </c>
      <c r="E204" s="211">
        <v>1.475894</v>
      </c>
      <c r="F204" s="211">
        <v>9.1378389999999996</v>
      </c>
      <c r="G204" s="211">
        <v>9.2392439999999993</v>
      </c>
      <c r="H204" s="211">
        <v>9.3649430000000002</v>
      </c>
      <c r="I204" s="211">
        <v>9.4529390000000006</v>
      </c>
      <c r="J204" s="211">
        <v>9.6037499999999998</v>
      </c>
      <c r="K204" s="211">
        <v>9.7867789999999992</v>
      </c>
      <c r="L204" s="211">
        <v>9.9874130000000001</v>
      </c>
      <c r="M204" s="211">
        <v>10.191250999999999</v>
      </c>
      <c r="N204" s="211">
        <v>10.398272</v>
      </c>
      <c r="O204" s="211">
        <v>10.578143000000001</v>
      </c>
      <c r="P204" s="211">
        <v>10.638639</v>
      </c>
      <c r="Q204" s="211">
        <v>10.754894</v>
      </c>
      <c r="R204" s="211">
        <v>10.829401000000001</v>
      </c>
      <c r="S204" s="211">
        <v>10.826708999999999</v>
      </c>
      <c r="T204" s="211">
        <v>10.823515</v>
      </c>
      <c r="U204" s="211">
        <v>10.820962</v>
      </c>
      <c r="V204" s="211">
        <v>10.818721999999999</v>
      </c>
      <c r="W204" s="211">
        <v>10.816976</v>
      </c>
      <c r="X204" s="211">
        <v>10.815467999999999</v>
      </c>
      <c r="Y204" s="211">
        <v>10.814412000000001</v>
      </c>
      <c r="Z204" s="211">
        <v>10.81321</v>
      </c>
      <c r="AA204" s="211">
        <v>10.812366000000001</v>
      </c>
      <c r="AB204" s="211">
        <v>10.811446</v>
      </c>
      <c r="AC204" s="211">
        <v>10.811028</v>
      </c>
      <c r="AD204" s="211">
        <v>10.810542</v>
      </c>
      <c r="AE204" s="211">
        <v>10.81532</v>
      </c>
      <c r="AF204" s="212" t="s">
        <v>340</v>
      </c>
      <c r="AG204" s="31"/>
    </row>
    <row r="205" spans="1:33">
      <c r="A205" s="30" t="s">
        <v>584</v>
      </c>
      <c r="B205" s="210" t="s">
        <v>1045</v>
      </c>
      <c r="C205" s="211">
        <v>0</v>
      </c>
      <c r="D205" s="211">
        <v>0</v>
      </c>
      <c r="E205" s="211">
        <v>7.1006340000000003</v>
      </c>
      <c r="F205" s="211">
        <v>7.1107129999999996</v>
      </c>
      <c r="G205" s="211">
        <v>7.1105650000000002</v>
      </c>
      <c r="H205" s="211">
        <v>7.1104979999999998</v>
      </c>
      <c r="I205" s="211">
        <v>7.1103259999999997</v>
      </c>
      <c r="J205" s="211">
        <v>7.1101960000000002</v>
      </c>
      <c r="K205" s="211">
        <v>7.1098470000000002</v>
      </c>
      <c r="L205" s="211">
        <v>7.1094480000000004</v>
      </c>
      <c r="M205" s="211">
        <v>7.1093760000000001</v>
      </c>
      <c r="N205" s="211">
        <v>7.1094819999999999</v>
      </c>
      <c r="O205" s="211">
        <v>7.1096539999999999</v>
      </c>
      <c r="P205" s="211">
        <v>7.1098749999999997</v>
      </c>
      <c r="Q205" s="211">
        <v>7.1101169999999998</v>
      </c>
      <c r="R205" s="211">
        <v>7.110366</v>
      </c>
      <c r="S205" s="211">
        <v>7.110633</v>
      </c>
      <c r="T205" s="211">
        <v>7.1109080000000002</v>
      </c>
      <c r="U205" s="211">
        <v>7.1111890000000004</v>
      </c>
      <c r="V205" s="211">
        <v>7.1114670000000002</v>
      </c>
      <c r="W205" s="211">
        <v>7.1117710000000001</v>
      </c>
      <c r="X205" s="211">
        <v>7.112063</v>
      </c>
      <c r="Y205" s="211">
        <v>7.1123690000000002</v>
      </c>
      <c r="Z205" s="211">
        <v>7.1126670000000001</v>
      </c>
      <c r="AA205" s="211">
        <v>7.1129499999999997</v>
      </c>
      <c r="AB205" s="211">
        <v>7.1132410000000004</v>
      </c>
      <c r="AC205" s="211">
        <v>7.113537</v>
      </c>
      <c r="AD205" s="211">
        <v>7.1138349999999999</v>
      </c>
      <c r="AE205" s="211">
        <v>7.1141290000000001</v>
      </c>
      <c r="AF205" s="212" t="s">
        <v>340</v>
      </c>
      <c r="AG205" s="31"/>
    </row>
    <row r="206" spans="1:33">
      <c r="A206" s="30" t="s">
        <v>585</v>
      </c>
      <c r="B206" s="210" t="s">
        <v>1055</v>
      </c>
      <c r="C206" s="211">
        <v>6.6682579999999998</v>
      </c>
      <c r="D206" s="211">
        <v>6.8778709999999998</v>
      </c>
      <c r="E206" s="211">
        <v>7.093121</v>
      </c>
      <c r="F206" s="211">
        <v>7.29514</v>
      </c>
      <c r="G206" s="211">
        <v>7.4865729999999999</v>
      </c>
      <c r="H206" s="211">
        <v>7.6551429999999998</v>
      </c>
      <c r="I206" s="211">
        <v>7.7268739999999996</v>
      </c>
      <c r="J206" s="211">
        <v>7.8356810000000001</v>
      </c>
      <c r="K206" s="211">
        <v>7.9478730000000004</v>
      </c>
      <c r="L206" s="211">
        <v>8.0532990000000009</v>
      </c>
      <c r="M206" s="211">
        <v>8.1160700000000006</v>
      </c>
      <c r="N206" s="211">
        <v>8.1216530000000002</v>
      </c>
      <c r="O206" s="211">
        <v>8.1223130000000001</v>
      </c>
      <c r="P206" s="211">
        <v>8.1222189999999994</v>
      </c>
      <c r="Q206" s="211">
        <v>8.1223200000000002</v>
      </c>
      <c r="R206" s="211">
        <v>8.1220510000000008</v>
      </c>
      <c r="S206" s="211">
        <v>8.1215309999999992</v>
      </c>
      <c r="T206" s="211">
        <v>8.1195880000000002</v>
      </c>
      <c r="U206" s="211">
        <v>8.1188830000000003</v>
      </c>
      <c r="V206" s="211">
        <v>8.1175420000000003</v>
      </c>
      <c r="W206" s="211">
        <v>8.1119409999999998</v>
      </c>
      <c r="X206" s="211">
        <v>8.1083350000000003</v>
      </c>
      <c r="Y206" s="211">
        <v>8.1086290000000005</v>
      </c>
      <c r="Z206" s="211">
        <v>8.1095199999999998</v>
      </c>
      <c r="AA206" s="211">
        <v>8.1115200000000005</v>
      </c>
      <c r="AB206" s="211">
        <v>8.1139039999999998</v>
      </c>
      <c r="AC206" s="211">
        <v>8.1169639999999994</v>
      </c>
      <c r="AD206" s="211">
        <v>8.1193819999999999</v>
      </c>
      <c r="AE206" s="211">
        <v>8.1222469999999998</v>
      </c>
      <c r="AF206" s="212">
        <v>7.0689999999999998E-3</v>
      </c>
      <c r="AG206" s="31"/>
    </row>
    <row r="207" spans="1:33">
      <c r="A207" s="30" t="s">
        <v>586</v>
      </c>
      <c r="B207" s="209" t="s">
        <v>522</v>
      </c>
      <c r="C207" s="213">
        <v>7.9143220000000003</v>
      </c>
      <c r="D207" s="213">
        <v>8.2052589999999999</v>
      </c>
      <c r="E207" s="213">
        <v>8.5296900000000004</v>
      </c>
      <c r="F207" s="213">
        <v>8.8359380000000005</v>
      </c>
      <c r="G207" s="213">
        <v>9.0870700000000006</v>
      </c>
      <c r="H207" s="213">
        <v>9.2903500000000001</v>
      </c>
      <c r="I207" s="213">
        <v>9.3778360000000003</v>
      </c>
      <c r="J207" s="213">
        <v>9.5450739999999996</v>
      </c>
      <c r="K207" s="213">
        <v>9.7218040000000006</v>
      </c>
      <c r="L207" s="213">
        <v>9.8842239999999997</v>
      </c>
      <c r="M207" s="213">
        <v>9.9741850000000003</v>
      </c>
      <c r="N207" s="213">
        <v>9.9937349999999991</v>
      </c>
      <c r="O207" s="213">
        <v>10.014434</v>
      </c>
      <c r="P207" s="213">
        <v>10.036740999999999</v>
      </c>
      <c r="Q207" s="213">
        <v>10.062286</v>
      </c>
      <c r="R207" s="213">
        <v>10.086017</v>
      </c>
      <c r="S207" s="213">
        <v>10.112781999999999</v>
      </c>
      <c r="T207" s="213">
        <v>10.137606</v>
      </c>
      <c r="U207" s="213">
        <v>10.162179999999999</v>
      </c>
      <c r="V207" s="213">
        <v>10.179931</v>
      </c>
      <c r="W207" s="213">
        <v>10.198067999999999</v>
      </c>
      <c r="X207" s="213">
        <v>10.214041</v>
      </c>
      <c r="Y207" s="213">
        <v>10.242611</v>
      </c>
      <c r="Z207" s="213">
        <v>10.288869</v>
      </c>
      <c r="AA207" s="213">
        <v>10.332796999999999</v>
      </c>
      <c r="AB207" s="213">
        <v>10.365648999999999</v>
      </c>
      <c r="AC207" s="213">
        <v>10.388572999999999</v>
      </c>
      <c r="AD207" s="213">
        <v>10.421341999999999</v>
      </c>
      <c r="AE207" s="213">
        <v>10.451606999999999</v>
      </c>
      <c r="AF207" s="214">
        <v>9.9810000000000003E-3</v>
      </c>
      <c r="AG207" s="31"/>
    </row>
    <row r="208" spans="1:33">
      <c r="A208" s="29"/>
      <c r="B208" s="31"/>
      <c r="C208" s="31"/>
      <c r="D208" s="31"/>
      <c r="E208" s="31"/>
      <c r="F208" s="31"/>
      <c r="G208" s="31"/>
      <c r="H208" s="31"/>
      <c r="I208" s="31"/>
      <c r="J208" s="31"/>
      <c r="K208" s="31"/>
      <c r="L208" s="31"/>
      <c r="M208" s="31"/>
      <c r="N208" s="31"/>
      <c r="O208" s="31"/>
      <c r="P208" s="31"/>
      <c r="Q208" s="31"/>
      <c r="R208" s="31"/>
      <c r="S208" s="31"/>
      <c r="T208" s="31"/>
      <c r="U208" s="31"/>
      <c r="V208" s="31"/>
      <c r="W208" s="31"/>
      <c r="X208" s="31"/>
      <c r="Y208" s="31"/>
      <c r="Z208" s="31"/>
      <c r="AA208" s="31"/>
      <c r="AB208" s="31"/>
      <c r="AC208" s="31"/>
      <c r="AD208" s="31"/>
      <c r="AE208" s="31"/>
      <c r="AF208" s="31"/>
      <c r="AG208" s="31"/>
    </row>
    <row r="209" spans="1:33">
      <c r="A209" s="29"/>
      <c r="B209" s="209" t="s">
        <v>587</v>
      </c>
      <c r="C209" s="31"/>
      <c r="D209" s="31"/>
      <c r="E209" s="31"/>
      <c r="F209" s="31"/>
      <c r="G209" s="31"/>
      <c r="H209" s="31"/>
      <c r="I209" s="31"/>
      <c r="J209" s="31"/>
      <c r="K209" s="31"/>
      <c r="L209" s="31"/>
      <c r="M209" s="31"/>
      <c r="N209" s="31"/>
      <c r="O209" s="31"/>
      <c r="P209" s="31"/>
      <c r="Q209" s="31"/>
      <c r="R209" s="31"/>
      <c r="S209" s="31"/>
      <c r="T209" s="31"/>
      <c r="U209" s="31"/>
      <c r="V209" s="31"/>
      <c r="W209" s="31"/>
      <c r="X209" s="31"/>
      <c r="Y209" s="31"/>
      <c r="Z209" s="31"/>
      <c r="AA209" s="31"/>
      <c r="AB209" s="31"/>
      <c r="AC209" s="31"/>
      <c r="AD209" s="31"/>
      <c r="AE209" s="31"/>
      <c r="AF209" s="31"/>
      <c r="AG209" s="31"/>
    </row>
    <row r="210" spans="1:33">
      <c r="A210" s="29"/>
      <c r="B210" s="209" t="s">
        <v>1036</v>
      </c>
      <c r="C210" s="31"/>
      <c r="D210" s="31"/>
      <c r="E210" s="31"/>
      <c r="F210" s="31"/>
      <c r="G210" s="31"/>
      <c r="H210" s="31"/>
      <c r="I210" s="31"/>
      <c r="J210" s="31"/>
      <c r="K210" s="31"/>
      <c r="L210" s="31"/>
      <c r="M210" s="31"/>
      <c r="N210" s="31"/>
      <c r="O210" s="31"/>
      <c r="P210" s="31"/>
      <c r="Q210" s="31"/>
      <c r="R210" s="31"/>
      <c r="S210" s="31"/>
      <c r="T210" s="31"/>
      <c r="U210" s="31"/>
      <c r="V210" s="31"/>
      <c r="W210" s="31"/>
      <c r="X210" s="31"/>
      <c r="Y210" s="31"/>
      <c r="Z210" s="31"/>
      <c r="AA210" s="31"/>
      <c r="AB210" s="31"/>
      <c r="AC210" s="31"/>
      <c r="AD210" s="31"/>
      <c r="AE210" s="31"/>
      <c r="AF210" s="31"/>
      <c r="AG210" s="31"/>
    </row>
    <row r="211" spans="1:33">
      <c r="A211" s="30" t="s">
        <v>588</v>
      </c>
      <c r="B211" s="210" t="s">
        <v>1037</v>
      </c>
      <c r="C211" s="211">
        <v>136.77049299999999</v>
      </c>
      <c r="D211" s="211">
        <v>142.56779499999999</v>
      </c>
      <c r="E211" s="211">
        <v>150.771683</v>
      </c>
      <c r="F211" s="211">
        <v>157.08109999999999</v>
      </c>
      <c r="G211" s="211">
        <v>160.30355800000001</v>
      </c>
      <c r="H211" s="211">
        <v>162.00412</v>
      </c>
      <c r="I211" s="211">
        <v>163.38394199999999</v>
      </c>
      <c r="J211" s="211">
        <v>165.319534</v>
      </c>
      <c r="K211" s="211">
        <v>166.83865399999999</v>
      </c>
      <c r="L211" s="211">
        <v>168.393936</v>
      </c>
      <c r="M211" s="211">
        <v>170.32385300000001</v>
      </c>
      <c r="N211" s="211">
        <v>171.88102699999999</v>
      </c>
      <c r="O211" s="211">
        <v>174.06727599999999</v>
      </c>
      <c r="P211" s="211">
        <v>177.34086600000001</v>
      </c>
      <c r="Q211" s="211">
        <v>181.10180700000001</v>
      </c>
      <c r="R211" s="211">
        <v>184.59545900000001</v>
      </c>
      <c r="S211" s="211">
        <v>188.38859600000001</v>
      </c>
      <c r="T211" s="211">
        <v>191.97610499999999</v>
      </c>
      <c r="U211" s="211">
        <v>195.80365</v>
      </c>
      <c r="V211" s="211">
        <v>198.572205</v>
      </c>
      <c r="W211" s="211">
        <v>201.28009</v>
      </c>
      <c r="X211" s="211">
        <v>203.783401</v>
      </c>
      <c r="Y211" s="211">
        <v>206.34025600000001</v>
      </c>
      <c r="Z211" s="211">
        <v>210.204849</v>
      </c>
      <c r="AA211" s="211">
        <v>213.990906</v>
      </c>
      <c r="AB211" s="211">
        <v>217.19418300000001</v>
      </c>
      <c r="AC211" s="211">
        <v>219.837097</v>
      </c>
      <c r="AD211" s="211">
        <v>223.46331799999999</v>
      </c>
      <c r="AE211" s="211">
        <v>227.60270700000001</v>
      </c>
      <c r="AF211" s="212">
        <v>1.8356000000000001E-2</v>
      </c>
      <c r="AG211" s="31"/>
    </row>
    <row r="212" spans="1:33">
      <c r="A212" s="30" t="s">
        <v>589</v>
      </c>
      <c r="B212" s="210" t="s">
        <v>1038</v>
      </c>
      <c r="C212" s="211">
        <v>103.59671</v>
      </c>
      <c r="D212" s="211">
        <v>106.848747</v>
      </c>
      <c r="E212" s="211">
        <v>111.904686</v>
      </c>
      <c r="F212" s="211">
        <v>115.554222</v>
      </c>
      <c r="G212" s="211">
        <v>116.96676600000001</v>
      </c>
      <c r="H212" s="211">
        <v>117.32727800000001</v>
      </c>
      <c r="I212" s="211">
        <v>117.518852</v>
      </c>
      <c r="J212" s="211">
        <v>118.16703</v>
      </c>
      <c r="K212" s="211">
        <v>118.568787</v>
      </c>
      <c r="L212" s="211">
        <v>119.044769</v>
      </c>
      <c r="M212" s="211">
        <v>119.82862900000001</v>
      </c>
      <c r="N212" s="211">
        <v>120.389702</v>
      </c>
      <c r="O212" s="211">
        <v>121.42692599999999</v>
      </c>
      <c r="P212" s="211">
        <v>123.25087000000001</v>
      </c>
      <c r="Q212" s="211">
        <v>125.43590500000001</v>
      </c>
      <c r="R212" s="211">
        <v>127.456306</v>
      </c>
      <c r="S212" s="211">
        <v>129.702652</v>
      </c>
      <c r="T212" s="211">
        <v>131.82530199999999</v>
      </c>
      <c r="U212" s="211">
        <v>134.129547</v>
      </c>
      <c r="V212" s="211">
        <v>135.72537199999999</v>
      </c>
      <c r="W212" s="211">
        <v>137.29719499999999</v>
      </c>
      <c r="X212" s="211">
        <v>138.74612400000001</v>
      </c>
      <c r="Y212" s="211">
        <v>140.24710099999999</v>
      </c>
      <c r="Z212" s="211">
        <v>142.65003999999999</v>
      </c>
      <c r="AA212" s="211">
        <v>145.01057399999999</v>
      </c>
      <c r="AB212" s="211">
        <v>146.987076</v>
      </c>
      <c r="AC212" s="211">
        <v>148.59549000000001</v>
      </c>
      <c r="AD212" s="211">
        <v>150.87861599999999</v>
      </c>
      <c r="AE212" s="211">
        <v>153.516571</v>
      </c>
      <c r="AF212" s="212">
        <v>1.4146000000000001E-2</v>
      </c>
      <c r="AG212" s="31"/>
    </row>
    <row r="213" spans="1:33">
      <c r="A213" s="30" t="s">
        <v>590</v>
      </c>
      <c r="B213" s="210" t="s">
        <v>1039</v>
      </c>
      <c r="C213" s="211">
        <v>0</v>
      </c>
      <c r="D213" s="211">
        <v>0.27569399999999999</v>
      </c>
      <c r="E213" s="211">
        <v>0.28487499999999999</v>
      </c>
      <c r="F213" s="211">
        <v>0.28564000000000001</v>
      </c>
      <c r="G213" s="211">
        <v>0.29235</v>
      </c>
      <c r="H213" s="211">
        <v>0.29807899999999998</v>
      </c>
      <c r="I213" s="211">
        <v>0.303676</v>
      </c>
      <c r="J213" s="211">
        <v>0.31213600000000002</v>
      </c>
      <c r="K213" s="211">
        <v>0.32277899999999998</v>
      </c>
      <c r="L213" s="211">
        <v>0.33666600000000002</v>
      </c>
      <c r="M213" s="211">
        <v>0.35173100000000002</v>
      </c>
      <c r="N213" s="211">
        <v>0.36679499999999998</v>
      </c>
      <c r="O213" s="211">
        <v>0.38325999999999999</v>
      </c>
      <c r="P213" s="211">
        <v>0.40495500000000001</v>
      </c>
      <c r="Q213" s="211">
        <v>0.43248700000000001</v>
      </c>
      <c r="R213" s="211">
        <v>0.46502100000000002</v>
      </c>
      <c r="S213" s="211">
        <v>0.50168199999999996</v>
      </c>
      <c r="T213" s="211">
        <v>0.54403000000000001</v>
      </c>
      <c r="U213" s="211">
        <v>0.59080999999999995</v>
      </c>
      <c r="V213" s="211">
        <v>0.64069900000000002</v>
      </c>
      <c r="W213" s="211">
        <v>0.693214</v>
      </c>
      <c r="X213" s="211">
        <v>0.75207100000000005</v>
      </c>
      <c r="Y213" s="211">
        <v>0.81472999999999995</v>
      </c>
      <c r="Z213" s="211">
        <v>0.88600299999999999</v>
      </c>
      <c r="AA213" s="211">
        <v>0.95893600000000001</v>
      </c>
      <c r="AB213" s="211">
        <v>1.030097</v>
      </c>
      <c r="AC213" s="211">
        <v>1.0986610000000001</v>
      </c>
      <c r="AD213" s="211">
        <v>1.166161</v>
      </c>
      <c r="AE213" s="211">
        <v>1.234235</v>
      </c>
      <c r="AF213" s="212" t="s">
        <v>340</v>
      </c>
      <c r="AG213" s="31"/>
    </row>
    <row r="214" spans="1:33">
      <c r="A214" s="30" t="s">
        <v>591</v>
      </c>
      <c r="B214" s="210" t="s">
        <v>1040</v>
      </c>
      <c r="C214" s="211">
        <v>0</v>
      </c>
      <c r="D214" s="211">
        <v>0</v>
      </c>
      <c r="E214" s="211">
        <v>0</v>
      </c>
      <c r="F214" s="211">
        <v>0</v>
      </c>
      <c r="G214" s="211">
        <v>0</v>
      </c>
      <c r="H214" s="211">
        <v>0</v>
      </c>
      <c r="I214" s="211">
        <v>0</v>
      </c>
      <c r="J214" s="211">
        <v>0</v>
      </c>
      <c r="K214" s="211">
        <v>0</v>
      </c>
      <c r="L214" s="211">
        <v>0</v>
      </c>
      <c r="M214" s="211">
        <v>0</v>
      </c>
      <c r="N214" s="211">
        <v>0</v>
      </c>
      <c r="O214" s="211">
        <v>0</v>
      </c>
      <c r="P214" s="211">
        <v>0</v>
      </c>
      <c r="Q214" s="211">
        <v>0</v>
      </c>
      <c r="R214" s="211">
        <v>0</v>
      </c>
      <c r="S214" s="211">
        <v>0</v>
      </c>
      <c r="T214" s="211">
        <v>0</v>
      </c>
      <c r="U214" s="211">
        <v>0</v>
      </c>
      <c r="V214" s="211">
        <v>0</v>
      </c>
      <c r="W214" s="211">
        <v>0</v>
      </c>
      <c r="X214" s="211">
        <v>0</v>
      </c>
      <c r="Y214" s="211">
        <v>0</v>
      </c>
      <c r="Z214" s="211">
        <v>0</v>
      </c>
      <c r="AA214" s="211">
        <v>0</v>
      </c>
      <c r="AB214" s="211">
        <v>0</v>
      </c>
      <c r="AC214" s="211">
        <v>0</v>
      </c>
      <c r="AD214" s="211">
        <v>0</v>
      </c>
      <c r="AE214" s="211">
        <v>0</v>
      </c>
      <c r="AF214" s="212" t="s">
        <v>340</v>
      </c>
      <c r="AG214" s="31"/>
    </row>
    <row r="215" spans="1:33">
      <c r="A215" s="30" t="s">
        <v>592</v>
      </c>
      <c r="B215" s="210" t="s">
        <v>1041</v>
      </c>
      <c r="C215" s="211">
        <v>11.755768</v>
      </c>
      <c r="D215" s="211">
        <v>11.862360000000001</v>
      </c>
      <c r="E215" s="211">
        <v>12.543434</v>
      </c>
      <c r="F215" s="211">
        <v>12.408045</v>
      </c>
      <c r="G215" s="211">
        <v>12.201530999999999</v>
      </c>
      <c r="H215" s="211">
        <v>12.086430999999999</v>
      </c>
      <c r="I215" s="211">
        <v>11.693008000000001</v>
      </c>
      <c r="J215" s="211">
        <v>11.609571000000001</v>
      </c>
      <c r="K215" s="211">
        <v>11.587203000000001</v>
      </c>
      <c r="L215" s="211">
        <v>11.766098</v>
      </c>
      <c r="M215" s="211">
        <v>11.835867</v>
      </c>
      <c r="N215" s="211">
        <v>12.092966000000001</v>
      </c>
      <c r="O215" s="211">
        <v>12.317826999999999</v>
      </c>
      <c r="P215" s="211">
        <v>12.631629</v>
      </c>
      <c r="Q215" s="211">
        <v>12.885059999999999</v>
      </c>
      <c r="R215" s="211">
        <v>13.143001999999999</v>
      </c>
      <c r="S215" s="211">
        <v>13.377981</v>
      </c>
      <c r="T215" s="211">
        <v>13.633929999999999</v>
      </c>
      <c r="U215" s="211">
        <v>13.884437</v>
      </c>
      <c r="V215" s="211">
        <v>14.094258</v>
      </c>
      <c r="W215" s="211">
        <v>14.300129999999999</v>
      </c>
      <c r="X215" s="211">
        <v>14.546765000000001</v>
      </c>
      <c r="Y215" s="211">
        <v>14.697861</v>
      </c>
      <c r="Z215" s="211">
        <v>14.965305000000001</v>
      </c>
      <c r="AA215" s="211">
        <v>15.107173</v>
      </c>
      <c r="AB215" s="211">
        <v>15.276312000000001</v>
      </c>
      <c r="AC215" s="211">
        <v>15.38072</v>
      </c>
      <c r="AD215" s="211">
        <v>15.579879</v>
      </c>
      <c r="AE215" s="211">
        <v>15.731930999999999</v>
      </c>
      <c r="AF215" s="212">
        <v>1.0460000000000001E-2</v>
      </c>
      <c r="AG215" s="31"/>
    </row>
    <row r="216" spans="1:33">
      <c r="A216" s="30" t="s">
        <v>593</v>
      </c>
      <c r="B216" s="210" t="s">
        <v>1042</v>
      </c>
      <c r="C216" s="211">
        <v>0</v>
      </c>
      <c r="D216" s="211">
        <v>0</v>
      </c>
      <c r="E216" s="211">
        <v>0</v>
      </c>
      <c r="F216" s="211">
        <v>0</v>
      </c>
      <c r="G216" s="211">
        <v>0</v>
      </c>
      <c r="H216" s="211">
        <v>0</v>
      </c>
      <c r="I216" s="211">
        <v>0</v>
      </c>
      <c r="J216" s="211">
        <v>0</v>
      </c>
      <c r="K216" s="211">
        <v>0</v>
      </c>
      <c r="L216" s="211">
        <v>0</v>
      </c>
      <c r="M216" s="211">
        <v>0</v>
      </c>
      <c r="N216" s="211">
        <v>0</v>
      </c>
      <c r="O216" s="211">
        <v>0</v>
      </c>
      <c r="P216" s="211">
        <v>0</v>
      </c>
      <c r="Q216" s="211">
        <v>0</v>
      </c>
      <c r="R216" s="211">
        <v>0</v>
      </c>
      <c r="S216" s="211">
        <v>0</v>
      </c>
      <c r="T216" s="211">
        <v>0</v>
      </c>
      <c r="U216" s="211">
        <v>0</v>
      </c>
      <c r="V216" s="211">
        <v>0</v>
      </c>
      <c r="W216" s="211">
        <v>0</v>
      </c>
      <c r="X216" s="211">
        <v>0</v>
      </c>
      <c r="Y216" s="211">
        <v>0</v>
      </c>
      <c r="Z216" s="211">
        <v>0</v>
      </c>
      <c r="AA216" s="211">
        <v>0</v>
      </c>
      <c r="AB216" s="211">
        <v>0</v>
      </c>
      <c r="AC216" s="211">
        <v>0</v>
      </c>
      <c r="AD216" s="211">
        <v>0</v>
      </c>
      <c r="AE216" s="211">
        <v>0</v>
      </c>
      <c r="AF216" s="212" t="s">
        <v>340</v>
      </c>
      <c r="AG216" s="31"/>
    </row>
    <row r="217" spans="1:33">
      <c r="A217" s="30" t="s">
        <v>594</v>
      </c>
      <c r="B217" s="210" t="s">
        <v>1043</v>
      </c>
      <c r="C217" s="211">
        <v>0</v>
      </c>
      <c r="D217" s="211">
        <v>0.31605299999999997</v>
      </c>
      <c r="E217" s="211">
        <v>0.33107700000000001</v>
      </c>
      <c r="F217" s="211">
        <v>0.34040199999999998</v>
      </c>
      <c r="G217" s="211">
        <v>0.349107</v>
      </c>
      <c r="H217" s="211">
        <v>0.35911599999999999</v>
      </c>
      <c r="I217" s="211">
        <v>0.37227199999999999</v>
      </c>
      <c r="J217" s="211">
        <v>0.39096999999999998</v>
      </c>
      <c r="K217" s="211">
        <v>0.41283500000000001</v>
      </c>
      <c r="L217" s="211">
        <v>0.43845699999999999</v>
      </c>
      <c r="M217" s="211">
        <v>0.46888299999999999</v>
      </c>
      <c r="N217" s="211">
        <v>0.50065899999999997</v>
      </c>
      <c r="O217" s="211">
        <v>0.53854100000000005</v>
      </c>
      <c r="P217" s="211">
        <v>0.585642</v>
      </c>
      <c r="Q217" s="211">
        <v>0.64264399999999999</v>
      </c>
      <c r="R217" s="211">
        <v>0.70755999999999997</v>
      </c>
      <c r="S217" s="211">
        <v>0.78264699999999998</v>
      </c>
      <c r="T217" s="211">
        <v>0.86579399999999995</v>
      </c>
      <c r="U217" s="211">
        <v>0.95799100000000004</v>
      </c>
      <c r="V217" s="211">
        <v>1.0510919999999999</v>
      </c>
      <c r="W217" s="211">
        <v>1.1473150000000001</v>
      </c>
      <c r="X217" s="211">
        <v>1.243325</v>
      </c>
      <c r="Y217" s="211">
        <v>1.3379430000000001</v>
      </c>
      <c r="Z217" s="211">
        <v>1.437713</v>
      </c>
      <c r="AA217" s="211">
        <v>1.532467</v>
      </c>
      <c r="AB217" s="211">
        <v>1.6170869999999999</v>
      </c>
      <c r="AC217" s="211">
        <v>1.6923090000000001</v>
      </c>
      <c r="AD217" s="211">
        <v>1.7661230000000001</v>
      </c>
      <c r="AE217" s="211">
        <v>1.8381050000000001</v>
      </c>
      <c r="AF217" s="212" t="s">
        <v>340</v>
      </c>
      <c r="AG217" s="31"/>
    </row>
    <row r="218" spans="1:33">
      <c r="A218" s="30" t="s">
        <v>595</v>
      </c>
      <c r="B218" s="210" t="s">
        <v>1044</v>
      </c>
      <c r="C218" s="211">
        <v>0</v>
      </c>
      <c r="D218" s="211">
        <v>0.32879999999999998</v>
      </c>
      <c r="E218" s="211">
        <v>0.34547</v>
      </c>
      <c r="F218" s="211">
        <v>0.34941499999999998</v>
      </c>
      <c r="G218" s="211">
        <v>0.35311300000000001</v>
      </c>
      <c r="H218" s="211">
        <v>0.35725600000000002</v>
      </c>
      <c r="I218" s="211">
        <v>0.36241400000000001</v>
      </c>
      <c r="J218" s="211">
        <v>0.37389899999999998</v>
      </c>
      <c r="K218" s="211">
        <v>0.391291</v>
      </c>
      <c r="L218" s="211">
        <v>0.41677700000000001</v>
      </c>
      <c r="M218" s="211">
        <v>0.44823800000000003</v>
      </c>
      <c r="N218" s="211">
        <v>0.48479499999999998</v>
      </c>
      <c r="O218" s="211">
        <v>0.52864800000000001</v>
      </c>
      <c r="P218" s="211">
        <v>0.58403799999999995</v>
      </c>
      <c r="Q218" s="211">
        <v>0.64941700000000002</v>
      </c>
      <c r="R218" s="211">
        <v>0.72499999999999998</v>
      </c>
      <c r="S218" s="211">
        <v>0.81109100000000001</v>
      </c>
      <c r="T218" s="211">
        <v>0.90827100000000005</v>
      </c>
      <c r="U218" s="211">
        <v>1.0153730000000001</v>
      </c>
      <c r="V218" s="211">
        <v>1.125429</v>
      </c>
      <c r="W218" s="211">
        <v>1.239638</v>
      </c>
      <c r="X218" s="211">
        <v>1.3565320000000001</v>
      </c>
      <c r="Y218" s="211">
        <v>1.4644839999999999</v>
      </c>
      <c r="Z218" s="211">
        <v>1.5821670000000001</v>
      </c>
      <c r="AA218" s="211">
        <v>1.6880930000000001</v>
      </c>
      <c r="AB218" s="211">
        <v>1.7864690000000001</v>
      </c>
      <c r="AC218" s="211">
        <v>1.8713010000000001</v>
      </c>
      <c r="AD218" s="211">
        <v>1.9580740000000001</v>
      </c>
      <c r="AE218" s="211">
        <v>2.0376029999999998</v>
      </c>
      <c r="AF218" s="212" t="s">
        <v>340</v>
      </c>
      <c r="AG218" s="31"/>
    </row>
    <row r="219" spans="1:33">
      <c r="A219" s="30" t="s">
        <v>596</v>
      </c>
      <c r="B219" s="210" t="s">
        <v>1045</v>
      </c>
      <c r="C219" s="211">
        <v>0</v>
      </c>
      <c r="D219" s="211">
        <v>0</v>
      </c>
      <c r="E219" s="211">
        <v>1.0399999999999999E-4</v>
      </c>
      <c r="F219" s="211">
        <v>1.07E-4</v>
      </c>
      <c r="G219" s="211">
        <v>1.0900000000000001E-4</v>
      </c>
      <c r="H219" s="211">
        <v>1.0900000000000001E-4</v>
      </c>
      <c r="I219" s="211">
        <v>1.0900000000000001E-4</v>
      </c>
      <c r="J219" s="211">
        <v>1.1E-4</v>
      </c>
      <c r="K219" s="211">
        <v>1.1E-4</v>
      </c>
      <c r="L219" s="211">
        <v>1.1E-4</v>
      </c>
      <c r="M219" s="211">
        <v>1.1E-4</v>
      </c>
      <c r="N219" s="211">
        <v>1.0900000000000001E-4</v>
      </c>
      <c r="O219" s="211">
        <v>1.0900000000000001E-4</v>
      </c>
      <c r="P219" s="211">
        <v>1.0900000000000001E-4</v>
      </c>
      <c r="Q219" s="211">
        <v>1.08E-4</v>
      </c>
      <c r="R219" s="211">
        <v>1.07E-4</v>
      </c>
      <c r="S219" s="211">
        <v>1.06E-4</v>
      </c>
      <c r="T219" s="211">
        <v>1.0399999999999999E-4</v>
      </c>
      <c r="U219" s="211">
        <v>1.01E-4</v>
      </c>
      <c r="V219" s="211">
        <v>9.7E-5</v>
      </c>
      <c r="W219" s="211">
        <v>9.2E-5</v>
      </c>
      <c r="X219" s="211">
        <v>8.6000000000000003E-5</v>
      </c>
      <c r="Y219" s="211">
        <v>8.0000000000000007E-5</v>
      </c>
      <c r="Z219" s="211">
        <v>7.3999999999999996E-5</v>
      </c>
      <c r="AA219" s="211">
        <v>6.7999999999999999E-5</v>
      </c>
      <c r="AB219" s="211">
        <v>6.0999999999999999E-5</v>
      </c>
      <c r="AC219" s="211">
        <v>5.3999999999999998E-5</v>
      </c>
      <c r="AD219" s="211">
        <v>4.8000000000000001E-5</v>
      </c>
      <c r="AE219" s="211">
        <v>4.1999999999999998E-5</v>
      </c>
      <c r="AF219" s="212" t="s">
        <v>340</v>
      </c>
      <c r="AG219" s="31"/>
    </row>
    <row r="220" spans="1:33">
      <c r="A220" s="30" t="s">
        <v>597</v>
      </c>
      <c r="B220" s="210" t="s">
        <v>1046</v>
      </c>
      <c r="C220" s="211">
        <v>252.12297100000001</v>
      </c>
      <c r="D220" s="211">
        <v>262.199432</v>
      </c>
      <c r="E220" s="211">
        <v>276.18127399999997</v>
      </c>
      <c r="F220" s="211">
        <v>286.01892099999998</v>
      </c>
      <c r="G220" s="211">
        <v>290.46655299999998</v>
      </c>
      <c r="H220" s="211">
        <v>292.43240400000002</v>
      </c>
      <c r="I220" s="211">
        <v>293.63424700000002</v>
      </c>
      <c r="J220" s="211">
        <v>296.173248</v>
      </c>
      <c r="K220" s="211">
        <v>298.12170400000002</v>
      </c>
      <c r="L220" s="211">
        <v>300.39685100000003</v>
      </c>
      <c r="M220" s="211">
        <v>303.257294</v>
      </c>
      <c r="N220" s="211">
        <v>305.71603399999998</v>
      </c>
      <c r="O220" s="211">
        <v>309.26257299999997</v>
      </c>
      <c r="P220" s="211">
        <v>314.79812600000002</v>
      </c>
      <c r="Q220" s="211">
        <v>321.14746100000002</v>
      </c>
      <c r="R220" s="211">
        <v>327.09249899999998</v>
      </c>
      <c r="S220" s="211">
        <v>333.56478900000002</v>
      </c>
      <c r="T220" s="211">
        <v>339.75351000000001</v>
      </c>
      <c r="U220" s="211">
        <v>346.38189699999998</v>
      </c>
      <c r="V220" s="211">
        <v>351.209137</v>
      </c>
      <c r="W220" s="211">
        <v>355.95761099999999</v>
      </c>
      <c r="X220" s="211">
        <v>360.42837500000002</v>
      </c>
      <c r="Y220" s="211">
        <v>364.902466</v>
      </c>
      <c r="Z220" s="211">
        <v>371.72610500000002</v>
      </c>
      <c r="AA220" s="211">
        <v>378.28823899999998</v>
      </c>
      <c r="AB220" s="211">
        <v>383.89129600000001</v>
      </c>
      <c r="AC220" s="211">
        <v>388.47567700000002</v>
      </c>
      <c r="AD220" s="211">
        <v>394.81222500000001</v>
      </c>
      <c r="AE220" s="211">
        <v>401.96115099999997</v>
      </c>
      <c r="AF220" s="212">
        <v>1.6798E-2</v>
      </c>
      <c r="AG220" s="31"/>
    </row>
    <row r="221" spans="1:33">
      <c r="A221" s="29"/>
      <c r="B221" s="209" t="s">
        <v>1047</v>
      </c>
      <c r="C221" s="31"/>
      <c r="D221" s="31"/>
      <c r="E221" s="31"/>
      <c r="F221" s="31"/>
      <c r="G221" s="31"/>
      <c r="H221" s="31"/>
      <c r="I221" s="31"/>
      <c r="J221" s="31"/>
      <c r="K221" s="31"/>
      <c r="L221" s="31"/>
      <c r="M221" s="31"/>
      <c r="N221" s="31"/>
      <c r="O221" s="31"/>
      <c r="P221" s="31"/>
      <c r="Q221" s="31"/>
      <c r="R221" s="31"/>
      <c r="S221" s="31"/>
      <c r="T221" s="31"/>
      <c r="U221" s="31"/>
      <c r="V221" s="31"/>
      <c r="W221" s="31"/>
      <c r="X221" s="31"/>
      <c r="Y221" s="31"/>
      <c r="Z221" s="31"/>
      <c r="AA221" s="31"/>
      <c r="AB221" s="31"/>
      <c r="AC221" s="31"/>
      <c r="AD221" s="31"/>
      <c r="AE221" s="31"/>
      <c r="AF221" s="31"/>
      <c r="AG221" s="31"/>
    </row>
    <row r="222" spans="1:33">
      <c r="A222" s="30" t="s">
        <v>598</v>
      </c>
      <c r="B222" s="210" t="s">
        <v>1037</v>
      </c>
      <c r="C222" s="211">
        <v>108.315331</v>
      </c>
      <c r="D222" s="211">
        <v>111.86180899999999</v>
      </c>
      <c r="E222" s="211">
        <v>112.663895</v>
      </c>
      <c r="F222" s="211">
        <v>113.75501300000001</v>
      </c>
      <c r="G222" s="211">
        <v>116.360794</v>
      </c>
      <c r="H222" s="211">
        <v>120.664314</v>
      </c>
      <c r="I222" s="211">
        <v>123.277176</v>
      </c>
      <c r="J222" s="211">
        <v>123.222191</v>
      </c>
      <c r="K222" s="211">
        <v>121.07485200000001</v>
      </c>
      <c r="L222" s="211">
        <v>119.570702</v>
      </c>
      <c r="M222" s="211">
        <v>120.336288</v>
      </c>
      <c r="N222" s="211">
        <v>121.886032</v>
      </c>
      <c r="O222" s="211">
        <v>123.167618</v>
      </c>
      <c r="P222" s="211">
        <v>124.72809599999999</v>
      </c>
      <c r="Q222" s="211">
        <v>126.319824</v>
      </c>
      <c r="R222" s="211">
        <v>127.848488</v>
      </c>
      <c r="S222" s="211">
        <v>129.178223</v>
      </c>
      <c r="T222" s="211">
        <v>130.386765</v>
      </c>
      <c r="U222" s="211">
        <v>131.92759699999999</v>
      </c>
      <c r="V222" s="211">
        <v>133.48138399999999</v>
      </c>
      <c r="W222" s="211">
        <v>134.51525899999999</v>
      </c>
      <c r="X222" s="211">
        <v>135.85908499999999</v>
      </c>
      <c r="Y222" s="211">
        <v>136.21057099999999</v>
      </c>
      <c r="Z222" s="211">
        <v>135.419983</v>
      </c>
      <c r="AA222" s="211">
        <v>135.072632</v>
      </c>
      <c r="AB222" s="211">
        <v>135.62127699999999</v>
      </c>
      <c r="AC222" s="211">
        <v>136.81350699999999</v>
      </c>
      <c r="AD222" s="211">
        <v>137.64428699999999</v>
      </c>
      <c r="AE222" s="211">
        <v>139.15571600000001</v>
      </c>
      <c r="AF222" s="212">
        <v>8.9879999999999995E-3</v>
      </c>
      <c r="AG222" s="31"/>
    </row>
    <row r="223" spans="1:33">
      <c r="A223" s="30" t="s">
        <v>599</v>
      </c>
      <c r="B223" s="210" t="s">
        <v>1038</v>
      </c>
      <c r="C223" s="211">
        <v>68.839256000000006</v>
      </c>
      <c r="D223" s="211">
        <v>70.735229000000004</v>
      </c>
      <c r="E223" s="211">
        <v>70.912659000000005</v>
      </c>
      <c r="F223" s="211">
        <v>71.294334000000006</v>
      </c>
      <c r="G223" s="211">
        <v>72.641609000000003</v>
      </c>
      <c r="H223" s="211">
        <v>75.056540999999996</v>
      </c>
      <c r="I223" s="211">
        <v>76.427368000000001</v>
      </c>
      <c r="J223" s="211">
        <v>76.160088000000002</v>
      </c>
      <c r="K223" s="211">
        <v>74.622658000000001</v>
      </c>
      <c r="L223" s="211">
        <v>73.505134999999996</v>
      </c>
      <c r="M223" s="211">
        <v>73.799858</v>
      </c>
      <c r="N223" s="211">
        <v>74.586723000000006</v>
      </c>
      <c r="O223" s="211">
        <v>75.219261000000003</v>
      </c>
      <c r="P223" s="211">
        <v>76.031173999999993</v>
      </c>
      <c r="Q223" s="211">
        <v>76.870277000000002</v>
      </c>
      <c r="R223" s="211">
        <v>77.678650000000005</v>
      </c>
      <c r="S223" s="211">
        <v>78.373497</v>
      </c>
      <c r="T223" s="211">
        <v>79.001953</v>
      </c>
      <c r="U223" s="211">
        <v>79.838211000000001</v>
      </c>
      <c r="V223" s="211">
        <v>80.688086999999996</v>
      </c>
      <c r="W223" s="211">
        <v>81.229370000000003</v>
      </c>
      <c r="X223" s="211">
        <v>81.963241999999994</v>
      </c>
      <c r="Y223" s="211">
        <v>82.103797999999998</v>
      </c>
      <c r="Z223" s="211">
        <v>81.561913000000004</v>
      </c>
      <c r="AA223" s="211">
        <v>81.292777999999998</v>
      </c>
      <c r="AB223" s="211">
        <v>81.567595999999995</v>
      </c>
      <c r="AC223" s="211">
        <v>82.233161999999993</v>
      </c>
      <c r="AD223" s="211">
        <v>82.684783999999993</v>
      </c>
      <c r="AE223" s="211">
        <v>83.548218000000006</v>
      </c>
      <c r="AF223" s="212">
        <v>6.94E-3</v>
      </c>
      <c r="AG223" s="31"/>
    </row>
    <row r="224" spans="1:33">
      <c r="A224" s="30" t="s">
        <v>600</v>
      </c>
      <c r="B224" s="210" t="s">
        <v>1039</v>
      </c>
      <c r="C224" s="211">
        <v>0.19042999999999999</v>
      </c>
      <c r="D224" s="211">
        <v>0.19422300000000001</v>
      </c>
      <c r="E224" s="211">
        <v>0.19656999999999999</v>
      </c>
      <c r="F224" s="211">
        <v>0.196077</v>
      </c>
      <c r="G224" s="211">
        <v>0.20480999999999999</v>
      </c>
      <c r="H224" s="211">
        <v>0.21737600000000001</v>
      </c>
      <c r="I224" s="211">
        <v>0.22798099999999999</v>
      </c>
      <c r="J224" s="211">
        <v>0.23441400000000001</v>
      </c>
      <c r="K224" s="211">
        <v>0.23872599999999999</v>
      </c>
      <c r="L224" s="211">
        <v>0.247721</v>
      </c>
      <c r="M224" s="211">
        <v>0.263905</v>
      </c>
      <c r="N224" s="211">
        <v>0.28577399999999997</v>
      </c>
      <c r="O224" s="211">
        <v>0.307006</v>
      </c>
      <c r="P224" s="211">
        <v>0.33141100000000001</v>
      </c>
      <c r="Q224" s="211">
        <v>0.35905500000000001</v>
      </c>
      <c r="R224" s="211">
        <v>0.39071699999999998</v>
      </c>
      <c r="S224" s="211">
        <v>0.42327700000000001</v>
      </c>
      <c r="T224" s="211">
        <v>0.45851599999999998</v>
      </c>
      <c r="U224" s="211">
        <v>0.49489499999999997</v>
      </c>
      <c r="V224" s="211">
        <v>0.53306299999999995</v>
      </c>
      <c r="W224" s="211">
        <v>0.56726100000000002</v>
      </c>
      <c r="X224" s="211">
        <v>0.60443800000000003</v>
      </c>
      <c r="Y224" s="211">
        <v>0.63577700000000004</v>
      </c>
      <c r="Z224" s="211">
        <v>0.65985499999999997</v>
      </c>
      <c r="AA224" s="211">
        <v>0.68360100000000001</v>
      </c>
      <c r="AB224" s="211">
        <v>0.70903000000000005</v>
      </c>
      <c r="AC224" s="211">
        <v>0.73458299999999999</v>
      </c>
      <c r="AD224" s="211">
        <v>0.75465000000000004</v>
      </c>
      <c r="AE224" s="211">
        <v>0.77672799999999997</v>
      </c>
      <c r="AF224" s="212">
        <v>5.1489E-2</v>
      </c>
      <c r="AG224" s="31"/>
    </row>
    <row r="225" spans="1:33">
      <c r="A225" s="30" t="s">
        <v>601</v>
      </c>
      <c r="B225" s="210" t="s">
        <v>1040</v>
      </c>
      <c r="C225" s="211">
        <v>8.8756000000000002E-2</v>
      </c>
      <c r="D225" s="211">
        <v>8.0241000000000007E-2</v>
      </c>
      <c r="E225" s="211">
        <v>7.1048E-2</v>
      </c>
      <c r="F225" s="211">
        <v>6.2378000000000003E-2</v>
      </c>
      <c r="G225" s="211">
        <v>5.543E-2</v>
      </c>
      <c r="H225" s="211">
        <v>4.9847000000000002E-2</v>
      </c>
      <c r="I225" s="211">
        <v>4.4072E-2</v>
      </c>
      <c r="J225" s="211">
        <v>3.8059999999999997E-2</v>
      </c>
      <c r="K225" s="211">
        <v>3.2244000000000002E-2</v>
      </c>
      <c r="L225" s="211">
        <v>2.7390000000000001E-2</v>
      </c>
      <c r="M225" s="211">
        <v>2.3635E-2</v>
      </c>
      <c r="N225" s="211">
        <v>2.0455000000000001E-2</v>
      </c>
      <c r="O225" s="211">
        <v>1.7596000000000001E-2</v>
      </c>
      <c r="P225" s="211">
        <v>1.512E-2</v>
      </c>
      <c r="Q225" s="211">
        <v>1.2947999999999999E-2</v>
      </c>
      <c r="R225" s="211">
        <v>1.1051E-2</v>
      </c>
      <c r="S225" s="211">
        <v>9.3919999999999993E-3</v>
      </c>
      <c r="T225" s="211">
        <v>7.9559999999999995E-3</v>
      </c>
      <c r="U225" s="211">
        <v>6.7409999999999996E-3</v>
      </c>
      <c r="V225" s="211">
        <v>5.7010000000000003E-3</v>
      </c>
      <c r="W225" s="211">
        <v>4.7920000000000003E-3</v>
      </c>
      <c r="X225" s="211">
        <v>4.0299999999999997E-3</v>
      </c>
      <c r="Y225" s="211">
        <v>3.3570000000000002E-3</v>
      </c>
      <c r="Z225" s="211">
        <v>2.7699999999999999E-3</v>
      </c>
      <c r="AA225" s="211">
        <v>2.2889999999999998E-3</v>
      </c>
      <c r="AB225" s="211">
        <v>1.9040000000000001E-3</v>
      </c>
      <c r="AC225" s="211">
        <v>1.5900000000000001E-3</v>
      </c>
      <c r="AD225" s="211">
        <v>1.323E-3</v>
      </c>
      <c r="AE225" s="211">
        <v>1.106E-3</v>
      </c>
      <c r="AF225" s="212">
        <v>-0.144952</v>
      </c>
      <c r="AG225" s="31"/>
    </row>
    <row r="226" spans="1:33">
      <c r="A226" s="30" t="s">
        <v>602</v>
      </c>
      <c r="B226" s="210" t="s">
        <v>1041</v>
      </c>
      <c r="C226" s="211">
        <v>3.1209169999999999</v>
      </c>
      <c r="D226" s="211">
        <v>3.562824</v>
      </c>
      <c r="E226" s="211">
        <v>4.1059590000000004</v>
      </c>
      <c r="F226" s="211">
        <v>4.4477089999999997</v>
      </c>
      <c r="G226" s="211">
        <v>4.9635889999999998</v>
      </c>
      <c r="H226" s="211">
        <v>5.6116510000000002</v>
      </c>
      <c r="I226" s="211">
        <v>6.101458</v>
      </c>
      <c r="J226" s="211">
        <v>6.5357409999999998</v>
      </c>
      <c r="K226" s="211">
        <v>6.9304500000000004</v>
      </c>
      <c r="L226" s="211">
        <v>7.5008939999999997</v>
      </c>
      <c r="M226" s="211">
        <v>8.2456250000000004</v>
      </c>
      <c r="N226" s="211">
        <v>9.1310850000000006</v>
      </c>
      <c r="O226" s="211">
        <v>9.9110980000000009</v>
      </c>
      <c r="P226" s="211">
        <v>10.721723000000001</v>
      </c>
      <c r="Q226" s="211">
        <v>11.346403</v>
      </c>
      <c r="R226" s="211">
        <v>11.955226</v>
      </c>
      <c r="S226" s="211">
        <v>12.458663</v>
      </c>
      <c r="T226" s="211">
        <v>12.958193</v>
      </c>
      <c r="U226" s="211">
        <v>13.419568999999999</v>
      </c>
      <c r="V226" s="211">
        <v>13.88363</v>
      </c>
      <c r="W226" s="211">
        <v>14.252980000000001</v>
      </c>
      <c r="X226" s="211">
        <v>14.691565000000001</v>
      </c>
      <c r="Y226" s="211">
        <v>14.861463000000001</v>
      </c>
      <c r="Z226" s="211">
        <v>14.905587000000001</v>
      </c>
      <c r="AA226" s="211">
        <v>14.814135</v>
      </c>
      <c r="AB226" s="211">
        <v>14.890703999999999</v>
      </c>
      <c r="AC226" s="211">
        <v>14.942218</v>
      </c>
      <c r="AD226" s="211">
        <v>15.033702999999999</v>
      </c>
      <c r="AE226" s="211">
        <v>15.088609</v>
      </c>
      <c r="AF226" s="212">
        <v>5.7893E-2</v>
      </c>
      <c r="AG226" s="31"/>
    </row>
    <row r="227" spans="1:33">
      <c r="A227" s="30" t="s">
        <v>603</v>
      </c>
      <c r="B227" s="210" t="s">
        <v>1042</v>
      </c>
      <c r="C227" s="211">
        <v>6.5137E-2</v>
      </c>
      <c r="D227" s="211">
        <v>5.9175999999999999E-2</v>
      </c>
      <c r="E227" s="211">
        <v>5.2366000000000003E-2</v>
      </c>
      <c r="F227" s="211">
        <v>4.6144999999999999E-2</v>
      </c>
      <c r="G227" s="211">
        <v>4.1158E-2</v>
      </c>
      <c r="H227" s="211">
        <v>3.7145999999999998E-2</v>
      </c>
      <c r="I227" s="211">
        <v>3.2967000000000003E-2</v>
      </c>
      <c r="J227" s="211">
        <v>2.8586E-2</v>
      </c>
      <c r="K227" s="211">
        <v>2.4323000000000001E-2</v>
      </c>
      <c r="L227" s="211">
        <v>2.0753000000000001E-2</v>
      </c>
      <c r="M227" s="211">
        <v>1.7988000000000001E-2</v>
      </c>
      <c r="N227" s="211">
        <v>1.5639E-2</v>
      </c>
      <c r="O227" s="211">
        <v>1.3513000000000001E-2</v>
      </c>
      <c r="P227" s="211">
        <v>1.1663E-2</v>
      </c>
      <c r="Q227" s="211">
        <v>1.0030000000000001E-2</v>
      </c>
      <c r="R227" s="211">
        <v>8.5970000000000005E-3</v>
      </c>
      <c r="S227" s="211">
        <v>7.3359999999999996E-3</v>
      </c>
      <c r="T227" s="211">
        <v>6.241E-3</v>
      </c>
      <c r="U227" s="211">
        <v>5.3090000000000004E-3</v>
      </c>
      <c r="V227" s="211">
        <v>4.5069999999999997E-3</v>
      </c>
      <c r="W227" s="211">
        <v>3.8040000000000001E-3</v>
      </c>
      <c r="X227" s="211">
        <v>3.212E-3</v>
      </c>
      <c r="Y227" s="211">
        <v>2.6870000000000002E-3</v>
      </c>
      <c r="Z227" s="211">
        <v>2.2260000000000001E-3</v>
      </c>
      <c r="AA227" s="211">
        <v>1.8489999999999999E-3</v>
      </c>
      <c r="AB227" s="211">
        <v>1.5460000000000001E-3</v>
      </c>
      <c r="AC227" s="211">
        <v>1.2979999999999999E-3</v>
      </c>
      <c r="AD227" s="211">
        <v>1.0870000000000001E-3</v>
      </c>
      <c r="AE227" s="211">
        <v>9.1399999999999999E-4</v>
      </c>
      <c r="AF227" s="212">
        <v>-0.141343</v>
      </c>
      <c r="AG227" s="31"/>
    </row>
    <row r="228" spans="1:33">
      <c r="A228" s="30" t="s">
        <v>604</v>
      </c>
      <c r="B228" s="210" t="s">
        <v>1043</v>
      </c>
      <c r="C228" s="211">
        <v>0</v>
      </c>
      <c r="D228" s="211">
        <v>0</v>
      </c>
      <c r="E228" s="211">
        <v>0.22504299999999999</v>
      </c>
      <c r="F228" s="211">
        <v>0.22714799999999999</v>
      </c>
      <c r="G228" s="211">
        <v>0.23027900000000001</v>
      </c>
      <c r="H228" s="211">
        <v>0.23857500000000001</v>
      </c>
      <c r="I228" s="211">
        <v>0.24623999999999999</v>
      </c>
      <c r="J228" s="211">
        <v>0.24834500000000001</v>
      </c>
      <c r="K228" s="211">
        <v>0.247229</v>
      </c>
      <c r="L228" s="211">
        <v>0.249005</v>
      </c>
      <c r="M228" s="211">
        <v>0.25837700000000002</v>
      </c>
      <c r="N228" s="211">
        <v>0.27263700000000002</v>
      </c>
      <c r="O228" s="211">
        <v>0.28715600000000002</v>
      </c>
      <c r="P228" s="211">
        <v>0.30215799999999998</v>
      </c>
      <c r="Q228" s="211">
        <v>0.320687</v>
      </c>
      <c r="R228" s="211">
        <v>0.34081499999999998</v>
      </c>
      <c r="S228" s="211">
        <v>0.36212299999999997</v>
      </c>
      <c r="T228" s="211">
        <v>0.38599099999999997</v>
      </c>
      <c r="U228" s="211">
        <v>0.41384599999999999</v>
      </c>
      <c r="V228" s="211">
        <v>0.44478200000000001</v>
      </c>
      <c r="W228" s="211">
        <v>0.47659899999999999</v>
      </c>
      <c r="X228" s="211">
        <v>0.51157799999999998</v>
      </c>
      <c r="Y228" s="211">
        <v>0.54397300000000004</v>
      </c>
      <c r="Z228" s="211">
        <v>0.57172999999999996</v>
      </c>
      <c r="AA228" s="211">
        <v>0.60040700000000002</v>
      </c>
      <c r="AB228" s="211">
        <v>0.631637</v>
      </c>
      <c r="AC228" s="211">
        <v>0.66413</v>
      </c>
      <c r="AD228" s="211">
        <v>0.69267100000000004</v>
      </c>
      <c r="AE228" s="211">
        <v>0.72231699999999999</v>
      </c>
      <c r="AF228" s="212" t="s">
        <v>340</v>
      </c>
      <c r="AG228" s="31"/>
    </row>
    <row r="229" spans="1:33">
      <c r="A229" s="30" t="s">
        <v>605</v>
      </c>
      <c r="B229" s="210" t="s">
        <v>1044</v>
      </c>
      <c r="C229" s="211">
        <v>0</v>
      </c>
      <c r="D229" s="211">
        <v>0</v>
      </c>
      <c r="E229" s="211">
        <v>0.21895000000000001</v>
      </c>
      <c r="F229" s="211">
        <v>0.21643299999999999</v>
      </c>
      <c r="G229" s="211">
        <v>0.21639600000000001</v>
      </c>
      <c r="H229" s="211">
        <v>0.22101599999999999</v>
      </c>
      <c r="I229" s="211">
        <v>0.22417100000000001</v>
      </c>
      <c r="J229" s="211">
        <v>0.224302</v>
      </c>
      <c r="K229" s="211">
        <v>0.22405600000000001</v>
      </c>
      <c r="L229" s="211">
        <v>0.22989499999999999</v>
      </c>
      <c r="M229" s="211">
        <v>0.244149</v>
      </c>
      <c r="N229" s="211">
        <v>0.265212</v>
      </c>
      <c r="O229" s="211">
        <v>0.28737600000000002</v>
      </c>
      <c r="P229" s="211">
        <v>0.31066100000000002</v>
      </c>
      <c r="Q229" s="211">
        <v>0.33900400000000003</v>
      </c>
      <c r="R229" s="211">
        <v>0.37101699999999999</v>
      </c>
      <c r="S229" s="211">
        <v>0.404947</v>
      </c>
      <c r="T229" s="211">
        <v>0.44428299999999998</v>
      </c>
      <c r="U229" s="211">
        <v>0.48955100000000001</v>
      </c>
      <c r="V229" s="211">
        <v>0.54082399999999997</v>
      </c>
      <c r="W229" s="211">
        <v>0.59456699999999996</v>
      </c>
      <c r="X229" s="211">
        <v>0.65479900000000002</v>
      </c>
      <c r="Y229" s="211">
        <v>0.70982199999999995</v>
      </c>
      <c r="Z229" s="211">
        <v>0.75931499999999996</v>
      </c>
      <c r="AA229" s="211">
        <v>0.80587200000000003</v>
      </c>
      <c r="AB229" s="211">
        <v>0.85718000000000005</v>
      </c>
      <c r="AC229" s="211">
        <v>0.90732199999999996</v>
      </c>
      <c r="AD229" s="211">
        <v>0.95350299999999999</v>
      </c>
      <c r="AE229" s="211">
        <v>0.99503299999999995</v>
      </c>
      <c r="AF229" s="212" t="s">
        <v>340</v>
      </c>
      <c r="AG229" s="31"/>
    </row>
    <row r="230" spans="1:33">
      <c r="A230" s="30" t="s">
        <v>606</v>
      </c>
      <c r="B230" s="210" t="s">
        <v>1045</v>
      </c>
      <c r="C230" s="211">
        <v>0</v>
      </c>
      <c r="D230" s="211">
        <v>0</v>
      </c>
      <c r="E230" s="211">
        <v>0.37634600000000001</v>
      </c>
      <c r="F230" s="211">
        <v>0.38173499999999999</v>
      </c>
      <c r="G230" s="211">
        <v>0.39291799999999999</v>
      </c>
      <c r="H230" s="211">
        <v>0.410806</v>
      </c>
      <c r="I230" s="211">
        <v>0.42415799999999998</v>
      </c>
      <c r="J230" s="211">
        <v>0.42967499999999997</v>
      </c>
      <c r="K230" s="211">
        <v>0.42928899999999998</v>
      </c>
      <c r="L230" s="211">
        <v>0.43275599999999997</v>
      </c>
      <c r="M230" s="211">
        <v>0.44654500000000003</v>
      </c>
      <c r="N230" s="211">
        <v>0.46606599999999998</v>
      </c>
      <c r="O230" s="211">
        <v>0.487985</v>
      </c>
      <c r="P230" s="211">
        <v>0.515046</v>
      </c>
      <c r="Q230" s="211">
        <v>0.54696100000000003</v>
      </c>
      <c r="R230" s="211">
        <v>0.58394299999999999</v>
      </c>
      <c r="S230" s="211">
        <v>0.62582199999999999</v>
      </c>
      <c r="T230" s="211">
        <v>0.67317400000000005</v>
      </c>
      <c r="U230" s="211">
        <v>0.72845700000000002</v>
      </c>
      <c r="V230" s="211">
        <v>0.789906</v>
      </c>
      <c r="W230" s="211">
        <v>0.85352700000000004</v>
      </c>
      <c r="X230" s="211">
        <v>0.92321799999999998</v>
      </c>
      <c r="Y230" s="211">
        <v>0.98855099999999996</v>
      </c>
      <c r="Z230" s="211">
        <v>1.0453749999999999</v>
      </c>
      <c r="AA230" s="211">
        <v>1.1034539999999999</v>
      </c>
      <c r="AB230" s="211">
        <v>1.1658329999999999</v>
      </c>
      <c r="AC230" s="211">
        <v>1.2301740000000001</v>
      </c>
      <c r="AD230" s="211">
        <v>1.2869170000000001</v>
      </c>
      <c r="AE230" s="211">
        <v>1.345232</v>
      </c>
      <c r="AF230" s="212" t="s">
        <v>340</v>
      </c>
      <c r="AG230" s="31"/>
    </row>
    <row r="231" spans="1:33">
      <c r="A231" s="30" t="s">
        <v>607</v>
      </c>
      <c r="B231" s="210" t="s">
        <v>1048</v>
      </c>
      <c r="C231" s="211">
        <v>180.61982699999999</v>
      </c>
      <c r="D231" s="211">
        <v>186.49350000000001</v>
      </c>
      <c r="E231" s="211">
        <v>188.82283000000001</v>
      </c>
      <c r="F231" s="211">
        <v>190.626938</v>
      </c>
      <c r="G231" s="211">
        <v>195.106979</v>
      </c>
      <c r="H231" s="211">
        <v>202.50727800000001</v>
      </c>
      <c r="I231" s="211">
        <v>207.005585</v>
      </c>
      <c r="J231" s="211">
        <v>207.12138400000001</v>
      </c>
      <c r="K231" s="211">
        <v>203.823837</v>
      </c>
      <c r="L231" s="211">
        <v>201.78428600000001</v>
      </c>
      <c r="M231" s="211">
        <v>203.63635300000001</v>
      </c>
      <c r="N231" s="211">
        <v>206.92961099999999</v>
      </c>
      <c r="O231" s="211">
        <v>209.69859299999999</v>
      </c>
      <c r="P231" s="211">
        <v>212.967072</v>
      </c>
      <c r="Q231" s="211">
        <v>216.125214</v>
      </c>
      <c r="R231" s="211">
        <v>219.188492</v>
      </c>
      <c r="S231" s="211">
        <v>221.84333799999999</v>
      </c>
      <c r="T231" s="211">
        <v>224.323059</v>
      </c>
      <c r="U231" s="211">
        <v>227.32418799999999</v>
      </c>
      <c r="V231" s="211">
        <v>230.371872</v>
      </c>
      <c r="W231" s="211">
        <v>232.498154</v>
      </c>
      <c r="X231" s="211">
        <v>235.21517900000001</v>
      </c>
      <c r="Y231" s="211">
        <v>236.05999800000001</v>
      </c>
      <c r="Z231" s="211">
        <v>234.92872600000001</v>
      </c>
      <c r="AA231" s="211">
        <v>234.37702899999999</v>
      </c>
      <c r="AB231" s="211">
        <v>235.44674699999999</v>
      </c>
      <c r="AC231" s="211">
        <v>237.52796900000001</v>
      </c>
      <c r="AD231" s="211">
        <v>239.052933</v>
      </c>
      <c r="AE231" s="211">
        <v>241.633881</v>
      </c>
      <c r="AF231" s="212">
        <v>1.0448000000000001E-2</v>
      </c>
      <c r="AG231" s="31"/>
    </row>
    <row r="232" spans="1:33">
      <c r="A232" s="29"/>
      <c r="B232" s="209" t="s">
        <v>1049</v>
      </c>
      <c r="C232" s="31"/>
      <c r="D232" s="31"/>
      <c r="E232" s="31"/>
      <c r="F232" s="31"/>
      <c r="G232" s="31"/>
      <c r="H232" s="31"/>
      <c r="I232" s="31"/>
      <c r="J232" s="31"/>
      <c r="K232" s="31"/>
      <c r="L232" s="31"/>
      <c r="M232" s="31"/>
      <c r="N232" s="31"/>
      <c r="O232" s="31"/>
      <c r="P232" s="31"/>
      <c r="Q232" s="31"/>
      <c r="R232" s="31"/>
      <c r="S232" s="31"/>
      <c r="T232" s="31"/>
      <c r="U232" s="31"/>
      <c r="V232" s="31"/>
      <c r="W232" s="31"/>
      <c r="X232" s="31"/>
      <c r="Y232" s="31"/>
      <c r="Z232" s="31"/>
      <c r="AA232" s="31"/>
      <c r="AB232" s="31"/>
      <c r="AC232" s="31"/>
      <c r="AD232" s="31"/>
      <c r="AE232" s="31"/>
      <c r="AF232" s="31"/>
      <c r="AG232" s="31"/>
    </row>
    <row r="233" spans="1:33">
      <c r="A233" s="30" t="s">
        <v>608</v>
      </c>
      <c r="B233" s="210" t="s">
        <v>1037</v>
      </c>
      <c r="C233" s="211">
        <v>273.15377799999999</v>
      </c>
      <c r="D233" s="211">
        <v>277.07376099999999</v>
      </c>
      <c r="E233" s="211">
        <v>274.69210800000002</v>
      </c>
      <c r="F233" s="211">
        <v>272.49237099999999</v>
      </c>
      <c r="G233" s="211">
        <v>274.15902699999998</v>
      </c>
      <c r="H233" s="211">
        <v>279.90683000000001</v>
      </c>
      <c r="I233" s="211">
        <v>281.52694700000001</v>
      </c>
      <c r="J233" s="211">
        <v>277.27740499999999</v>
      </c>
      <c r="K233" s="211">
        <v>268.671448</v>
      </c>
      <c r="L233" s="211">
        <v>261.83212300000002</v>
      </c>
      <c r="M233" s="211">
        <v>260.10656699999998</v>
      </c>
      <c r="N233" s="211">
        <v>260.1875</v>
      </c>
      <c r="O233" s="211">
        <v>259.58990499999999</v>
      </c>
      <c r="P233" s="211">
        <v>259.61502100000001</v>
      </c>
      <c r="Q233" s="211">
        <v>259.50140399999998</v>
      </c>
      <c r="R233" s="211">
        <v>259.26907299999999</v>
      </c>
      <c r="S233" s="211">
        <v>258.56124899999998</v>
      </c>
      <c r="T233" s="211">
        <v>257.66332999999997</v>
      </c>
      <c r="U233" s="211">
        <v>257.36483800000002</v>
      </c>
      <c r="V233" s="211">
        <v>257.10897799999998</v>
      </c>
      <c r="W233" s="211">
        <v>255.83055100000001</v>
      </c>
      <c r="X233" s="211">
        <v>255.20024100000001</v>
      </c>
      <c r="Y233" s="211">
        <v>252.56401099999999</v>
      </c>
      <c r="Z233" s="211">
        <v>247.90344200000001</v>
      </c>
      <c r="AA233" s="211">
        <v>243.960342</v>
      </c>
      <c r="AB233" s="211">
        <v>241.76246599999999</v>
      </c>
      <c r="AC233" s="211">
        <v>240.633118</v>
      </c>
      <c r="AD233" s="211">
        <v>238.96373</v>
      </c>
      <c r="AE233" s="211">
        <v>238.36341899999999</v>
      </c>
      <c r="AF233" s="212">
        <v>-4.8539999999999998E-3</v>
      </c>
      <c r="AG233" s="31"/>
    </row>
    <row r="234" spans="1:33">
      <c r="A234" s="30" t="s">
        <v>609</v>
      </c>
      <c r="B234" s="210" t="s">
        <v>1038</v>
      </c>
      <c r="C234" s="211">
        <v>1.4683170000000001</v>
      </c>
      <c r="D234" s="211">
        <v>1.4740150000000001</v>
      </c>
      <c r="E234" s="211">
        <v>1.4485300000000001</v>
      </c>
      <c r="F234" s="211">
        <v>1.4262159999999999</v>
      </c>
      <c r="G234" s="211">
        <v>1.425861</v>
      </c>
      <c r="H234" s="211">
        <v>1.447959</v>
      </c>
      <c r="I234" s="211">
        <v>1.44973</v>
      </c>
      <c r="J234" s="211">
        <v>1.4223749999999999</v>
      </c>
      <c r="K234" s="211">
        <v>1.373761</v>
      </c>
      <c r="L234" s="211">
        <v>1.3351310000000001</v>
      </c>
      <c r="M234" s="211">
        <v>1.323261</v>
      </c>
      <c r="N234" s="211">
        <v>1.3210850000000001</v>
      </c>
      <c r="O234" s="211">
        <v>1.315885</v>
      </c>
      <c r="P234" s="211">
        <v>1.314187</v>
      </c>
      <c r="Q234" s="211">
        <v>1.312079</v>
      </c>
      <c r="R234" s="211">
        <v>1.309604</v>
      </c>
      <c r="S234" s="211">
        <v>1.3049500000000001</v>
      </c>
      <c r="T234" s="211">
        <v>1.2995000000000001</v>
      </c>
      <c r="U234" s="211">
        <v>1.2972220000000001</v>
      </c>
      <c r="V234" s="211">
        <v>1.295293</v>
      </c>
      <c r="W234" s="211">
        <v>1.2883119999999999</v>
      </c>
      <c r="X234" s="211">
        <v>1.284683</v>
      </c>
      <c r="Y234" s="211">
        <v>1.2710330000000001</v>
      </c>
      <c r="Z234" s="211">
        <v>1.2472639999999999</v>
      </c>
      <c r="AA234" s="211">
        <v>1.227174</v>
      </c>
      <c r="AB234" s="211">
        <v>1.215902</v>
      </c>
      <c r="AC234" s="211">
        <v>1.2100420000000001</v>
      </c>
      <c r="AD234" s="211">
        <v>1.2014899999999999</v>
      </c>
      <c r="AE234" s="211">
        <v>1.198337</v>
      </c>
      <c r="AF234" s="212">
        <v>-7.2300000000000003E-3</v>
      </c>
      <c r="AG234" s="31"/>
    </row>
    <row r="235" spans="1:33">
      <c r="A235" s="30" t="s">
        <v>610</v>
      </c>
      <c r="B235" s="210" t="s">
        <v>1039</v>
      </c>
      <c r="C235" s="211">
        <v>0.173008</v>
      </c>
      <c r="D235" s="211">
        <v>0.17172299999999999</v>
      </c>
      <c r="E235" s="211">
        <v>0.169068</v>
      </c>
      <c r="F235" s="211">
        <v>0.164576</v>
      </c>
      <c r="G235" s="211">
        <v>0.16542399999999999</v>
      </c>
      <c r="H235" s="211">
        <v>0.16841900000000001</v>
      </c>
      <c r="I235" s="211">
        <v>0.168487</v>
      </c>
      <c r="J235" s="211">
        <v>0.164966</v>
      </c>
      <c r="K235" s="211">
        <v>0.158774</v>
      </c>
      <c r="L235" s="211">
        <v>0.15432899999999999</v>
      </c>
      <c r="M235" s="211">
        <v>0.15285599999999999</v>
      </c>
      <c r="N235" s="211">
        <v>0.15282999999999999</v>
      </c>
      <c r="O235" s="211">
        <v>0.15127099999999999</v>
      </c>
      <c r="P235" s="211">
        <v>0.15037500000000001</v>
      </c>
      <c r="Q235" s="211">
        <v>0.14968300000000001</v>
      </c>
      <c r="R235" s="211">
        <v>0.149451</v>
      </c>
      <c r="S235" s="211">
        <v>0.14862800000000001</v>
      </c>
      <c r="T235" s="211">
        <v>0.14777999999999999</v>
      </c>
      <c r="U235" s="211">
        <v>0.14705699999999999</v>
      </c>
      <c r="V235" s="211">
        <v>0.14660300000000001</v>
      </c>
      <c r="W235" s="211">
        <v>0.14538499999999999</v>
      </c>
      <c r="X235" s="211">
        <v>0.14497399999999999</v>
      </c>
      <c r="Y235" s="211">
        <v>0.14352400000000001</v>
      </c>
      <c r="Z235" s="211">
        <v>0.14100499999999999</v>
      </c>
      <c r="AA235" s="211">
        <v>0.13896900000000001</v>
      </c>
      <c r="AB235" s="211">
        <v>0.13796600000000001</v>
      </c>
      <c r="AC235" s="211">
        <v>0.137487</v>
      </c>
      <c r="AD235" s="211">
        <v>0.13655200000000001</v>
      </c>
      <c r="AE235" s="211">
        <v>0.13630700000000001</v>
      </c>
      <c r="AF235" s="212">
        <v>-8.4790000000000004E-3</v>
      </c>
      <c r="AG235" s="31"/>
    </row>
    <row r="236" spans="1:33">
      <c r="A236" s="30" t="s">
        <v>611</v>
      </c>
      <c r="B236" s="210" t="s">
        <v>1040</v>
      </c>
      <c r="C236" s="211">
        <v>4.3201349999999996</v>
      </c>
      <c r="D236" s="211">
        <v>4.0431869999999996</v>
      </c>
      <c r="E236" s="211">
        <v>3.9238460000000002</v>
      </c>
      <c r="F236" s="211">
        <v>3.769495</v>
      </c>
      <c r="G236" s="211">
        <v>3.6716500000000001</v>
      </c>
      <c r="H236" s="211">
        <v>3.5551919999999999</v>
      </c>
      <c r="I236" s="211">
        <v>3.410104</v>
      </c>
      <c r="J236" s="211">
        <v>3.1770309999999999</v>
      </c>
      <c r="K236" s="211">
        <v>2.9144230000000002</v>
      </c>
      <c r="L236" s="211">
        <v>2.829548</v>
      </c>
      <c r="M236" s="211">
        <v>2.8854839999999999</v>
      </c>
      <c r="N236" s="211">
        <v>3.0298370000000001</v>
      </c>
      <c r="O236" s="211">
        <v>3.2043180000000002</v>
      </c>
      <c r="P236" s="211">
        <v>3.3965519999999998</v>
      </c>
      <c r="Q236" s="211">
        <v>3.5950709999999999</v>
      </c>
      <c r="R236" s="211">
        <v>3.8028870000000001</v>
      </c>
      <c r="S236" s="211">
        <v>4.0112290000000002</v>
      </c>
      <c r="T236" s="211">
        <v>4.2221770000000003</v>
      </c>
      <c r="U236" s="211">
        <v>4.4554580000000001</v>
      </c>
      <c r="V236" s="211">
        <v>4.7012130000000001</v>
      </c>
      <c r="W236" s="211">
        <v>4.9360179999999998</v>
      </c>
      <c r="X236" s="211">
        <v>5.2028869999999996</v>
      </c>
      <c r="Y236" s="211">
        <v>5.4368910000000001</v>
      </c>
      <c r="Z236" s="211">
        <v>5.6219320000000002</v>
      </c>
      <c r="AA236" s="211">
        <v>5.8171609999999996</v>
      </c>
      <c r="AB236" s="211">
        <v>6.0639770000000004</v>
      </c>
      <c r="AC236" s="211">
        <v>6.339137</v>
      </c>
      <c r="AD236" s="211">
        <v>6.6010340000000003</v>
      </c>
      <c r="AE236" s="211">
        <v>6.8982409999999996</v>
      </c>
      <c r="AF236" s="212">
        <v>1.6854000000000001E-2</v>
      </c>
      <c r="AG236" s="31"/>
    </row>
    <row r="237" spans="1:33">
      <c r="A237" s="30" t="s">
        <v>612</v>
      </c>
      <c r="B237" s="210" t="s">
        <v>1041</v>
      </c>
      <c r="C237" s="211">
        <v>0</v>
      </c>
      <c r="D237" s="211">
        <v>0</v>
      </c>
      <c r="E237" s="211">
        <v>0</v>
      </c>
      <c r="F237" s="211">
        <v>0</v>
      </c>
      <c r="G237" s="211">
        <v>0</v>
      </c>
      <c r="H237" s="211">
        <v>0</v>
      </c>
      <c r="I237" s="211">
        <v>0</v>
      </c>
      <c r="J237" s="211">
        <v>0</v>
      </c>
      <c r="K237" s="211">
        <v>0</v>
      </c>
      <c r="L237" s="211">
        <v>0</v>
      </c>
      <c r="M237" s="211">
        <v>0</v>
      </c>
      <c r="N237" s="211">
        <v>0</v>
      </c>
      <c r="O237" s="211">
        <v>0</v>
      </c>
      <c r="P237" s="211">
        <v>0</v>
      </c>
      <c r="Q237" s="211">
        <v>0</v>
      </c>
      <c r="R237" s="211">
        <v>0</v>
      </c>
      <c r="S237" s="211">
        <v>0</v>
      </c>
      <c r="T237" s="211">
        <v>0</v>
      </c>
      <c r="U237" s="211">
        <v>0</v>
      </c>
      <c r="V237" s="211">
        <v>0</v>
      </c>
      <c r="W237" s="211">
        <v>0</v>
      </c>
      <c r="X237" s="211">
        <v>0</v>
      </c>
      <c r="Y237" s="211">
        <v>0</v>
      </c>
      <c r="Z237" s="211">
        <v>0</v>
      </c>
      <c r="AA237" s="211">
        <v>0</v>
      </c>
      <c r="AB237" s="211">
        <v>0</v>
      </c>
      <c r="AC237" s="211">
        <v>0</v>
      </c>
      <c r="AD237" s="211">
        <v>0</v>
      </c>
      <c r="AE237" s="211">
        <v>0</v>
      </c>
      <c r="AF237" s="212" t="s">
        <v>340</v>
      </c>
      <c r="AG237" s="31"/>
    </row>
    <row r="238" spans="1:33">
      <c r="A238" s="30" t="s">
        <v>613</v>
      </c>
      <c r="B238" s="210" t="s">
        <v>1042</v>
      </c>
      <c r="C238" s="211">
        <v>4.6861E-2</v>
      </c>
      <c r="D238" s="211">
        <v>4.2104000000000003E-2</v>
      </c>
      <c r="E238" s="211">
        <v>3.7054999999999998E-2</v>
      </c>
      <c r="F238" s="211">
        <v>3.2542000000000001E-2</v>
      </c>
      <c r="G238" s="211">
        <v>2.8996999999999998E-2</v>
      </c>
      <c r="H238" s="211">
        <v>2.6221999999999999E-2</v>
      </c>
      <c r="I238" s="211">
        <v>2.3376999999999998E-2</v>
      </c>
      <c r="J238" s="211">
        <v>2.0413000000000001E-2</v>
      </c>
      <c r="K238" s="211">
        <v>1.7541000000000001E-2</v>
      </c>
      <c r="L238" s="211">
        <v>1.5166000000000001E-2</v>
      </c>
      <c r="M238" s="211">
        <v>1.3365999999999999E-2</v>
      </c>
      <c r="N238" s="211">
        <v>1.1858E-2</v>
      </c>
      <c r="O238" s="211">
        <v>1.0488000000000001E-2</v>
      </c>
      <c r="P238" s="211">
        <v>9.2910000000000006E-3</v>
      </c>
      <c r="Q238" s="211">
        <v>8.2199999999999999E-3</v>
      </c>
      <c r="R238" s="211">
        <v>7.2639999999999996E-3</v>
      </c>
      <c r="S238" s="211">
        <v>6.4009999999999996E-3</v>
      </c>
      <c r="T238" s="211">
        <v>5.6319999999999999E-3</v>
      </c>
      <c r="U238" s="211">
        <v>4.9620000000000003E-3</v>
      </c>
      <c r="V238" s="211">
        <v>4.3670000000000002E-3</v>
      </c>
      <c r="W238" s="211">
        <v>3.8249999999999998E-3</v>
      </c>
      <c r="X238" s="211">
        <v>3.3549999999999999E-3</v>
      </c>
      <c r="Y238" s="211">
        <v>2.9150000000000001E-3</v>
      </c>
      <c r="Z238" s="211">
        <v>2.5100000000000001E-3</v>
      </c>
      <c r="AA238" s="211">
        <v>2.1640000000000001E-3</v>
      </c>
      <c r="AB238" s="211">
        <v>1.8760000000000001E-3</v>
      </c>
      <c r="AC238" s="211">
        <v>1.6310000000000001E-3</v>
      </c>
      <c r="AD238" s="211">
        <v>1.413E-3</v>
      </c>
      <c r="AE238" s="211">
        <v>1.2279999999999999E-3</v>
      </c>
      <c r="AF238" s="212">
        <v>-0.121974</v>
      </c>
      <c r="AG238" s="31"/>
    </row>
    <row r="239" spans="1:33">
      <c r="A239" s="30" t="s">
        <v>614</v>
      </c>
      <c r="B239" s="210" t="s">
        <v>1043</v>
      </c>
      <c r="C239" s="211">
        <v>0</v>
      </c>
      <c r="D239" s="211">
        <v>0</v>
      </c>
      <c r="E239" s="211">
        <v>0.124004</v>
      </c>
      <c r="F239" s="211">
        <v>0.12336999999999999</v>
      </c>
      <c r="G239" s="211">
        <v>0.123497</v>
      </c>
      <c r="H239" s="211">
        <v>0.12639400000000001</v>
      </c>
      <c r="I239" s="211">
        <v>0.12881799999999999</v>
      </c>
      <c r="J239" s="211">
        <v>0.12857199999999999</v>
      </c>
      <c r="K239" s="211">
        <v>0.12715799999999999</v>
      </c>
      <c r="L239" s="211">
        <v>0.127133</v>
      </c>
      <c r="M239" s="211">
        <v>0.13075700000000001</v>
      </c>
      <c r="N239" s="211">
        <v>0.13653799999999999</v>
      </c>
      <c r="O239" s="211">
        <v>0.14230000000000001</v>
      </c>
      <c r="P239" s="211">
        <v>0.14810699999999999</v>
      </c>
      <c r="Q239" s="211">
        <v>0.155443</v>
      </c>
      <c r="R239" s="211">
        <v>0.16337199999999999</v>
      </c>
      <c r="S239" s="211">
        <v>0.17139299999999999</v>
      </c>
      <c r="T239" s="211">
        <v>0.18044499999999999</v>
      </c>
      <c r="U239" s="211">
        <v>0.191217</v>
      </c>
      <c r="V239" s="211">
        <v>0.203458</v>
      </c>
      <c r="W239" s="211">
        <v>0.21637600000000001</v>
      </c>
      <c r="X239" s="211">
        <v>0.231353</v>
      </c>
      <c r="Y239" s="211">
        <v>0.24589900000000001</v>
      </c>
      <c r="Z239" s="211">
        <v>0.25953599999999999</v>
      </c>
      <c r="AA239" s="211">
        <v>0.27476200000000001</v>
      </c>
      <c r="AB239" s="211">
        <v>0.29278399999999999</v>
      </c>
      <c r="AC239" s="211">
        <v>0.31290899999999999</v>
      </c>
      <c r="AD239" s="211">
        <v>0.332872</v>
      </c>
      <c r="AE239" s="211">
        <v>0.35465200000000002</v>
      </c>
      <c r="AF239" s="212" t="s">
        <v>340</v>
      </c>
      <c r="AG239" s="31"/>
    </row>
    <row r="240" spans="1:33">
      <c r="A240" s="30" t="s">
        <v>615</v>
      </c>
      <c r="B240" s="210" t="s">
        <v>1044</v>
      </c>
      <c r="C240" s="211">
        <v>0</v>
      </c>
      <c r="D240" s="211">
        <v>0</v>
      </c>
      <c r="E240" s="211">
        <v>0.27505000000000002</v>
      </c>
      <c r="F240" s="211">
        <v>0.26865899999999998</v>
      </c>
      <c r="G240" s="211">
        <v>0.26628800000000002</v>
      </c>
      <c r="H240" s="211">
        <v>0.268984</v>
      </c>
      <c r="I240" s="211">
        <v>0.26871</v>
      </c>
      <c r="J240" s="211">
        <v>0.26366499999999998</v>
      </c>
      <c r="K240" s="211">
        <v>0.257156</v>
      </c>
      <c r="L240" s="211">
        <v>0.255056</v>
      </c>
      <c r="M240" s="211">
        <v>0.25977699999999998</v>
      </c>
      <c r="N240" s="211">
        <v>0.26896799999999998</v>
      </c>
      <c r="O240" s="211">
        <v>0.27766999999999997</v>
      </c>
      <c r="P240" s="211">
        <v>0.28694399999999998</v>
      </c>
      <c r="Q240" s="211">
        <v>0.297906</v>
      </c>
      <c r="R240" s="211">
        <v>0.31016899999999997</v>
      </c>
      <c r="S240" s="211">
        <v>0.32225300000000001</v>
      </c>
      <c r="T240" s="211">
        <v>0.33644299999999999</v>
      </c>
      <c r="U240" s="211">
        <v>0.35324499999999998</v>
      </c>
      <c r="V240" s="211">
        <v>0.37246200000000002</v>
      </c>
      <c r="W240" s="211">
        <v>0.39206400000000002</v>
      </c>
      <c r="X240" s="211">
        <v>0.41481699999999999</v>
      </c>
      <c r="Y240" s="211">
        <v>0.43431999999999998</v>
      </c>
      <c r="Z240" s="211">
        <v>0.45070199999999999</v>
      </c>
      <c r="AA240" s="211">
        <v>0.46655400000000002</v>
      </c>
      <c r="AB240" s="211">
        <v>0.48563899999999999</v>
      </c>
      <c r="AC240" s="211">
        <v>0.504992</v>
      </c>
      <c r="AD240" s="211">
        <v>0.52243700000000004</v>
      </c>
      <c r="AE240" s="211">
        <v>0.53968000000000005</v>
      </c>
      <c r="AF240" s="212" t="s">
        <v>340</v>
      </c>
      <c r="AG240" s="31"/>
    </row>
    <row r="241" spans="1:33">
      <c r="A241" s="30" t="s">
        <v>616</v>
      </c>
      <c r="B241" s="210" t="s">
        <v>1045</v>
      </c>
      <c r="C241" s="211">
        <v>0</v>
      </c>
      <c r="D241" s="211">
        <v>0</v>
      </c>
      <c r="E241" s="211">
        <v>0.41006300000000001</v>
      </c>
      <c r="F241" s="211">
        <v>0.41000599999999998</v>
      </c>
      <c r="G241" s="211">
        <v>0.41621000000000002</v>
      </c>
      <c r="H241" s="211">
        <v>0.42923</v>
      </c>
      <c r="I241" s="211">
        <v>0.43662499999999999</v>
      </c>
      <c r="J241" s="211">
        <v>0.435529</v>
      </c>
      <c r="K241" s="211">
        <v>0.42805599999999999</v>
      </c>
      <c r="L241" s="211">
        <v>0.42384300000000003</v>
      </c>
      <c r="M241" s="211">
        <v>0.42857499999999998</v>
      </c>
      <c r="N241" s="211">
        <v>0.43723400000000001</v>
      </c>
      <c r="O241" s="211">
        <v>0.445851</v>
      </c>
      <c r="P241" s="211">
        <v>0.45676800000000001</v>
      </c>
      <c r="Q241" s="211">
        <v>0.46883200000000003</v>
      </c>
      <c r="R241" s="211">
        <v>0.48222100000000001</v>
      </c>
      <c r="S241" s="211">
        <v>0.49639699999999998</v>
      </c>
      <c r="T241" s="211">
        <v>0.51200900000000005</v>
      </c>
      <c r="U241" s="211">
        <v>0.53081999999999996</v>
      </c>
      <c r="V241" s="211">
        <v>0.55196599999999996</v>
      </c>
      <c r="W241" s="211">
        <v>0.57327099999999998</v>
      </c>
      <c r="X241" s="211">
        <v>0.59853599999999996</v>
      </c>
      <c r="Y241" s="211">
        <v>0.62161699999999998</v>
      </c>
      <c r="Z241" s="211">
        <v>0.64187300000000003</v>
      </c>
      <c r="AA241" s="211">
        <v>0.66601399999999999</v>
      </c>
      <c r="AB241" s="211">
        <v>0.69730700000000001</v>
      </c>
      <c r="AC241" s="211">
        <v>0.73452300000000004</v>
      </c>
      <c r="AD241" s="211">
        <v>0.77302800000000005</v>
      </c>
      <c r="AE241" s="211">
        <v>0.81800399999999995</v>
      </c>
      <c r="AF241" s="212" t="s">
        <v>340</v>
      </c>
      <c r="AG241" s="31"/>
    </row>
    <row r="242" spans="1:33">
      <c r="A242" s="30" t="s">
        <v>617</v>
      </c>
      <c r="B242" s="210" t="s">
        <v>1050</v>
      </c>
      <c r="C242" s="211">
        <v>279.16204800000003</v>
      </c>
      <c r="D242" s="211">
        <v>282.80480999999997</v>
      </c>
      <c r="E242" s="211">
        <v>281.07968099999999</v>
      </c>
      <c r="F242" s="211">
        <v>278.68725599999999</v>
      </c>
      <c r="G242" s="211">
        <v>280.256958</v>
      </c>
      <c r="H242" s="211">
        <v>285.92919899999998</v>
      </c>
      <c r="I242" s="211">
        <v>287.41281099999998</v>
      </c>
      <c r="J242" s="211">
        <v>282.88992300000001</v>
      </c>
      <c r="K242" s="211">
        <v>273.94830300000001</v>
      </c>
      <c r="L242" s="211">
        <v>266.97226000000001</v>
      </c>
      <c r="M242" s="211">
        <v>265.300659</v>
      </c>
      <c r="N242" s="211">
        <v>265.54583700000001</v>
      </c>
      <c r="O242" s="211">
        <v>265.13763399999999</v>
      </c>
      <c r="P242" s="211">
        <v>265.377228</v>
      </c>
      <c r="Q242" s="211">
        <v>265.48864700000001</v>
      </c>
      <c r="R242" s="211">
        <v>265.49408</v>
      </c>
      <c r="S242" s="211">
        <v>265.022491</v>
      </c>
      <c r="T242" s="211">
        <v>264.367279</v>
      </c>
      <c r="U242" s="211">
        <v>264.34481799999998</v>
      </c>
      <c r="V242" s="211">
        <v>264.38436899999999</v>
      </c>
      <c r="W242" s="211">
        <v>263.38577299999997</v>
      </c>
      <c r="X242" s="211">
        <v>263.080872</v>
      </c>
      <c r="Y242" s="211">
        <v>260.720215</v>
      </c>
      <c r="Z242" s="211">
        <v>256.26821899999999</v>
      </c>
      <c r="AA242" s="211">
        <v>252.55316199999999</v>
      </c>
      <c r="AB242" s="211">
        <v>250.65791300000001</v>
      </c>
      <c r="AC242" s="211">
        <v>249.87380999999999</v>
      </c>
      <c r="AD242" s="211">
        <v>248.53254699999999</v>
      </c>
      <c r="AE242" s="211">
        <v>248.30985999999999</v>
      </c>
      <c r="AF242" s="212">
        <v>-4.1739999999999998E-3</v>
      </c>
      <c r="AG242" s="31"/>
    </row>
    <row r="243" spans="1:33">
      <c r="A243" s="30" t="s">
        <v>618</v>
      </c>
      <c r="B243" s="209" t="s">
        <v>619</v>
      </c>
      <c r="C243" s="213">
        <v>711.90508999999997</v>
      </c>
      <c r="D243" s="213">
        <v>731.49768100000006</v>
      </c>
      <c r="E243" s="213">
        <v>746.08410600000002</v>
      </c>
      <c r="F243" s="213">
        <v>755.33306900000002</v>
      </c>
      <c r="G243" s="213">
        <v>765.83038299999998</v>
      </c>
      <c r="H243" s="213">
        <v>780.86895800000002</v>
      </c>
      <c r="I243" s="213">
        <v>788.05279499999995</v>
      </c>
      <c r="J243" s="213">
        <v>786.18463099999997</v>
      </c>
      <c r="K243" s="213">
        <v>775.89386000000002</v>
      </c>
      <c r="L243" s="213">
        <v>769.153503</v>
      </c>
      <c r="M243" s="213">
        <v>772.19421399999999</v>
      </c>
      <c r="N243" s="213">
        <v>778.19146699999999</v>
      </c>
      <c r="O243" s="213">
        <v>784.09899900000005</v>
      </c>
      <c r="P243" s="213">
        <v>793.142517</v>
      </c>
      <c r="Q243" s="213">
        <v>802.76110800000004</v>
      </c>
      <c r="R243" s="213">
        <v>811.77514599999995</v>
      </c>
      <c r="S243" s="213">
        <v>820.43054199999995</v>
      </c>
      <c r="T243" s="213">
        <v>828.44409199999996</v>
      </c>
      <c r="U243" s="213">
        <v>838.05096400000002</v>
      </c>
      <c r="V243" s="213">
        <v>845.96551499999998</v>
      </c>
      <c r="W243" s="213">
        <v>851.84161400000005</v>
      </c>
      <c r="X243" s="213">
        <v>858.72430399999996</v>
      </c>
      <c r="Y243" s="213">
        <v>861.682861</v>
      </c>
      <c r="Z243" s="213">
        <v>862.92309599999999</v>
      </c>
      <c r="AA243" s="213">
        <v>865.21826199999998</v>
      </c>
      <c r="AB243" s="213">
        <v>869.99597200000005</v>
      </c>
      <c r="AC243" s="213">
        <v>875.87756300000001</v>
      </c>
      <c r="AD243" s="213">
        <v>882.39776600000005</v>
      </c>
      <c r="AE243" s="213">
        <v>891.90478499999995</v>
      </c>
      <c r="AF243" s="214">
        <v>8.0829999999999999E-3</v>
      </c>
      <c r="AG243" s="31"/>
    </row>
    <row r="244" spans="1:33">
      <c r="A244" s="29"/>
      <c r="B244" s="31"/>
      <c r="C244" s="31"/>
      <c r="D244" s="31"/>
      <c r="E244" s="31"/>
      <c r="F244" s="31"/>
      <c r="G244" s="31"/>
      <c r="H244" s="31"/>
      <c r="I244" s="31"/>
      <c r="J244" s="31"/>
      <c r="K244" s="31"/>
      <c r="L244" s="31"/>
      <c r="M244" s="31"/>
      <c r="N244" s="31"/>
      <c r="O244" s="31"/>
      <c r="P244" s="31"/>
      <c r="Q244" s="31"/>
      <c r="R244" s="31"/>
      <c r="S244" s="31"/>
      <c r="T244" s="31"/>
      <c r="U244" s="31"/>
      <c r="V244" s="31"/>
      <c r="W244" s="31"/>
      <c r="X244" s="31"/>
      <c r="Y244" s="31"/>
      <c r="Z244" s="31"/>
      <c r="AA244" s="31"/>
      <c r="AB244" s="31"/>
      <c r="AC244" s="31"/>
      <c r="AD244" s="31"/>
      <c r="AE244" s="31"/>
      <c r="AF244" s="31"/>
      <c r="AG244" s="31"/>
    </row>
    <row r="245" spans="1:33">
      <c r="A245" s="29"/>
      <c r="B245" s="31"/>
      <c r="C245" s="31"/>
      <c r="D245" s="31"/>
      <c r="E245" s="31"/>
      <c r="F245" s="31"/>
      <c r="G245" s="31"/>
      <c r="H245" s="31"/>
      <c r="I245" s="31"/>
      <c r="J245" s="31"/>
      <c r="K245" s="31"/>
      <c r="L245" s="31"/>
      <c r="M245" s="31"/>
      <c r="N245" s="31"/>
      <c r="O245" s="31"/>
      <c r="P245" s="31"/>
      <c r="Q245" s="31"/>
      <c r="R245" s="31"/>
      <c r="S245" s="31"/>
      <c r="T245" s="31"/>
      <c r="U245" s="31"/>
      <c r="V245" s="31"/>
      <c r="W245" s="31"/>
      <c r="X245" s="31"/>
      <c r="Y245" s="31"/>
      <c r="Z245" s="31"/>
      <c r="AA245" s="31"/>
      <c r="AB245" s="31"/>
      <c r="AC245" s="31"/>
      <c r="AD245" s="31"/>
      <c r="AE245" s="31"/>
      <c r="AF245" s="31"/>
      <c r="AG245" s="31"/>
    </row>
    <row r="246" spans="1:33">
      <c r="A246" s="29"/>
      <c r="B246" s="31"/>
      <c r="C246" s="31"/>
      <c r="D246" s="31"/>
      <c r="E246" s="31"/>
      <c r="F246" s="31"/>
      <c r="G246" s="31"/>
      <c r="H246" s="31"/>
      <c r="I246" s="31"/>
      <c r="J246" s="31"/>
      <c r="K246" s="31"/>
      <c r="L246" s="31"/>
      <c r="M246" s="31"/>
      <c r="N246" s="31"/>
      <c r="O246" s="31"/>
      <c r="P246" s="31"/>
      <c r="Q246" s="31"/>
      <c r="R246" s="31"/>
      <c r="S246" s="31"/>
      <c r="T246" s="31"/>
      <c r="U246" s="31"/>
      <c r="V246" s="31"/>
      <c r="W246" s="31"/>
      <c r="X246" s="31"/>
      <c r="Y246" s="31"/>
      <c r="Z246" s="31"/>
      <c r="AA246" s="31"/>
      <c r="AB246" s="31"/>
      <c r="AC246" s="31"/>
      <c r="AD246" s="31"/>
      <c r="AE246" s="31"/>
      <c r="AF246" s="31"/>
      <c r="AG246" s="31"/>
    </row>
    <row r="247" spans="1:33">
      <c r="A247" s="29"/>
      <c r="B247" s="209" t="s">
        <v>192</v>
      </c>
      <c r="C247" s="31"/>
      <c r="D247" s="31"/>
      <c r="E247" s="31"/>
      <c r="F247" s="31"/>
      <c r="G247" s="31"/>
      <c r="H247" s="31"/>
      <c r="I247" s="31"/>
      <c r="J247" s="31"/>
      <c r="K247" s="31"/>
      <c r="L247" s="31"/>
      <c r="M247" s="31"/>
      <c r="N247" s="31"/>
      <c r="O247" s="31"/>
      <c r="P247" s="31"/>
      <c r="Q247" s="31"/>
      <c r="R247" s="31"/>
      <c r="S247" s="31"/>
      <c r="T247" s="31"/>
      <c r="U247" s="31"/>
      <c r="V247" s="31"/>
      <c r="W247" s="31"/>
      <c r="X247" s="31"/>
      <c r="Y247" s="31"/>
      <c r="Z247" s="31"/>
      <c r="AA247" s="31"/>
      <c r="AB247" s="31"/>
      <c r="AC247" s="31"/>
      <c r="AD247" s="31"/>
      <c r="AE247" s="31"/>
      <c r="AF247" s="31"/>
      <c r="AG247" s="31"/>
    </row>
    <row r="248" spans="1:33">
      <c r="A248" s="30" t="s">
        <v>620</v>
      </c>
      <c r="B248" s="210" t="s">
        <v>621</v>
      </c>
      <c r="C248" s="219">
        <v>1620.4948730000001</v>
      </c>
      <c r="D248" s="219">
        <v>1600.1008300000001</v>
      </c>
      <c r="E248" s="219">
        <v>1666.9197999999999</v>
      </c>
      <c r="F248" s="219">
        <v>1628.408447</v>
      </c>
      <c r="G248" s="219">
        <v>1561.420654</v>
      </c>
      <c r="H248" s="219">
        <v>1509.649414</v>
      </c>
      <c r="I248" s="219">
        <v>1489.7312010000001</v>
      </c>
      <c r="J248" s="219">
        <v>1507.5151370000001</v>
      </c>
      <c r="K248" s="219">
        <v>1500.1649170000001</v>
      </c>
      <c r="L248" s="219">
        <v>1506.952393</v>
      </c>
      <c r="M248" s="219">
        <v>1522.1982419999999</v>
      </c>
      <c r="N248" s="219">
        <v>1534.73938</v>
      </c>
      <c r="O248" s="219">
        <v>1543.237427</v>
      </c>
      <c r="P248" s="219">
        <v>1554.590698</v>
      </c>
      <c r="Q248" s="219">
        <v>1557.5253909999999</v>
      </c>
      <c r="R248" s="219">
        <v>1562.481567</v>
      </c>
      <c r="S248" s="219">
        <v>1568.966064</v>
      </c>
      <c r="T248" s="219">
        <v>1568.3394780000001</v>
      </c>
      <c r="U248" s="219">
        <v>1571.777466</v>
      </c>
      <c r="V248" s="219">
        <v>1585.611206</v>
      </c>
      <c r="W248" s="219">
        <v>1597.3070070000001</v>
      </c>
      <c r="X248" s="219">
        <v>1600.190918</v>
      </c>
      <c r="Y248" s="219">
        <v>1601.832764</v>
      </c>
      <c r="Z248" s="219">
        <v>1602.998779</v>
      </c>
      <c r="AA248" s="219">
        <v>1608.1293949999999</v>
      </c>
      <c r="AB248" s="219">
        <v>1618.0823969999999</v>
      </c>
      <c r="AC248" s="219">
        <v>1630.8079829999999</v>
      </c>
      <c r="AD248" s="219">
        <v>1636.8905030000001</v>
      </c>
      <c r="AE248" s="219">
        <v>1649.469482</v>
      </c>
      <c r="AF248" s="212">
        <v>6.3299999999999999E-4</v>
      </c>
      <c r="AG248" s="31"/>
    </row>
    <row r="249" spans="1:33">
      <c r="A249" s="30" t="s">
        <v>622</v>
      </c>
      <c r="B249" s="210" t="s">
        <v>623</v>
      </c>
      <c r="C249" s="211">
        <v>3.3663400000000001</v>
      </c>
      <c r="D249" s="211">
        <v>3.3698929999999998</v>
      </c>
      <c r="E249" s="211">
        <v>3.3734500000000001</v>
      </c>
      <c r="F249" s="211">
        <v>3.3770099999999998</v>
      </c>
      <c r="G249" s="211">
        <v>3.3805740000000002</v>
      </c>
      <c r="H249" s="211">
        <v>3.3841420000000002</v>
      </c>
      <c r="I249" s="211">
        <v>3.3877130000000002</v>
      </c>
      <c r="J249" s="211">
        <v>3.391289</v>
      </c>
      <c r="K249" s="211">
        <v>3.3948680000000002</v>
      </c>
      <c r="L249" s="211">
        <v>3.3984510000000001</v>
      </c>
      <c r="M249" s="211">
        <v>3.402037</v>
      </c>
      <c r="N249" s="211">
        <v>3.4056280000000001</v>
      </c>
      <c r="O249" s="211">
        <v>3.4092220000000002</v>
      </c>
      <c r="P249" s="211">
        <v>3.41282</v>
      </c>
      <c r="Q249" s="211">
        <v>3.4164219999999998</v>
      </c>
      <c r="R249" s="211">
        <v>3.4200270000000002</v>
      </c>
      <c r="S249" s="211">
        <v>3.4236369999999998</v>
      </c>
      <c r="T249" s="211">
        <v>3.4272499999999999</v>
      </c>
      <c r="U249" s="211">
        <v>3.4308670000000001</v>
      </c>
      <c r="V249" s="211">
        <v>3.434488</v>
      </c>
      <c r="W249" s="211">
        <v>3.438113</v>
      </c>
      <c r="X249" s="211">
        <v>3.4417409999999999</v>
      </c>
      <c r="Y249" s="211">
        <v>3.445373</v>
      </c>
      <c r="Z249" s="211">
        <v>3.4490099999999999</v>
      </c>
      <c r="AA249" s="211">
        <v>3.4526490000000001</v>
      </c>
      <c r="AB249" s="211">
        <v>3.4562930000000001</v>
      </c>
      <c r="AC249" s="211">
        <v>3.4599410000000002</v>
      </c>
      <c r="AD249" s="211">
        <v>3.4635929999999999</v>
      </c>
      <c r="AE249" s="211">
        <v>3.4672480000000001</v>
      </c>
      <c r="AF249" s="212">
        <v>1.0549999999999999E-3</v>
      </c>
      <c r="AG249" s="31"/>
    </row>
    <row r="250" spans="1:33">
      <c r="A250" s="29"/>
      <c r="B250" s="209" t="s">
        <v>624</v>
      </c>
      <c r="C250" s="31"/>
      <c r="D250" s="31"/>
      <c r="E250" s="31"/>
      <c r="F250" s="31"/>
      <c r="G250" s="31"/>
      <c r="H250" s="31"/>
      <c r="I250" s="31"/>
      <c r="J250" s="31"/>
      <c r="K250" s="31"/>
      <c r="L250" s="31"/>
      <c r="M250" s="31"/>
      <c r="N250" s="31"/>
      <c r="O250" s="31"/>
      <c r="P250" s="31"/>
      <c r="Q250" s="31"/>
      <c r="R250" s="31"/>
      <c r="S250" s="31"/>
      <c r="T250" s="31"/>
      <c r="U250" s="31"/>
      <c r="V250" s="31"/>
      <c r="W250" s="31"/>
      <c r="X250" s="31"/>
      <c r="Y250" s="31"/>
      <c r="Z250" s="31"/>
      <c r="AA250" s="31"/>
      <c r="AB250" s="31"/>
      <c r="AC250" s="31"/>
      <c r="AD250" s="31"/>
      <c r="AE250" s="31"/>
      <c r="AF250" s="31"/>
      <c r="AG250" s="31"/>
    </row>
    <row r="251" spans="1:33">
      <c r="A251" s="30" t="s">
        <v>625</v>
      </c>
      <c r="B251" s="210" t="s">
        <v>1056</v>
      </c>
      <c r="C251" s="211">
        <v>480.86654700000003</v>
      </c>
      <c r="D251" s="211">
        <v>473.79251099999999</v>
      </c>
      <c r="E251" s="211">
        <v>492.51501500000001</v>
      </c>
      <c r="F251" s="211">
        <v>480.10034200000001</v>
      </c>
      <c r="G251" s="211">
        <v>459.17535400000003</v>
      </c>
      <c r="H251" s="211">
        <v>442.59573399999999</v>
      </c>
      <c r="I251" s="211">
        <v>435.204926</v>
      </c>
      <c r="J251" s="211">
        <v>438.61608899999999</v>
      </c>
      <c r="K251" s="211">
        <v>434.49127199999998</v>
      </c>
      <c r="L251" s="211">
        <v>434.25302099999999</v>
      </c>
      <c r="M251" s="211">
        <v>435.99301100000002</v>
      </c>
      <c r="N251" s="211">
        <v>436.48690800000003</v>
      </c>
      <c r="O251" s="211">
        <v>435.37204000000003</v>
      </c>
      <c r="P251" s="211">
        <v>434.60772700000001</v>
      </c>
      <c r="Q251" s="211">
        <v>431.05429099999998</v>
      </c>
      <c r="R251" s="211">
        <v>427.65039100000001</v>
      </c>
      <c r="S251" s="211">
        <v>424.25372299999998</v>
      </c>
      <c r="T251" s="211">
        <v>418.55365</v>
      </c>
      <c r="U251" s="211">
        <v>413.58151199999998</v>
      </c>
      <c r="V251" s="211">
        <v>410.946777</v>
      </c>
      <c r="W251" s="211">
        <v>407.33846999999997</v>
      </c>
      <c r="X251" s="211">
        <v>401.121399</v>
      </c>
      <c r="Y251" s="211">
        <v>394.29074100000003</v>
      </c>
      <c r="Z251" s="211">
        <v>387.06680299999999</v>
      </c>
      <c r="AA251" s="211">
        <v>380.52633700000001</v>
      </c>
      <c r="AB251" s="211">
        <v>373.70101899999997</v>
      </c>
      <c r="AC251" s="211">
        <v>367.609375</v>
      </c>
      <c r="AD251" s="211">
        <v>360.13336199999998</v>
      </c>
      <c r="AE251" s="211">
        <v>354.19946299999998</v>
      </c>
      <c r="AF251" s="212">
        <v>-1.0859000000000001E-2</v>
      </c>
      <c r="AG251" s="31"/>
    </row>
    <row r="252" spans="1:33">
      <c r="A252" s="30" t="s">
        <v>626</v>
      </c>
      <c r="B252" s="210" t="s">
        <v>1057</v>
      </c>
      <c r="C252" s="211">
        <v>0</v>
      </c>
      <c r="D252" s="211">
        <v>0</v>
      </c>
      <c r="E252" s="211">
        <v>0</v>
      </c>
      <c r="F252" s="211">
        <v>0</v>
      </c>
      <c r="G252" s="211">
        <v>0</v>
      </c>
      <c r="H252" s="211">
        <v>0</v>
      </c>
      <c r="I252" s="211">
        <v>0</v>
      </c>
      <c r="J252" s="211">
        <v>0</v>
      </c>
      <c r="K252" s="211">
        <v>0</v>
      </c>
      <c r="L252" s="211">
        <v>0</v>
      </c>
      <c r="M252" s="211">
        <v>0</v>
      </c>
      <c r="N252" s="211">
        <v>0</v>
      </c>
      <c r="O252" s="211">
        <v>0</v>
      </c>
      <c r="P252" s="211">
        <v>0</v>
      </c>
      <c r="Q252" s="211">
        <v>0</v>
      </c>
      <c r="R252" s="211">
        <v>0</v>
      </c>
      <c r="S252" s="211">
        <v>0</v>
      </c>
      <c r="T252" s="211">
        <v>0</v>
      </c>
      <c r="U252" s="211">
        <v>0</v>
      </c>
      <c r="V252" s="211">
        <v>0</v>
      </c>
      <c r="W252" s="211">
        <v>0</v>
      </c>
      <c r="X252" s="211">
        <v>0</v>
      </c>
      <c r="Y252" s="211">
        <v>0</v>
      </c>
      <c r="Z252" s="211">
        <v>0</v>
      </c>
      <c r="AA252" s="211">
        <v>0</v>
      </c>
      <c r="AB252" s="211">
        <v>0</v>
      </c>
      <c r="AC252" s="211">
        <v>0</v>
      </c>
      <c r="AD252" s="211">
        <v>0</v>
      </c>
      <c r="AE252" s="211">
        <v>0</v>
      </c>
      <c r="AF252" s="212" t="s">
        <v>340</v>
      </c>
      <c r="AG252" s="31"/>
    </row>
    <row r="253" spans="1:33">
      <c r="A253" s="30" t="s">
        <v>627</v>
      </c>
      <c r="B253" s="210" t="s">
        <v>1058</v>
      </c>
      <c r="C253" s="211">
        <v>0</v>
      </c>
      <c r="D253" s="211">
        <v>0</v>
      </c>
      <c r="E253" s="211">
        <v>0</v>
      </c>
      <c r="F253" s="211">
        <v>0</v>
      </c>
      <c r="G253" s="211">
        <v>0</v>
      </c>
      <c r="H253" s="211">
        <v>0</v>
      </c>
      <c r="I253" s="211">
        <v>0</v>
      </c>
      <c r="J253" s="211">
        <v>0</v>
      </c>
      <c r="K253" s="211">
        <v>0</v>
      </c>
      <c r="L253" s="211">
        <v>0</v>
      </c>
      <c r="M253" s="211">
        <v>0</v>
      </c>
      <c r="N253" s="211">
        <v>0</v>
      </c>
      <c r="O253" s="211">
        <v>0</v>
      </c>
      <c r="P253" s="211">
        <v>0</v>
      </c>
      <c r="Q253" s="211">
        <v>0</v>
      </c>
      <c r="R253" s="211">
        <v>0</v>
      </c>
      <c r="S253" s="211">
        <v>0</v>
      </c>
      <c r="T253" s="211">
        <v>0</v>
      </c>
      <c r="U253" s="211">
        <v>0</v>
      </c>
      <c r="V253" s="211">
        <v>0</v>
      </c>
      <c r="W253" s="211">
        <v>0</v>
      </c>
      <c r="X253" s="211">
        <v>0</v>
      </c>
      <c r="Y253" s="211">
        <v>0</v>
      </c>
      <c r="Z253" s="211">
        <v>0</v>
      </c>
      <c r="AA253" s="211">
        <v>0</v>
      </c>
      <c r="AB253" s="211">
        <v>0</v>
      </c>
      <c r="AC253" s="211">
        <v>0</v>
      </c>
      <c r="AD253" s="211">
        <v>0</v>
      </c>
      <c r="AE253" s="211">
        <v>0</v>
      </c>
      <c r="AF253" s="212" t="s">
        <v>340</v>
      </c>
      <c r="AG253" s="31"/>
    </row>
    <row r="254" spans="1:33">
      <c r="A254" s="30" t="s">
        <v>628</v>
      </c>
      <c r="B254" s="210" t="s">
        <v>1059</v>
      </c>
      <c r="C254" s="211">
        <v>0.51516300000000004</v>
      </c>
      <c r="D254" s="211">
        <v>1.02989</v>
      </c>
      <c r="E254" s="211">
        <v>1.6141289999999999</v>
      </c>
      <c r="F254" s="211">
        <v>2.1038670000000002</v>
      </c>
      <c r="G254" s="211">
        <v>2.7049910000000001</v>
      </c>
      <c r="H254" s="211">
        <v>3.499511</v>
      </c>
      <c r="I254" s="211">
        <v>4.5404369999999998</v>
      </c>
      <c r="J254" s="211">
        <v>5.9096029999999997</v>
      </c>
      <c r="K254" s="211">
        <v>7.4006509999999999</v>
      </c>
      <c r="L254" s="211">
        <v>9.1702840000000005</v>
      </c>
      <c r="M254" s="211">
        <v>11.444215</v>
      </c>
      <c r="N254" s="211">
        <v>14.161068</v>
      </c>
      <c r="O254" s="211">
        <v>17.293554</v>
      </c>
      <c r="P254" s="211">
        <v>20.907318</v>
      </c>
      <c r="Q254" s="211">
        <v>24.839417000000001</v>
      </c>
      <c r="R254" s="211">
        <v>29.211893</v>
      </c>
      <c r="S254" s="211">
        <v>34.020896999999998</v>
      </c>
      <c r="T254" s="211">
        <v>39.055110999999997</v>
      </c>
      <c r="U254" s="211">
        <v>44.546832999999999</v>
      </c>
      <c r="V254" s="211">
        <v>50.726470999999997</v>
      </c>
      <c r="W254" s="211">
        <v>57.249889000000003</v>
      </c>
      <c r="X254" s="211">
        <v>63.815086000000001</v>
      </c>
      <c r="Y254" s="211">
        <v>70.632087999999996</v>
      </c>
      <c r="Z254" s="211">
        <v>77.703888000000006</v>
      </c>
      <c r="AA254" s="211">
        <v>85.240448000000001</v>
      </c>
      <c r="AB254" s="211">
        <v>94.454329999999999</v>
      </c>
      <c r="AC254" s="211">
        <v>103.730484</v>
      </c>
      <c r="AD254" s="211">
        <v>112.465706</v>
      </c>
      <c r="AE254" s="211">
        <v>121.52919799999999</v>
      </c>
      <c r="AF254" s="212">
        <v>0.21546000000000001</v>
      </c>
      <c r="AG254" s="31"/>
    </row>
    <row r="255" spans="1:33">
      <c r="A255" s="29"/>
      <c r="B255" s="31"/>
      <c r="C255" s="31"/>
      <c r="D255" s="31"/>
      <c r="E255" s="31"/>
      <c r="F255" s="31"/>
      <c r="G255" s="31"/>
      <c r="H255" s="31"/>
      <c r="I255" s="31"/>
      <c r="J255" s="31"/>
      <c r="K255" s="31"/>
      <c r="L255" s="31"/>
      <c r="M255" s="31"/>
      <c r="N255" s="31"/>
      <c r="O255" s="31"/>
      <c r="P255" s="31"/>
      <c r="Q255" s="31"/>
      <c r="R255" s="31"/>
      <c r="S255" s="31"/>
      <c r="T255" s="31"/>
      <c r="U255" s="31"/>
      <c r="V255" s="31"/>
      <c r="W255" s="31"/>
      <c r="X255" s="31"/>
      <c r="Y255" s="31"/>
      <c r="Z255" s="31"/>
      <c r="AA255" s="31"/>
      <c r="AB255" s="31"/>
      <c r="AC255" s="31"/>
      <c r="AD255" s="31"/>
      <c r="AE255" s="31"/>
      <c r="AF255" s="31"/>
      <c r="AG255" s="31"/>
    </row>
    <row r="256" spans="1:33">
      <c r="A256" s="29"/>
      <c r="B256" s="209" t="s">
        <v>193</v>
      </c>
      <c r="C256" s="31"/>
      <c r="D256" s="31"/>
      <c r="E256" s="31"/>
      <c r="F256" s="31"/>
      <c r="G256" s="31"/>
      <c r="H256" s="31"/>
      <c r="I256" s="31"/>
      <c r="J256" s="31"/>
      <c r="K256" s="31"/>
      <c r="L256" s="31"/>
      <c r="M256" s="31"/>
      <c r="N256" s="31"/>
      <c r="O256" s="31"/>
      <c r="P256" s="31"/>
      <c r="Q256" s="31"/>
      <c r="R256" s="31"/>
      <c r="S256" s="31"/>
      <c r="T256" s="31"/>
      <c r="U256" s="31"/>
      <c r="V256" s="31"/>
      <c r="W256" s="31"/>
      <c r="X256" s="31"/>
      <c r="Y256" s="31"/>
      <c r="Z256" s="31"/>
      <c r="AA256" s="31"/>
      <c r="AB256" s="31"/>
      <c r="AC256" s="31"/>
      <c r="AD256" s="31"/>
      <c r="AE256" s="31"/>
      <c r="AF256" s="31"/>
      <c r="AG256" s="31"/>
    </row>
    <row r="257" spans="1:33">
      <c r="A257" s="30" t="s">
        <v>629</v>
      </c>
      <c r="B257" s="210" t="s">
        <v>630</v>
      </c>
      <c r="C257" s="219">
        <v>444.898865</v>
      </c>
      <c r="D257" s="219">
        <v>450.42761200000001</v>
      </c>
      <c r="E257" s="219">
        <v>448.61004600000001</v>
      </c>
      <c r="F257" s="219">
        <v>446.74627700000002</v>
      </c>
      <c r="G257" s="219">
        <v>445.22772200000003</v>
      </c>
      <c r="H257" s="219">
        <v>442.84777800000001</v>
      </c>
      <c r="I257" s="219">
        <v>440.43005399999998</v>
      </c>
      <c r="J257" s="219">
        <v>437.02459700000003</v>
      </c>
      <c r="K257" s="219">
        <v>434.036407</v>
      </c>
      <c r="L257" s="219">
        <v>431.39211999999998</v>
      </c>
      <c r="M257" s="219">
        <v>429.99737499999998</v>
      </c>
      <c r="N257" s="219">
        <v>428.16067500000003</v>
      </c>
      <c r="O257" s="219">
        <v>426.27862499999998</v>
      </c>
      <c r="P257" s="219">
        <v>424.17816199999999</v>
      </c>
      <c r="Q257" s="219">
        <v>421.71697999999998</v>
      </c>
      <c r="R257" s="219">
        <v>419.81463600000001</v>
      </c>
      <c r="S257" s="219">
        <v>417.567047</v>
      </c>
      <c r="T257" s="219">
        <v>415.80767800000001</v>
      </c>
      <c r="U257" s="219">
        <v>414.04513500000002</v>
      </c>
      <c r="V257" s="219">
        <v>412.52209499999998</v>
      </c>
      <c r="W257" s="219">
        <v>411.24774200000002</v>
      </c>
      <c r="X257" s="219">
        <v>409.97735599999999</v>
      </c>
      <c r="Y257" s="219">
        <v>408.52224699999999</v>
      </c>
      <c r="Z257" s="219">
        <v>406.63034099999999</v>
      </c>
      <c r="AA257" s="219">
        <v>405.358521</v>
      </c>
      <c r="AB257" s="219">
        <v>403.865906</v>
      </c>
      <c r="AC257" s="219">
        <v>401.97906499999999</v>
      </c>
      <c r="AD257" s="219">
        <v>400.55664100000001</v>
      </c>
      <c r="AE257" s="219">
        <v>400.09832799999998</v>
      </c>
      <c r="AF257" s="212">
        <v>-3.7829999999999999E-3</v>
      </c>
      <c r="AG257" s="31"/>
    </row>
    <row r="258" spans="1:33">
      <c r="A258" s="30" t="s">
        <v>631</v>
      </c>
      <c r="B258" s="210" t="s">
        <v>623</v>
      </c>
      <c r="C258" s="211">
        <v>4.8202259999999999</v>
      </c>
      <c r="D258" s="211">
        <v>4.8389660000000001</v>
      </c>
      <c r="E258" s="211">
        <v>4.8577789999999998</v>
      </c>
      <c r="F258" s="211">
        <v>4.876665</v>
      </c>
      <c r="G258" s="211">
        <v>4.8956239999999998</v>
      </c>
      <c r="H258" s="211">
        <v>4.9146570000000001</v>
      </c>
      <c r="I258" s="211">
        <v>4.933764</v>
      </c>
      <c r="J258" s="211">
        <v>4.9529449999999997</v>
      </c>
      <c r="K258" s="211">
        <v>4.9722</v>
      </c>
      <c r="L258" s="211">
        <v>4.9915310000000002</v>
      </c>
      <c r="M258" s="211">
        <v>5.0109370000000002</v>
      </c>
      <c r="N258" s="211">
        <v>5.0304180000000001</v>
      </c>
      <c r="O258" s="211">
        <v>5.0499749999999999</v>
      </c>
      <c r="P258" s="211">
        <v>5.0696079999999997</v>
      </c>
      <c r="Q258" s="211">
        <v>5.0893170000000003</v>
      </c>
      <c r="R258" s="211">
        <v>5.1091030000000002</v>
      </c>
      <c r="S258" s="211">
        <v>5.1289660000000001</v>
      </c>
      <c r="T258" s="211">
        <v>5.1489060000000002</v>
      </c>
      <c r="U258" s="211">
        <v>5.1689230000000004</v>
      </c>
      <c r="V258" s="211">
        <v>5.189019</v>
      </c>
      <c r="W258" s="211">
        <v>5.2091919999999998</v>
      </c>
      <c r="X258" s="211">
        <v>5.2294450000000001</v>
      </c>
      <c r="Y258" s="211">
        <v>5.2497749999999996</v>
      </c>
      <c r="Z258" s="211">
        <v>5.2701849999999997</v>
      </c>
      <c r="AA258" s="211">
        <v>5.2906740000000001</v>
      </c>
      <c r="AB258" s="211">
        <v>5.3112430000000002</v>
      </c>
      <c r="AC258" s="211">
        <v>5.3318919999999999</v>
      </c>
      <c r="AD258" s="211">
        <v>5.3526210000000001</v>
      </c>
      <c r="AE258" s="211">
        <v>5.3734299999999999</v>
      </c>
      <c r="AF258" s="212">
        <v>3.888E-3</v>
      </c>
      <c r="AG258" s="31"/>
    </row>
    <row r="259" spans="1:33" ht="15" customHeight="1">
      <c r="A259" s="29"/>
      <c r="B259" s="209" t="s">
        <v>624</v>
      </c>
      <c r="C259" s="31"/>
      <c r="D259" s="31"/>
      <c r="E259" s="31"/>
      <c r="F259" s="31"/>
      <c r="G259" s="31"/>
      <c r="H259" s="31"/>
      <c r="I259" s="31"/>
      <c r="J259" s="31"/>
      <c r="K259" s="31"/>
      <c r="L259" s="31"/>
      <c r="M259" s="31"/>
      <c r="N259" s="31"/>
      <c r="O259" s="31"/>
      <c r="P259" s="31"/>
      <c r="Q259" s="31"/>
      <c r="R259" s="31"/>
      <c r="S259" s="31"/>
      <c r="T259" s="31"/>
      <c r="U259" s="31"/>
      <c r="V259" s="31"/>
      <c r="W259" s="31"/>
      <c r="X259" s="31"/>
      <c r="Y259" s="31"/>
      <c r="Z259" s="31"/>
      <c r="AA259" s="31"/>
      <c r="AB259" s="31"/>
      <c r="AC259" s="31"/>
      <c r="AD259" s="31"/>
      <c r="AE259" s="31"/>
      <c r="AF259" s="31"/>
      <c r="AG259" s="31"/>
    </row>
    <row r="260" spans="1:33">
      <c r="A260" s="30" t="s">
        <v>632</v>
      </c>
      <c r="B260" s="210" t="s">
        <v>1056</v>
      </c>
      <c r="C260" s="211">
        <v>95.724982999999995</v>
      </c>
      <c r="D260" s="211">
        <v>96.410872999999995</v>
      </c>
      <c r="E260" s="211">
        <v>95.648369000000002</v>
      </c>
      <c r="F260" s="211">
        <v>94.922400999999994</v>
      </c>
      <c r="G260" s="211">
        <v>94.299674999999993</v>
      </c>
      <c r="H260" s="211">
        <v>93.480141000000003</v>
      </c>
      <c r="I260" s="211">
        <v>92.663535999999993</v>
      </c>
      <c r="J260" s="211">
        <v>91.636002000000005</v>
      </c>
      <c r="K260" s="211">
        <v>90.709732000000002</v>
      </c>
      <c r="L260" s="211">
        <v>89.864052000000001</v>
      </c>
      <c r="M260" s="211">
        <v>89.271820000000005</v>
      </c>
      <c r="N260" s="211">
        <v>88.583907999999994</v>
      </c>
      <c r="O260" s="211">
        <v>87.881882000000004</v>
      </c>
      <c r="P260" s="211">
        <v>87.154610000000005</v>
      </c>
      <c r="Q260" s="211">
        <v>86.355025999999995</v>
      </c>
      <c r="R260" s="211">
        <v>85.672011999999995</v>
      </c>
      <c r="S260" s="211">
        <v>84.929305999999997</v>
      </c>
      <c r="T260" s="211">
        <v>84.290549999999996</v>
      </c>
      <c r="U260" s="211">
        <v>83.598647999999997</v>
      </c>
      <c r="V260" s="211">
        <v>82.885955999999993</v>
      </c>
      <c r="W260" s="211">
        <v>82.221778999999998</v>
      </c>
      <c r="X260" s="211">
        <v>81.555756000000002</v>
      </c>
      <c r="Y260" s="211">
        <v>80.850998000000004</v>
      </c>
      <c r="Z260" s="211">
        <v>80.058989999999994</v>
      </c>
      <c r="AA260" s="211">
        <v>79.380050999999995</v>
      </c>
      <c r="AB260" s="211">
        <v>78.650115999999997</v>
      </c>
      <c r="AC260" s="211">
        <v>77.846335999999994</v>
      </c>
      <c r="AD260" s="211">
        <v>77.124741</v>
      </c>
      <c r="AE260" s="211">
        <v>76.572761999999997</v>
      </c>
      <c r="AF260" s="212">
        <v>-7.9410000000000001E-3</v>
      </c>
      <c r="AG260" s="31"/>
    </row>
    <row r="261" spans="1:33">
      <c r="A261" s="30" t="s">
        <v>633</v>
      </c>
      <c r="B261" s="210" t="s">
        <v>1057</v>
      </c>
      <c r="C261" s="211">
        <v>1.875904</v>
      </c>
      <c r="D261" s="211">
        <v>1.8078829999999999</v>
      </c>
      <c r="E261" s="211">
        <v>1.7136819999999999</v>
      </c>
      <c r="F261" s="211">
        <v>1.621937</v>
      </c>
      <c r="G261" s="211">
        <v>1.5413140000000001</v>
      </c>
      <c r="H261" s="211">
        <v>1.455168</v>
      </c>
      <c r="I261" s="211">
        <v>1.371278</v>
      </c>
      <c r="J261" s="211">
        <v>1.2863249999999999</v>
      </c>
      <c r="K261" s="211">
        <v>1.1999850000000001</v>
      </c>
      <c r="L261" s="211">
        <v>1.1125510000000001</v>
      </c>
      <c r="M261" s="211">
        <v>1.0315639999999999</v>
      </c>
      <c r="N261" s="211">
        <v>0.94839600000000002</v>
      </c>
      <c r="O261" s="211">
        <v>0.86860599999999999</v>
      </c>
      <c r="P261" s="211">
        <v>0.79182399999999997</v>
      </c>
      <c r="Q261" s="211">
        <v>0.72530600000000001</v>
      </c>
      <c r="R261" s="211">
        <v>0.65481</v>
      </c>
      <c r="S261" s="211">
        <v>0.57531900000000002</v>
      </c>
      <c r="T261" s="211">
        <v>0.49192999999999998</v>
      </c>
      <c r="U261" s="211">
        <v>0.417902</v>
      </c>
      <c r="V261" s="211">
        <v>0.41475499999999998</v>
      </c>
      <c r="W261" s="211">
        <v>0.41187499999999999</v>
      </c>
      <c r="X261" s="211">
        <v>0.40901599999999999</v>
      </c>
      <c r="Y261" s="211">
        <v>0.40599000000000002</v>
      </c>
      <c r="Z261" s="211">
        <v>0.40254800000000002</v>
      </c>
      <c r="AA261" s="211">
        <v>0.39974100000000001</v>
      </c>
      <c r="AB261" s="211">
        <v>0.396733</v>
      </c>
      <c r="AC261" s="211">
        <v>0.39335599999999998</v>
      </c>
      <c r="AD261" s="211">
        <v>0.39045299999999999</v>
      </c>
      <c r="AE261" s="211">
        <v>0.38850499999999999</v>
      </c>
      <c r="AF261" s="212">
        <v>-5.4682000000000001E-2</v>
      </c>
      <c r="AG261" s="31"/>
    </row>
    <row r="262" spans="1:33">
      <c r="A262" s="30" t="s">
        <v>634</v>
      </c>
      <c r="B262" s="210" t="s">
        <v>1058</v>
      </c>
      <c r="C262" s="211">
        <v>0</v>
      </c>
      <c r="D262" s="211">
        <v>0</v>
      </c>
      <c r="E262" s="211">
        <v>0</v>
      </c>
      <c r="F262" s="211">
        <v>0</v>
      </c>
      <c r="G262" s="211">
        <v>0</v>
      </c>
      <c r="H262" s="211">
        <v>0</v>
      </c>
      <c r="I262" s="211">
        <v>0</v>
      </c>
      <c r="J262" s="211">
        <v>0</v>
      </c>
      <c r="K262" s="211">
        <v>0</v>
      </c>
      <c r="L262" s="211">
        <v>0</v>
      </c>
      <c r="M262" s="211">
        <v>0</v>
      </c>
      <c r="N262" s="211">
        <v>0</v>
      </c>
      <c r="O262" s="211">
        <v>0</v>
      </c>
      <c r="P262" s="211">
        <v>0</v>
      </c>
      <c r="Q262" s="211">
        <v>0</v>
      </c>
      <c r="R262" s="211">
        <v>0</v>
      </c>
      <c r="S262" s="211">
        <v>0</v>
      </c>
      <c r="T262" s="211">
        <v>0</v>
      </c>
      <c r="U262" s="211">
        <v>0</v>
      </c>
      <c r="V262" s="211">
        <v>0</v>
      </c>
      <c r="W262" s="211">
        <v>0</v>
      </c>
      <c r="X262" s="211">
        <v>0</v>
      </c>
      <c r="Y262" s="211">
        <v>0</v>
      </c>
      <c r="Z262" s="211">
        <v>0</v>
      </c>
      <c r="AA262" s="211">
        <v>0</v>
      </c>
      <c r="AB262" s="211">
        <v>0</v>
      </c>
      <c r="AC262" s="211">
        <v>0</v>
      </c>
      <c r="AD262" s="211">
        <v>0</v>
      </c>
      <c r="AE262" s="211">
        <v>0</v>
      </c>
      <c r="AF262" s="212" t="s">
        <v>340</v>
      </c>
      <c r="AG262" s="31"/>
    </row>
    <row r="263" spans="1:33">
      <c r="A263" s="30" t="s">
        <v>635</v>
      </c>
      <c r="B263" s="210" t="s">
        <v>1059</v>
      </c>
      <c r="C263" s="211">
        <v>0.638131</v>
      </c>
      <c r="D263" s="211">
        <v>0.70199999999999996</v>
      </c>
      <c r="E263" s="211">
        <v>0.75260700000000003</v>
      </c>
      <c r="F263" s="211">
        <v>0.80172500000000002</v>
      </c>
      <c r="G263" s="211">
        <v>0.84487999999999996</v>
      </c>
      <c r="H263" s="211">
        <v>0.88815699999999997</v>
      </c>
      <c r="I263" s="211">
        <v>0.92988400000000004</v>
      </c>
      <c r="J263" s="211">
        <v>0.96818099999999996</v>
      </c>
      <c r="K263" s="211">
        <v>1.009477</v>
      </c>
      <c r="L263" s="211">
        <v>1.053212</v>
      </c>
      <c r="M263" s="211">
        <v>1.0977250000000001</v>
      </c>
      <c r="N263" s="211">
        <v>1.1419189999999999</v>
      </c>
      <c r="O263" s="211">
        <v>1.183538</v>
      </c>
      <c r="P263" s="211">
        <v>1.2224330000000001</v>
      </c>
      <c r="Q263" s="211">
        <v>1.252678</v>
      </c>
      <c r="R263" s="211">
        <v>1.2881480000000001</v>
      </c>
      <c r="S263" s="211">
        <v>1.3287279999999999</v>
      </c>
      <c r="T263" s="211">
        <v>1.374214</v>
      </c>
      <c r="U263" s="211">
        <v>1.4570460000000001</v>
      </c>
      <c r="V263" s="211">
        <v>1.54541</v>
      </c>
      <c r="W263" s="211">
        <v>1.640115</v>
      </c>
      <c r="X263" s="211">
        <v>1.7406269999999999</v>
      </c>
      <c r="Y263" s="211">
        <v>1.8464670000000001</v>
      </c>
      <c r="Z263" s="211">
        <v>1.956663</v>
      </c>
      <c r="AA263" s="211">
        <v>2.0764179999999999</v>
      </c>
      <c r="AB263" s="211">
        <v>2.2021730000000002</v>
      </c>
      <c r="AC263" s="211">
        <v>2.3334239999999999</v>
      </c>
      <c r="AD263" s="211">
        <v>2.4752070000000002</v>
      </c>
      <c r="AE263" s="211">
        <v>2.6315870000000001</v>
      </c>
      <c r="AF263" s="212">
        <v>5.1901999999999997E-2</v>
      </c>
      <c r="AG263" s="31"/>
    </row>
    <row r="264" spans="1:33">
      <c r="A264" s="29"/>
      <c r="B264" s="31"/>
      <c r="C264" s="31"/>
      <c r="D264" s="31"/>
      <c r="E264" s="31"/>
      <c r="F264" s="31"/>
      <c r="G264" s="31"/>
      <c r="H264" s="31"/>
      <c r="I264" s="31"/>
      <c r="J264" s="31"/>
      <c r="K264" s="31"/>
      <c r="L264" s="31"/>
      <c r="M264" s="31"/>
      <c r="N264" s="31"/>
      <c r="O264" s="31"/>
      <c r="P264" s="31"/>
      <c r="Q264" s="31"/>
      <c r="R264" s="31"/>
      <c r="S264" s="31"/>
      <c r="T264" s="31"/>
      <c r="U264" s="31"/>
      <c r="V264" s="31"/>
      <c r="W264" s="31"/>
      <c r="X264" s="31"/>
      <c r="Y264" s="31"/>
      <c r="Z264" s="31"/>
      <c r="AA264" s="31"/>
      <c r="AB264" s="31"/>
      <c r="AC264" s="31"/>
      <c r="AD264" s="31"/>
      <c r="AE264" s="31"/>
      <c r="AF264" s="31"/>
      <c r="AG264" s="31"/>
    </row>
    <row r="265" spans="1:33">
      <c r="A265" s="29"/>
      <c r="B265" s="209" t="s">
        <v>194</v>
      </c>
      <c r="C265" s="31"/>
      <c r="D265" s="31"/>
      <c r="E265" s="31"/>
      <c r="F265" s="31"/>
      <c r="G265" s="31"/>
      <c r="H265" s="31"/>
      <c r="I265" s="31"/>
      <c r="J265" s="31"/>
      <c r="K265" s="31"/>
      <c r="L265" s="31"/>
      <c r="M265" s="31"/>
      <c r="N265" s="31"/>
      <c r="O265" s="31"/>
      <c r="P265" s="31"/>
      <c r="Q265" s="31"/>
      <c r="R265" s="31"/>
      <c r="S265" s="31"/>
      <c r="T265" s="31"/>
      <c r="U265" s="31"/>
      <c r="V265" s="31"/>
      <c r="W265" s="31"/>
      <c r="X265" s="31"/>
      <c r="Y265" s="31"/>
      <c r="Z265" s="31"/>
      <c r="AA265" s="31"/>
      <c r="AB265" s="31"/>
      <c r="AC265" s="31"/>
      <c r="AD265" s="31"/>
      <c r="AE265" s="31"/>
      <c r="AF265" s="31"/>
      <c r="AG265" s="31"/>
    </row>
    <row r="266" spans="1:33">
      <c r="A266" s="30" t="s">
        <v>636</v>
      </c>
      <c r="B266" s="210" t="s">
        <v>637</v>
      </c>
      <c r="C266" s="219">
        <v>5234.1591799999997</v>
      </c>
      <c r="D266" s="219">
        <v>5273.296875</v>
      </c>
      <c r="E266" s="219">
        <v>5362.6445309999999</v>
      </c>
      <c r="F266" s="219">
        <v>5516.3344729999999</v>
      </c>
      <c r="G266" s="219">
        <v>5699.1494140000004</v>
      </c>
      <c r="H266" s="219">
        <v>5878.9716799999997</v>
      </c>
      <c r="I266" s="219">
        <v>6041.2578119999998</v>
      </c>
      <c r="J266" s="219">
        <v>6192.2470700000003</v>
      </c>
      <c r="K266" s="219">
        <v>6343.6660160000001</v>
      </c>
      <c r="L266" s="219">
        <v>6511.3486329999996</v>
      </c>
      <c r="M266" s="219">
        <v>6715.9096680000002</v>
      </c>
      <c r="N266" s="219">
        <v>6915.4399409999996</v>
      </c>
      <c r="O266" s="219">
        <v>7116.8901370000003</v>
      </c>
      <c r="P266" s="219">
        <v>7327.4184569999998</v>
      </c>
      <c r="Q266" s="219">
        <v>7523.0537109999996</v>
      </c>
      <c r="R266" s="219">
        <v>7718.1992190000001</v>
      </c>
      <c r="S266" s="219">
        <v>7912.0834960000002</v>
      </c>
      <c r="T266" s="219">
        <v>8137.939453</v>
      </c>
      <c r="U266" s="219">
        <v>8368.4814449999994</v>
      </c>
      <c r="V266" s="219">
        <v>8606.8613280000009</v>
      </c>
      <c r="W266" s="219">
        <v>8874.4423829999996</v>
      </c>
      <c r="X266" s="219">
        <v>9160.3457030000009</v>
      </c>
      <c r="Y266" s="219">
        <v>9472.5527340000008</v>
      </c>
      <c r="Z266" s="219">
        <v>9798.0292969999991</v>
      </c>
      <c r="AA266" s="219">
        <v>10143.948242</v>
      </c>
      <c r="AB266" s="219">
        <v>10485.746094</v>
      </c>
      <c r="AC266" s="219">
        <v>10850.213867</v>
      </c>
      <c r="AD266" s="219">
        <v>11224.771484000001</v>
      </c>
      <c r="AE266" s="219">
        <v>11635.883789</v>
      </c>
      <c r="AF266" s="212">
        <v>2.8943E-2</v>
      </c>
      <c r="AG266" s="31"/>
    </row>
    <row r="267" spans="1:33">
      <c r="A267" s="30" t="s">
        <v>638</v>
      </c>
      <c r="B267" s="210" t="s">
        <v>639</v>
      </c>
      <c r="C267" s="219">
        <v>1831.682251</v>
      </c>
      <c r="D267" s="219">
        <v>1866.1319579999999</v>
      </c>
      <c r="E267" s="219">
        <v>1903.4384769999999</v>
      </c>
      <c r="F267" s="219">
        <v>1962.4832759999999</v>
      </c>
      <c r="G267" s="219">
        <v>2030.4210210000001</v>
      </c>
      <c r="H267" s="219">
        <v>2091.8476559999999</v>
      </c>
      <c r="I267" s="219">
        <v>2140.1359859999998</v>
      </c>
      <c r="J267" s="219">
        <v>2176.3395999999998</v>
      </c>
      <c r="K267" s="219">
        <v>2205.485107</v>
      </c>
      <c r="L267" s="219">
        <v>2234.9177249999998</v>
      </c>
      <c r="M267" s="219">
        <v>2273.3510740000002</v>
      </c>
      <c r="N267" s="219">
        <v>2317.189453</v>
      </c>
      <c r="O267" s="219">
        <v>2363.84375</v>
      </c>
      <c r="P267" s="219">
        <v>2415.5078119999998</v>
      </c>
      <c r="Q267" s="219">
        <v>2471.7585450000001</v>
      </c>
      <c r="R267" s="219">
        <v>2534.2473140000002</v>
      </c>
      <c r="S267" s="219">
        <v>2596.5371089999999</v>
      </c>
      <c r="T267" s="219">
        <v>2674.233643</v>
      </c>
      <c r="U267" s="219">
        <v>2759.7326659999999</v>
      </c>
      <c r="V267" s="219">
        <v>2843.7934570000002</v>
      </c>
      <c r="W267" s="219">
        <v>2937.530518</v>
      </c>
      <c r="X267" s="219">
        <v>3038.2260740000002</v>
      </c>
      <c r="Y267" s="219">
        <v>3149.4558109999998</v>
      </c>
      <c r="Z267" s="219">
        <v>3264.0588379999999</v>
      </c>
      <c r="AA267" s="219">
        <v>3390.117432</v>
      </c>
      <c r="AB267" s="219">
        <v>3513.3171390000002</v>
      </c>
      <c r="AC267" s="219">
        <v>3646.149414</v>
      </c>
      <c r="AD267" s="219">
        <v>3789.6210940000001</v>
      </c>
      <c r="AE267" s="219">
        <v>3944.2458499999998</v>
      </c>
      <c r="AF267" s="212">
        <v>2.7772000000000002E-2</v>
      </c>
      <c r="AG267" s="31"/>
    </row>
    <row r="268" spans="1:33">
      <c r="A268" s="30" t="s">
        <v>640</v>
      </c>
      <c r="B268" s="210" t="s">
        <v>641</v>
      </c>
      <c r="C268" s="219">
        <v>3402.476807</v>
      </c>
      <c r="D268" s="219">
        <v>3407.165039</v>
      </c>
      <c r="E268" s="219">
        <v>3459.2060550000001</v>
      </c>
      <c r="F268" s="219">
        <v>3553.8510740000002</v>
      </c>
      <c r="G268" s="219">
        <v>3668.7282709999999</v>
      </c>
      <c r="H268" s="219">
        <v>3787.123779</v>
      </c>
      <c r="I268" s="219">
        <v>3901.1220699999999</v>
      </c>
      <c r="J268" s="219">
        <v>4015.9077149999998</v>
      </c>
      <c r="K268" s="219">
        <v>4138.1806640000004</v>
      </c>
      <c r="L268" s="219">
        <v>4276.4311520000001</v>
      </c>
      <c r="M268" s="219">
        <v>4442.5585940000001</v>
      </c>
      <c r="N268" s="219">
        <v>4598.2504879999997</v>
      </c>
      <c r="O268" s="219">
        <v>4753.0463870000003</v>
      </c>
      <c r="P268" s="219">
        <v>4911.9106449999999</v>
      </c>
      <c r="Q268" s="219">
        <v>5051.294922</v>
      </c>
      <c r="R268" s="219">
        <v>5183.9516599999997</v>
      </c>
      <c r="S268" s="219">
        <v>5315.5463870000003</v>
      </c>
      <c r="T268" s="219">
        <v>5463.7055659999996</v>
      </c>
      <c r="U268" s="219">
        <v>5608.7485349999997</v>
      </c>
      <c r="V268" s="219">
        <v>5763.0683589999999</v>
      </c>
      <c r="W268" s="219">
        <v>5936.9116210000002</v>
      </c>
      <c r="X268" s="219">
        <v>6122.1201170000004</v>
      </c>
      <c r="Y268" s="219">
        <v>6323.0971680000002</v>
      </c>
      <c r="Z268" s="219">
        <v>6533.9702150000003</v>
      </c>
      <c r="AA268" s="219">
        <v>6753.8305659999996</v>
      </c>
      <c r="AB268" s="219">
        <v>6972.4287109999996</v>
      </c>
      <c r="AC268" s="219">
        <v>7204.064453</v>
      </c>
      <c r="AD268" s="219">
        <v>7435.1499020000001</v>
      </c>
      <c r="AE268" s="219">
        <v>7691.6376950000003</v>
      </c>
      <c r="AF268" s="212">
        <v>2.9558000000000001E-2</v>
      </c>
      <c r="AG268" s="31"/>
    </row>
    <row r="269" spans="1:33">
      <c r="A269" s="29"/>
      <c r="B269" s="209" t="s">
        <v>624</v>
      </c>
      <c r="C269" s="31"/>
      <c r="D269" s="31"/>
      <c r="E269" s="31"/>
      <c r="F269" s="31"/>
      <c r="G269" s="31"/>
      <c r="H269" s="31"/>
      <c r="I269" s="31"/>
      <c r="J269" s="31"/>
      <c r="K269" s="31"/>
      <c r="L269" s="31"/>
      <c r="M269" s="31"/>
      <c r="N269" s="31"/>
      <c r="O269" s="31"/>
      <c r="P269" s="31"/>
      <c r="Q269" s="31"/>
      <c r="R269" s="31"/>
      <c r="S269" s="31"/>
      <c r="T269" s="31"/>
      <c r="U269" s="31"/>
      <c r="V269" s="31"/>
      <c r="W269" s="31"/>
      <c r="X269" s="31"/>
      <c r="Y269" s="31"/>
      <c r="Z269" s="31"/>
      <c r="AA269" s="31"/>
      <c r="AB269" s="31"/>
      <c r="AC269" s="31"/>
      <c r="AD269" s="31"/>
      <c r="AE269" s="31"/>
      <c r="AF269" s="31"/>
      <c r="AG269" s="31"/>
    </row>
    <row r="270" spans="1:33">
      <c r="A270" s="30" t="s">
        <v>642</v>
      </c>
      <c r="B270" s="210" t="s">
        <v>1056</v>
      </c>
      <c r="C270" s="211">
        <v>222.93867499999999</v>
      </c>
      <c r="D270" s="211">
        <v>318.21374500000002</v>
      </c>
      <c r="E270" s="211">
        <v>318.50683600000002</v>
      </c>
      <c r="F270" s="211">
        <v>321.42748999999998</v>
      </c>
      <c r="G270" s="211">
        <v>326.40893599999998</v>
      </c>
      <c r="H270" s="211">
        <v>331.75039700000002</v>
      </c>
      <c r="I270" s="211">
        <v>339.13262900000001</v>
      </c>
      <c r="J270" s="211">
        <v>343.65380900000002</v>
      </c>
      <c r="K270" s="211">
        <v>348.44000199999999</v>
      </c>
      <c r="L270" s="211">
        <v>348.61184700000001</v>
      </c>
      <c r="M270" s="211">
        <v>349.93618800000002</v>
      </c>
      <c r="N270" s="211">
        <v>351.71850599999999</v>
      </c>
      <c r="O270" s="211">
        <v>354.40063500000002</v>
      </c>
      <c r="P270" s="211">
        <v>355.17700200000002</v>
      </c>
      <c r="Q270" s="211">
        <v>356.67022700000001</v>
      </c>
      <c r="R270" s="211">
        <v>356.87670900000001</v>
      </c>
      <c r="S270" s="211">
        <v>358.82894900000002</v>
      </c>
      <c r="T270" s="211">
        <v>358.93920900000001</v>
      </c>
      <c r="U270" s="211">
        <v>360.572205</v>
      </c>
      <c r="V270" s="211">
        <v>361.26196299999998</v>
      </c>
      <c r="W270" s="211">
        <v>361.28478999999999</v>
      </c>
      <c r="X270" s="211">
        <v>360.64623999999998</v>
      </c>
      <c r="Y270" s="211">
        <v>360.38775600000002</v>
      </c>
      <c r="Z270" s="211">
        <v>360.05560300000002</v>
      </c>
      <c r="AA270" s="211">
        <v>358.46176100000002</v>
      </c>
      <c r="AB270" s="211">
        <v>357.26376299999998</v>
      </c>
      <c r="AC270" s="211">
        <v>357.07412699999998</v>
      </c>
      <c r="AD270" s="211">
        <v>355.22808800000001</v>
      </c>
      <c r="AE270" s="211">
        <v>354.51147500000002</v>
      </c>
      <c r="AF270" s="212">
        <v>1.6704E-2</v>
      </c>
      <c r="AG270" s="31"/>
    </row>
    <row r="271" spans="1:33">
      <c r="A271" s="30" t="s">
        <v>643</v>
      </c>
      <c r="B271" s="210" t="s">
        <v>1057</v>
      </c>
      <c r="C271" s="211">
        <v>685.66516100000001</v>
      </c>
      <c r="D271" s="211">
        <v>532.149719</v>
      </c>
      <c r="E271" s="211">
        <v>519.35320999999999</v>
      </c>
      <c r="F271" s="211">
        <v>520.34844999999996</v>
      </c>
      <c r="G271" s="211">
        <v>497.46441700000003</v>
      </c>
      <c r="H271" s="211">
        <v>487.75363199999998</v>
      </c>
      <c r="I271" s="211">
        <v>469.75631700000002</v>
      </c>
      <c r="J271" s="211">
        <v>458.26986699999998</v>
      </c>
      <c r="K271" s="211">
        <v>449.82733200000001</v>
      </c>
      <c r="L271" s="211">
        <v>449.95632899999998</v>
      </c>
      <c r="M271" s="211">
        <v>449.27517699999999</v>
      </c>
      <c r="N271" s="211">
        <v>449.44375600000001</v>
      </c>
      <c r="O271" s="211">
        <v>447.34497099999999</v>
      </c>
      <c r="P271" s="211">
        <v>447.23684700000001</v>
      </c>
      <c r="Q271" s="211">
        <v>444.02316300000001</v>
      </c>
      <c r="R271" s="211">
        <v>442.96899400000001</v>
      </c>
      <c r="S271" s="211">
        <v>441.815674</v>
      </c>
      <c r="T271" s="211">
        <v>439.63165300000003</v>
      </c>
      <c r="U271" s="211">
        <v>437.97662400000002</v>
      </c>
      <c r="V271" s="211">
        <v>436.76757800000001</v>
      </c>
      <c r="W271" s="211">
        <v>436.80938700000002</v>
      </c>
      <c r="X271" s="211">
        <v>435.24386600000003</v>
      </c>
      <c r="Y271" s="211">
        <v>434.29315200000002</v>
      </c>
      <c r="Z271" s="211">
        <v>432.733093</v>
      </c>
      <c r="AA271" s="211">
        <v>438.45755000000003</v>
      </c>
      <c r="AB271" s="211">
        <v>437.70047</v>
      </c>
      <c r="AC271" s="211">
        <v>432.92089800000002</v>
      </c>
      <c r="AD271" s="211">
        <v>429.24749800000001</v>
      </c>
      <c r="AE271" s="211">
        <v>424.56079099999999</v>
      </c>
      <c r="AF271" s="212">
        <v>-1.6972999999999999E-2</v>
      </c>
      <c r="AG271" s="31"/>
    </row>
    <row r="272" spans="1:33">
      <c r="A272" s="30" t="s">
        <v>644</v>
      </c>
      <c r="B272" s="210" t="s">
        <v>1058</v>
      </c>
      <c r="C272" s="211">
        <v>0</v>
      </c>
      <c r="D272" s="211">
        <v>0</v>
      </c>
      <c r="E272" s="211">
        <v>0</v>
      </c>
      <c r="F272" s="211">
        <v>0</v>
      </c>
      <c r="G272" s="211">
        <v>0</v>
      </c>
      <c r="H272" s="211">
        <v>0</v>
      </c>
      <c r="I272" s="211">
        <v>0</v>
      </c>
      <c r="J272" s="211">
        <v>0</v>
      </c>
      <c r="K272" s="211">
        <v>0</v>
      </c>
      <c r="L272" s="211">
        <v>0</v>
      </c>
      <c r="M272" s="211">
        <v>0</v>
      </c>
      <c r="N272" s="211">
        <v>0</v>
      </c>
      <c r="O272" s="211">
        <v>0</v>
      </c>
      <c r="P272" s="211">
        <v>0</v>
      </c>
      <c r="Q272" s="211">
        <v>0</v>
      </c>
      <c r="R272" s="211">
        <v>0</v>
      </c>
      <c r="S272" s="211">
        <v>0</v>
      </c>
      <c r="T272" s="211">
        <v>0</v>
      </c>
      <c r="U272" s="211">
        <v>0</v>
      </c>
      <c r="V272" s="211">
        <v>0</v>
      </c>
      <c r="W272" s="211">
        <v>0</v>
      </c>
      <c r="X272" s="211">
        <v>0</v>
      </c>
      <c r="Y272" s="211">
        <v>0</v>
      </c>
      <c r="Z272" s="211">
        <v>0</v>
      </c>
      <c r="AA272" s="211">
        <v>0</v>
      </c>
      <c r="AB272" s="211">
        <v>0</v>
      </c>
      <c r="AC272" s="211">
        <v>0</v>
      </c>
      <c r="AD272" s="211">
        <v>0</v>
      </c>
      <c r="AE272" s="211">
        <v>0</v>
      </c>
      <c r="AF272" s="212" t="s">
        <v>340</v>
      </c>
      <c r="AG272" s="31"/>
    </row>
    <row r="273" spans="1:34">
      <c r="A273" s="30" t="s">
        <v>645</v>
      </c>
      <c r="B273" s="210" t="s">
        <v>1059</v>
      </c>
      <c r="C273" s="211">
        <v>26.423862</v>
      </c>
      <c r="D273" s="211">
        <v>31.466925</v>
      </c>
      <c r="E273" s="211">
        <v>39.867241</v>
      </c>
      <c r="F273" s="211">
        <v>36.828189999999999</v>
      </c>
      <c r="G273" s="211">
        <v>47.376953</v>
      </c>
      <c r="H273" s="211">
        <v>48.944679000000001</v>
      </c>
      <c r="I273" s="211">
        <v>53.800423000000002</v>
      </c>
      <c r="J273" s="211">
        <v>57.218277</v>
      </c>
      <c r="K273" s="211">
        <v>58.367088000000003</v>
      </c>
      <c r="L273" s="211">
        <v>58.568268000000003</v>
      </c>
      <c r="M273" s="211">
        <v>58.225639000000001</v>
      </c>
      <c r="N273" s="211">
        <v>56.838042999999999</v>
      </c>
      <c r="O273" s="211">
        <v>56.014595</v>
      </c>
      <c r="P273" s="211">
        <v>55.804080999999996</v>
      </c>
      <c r="Q273" s="211">
        <v>56.853912000000001</v>
      </c>
      <c r="R273" s="211">
        <v>57.767783999999999</v>
      </c>
      <c r="S273" s="211">
        <v>56.989986000000002</v>
      </c>
      <c r="T273" s="211">
        <v>58.778945999999998</v>
      </c>
      <c r="U273" s="211">
        <v>58.696617000000003</v>
      </c>
      <c r="V273" s="211">
        <v>59.2714</v>
      </c>
      <c r="W273" s="211">
        <v>59.735518999999996</v>
      </c>
      <c r="X273" s="211">
        <v>61.929656999999999</v>
      </c>
      <c r="Y273" s="211">
        <v>63.367027</v>
      </c>
      <c r="Z273" s="211">
        <v>65.278946000000005</v>
      </c>
      <c r="AA273" s="211">
        <v>63.714081</v>
      </c>
      <c r="AB273" s="211">
        <v>65.960021999999995</v>
      </c>
      <c r="AC273" s="211">
        <v>69.839432000000002</v>
      </c>
      <c r="AD273" s="211">
        <v>74.646148999999994</v>
      </c>
      <c r="AE273" s="211">
        <v>79.022368999999998</v>
      </c>
      <c r="AF273" s="212">
        <v>3.9898999999999997E-2</v>
      </c>
      <c r="AG273" s="31"/>
      <c r="AH273" s="29"/>
    </row>
    <row r="274" spans="1:34" ht="15.5" thickBot="1">
      <c r="A274" s="29"/>
      <c r="B274" s="31"/>
      <c r="C274" s="31"/>
      <c r="D274" s="31"/>
      <c r="E274" s="31"/>
      <c r="F274" s="31"/>
      <c r="G274" s="31"/>
      <c r="H274" s="31"/>
      <c r="I274" s="31"/>
      <c r="J274" s="31"/>
      <c r="K274" s="31"/>
      <c r="L274" s="31"/>
      <c r="M274" s="31"/>
      <c r="N274" s="31"/>
      <c r="O274" s="31"/>
      <c r="P274" s="31"/>
      <c r="Q274" s="31"/>
      <c r="R274" s="31"/>
      <c r="S274" s="31"/>
      <c r="T274" s="31"/>
      <c r="U274" s="31"/>
      <c r="V274" s="31"/>
      <c r="W274" s="31"/>
      <c r="X274" s="31"/>
      <c r="Y274" s="31"/>
      <c r="Z274" s="31"/>
      <c r="AA274" s="31"/>
      <c r="AB274" s="31"/>
      <c r="AC274" s="31"/>
      <c r="AD274" s="31"/>
      <c r="AE274" s="31"/>
      <c r="AF274" s="31"/>
      <c r="AG274" s="31"/>
      <c r="AH274" s="29"/>
    </row>
    <row r="275" spans="1:34" ht="15" customHeight="1">
      <c r="A275" s="29"/>
      <c r="B275" s="220" t="s">
        <v>646</v>
      </c>
      <c r="C275" s="32"/>
      <c r="D275" s="32"/>
      <c r="E275" s="32"/>
      <c r="F275" s="32"/>
      <c r="G275" s="32"/>
      <c r="H275" s="32"/>
      <c r="I275" s="32"/>
      <c r="J275" s="32"/>
      <c r="K275" s="32"/>
      <c r="L275" s="32"/>
      <c r="M275" s="32"/>
      <c r="N275" s="32"/>
      <c r="O275" s="32"/>
      <c r="P275" s="32"/>
      <c r="Q275" s="32"/>
      <c r="R275" s="32"/>
      <c r="S275" s="32"/>
      <c r="T275" s="32"/>
      <c r="U275" s="32"/>
      <c r="V275" s="32"/>
      <c r="W275" s="32"/>
      <c r="X275" s="32"/>
      <c r="Y275" s="32"/>
      <c r="Z275" s="32"/>
      <c r="AA275" s="32"/>
      <c r="AB275" s="32"/>
      <c r="AC275" s="32"/>
      <c r="AD275" s="32"/>
      <c r="AE275" s="32"/>
      <c r="AF275" s="32"/>
      <c r="AG275" s="32"/>
      <c r="AH275" s="32"/>
    </row>
    <row r="276" spans="1:34">
      <c r="A276" s="29"/>
      <c r="B276" s="31" t="s">
        <v>647</v>
      </c>
      <c r="C276" s="31"/>
      <c r="D276" s="31"/>
      <c r="E276" s="31"/>
      <c r="F276" s="31"/>
      <c r="G276" s="31"/>
      <c r="H276" s="31"/>
      <c r="I276" s="31"/>
      <c r="J276" s="31"/>
      <c r="K276" s="31"/>
      <c r="L276" s="31"/>
      <c r="M276" s="31"/>
      <c r="N276" s="31"/>
      <c r="O276" s="31"/>
      <c r="P276" s="31"/>
      <c r="Q276" s="31"/>
      <c r="R276" s="31"/>
      <c r="S276" s="31"/>
      <c r="T276" s="31"/>
      <c r="U276" s="31"/>
      <c r="V276" s="31"/>
      <c r="W276" s="31"/>
      <c r="X276" s="31"/>
      <c r="Y276" s="31"/>
      <c r="Z276" s="31"/>
      <c r="AA276" s="31"/>
      <c r="AB276" s="31"/>
      <c r="AC276" s="31"/>
      <c r="AD276" s="31"/>
      <c r="AE276" s="31"/>
      <c r="AF276" s="31"/>
      <c r="AG276" s="31"/>
      <c r="AH276" s="29"/>
    </row>
    <row r="277" spans="1:34">
      <c r="A277" s="29"/>
      <c r="B277" s="31" t="s">
        <v>328</v>
      </c>
      <c r="C277" s="31"/>
      <c r="D277" s="31"/>
      <c r="E277" s="31"/>
      <c r="F277" s="31"/>
      <c r="G277" s="31"/>
      <c r="H277" s="31"/>
      <c r="I277" s="31"/>
      <c r="J277" s="31"/>
      <c r="K277" s="31"/>
      <c r="L277" s="31"/>
      <c r="M277" s="31"/>
      <c r="N277" s="31"/>
      <c r="O277" s="31"/>
      <c r="P277" s="31"/>
      <c r="Q277" s="31"/>
      <c r="R277" s="31"/>
      <c r="S277" s="31"/>
      <c r="T277" s="31"/>
      <c r="U277" s="31"/>
      <c r="V277" s="31"/>
      <c r="W277" s="31"/>
      <c r="X277" s="31"/>
      <c r="Y277" s="31"/>
      <c r="Z277" s="31"/>
      <c r="AA277" s="31"/>
      <c r="AB277" s="31"/>
      <c r="AC277" s="31"/>
      <c r="AD277" s="31"/>
      <c r="AE277" s="31"/>
      <c r="AF277" s="31"/>
      <c r="AG277" s="31"/>
      <c r="AH277" s="29"/>
    </row>
    <row r="278" spans="1:34">
      <c r="A278" s="29"/>
      <c r="B278" s="31" t="s">
        <v>409</v>
      </c>
      <c r="C278" s="31"/>
      <c r="D278" s="31"/>
      <c r="E278" s="31"/>
      <c r="F278" s="31"/>
      <c r="G278" s="31"/>
      <c r="H278" s="31"/>
      <c r="I278" s="31"/>
      <c r="J278" s="31"/>
      <c r="K278" s="31"/>
      <c r="L278" s="31"/>
      <c r="M278" s="31"/>
      <c r="N278" s="31"/>
      <c r="O278" s="31"/>
      <c r="P278" s="31"/>
      <c r="Q278" s="31"/>
      <c r="R278" s="31"/>
      <c r="S278" s="31"/>
      <c r="T278" s="31"/>
      <c r="U278" s="31"/>
      <c r="V278" s="31"/>
      <c r="W278" s="31"/>
      <c r="X278" s="31"/>
      <c r="Y278" s="31"/>
      <c r="Z278" s="31"/>
      <c r="AA278" s="31"/>
      <c r="AB278" s="31"/>
      <c r="AC278" s="31"/>
      <c r="AD278" s="31"/>
      <c r="AE278" s="31"/>
      <c r="AF278" s="31"/>
      <c r="AG278" s="31"/>
      <c r="AH278" s="29"/>
    </row>
    <row r="279" spans="1:34">
      <c r="A279" s="29"/>
      <c r="B279" s="31" t="s">
        <v>648</v>
      </c>
      <c r="C279" s="31"/>
      <c r="D279" s="31"/>
      <c r="E279" s="31"/>
      <c r="F279" s="31"/>
      <c r="G279" s="31"/>
      <c r="H279" s="31"/>
      <c r="I279" s="31"/>
      <c r="J279" s="31"/>
      <c r="K279" s="31"/>
      <c r="L279" s="31"/>
      <c r="M279" s="31"/>
      <c r="N279" s="31"/>
      <c r="O279" s="31"/>
      <c r="P279" s="31"/>
      <c r="Q279" s="31"/>
      <c r="R279" s="31"/>
      <c r="S279" s="31"/>
      <c r="T279" s="31"/>
      <c r="U279" s="31"/>
      <c r="V279" s="31"/>
      <c r="W279" s="31"/>
      <c r="X279" s="31"/>
      <c r="Y279" s="31"/>
      <c r="Z279" s="31"/>
      <c r="AA279" s="31"/>
      <c r="AB279" s="31"/>
      <c r="AC279" s="31"/>
      <c r="AD279" s="31"/>
      <c r="AE279" s="31"/>
      <c r="AF279" s="31"/>
      <c r="AG279" s="31"/>
      <c r="AH279" s="29"/>
    </row>
    <row r="280" spans="1:34">
      <c r="A280" s="29"/>
      <c r="B280" s="31" t="s">
        <v>1060</v>
      </c>
      <c r="C280" s="31"/>
      <c r="D280" s="31"/>
      <c r="E280" s="31"/>
      <c r="F280" s="31"/>
      <c r="G280" s="31"/>
      <c r="H280" s="31"/>
      <c r="I280" s="31"/>
      <c r="J280" s="31"/>
      <c r="K280" s="31"/>
      <c r="L280" s="31"/>
      <c r="M280" s="31"/>
      <c r="N280" s="31"/>
      <c r="O280" s="31"/>
      <c r="P280" s="31"/>
      <c r="Q280" s="31"/>
      <c r="R280" s="31"/>
      <c r="S280" s="31"/>
      <c r="T280" s="31"/>
      <c r="U280" s="31"/>
      <c r="V280" s="31"/>
      <c r="W280" s="31"/>
      <c r="X280" s="31"/>
      <c r="Y280" s="31"/>
      <c r="Z280" s="31"/>
      <c r="AA280" s="31"/>
      <c r="AB280" s="31"/>
      <c r="AC280" s="31"/>
      <c r="AD280" s="31"/>
      <c r="AE280" s="31"/>
      <c r="AF280" s="31"/>
      <c r="AG280" s="31"/>
      <c r="AH280" s="29"/>
    </row>
    <row r="281" spans="1:34">
      <c r="A281" s="29"/>
      <c r="B281" s="31" t="s">
        <v>1061</v>
      </c>
      <c r="C281" s="31"/>
      <c r="D281" s="31"/>
      <c r="E281" s="31"/>
      <c r="F281" s="31"/>
      <c r="G281" s="31"/>
      <c r="H281" s="31"/>
      <c r="I281" s="31"/>
      <c r="J281" s="31"/>
      <c r="K281" s="31"/>
      <c r="L281" s="31"/>
      <c r="M281" s="31"/>
      <c r="N281" s="31"/>
      <c r="O281" s="31"/>
      <c r="P281" s="31"/>
      <c r="Q281" s="31"/>
      <c r="R281" s="31"/>
      <c r="S281" s="31"/>
      <c r="T281" s="31"/>
      <c r="U281" s="31"/>
      <c r="V281" s="31"/>
      <c r="W281" s="31"/>
      <c r="X281" s="31"/>
      <c r="Y281" s="31"/>
      <c r="Z281" s="31"/>
      <c r="AA281" s="31"/>
      <c r="AB281" s="31"/>
      <c r="AC281" s="31"/>
      <c r="AD281" s="31"/>
      <c r="AE281" s="31"/>
      <c r="AF281" s="31"/>
      <c r="AG281" s="31"/>
      <c r="AH281" s="29"/>
    </row>
    <row r="282" spans="1:34">
      <c r="A282" s="29"/>
      <c r="B282" s="31" t="s">
        <v>1062</v>
      </c>
      <c r="C282" s="31"/>
      <c r="D282" s="31"/>
      <c r="E282" s="31"/>
      <c r="F282" s="31"/>
      <c r="G282" s="31"/>
      <c r="H282" s="31"/>
      <c r="I282" s="31"/>
      <c r="J282" s="31"/>
      <c r="K282" s="31"/>
      <c r="L282" s="31"/>
      <c r="M282" s="31"/>
      <c r="N282" s="31"/>
      <c r="O282" s="31"/>
      <c r="P282" s="31"/>
      <c r="Q282" s="31"/>
      <c r="R282" s="31"/>
      <c r="S282" s="31"/>
      <c r="T282" s="31"/>
      <c r="U282" s="31"/>
      <c r="V282" s="31"/>
      <c r="W282" s="31"/>
      <c r="X282" s="31"/>
      <c r="Y282" s="31"/>
      <c r="Z282" s="31"/>
      <c r="AA282" s="31"/>
      <c r="AB282" s="31"/>
      <c r="AC282" s="31"/>
      <c r="AD282" s="31"/>
      <c r="AE282" s="31"/>
      <c r="AF282" s="31"/>
      <c r="AG282" s="31"/>
      <c r="AH282" s="29"/>
    </row>
    <row r="283" spans="1:34">
      <c r="A283" s="29"/>
      <c r="B283" s="31"/>
      <c r="C283" s="31"/>
      <c r="D283" s="31"/>
      <c r="E283" s="31"/>
      <c r="F283" s="31"/>
      <c r="G283" s="31"/>
      <c r="H283" s="31"/>
      <c r="I283" s="31"/>
      <c r="J283" s="31"/>
      <c r="K283" s="31"/>
      <c r="L283" s="31"/>
      <c r="M283" s="31"/>
      <c r="N283" s="31"/>
      <c r="O283" s="31"/>
      <c r="P283" s="31"/>
      <c r="Q283" s="31"/>
      <c r="R283" s="31"/>
      <c r="S283" s="31"/>
      <c r="T283" s="31"/>
      <c r="U283" s="31"/>
      <c r="V283" s="31"/>
      <c r="W283" s="31"/>
      <c r="X283" s="31"/>
      <c r="Y283" s="31"/>
      <c r="Z283" s="31"/>
      <c r="AA283" s="31"/>
      <c r="AB283" s="31"/>
      <c r="AC283" s="31"/>
      <c r="AD283" s="31"/>
      <c r="AE283" s="31"/>
      <c r="AF283" s="31"/>
      <c r="AG283" s="31"/>
      <c r="AH283" s="29"/>
    </row>
    <row r="284" spans="1:34">
      <c r="A284" s="29"/>
      <c r="B284" s="31"/>
      <c r="C284" s="31"/>
      <c r="D284" s="31"/>
      <c r="E284" s="31"/>
      <c r="F284" s="31"/>
      <c r="G284" s="31"/>
      <c r="H284" s="31"/>
      <c r="I284" s="31"/>
      <c r="J284" s="31"/>
      <c r="K284" s="31"/>
      <c r="L284" s="31"/>
      <c r="M284" s="31"/>
      <c r="N284" s="31"/>
      <c r="O284" s="31"/>
      <c r="P284" s="31"/>
      <c r="Q284" s="31"/>
      <c r="R284" s="31"/>
      <c r="S284" s="31"/>
      <c r="T284" s="31"/>
      <c r="U284" s="31"/>
      <c r="V284" s="31"/>
      <c r="W284" s="31"/>
      <c r="X284" s="31"/>
      <c r="Y284" s="31"/>
      <c r="Z284" s="31"/>
      <c r="AA284" s="31"/>
      <c r="AB284" s="31"/>
      <c r="AC284" s="31"/>
      <c r="AD284" s="31"/>
      <c r="AE284" s="31"/>
      <c r="AF284" s="31"/>
      <c r="AG284" s="31"/>
      <c r="AH284" s="29"/>
    </row>
    <row r="285" spans="1:34">
      <c r="A285" s="29"/>
      <c r="B285" s="31"/>
      <c r="C285" s="31"/>
      <c r="D285" s="31"/>
      <c r="E285" s="31"/>
      <c r="F285" s="31"/>
      <c r="G285" s="31"/>
      <c r="H285" s="31"/>
      <c r="I285" s="31"/>
      <c r="J285" s="31"/>
      <c r="K285" s="31"/>
      <c r="L285" s="31"/>
      <c r="M285" s="31"/>
      <c r="N285" s="31"/>
      <c r="O285" s="31"/>
      <c r="P285" s="31"/>
      <c r="Q285" s="31"/>
      <c r="R285" s="31"/>
      <c r="S285" s="31"/>
      <c r="T285" s="31"/>
      <c r="U285" s="31"/>
      <c r="V285" s="31"/>
      <c r="W285" s="31"/>
      <c r="X285" s="31"/>
      <c r="Y285" s="31"/>
      <c r="Z285" s="31"/>
      <c r="AA285" s="31"/>
      <c r="AB285" s="31"/>
      <c r="AC285" s="31"/>
      <c r="AD285" s="31"/>
      <c r="AE285" s="31"/>
      <c r="AF285" s="31"/>
      <c r="AG285" s="31"/>
      <c r="AH285" s="29"/>
    </row>
    <row r="286" spans="1:34">
      <c r="A286" s="29"/>
      <c r="B286" s="31"/>
      <c r="C286" s="31"/>
      <c r="D286" s="31"/>
      <c r="E286" s="31"/>
      <c r="F286" s="31"/>
      <c r="G286" s="31"/>
      <c r="H286" s="31"/>
      <c r="I286" s="31"/>
      <c r="J286" s="31"/>
      <c r="K286" s="31"/>
      <c r="L286" s="31"/>
      <c r="M286" s="31"/>
      <c r="N286" s="31"/>
      <c r="O286" s="31"/>
      <c r="P286" s="31"/>
      <c r="Q286" s="31"/>
      <c r="R286" s="31"/>
      <c r="S286" s="31"/>
      <c r="T286" s="31"/>
      <c r="U286" s="31"/>
      <c r="V286" s="31"/>
      <c r="W286" s="31"/>
      <c r="X286" s="31"/>
      <c r="Y286" s="31"/>
      <c r="Z286" s="31"/>
      <c r="AA286" s="31"/>
      <c r="AB286" s="31"/>
      <c r="AC286" s="31"/>
      <c r="AD286" s="31"/>
      <c r="AE286" s="31"/>
      <c r="AF286" s="31"/>
      <c r="AG286" s="31"/>
      <c r="AH286" s="29"/>
    </row>
    <row r="287" spans="1:34">
      <c r="A287" s="29"/>
      <c r="B287" s="31"/>
      <c r="C287" s="31"/>
      <c r="D287" s="31"/>
      <c r="E287" s="31"/>
      <c r="F287" s="31"/>
      <c r="G287" s="31"/>
      <c r="H287" s="31"/>
      <c r="I287" s="31"/>
      <c r="J287" s="31"/>
      <c r="K287" s="31"/>
      <c r="L287" s="31"/>
      <c r="M287" s="31"/>
      <c r="N287" s="31"/>
      <c r="O287" s="31"/>
      <c r="P287" s="31"/>
      <c r="Q287" s="31"/>
      <c r="R287" s="31"/>
      <c r="S287" s="31"/>
      <c r="T287" s="31"/>
      <c r="U287" s="31"/>
      <c r="V287" s="31"/>
      <c r="W287" s="31"/>
      <c r="X287" s="31"/>
      <c r="Y287" s="31"/>
      <c r="Z287" s="31"/>
      <c r="AA287" s="31"/>
      <c r="AB287" s="31"/>
      <c r="AC287" s="31"/>
      <c r="AD287" s="31"/>
      <c r="AE287" s="31"/>
      <c r="AF287" s="31"/>
      <c r="AG287" s="31"/>
      <c r="AH287" s="29"/>
    </row>
    <row r="288" spans="1:34">
      <c r="A288" s="29"/>
      <c r="B288" s="31"/>
      <c r="C288" s="31"/>
      <c r="D288" s="31"/>
      <c r="E288" s="31"/>
      <c r="F288" s="31"/>
      <c r="G288" s="31"/>
      <c r="H288" s="31"/>
      <c r="I288" s="31"/>
      <c r="J288" s="31"/>
      <c r="K288" s="31"/>
      <c r="L288" s="31"/>
      <c r="M288" s="31"/>
      <c r="N288" s="31"/>
      <c r="O288" s="31"/>
      <c r="P288" s="31"/>
      <c r="Q288" s="31"/>
      <c r="R288" s="31"/>
      <c r="S288" s="31"/>
      <c r="T288" s="31"/>
      <c r="U288" s="31"/>
      <c r="V288" s="31"/>
      <c r="W288" s="31"/>
      <c r="X288" s="31"/>
      <c r="Y288" s="31"/>
      <c r="Z288" s="31"/>
      <c r="AA288" s="31"/>
      <c r="AB288" s="31"/>
      <c r="AC288" s="31"/>
      <c r="AD288" s="31"/>
      <c r="AE288" s="31"/>
      <c r="AF288" s="31"/>
      <c r="AG288" s="31"/>
      <c r="AH288" s="29"/>
    </row>
    <row r="289" spans="2:33">
      <c r="B289" s="31"/>
      <c r="C289" s="31"/>
      <c r="D289" s="31"/>
      <c r="E289" s="31"/>
      <c r="F289" s="31"/>
      <c r="G289" s="31"/>
      <c r="H289" s="31"/>
      <c r="I289" s="31"/>
      <c r="J289" s="31"/>
      <c r="K289" s="31"/>
      <c r="L289" s="31"/>
      <c r="M289" s="31"/>
      <c r="N289" s="31"/>
      <c r="O289" s="31"/>
      <c r="P289" s="31"/>
      <c r="Q289" s="31"/>
      <c r="R289" s="31"/>
      <c r="S289" s="31"/>
      <c r="T289" s="31"/>
      <c r="U289" s="31"/>
      <c r="V289" s="31"/>
      <c r="W289" s="31"/>
      <c r="X289" s="31"/>
      <c r="Y289" s="31"/>
      <c r="Z289" s="31"/>
      <c r="AA289" s="31"/>
      <c r="AB289" s="31"/>
      <c r="AC289" s="31"/>
      <c r="AD289" s="31"/>
      <c r="AE289" s="31"/>
      <c r="AF289" s="31"/>
      <c r="AG289" s="31"/>
    </row>
    <row r="290" spans="2:33">
      <c r="B290" s="31"/>
      <c r="C290" s="31"/>
      <c r="D290" s="31"/>
      <c r="E290" s="31"/>
      <c r="F290" s="31"/>
      <c r="G290" s="31"/>
      <c r="H290" s="31"/>
      <c r="I290" s="31"/>
      <c r="J290" s="31"/>
      <c r="K290" s="31"/>
      <c r="L290" s="31"/>
      <c r="M290" s="31"/>
      <c r="N290" s="31"/>
      <c r="O290" s="31"/>
      <c r="P290" s="31"/>
      <c r="Q290" s="31"/>
      <c r="R290" s="31"/>
      <c r="S290" s="31"/>
      <c r="T290" s="31"/>
      <c r="U290" s="31"/>
      <c r="V290" s="31"/>
      <c r="W290" s="31"/>
      <c r="X290" s="31"/>
      <c r="Y290" s="31"/>
      <c r="Z290" s="31"/>
      <c r="AA290" s="31"/>
      <c r="AB290" s="31"/>
      <c r="AC290" s="31"/>
      <c r="AD290" s="31"/>
      <c r="AE290" s="31"/>
      <c r="AF290" s="31"/>
      <c r="AG290" s="31"/>
    </row>
    <row r="291" spans="2:33">
      <c r="B291" s="31"/>
      <c r="C291" s="31"/>
      <c r="D291" s="31"/>
      <c r="E291" s="31"/>
      <c r="F291" s="31"/>
      <c r="G291" s="31"/>
      <c r="H291" s="31"/>
      <c r="I291" s="31"/>
      <c r="J291" s="31"/>
      <c r="K291" s="31"/>
      <c r="L291" s="31"/>
      <c r="M291" s="31"/>
      <c r="N291" s="31"/>
      <c r="O291" s="31"/>
      <c r="P291" s="31"/>
      <c r="Q291" s="31"/>
      <c r="R291" s="31"/>
      <c r="S291" s="31"/>
      <c r="T291" s="31"/>
      <c r="U291" s="31"/>
      <c r="V291" s="31"/>
      <c r="W291" s="31"/>
      <c r="X291" s="31"/>
      <c r="Y291" s="31"/>
      <c r="Z291" s="31"/>
      <c r="AA291" s="31"/>
      <c r="AB291" s="31"/>
      <c r="AC291" s="31"/>
      <c r="AD291" s="31"/>
      <c r="AE291" s="31"/>
      <c r="AF291" s="31"/>
      <c r="AG291" s="31"/>
    </row>
    <row r="292" spans="2:33">
      <c r="B292" s="31"/>
      <c r="C292" s="31"/>
      <c r="D292" s="31"/>
      <c r="E292" s="31"/>
      <c r="F292" s="31"/>
      <c r="G292" s="31"/>
      <c r="H292" s="31"/>
      <c r="I292" s="31"/>
      <c r="J292" s="31"/>
      <c r="K292" s="31"/>
      <c r="L292" s="31"/>
      <c r="M292" s="31"/>
      <c r="N292" s="31"/>
      <c r="O292" s="31"/>
      <c r="P292" s="31"/>
      <c r="Q292" s="31"/>
      <c r="R292" s="31"/>
      <c r="S292" s="31"/>
      <c r="T292" s="31"/>
      <c r="U292" s="31"/>
      <c r="V292" s="31"/>
      <c r="W292" s="31"/>
      <c r="X292" s="31"/>
      <c r="Y292" s="31"/>
      <c r="Z292" s="31"/>
      <c r="AA292" s="31"/>
      <c r="AB292" s="31"/>
      <c r="AC292" s="31"/>
      <c r="AD292" s="31"/>
      <c r="AE292" s="31"/>
      <c r="AF292" s="31"/>
      <c r="AG292" s="31"/>
    </row>
    <row r="293" spans="2:33">
      <c r="B293" s="31"/>
      <c r="C293" s="31"/>
      <c r="D293" s="31"/>
      <c r="E293" s="31"/>
      <c r="F293" s="31"/>
      <c r="G293" s="31"/>
      <c r="H293" s="31"/>
      <c r="I293" s="31"/>
      <c r="J293" s="31"/>
      <c r="K293" s="31"/>
      <c r="L293" s="31"/>
      <c r="M293" s="31"/>
      <c r="N293" s="31"/>
      <c r="O293" s="31"/>
      <c r="P293" s="31"/>
      <c r="Q293" s="31"/>
      <c r="R293" s="31"/>
      <c r="S293" s="31"/>
      <c r="T293" s="31"/>
      <c r="U293" s="31"/>
      <c r="V293" s="31"/>
      <c r="W293" s="31"/>
      <c r="X293" s="31"/>
      <c r="Y293" s="31"/>
      <c r="Z293" s="31"/>
      <c r="AA293" s="31"/>
      <c r="AB293" s="31"/>
      <c r="AC293" s="31"/>
      <c r="AD293" s="31"/>
      <c r="AE293" s="31"/>
      <c r="AF293" s="31"/>
      <c r="AG293" s="31"/>
    </row>
    <row r="294" spans="2:33">
      <c r="B294" s="31"/>
      <c r="C294" s="31"/>
      <c r="D294" s="31"/>
      <c r="E294" s="31"/>
      <c r="F294" s="31"/>
      <c r="G294" s="31"/>
      <c r="H294" s="31"/>
      <c r="I294" s="31"/>
      <c r="J294" s="31"/>
      <c r="K294" s="31"/>
      <c r="L294" s="31"/>
      <c r="M294" s="31"/>
      <c r="N294" s="31"/>
      <c r="O294" s="31"/>
      <c r="P294" s="31"/>
      <c r="Q294" s="31"/>
      <c r="R294" s="31"/>
      <c r="S294" s="31"/>
      <c r="T294" s="31"/>
      <c r="U294" s="31"/>
      <c r="V294" s="31"/>
      <c r="W294" s="31"/>
      <c r="X294" s="31"/>
      <c r="Y294" s="31"/>
      <c r="Z294" s="31"/>
      <c r="AA294" s="31"/>
      <c r="AB294" s="31"/>
      <c r="AC294" s="31"/>
      <c r="AD294" s="31"/>
      <c r="AE294" s="31"/>
      <c r="AF294" s="31"/>
      <c r="AG294" s="31"/>
    </row>
    <row r="295" spans="2:33">
      <c r="B295" s="31"/>
      <c r="C295" s="31"/>
      <c r="D295" s="31"/>
      <c r="E295" s="31"/>
      <c r="F295" s="31"/>
      <c r="G295" s="31"/>
      <c r="H295" s="31"/>
      <c r="I295" s="31"/>
      <c r="J295" s="31"/>
      <c r="K295" s="31"/>
      <c r="L295" s="31"/>
      <c r="M295" s="31"/>
      <c r="N295" s="31"/>
      <c r="O295" s="31"/>
      <c r="P295" s="31"/>
      <c r="Q295" s="31"/>
      <c r="R295" s="31"/>
      <c r="S295" s="31"/>
      <c r="T295" s="31"/>
      <c r="U295" s="31"/>
      <c r="V295" s="31"/>
      <c r="W295" s="31"/>
      <c r="X295" s="31"/>
      <c r="Y295" s="31"/>
      <c r="Z295" s="31"/>
      <c r="AA295" s="31"/>
      <c r="AB295" s="31"/>
      <c r="AC295" s="31"/>
      <c r="AD295" s="31"/>
      <c r="AE295" s="31"/>
      <c r="AF295" s="31"/>
      <c r="AG295" s="31"/>
    </row>
    <row r="296" spans="2:33">
      <c r="B296" s="31"/>
      <c r="C296" s="31"/>
      <c r="D296" s="31"/>
      <c r="E296" s="31"/>
      <c r="F296" s="31"/>
      <c r="G296" s="31"/>
      <c r="H296" s="31"/>
      <c r="I296" s="31"/>
      <c r="J296" s="31"/>
      <c r="K296" s="31"/>
      <c r="L296" s="31"/>
      <c r="M296" s="31"/>
      <c r="N296" s="31"/>
      <c r="O296" s="31"/>
      <c r="P296" s="31"/>
      <c r="Q296" s="31"/>
      <c r="R296" s="31"/>
      <c r="S296" s="31"/>
      <c r="T296" s="31"/>
      <c r="U296" s="31"/>
      <c r="V296" s="31"/>
      <c r="W296" s="31"/>
      <c r="X296" s="31"/>
      <c r="Y296" s="31"/>
      <c r="Z296" s="31"/>
      <c r="AA296" s="31"/>
      <c r="AB296" s="31"/>
      <c r="AC296" s="31"/>
      <c r="AD296" s="31"/>
      <c r="AE296" s="31"/>
      <c r="AF296" s="31"/>
      <c r="AG296" s="31"/>
    </row>
    <row r="297" spans="2:33">
      <c r="B297" s="31"/>
      <c r="C297" s="31"/>
      <c r="D297" s="31"/>
      <c r="E297" s="31"/>
      <c r="F297" s="31"/>
      <c r="G297" s="31"/>
      <c r="H297" s="31"/>
      <c r="I297" s="31"/>
      <c r="J297" s="31"/>
      <c r="K297" s="31"/>
      <c r="L297" s="31"/>
      <c r="M297" s="31"/>
      <c r="N297" s="31"/>
      <c r="O297" s="31"/>
      <c r="P297" s="31"/>
      <c r="Q297" s="31"/>
      <c r="R297" s="31"/>
      <c r="S297" s="31"/>
      <c r="T297" s="31"/>
      <c r="U297" s="31"/>
      <c r="V297" s="31"/>
      <c r="W297" s="31"/>
      <c r="X297" s="31"/>
      <c r="Y297" s="31"/>
      <c r="Z297" s="31"/>
      <c r="AA297" s="31"/>
      <c r="AB297" s="31"/>
      <c r="AC297" s="31"/>
      <c r="AD297" s="31"/>
      <c r="AE297" s="31"/>
      <c r="AF297" s="31"/>
      <c r="AG297" s="31"/>
    </row>
    <row r="298" spans="2:33">
      <c r="B298" s="31"/>
      <c r="C298" s="31"/>
      <c r="D298" s="31"/>
      <c r="E298" s="31"/>
      <c r="F298" s="31"/>
      <c r="G298" s="31"/>
      <c r="H298" s="31"/>
      <c r="I298" s="31"/>
      <c r="J298" s="31"/>
      <c r="K298" s="31"/>
      <c r="L298" s="31"/>
      <c r="M298" s="31"/>
      <c r="N298" s="31"/>
      <c r="O298" s="31"/>
      <c r="P298" s="31"/>
      <c r="Q298" s="31"/>
      <c r="R298" s="31"/>
      <c r="S298" s="31"/>
      <c r="T298" s="31"/>
      <c r="U298" s="31"/>
      <c r="V298" s="31"/>
      <c r="W298" s="31"/>
      <c r="X298" s="31"/>
      <c r="Y298" s="31"/>
      <c r="Z298" s="31"/>
      <c r="AA298" s="31"/>
      <c r="AB298" s="31"/>
      <c r="AC298" s="31"/>
      <c r="AD298" s="31"/>
      <c r="AE298" s="31"/>
      <c r="AF298" s="31"/>
      <c r="AG298" s="31"/>
    </row>
    <row r="299" spans="2:33">
      <c r="B299" s="31"/>
      <c r="C299" s="31"/>
      <c r="D299" s="31"/>
      <c r="E299" s="31"/>
      <c r="F299" s="31"/>
      <c r="G299" s="31"/>
      <c r="H299" s="31"/>
      <c r="I299" s="31"/>
      <c r="J299" s="31"/>
      <c r="K299" s="31"/>
      <c r="L299" s="31"/>
      <c r="M299" s="31"/>
      <c r="N299" s="31"/>
      <c r="O299" s="31"/>
      <c r="P299" s="31"/>
      <c r="Q299" s="31"/>
      <c r="R299" s="31"/>
      <c r="S299" s="31"/>
      <c r="T299" s="31"/>
      <c r="U299" s="31"/>
      <c r="V299" s="31"/>
      <c r="W299" s="31"/>
      <c r="X299" s="31"/>
      <c r="Y299" s="31"/>
      <c r="Z299" s="31"/>
      <c r="AA299" s="31"/>
      <c r="AB299" s="31"/>
      <c r="AC299" s="31"/>
      <c r="AD299" s="31"/>
      <c r="AE299" s="31"/>
      <c r="AF299" s="31"/>
      <c r="AG299" s="31"/>
    </row>
    <row r="300" spans="2:33">
      <c r="B300" s="31"/>
      <c r="C300" s="31"/>
      <c r="D300" s="31"/>
      <c r="E300" s="31"/>
      <c r="F300" s="31"/>
      <c r="G300" s="31"/>
      <c r="H300" s="31"/>
      <c r="I300" s="31"/>
      <c r="J300" s="31"/>
      <c r="K300" s="31"/>
      <c r="L300" s="31"/>
      <c r="M300" s="31"/>
      <c r="N300" s="31"/>
      <c r="O300" s="31"/>
      <c r="P300" s="31"/>
      <c r="Q300" s="31"/>
      <c r="R300" s="31"/>
      <c r="S300" s="31"/>
      <c r="T300" s="31"/>
      <c r="U300" s="31"/>
      <c r="V300" s="31"/>
      <c r="W300" s="31"/>
      <c r="X300" s="31"/>
      <c r="Y300" s="31"/>
      <c r="Z300" s="31"/>
      <c r="AA300" s="31"/>
      <c r="AB300" s="31"/>
      <c r="AC300" s="31"/>
      <c r="AD300" s="31"/>
      <c r="AE300" s="31"/>
      <c r="AF300" s="31"/>
      <c r="AG300" s="31"/>
    </row>
    <row r="301" spans="2:33">
      <c r="B301" s="31"/>
      <c r="C301" s="31"/>
      <c r="D301" s="31"/>
      <c r="E301" s="31"/>
      <c r="F301" s="31"/>
      <c r="G301" s="31"/>
      <c r="H301" s="31"/>
      <c r="I301" s="31"/>
      <c r="J301" s="31"/>
      <c r="K301" s="31"/>
      <c r="L301" s="31"/>
      <c r="M301" s="31"/>
      <c r="N301" s="31"/>
      <c r="O301" s="31"/>
      <c r="P301" s="31"/>
      <c r="Q301" s="31"/>
      <c r="R301" s="31"/>
      <c r="S301" s="31"/>
      <c r="T301" s="31"/>
      <c r="U301" s="31"/>
      <c r="V301" s="31"/>
      <c r="W301" s="31"/>
      <c r="X301" s="31"/>
      <c r="Y301" s="31"/>
      <c r="Z301" s="31"/>
      <c r="AA301" s="31"/>
      <c r="AB301" s="31"/>
      <c r="AC301" s="31"/>
      <c r="AD301" s="31"/>
      <c r="AE301" s="31"/>
      <c r="AF301" s="31"/>
      <c r="AG301" s="31"/>
    </row>
    <row r="302" spans="2:33">
      <c r="B302" s="31"/>
      <c r="C302" s="31"/>
      <c r="D302" s="31"/>
      <c r="E302" s="31"/>
      <c r="F302" s="31"/>
      <c r="G302" s="31"/>
      <c r="H302" s="31"/>
      <c r="I302" s="31"/>
      <c r="J302" s="31"/>
      <c r="K302" s="31"/>
      <c r="L302" s="31"/>
      <c r="M302" s="31"/>
      <c r="N302" s="31"/>
      <c r="O302" s="31"/>
      <c r="P302" s="31"/>
      <c r="Q302" s="31"/>
      <c r="R302" s="31"/>
      <c r="S302" s="31"/>
      <c r="T302" s="31"/>
      <c r="U302" s="31"/>
      <c r="V302" s="31"/>
      <c r="W302" s="31"/>
      <c r="X302" s="31"/>
      <c r="Y302" s="31"/>
      <c r="Z302" s="31"/>
      <c r="AA302" s="31"/>
      <c r="AB302" s="31"/>
      <c r="AC302" s="31"/>
      <c r="AD302" s="31"/>
      <c r="AE302" s="31"/>
      <c r="AF302" s="31"/>
      <c r="AG302" s="31"/>
    </row>
    <row r="303" spans="2:33">
      <c r="B303" s="31"/>
      <c r="C303" s="31"/>
      <c r="D303" s="31"/>
      <c r="E303" s="31"/>
      <c r="F303" s="31"/>
      <c r="G303" s="31"/>
      <c r="H303" s="31"/>
      <c r="I303" s="31"/>
      <c r="J303" s="31"/>
      <c r="K303" s="31"/>
      <c r="L303" s="31"/>
      <c r="M303" s="31"/>
      <c r="N303" s="31"/>
      <c r="O303" s="31"/>
      <c r="P303" s="31"/>
      <c r="Q303" s="31"/>
      <c r="R303" s="31"/>
      <c r="S303" s="31"/>
      <c r="T303" s="31"/>
      <c r="U303" s="31"/>
      <c r="V303" s="31"/>
      <c r="W303" s="31"/>
      <c r="X303" s="31"/>
      <c r="Y303" s="31"/>
      <c r="Z303" s="31"/>
      <c r="AA303" s="31"/>
      <c r="AB303" s="31"/>
      <c r="AC303" s="31"/>
      <c r="AD303" s="31"/>
      <c r="AE303" s="31"/>
      <c r="AF303" s="31"/>
      <c r="AG303" s="31"/>
    </row>
    <row r="304" spans="2:33">
      <c r="B304" s="31"/>
      <c r="C304" s="31"/>
      <c r="D304" s="31"/>
      <c r="E304" s="31"/>
      <c r="F304" s="31"/>
      <c r="G304" s="31"/>
      <c r="H304" s="31"/>
      <c r="I304" s="31"/>
      <c r="J304" s="31"/>
      <c r="K304" s="31"/>
      <c r="L304" s="31"/>
      <c r="M304" s="31"/>
      <c r="N304" s="31"/>
      <c r="O304" s="31"/>
      <c r="P304" s="31"/>
      <c r="Q304" s="31"/>
      <c r="R304" s="31"/>
      <c r="S304" s="31"/>
      <c r="T304" s="31"/>
      <c r="U304" s="31"/>
      <c r="V304" s="31"/>
      <c r="W304" s="31"/>
      <c r="X304" s="31"/>
      <c r="Y304" s="31"/>
      <c r="Z304" s="31"/>
      <c r="AA304" s="31"/>
      <c r="AB304" s="31"/>
      <c r="AC304" s="31"/>
      <c r="AD304" s="31"/>
      <c r="AE304" s="31"/>
      <c r="AF304" s="31"/>
      <c r="AG304" s="31"/>
    </row>
    <row r="305" spans="2:33">
      <c r="B305" s="31"/>
      <c r="C305" s="31"/>
      <c r="D305" s="31"/>
      <c r="E305" s="31"/>
      <c r="F305" s="31"/>
      <c r="G305" s="31"/>
      <c r="H305" s="31"/>
      <c r="I305" s="31"/>
      <c r="J305" s="31"/>
      <c r="K305" s="31"/>
      <c r="L305" s="31"/>
      <c r="M305" s="31"/>
      <c r="N305" s="31"/>
      <c r="O305" s="31"/>
      <c r="P305" s="31"/>
      <c r="Q305" s="31"/>
      <c r="R305" s="31"/>
      <c r="S305" s="31"/>
      <c r="T305" s="31"/>
      <c r="U305" s="31"/>
      <c r="V305" s="31"/>
      <c r="W305" s="31"/>
      <c r="X305" s="31"/>
      <c r="Y305" s="31"/>
      <c r="Z305" s="31"/>
      <c r="AA305" s="31"/>
      <c r="AB305" s="31"/>
      <c r="AC305" s="31"/>
      <c r="AD305" s="31"/>
      <c r="AE305" s="31"/>
      <c r="AF305" s="31"/>
      <c r="AG305" s="31"/>
    </row>
    <row r="306" spans="2:33">
      <c r="B306" s="31"/>
      <c r="C306" s="31"/>
      <c r="D306" s="31"/>
      <c r="E306" s="31"/>
      <c r="F306" s="31"/>
      <c r="G306" s="31"/>
      <c r="H306" s="31"/>
      <c r="I306" s="31"/>
      <c r="J306" s="31"/>
      <c r="K306" s="31"/>
      <c r="L306" s="31"/>
      <c r="M306" s="31"/>
      <c r="N306" s="31"/>
      <c r="O306" s="31"/>
      <c r="P306" s="31"/>
      <c r="Q306" s="31"/>
      <c r="R306" s="31"/>
      <c r="S306" s="31"/>
      <c r="T306" s="31"/>
      <c r="U306" s="31"/>
      <c r="V306" s="31"/>
      <c r="W306" s="31"/>
      <c r="X306" s="31"/>
      <c r="Y306" s="31"/>
      <c r="Z306" s="31"/>
      <c r="AA306" s="31"/>
      <c r="AB306" s="31"/>
      <c r="AC306" s="31"/>
      <c r="AD306" s="31"/>
      <c r="AE306" s="31"/>
      <c r="AF306" s="31"/>
      <c r="AG306" s="31"/>
    </row>
    <row r="307" spans="2:33">
      <c r="B307" s="31"/>
      <c r="C307" s="31"/>
      <c r="D307" s="31"/>
      <c r="E307" s="31"/>
      <c r="F307" s="31"/>
      <c r="G307" s="31"/>
      <c r="H307" s="31"/>
      <c r="I307" s="31"/>
      <c r="J307" s="31"/>
      <c r="K307" s="31"/>
      <c r="L307" s="31"/>
      <c r="M307" s="31"/>
      <c r="N307" s="31"/>
      <c r="O307" s="31"/>
      <c r="P307" s="31"/>
      <c r="Q307" s="31"/>
      <c r="R307" s="31"/>
      <c r="S307" s="31"/>
      <c r="T307" s="31"/>
      <c r="U307" s="31"/>
      <c r="V307" s="31"/>
      <c r="W307" s="31"/>
      <c r="X307" s="31"/>
      <c r="Y307" s="31"/>
      <c r="Z307" s="31"/>
      <c r="AA307" s="31"/>
      <c r="AB307" s="31"/>
      <c r="AC307" s="31"/>
      <c r="AD307" s="31"/>
      <c r="AE307" s="31"/>
      <c r="AF307" s="31"/>
      <c r="AG307" s="31"/>
    </row>
    <row r="308" spans="2:33">
      <c r="B308" s="31"/>
      <c r="C308" s="31"/>
      <c r="D308" s="31"/>
      <c r="E308" s="31"/>
      <c r="F308" s="31"/>
      <c r="G308" s="31"/>
      <c r="H308" s="31"/>
      <c r="I308" s="31"/>
      <c r="J308" s="31"/>
      <c r="K308" s="31"/>
      <c r="L308" s="31"/>
      <c r="M308" s="31"/>
      <c r="N308" s="31"/>
      <c r="O308" s="31"/>
      <c r="P308" s="31"/>
      <c r="Q308" s="31"/>
      <c r="R308" s="31"/>
      <c r="S308" s="31"/>
      <c r="T308" s="31"/>
      <c r="U308" s="31"/>
      <c r="V308" s="31"/>
      <c r="W308" s="31"/>
      <c r="X308" s="31"/>
      <c r="Y308" s="31"/>
      <c r="Z308" s="31"/>
      <c r="AA308" s="31"/>
      <c r="AB308" s="31"/>
      <c r="AC308" s="31"/>
      <c r="AD308" s="31"/>
      <c r="AE308" s="31"/>
      <c r="AF308" s="31"/>
      <c r="AG308" s="31"/>
    </row>
    <row r="309" spans="2:33">
      <c r="B309" s="31"/>
      <c r="C309" s="31"/>
      <c r="D309" s="31"/>
      <c r="E309" s="31"/>
      <c r="F309" s="31"/>
      <c r="G309" s="31"/>
      <c r="H309" s="31"/>
      <c r="I309" s="31"/>
      <c r="J309" s="31"/>
      <c r="K309" s="31"/>
      <c r="L309" s="31"/>
      <c r="M309" s="31"/>
      <c r="N309" s="31"/>
      <c r="O309" s="31"/>
      <c r="P309" s="31"/>
      <c r="Q309" s="31"/>
      <c r="R309" s="31"/>
      <c r="S309" s="31"/>
      <c r="T309" s="31"/>
      <c r="U309" s="31"/>
      <c r="V309" s="31"/>
      <c r="W309" s="31"/>
      <c r="X309" s="31"/>
      <c r="Y309" s="31"/>
      <c r="Z309" s="31"/>
      <c r="AA309" s="31"/>
      <c r="AB309" s="31"/>
      <c r="AC309" s="31"/>
      <c r="AD309" s="31"/>
      <c r="AE309" s="31"/>
      <c r="AF309" s="31"/>
      <c r="AG309" s="31"/>
    </row>
    <row r="310" spans="2:33">
      <c r="B310" s="31"/>
      <c r="C310" s="31"/>
      <c r="D310" s="31"/>
      <c r="E310" s="31"/>
      <c r="F310" s="31"/>
      <c r="G310" s="31"/>
      <c r="H310" s="31"/>
      <c r="I310" s="31"/>
      <c r="J310" s="31"/>
      <c r="K310" s="31"/>
      <c r="L310" s="31"/>
      <c r="M310" s="31"/>
      <c r="N310" s="31"/>
      <c r="O310" s="31"/>
      <c r="P310" s="31"/>
      <c r="Q310" s="31"/>
      <c r="R310" s="31"/>
      <c r="S310" s="31"/>
      <c r="T310" s="31"/>
      <c r="U310" s="31"/>
      <c r="V310" s="31"/>
      <c r="W310" s="31"/>
      <c r="X310" s="31"/>
      <c r="Y310" s="31"/>
      <c r="Z310" s="31"/>
      <c r="AA310" s="31"/>
      <c r="AB310" s="31"/>
      <c r="AC310" s="31"/>
      <c r="AD310" s="31"/>
      <c r="AE310" s="31"/>
      <c r="AF310" s="31"/>
      <c r="AG310" s="31"/>
    </row>
    <row r="311" spans="2:33">
      <c r="B311" s="31"/>
      <c r="C311" s="31"/>
      <c r="D311" s="31"/>
      <c r="E311" s="31"/>
      <c r="F311" s="31"/>
      <c r="G311" s="31"/>
      <c r="H311" s="31"/>
      <c r="I311" s="31"/>
      <c r="J311" s="31"/>
      <c r="K311" s="31"/>
      <c r="L311" s="31"/>
      <c r="M311" s="31"/>
      <c r="N311" s="31"/>
      <c r="O311" s="31"/>
      <c r="P311" s="31"/>
      <c r="Q311" s="31"/>
      <c r="R311" s="31"/>
      <c r="S311" s="31"/>
      <c r="T311" s="31"/>
      <c r="U311" s="31"/>
      <c r="V311" s="31"/>
      <c r="W311" s="31"/>
      <c r="X311" s="31"/>
      <c r="Y311" s="31"/>
      <c r="Z311" s="31"/>
      <c r="AA311" s="31"/>
      <c r="AB311" s="31"/>
      <c r="AC311" s="31"/>
      <c r="AD311" s="31"/>
      <c r="AE311" s="31"/>
      <c r="AF311" s="31"/>
      <c r="AG311" s="31"/>
    </row>
    <row r="312" spans="2:33">
      <c r="B312" s="31"/>
      <c r="C312" s="31"/>
      <c r="D312" s="31"/>
      <c r="E312" s="31"/>
      <c r="F312" s="31"/>
      <c r="G312" s="31"/>
      <c r="H312" s="31"/>
      <c r="I312" s="31"/>
      <c r="J312" s="31"/>
      <c r="K312" s="31"/>
      <c r="L312" s="31"/>
      <c r="M312" s="31"/>
      <c r="N312" s="31"/>
      <c r="O312" s="31"/>
      <c r="P312" s="31"/>
      <c r="Q312" s="31"/>
      <c r="R312" s="31"/>
      <c r="S312" s="31"/>
      <c r="T312" s="31"/>
      <c r="U312" s="31"/>
      <c r="V312" s="31"/>
      <c r="W312" s="31"/>
      <c r="X312" s="31"/>
      <c r="Y312" s="31"/>
      <c r="Z312" s="31"/>
      <c r="AA312" s="31"/>
      <c r="AB312" s="31"/>
      <c r="AC312" s="31"/>
      <c r="AD312" s="31"/>
      <c r="AE312" s="31"/>
      <c r="AF312" s="31"/>
      <c r="AG312" s="31"/>
    </row>
    <row r="313" spans="2:33">
      <c r="B313" s="31"/>
      <c r="C313" s="31"/>
      <c r="D313" s="31"/>
      <c r="E313" s="31"/>
      <c r="F313" s="31"/>
      <c r="G313" s="31"/>
      <c r="H313" s="31"/>
      <c r="I313" s="31"/>
      <c r="J313" s="31"/>
      <c r="K313" s="31"/>
      <c r="L313" s="31"/>
      <c r="M313" s="31"/>
      <c r="N313" s="31"/>
      <c r="O313" s="31"/>
      <c r="P313" s="31"/>
      <c r="Q313" s="31"/>
      <c r="R313" s="31"/>
      <c r="S313" s="31"/>
      <c r="T313" s="31"/>
      <c r="U313" s="31"/>
      <c r="V313" s="31"/>
      <c r="W313" s="31"/>
      <c r="X313" s="31"/>
      <c r="Y313" s="31"/>
      <c r="Z313" s="31"/>
      <c r="AA313" s="31"/>
      <c r="AB313" s="31"/>
      <c r="AC313" s="31"/>
      <c r="AD313" s="31"/>
      <c r="AE313" s="31"/>
      <c r="AF313" s="31"/>
      <c r="AG313" s="31"/>
    </row>
    <row r="314" spans="2:33">
      <c r="B314" s="31"/>
      <c r="C314" s="31"/>
      <c r="D314" s="31"/>
      <c r="E314" s="31"/>
      <c r="F314" s="31"/>
      <c r="G314" s="31"/>
      <c r="H314" s="31"/>
      <c r="I314" s="31"/>
      <c r="J314" s="31"/>
      <c r="K314" s="31"/>
      <c r="L314" s="31"/>
      <c r="M314" s="31"/>
      <c r="N314" s="31"/>
      <c r="O314" s="31"/>
      <c r="P314" s="31"/>
      <c r="Q314" s="31"/>
      <c r="R314" s="31"/>
      <c r="S314" s="31"/>
      <c r="T314" s="31"/>
      <c r="U314" s="31"/>
      <c r="V314" s="31"/>
      <c r="W314" s="31"/>
      <c r="X314" s="31"/>
      <c r="Y314" s="31"/>
      <c r="Z314" s="31"/>
      <c r="AA314" s="31"/>
      <c r="AB314" s="31"/>
      <c r="AC314" s="31"/>
      <c r="AD314" s="31"/>
      <c r="AE314" s="31"/>
      <c r="AF314" s="31"/>
      <c r="AG314" s="31"/>
    </row>
    <row r="315" spans="2:33">
      <c r="B315" s="31"/>
      <c r="C315" s="31"/>
      <c r="D315" s="31"/>
      <c r="E315" s="31"/>
      <c r="F315" s="31"/>
      <c r="G315" s="31"/>
      <c r="H315" s="31"/>
      <c r="I315" s="31"/>
      <c r="J315" s="31"/>
      <c r="K315" s="31"/>
      <c r="L315" s="31"/>
      <c r="M315" s="31"/>
      <c r="N315" s="31"/>
      <c r="O315" s="31"/>
      <c r="P315" s="31"/>
      <c r="Q315" s="31"/>
      <c r="R315" s="31"/>
      <c r="S315" s="31"/>
      <c r="T315" s="31"/>
      <c r="U315" s="31"/>
      <c r="V315" s="31"/>
      <c r="W315" s="31"/>
      <c r="X315" s="31"/>
      <c r="Y315" s="31"/>
      <c r="Z315" s="31"/>
      <c r="AA315" s="31"/>
      <c r="AB315" s="31"/>
      <c r="AC315" s="31"/>
      <c r="AD315" s="31"/>
      <c r="AE315" s="31"/>
      <c r="AF315" s="31"/>
      <c r="AG315" s="31"/>
    </row>
    <row r="316" spans="2:33">
      <c r="B316" s="31"/>
      <c r="C316" s="31"/>
      <c r="D316" s="31"/>
      <c r="E316" s="31"/>
      <c r="F316" s="31"/>
      <c r="G316" s="31"/>
      <c r="H316" s="31"/>
      <c r="I316" s="31"/>
      <c r="J316" s="31"/>
      <c r="K316" s="31"/>
      <c r="L316" s="31"/>
      <c r="M316" s="31"/>
      <c r="N316" s="31"/>
      <c r="O316" s="31"/>
      <c r="P316" s="31"/>
      <c r="Q316" s="31"/>
      <c r="R316" s="31"/>
      <c r="S316" s="31"/>
      <c r="T316" s="31"/>
      <c r="U316" s="31"/>
      <c r="V316" s="31"/>
      <c r="W316" s="31"/>
      <c r="X316" s="31"/>
      <c r="Y316" s="31"/>
      <c r="Z316" s="31"/>
      <c r="AA316" s="31"/>
      <c r="AB316" s="31"/>
      <c r="AC316" s="31"/>
      <c r="AD316" s="31"/>
      <c r="AE316" s="31"/>
      <c r="AF316" s="31"/>
      <c r="AG316" s="31"/>
    </row>
    <row r="317" spans="2:33">
      <c r="B317" s="31"/>
      <c r="C317" s="31"/>
      <c r="D317" s="31"/>
      <c r="E317" s="31"/>
      <c r="F317" s="31"/>
      <c r="G317" s="31"/>
      <c r="H317" s="31"/>
      <c r="I317" s="31"/>
      <c r="J317" s="31"/>
      <c r="K317" s="31"/>
      <c r="L317" s="31"/>
      <c r="M317" s="31"/>
      <c r="N317" s="31"/>
      <c r="O317" s="31"/>
      <c r="P317" s="31"/>
      <c r="Q317" s="31"/>
      <c r="R317" s="31"/>
      <c r="S317" s="31"/>
      <c r="T317" s="31"/>
      <c r="U317" s="31"/>
      <c r="V317" s="31"/>
      <c r="W317" s="31"/>
      <c r="X317" s="31"/>
      <c r="Y317" s="31"/>
      <c r="Z317" s="31"/>
      <c r="AA317" s="31"/>
      <c r="AB317" s="31"/>
      <c r="AC317" s="31"/>
      <c r="AD317" s="31"/>
      <c r="AE317" s="31"/>
      <c r="AF317" s="31"/>
      <c r="AG317" s="31"/>
    </row>
    <row r="318" spans="2:33">
      <c r="B318" s="31"/>
      <c r="C318" s="31"/>
      <c r="D318" s="31"/>
      <c r="E318" s="31"/>
      <c r="F318" s="31"/>
      <c r="G318" s="31"/>
      <c r="H318" s="31"/>
      <c r="I318" s="31"/>
      <c r="J318" s="31"/>
      <c r="K318" s="31"/>
      <c r="L318" s="31"/>
      <c r="M318" s="31"/>
      <c r="N318" s="31"/>
      <c r="O318" s="31"/>
      <c r="P318" s="31"/>
      <c r="Q318" s="31"/>
      <c r="R318" s="31"/>
      <c r="S318" s="31"/>
      <c r="T318" s="31"/>
      <c r="U318" s="31"/>
      <c r="V318" s="31"/>
      <c r="W318" s="31"/>
      <c r="X318" s="31"/>
      <c r="Y318" s="31"/>
      <c r="Z318" s="31"/>
      <c r="AA318" s="31"/>
      <c r="AB318" s="31"/>
      <c r="AC318" s="31"/>
      <c r="AD318" s="31"/>
      <c r="AE318" s="31"/>
      <c r="AF318" s="31"/>
      <c r="AG318" s="31"/>
    </row>
    <row r="319" spans="2:33">
      <c r="B319" s="31"/>
      <c r="C319" s="31"/>
      <c r="D319" s="31"/>
      <c r="E319" s="31"/>
      <c r="F319" s="31"/>
      <c r="G319" s="31"/>
      <c r="H319" s="31"/>
      <c r="I319" s="31"/>
      <c r="J319" s="31"/>
      <c r="K319" s="31"/>
      <c r="L319" s="31"/>
      <c r="M319" s="31"/>
      <c r="N319" s="31"/>
      <c r="O319" s="31"/>
      <c r="P319" s="31"/>
      <c r="Q319" s="31"/>
      <c r="R319" s="31"/>
      <c r="S319" s="31"/>
      <c r="T319" s="31"/>
      <c r="U319" s="31"/>
      <c r="V319" s="31"/>
      <c r="W319" s="31"/>
      <c r="X319" s="31"/>
      <c r="Y319" s="31"/>
      <c r="Z319" s="31"/>
      <c r="AA319" s="31"/>
      <c r="AB319" s="31"/>
      <c r="AC319" s="31"/>
      <c r="AD319" s="31"/>
      <c r="AE319" s="31"/>
      <c r="AF319" s="31"/>
      <c r="AG319" s="31"/>
    </row>
    <row r="320" spans="2:33">
      <c r="B320" s="31"/>
      <c r="C320" s="31"/>
      <c r="D320" s="31"/>
      <c r="E320" s="31"/>
      <c r="F320" s="31"/>
      <c r="G320" s="31"/>
      <c r="H320" s="31"/>
      <c r="I320" s="31"/>
      <c r="J320" s="31"/>
      <c r="K320" s="31"/>
      <c r="L320" s="31"/>
      <c r="M320" s="31"/>
      <c r="N320" s="31"/>
      <c r="O320" s="31"/>
      <c r="P320" s="31"/>
      <c r="Q320" s="31"/>
      <c r="R320" s="31"/>
      <c r="S320" s="31"/>
      <c r="T320" s="31"/>
      <c r="U320" s="31"/>
      <c r="V320" s="31"/>
      <c r="W320" s="31"/>
      <c r="X320" s="31"/>
      <c r="Y320" s="31"/>
      <c r="Z320" s="31"/>
      <c r="AA320" s="31"/>
      <c r="AB320" s="31"/>
      <c r="AC320" s="31"/>
      <c r="AD320" s="31"/>
      <c r="AE320" s="31"/>
      <c r="AF320" s="31"/>
      <c r="AG320" s="31"/>
    </row>
    <row r="321" spans="2:33">
      <c r="B321" s="31"/>
      <c r="C321" s="31"/>
      <c r="D321" s="31"/>
      <c r="E321" s="31"/>
      <c r="F321" s="31"/>
      <c r="G321" s="31"/>
      <c r="H321" s="31"/>
      <c r="I321" s="31"/>
      <c r="J321" s="31"/>
      <c r="K321" s="31"/>
      <c r="L321" s="31"/>
      <c r="M321" s="31"/>
      <c r="N321" s="31"/>
      <c r="O321" s="31"/>
      <c r="P321" s="31"/>
      <c r="Q321" s="31"/>
      <c r="R321" s="31"/>
      <c r="S321" s="31"/>
      <c r="T321" s="31"/>
      <c r="U321" s="31"/>
      <c r="V321" s="31"/>
      <c r="W321" s="31"/>
      <c r="X321" s="31"/>
      <c r="Y321" s="31"/>
      <c r="Z321" s="31"/>
      <c r="AA321" s="31"/>
      <c r="AB321" s="31"/>
      <c r="AC321" s="31"/>
      <c r="AD321" s="31"/>
      <c r="AE321" s="31"/>
      <c r="AF321" s="31"/>
      <c r="AG321" s="31"/>
    </row>
    <row r="322" spans="2:33">
      <c r="B322" s="31"/>
      <c r="C322" s="31"/>
      <c r="D322" s="31"/>
      <c r="E322" s="31"/>
      <c r="F322" s="31"/>
      <c r="G322" s="31"/>
      <c r="H322" s="31"/>
      <c r="I322" s="31"/>
      <c r="J322" s="31"/>
      <c r="K322" s="31"/>
      <c r="L322" s="31"/>
      <c r="M322" s="31"/>
      <c r="N322" s="31"/>
      <c r="O322" s="31"/>
      <c r="P322" s="31"/>
      <c r="Q322" s="31"/>
      <c r="R322" s="31"/>
      <c r="S322" s="31"/>
      <c r="T322" s="31"/>
      <c r="U322" s="31"/>
      <c r="V322" s="31"/>
      <c r="W322" s="31"/>
      <c r="X322" s="31"/>
      <c r="Y322" s="31"/>
      <c r="Z322" s="31"/>
      <c r="AA322" s="31"/>
      <c r="AB322" s="31"/>
      <c r="AC322" s="31"/>
      <c r="AD322" s="31"/>
      <c r="AE322" s="31"/>
      <c r="AF322" s="31"/>
      <c r="AG322" s="31"/>
    </row>
    <row r="323" spans="2:33">
      <c r="B323" s="31"/>
      <c r="C323" s="31"/>
      <c r="D323" s="31"/>
      <c r="E323" s="31"/>
      <c r="F323" s="31"/>
      <c r="G323" s="31"/>
      <c r="H323" s="31"/>
      <c r="I323" s="31"/>
      <c r="J323" s="31"/>
      <c r="K323" s="31"/>
      <c r="L323" s="31"/>
      <c r="M323" s="31"/>
      <c r="N323" s="31"/>
      <c r="O323" s="31"/>
      <c r="P323" s="31"/>
      <c r="Q323" s="31"/>
      <c r="R323" s="31"/>
      <c r="S323" s="31"/>
      <c r="T323" s="31"/>
      <c r="U323" s="31"/>
      <c r="V323" s="31"/>
      <c r="W323" s="31"/>
      <c r="X323" s="31"/>
      <c r="Y323" s="31"/>
      <c r="Z323" s="31"/>
      <c r="AA323" s="31"/>
      <c r="AB323" s="31"/>
      <c r="AC323" s="31"/>
      <c r="AD323" s="31"/>
      <c r="AE323" s="31"/>
      <c r="AF323" s="31"/>
      <c r="AG323" s="31"/>
    </row>
    <row r="324" spans="2:33">
      <c r="B324" s="31"/>
      <c r="C324" s="31"/>
      <c r="D324" s="31"/>
      <c r="E324" s="31"/>
      <c r="F324" s="31"/>
      <c r="G324" s="31"/>
      <c r="H324" s="31"/>
      <c r="I324" s="31"/>
      <c r="J324" s="31"/>
      <c r="K324" s="31"/>
      <c r="L324" s="31"/>
      <c r="M324" s="31"/>
      <c r="N324" s="31"/>
      <c r="O324" s="31"/>
      <c r="P324" s="31"/>
      <c r="Q324" s="31"/>
      <c r="R324" s="31"/>
      <c r="S324" s="31"/>
      <c r="T324" s="31"/>
      <c r="U324" s="31"/>
      <c r="V324" s="31"/>
      <c r="W324" s="31"/>
      <c r="X324" s="31"/>
      <c r="Y324" s="31"/>
      <c r="Z324" s="31"/>
      <c r="AA324" s="31"/>
      <c r="AB324" s="31"/>
      <c r="AC324" s="31"/>
      <c r="AD324" s="31"/>
      <c r="AE324" s="31"/>
      <c r="AF324" s="31"/>
      <c r="AG324" s="31"/>
    </row>
    <row r="325" spans="2:33">
      <c r="B325" s="31"/>
      <c r="C325" s="31"/>
      <c r="D325" s="31"/>
      <c r="E325" s="31"/>
      <c r="F325" s="31"/>
      <c r="G325" s="31"/>
      <c r="H325" s="31"/>
      <c r="I325" s="31"/>
      <c r="J325" s="31"/>
      <c r="K325" s="31"/>
      <c r="L325" s="31"/>
      <c r="M325" s="31"/>
      <c r="N325" s="31"/>
      <c r="O325" s="31"/>
      <c r="P325" s="31"/>
      <c r="Q325" s="31"/>
      <c r="R325" s="31"/>
      <c r="S325" s="31"/>
      <c r="T325" s="31"/>
      <c r="U325" s="31"/>
      <c r="V325" s="31"/>
      <c r="W325" s="31"/>
      <c r="X325" s="31"/>
      <c r="Y325" s="31"/>
      <c r="Z325" s="31"/>
      <c r="AA325" s="31"/>
      <c r="AB325" s="31"/>
      <c r="AC325" s="31"/>
      <c r="AD325" s="31"/>
      <c r="AE325" s="31"/>
      <c r="AF325" s="31"/>
      <c r="AG325" s="31"/>
    </row>
    <row r="326" spans="2:33">
      <c r="B326" s="31"/>
      <c r="C326" s="31"/>
      <c r="D326" s="31"/>
      <c r="E326" s="31"/>
      <c r="F326" s="31"/>
      <c r="G326" s="31"/>
      <c r="H326" s="31"/>
      <c r="I326" s="31"/>
      <c r="J326" s="31"/>
      <c r="K326" s="31"/>
      <c r="L326" s="31"/>
      <c r="M326" s="31"/>
      <c r="N326" s="31"/>
      <c r="O326" s="31"/>
      <c r="P326" s="31"/>
      <c r="Q326" s="31"/>
      <c r="R326" s="31"/>
      <c r="S326" s="31"/>
      <c r="T326" s="31"/>
      <c r="U326" s="31"/>
      <c r="V326" s="31"/>
      <c r="W326" s="31"/>
      <c r="X326" s="31"/>
      <c r="Y326" s="31"/>
      <c r="Z326" s="31"/>
      <c r="AA326" s="31"/>
      <c r="AB326" s="31"/>
      <c r="AC326" s="31"/>
      <c r="AD326" s="31"/>
      <c r="AE326" s="31"/>
      <c r="AF326" s="31"/>
      <c r="AG326" s="31"/>
    </row>
    <row r="327" spans="2:33">
      <c r="B327" s="31"/>
      <c r="C327" s="31"/>
      <c r="D327" s="31"/>
      <c r="E327" s="31"/>
      <c r="F327" s="31"/>
      <c r="G327" s="31"/>
      <c r="H327" s="31"/>
      <c r="I327" s="31"/>
      <c r="J327" s="31"/>
      <c r="K327" s="31"/>
      <c r="L327" s="31"/>
      <c r="M327" s="31"/>
      <c r="N327" s="31"/>
      <c r="O327" s="31"/>
      <c r="P327" s="31"/>
      <c r="Q327" s="31"/>
      <c r="R327" s="31"/>
      <c r="S327" s="31"/>
      <c r="T327" s="31"/>
      <c r="U327" s="31"/>
      <c r="V327" s="31"/>
      <c r="W327" s="31"/>
      <c r="X327" s="31"/>
      <c r="Y327" s="31"/>
      <c r="Z327" s="31"/>
      <c r="AA327" s="31"/>
      <c r="AB327" s="31"/>
      <c r="AC327" s="31"/>
      <c r="AD327" s="31"/>
      <c r="AE327" s="31"/>
      <c r="AF327" s="31"/>
      <c r="AG327" s="31"/>
    </row>
    <row r="328" spans="2:33">
      <c r="B328" s="31"/>
      <c r="C328" s="31"/>
      <c r="D328" s="31"/>
      <c r="E328" s="31"/>
      <c r="F328" s="31"/>
      <c r="G328" s="31"/>
      <c r="H328" s="31"/>
      <c r="I328" s="31"/>
      <c r="J328" s="31"/>
      <c r="K328" s="31"/>
      <c r="L328" s="31"/>
      <c r="M328" s="31"/>
      <c r="N328" s="31"/>
      <c r="O328" s="31"/>
      <c r="P328" s="31"/>
      <c r="Q328" s="31"/>
      <c r="R328" s="31"/>
      <c r="S328" s="31"/>
      <c r="T328" s="31"/>
      <c r="U328" s="31"/>
      <c r="V328" s="31"/>
      <c r="W328" s="31"/>
      <c r="X328" s="31"/>
      <c r="Y328" s="31"/>
      <c r="Z328" s="31"/>
      <c r="AA328" s="31"/>
      <c r="AB328" s="31"/>
      <c r="AC328" s="31"/>
      <c r="AD328" s="31"/>
      <c r="AE328" s="31"/>
      <c r="AF328" s="31"/>
      <c r="AG328" s="31"/>
    </row>
    <row r="329" spans="2:33">
      <c r="B329" s="31"/>
      <c r="C329" s="31"/>
      <c r="D329" s="31"/>
      <c r="E329" s="31"/>
      <c r="F329" s="31"/>
      <c r="G329" s="31"/>
      <c r="H329" s="31"/>
      <c r="I329" s="31"/>
      <c r="J329" s="31"/>
      <c r="K329" s="31"/>
      <c r="L329" s="31"/>
      <c r="M329" s="31"/>
      <c r="N329" s="31"/>
      <c r="O329" s="31"/>
      <c r="P329" s="31"/>
      <c r="Q329" s="31"/>
      <c r="R329" s="31"/>
      <c r="S329" s="31"/>
      <c r="T329" s="31"/>
      <c r="U329" s="31"/>
      <c r="V329" s="31"/>
      <c r="W329" s="31"/>
      <c r="X329" s="31"/>
      <c r="Y329" s="31"/>
      <c r="Z329" s="31"/>
      <c r="AA329" s="31"/>
      <c r="AB329" s="31"/>
      <c r="AC329" s="31"/>
      <c r="AD329" s="31"/>
      <c r="AE329" s="31"/>
      <c r="AF329" s="31"/>
      <c r="AG329" s="31"/>
    </row>
    <row r="330" spans="2:33">
      <c r="B330" s="31"/>
      <c r="C330" s="31"/>
      <c r="D330" s="31"/>
      <c r="E330" s="31"/>
      <c r="F330" s="31"/>
      <c r="G330" s="31"/>
      <c r="H330" s="31"/>
      <c r="I330" s="31"/>
      <c r="J330" s="31"/>
      <c r="K330" s="31"/>
      <c r="L330" s="31"/>
      <c r="M330" s="31"/>
      <c r="N330" s="31"/>
      <c r="O330" s="31"/>
      <c r="P330" s="31"/>
      <c r="Q330" s="31"/>
      <c r="R330" s="31"/>
      <c r="S330" s="31"/>
      <c r="T330" s="31"/>
      <c r="U330" s="31"/>
      <c r="V330" s="31"/>
      <c r="W330" s="31"/>
      <c r="X330" s="31"/>
      <c r="Y330" s="31"/>
      <c r="Z330" s="31"/>
      <c r="AA330" s="31"/>
      <c r="AB330" s="31"/>
      <c r="AC330" s="31"/>
      <c r="AD330" s="31"/>
      <c r="AE330" s="31"/>
      <c r="AF330" s="31"/>
      <c r="AG330" s="31"/>
    </row>
    <row r="331" spans="2:33">
      <c r="B331" s="31"/>
      <c r="C331" s="31"/>
      <c r="D331" s="31"/>
      <c r="E331" s="31"/>
      <c r="F331" s="31"/>
      <c r="G331" s="31"/>
      <c r="H331" s="31"/>
      <c r="I331" s="31"/>
      <c r="J331" s="31"/>
      <c r="K331" s="31"/>
      <c r="L331" s="31"/>
      <c r="M331" s="31"/>
      <c r="N331" s="31"/>
      <c r="O331" s="31"/>
      <c r="P331" s="31"/>
      <c r="Q331" s="31"/>
      <c r="R331" s="31"/>
      <c r="S331" s="31"/>
      <c r="T331" s="31"/>
      <c r="U331" s="31"/>
      <c r="V331" s="31"/>
      <c r="W331" s="31"/>
      <c r="X331" s="31"/>
      <c r="Y331" s="31"/>
      <c r="Z331" s="31"/>
      <c r="AA331" s="31"/>
      <c r="AB331" s="31"/>
      <c r="AC331" s="31"/>
      <c r="AD331" s="31"/>
      <c r="AE331" s="31"/>
      <c r="AF331" s="31"/>
      <c r="AG331" s="31"/>
    </row>
    <row r="332" spans="2:33">
      <c r="B332" s="31"/>
      <c r="C332" s="31"/>
      <c r="D332" s="31"/>
      <c r="E332" s="31"/>
      <c r="F332" s="31"/>
      <c r="G332" s="31"/>
      <c r="H332" s="31"/>
      <c r="I332" s="31"/>
      <c r="J332" s="31"/>
      <c r="K332" s="31"/>
      <c r="L332" s="31"/>
      <c r="M332" s="31"/>
      <c r="N332" s="31"/>
      <c r="O332" s="31"/>
      <c r="P332" s="31"/>
      <c r="Q332" s="31"/>
      <c r="R332" s="31"/>
      <c r="S332" s="31"/>
      <c r="T332" s="31"/>
      <c r="U332" s="31"/>
      <c r="V332" s="31"/>
      <c r="W332" s="31"/>
      <c r="X332" s="31"/>
      <c r="Y332" s="31"/>
      <c r="Z332" s="31"/>
      <c r="AA332" s="31"/>
      <c r="AB332" s="31"/>
      <c r="AC332" s="31"/>
      <c r="AD332" s="31"/>
      <c r="AE332" s="31"/>
      <c r="AF332" s="31"/>
      <c r="AG332" s="31"/>
    </row>
    <row r="333" spans="2:33">
      <c r="B333" s="31"/>
      <c r="C333" s="31"/>
      <c r="D333" s="31"/>
      <c r="E333" s="31"/>
      <c r="F333" s="31"/>
      <c r="G333" s="31"/>
      <c r="H333" s="31"/>
      <c r="I333" s="31"/>
      <c r="J333" s="31"/>
      <c r="K333" s="31"/>
      <c r="L333" s="31"/>
      <c r="M333" s="31"/>
      <c r="N333" s="31"/>
      <c r="O333" s="31"/>
      <c r="P333" s="31"/>
      <c r="Q333" s="31"/>
      <c r="R333" s="31"/>
      <c r="S333" s="31"/>
      <c r="T333" s="31"/>
      <c r="U333" s="31"/>
      <c r="V333" s="31"/>
      <c r="W333" s="31"/>
      <c r="X333" s="31"/>
      <c r="Y333" s="31"/>
      <c r="Z333" s="31"/>
      <c r="AA333" s="31"/>
      <c r="AB333" s="31"/>
      <c r="AC333" s="31"/>
      <c r="AD333" s="31"/>
      <c r="AE333" s="31"/>
      <c r="AF333" s="31"/>
      <c r="AG333" s="31"/>
    </row>
    <row r="334" spans="2:33">
      <c r="B334" s="31"/>
      <c r="C334" s="31"/>
      <c r="D334" s="31"/>
      <c r="E334" s="31"/>
      <c r="F334" s="31"/>
      <c r="G334" s="31"/>
      <c r="H334" s="31"/>
      <c r="I334" s="31"/>
      <c r="J334" s="31"/>
      <c r="K334" s="31"/>
      <c r="L334" s="31"/>
      <c r="M334" s="31"/>
      <c r="N334" s="31"/>
      <c r="O334" s="31"/>
      <c r="P334" s="31"/>
      <c r="Q334" s="31"/>
      <c r="R334" s="31"/>
      <c r="S334" s="31"/>
      <c r="T334" s="31"/>
      <c r="U334" s="31"/>
      <c r="V334" s="31"/>
      <c r="W334" s="31"/>
      <c r="X334" s="31"/>
      <c r="Y334" s="31"/>
      <c r="Z334" s="31"/>
      <c r="AA334" s="31"/>
      <c r="AB334" s="31"/>
      <c r="AC334" s="31"/>
      <c r="AD334" s="31"/>
      <c r="AE334" s="31"/>
      <c r="AF334" s="31" t="s">
        <v>655</v>
      </c>
      <c r="AG334" s="31"/>
    </row>
    <row r="338" spans="2:32">
      <c r="B338" s="29"/>
      <c r="C338" s="29"/>
      <c r="D338" s="29"/>
      <c r="E338" s="29"/>
      <c r="F338" s="29"/>
      <c r="G338" s="29"/>
      <c r="H338" s="29"/>
      <c r="I338" s="29"/>
      <c r="J338" s="29"/>
      <c r="K338" s="29"/>
      <c r="L338" s="29"/>
      <c r="M338" s="29"/>
      <c r="N338" s="29"/>
      <c r="O338" s="29"/>
      <c r="P338" s="29"/>
      <c r="Q338" s="29"/>
      <c r="R338" s="29"/>
      <c r="S338" s="29"/>
      <c r="T338" s="29"/>
      <c r="U338" s="29"/>
      <c r="V338" s="29"/>
      <c r="W338" s="29"/>
      <c r="X338" s="29"/>
      <c r="Y338" s="29"/>
      <c r="Z338" s="29"/>
      <c r="AA338" s="29"/>
      <c r="AB338" s="29"/>
      <c r="AC338" s="29"/>
      <c r="AD338" s="29"/>
      <c r="AE338" s="29"/>
      <c r="AF338" s="29"/>
    </row>
    <row r="339" spans="2:32">
      <c r="B339" s="29"/>
      <c r="C339" s="29"/>
      <c r="D339" s="29"/>
      <c r="E339" s="29"/>
      <c r="F339" s="29"/>
      <c r="G339" s="29"/>
      <c r="H339" s="29"/>
      <c r="I339" s="29"/>
      <c r="J339" s="29"/>
      <c r="K339" s="29"/>
      <c r="L339" s="29"/>
      <c r="M339" s="29"/>
      <c r="N339" s="29"/>
      <c r="O339" s="29"/>
      <c r="P339" s="29"/>
      <c r="Q339" s="29"/>
      <c r="R339" s="29"/>
      <c r="S339" s="29"/>
      <c r="T339" s="29"/>
      <c r="U339" s="29"/>
      <c r="V339" s="29"/>
      <c r="W339" s="29"/>
      <c r="X339" s="29"/>
      <c r="Y339" s="29"/>
      <c r="Z339" s="29"/>
      <c r="AA339" s="29"/>
      <c r="AB339" s="29"/>
      <c r="AC339" s="29"/>
      <c r="AD339" s="29"/>
      <c r="AE339" s="29"/>
      <c r="AF339" s="29"/>
    </row>
    <row r="348" spans="2:32">
      <c r="B348" s="29"/>
      <c r="C348" s="29"/>
      <c r="D348" s="29"/>
      <c r="E348" s="29"/>
      <c r="F348" s="29"/>
      <c r="G348" s="29"/>
      <c r="H348" s="29"/>
      <c r="I348" s="29"/>
      <c r="J348" s="29"/>
      <c r="K348" s="29"/>
      <c r="L348" s="29"/>
      <c r="M348" s="29"/>
      <c r="N348" s="29"/>
      <c r="O348" s="29"/>
      <c r="P348" s="29"/>
      <c r="Q348" s="29"/>
      <c r="R348" s="29"/>
      <c r="S348" s="29"/>
      <c r="T348" s="29"/>
      <c r="U348" s="29"/>
      <c r="V348" s="29"/>
      <c r="W348" s="29"/>
      <c r="X348" s="29"/>
      <c r="Y348" s="29"/>
      <c r="Z348" s="29"/>
      <c r="AA348" s="29"/>
      <c r="AB348" s="29"/>
      <c r="AC348" s="29"/>
      <c r="AD348" s="29"/>
      <c r="AE348" s="29"/>
      <c r="AF348" s="29"/>
    </row>
    <row r="349" spans="2:32">
      <c r="B349" s="29"/>
      <c r="C349" s="29"/>
      <c r="D349" s="29"/>
      <c r="E349" s="29"/>
      <c r="F349" s="29"/>
      <c r="G349" s="29"/>
      <c r="H349" s="29"/>
      <c r="I349" s="29"/>
      <c r="J349" s="29"/>
      <c r="K349" s="29"/>
      <c r="L349" s="29"/>
      <c r="M349" s="29"/>
      <c r="N349" s="29"/>
      <c r="O349" s="29"/>
      <c r="P349" s="29"/>
      <c r="Q349" s="29"/>
      <c r="R349" s="29"/>
      <c r="S349" s="29"/>
      <c r="T349" s="29"/>
      <c r="U349" s="29"/>
      <c r="V349" s="29"/>
      <c r="W349" s="29"/>
      <c r="X349" s="29"/>
      <c r="Y349" s="29"/>
      <c r="Z349" s="29"/>
      <c r="AA349" s="29"/>
      <c r="AB349" s="29"/>
      <c r="AC349" s="29"/>
      <c r="AD349" s="29"/>
      <c r="AE349" s="29"/>
      <c r="AF349" s="29"/>
    </row>
    <row r="350" spans="2:32">
      <c r="B350" s="29"/>
      <c r="C350" s="29"/>
      <c r="D350" s="29"/>
      <c r="E350" s="29"/>
      <c r="F350" s="29"/>
      <c r="G350" s="29"/>
      <c r="H350" s="29"/>
      <c r="I350" s="29"/>
      <c r="J350" s="29"/>
      <c r="K350" s="29"/>
      <c r="L350" s="29"/>
      <c r="M350" s="29"/>
      <c r="N350" s="29"/>
      <c r="O350" s="29"/>
      <c r="P350" s="29"/>
      <c r="Q350" s="29"/>
      <c r="R350" s="29"/>
      <c r="S350" s="29"/>
      <c r="T350" s="29"/>
      <c r="U350" s="29"/>
      <c r="V350" s="29"/>
      <c r="W350" s="29"/>
      <c r="X350" s="29"/>
      <c r="Y350" s="29"/>
      <c r="Z350" s="29"/>
      <c r="AA350" s="29"/>
      <c r="AB350" s="29"/>
      <c r="AC350" s="29"/>
      <c r="AD350" s="29"/>
      <c r="AE350" s="29"/>
      <c r="AF350" s="29"/>
    </row>
    <row r="351" spans="2:32">
      <c r="B351" s="29"/>
      <c r="C351" s="29"/>
      <c r="D351" s="29"/>
      <c r="E351" s="29"/>
      <c r="F351" s="29"/>
      <c r="G351" s="29"/>
      <c r="H351" s="29"/>
      <c r="I351" s="29"/>
      <c r="J351" s="29"/>
      <c r="K351" s="29"/>
      <c r="L351" s="29"/>
      <c r="M351" s="29"/>
      <c r="N351" s="29"/>
      <c r="O351" s="29"/>
      <c r="P351" s="29"/>
      <c r="Q351" s="29"/>
      <c r="R351" s="29"/>
      <c r="S351" s="29"/>
      <c r="T351" s="29"/>
      <c r="U351" s="29"/>
      <c r="V351" s="29"/>
      <c r="W351" s="29"/>
      <c r="X351" s="29"/>
      <c r="Y351" s="29"/>
      <c r="Z351" s="29"/>
      <c r="AA351" s="29"/>
      <c r="AB351" s="29"/>
      <c r="AC351" s="29"/>
      <c r="AD351" s="29"/>
      <c r="AE351" s="29"/>
      <c r="AF351" s="29"/>
    </row>
    <row r="352" spans="2:32">
      <c r="B352" s="29"/>
      <c r="C352" s="29"/>
      <c r="D352" s="29"/>
      <c r="E352" s="29"/>
      <c r="F352" s="29"/>
      <c r="G352" s="29"/>
      <c r="H352" s="29"/>
      <c r="I352" s="29"/>
      <c r="J352" s="29"/>
      <c r="K352" s="29"/>
      <c r="L352" s="29"/>
      <c r="M352" s="29"/>
      <c r="N352" s="29"/>
      <c r="O352" s="29"/>
      <c r="P352" s="29"/>
      <c r="Q352" s="29"/>
      <c r="R352" s="29"/>
      <c r="S352" s="29"/>
      <c r="T352" s="29"/>
      <c r="U352" s="29"/>
      <c r="V352" s="29"/>
      <c r="W352" s="29"/>
      <c r="X352" s="29"/>
      <c r="Y352" s="29"/>
      <c r="Z352" s="29"/>
      <c r="AA352" s="29"/>
      <c r="AB352" s="29"/>
      <c r="AC352" s="29"/>
      <c r="AD352" s="29"/>
      <c r="AE352" s="29"/>
      <c r="AF352" s="29"/>
    </row>
    <row r="449" spans="2:32">
      <c r="B449" s="29"/>
      <c r="C449" s="29"/>
      <c r="D449" s="29"/>
      <c r="E449" s="29"/>
      <c r="F449" s="29"/>
      <c r="G449" s="29"/>
      <c r="H449" s="29"/>
      <c r="I449" s="29"/>
      <c r="J449" s="29"/>
      <c r="K449" s="29"/>
      <c r="L449" s="29"/>
      <c r="M449" s="29"/>
      <c r="N449" s="29"/>
      <c r="O449" s="29"/>
      <c r="P449" s="29"/>
      <c r="Q449" s="29"/>
      <c r="R449" s="29"/>
      <c r="S449" s="29"/>
      <c r="T449" s="29"/>
      <c r="U449" s="29"/>
      <c r="V449" s="29"/>
      <c r="W449" s="29"/>
      <c r="X449" s="29"/>
      <c r="Y449" s="29"/>
      <c r="Z449" s="29"/>
      <c r="AA449" s="29"/>
      <c r="AB449" s="29"/>
      <c r="AC449" s="29"/>
      <c r="AD449" s="29"/>
      <c r="AE449" s="29"/>
      <c r="AF449" s="29"/>
    </row>
    <row r="451" spans="2:32">
      <c r="B451" s="29"/>
      <c r="C451" s="29"/>
      <c r="D451" s="29"/>
      <c r="E451" s="29"/>
      <c r="F451" s="29"/>
      <c r="G451" s="29"/>
      <c r="H451" s="29"/>
      <c r="I451" s="29"/>
      <c r="J451" s="29"/>
      <c r="K451" s="29"/>
      <c r="L451" s="29"/>
      <c r="M451" s="29"/>
      <c r="N451" s="29"/>
      <c r="O451" s="29"/>
      <c r="P451" s="29"/>
      <c r="Q451" s="29"/>
      <c r="R451" s="29"/>
      <c r="S451" s="29"/>
      <c r="T451" s="29"/>
      <c r="U451" s="29"/>
      <c r="V451" s="29"/>
      <c r="W451" s="29"/>
      <c r="X451" s="29"/>
      <c r="Y451" s="29"/>
      <c r="Z451" s="29"/>
      <c r="AA451" s="29"/>
      <c r="AB451" s="29"/>
      <c r="AC451" s="29"/>
      <c r="AD451" s="29"/>
      <c r="AE451" s="29"/>
      <c r="AF451" s="29"/>
    </row>
    <row r="452" spans="2:32">
      <c r="B452" s="29"/>
      <c r="C452" s="29"/>
      <c r="D452" s="29"/>
      <c r="E452" s="29"/>
      <c r="F452" s="29"/>
      <c r="G452" s="29"/>
      <c r="H452" s="29"/>
      <c r="I452" s="29"/>
      <c r="J452" s="29"/>
      <c r="K452" s="29"/>
      <c r="L452" s="29"/>
      <c r="M452" s="29"/>
      <c r="N452" s="29"/>
      <c r="O452" s="29"/>
      <c r="P452" s="29"/>
      <c r="Q452" s="29"/>
      <c r="R452" s="29"/>
      <c r="S452" s="29"/>
      <c r="T452" s="29"/>
      <c r="U452" s="29"/>
      <c r="V452" s="29"/>
      <c r="W452" s="29"/>
      <c r="X452" s="29"/>
      <c r="Y452" s="29"/>
      <c r="Z452" s="29"/>
      <c r="AA452" s="29"/>
      <c r="AB452" s="29"/>
      <c r="AC452" s="29"/>
      <c r="AD452" s="29"/>
      <c r="AE452" s="29"/>
      <c r="AF452" s="29"/>
    </row>
    <row r="461" spans="2:32">
      <c r="B461" s="29"/>
      <c r="C461" s="29"/>
      <c r="D461" s="29"/>
      <c r="E461" s="29"/>
      <c r="F461" s="29"/>
      <c r="G461" s="29"/>
      <c r="H461" s="29"/>
      <c r="I461" s="29"/>
      <c r="J461" s="29"/>
      <c r="K461" s="29"/>
      <c r="L461" s="29"/>
      <c r="M461" s="29"/>
      <c r="N461" s="29"/>
      <c r="O461" s="29"/>
      <c r="P461" s="29"/>
      <c r="Q461" s="29"/>
      <c r="R461" s="29"/>
      <c r="S461" s="29"/>
      <c r="T461" s="29"/>
      <c r="U461" s="29"/>
      <c r="V461" s="29"/>
      <c r="W461" s="29"/>
      <c r="X461" s="29"/>
      <c r="Y461" s="29"/>
      <c r="Z461" s="29"/>
      <c r="AA461" s="29"/>
      <c r="AB461" s="29"/>
      <c r="AC461" s="29"/>
      <c r="AD461" s="29"/>
      <c r="AE461" s="29"/>
      <c r="AF461" s="29"/>
    </row>
    <row r="462" spans="2:32">
      <c r="B462" s="29"/>
      <c r="C462" s="29"/>
      <c r="D462" s="29"/>
      <c r="E462" s="29"/>
      <c r="F462" s="29"/>
      <c r="G462" s="29"/>
      <c r="H462" s="29"/>
      <c r="I462" s="29"/>
      <c r="J462" s="29"/>
      <c r="K462" s="29"/>
      <c r="L462" s="29"/>
      <c r="M462" s="29"/>
      <c r="N462" s="29"/>
      <c r="O462" s="29"/>
      <c r="P462" s="29"/>
      <c r="Q462" s="29"/>
      <c r="R462" s="29"/>
      <c r="S462" s="29"/>
      <c r="T462" s="29"/>
      <c r="U462" s="29"/>
      <c r="V462" s="29"/>
      <c r="W462" s="29"/>
      <c r="X462" s="29"/>
      <c r="Y462" s="29"/>
      <c r="Z462" s="29"/>
      <c r="AA462" s="29"/>
      <c r="AB462" s="29"/>
      <c r="AC462" s="29"/>
      <c r="AD462" s="29"/>
      <c r="AE462" s="29"/>
      <c r="AF462" s="29"/>
    </row>
    <row r="463" spans="2:32">
      <c r="B463" s="29"/>
      <c r="C463" s="29"/>
      <c r="D463" s="29"/>
      <c r="E463" s="29"/>
      <c r="F463" s="29"/>
      <c r="G463" s="29"/>
      <c r="H463" s="29"/>
      <c r="I463" s="29"/>
      <c r="J463" s="29"/>
      <c r="K463" s="29"/>
      <c r="L463" s="29"/>
      <c r="M463" s="29"/>
      <c r="N463" s="29"/>
      <c r="O463" s="29"/>
      <c r="P463" s="29"/>
      <c r="Q463" s="29"/>
      <c r="R463" s="29"/>
      <c r="S463" s="29"/>
      <c r="T463" s="29"/>
      <c r="U463" s="29"/>
      <c r="V463" s="29"/>
      <c r="W463" s="29"/>
      <c r="X463" s="29"/>
      <c r="Y463" s="29"/>
      <c r="Z463" s="29"/>
      <c r="AA463" s="29"/>
      <c r="AB463" s="29"/>
      <c r="AC463" s="29"/>
      <c r="AD463" s="29"/>
      <c r="AE463" s="29"/>
      <c r="AF463" s="29"/>
    </row>
    <row r="464" spans="2:32">
      <c r="B464" s="29"/>
      <c r="C464" s="29"/>
      <c r="D464" s="29"/>
      <c r="E464" s="29"/>
      <c r="F464" s="29"/>
      <c r="G464" s="29"/>
      <c r="H464" s="29"/>
      <c r="I464" s="29"/>
      <c r="J464" s="29"/>
      <c r="K464" s="29"/>
      <c r="L464" s="29"/>
      <c r="M464" s="29"/>
      <c r="N464" s="29"/>
      <c r="O464" s="29"/>
      <c r="P464" s="29"/>
      <c r="Q464" s="29"/>
      <c r="R464" s="29"/>
      <c r="S464" s="29"/>
      <c r="T464" s="29"/>
      <c r="U464" s="29"/>
      <c r="V464" s="29"/>
      <c r="W464" s="29"/>
      <c r="X464" s="29"/>
      <c r="Y464" s="29"/>
      <c r="Z464" s="29"/>
      <c r="AA464" s="29"/>
      <c r="AB464" s="29"/>
      <c r="AC464" s="29"/>
      <c r="AD464" s="29"/>
      <c r="AE464" s="29"/>
      <c r="AF464" s="29"/>
    </row>
    <row r="564" spans="2:32">
      <c r="B564" s="29"/>
      <c r="C564" s="29"/>
      <c r="D564" s="29"/>
      <c r="E564" s="29"/>
      <c r="F564" s="29"/>
      <c r="G564" s="29"/>
      <c r="H564" s="29"/>
      <c r="I564" s="29"/>
      <c r="J564" s="29"/>
      <c r="K564" s="29"/>
      <c r="L564" s="29"/>
      <c r="M564" s="29"/>
      <c r="N564" s="29"/>
      <c r="O564" s="29"/>
      <c r="P564" s="29"/>
      <c r="Q564" s="29"/>
      <c r="R564" s="29"/>
      <c r="S564" s="29"/>
      <c r="T564" s="29"/>
      <c r="U564" s="29"/>
      <c r="V564" s="29"/>
      <c r="W564" s="29"/>
      <c r="X564" s="29"/>
      <c r="Y564" s="29"/>
      <c r="Z564" s="29"/>
      <c r="AA564" s="29"/>
      <c r="AB564" s="29"/>
      <c r="AC564" s="29"/>
      <c r="AD564" s="29"/>
      <c r="AE564" s="29"/>
      <c r="AF564" s="29"/>
    </row>
    <row r="565" spans="2:32">
      <c r="B565" s="29"/>
      <c r="C565" s="29"/>
      <c r="D565" s="29"/>
      <c r="E565" s="29"/>
      <c r="F565" s="29"/>
      <c r="G565" s="29"/>
      <c r="H565" s="29"/>
      <c r="I565" s="29"/>
      <c r="J565" s="29"/>
      <c r="K565" s="29"/>
      <c r="L565" s="29"/>
      <c r="M565" s="29"/>
      <c r="N565" s="29"/>
      <c r="O565" s="29"/>
      <c r="P565" s="29"/>
      <c r="Q565" s="29"/>
      <c r="R565" s="29"/>
      <c r="S565" s="29"/>
      <c r="T565" s="29"/>
      <c r="U565" s="29"/>
      <c r="V565" s="29"/>
      <c r="W565" s="29"/>
      <c r="X565" s="29"/>
      <c r="Y565" s="29"/>
      <c r="Z565" s="29"/>
      <c r="AA565" s="29"/>
      <c r="AB565" s="29"/>
      <c r="AC565" s="29"/>
      <c r="AD565" s="29"/>
      <c r="AE565" s="29"/>
      <c r="AF565" s="29"/>
    </row>
    <row r="571" spans="2:32">
      <c r="B571" s="29"/>
      <c r="C571" s="29"/>
      <c r="D571" s="29"/>
      <c r="E571" s="29"/>
      <c r="F571" s="29"/>
      <c r="G571" s="29"/>
      <c r="H571" s="29"/>
      <c r="I571" s="29"/>
      <c r="J571" s="29"/>
      <c r="K571" s="29"/>
      <c r="L571" s="29"/>
      <c r="M571" s="29"/>
      <c r="N571" s="29"/>
      <c r="O571" s="29"/>
      <c r="P571" s="29"/>
      <c r="Q571" s="29"/>
      <c r="R571" s="29"/>
      <c r="S571" s="29"/>
      <c r="T571" s="29"/>
      <c r="U571" s="29"/>
      <c r="V571" s="29"/>
      <c r="W571" s="29"/>
      <c r="X571" s="29"/>
      <c r="Y571" s="29"/>
      <c r="Z571" s="29"/>
      <c r="AA571" s="29"/>
      <c r="AB571" s="29"/>
      <c r="AC571" s="29"/>
      <c r="AD571" s="29"/>
      <c r="AE571" s="29"/>
      <c r="AF571" s="29"/>
    </row>
    <row r="572" spans="2:32">
      <c r="B572" s="29"/>
      <c r="C572" s="29"/>
      <c r="D572" s="29"/>
      <c r="E572" s="29"/>
      <c r="F572" s="29"/>
      <c r="G572" s="29"/>
      <c r="H572" s="29"/>
      <c r="I572" s="29"/>
      <c r="J572" s="29"/>
      <c r="K572" s="29"/>
      <c r="L572" s="29"/>
      <c r="M572" s="29"/>
      <c r="N572" s="29"/>
      <c r="O572" s="29"/>
      <c r="P572" s="29"/>
      <c r="Q572" s="29"/>
      <c r="R572" s="29"/>
      <c r="S572" s="29"/>
      <c r="T572" s="29"/>
      <c r="U572" s="29"/>
      <c r="V572" s="29"/>
      <c r="W572" s="29"/>
      <c r="X572" s="29"/>
      <c r="Y572" s="29"/>
      <c r="Z572" s="29"/>
      <c r="AA572" s="29"/>
      <c r="AB572" s="29"/>
      <c r="AC572" s="29"/>
      <c r="AD572" s="29"/>
      <c r="AE572" s="29"/>
      <c r="AF572" s="29"/>
    </row>
    <row r="573" spans="2:32">
      <c r="B573" s="29"/>
      <c r="C573" s="29"/>
      <c r="D573" s="29"/>
      <c r="E573" s="29"/>
      <c r="F573" s="29"/>
      <c r="G573" s="29"/>
      <c r="H573" s="29"/>
      <c r="I573" s="29"/>
      <c r="J573" s="29"/>
      <c r="K573" s="29"/>
      <c r="L573" s="29"/>
      <c r="M573" s="29"/>
      <c r="N573" s="29"/>
      <c r="O573" s="29"/>
      <c r="P573" s="29"/>
      <c r="Q573" s="29"/>
      <c r="R573" s="29"/>
      <c r="S573" s="29"/>
      <c r="T573" s="29"/>
      <c r="U573" s="29"/>
      <c r="V573" s="29"/>
      <c r="W573" s="29"/>
      <c r="X573" s="29"/>
      <c r="Y573" s="29"/>
      <c r="Z573" s="29"/>
      <c r="AA573" s="29"/>
      <c r="AB573" s="29"/>
      <c r="AC573" s="29"/>
      <c r="AD573" s="29"/>
      <c r="AE573" s="29"/>
      <c r="AF573" s="29"/>
    </row>
    <row r="574" spans="2:32">
      <c r="B574" s="29"/>
      <c r="C574" s="29"/>
      <c r="D574" s="29"/>
      <c r="E574" s="29"/>
      <c r="F574" s="29"/>
      <c r="G574" s="29"/>
      <c r="H574" s="29"/>
      <c r="I574" s="29"/>
      <c r="J574" s="29"/>
      <c r="K574" s="29"/>
      <c r="L574" s="29"/>
      <c r="M574" s="29"/>
      <c r="N574" s="29"/>
      <c r="O574" s="29"/>
      <c r="P574" s="29"/>
      <c r="Q574" s="29"/>
      <c r="R574" s="29"/>
      <c r="S574" s="29"/>
      <c r="T574" s="29"/>
      <c r="U574" s="29"/>
      <c r="V574" s="29"/>
      <c r="W574" s="29"/>
      <c r="X574" s="29"/>
      <c r="Y574" s="29"/>
      <c r="Z574" s="29"/>
      <c r="AA574" s="29"/>
      <c r="AB574" s="29"/>
      <c r="AC574" s="29"/>
      <c r="AD574" s="29"/>
      <c r="AE574" s="29"/>
      <c r="AF574" s="29"/>
    </row>
    <row r="575" spans="2:32">
      <c r="B575" s="29"/>
      <c r="C575" s="29"/>
      <c r="D575" s="29"/>
      <c r="E575" s="29"/>
      <c r="F575" s="29"/>
      <c r="G575" s="29"/>
      <c r="H575" s="29"/>
      <c r="I575" s="29"/>
      <c r="J575" s="29"/>
      <c r="K575" s="29"/>
      <c r="L575" s="29"/>
      <c r="M575" s="29"/>
      <c r="N575" s="29"/>
      <c r="O575" s="29"/>
      <c r="P575" s="29"/>
      <c r="Q575" s="29"/>
      <c r="R575" s="29"/>
      <c r="S575" s="29"/>
      <c r="T575" s="29"/>
      <c r="U575" s="29"/>
      <c r="V575" s="29"/>
      <c r="W575" s="29"/>
      <c r="X575" s="29"/>
      <c r="Y575" s="29"/>
      <c r="Z575" s="29"/>
      <c r="AA575" s="29"/>
      <c r="AB575" s="29"/>
      <c r="AC575" s="29"/>
      <c r="AD575" s="29"/>
      <c r="AE575" s="29"/>
      <c r="AF575" s="29"/>
    </row>
    <row r="576" spans="2:32">
      <c r="B576" s="29"/>
      <c r="C576" s="29"/>
      <c r="D576" s="29"/>
      <c r="E576" s="29"/>
      <c r="F576" s="29"/>
      <c r="G576" s="29"/>
      <c r="H576" s="29"/>
      <c r="I576" s="29"/>
      <c r="J576" s="29"/>
      <c r="K576" s="29"/>
      <c r="L576" s="29"/>
      <c r="M576" s="29"/>
      <c r="N576" s="29"/>
      <c r="O576" s="29"/>
      <c r="P576" s="29"/>
      <c r="Q576" s="29"/>
      <c r="R576" s="29"/>
      <c r="S576" s="29"/>
      <c r="T576" s="29"/>
      <c r="U576" s="29"/>
      <c r="V576" s="29"/>
      <c r="W576" s="29"/>
      <c r="X576" s="29"/>
      <c r="Y576" s="29"/>
      <c r="Z576" s="29"/>
      <c r="AA576" s="29"/>
      <c r="AB576" s="29"/>
      <c r="AC576" s="29"/>
      <c r="AD576" s="29"/>
      <c r="AE576" s="29"/>
      <c r="AF576" s="29"/>
    </row>
    <row r="657" spans="2:32">
      <c r="B657" s="29"/>
      <c r="C657" s="29"/>
      <c r="D657" s="29"/>
      <c r="E657" s="29"/>
      <c r="F657" s="29"/>
      <c r="G657" s="29"/>
      <c r="H657" s="29"/>
      <c r="I657" s="29"/>
      <c r="J657" s="29"/>
      <c r="K657" s="29"/>
      <c r="L657" s="29"/>
      <c r="M657" s="29"/>
      <c r="N657" s="29"/>
      <c r="O657" s="29"/>
      <c r="P657" s="29"/>
      <c r="Q657" s="29"/>
      <c r="R657" s="29"/>
      <c r="S657" s="29"/>
      <c r="T657" s="29"/>
      <c r="U657" s="29"/>
      <c r="V657" s="29"/>
      <c r="W657" s="29"/>
      <c r="X657" s="29"/>
      <c r="Y657" s="29"/>
      <c r="Z657" s="29"/>
      <c r="AA657" s="29"/>
      <c r="AB657" s="29"/>
      <c r="AC657" s="29"/>
      <c r="AD657" s="29"/>
      <c r="AE657" s="29"/>
      <c r="AF657" s="29"/>
    </row>
    <row r="658" spans="2:32">
      <c r="B658" s="29"/>
      <c r="C658" s="29"/>
      <c r="D658" s="29"/>
      <c r="E658" s="29"/>
      <c r="F658" s="29"/>
      <c r="G658" s="29"/>
      <c r="H658" s="29"/>
      <c r="I658" s="29"/>
      <c r="J658" s="29"/>
      <c r="K658" s="29"/>
      <c r="L658" s="29"/>
      <c r="M658" s="29"/>
      <c r="N658" s="29"/>
      <c r="O658" s="29"/>
      <c r="P658" s="29"/>
      <c r="Q658" s="29"/>
      <c r="R658" s="29"/>
      <c r="S658" s="29"/>
      <c r="T658" s="29"/>
      <c r="U658" s="29"/>
      <c r="V658" s="29"/>
      <c r="W658" s="29"/>
      <c r="X658" s="29"/>
      <c r="Y658" s="29"/>
      <c r="Z658" s="29"/>
      <c r="AA658" s="29"/>
      <c r="AB658" s="29"/>
      <c r="AC658" s="29"/>
      <c r="AD658" s="29"/>
      <c r="AE658" s="29"/>
      <c r="AF658" s="29"/>
    </row>
    <row r="660" spans="2:32">
      <c r="B660" s="29"/>
      <c r="C660" s="29"/>
      <c r="D660" s="29"/>
      <c r="E660" s="29"/>
      <c r="F660" s="29"/>
      <c r="G660" s="29"/>
      <c r="H660" s="29"/>
      <c r="I660" s="29"/>
      <c r="J660" s="29"/>
      <c r="K660" s="29"/>
      <c r="L660" s="29"/>
      <c r="M660" s="29"/>
      <c r="N660" s="29"/>
      <c r="O660" s="29"/>
      <c r="P660" s="29"/>
      <c r="Q660" s="29"/>
      <c r="R660" s="29"/>
      <c r="S660" s="29"/>
      <c r="T660" s="29"/>
      <c r="U660" s="29"/>
      <c r="V660" s="29"/>
      <c r="W660" s="29"/>
      <c r="X660" s="29"/>
      <c r="Y660" s="29"/>
      <c r="Z660" s="29"/>
      <c r="AA660" s="29"/>
      <c r="AB660" s="29"/>
      <c r="AC660" s="29"/>
      <c r="AD660" s="29"/>
      <c r="AE660" s="29"/>
      <c r="AF660" s="29"/>
    </row>
    <row r="662" spans="2:32">
      <c r="B662" s="29"/>
      <c r="C662" s="29"/>
      <c r="D662" s="29"/>
      <c r="E662" s="29"/>
      <c r="F662" s="29"/>
      <c r="G662" s="29"/>
      <c r="H662" s="29"/>
      <c r="I662" s="29"/>
      <c r="J662" s="29"/>
      <c r="K662" s="29"/>
      <c r="L662" s="29"/>
      <c r="M662" s="29"/>
      <c r="N662" s="29"/>
      <c r="O662" s="29"/>
      <c r="P662" s="29"/>
      <c r="Q662" s="29"/>
      <c r="R662" s="29"/>
      <c r="S662" s="29"/>
      <c r="T662" s="29"/>
      <c r="U662" s="29"/>
      <c r="V662" s="29"/>
      <c r="W662" s="29"/>
      <c r="X662" s="29"/>
      <c r="Y662" s="29"/>
      <c r="Z662" s="29"/>
      <c r="AA662" s="29"/>
      <c r="AB662" s="29"/>
      <c r="AC662" s="29"/>
      <c r="AD662" s="29"/>
      <c r="AE662" s="29"/>
      <c r="AF662" s="29"/>
    </row>
    <row r="663" spans="2:32">
      <c r="B663" s="29"/>
      <c r="C663" s="29"/>
      <c r="D663" s="29"/>
      <c r="E663" s="29"/>
      <c r="F663" s="29"/>
      <c r="G663" s="29"/>
      <c r="H663" s="29"/>
      <c r="I663" s="29"/>
      <c r="J663" s="29"/>
      <c r="K663" s="29"/>
      <c r="L663" s="29"/>
      <c r="M663" s="29"/>
      <c r="N663" s="29"/>
      <c r="O663" s="29"/>
      <c r="P663" s="29"/>
      <c r="Q663" s="29"/>
      <c r="R663" s="29"/>
      <c r="S663" s="29"/>
      <c r="T663" s="29"/>
      <c r="U663" s="29"/>
      <c r="V663" s="29"/>
      <c r="W663" s="29"/>
      <c r="X663" s="29"/>
      <c r="Y663" s="29"/>
      <c r="Z663" s="29"/>
      <c r="AA663" s="29"/>
      <c r="AB663" s="29"/>
      <c r="AC663" s="29"/>
      <c r="AD663" s="29"/>
      <c r="AE663" s="29"/>
      <c r="AF663" s="29"/>
    </row>
    <row r="669" spans="2:32">
      <c r="B669" s="29"/>
      <c r="C669" s="29"/>
      <c r="D669" s="29"/>
      <c r="E669" s="29"/>
      <c r="F669" s="29"/>
      <c r="G669" s="29"/>
      <c r="H669" s="29"/>
      <c r="I669" s="29"/>
      <c r="J669" s="29"/>
      <c r="K669" s="29"/>
      <c r="L669" s="29"/>
      <c r="M669" s="29"/>
      <c r="N669" s="29"/>
      <c r="O669" s="29"/>
      <c r="P669" s="29"/>
      <c r="Q669" s="29"/>
      <c r="R669" s="29"/>
      <c r="S669" s="29"/>
      <c r="T669" s="29"/>
      <c r="U669" s="29"/>
      <c r="V669" s="29"/>
      <c r="W669" s="29"/>
      <c r="X669" s="29"/>
      <c r="Y669" s="29"/>
      <c r="Z669" s="29"/>
      <c r="AA669" s="29"/>
      <c r="AB669" s="29"/>
      <c r="AC669" s="29"/>
      <c r="AD669" s="29"/>
      <c r="AE669" s="29"/>
      <c r="AF669" s="29"/>
    </row>
    <row r="670" spans="2:32">
      <c r="B670" s="29"/>
      <c r="C670" s="29"/>
      <c r="D670" s="29"/>
      <c r="E670" s="29"/>
      <c r="F670" s="29"/>
      <c r="G670" s="29"/>
      <c r="H670" s="29"/>
      <c r="I670" s="29"/>
      <c r="J670" s="29"/>
      <c r="K670" s="29"/>
      <c r="L670" s="29"/>
      <c r="M670" s="29"/>
      <c r="N670" s="29"/>
      <c r="O670" s="29"/>
      <c r="P670" s="29"/>
      <c r="Q670" s="29"/>
      <c r="R670" s="29"/>
      <c r="S670" s="29"/>
      <c r="T670" s="29"/>
      <c r="U670" s="29"/>
      <c r="V670" s="29"/>
      <c r="W670" s="29"/>
      <c r="X670" s="29"/>
      <c r="Y670" s="29"/>
      <c r="Z670" s="29"/>
      <c r="AA670" s="29"/>
      <c r="AB670" s="29"/>
      <c r="AC670" s="29"/>
      <c r="AD670" s="29"/>
      <c r="AE670" s="29"/>
      <c r="AF670" s="29"/>
    </row>
    <row r="671" spans="2:32">
      <c r="B671" s="29"/>
      <c r="C671" s="29"/>
      <c r="D671" s="29"/>
      <c r="E671" s="29"/>
      <c r="F671" s="29"/>
      <c r="G671" s="29"/>
      <c r="H671" s="29"/>
      <c r="I671" s="29"/>
      <c r="J671" s="29"/>
      <c r="K671" s="29"/>
      <c r="L671" s="29"/>
      <c r="M671" s="29"/>
      <c r="N671" s="29"/>
      <c r="O671" s="29"/>
      <c r="P671" s="29"/>
      <c r="Q671" s="29"/>
      <c r="R671" s="29"/>
      <c r="S671" s="29"/>
      <c r="T671" s="29"/>
      <c r="U671" s="29"/>
      <c r="V671" s="29"/>
      <c r="W671" s="29"/>
      <c r="X671" s="29"/>
      <c r="Y671" s="29"/>
      <c r="Z671" s="29"/>
      <c r="AA671" s="29"/>
      <c r="AB671" s="29"/>
      <c r="AC671" s="29"/>
      <c r="AD671" s="29"/>
      <c r="AE671" s="29"/>
      <c r="AF671" s="29"/>
    </row>
    <row r="672" spans="2:32">
      <c r="B672" s="29"/>
      <c r="C672" s="29"/>
      <c r="D672" s="29"/>
      <c r="E672" s="29"/>
      <c r="F672" s="29"/>
      <c r="G672" s="29"/>
      <c r="H672" s="29"/>
      <c r="I672" s="29"/>
      <c r="J672" s="29"/>
      <c r="K672" s="29"/>
      <c r="L672" s="29"/>
      <c r="M672" s="29"/>
      <c r="N672" s="29"/>
      <c r="O672" s="29"/>
      <c r="P672" s="29"/>
      <c r="Q672" s="29"/>
      <c r="R672" s="29"/>
      <c r="S672" s="29"/>
      <c r="T672" s="29"/>
      <c r="U672" s="29"/>
      <c r="V672" s="29"/>
      <c r="W672" s="29"/>
      <c r="X672" s="29"/>
      <c r="Y672" s="29"/>
      <c r="Z672" s="29"/>
      <c r="AA672" s="29"/>
      <c r="AB672" s="29"/>
      <c r="AC672" s="29"/>
      <c r="AD672" s="29"/>
      <c r="AE672" s="29"/>
      <c r="AF672" s="29"/>
    </row>
    <row r="723" spans="2:32">
      <c r="B723" s="29"/>
      <c r="C723" s="29"/>
      <c r="D723" s="29"/>
      <c r="E723" s="29"/>
      <c r="F723" s="29"/>
      <c r="G723" s="29"/>
      <c r="H723" s="29"/>
      <c r="I723" s="29"/>
      <c r="J723" s="29"/>
      <c r="K723" s="29"/>
      <c r="L723" s="29"/>
      <c r="M723" s="29"/>
      <c r="N723" s="29"/>
      <c r="O723" s="29"/>
      <c r="P723" s="29"/>
      <c r="Q723" s="29"/>
      <c r="R723" s="29"/>
      <c r="S723" s="29"/>
      <c r="T723" s="29"/>
      <c r="U723" s="29"/>
      <c r="V723" s="29"/>
      <c r="W723" s="29"/>
      <c r="X723" s="29"/>
      <c r="Y723" s="29"/>
      <c r="Z723" s="29"/>
      <c r="AA723" s="29"/>
      <c r="AB723" s="29"/>
      <c r="AC723" s="29"/>
      <c r="AD723" s="29"/>
      <c r="AE723" s="29"/>
      <c r="AF723" s="29"/>
    </row>
    <row r="728" spans="2:32">
      <c r="B728" s="29"/>
      <c r="C728" s="29"/>
      <c r="D728" s="29"/>
      <c r="E728" s="29"/>
      <c r="F728" s="29"/>
      <c r="G728" s="29"/>
      <c r="H728" s="29"/>
      <c r="I728" s="29"/>
      <c r="J728" s="29"/>
      <c r="K728" s="29"/>
      <c r="L728" s="29"/>
      <c r="M728" s="29"/>
      <c r="N728" s="29"/>
      <c r="O728" s="29"/>
      <c r="P728" s="29"/>
      <c r="Q728" s="29"/>
      <c r="R728" s="29"/>
      <c r="S728" s="29"/>
      <c r="T728" s="29"/>
      <c r="U728" s="29"/>
      <c r="V728" s="29"/>
      <c r="W728" s="29"/>
      <c r="X728" s="29"/>
      <c r="Y728" s="29"/>
      <c r="Z728" s="29"/>
      <c r="AA728" s="29"/>
      <c r="AB728" s="29"/>
      <c r="AC728" s="29"/>
      <c r="AD728" s="29"/>
      <c r="AE728" s="29"/>
      <c r="AF728" s="29"/>
    </row>
    <row r="734" spans="2:32">
      <c r="B734" s="29"/>
      <c r="C734" s="29"/>
      <c r="D734" s="29"/>
      <c r="E734" s="29"/>
      <c r="F734" s="29"/>
      <c r="G734" s="29"/>
      <c r="H734" s="29"/>
      <c r="I734" s="29"/>
      <c r="J734" s="29"/>
      <c r="K734" s="29"/>
      <c r="L734" s="29"/>
      <c r="M734" s="29"/>
      <c r="N734" s="29"/>
      <c r="O734" s="29"/>
      <c r="P734" s="29"/>
      <c r="Q734" s="29"/>
      <c r="R734" s="29"/>
      <c r="S734" s="29"/>
      <c r="T734" s="29"/>
      <c r="U734" s="29"/>
      <c r="V734" s="29"/>
      <c r="W734" s="29"/>
      <c r="X734" s="29"/>
      <c r="Y734" s="29"/>
      <c r="Z734" s="29"/>
      <c r="AA734" s="29"/>
      <c r="AB734" s="29"/>
      <c r="AC734" s="29"/>
      <c r="AD734" s="29"/>
      <c r="AE734" s="29"/>
      <c r="AF734" s="29"/>
    </row>
    <row r="735" spans="2:32">
      <c r="B735" s="29"/>
      <c r="C735" s="29"/>
      <c r="D735" s="29"/>
      <c r="E735" s="29"/>
      <c r="F735" s="29"/>
      <c r="G735" s="29"/>
      <c r="H735" s="29"/>
      <c r="I735" s="29"/>
      <c r="J735" s="29"/>
      <c r="K735" s="29"/>
      <c r="L735" s="29"/>
      <c r="M735" s="29"/>
      <c r="N735" s="29"/>
      <c r="O735" s="29"/>
      <c r="P735" s="29"/>
      <c r="Q735" s="29"/>
      <c r="R735" s="29"/>
      <c r="S735" s="29"/>
      <c r="T735" s="29"/>
      <c r="U735" s="29"/>
      <c r="V735" s="29"/>
      <c r="W735" s="29"/>
      <c r="X735" s="29"/>
      <c r="Y735" s="29"/>
      <c r="Z735" s="29"/>
      <c r="AA735" s="29"/>
      <c r="AB735" s="29"/>
      <c r="AC735" s="29"/>
      <c r="AD735" s="29"/>
      <c r="AE735" s="29"/>
      <c r="AF735" s="29"/>
    </row>
    <row r="906" spans="2:32">
      <c r="B906" s="29"/>
      <c r="C906" s="29"/>
      <c r="D906" s="29"/>
      <c r="E906" s="29"/>
      <c r="F906" s="29"/>
      <c r="G906" s="29"/>
      <c r="H906" s="29"/>
      <c r="I906" s="29"/>
      <c r="J906" s="29"/>
      <c r="K906" s="29"/>
      <c r="L906" s="29"/>
      <c r="M906" s="29"/>
      <c r="N906" s="29"/>
      <c r="O906" s="29"/>
      <c r="P906" s="29"/>
      <c r="Q906" s="29"/>
      <c r="R906" s="29"/>
      <c r="S906" s="29"/>
      <c r="T906" s="29"/>
      <c r="U906" s="29"/>
      <c r="V906" s="29"/>
      <c r="W906" s="29"/>
      <c r="X906" s="29"/>
      <c r="Y906" s="29"/>
      <c r="Z906" s="29"/>
      <c r="AA906" s="29"/>
      <c r="AB906" s="29"/>
      <c r="AC906" s="29"/>
      <c r="AD906" s="29"/>
      <c r="AE906" s="29"/>
      <c r="AF906" s="29"/>
    </row>
    <row r="910" spans="2:32">
      <c r="B910" s="29"/>
      <c r="C910" s="29"/>
      <c r="D910" s="29"/>
      <c r="E910" s="29"/>
      <c r="F910" s="29"/>
      <c r="G910" s="29"/>
      <c r="H910" s="29"/>
      <c r="I910" s="29"/>
      <c r="J910" s="29"/>
      <c r="K910" s="29"/>
      <c r="L910" s="29"/>
      <c r="M910" s="29"/>
      <c r="N910" s="29"/>
      <c r="O910" s="29"/>
      <c r="P910" s="29"/>
      <c r="Q910" s="29"/>
      <c r="R910" s="29"/>
      <c r="S910" s="29"/>
      <c r="T910" s="29"/>
      <c r="U910" s="29"/>
      <c r="V910" s="29"/>
      <c r="W910" s="29"/>
      <c r="X910" s="29"/>
      <c r="Y910" s="29"/>
      <c r="Z910" s="29"/>
      <c r="AA910" s="29"/>
      <c r="AB910" s="29"/>
      <c r="AC910" s="29"/>
      <c r="AD910" s="29"/>
      <c r="AE910" s="29"/>
      <c r="AF910" s="29"/>
    </row>
    <row r="911" spans="2:32">
      <c r="B911" s="29"/>
      <c r="C911" s="29"/>
      <c r="D911" s="29"/>
      <c r="E911" s="29"/>
      <c r="F911" s="29"/>
      <c r="G911" s="29"/>
      <c r="H911" s="29"/>
      <c r="I911" s="29"/>
      <c r="J911" s="29"/>
      <c r="K911" s="29"/>
      <c r="L911" s="29"/>
      <c r="M911" s="29"/>
      <c r="N911" s="29"/>
      <c r="O911" s="29"/>
      <c r="P911" s="29"/>
      <c r="Q911" s="29"/>
      <c r="R911" s="29"/>
      <c r="S911" s="29"/>
      <c r="T911" s="29"/>
      <c r="U911" s="29"/>
      <c r="V911" s="29"/>
      <c r="W911" s="29"/>
      <c r="X911" s="29"/>
      <c r="Y911" s="29"/>
      <c r="Z911" s="29"/>
      <c r="AA911" s="29"/>
      <c r="AB911" s="29"/>
      <c r="AC911" s="29"/>
      <c r="AD911" s="29"/>
      <c r="AE911" s="29"/>
      <c r="AF911" s="29"/>
    </row>
    <row r="993" spans="2:32">
      <c r="B993" s="29"/>
      <c r="C993" s="29"/>
      <c r="D993" s="29"/>
      <c r="E993" s="29"/>
      <c r="F993" s="29"/>
      <c r="G993" s="29"/>
      <c r="H993" s="29"/>
      <c r="I993" s="29"/>
      <c r="J993" s="29"/>
      <c r="K993" s="29"/>
      <c r="L993" s="29"/>
      <c r="M993" s="29"/>
      <c r="N993" s="29"/>
      <c r="O993" s="29"/>
      <c r="P993" s="29"/>
      <c r="Q993" s="29"/>
      <c r="R993" s="29"/>
      <c r="S993" s="29"/>
      <c r="T993" s="29"/>
      <c r="U993" s="29"/>
      <c r="V993" s="29"/>
      <c r="W993" s="29"/>
      <c r="X993" s="29"/>
      <c r="Y993" s="29"/>
      <c r="Z993" s="29"/>
      <c r="AA993" s="29"/>
      <c r="AB993" s="29"/>
      <c r="AC993" s="29"/>
      <c r="AD993" s="29"/>
      <c r="AE993" s="29"/>
      <c r="AF993" s="29"/>
    </row>
    <row r="994" spans="2:32">
      <c r="B994" s="29"/>
      <c r="C994" s="29"/>
      <c r="D994" s="29"/>
      <c r="E994" s="29"/>
      <c r="F994" s="29"/>
      <c r="G994" s="29"/>
      <c r="H994" s="29"/>
      <c r="I994" s="29"/>
      <c r="J994" s="29"/>
      <c r="K994" s="29"/>
      <c r="L994" s="29"/>
      <c r="M994" s="29"/>
      <c r="N994" s="29"/>
      <c r="O994" s="29"/>
      <c r="P994" s="29"/>
      <c r="Q994" s="29"/>
      <c r="R994" s="29"/>
      <c r="S994" s="29"/>
      <c r="T994" s="29"/>
      <c r="U994" s="29"/>
      <c r="V994" s="29"/>
      <c r="W994" s="29"/>
      <c r="X994" s="29"/>
      <c r="Y994" s="29"/>
      <c r="Z994" s="29"/>
      <c r="AA994" s="29"/>
      <c r="AB994" s="29"/>
      <c r="AC994" s="29"/>
      <c r="AD994" s="29"/>
      <c r="AE994" s="29"/>
      <c r="AF994" s="29"/>
    </row>
    <row r="1001" spans="2:32">
      <c r="B1001" s="29"/>
      <c r="C1001" s="29"/>
      <c r="D1001" s="29"/>
      <c r="E1001" s="29"/>
      <c r="F1001" s="29"/>
      <c r="G1001" s="29"/>
      <c r="H1001" s="29"/>
      <c r="I1001" s="29"/>
      <c r="J1001" s="29"/>
      <c r="K1001" s="29"/>
      <c r="L1001" s="29"/>
      <c r="M1001" s="29"/>
      <c r="N1001" s="29"/>
      <c r="O1001" s="29"/>
      <c r="P1001" s="29"/>
      <c r="Q1001" s="29"/>
      <c r="R1001" s="29"/>
      <c r="S1001" s="29"/>
      <c r="T1001" s="29"/>
      <c r="U1001" s="29"/>
      <c r="V1001" s="29"/>
      <c r="W1001" s="29"/>
      <c r="X1001" s="29"/>
      <c r="Y1001" s="29"/>
      <c r="Z1001" s="29"/>
      <c r="AA1001" s="29"/>
      <c r="AB1001" s="29"/>
      <c r="AC1001" s="29"/>
      <c r="AD1001" s="29"/>
      <c r="AE1001" s="29"/>
      <c r="AF1001" s="29"/>
    </row>
    <row r="1002" spans="2:32">
      <c r="B1002" s="29"/>
      <c r="C1002" s="29"/>
      <c r="D1002" s="29"/>
      <c r="E1002" s="29"/>
      <c r="F1002" s="29"/>
      <c r="G1002" s="29"/>
      <c r="H1002" s="29"/>
      <c r="I1002" s="29"/>
      <c r="J1002" s="29"/>
      <c r="K1002" s="29"/>
      <c r="L1002" s="29"/>
      <c r="M1002" s="29"/>
      <c r="N1002" s="29"/>
      <c r="O1002" s="29"/>
      <c r="P1002" s="29"/>
      <c r="Q1002" s="29"/>
      <c r="R1002" s="29"/>
      <c r="S1002" s="29"/>
      <c r="T1002" s="29"/>
      <c r="U1002" s="29"/>
      <c r="V1002" s="29"/>
      <c r="W1002" s="29"/>
      <c r="X1002" s="29"/>
      <c r="Y1002" s="29"/>
      <c r="Z1002" s="29"/>
      <c r="AA1002" s="29"/>
      <c r="AB1002" s="29"/>
      <c r="AC1002" s="29"/>
      <c r="AD1002" s="29"/>
      <c r="AE1002" s="29"/>
      <c r="AF1002" s="29"/>
    </row>
    <row r="1003" spans="2:32">
      <c r="B1003" s="29"/>
      <c r="C1003" s="29"/>
      <c r="D1003" s="29"/>
      <c r="E1003" s="29"/>
      <c r="F1003" s="29"/>
      <c r="G1003" s="29"/>
      <c r="H1003" s="29"/>
      <c r="I1003" s="29"/>
      <c r="J1003" s="29"/>
      <c r="K1003" s="29"/>
      <c r="L1003" s="29"/>
      <c r="M1003" s="29"/>
      <c r="N1003" s="29"/>
      <c r="O1003" s="29"/>
      <c r="P1003" s="29"/>
      <c r="Q1003" s="29"/>
      <c r="R1003" s="29"/>
      <c r="S1003" s="29"/>
      <c r="T1003" s="29"/>
      <c r="U1003" s="29"/>
      <c r="V1003" s="29"/>
      <c r="W1003" s="29"/>
      <c r="X1003" s="29"/>
      <c r="Y1003" s="29"/>
      <c r="Z1003" s="29"/>
      <c r="AA1003" s="29"/>
      <c r="AB1003" s="29"/>
      <c r="AC1003" s="29"/>
      <c r="AD1003" s="29"/>
      <c r="AE1003" s="29"/>
      <c r="AF1003" s="29"/>
    </row>
    <row r="1004" spans="2:32">
      <c r="B1004" s="29"/>
      <c r="C1004" s="29"/>
      <c r="D1004" s="29"/>
      <c r="E1004" s="29"/>
      <c r="F1004" s="29"/>
      <c r="G1004" s="29"/>
      <c r="H1004" s="29"/>
      <c r="I1004" s="29"/>
      <c r="J1004" s="29"/>
      <c r="K1004" s="29"/>
      <c r="L1004" s="29"/>
      <c r="M1004" s="29"/>
      <c r="N1004" s="29"/>
      <c r="O1004" s="29"/>
      <c r="P1004" s="29"/>
      <c r="Q1004" s="29"/>
      <c r="R1004" s="29"/>
      <c r="S1004" s="29"/>
      <c r="T1004" s="29"/>
      <c r="U1004" s="29"/>
      <c r="V1004" s="29"/>
      <c r="W1004" s="29"/>
      <c r="X1004" s="29"/>
      <c r="Y1004" s="29"/>
      <c r="Z1004" s="29"/>
      <c r="AA1004" s="29"/>
      <c r="AB1004" s="29"/>
      <c r="AC1004" s="29"/>
      <c r="AD1004" s="29"/>
      <c r="AE1004" s="29"/>
      <c r="AF1004" s="29"/>
    </row>
    <row r="1005" spans="2:32">
      <c r="B1005" s="29"/>
      <c r="C1005" s="29"/>
      <c r="D1005" s="29"/>
      <c r="E1005" s="29"/>
      <c r="F1005" s="29"/>
      <c r="G1005" s="29"/>
      <c r="H1005" s="29"/>
      <c r="I1005" s="29"/>
      <c r="J1005" s="29"/>
      <c r="K1005" s="29"/>
      <c r="L1005" s="29"/>
      <c r="M1005" s="29"/>
      <c r="N1005" s="29"/>
      <c r="O1005" s="29"/>
      <c r="P1005" s="29"/>
      <c r="Q1005" s="29"/>
      <c r="R1005" s="29"/>
      <c r="S1005" s="29"/>
      <c r="T1005" s="29"/>
      <c r="U1005" s="29"/>
      <c r="V1005" s="29"/>
      <c r="W1005" s="29"/>
      <c r="X1005" s="29"/>
      <c r="Y1005" s="29"/>
      <c r="Z1005" s="29"/>
      <c r="AA1005" s="29"/>
      <c r="AB1005" s="29"/>
      <c r="AC1005" s="29"/>
      <c r="AD1005" s="29"/>
      <c r="AE1005" s="29"/>
      <c r="AF1005" s="29"/>
    </row>
    <row r="1006" spans="2:32">
      <c r="B1006" s="29"/>
      <c r="C1006" s="29"/>
      <c r="D1006" s="29"/>
      <c r="E1006" s="29"/>
      <c r="F1006" s="29"/>
      <c r="G1006" s="29"/>
      <c r="H1006" s="29"/>
      <c r="I1006" s="29"/>
      <c r="J1006" s="29"/>
      <c r="K1006" s="29"/>
      <c r="L1006" s="29"/>
      <c r="M1006" s="29"/>
      <c r="N1006" s="29"/>
      <c r="O1006" s="29"/>
      <c r="P1006" s="29"/>
      <c r="Q1006" s="29"/>
      <c r="R1006" s="29"/>
      <c r="S1006" s="29"/>
      <c r="T1006" s="29"/>
      <c r="U1006" s="29"/>
      <c r="V1006" s="29"/>
      <c r="W1006" s="29"/>
      <c r="X1006" s="29"/>
      <c r="Y1006" s="29"/>
      <c r="Z1006" s="29"/>
      <c r="AA1006" s="29"/>
      <c r="AB1006" s="29"/>
      <c r="AC1006" s="29"/>
      <c r="AD1006" s="29"/>
      <c r="AE1006" s="29"/>
      <c r="AF1006" s="29"/>
    </row>
    <row r="1007" spans="2:32">
      <c r="B1007" s="29"/>
      <c r="C1007" s="29"/>
      <c r="D1007" s="29"/>
      <c r="E1007" s="29"/>
      <c r="F1007" s="29"/>
      <c r="G1007" s="29"/>
      <c r="H1007" s="29"/>
      <c r="I1007" s="29"/>
      <c r="J1007" s="29"/>
      <c r="K1007" s="29"/>
      <c r="L1007" s="29"/>
      <c r="M1007" s="29"/>
      <c r="N1007" s="29"/>
      <c r="O1007" s="29"/>
      <c r="P1007" s="29"/>
      <c r="Q1007" s="29"/>
      <c r="R1007" s="29"/>
      <c r="S1007" s="29"/>
      <c r="T1007" s="29"/>
      <c r="U1007" s="29"/>
      <c r="V1007" s="29"/>
      <c r="W1007" s="29"/>
      <c r="X1007" s="29"/>
      <c r="Y1007" s="29"/>
      <c r="Z1007" s="29"/>
      <c r="AA1007" s="29"/>
      <c r="AB1007" s="29"/>
      <c r="AC1007" s="29"/>
      <c r="AD1007" s="29"/>
      <c r="AE1007" s="29"/>
      <c r="AF1007" s="29"/>
    </row>
    <row r="1008" spans="2:32">
      <c r="B1008" s="29"/>
      <c r="C1008" s="29"/>
      <c r="D1008" s="29"/>
      <c r="E1008" s="29"/>
      <c r="F1008" s="29"/>
      <c r="G1008" s="29"/>
      <c r="H1008" s="29"/>
      <c r="I1008" s="29"/>
      <c r="J1008" s="29"/>
      <c r="K1008" s="29"/>
      <c r="L1008" s="29"/>
      <c r="M1008" s="29"/>
      <c r="N1008" s="29"/>
      <c r="O1008" s="29"/>
      <c r="P1008" s="29"/>
      <c r="Q1008" s="29"/>
      <c r="R1008" s="29"/>
      <c r="S1008" s="29"/>
      <c r="T1008" s="29"/>
      <c r="U1008" s="29"/>
      <c r="V1008" s="29"/>
      <c r="W1008" s="29"/>
      <c r="X1008" s="29"/>
      <c r="Y1008" s="29"/>
      <c r="Z1008" s="29"/>
      <c r="AA1008" s="29"/>
      <c r="AB1008" s="29"/>
      <c r="AC1008" s="29"/>
      <c r="AD1008" s="29"/>
      <c r="AE1008" s="29"/>
      <c r="AF1008" s="29"/>
    </row>
    <row r="1095" spans="2:32">
      <c r="B1095" s="29"/>
      <c r="C1095" s="29"/>
      <c r="D1095" s="29"/>
      <c r="E1095" s="29"/>
      <c r="F1095" s="29"/>
      <c r="G1095" s="29"/>
      <c r="H1095" s="29"/>
      <c r="I1095" s="29"/>
      <c r="J1095" s="29"/>
      <c r="K1095" s="29"/>
      <c r="L1095" s="29"/>
      <c r="M1095" s="29"/>
      <c r="N1095" s="29"/>
      <c r="O1095" s="29"/>
      <c r="P1095" s="29"/>
      <c r="Q1095" s="29"/>
      <c r="R1095" s="29"/>
      <c r="S1095" s="29"/>
      <c r="T1095" s="29"/>
      <c r="U1095" s="29"/>
      <c r="V1095" s="29"/>
      <c r="W1095" s="29"/>
      <c r="X1095" s="29"/>
      <c r="Y1095" s="29"/>
      <c r="Z1095" s="29"/>
      <c r="AA1095" s="29"/>
      <c r="AB1095" s="29"/>
      <c r="AC1095" s="29"/>
      <c r="AD1095" s="29"/>
      <c r="AE1095" s="29"/>
      <c r="AF1095" s="29"/>
    </row>
    <row r="1096" spans="2:32">
      <c r="B1096" s="29"/>
      <c r="C1096" s="29"/>
      <c r="D1096" s="29"/>
      <c r="E1096" s="29"/>
      <c r="F1096" s="29"/>
      <c r="G1096" s="29"/>
      <c r="H1096" s="29"/>
      <c r="I1096" s="29"/>
      <c r="J1096" s="29"/>
      <c r="K1096" s="29"/>
      <c r="L1096" s="29"/>
      <c r="M1096" s="29"/>
      <c r="N1096" s="29"/>
      <c r="O1096" s="29"/>
      <c r="P1096" s="29"/>
      <c r="Q1096" s="29"/>
      <c r="R1096" s="29"/>
      <c r="S1096" s="29"/>
      <c r="T1096" s="29"/>
      <c r="U1096" s="29"/>
      <c r="V1096" s="29"/>
      <c r="W1096" s="29"/>
      <c r="X1096" s="29"/>
      <c r="Y1096" s="29"/>
      <c r="Z1096" s="29"/>
      <c r="AA1096" s="29"/>
      <c r="AB1096" s="29"/>
      <c r="AC1096" s="29"/>
      <c r="AD1096" s="29"/>
      <c r="AE1096" s="29"/>
      <c r="AF1096" s="29"/>
    </row>
    <row r="1103" spans="2:32">
      <c r="B1103" s="29"/>
      <c r="C1103" s="29"/>
      <c r="D1103" s="29"/>
      <c r="E1103" s="29"/>
      <c r="F1103" s="29"/>
      <c r="G1103" s="29"/>
      <c r="H1103" s="29"/>
      <c r="I1103" s="29"/>
      <c r="J1103" s="29"/>
      <c r="K1103" s="29"/>
      <c r="L1103" s="29"/>
      <c r="M1103" s="29"/>
      <c r="N1103" s="29"/>
      <c r="O1103" s="29"/>
      <c r="P1103" s="29"/>
      <c r="Q1103" s="29"/>
      <c r="R1103" s="29"/>
      <c r="S1103" s="29"/>
      <c r="T1103" s="29"/>
      <c r="U1103" s="29"/>
      <c r="V1103" s="29"/>
      <c r="W1103" s="29"/>
      <c r="X1103" s="29"/>
      <c r="Y1103" s="29"/>
      <c r="Z1103" s="29"/>
      <c r="AA1103" s="29"/>
      <c r="AB1103" s="29"/>
      <c r="AC1103" s="29"/>
      <c r="AD1103" s="29"/>
      <c r="AE1103" s="29"/>
      <c r="AF1103" s="29"/>
    </row>
    <row r="1104" spans="2:32">
      <c r="B1104" s="29"/>
      <c r="C1104" s="29"/>
      <c r="D1104" s="29"/>
      <c r="E1104" s="29"/>
      <c r="F1104" s="29"/>
      <c r="G1104" s="29"/>
      <c r="H1104" s="29"/>
      <c r="I1104" s="29"/>
      <c r="J1104" s="29"/>
      <c r="K1104" s="29"/>
      <c r="L1104" s="29"/>
      <c r="M1104" s="29"/>
      <c r="N1104" s="29"/>
      <c r="O1104" s="29"/>
      <c r="P1104" s="29"/>
      <c r="Q1104" s="29"/>
      <c r="R1104" s="29"/>
      <c r="S1104" s="29"/>
      <c r="T1104" s="29"/>
      <c r="U1104" s="29"/>
      <c r="V1104" s="29"/>
      <c r="W1104" s="29"/>
      <c r="X1104" s="29"/>
      <c r="Y1104" s="29"/>
      <c r="Z1104" s="29"/>
      <c r="AA1104" s="29"/>
      <c r="AB1104" s="29"/>
      <c r="AC1104" s="29"/>
      <c r="AD1104" s="29"/>
      <c r="AE1104" s="29"/>
      <c r="AF1104" s="29"/>
    </row>
    <row r="1193" spans="2:32">
      <c r="B1193" s="29"/>
      <c r="C1193" s="29"/>
      <c r="D1193" s="29"/>
      <c r="E1193" s="29"/>
      <c r="F1193" s="29"/>
      <c r="G1193" s="29"/>
      <c r="H1193" s="29"/>
      <c r="I1193" s="29"/>
      <c r="J1193" s="29"/>
      <c r="K1193" s="29"/>
      <c r="L1193" s="29"/>
      <c r="M1193" s="29"/>
      <c r="N1193" s="29"/>
      <c r="O1193" s="29"/>
      <c r="P1193" s="29"/>
      <c r="Q1193" s="29"/>
      <c r="R1193" s="29"/>
      <c r="S1193" s="29"/>
      <c r="T1193" s="29"/>
      <c r="U1193" s="29"/>
      <c r="V1193" s="29"/>
      <c r="W1193" s="29"/>
      <c r="X1193" s="29"/>
      <c r="Y1193" s="29"/>
      <c r="Z1193" s="29"/>
      <c r="AA1193" s="29"/>
      <c r="AB1193" s="29"/>
      <c r="AC1193" s="29"/>
      <c r="AD1193" s="29"/>
      <c r="AE1193" s="29"/>
      <c r="AF1193" s="29"/>
    </row>
    <row r="1194" spans="2:32">
      <c r="B1194" s="29"/>
      <c r="C1194" s="29"/>
      <c r="D1194" s="29"/>
      <c r="E1194" s="29"/>
      <c r="F1194" s="29"/>
      <c r="G1194" s="29"/>
      <c r="H1194" s="29"/>
      <c r="I1194" s="29"/>
      <c r="J1194" s="29"/>
      <c r="K1194" s="29"/>
      <c r="L1194" s="29"/>
      <c r="M1194" s="29"/>
      <c r="N1194" s="29"/>
      <c r="O1194" s="29"/>
      <c r="P1194" s="29"/>
      <c r="Q1194" s="29"/>
      <c r="R1194" s="29"/>
      <c r="S1194" s="29"/>
      <c r="T1194" s="29"/>
      <c r="U1194" s="29"/>
      <c r="V1194" s="29"/>
      <c r="W1194" s="29"/>
      <c r="X1194" s="29"/>
      <c r="Y1194" s="29"/>
      <c r="Z1194" s="29"/>
      <c r="AA1194" s="29"/>
      <c r="AB1194" s="29"/>
      <c r="AC1194" s="29"/>
      <c r="AD1194" s="29"/>
      <c r="AE1194" s="29"/>
      <c r="AF1194" s="29"/>
    </row>
    <row r="1281" spans="2:32">
      <c r="B1281" s="29"/>
      <c r="C1281" s="29"/>
      <c r="D1281" s="29"/>
      <c r="E1281" s="29"/>
      <c r="F1281" s="29"/>
      <c r="G1281" s="29"/>
      <c r="H1281" s="29"/>
      <c r="I1281" s="29"/>
      <c r="J1281" s="29"/>
      <c r="K1281" s="29"/>
      <c r="L1281" s="29"/>
      <c r="M1281" s="29"/>
      <c r="N1281" s="29"/>
      <c r="O1281" s="29"/>
      <c r="P1281" s="29"/>
      <c r="Q1281" s="29"/>
      <c r="R1281" s="29"/>
      <c r="S1281" s="29"/>
      <c r="T1281" s="29"/>
      <c r="U1281" s="29"/>
      <c r="V1281" s="29"/>
      <c r="W1281" s="29"/>
      <c r="X1281" s="29"/>
      <c r="Y1281" s="29"/>
      <c r="Z1281" s="29"/>
      <c r="AA1281" s="29"/>
      <c r="AB1281" s="29"/>
      <c r="AC1281" s="29"/>
      <c r="AD1281" s="29"/>
      <c r="AE1281" s="29"/>
      <c r="AF1281" s="29"/>
    </row>
    <row r="1293" spans="2:32">
      <c r="B1293" s="29"/>
      <c r="C1293" s="29"/>
      <c r="D1293" s="29"/>
      <c r="E1293" s="29"/>
      <c r="F1293" s="29"/>
      <c r="G1293" s="29"/>
      <c r="H1293" s="29"/>
      <c r="I1293" s="29"/>
      <c r="J1293" s="29"/>
      <c r="K1293" s="29"/>
      <c r="L1293" s="29"/>
      <c r="M1293" s="29"/>
      <c r="N1293" s="29"/>
      <c r="O1293" s="29"/>
      <c r="P1293" s="29"/>
      <c r="Q1293" s="29"/>
      <c r="R1293" s="29"/>
      <c r="S1293" s="29"/>
      <c r="T1293" s="29"/>
      <c r="U1293" s="29"/>
      <c r="V1293" s="29"/>
      <c r="W1293" s="29"/>
      <c r="X1293" s="29"/>
      <c r="Y1293" s="29"/>
      <c r="Z1293" s="29"/>
      <c r="AA1293" s="29"/>
      <c r="AB1293" s="29"/>
      <c r="AC1293" s="29"/>
      <c r="AD1293" s="29"/>
      <c r="AE1293" s="29"/>
      <c r="AF1293" s="29"/>
    </row>
    <row r="1294" spans="2:32">
      <c r="B1294" s="29"/>
      <c r="C1294" s="29"/>
      <c r="D1294" s="29"/>
      <c r="E1294" s="29"/>
      <c r="F1294" s="29"/>
      <c r="G1294" s="29"/>
      <c r="H1294" s="29"/>
      <c r="I1294" s="29"/>
      <c r="J1294" s="29"/>
      <c r="K1294" s="29"/>
      <c r="L1294" s="29"/>
      <c r="M1294" s="29"/>
      <c r="N1294" s="29"/>
      <c r="O1294" s="29"/>
      <c r="P1294" s="29"/>
      <c r="Q1294" s="29"/>
      <c r="R1294" s="29"/>
      <c r="S1294" s="29"/>
      <c r="T1294" s="29"/>
      <c r="U1294" s="29"/>
      <c r="V1294" s="29"/>
      <c r="W1294" s="29"/>
      <c r="X1294" s="29"/>
      <c r="Y1294" s="29"/>
      <c r="Z1294" s="29"/>
      <c r="AA1294" s="29"/>
      <c r="AB1294" s="29"/>
      <c r="AC1294" s="29"/>
      <c r="AD1294" s="29"/>
      <c r="AE1294" s="29"/>
      <c r="AF1294" s="29"/>
    </row>
    <row r="1589" spans="2:32">
      <c r="B1589" s="29"/>
      <c r="C1589" s="29"/>
      <c r="D1589" s="29"/>
      <c r="E1589" s="29"/>
      <c r="F1589" s="29"/>
      <c r="G1589" s="29"/>
      <c r="H1589" s="29"/>
      <c r="I1589" s="29"/>
      <c r="J1589" s="29"/>
      <c r="K1589" s="29"/>
      <c r="L1589" s="29"/>
      <c r="M1589" s="29"/>
      <c r="N1589" s="29"/>
      <c r="O1589" s="29"/>
      <c r="P1589" s="29"/>
      <c r="Q1589" s="29"/>
      <c r="R1589" s="29"/>
      <c r="S1589" s="29"/>
      <c r="T1589" s="29"/>
      <c r="U1589" s="29"/>
      <c r="V1589" s="29"/>
      <c r="W1589" s="29"/>
      <c r="X1589" s="29"/>
      <c r="Y1589" s="29"/>
      <c r="Z1589" s="29"/>
      <c r="AA1589" s="29"/>
      <c r="AB1589" s="29"/>
      <c r="AC1589" s="29"/>
      <c r="AD1589" s="29"/>
      <c r="AE1589" s="29"/>
      <c r="AF1589" s="29"/>
    </row>
    <row r="1590" spans="2:32">
      <c r="B1590" s="29"/>
      <c r="C1590" s="29"/>
      <c r="D1590" s="29"/>
      <c r="E1590" s="29"/>
      <c r="F1590" s="29"/>
      <c r="G1590" s="29"/>
      <c r="H1590" s="29"/>
      <c r="I1590" s="29"/>
      <c r="J1590" s="29"/>
      <c r="K1590" s="29"/>
      <c r="L1590" s="29"/>
      <c r="M1590" s="29"/>
      <c r="N1590" s="29"/>
      <c r="O1590" s="29"/>
      <c r="P1590" s="29"/>
      <c r="Q1590" s="29"/>
      <c r="R1590" s="29"/>
      <c r="S1590" s="29"/>
      <c r="T1590" s="29"/>
      <c r="U1590" s="29"/>
      <c r="V1590" s="29"/>
      <c r="W1590" s="29"/>
      <c r="X1590" s="29"/>
      <c r="Y1590" s="29"/>
      <c r="Z1590" s="29"/>
      <c r="AA1590" s="29"/>
      <c r="AB1590" s="29"/>
      <c r="AC1590" s="29"/>
      <c r="AD1590" s="29"/>
      <c r="AE1590" s="29"/>
      <c r="AF1590" s="29"/>
    </row>
    <row r="1599" spans="2:32">
      <c r="B1599" s="29"/>
      <c r="C1599" s="29"/>
      <c r="D1599" s="29"/>
      <c r="E1599" s="29"/>
      <c r="F1599" s="29"/>
      <c r="G1599" s="29"/>
      <c r="H1599" s="29"/>
      <c r="I1599" s="29"/>
      <c r="J1599" s="29"/>
      <c r="K1599" s="29"/>
      <c r="L1599" s="29"/>
      <c r="M1599" s="29"/>
      <c r="N1599" s="29"/>
      <c r="O1599" s="29"/>
      <c r="P1599" s="29"/>
      <c r="Q1599" s="29"/>
      <c r="R1599" s="29"/>
      <c r="S1599" s="29"/>
      <c r="T1599" s="29"/>
      <c r="U1599" s="29"/>
      <c r="V1599" s="29"/>
      <c r="W1599" s="29"/>
      <c r="X1599" s="29"/>
      <c r="Y1599" s="29"/>
      <c r="Z1599" s="29"/>
      <c r="AA1599" s="29"/>
      <c r="AB1599" s="29"/>
      <c r="AC1599" s="29"/>
      <c r="AD1599" s="29"/>
      <c r="AE1599" s="29"/>
      <c r="AF1599" s="29"/>
    </row>
    <row r="1600" spans="2:32">
      <c r="B1600" s="29"/>
      <c r="C1600" s="29"/>
      <c r="D1600" s="29"/>
      <c r="E1600" s="29"/>
      <c r="F1600" s="29"/>
      <c r="G1600" s="29"/>
      <c r="H1600" s="29"/>
      <c r="I1600" s="29"/>
      <c r="J1600" s="29"/>
      <c r="K1600" s="29"/>
      <c r="L1600" s="29"/>
      <c r="M1600" s="29"/>
      <c r="N1600" s="29"/>
      <c r="O1600" s="29"/>
      <c r="P1600" s="29"/>
      <c r="Q1600" s="29"/>
      <c r="R1600" s="29"/>
      <c r="S1600" s="29"/>
      <c r="T1600" s="29"/>
      <c r="U1600" s="29"/>
      <c r="V1600" s="29"/>
      <c r="W1600" s="29"/>
      <c r="X1600" s="29"/>
      <c r="Y1600" s="29"/>
      <c r="Z1600" s="29"/>
      <c r="AA1600" s="29"/>
      <c r="AB1600" s="29"/>
      <c r="AC1600" s="29"/>
      <c r="AD1600" s="29"/>
      <c r="AE1600" s="29"/>
      <c r="AF1600" s="29"/>
    </row>
    <row r="1812" spans="2:32">
      <c r="B1812" s="29"/>
      <c r="C1812" s="29"/>
      <c r="D1812" s="29"/>
      <c r="E1812" s="29"/>
      <c r="F1812" s="29"/>
      <c r="G1812" s="29"/>
      <c r="H1812" s="29"/>
      <c r="I1812" s="29"/>
      <c r="J1812" s="29"/>
      <c r="K1812" s="29"/>
      <c r="L1812" s="29"/>
      <c r="M1812" s="29"/>
      <c r="N1812" s="29"/>
      <c r="O1812" s="29"/>
      <c r="P1812" s="29"/>
      <c r="Q1812" s="29"/>
      <c r="R1812" s="29"/>
      <c r="S1812" s="29"/>
      <c r="T1812" s="29"/>
      <c r="U1812" s="29"/>
      <c r="V1812" s="29"/>
      <c r="W1812" s="29"/>
      <c r="X1812" s="29"/>
      <c r="Y1812" s="29"/>
      <c r="Z1812" s="29"/>
      <c r="AA1812" s="29"/>
      <c r="AB1812" s="29"/>
      <c r="AC1812" s="29"/>
      <c r="AD1812" s="29"/>
      <c r="AE1812" s="29"/>
      <c r="AF1812" s="29"/>
    </row>
    <row r="1813" spans="2:32">
      <c r="B1813" s="29"/>
      <c r="C1813" s="29"/>
      <c r="D1813" s="29"/>
      <c r="E1813" s="29"/>
      <c r="F1813" s="29"/>
      <c r="G1813" s="29"/>
      <c r="H1813" s="29"/>
      <c r="I1813" s="29"/>
      <c r="J1813" s="29"/>
      <c r="K1813" s="29"/>
      <c r="L1813" s="29"/>
      <c r="M1813" s="29"/>
      <c r="N1813" s="29"/>
      <c r="O1813" s="29"/>
      <c r="P1813" s="29"/>
      <c r="Q1813" s="29"/>
      <c r="R1813" s="29"/>
      <c r="S1813" s="29"/>
      <c r="T1813" s="29"/>
      <c r="U1813" s="29"/>
      <c r="V1813" s="29"/>
      <c r="W1813" s="29"/>
      <c r="X1813" s="29"/>
      <c r="Y1813" s="29"/>
      <c r="Z1813" s="29"/>
      <c r="AA1813" s="29"/>
      <c r="AB1813" s="29"/>
      <c r="AC1813" s="29"/>
      <c r="AD1813" s="29"/>
      <c r="AE1813" s="29"/>
      <c r="AF1813" s="29"/>
    </row>
    <row r="1814" spans="2:32">
      <c r="B1814" s="29"/>
      <c r="C1814" s="29"/>
      <c r="D1814" s="29"/>
      <c r="E1814" s="29"/>
      <c r="F1814" s="29"/>
      <c r="G1814" s="29"/>
      <c r="H1814" s="29"/>
      <c r="I1814" s="29"/>
      <c r="J1814" s="29"/>
      <c r="K1814" s="29"/>
      <c r="L1814" s="29"/>
      <c r="M1814" s="29"/>
      <c r="N1814" s="29"/>
      <c r="O1814" s="29"/>
      <c r="P1814" s="29"/>
      <c r="Q1814" s="29"/>
      <c r="R1814" s="29"/>
      <c r="S1814" s="29"/>
      <c r="T1814" s="29"/>
      <c r="U1814" s="29"/>
      <c r="V1814" s="29"/>
      <c r="W1814" s="29"/>
      <c r="X1814" s="29"/>
      <c r="Y1814" s="29"/>
      <c r="Z1814" s="29"/>
      <c r="AA1814" s="29"/>
      <c r="AB1814" s="29"/>
      <c r="AC1814" s="29"/>
      <c r="AD1814" s="29"/>
      <c r="AE1814" s="29"/>
      <c r="AF1814" s="29"/>
    </row>
    <row r="1815" spans="2:32">
      <c r="B1815" s="29"/>
      <c r="C1815" s="29"/>
      <c r="D1815" s="29"/>
      <c r="E1815" s="29"/>
      <c r="F1815" s="29"/>
      <c r="G1815" s="29"/>
      <c r="H1815" s="29"/>
      <c r="I1815" s="29"/>
      <c r="J1815" s="29"/>
      <c r="K1815" s="29"/>
      <c r="L1815" s="29"/>
      <c r="M1815" s="29"/>
      <c r="N1815" s="29"/>
      <c r="O1815" s="29"/>
      <c r="P1815" s="29"/>
      <c r="Q1815" s="29"/>
      <c r="R1815" s="29"/>
      <c r="S1815" s="29"/>
      <c r="T1815" s="29"/>
      <c r="U1815" s="29"/>
      <c r="V1815" s="29"/>
      <c r="W1815" s="29"/>
      <c r="X1815" s="29"/>
      <c r="Y1815" s="29"/>
      <c r="Z1815" s="29"/>
      <c r="AA1815" s="29"/>
      <c r="AB1815" s="29"/>
      <c r="AC1815" s="29"/>
      <c r="AD1815" s="29"/>
      <c r="AE1815" s="29"/>
      <c r="AF1815" s="29"/>
    </row>
    <row r="1816" spans="2:32">
      <c r="B1816" s="29"/>
      <c r="C1816" s="29"/>
      <c r="D1816" s="29"/>
      <c r="E1816" s="29"/>
      <c r="F1816" s="29"/>
      <c r="G1816" s="29"/>
      <c r="H1816" s="29"/>
      <c r="I1816" s="29"/>
      <c r="J1816" s="29"/>
      <c r="K1816" s="29"/>
      <c r="L1816" s="29"/>
      <c r="M1816" s="29"/>
      <c r="N1816" s="29"/>
      <c r="O1816" s="29"/>
      <c r="P1816" s="29"/>
      <c r="Q1816" s="29"/>
      <c r="R1816" s="29"/>
      <c r="S1816" s="29"/>
      <c r="T1816" s="29"/>
      <c r="U1816" s="29"/>
      <c r="V1816" s="29"/>
      <c r="W1816" s="29"/>
      <c r="X1816" s="29"/>
      <c r="Y1816" s="29"/>
      <c r="Z1816" s="29"/>
      <c r="AA1816" s="29"/>
      <c r="AB1816" s="29"/>
      <c r="AC1816" s="29"/>
      <c r="AD1816" s="29"/>
      <c r="AE1816" s="29"/>
      <c r="AF1816" s="29"/>
    </row>
    <row r="1817" spans="2:32">
      <c r="B1817" s="29"/>
      <c r="C1817" s="29"/>
      <c r="D1817" s="29"/>
      <c r="E1817" s="29"/>
      <c r="F1817" s="29"/>
      <c r="G1817" s="29"/>
      <c r="H1817" s="29"/>
      <c r="I1817" s="29"/>
      <c r="J1817" s="29"/>
      <c r="K1817" s="29"/>
      <c r="L1817" s="29"/>
      <c r="M1817" s="29"/>
      <c r="N1817" s="29"/>
      <c r="O1817" s="29"/>
      <c r="P1817" s="29"/>
      <c r="Q1817" s="29"/>
      <c r="R1817" s="29"/>
      <c r="S1817" s="29"/>
      <c r="T1817" s="29"/>
      <c r="U1817" s="29"/>
      <c r="V1817" s="29"/>
      <c r="W1817" s="29"/>
      <c r="X1817" s="29"/>
      <c r="Y1817" s="29"/>
      <c r="Z1817" s="29"/>
      <c r="AA1817" s="29"/>
      <c r="AB1817" s="29"/>
      <c r="AC1817" s="29"/>
      <c r="AD1817" s="29"/>
      <c r="AE1817" s="29"/>
      <c r="AF1817" s="29"/>
    </row>
    <row r="1818" spans="2:32">
      <c r="B1818" s="29"/>
      <c r="C1818" s="29"/>
      <c r="D1818" s="29"/>
      <c r="E1818" s="29"/>
      <c r="F1818" s="29"/>
      <c r="G1818" s="29"/>
      <c r="H1818" s="29"/>
      <c r="I1818" s="29"/>
      <c r="J1818" s="29"/>
      <c r="K1818" s="29"/>
      <c r="L1818" s="29"/>
      <c r="M1818" s="29"/>
      <c r="N1818" s="29"/>
      <c r="O1818" s="29"/>
      <c r="P1818" s="29"/>
      <c r="Q1818" s="29"/>
      <c r="R1818" s="29"/>
      <c r="S1818" s="29"/>
      <c r="T1818" s="29"/>
      <c r="U1818" s="29"/>
      <c r="V1818" s="29"/>
      <c r="W1818" s="29"/>
      <c r="X1818" s="29"/>
      <c r="Y1818" s="29"/>
      <c r="Z1818" s="29"/>
      <c r="AA1818" s="29"/>
      <c r="AB1818" s="29"/>
      <c r="AC1818" s="29"/>
      <c r="AD1818" s="29"/>
      <c r="AE1818" s="29"/>
      <c r="AF1818" s="29"/>
    </row>
    <row r="1819" spans="2:32">
      <c r="B1819" s="29"/>
      <c r="C1819" s="29"/>
      <c r="D1819" s="29"/>
      <c r="E1819" s="29"/>
      <c r="F1819" s="29"/>
      <c r="G1819" s="29"/>
      <c r="H1819" s="29"/>
      <c r="I1819" s="29"/>
      <c r="J1819" s="29"/>
      <c r="K1819" s="29"/>
      <c r="L1819" s="29"/>
      <c r="M1819" s="29"/>
      <c r="N1819" s="29"/>
      <c r="O1819" s="29"/>
      <c r="P1819" s="29"/>
      <c r="Q1819" s="29"/>
      <c r="R1819" s="29"/>
      <c r="S1819" s="29"/>
      <c r="T1819" s="29"/>
      <c r="U1819" s="29"/>
      <c r="V1819" s="29"/>
      <c r="W1819" s="29"/>
      <c r="X1819" s="29"/>
      <c r="Y1819" s="29"/>
      <c r="Z1819" s="29"/>
      <c r="AA1819" s="29"/>
      <c r="AB1819" s="29"/>
      <c r="AC1819" s="29"/>
      <c r="AD1819" s="29"/>
      <c r="AE1819" s="29"/>
      <c r="AF1819" s="29"/>
    </row>
    <row r="1820" spans="2:32">
      <c r="B1820" s="29"/>
      <c r="C1820" s="29"/>
      <c r="D1820" s="29"/>
      <c r="E1820" s="29"/>
      <c r="F1820" s="29"/>
      <c r="G1820" s="29"/>
      <c r="H1820" s="29"/>
      <c r="I1820" s="29"/>
      <c r="J1820" s="29"/>
      <c r="K1820" s="29"/>
      <c r="L1820" s="29"/>
      <c r="M1820" s="29"/>
      <c r="N1820" s="29"/>
      <c r="O1820" s="29"/>
      <c r="P1820" s="29"/>
      <c r="Q1820" s="29"/>
      <c r="R1820" s="29"/>
      <c r="S1820" s="29"/>
      <c r="T1820" s="29"/>
      <c r="U1820" s="29"/>
      <c r="V1820" s="29"/>
      <c r="W1820" s="29"/>
      <c r="X1820" s="29"/>
      <c r="Y1820" s="29"/>
      <c r="Z1820" s="29"/>
      <c r="AA1820" s="29"/>
      <c r="AB1820" s="29"/>
      <c r="AC1820" s="29"/>
      <c r="AD1820" s="29"/>
      <c r="AE1820" s="29"/>
      <c r="AF1820" s="29"/>
    </row>
    <row r="1821" spans="2:32">
      <c r="B1821" s="29"/>
      <c r="C1821" s="29"/>
      <c r="D1821" s="29"/>
      <c r="E1821" s="29"/>
      <c r="F1821" s="29"/>
      <c r="G1821" s="29"/>
      <c r="H1821" s="29"/>
      <c r="I1821" s="29"/>
      <c r="J1821" s="29"/>
      <c r="K1821" s="29"/>
      <c r="L1821" s="29"/>
      <c r="M1821" s="29"/>
      <c r="N1821" s="29"/>
      <c r="O1821" s="29"/>
      <c r="P1821" s="29"/>
      <c r="Q1821" s="29"/>
      <c r="R1821" s="29"/>
      <c r="S1821" s="29"/>
      <c r="T1821" s="29"/>
      <c r="U1821" s="29"/>
      <c r="V1821" s="29"/>
      <c r="W1821" s="29"/>
      <c r="X1821" s="29"/>
      <c r="Y1821" s="29"/>
      <c r="Z1821" s="29"/>
      <c r="AA1821" s="29"/>
      <c r="AB1821" s="29"/>
      <c r="AC1821" s="29"/>
      <c r="AD1821" s="29"/>
      <c r="AE1821" s="29"/>
      <c r="AF1821" s="29"/>
    </row>
    <row r="1822" spans="2:32">
      <c r="B1822" s="29"/>
      <c r="C1822" s="29"/>
      <c r="D1822" s="29"/>
      <c r="E1822" s="29"/>
      <c r="F1822" s="29"/>
      <c r="G1822" s="29"/>
      <c r="H1822" s="29"/>
      <c r="I1822" s="29"/>
      <c r="J1822" s="29"/>
      <c r="K1822" s="29"/>
      <c r="L1822" s="29"/>
      <c r="M1822" s="29"/>
      <c r="N1822" s="29"/>
      <c r="O1822" s="29"/>
      <c r="P1822" s="29"/>
      <c r="Q1822" s="29"/>
      <c r="R1822" s="29"/>
      <c r="S1822" s="29"/>
      <c r="T1822" s="29"/>
      <c r="U1822" s="29"/>
      <c r="V1822" s="29"/>
      <c r="W1822" s="29"/>
      <c r="X1822" s="29"/>
      <c r="Y1822" s="29"/>
      <c r="Z1822" s="29"/>
      <c r="AA1822" s="29"/>
      <c r="AB1822" s="29"/>
      <c r="AC1822" s="29"/>
      <c r="AD1822" s="29"/>
      <c r="AE1822" s="29"/>
      <c r="AF1822" s="29"/>
    </row>
    <row r="1823" spans="2:32">
      <c r="B1823" s="29"/>
      <c r="C1823" s="29"/>
      <c r="D1823" s="29"/>
      <c r="E1823" s="29"/>
      <c r="F1823" s="29"/>
      <c r="G1823" s="29"/>
      <c r="H1823" s="29"/>
      <c r="I1823" s="29"/>
      <c r="J1823" s="29"/>
      <c r="K1823" s="29"/>
      <c r="L1823" s="29"/>
      <c r="M1823" s="29"/>
      <c r="N1823" s="29"/>
      <c r="O1823" s="29"/>
      <c r="P1823" s="29"/>
      <c r="Q1823" s="29"/>
      <c r="R1823" s="29"/>
      <c r="S1823" s="29"/>
      <c r="T1823" s="29"/>
      <c r="U1823" s="29"/>
      <c r="V1823" s="29"/>
      <c r="W1823" s="29"/>
      <c r="X1823" s="29"/>
      <c r="Y1823" s="29"/>
      <c r="Z1823" s="29"/>
      <c r="AA1823" s="29"/>
      <c r="AB1823" s="29"/>
      <c r="AC1823" s="29"/>
      <c r="AD1823" s="29"/>
      <c r="AE1823" s="29"/>
      <c r="AF1823" s="29"/>
    </row>
    <row r="1824" spans="2:32">
      <c r="B1824" s="29"/>
      <c r="C1824" s="29"/>
      <c r="D1824" s="29"/>
      <c r="E1824" s="29"/>
      <c r="F1824" s="29"/>
      <c r="G1824" s="29"/>
      <c r="H1824" s="29"/>
      <c r="I1824" s="29"/>
      <c r="J1824" s="29"/>
      <c r="K1824" s="29"/>
      <c r="L1824" s="29"/>
      <c r="M1824" s="29"/>
      <c r="N1824" s="29"/>
      <c r="O1824" s="29"/>
      <c r="P1824" s="29"/>
      <c r="Q1824" s="29"/>
      <c r="R1824" s="29"/>
      <c r="S1824" s="29"/>
      <c r="T1824" s="29"/>
      <c r="U1824" s="29"/>
      <c r="V1824" s="29"/>
      <c r="W1824" s="29"/>
      <c r="X1824" s="29"/>
      <c r="Y1824" s="29"/>
      <c r="Z1824" s="29"/>
      <c r="AA1824" s="29"/>
      <c r="AB1824" s="29"/>
      <c r="AC1824" s="29"/>
      <c r="AD1824" s="29"/>
      <c r="AE1824" s="29"/>
      <c r="AF1824" s="29"/>
    </row>
    <row r="2089" spans="2:32">
      <c r="B2089" s="29"/>
      <c r="C2089" s="29"/>
      <c r="D2089" s="29"/>
      <c r="E2089" s="29"/>
      <c r="F2089" s="29"/>
      <c r="G2089" s="29"/>
      <c r="H2089" s="29"/>
      <c r="I2089" s="29"/>
      <c r="J2089" s="29"/>
      <c r="K2089" s="29"/>
      <c r="L2089" s="29"/>
      <c r="M2089" s="29"/>
      <c r="N2089" s="29"/>
      <c r="O2089" s="29"/>
      <c r="P2089" s="29"/>
      <c r="Q2089" s="29"/>
      <c r="R2089" s="29"/>
      <c r="S2089" s="29"/>
      <c r="T2089" s="29"/>
      <c r="U2089" s="29"/>
      <c r="V2089" s="29"/>
      <c r="W2089" s="29"/>
      <c r="X2089" s="29"/>
      <c r="Y2089" s="29"/>
      <c r="Z2089" s="29"/>
      <c r="AA2089" s="29"/>
      <c r="AB2089" s="29"/>
      <c r="AC2089" s="29"/>
      <c r="AD2089" s="29"/>
      <c r="AE2089" s="29"/>
      <c r="AF2089" s="29"/>
    </row>
    <row r="2090" spans="2:32">
      <c r="B2090" s="29"/>
      <c r="C2090" s="29"/>
      <c r="D2090" s="29"/>
      <c r="E2090" s="29"/>
      <c r="F2090" s="29"/>
      <c r="G2090" s="29"/>
      <c r="H2090" s="29"/>
      <c r="I2090" s="29"/>
      <c r="J2090" s="29"/>
      <c r="K2090" s="29"/>
      <c r="L2090" s="29"/>
      <c r="M2090" s="29"/>
      <c r="N2090" s="29"/>
      <c r="O2090" s="29"/>
      <c r="P2090" s="29"/>
      <c r="Q2090" s="29"/>
      <c r="R2090" s="29"/>
      <c r="S2090" s="29"/>
      <c r="T2090" s="29"/>
      <c r="U2090" s="29"/>
      <c r="V2090" s="29"/>
      <c r="W2090" s="29"/>
      <c r="X2090" s="29"/>
      <c r="Y2090" s="29"/>
      <c r="Z2090" s="29"/>
      <c r="AA2090" s="29"/>
      <c r="AB2090" s="29"/>
      <c r="AC2090" s="29"/>
      <c r="AD2090" s="29"/>
      <c r="AE2090" s="29"/>
      <c r="AF2090" s="29"/>
    </row>
    <row r="2424" spans="2:32">
      <c r="B2424" s="29"/>
      <c r="C2424" s="29"/>
      <c r="D2424" s="29"/>
      <c r="E2424" s="29"/>
      <c r="F2424" s="29"/>
      <c r="G2424" s="29"/>
      <c r="H2424" s="29"/>
      <c r="I2424" s="29"/>
      <c r="J2424" s="29"/>
      <c r="K2424" s="29"/>
      <c r="L2424" s="29"/>
      <c r="M2424" s="29"/>
      <c r="N2424" s="29"/>
      <c r="O2424" s="29"/>
      <c r="P2424" s="29"/>
      <c r="Q2424" s="29"/>
      <c r="R2424" s="29"/>
      <c r="S2424" s="29"/>
      <c r="T2424" s="29"/>
      <c r="U2424" s="29"/>
      <c r="V2424" s="29"/>
      <c r="W2424" s="29"/>
      <c r="X2424" s="29"/>
      <c r="Y2424" s="29"/>
      <c r="Z2424" s="29"/>
      <c r="AA2424" s="29"/>
      <c r="AB2424" s="29"/>
      <c r="AC2424" s="29"/>
      <c r="AD2424" s="29"/>
      <c r="AE2424" s="29"/>
      <c r="AF2424" s="29"/>
    </row>
    <row r="2425" spans="2:32">
      <c r="B2425" s="29"/>
      <c r="C2425" s="29"/>
      <c r="D2425" s="29"/>
      <c r="E2425" s="29"/>
      <c r="F2425" s="29"/>
      <c r="G2425" s="29"/>
      <c r="H2425" s="29"/>
      <c r="I2425" s="29"/>
      <c r="J2425" s="29"/>
      <c r="K2425" s="29"/>
      <c r="L2425" s="29"/>
      <c r="M2425" s="29"/>
      <c r="N2425" s="29"/>
      <c r="O2425" s="29"/>
      <c r="P2425" s="29"/>
      <c r="Q2425" s="29"/>
      <c r="R2425" s="29"/>
      <c r="S2425" s="29"/>
      <c r="T2425" s="29"/>
      <c r="U2425" s="29"/>
      <c r="V2425" s="29"/>
      <c r="W2425" s="29"/>
      <c r="X2425" s="29"/>
      <c r="Y2425" s="29"/>
      <c r="Z2425" s="29"/>
      <c r="AA2425" s="29"/>
      <c r="AB2425" s="29"/>
      <c r="AC2425" s="29"/>
      <c r="AD2425" s="29"/>
      <c r="AE2425" s="29"/>
      <c r="AF2425" s="29"/>
    </row>
    <row r="2744" spans="2:32">
      <c r="B2744" s="29"/>
      <c r="C2744" s="29"/>
      <c r="D2744" s="29"/>
      <c r="E2744" s="29"/>
      <c r="F2744" s="29"/>
      <c r="G2744" s="29"/>
      <c r="H2744" s="29"/>
      <c r="I2744" s="29"/>
      <c r="J2744" s="29"/>
      <c r="K2744" s="29"/>
      <c r="L2744" s="29"/>
      <c r="M2744" s="29"/>
      <c r="N2744" s="29"/>
      <c r="O2744" s="29"/>
      <c r="P2744" s="29"/>
      <c r="Q2744" s="29"/>
      <c r="R2744" s="29"/>
      <c r="S2744" s="29"/>
      <c r="T2744" s="29"/>
      <c r="U2744" s="29"/>
      <c r="V2744" s="29"/>
      <c r="W2744" s="29"/>
      <c r="X2744" s="29"/>
      <c r="Y2744" s="29"/>
      <c r="Z2744" s="29"/>
      <c r="AA2744" s="29"/>
      <c r="AB2744" s="29"/>
      <c r="AC2744" s="29"/>
      <c r="AD2744" s="29"/>
      <c r="AE2744" s="29"/>
      <c r="AF2744" s="29"/>
    </row>
    <row r="2745" spans="2:32">
      <c r="B2745" s="29"/>
      <c r="C2745" s="29"/>
      <c r="D2745" s="29"/>
      <c r="E2745" s="29"/>
      <c r="F2745" s="29"/>
      <c r="G2745" s="29"/>
      <c r="H2745" s="29"/>
      <c r="I2745" s="29"/>
      <c r="J2745" s="29"/>
      <c r="K2745" s="29"/>
      <c r="L2745" s="29"/>
      <c r="M2745" s="29"/>
      <c r="N2745" s="29"/>
      <c r="O2745" s="29"/>
      <c r="P2745" s="29"/>
      <c r="Q2745" s="29"/>
      <c r="R2745" s="29"/>
      <c r="S2745" s="29"/>
      <c r="T2745" s="29"/>
      <c r="U2745" s="29"/>
      <c r="V2745" s="29"/>
      <c r="W2745" s="29"/>
      <c r="X2745" s="29"/>
      <c r="Y2745" s="29"/>
      <c r="Z2745" s="29"/>
      <c r="AA2745" s="29"/>
      <c r="AB2745" s="29"/>
      <c r="AC2745" s="29"/>
      <c r="AD2745" s="29"/>
      <c r="AE2745" s="29"/>
      <c r="AF2745" s="29"/>
    </row>
    <row r="2747" spans="2:32">
      <c r="B2747" s="29"/>
      <c r="C2747" s="29"/>
      <c r="D2747" s="29"/>
      <c r="E2747" s="29"/>
      <c r="F2747" s="29"/>
      <c r="G2747" s="29"/>
      <c r="H2747" s="29"/>
      <c r="I2747" s="29"/>
      <c r="J2747" s="29"/>
      <c r="K2747" s="29"/>
      <c r="L2747" s="29"/>
      <c r="M2747" s="29"/>
      <c r="N2747" s="29"/>
      <c r="O2747" s="29"/>
      <c r="P2747" s="29"/>
      <c r="Q2747" s="29"/>
      <c r="R2747" s="29"/>
      <c r="S2747" s="29"/>
      <c r="T2747" s="29"/>
      <c r="U2747" s="29"/>
      <c r="V2747" s="29"/>
      <c r="W2747" s="29"/>
      <c r="X2747" s="29"/>
      <c r="Y2747" s="29"/>
      <c r="Z2747" s="29"/>
      <c r="AA2747" s="29"/>
      <c r="AB2747" s="29"/>
      <c r="AC2747" s="29"/>
      <c r="AD2747" s="29"/>
      <c r="AE2747" s="29"/>
      <c r="AF2747" s="29"/>
    </row>
    <row r="2748" spans="2:32">
      <c r="B2748" s="29"/>
      <c r="C2748" s="29"/>
      <c r="D2748" s="29"/>
      <c r="E2748" s="29"/>
      <c r="F2748" s="29"/>
      <c r="G2748" s="29"/>
      <c r="H2748" s="29"/>
      <c r="I2748" s="29"/>
      <c r="J2748" s="29"/>
      <c r="K2748" s="29"/>
      <c r="L2748" s="29"/>
      <c r="M2748" s="29"/>
      <c r="N2748" s="29"/>
      <c r="O2748" s="29"/>
      <c r="P2748" s="29"/>
      <c r="Q2748" s="29"/>
      <c r="R2748" s="29"/>
      <c r="S2748" s="29"/>
      <c r="T2748" s="29"/>
      <c r="U2748" s="29"/>
      <c r="V2748" s="29"/>
      <c r="W2748" s="29"/>
      <c r="X2748" s="29"/>
      <c r="Y2748" s="29"/>
      <c r="Z2748" s="29"/>
      <c r="AA2748" s="29"/>
      <c r="AB2748" s="29"/>
      <c r="AC2748" s="29"/>
      <c r="AD2748" s="29"/>
      <c r="AE2748" s="29"/>
      <c r="AF2748" s="29"/>
    </row>
    <row r="2749" spans="2:32">
      <c r="B2749" s="29"/>
      <c r="C2749" s="29"/>
      <c r="D2749" s="29"/>
      <c r="E2749" s="29"/>
      <c r="F2749" s="29"/>
      <c r="G2749" s="29"/>
      <c r="H2749" s="29"/>
      <c r="I2749" s="29"/>
      <c r="J2749" s="29"/>
      <c r="K2749" s="29"/>
      <c r="L2749" s="29"/>
      <c r="M2749" s="29"/>
      <c r="N2749" s="29"/>
      <c r="O2749" s="29"/>
      <c r="P2749" s="29"/>
      <c r="Q2749" s="29"/>
      <c r="R2749" s="29"/>
      <c r="S2749" s="29"/>
      <c r="T2749" s="29"/>
      <c r="U2749" s="29"/>
      <c r="V2749" s="29"/>
      <c r="W2749" s="29"/>
      <c r="X2749" s="29"/>
      <c r="Y2749" s="29"/>
      <c r="Z2749" s="29"/>
      <c r="AA2749" s="29"/>
      <c r="AB2749" s="29"/>
      <c r="AC2749" s="29"/>
      <c r="AD2749" s="29"/>
      <c r="AE2749" s="29"/>
      <c r="AF2749" s="29"/>
    </row>
    <row r="2750" spans="2:32">
      <c r="B2750" s="29"/>
      <c r="C2750" s="29"/>
      <c r="D2750" s="29"/>
      <c r="E2750" s="29"/>
      <c r="F2750" s="29"/>
      <c r="G2750" s="29"/>
      <c r="H2750" s="29"/>
      <c r="I2750" s="29"/>
      <c r="J2750" s="29"/>
      <c r="K2750" s="29"/>
      <c r="L2750" s="29"/>
      <c r="M2750" s="29"/>
      <c r="N2750" s="29"/>
      <c r="O2750" s="29"/>
      <c r="P2750" s="29"/>
      <c r="Q2750" s="29"/>
      <c r="R2750" s="29"/>
      <c r="S2750" s="29"/>
      <c r="T2750" s="29"/>
      <c r="U2750" s="29"/>
      <c r="V2750" s="29"/>
      <c r="W2750" s="29"/>
      <c r="X2750" s="29"/>
      <c r="Y2750" s="29"/>
      <c r="Z2750" s="29"/>
      <c r="AA2750" s="29"/>
      <c r="AB2750" s="29"/>
      <c r="AC2750" s="29"/>
      <c r="AD2750" s="29"/>
      <c r="AE2750" s="29"/>
      <c r="AF2750" s="29"/>
    </row>
    <row r="2751" spans="2:32">
      <c r="B2751" s="29"/>
      <c r="C2751" s="29"/>
      <c r="D2751" s="29"/>
      <c r="E2751" s="29"/>
      <c r="F2751" s="29"/>
      <c r="G2751" s="29"/>
      <c r="H2751" s="29"/>
      <c r="I2751" s="29"/>
      <c r="J2751" s="29"/>
      <c r="K2751" s="29"/>
      <c r="L2751" s="29"/>
      <c r="M2751" s="29"/>
      <c r="N2751" s="29"/>
      <c r="O2751" s="29"/>
      <c r="P2751" s="29"/>
      <c r="Q2751" s="29"/>
      <c r="R2751" s="29"/>
      <c r="S2751" s="29"/>
      <c r="T2751" s="29"/>
      <c r="U2751" s="29"/>
      <c r="V2751" s="29"/>
      <c r="W2751" s="29"/>
      <c r="X2751" s="29"/>
      <c r="Y2751" s="29"/>
      <c r="Z2751" s="29"/>
      <c r="AA2751" s="29"/>
      <c r="AB2751" s="29"/>
      <c r="AC2751" s="29"/>
      <c r="AD2751" s="29"/>
      <c r="AE2751" s="29"/>
      <c r="AF2751" s="29"/>
    </row>
    <row r="2752" spans="2:32">
      <c r="B2752" s="29"/>
      <c r="C2752" s="29"/>
      <c r="D2752" s="29"/>
      <c r="E2752" s="29"/>
      <c r="F2752" s="29"/>
      <c r="G2752" s="29"/>
      <c r="H2752" s="29"/>
      <c r="I2752" s="29"/>
      <c r="J2752" s="29"/>
      <c r="K2752" s="29"/>
      <c r="L2752" s="29"/>
      <c r="M2752" s="29"/>
      <c r="N2752" s="29"/>
      <c r="O2752" s="29"/>
      <c r="P2752" s="29"/>
      <c r="Q2752" s="29"/>
      <c r="R2752" s="29"/>
      <c r="S2752" s="29"/>
      <c r="T2752" s="29"/>
      <c r="U2752" s="29"/>
      <c r="V2752" s="29"/>
      <c r="W2752" s="29"/>
      <c r="X2752" s="29"/>
      <c r="Y2752" s="29"/>
      <c r="Z2752" s="29"/>
      <c r="AA2752" s="29"/>
      <c r="AB2752" s="29"/>
      <c r="AC2752" s="29"/>
      <c r="AD2752" s="29"/>
      <c r="AE2752" s="29"/>
      <c r="AF2752" s="29"/>
    </row>
    <row r="3075" spans="2:32">
      <c r="B3075" s="29"/>
      <c r="C3075" s="29"/>
      <c r="D3075" s="29"/>
      <c r="E3075" s="29"/>
      <c r="F3075" s="29"/>
      <c r="G3075" s="29"/>
      <c r="H3075" s="29"/>
      <c r="I3075" s="29"/>
      <c r="J3075" s="29"/>
      <c r="K3075" s="29"/>
      <c r="L3075" s="29"/>
      <c r="M3075" s="29"/>
      <c r="N3075" s="29"/>
      <c r="O3075" s="29"/>
      <c r="P3075" s="29"/>
      <c r="Q3075" s="29"/>
      <c r="R3075" s="29"/>
      <c r="S3075" s="29"/>
      <c r="T3075" s="29"/>
      <c r="U3075" s="29"/>
      <c r="V3075" s="29"/>
      <c r="W3075" s="29"/>
      <c r="X3075" s="29"/>
      <c r="Y3075" s="29"/>
      <c r="Z3075" s="29"/>
      <c r="AA3075" s="29"/>
      <c r="AB3075" s="29"/>
      <c r="AC3075" s="29"/>
      <c r="AD3075" s="29"/>
      <c r="AE3075" s="29"/>
      <c r="AF3075" s="29"/>
    </row>
    <row r="3076" spans="2:32">
      <c r="B3076" s="29"/>
      <c r="C3076" s="29"/>
      <c r="D3076" s="29"/>
      <c r="E3076" s="29"/>
      <c r="F3076" s="29"/>
      <c r="G3076" s="29"/>
      <c r="H3076" s="29"/>
      <c r="I3076" s="29"/>
      <c r="J3076" s="29"/>
      <c r="K3076" s="29"/>
      <c r="L3076" s="29"/>
      <c r="M3076" s="29"/>
      <c r="N3076" s="29"/>
      <c r="O3076" s="29"/>
      <c r="P3076" s="29"/>
      <c r="Q3076" s="29"/>
      <c r="R3076" s="29"/>
      <c r="S3076" s="29"/>
      <c r="T3076" s="29"/>
      <c r="U3076" s="29"/>
      <c r="V3076" s="29"/>
      <c r="W3076" s="29"/>
      <c r="X3076" s="29"/>
      <c r="Y3076" s="29"/>
      <c r="Z3076" s="29"/>
      <c r="AA3076" s="29"/>
      <c r="AB3076" s="29"/>
      <c r="AC3076" s="29"/>
      <c r="AD3076" s="29"/>
      <c r="AE3076" s="29"/>
      <c r="AF3076" s="29"/>
    </row>
    <row r="3079" spans="2:32">
      <c r="B3079" s="29"/>
      <c r="C3079" s="29"/>
      <c r="D3079" s="29"/>
      <c r="E3079" s="29"/>
      <c r="F3079" s="29"/>
      <c r="G3079" s="29"/>
      <c r="H3079" s="29"/>
      <c r="I3079" s="29"/>
      <c r="J3079" s="29"/>
      <c r="K3079" s="29"/>
      <c r="L3079" s="29"/>
      <c r="M3079" s="29"/>
      <c r="N3079" s="29"/>
      <c r="O3079" s="29"/>
      <c r="P3079" s="29"/>
      <c r="Q3079" s="29"/>
      <c r="R3079" s="29"/>
      <c r="S3079" s="29"/>
      <c r="T3079" s="29"/>
      <c r="U3079" s="29"/>
      <c r="V3079" s="29"/>
      <c r="W3079" s="29"/>
      <c r="X3079" s="29"/>
      <c r="Y3079" s="29"/>
      <c r="Z3079" s="29"/>
      <c r="AA3079" s="29"/>
      <c r="AB3079" s="29"/>
      <c r="AC3079" s="29"/>
      <c r="AD3079" s="29"/>
      <c r="AE3079" s="29"/>
      <c r="AF3079" s="29"/>
    </row>
    <row r="3080" spans="2:32">
      <c r="B3080" s="29"/>
      <c r="C3080" s="29"/>
      <c r="D3080" s="29"/>
      <c r="E3080" s="29"/>
      <c r="F3080" s="29"/>
      <c r="G3080" s="29"/>
      <c r="H3080" s="29"/>
      <c r="I3080" s="29"/>
      <c r="J3080" s="29"/>
      <c r="K3080" s="29"/>
      <c r="L3080" s="29"/>
      <c r="M3080" s="29"/>
      <c r="N3080" s="29"/>
      <c r="O3080" s="29"/>
      <c r="P3080" s="29"/>
      <c r="Q3080" s="29"/>
      <c r="R3080" s="29"/>
      <c r="S3080" s="29"/>
      <c r="T3080" s="29"/>
      <c r="U3080" s="29"/>
      <c r="V3080" s="29"/>
      <c r="W3080" s="29"/>
      <c r="X3080" s="29"/>
      <c r="Y3080" s="29"/>
      <c r="Z3080" s="29"/>
      <c r="AA3080" s="29"/>
      <c r="AB3080" s="29"/>
      <c r="AC3080" s="29"/>
      <c r="AD3080" s="29"/>
      <c r="AE3080" s="29"/>
      <c r="AF3080" s="29"/>
    </row>
    <row r="3081" spans="2:32">
      <c r="B3081" s="29"/>
      <c r="C3081" s="29"/>
      <c r="D3081" s="29"/>
      <c r="E3081" s="29"/>
      <c r="F3081" s="29"/>
      <c r="G3081" s="29"/>
      <c r="H3081" s="29"/>
      <c r="I3081" s="29"/>
      <c r="J3081" s="29"/>
      <c r="K3081" s="29"/>
      <c r="L3081" s="29"/>
      <c r="M3081" s="29"/>
      <c r="N3081" s="29"/>
      <c r="O3081" s="29"/>
      <c r="P3081" s="29"/>
      <c r="Q3081" s="29"/>
      <c r="R3081" s="29"/>
      <c r="S3081" s="29"/>
      <c r="T3081" s="29"/>
      <c r="U3081" s="29"/>
      <c r="V3081" s="29"/>
      <c r="W3081" s="29"/>
      <c r="X3081" s="29"/>
      <c r="Y3081" s="29"/>
      <c r="Z3081" s="29"/>
      <c r="AA3081" s="29"/>
      <c r="AB3081" s="29"/>
      <c r="AC3081" s="29"/>
      <c r="AD3081" s="29"/>
      <c r="AE3081" s="29"/>
      <c r="AF3081" s="29"/>
    </row>
    <row r="3082" spans="2:32">
      <c r="B3082" s="29"/>
      <c r="C3082" s="29"/>
      <c r="D3082" s="29"/>
      <c r="E3082" s="29"/>
      <c r="F3082" s="29"/>
      <c r="G3082" s="29"/>
      <c r="H3082" s="29"/>
      <c r="I3082" s="29"/>
      <c r="J3082" s="29"/>
      <c r="K3082" s="29"/>
      <c r="L3082" s="29"/>
      <c r="M3082" s="29"/>
      <c r="N3082" s="29"/>
      <c r="O3082" s="29"/>
      <c r="P3082" s="29"/>
      <c r="Q3082" s="29"/>
      <c r="R3082" s="29"/>
      <c r="S3082" s="29"/>
      <c r="T3082" s="29"/>
      <c r="U3082" s="29"/>
      <c r="V3082" s="29"/>
      <c r="W3082" s="29"/>
      <c r="X3082" s="29"/>
      <c r="Y3082" s="29"/>
      <c r="Z3082" s="29"/>
      <c r="AA3082" s="29"/>
      <c r="AB3082" s="29"/>
      <c r="AC3082" s="29"/>
      <c r="AD3082" s="29"/>
      <c r="AE3082" s="29"/>
      <c r="AF3082" s="29"/>
    </row>
    <row r="3083" spans="2:32">
      <c r="B3083" s="29"/>
      <c r="C3083" s="29"/>
      <c r="D3083" s="29"/>
      <c r="E3083" s="29"/>
      <c r="F3083" s="29"/>
      <c r="G3083" s="29"/>
      <c r="H3083" s="29"/>
      <c r="I3083" s="29"/>
      <c r="J3083" s="29"/>
      <c r="K3083" s="29"/>
      <c r="L3083" s="29"/>
      <c r="M3083" s="29"/>
      <c r="N3083" s="29"/>
      <c r="O3083" s="29"/>
      <c r="P3083" s="29"/>
      <c r="Q3083" s="29"/>
      <c r="R3083" s="29"/>
      <c r="S3083" s="29"/>
      <c r="T3083" s="29"/>
      <c r="U3083" s="29"/>
      <c r="V3083" s="29"/>
      <c r="W3083" s="29"/>
      <c r="X3083" s="29"/>
      <c r="Y3083" s="29"/>
      <c r="Z3083" s="29"/>
      <c r="AA3083" s="29"/>
      <c r="AB3083" s="29"/>
      <c r="AC3083" s="29"/>
      <c r="AD3083" s="29"/>
      <c r="AE3083" s="29"/>
      <c r="AF3083" s="29"/>
    </row>
    <row r="3084" spans="2:32">
      <c r="B3084" s="29"/>
      <c r="C3084" s="29"/>
      <c r="D3084" s="29"/>
      <c r="E3084" s="29"/>
      <c r="F3084" s="29"/>
      <c r="G3084" s="29"/>
      <c r="H3084" s="29"/>
      <c r="I3084" s="29"/>
      <c r="J3084" s="29"/>
      <c r="K3084" s="29"/>
      <c r="L3084" s="29"/>
      <c r="M3084" s="29"/>
      <c r="N3084" s="29"/>
      <c r="O3084" s="29"/>
      <c r="P3084" s="29"/>
      <c r="Q3084" s="29"/>
      <c r="R3084" s="29"/>
      <c r="S3084" s="29"/>
      <c r="T3084" s="29"/>
      <c r="U3084" s="29"/>
      <c r="V3084" s="29"/>
      <c r="W3084" s="29"/>
      <c r="X3084" s="29"/>
      <c r="Y3084" s="29"/>
      <c r="Z3084" s="29"/>
      <c r="AA3084" s="29"/>
      <c r="AB3084" s="29"/>
      <c r="AC3084" s="29"/>
      <c r="AD3084" s="29"/>
      <c r="AE3084" s="29"/>
      <c r="AF3084" s="29"/>
    </row>
    <row r="3085" spans="2:32">
      <c r="B3085" s="29"/>
      <c r="C3085" s="29"/>
      <c r="D3085" s="29"/>
      <c r="E3085" s="29"/>
      <c r="F3085" s="29"/>
      <c r="G3085" s="29"/>
      <c r="H3085" s="29"/>
      <c r="I3085" s="29"/>
      <c r="J3085" s="29"/>
      <c r="K3085" s="29"/>
      <c r="L3085" s="29"/>
      <c r="M3085" s="29"/>
      <c r="N3085" s="29"/>
      <c r="O3085" s="29"/>
      <c r="P3085" s="29"/>
      <c r="Q3085" s="29"/>
      <c r="R3085" s="29"/>
      <c r="S3085" s="29"/>
      <c r="T3085" s="29"/>
      <c r="U3085" s="29"/>
      <c r="V3085" s="29"/>
      <c r="W3085" s="29"/>
      <c r="X3085" s="29"/>
      <c r="Y3085" s="29"/>
      <c r="Z3085" s="29"/>
      <c r="AA3085" s="29"/>
      <c r="AB3085" s="29"/>
      <c r="AC3085" s="29"/>
      <c r="AD3085" s="29"/>
      <c r="AE3085" s="29"/>
      <c r="AF3085" s="29"/>
    </row>
    <row r="3086" spans="2:32">
      <c r="B3086" s="29"/>
      <c r="C3086" s="29"/>
      <c r="D3086" s="29"/>
      <c r="E3086" s="29"/>
      <c r="F3086" s="29"/>
      <c r="G3086" s="29"/>
      <c r="H3086" s="29"/>
      <c r="I3086" s="29"/>
      <c r="J3086" s="29"/>
      <c r="K3086" s="29"/>
      <c r="L3086" s="29"/>
      <c r="M3086" s="29"/>
      <c r="N3086" s="29"/>
      <c r="O3086" s="29"/>
      <c r="P3086" s="29"/>
      <c r="Q3086" s="29"/>
      <c r="R3086" s="29"/>
      <c r="S3086" s="29"/>
      <c r="T3086" s="29"/>
      <c r="U3086" s="29"/>
      <c r="V3086" s="29"/>
      <c r="W3086" s="29"/>
      <c r="X3086" s="29"/>
      <c r="Y3086" s="29"/>
      <c r="Z3086" s="29"/>
      <c r="AA3086" s="29"/>
      <c r="AB3086" s="29"/>
      <c r="AC3086" s="29"/>
      <c r="AD3086" s="29"/>
      <c r="AE3086" s="29"/>
      <c r="AF3086" s="29"/>
    </row>
    <row r="3087" spans="2:32">
      <c r="B3087" s="29"/>
      <c r="C3087" s="29"/>
      <c r="D3087" s="29"/>
      <c r="E3087" s="29"/>
      <c r="F3087" s="29"/>
      <c r="G3087" s="29"/>
      <c r="H3087" s="29"/>
      <c r="I3087" s="29"/>
      <c r="J3087" s="29"/>
      <c r="K3087" s="29"/>
      <c r="L3087" s="29"/>
      <c r="M3087" s="29"/>
      <c r="N3087" s="29"/>
      <c r="O3087" s="29"/>
      <c r="P3087" s="29"/>
      <c r="Q3087" s="29"/>
      <c r="R3087" s="29"/>
      <c r="S3087" s="29"/>
      <c r="T3087" s="29"/>
      <c r="U3087" s="29"/>
      <c r="V3087" s="29"/>
      <c r="W3087" s="29"/>
      <c r="X3087" s="29"/>
      <c r="Y3087" s="29"/>
      <c r="Z3087" s="29"/>
      <c r="AA3087" s="29"/>
      <c r="AB3087" s="29"/>
      <c r="AC3087" s="29"/>
      <c r="AD3087" s="29"/>
      <c r="AE3087" s="29"/>
      <c r="AF3087" s="29"/>
    </row>
    <row r="3088" spans="2:32">
      <c r="B3088" s="29"/>
      <c r="C3088" s="29"/>
      <c r="D3088" s="29"/>
      <c r="E3088" s="29"/>
      <c r="F3088" s="29"/>
      <c r="G3088" s="29"/>
      <c r="H3088" s="29"/>
      <c r="I3088" s="29"/>
      <c r="J3088" s="29"/>
      <c r="K3088" s="29"/>
      <c r="L3088" s="29"/>
      <c r="M3088" s="29"/>
      <c r="N3088" s="29"/>
      <c r="O3088" s="29"/>
      <c r="P3088" s="29"/>
      <c r="Q3088" s="29"/>
      <c r="R3088" s="29"/>
      <c r="S3088" s="29"/>
      <c r="T3088" s="29"/>
      <c r="U3088" s="29"/>
      <c r="V3088" s="29"/>
      <c r="W3088" s="29"/>
      <c r="X3088" s="29"/>
      <c r="Y3088" s="29"/>
      <c r="Z3088" s="29"/>
      <c r="AA3088" s="29"/>
      <c r="AB3088" s="29"/>
      <c r="AC3088" s="29"/>
      <c r="AD3088" s="29"/>
      <c r="AE3088" s="29"/>
      <c r="AF3088" s="29"/>
    </row>
    <row r="3393" spans="2:32">
      <c r="B3393" s="29"/>
      <c r="C3393" s="29"/>
      <c r="D3393" s="29"/>
      <c r="E3393" s="29"/>
      <c r="F3393" s="29"/>
      <c r="G3393" s="29"/>
      <c r="H3393" s="29"/>
      <c r="I3393" s="29"/>
      <c r="J3393" s="29"/>
      <c r="K3393" s="29"/>
      <c r="L3393" s="29"/>
      <c r="M3393" s="29"/>
      <c r="N3393" s="29"/>
      <c r="O3393" s="29"/>
      <c r="P3393" s="29"/>
      <c r="Q3393" s="29"/>
      <c r="R3393" s="29"/>
      <c r="S3393" s="29"/>
      <c r="T3393" s="29"/>
      <c r="U3393" s="29"/>
      <c r="V3393" s="29"/>
      <c r="W3393" s="29"/>
      <c r="X3393" s="29"/>
      <c r="Y3393" s="29"/>
      <c r="Z3393" s="29"/>
      <c r="AA3393" s="29"/>
      <c r="AB3393" s="29"/>
      <c r="AC3393" s="29"/>
      <c r="AD3393" s="29"/>
      <c r="AE3393" s="29"/>
      <c r="AF3393" s="29"/>
    </row>
    <row r="3394" spans="2:32">
      <c r="B3394" s="29"/>
      <c r="C3394" s="29"/>
      <c r="D3394" s="29"/>
      <c r="E3394" s="29"/>
      <c r="F3394" s="29"/>
      <c r="G3394" s="29"/>
      <c r="H3394" s="29"/>
      <c r="I3394" s="29"/>
      <c r="J3394" s="29"/>
      <c r="K3394" s="29"/>
      <c r="L3394" s="29"/>
      <c r="M3394" s="29"/>
      <c r="N3394" s="29"/>
      <c r="O3394" s="29"/>
      <c r="P3394" s="29"/>
      <c r="Q3394" s="29"/>
      <c r="R3394" s="29"/>
      <c r="S3394" s="29"/>
      <c r="T3394" s="29"/>
      <c r="U3394" s="29"/>
      <c r="V3394" s="29"/>
      <c r="W3394" s="29"/>
      <c r="X3394" s="29"/>
      <c r="Y3394" s="29"/>
      <c r="Z3394" s="29"/>
      <c r="AA3394" s="29"/>
      <c r="AB3394" s="29"/>
      <c r="AC3394" s="29"/>
      <c r="AD3394" s="29"/>
      <c r="AE3394" s="29"/>
      <c r="AF3394" s="29"/>
    </row>
    <row r="3395" spans="2:32">
      <c r="B3395" s="29"/>
      <c r="C3395" s="29"/>
      <c r="D3395" s="29"/>
      <c r="E3395" s="29"/>
      <c r="F3395" s="29"/>
      <c r="G3395" s="29"/>
      <c r="H3395" s="29"/>
      <c r="I3395" s="29"/>
      <c r="J3395" s="29"/>
      <c r="K3395" s="29"/>
      <c r="L3395" s="29"/>
      <c r="M3395" s="29"/>
      <c r="N3395" s="29"/>
      <c r="O3395" s="29"/>
      <c r="P3395" s="29"/>
      <c r="Q3395" s="29"/>
      <c r="R3395" s="29"/>
      <c r="S3395" s="29"/>
      <c r="T3395" s="29"/>
      <c r="U3395" s="29"/>
      <c r="V3395" s="29"/>
      <c r="W3395" s="29"/>
      <c r="X3395" s="29"/>
      <c r="Y3395" s="29"/>
      <c r="Z3395" s="29"/>
      <c r="AA3395" s="29"/>
      <c r="AB3395" s="29"/>
      <c r="AC3395" s="29"/>
      <c r="AD3395" s="29"/>
      <c r="AE3395" s="29"/>
      <c r="AF3395" s="29"/>
    </row>
    <row r="3396" spans="2:32">
      <c r="B3396" s="29"/>
      <c r="C3396" s="29"/>
      <c r="D3396" s="29"/>
      <c r="E3396" s="29"/>
      <c r="F3396" s="29"/>
      <c r="G3396" s="29"/>
      <c r="H3396" s="29"/>
      <c r="I3396" s="29"/>
      <c r="J3396" s="29"/>
      <c r="K3396" s="29"/>
      <c r="L3396" s="29"/>
      <c r="M3396" s="29"/>
      <c r="N3396" s="29"/>
      <c r="O3396" s="29"/>
      <c r="P3396" s="29"/>
      <c r="Q3396" s="29"/>
      <c r="R3396" s="29"/>
      <c r="S3396" s="29"/>
      <c r="T3396" s="29"/>
      <c r="U3396" s="29"/>
      <c r="V3396" s="29"/>
      <c r="W3396" s="29"/>
      <c r="X3396" s="29"/>
      <c r="Y3396" s="29"/>
      <c r="Z3396" s="29"/>
      <c r="AA3396" s="29"/>
      <c r="AB3396" s="29"/>
      <c r="AC3396" s="29"/>
      <c r="AD3396" s="29"/>
      <c r="AE3396" s="29"/>
      <c r="AF3396" s="29"/>
    </row>
    <row r="3397" spans="2:32">
      <c r="B3397" s="29"/>
      <c r="C3397" s="29"/>
      <c r="D3397" s="29"/>
      <c r="E3397" s="29"/>
      <c r="F3397" s="29"/>
      <c r="G3397" s="29"/>
      <c r="H3397" s="29"/>
      <c r="I3397" s="29"/>
      <c r="J3397" s="29"/>
      <c r="K3397" s="29"/>
      <c r="L3397" s="29"/>
      <c r="M3397" s="29"/>
      <c r="N3397" s="29"/>
      <c r="O3397" s="29"/>
      <c r="P3397" s="29"/>
      <c r="Q3397" s="29"/>
      <c r="R3397" s="29"/>
      <c r="S3397" s="29"/>
      <c r="T3397" s="29"/>
      <c r="U3397" s="29"/>
      <c r="V3397" s="29"/>
      <c r="W3397" s="29"/>
      <c r="X3397" s="29"/>
      <c r="Y3397" s="29"/>
      <c r="Z3397" s="29"/>
      <c r="AA3397" s="29"/>
      <c r="AB3397" s="29"/>
      <c r="AC3397" s="29"/>
      <c r="AD3397" s="29"/>
      <c r="AE3397" s="29"/>
      <c r="AF3397" s="29"/>
    </row>
    <row r="3398" spans="2:32">
      <c r="B3398" s="29"/>
      <c r="C3398" s="29"/>
      <c r="D3398" s="29"/>
      <c r="E3398" s="29"/>
      <c r="F3398" s="29"/>
      <c r="G3398" s="29"/>
      <c r="H3398" s="29"/>
      <c r="I3398" s="29"/>
      <c r="J3398" s="29"/>
      <c r="K3398" s="29"/>
      <c r="L3398" s="29"/>
      <c r="M3398" s="29"/>
      <c r="N3398" s="29"/>
      <c r="O3398" s="29"/>
      <c r="P3398" s="29"/>
      <c r="Q3398" s="29"/>
      <c r="R3398" s="29"/>
      <c r="S3398" s="29"/>
      <c r="T3398" s="29"/>
      <c r="U3398" s="29"/>
      <c r="V3398" s="29"/>
      <c r="W3398" s="29"/>
      <c r="X3398" s="29"/>
      <c r="Y3398" s="29"/>
      <c r="Z3398" s="29"/>
      <c r="AA3398" s="29"/>
      <c r="AB3398" s="29"/>
      <c r="AC3398" s="29"/>
      <c r="AD3398" s="29"/>
      <c r="AE3398" s="29"/>
      <c r="AF3398" s="29"/>
    </row>
    <row r="3399" spans="2:32">
      <c r="B3399" s="29"/>
      <c r="C3399" s="29"/>
      <c r="D3399" s="29"/>
      <c r="E3399" s="29"/>
      <c r="F3399" s="29"/>
      <c r="G3399" s="29"/>
      <c r="H3399" s="29"/>
      <c r="I3399" s="29"/>
      <c r="J3399" s="29"/>
      <c r="K3399" s="29"/>
      <c r="L3399" s="29"/>
      <c r="M3399" s="29"/>
      <c r="N3399" s="29"/>
      <c r="O3399" s="29"/>
      <c r="P3399" s="29"/>
      <c r="Q3399" s="29"/>
      <c r="R3399" s="29"/>
      <c r="S3399" s="29"/>
      <c r="T3399" s="29"/>
      <c r="U3399" s="29"/>
      <c r="V3399" s="29"/>
      <c r="W3399" s="29"/>
      <c r="X3399" s="29"/>
      <c r="Y3399" s="29"/>
      <c r="Z3399" s="29"/>
      <c r="AA3399" s="29"/>
      <c r="AB3399" s="29"/>
      <c r="AC3399" s="29"/>
      <c r="AD3399" s="29"/>
      <c r="AE3399" s="29"/>
      <c r="AF3399" s="29"/>
    </row>
    <row r="3400" spans="2:32">
      <c r="B3400" s="29"/>
      <c r="C3400" s="29"/>
      <c r="D3400" s="29"/>
      <c r="E3400" s="29"/>
      <c r="F3400" s="29"/>
      <c r="G3400" s="29"/>
      <c r="H3400" s="29"/>
      <c r="I3400" s="29"/>
      <c r="J3400" s="29"/>
      <c r="K3400" s="29"/>
      <c r="L3400" s="29"/>
      <c r="M3400" s="29"/>
      <c r="N3400" s="29"/>
      <c r="O3400" s="29"/>
      <c r="P3400" s="29"/>
      <c r="Q3400" s="29"/>
      <c r="R3400" s="29"/>
      <c r="S3400" s="29"/>
      <c r="T3400" s="29"/>
      <c r="U3400" s="29"/>
      <c r="V3400" s="29"/>
      <c r="W3400" s="29"/>
      <c r="X3400" s="29"/>
      <c r="Y3400" s="29"/>
      <c r="Z3400" s="29"/>
      <c r="AA3400" s="29"/>
      <c r="AB3400" s="29"/>
      <c r="AC3400" s="29"/>
      <c r="AD3400" s="29"/>
      <c r="AE3400" s="29"/>
      <c r="AF3400" s="29"/>
    </row>
    <row r="3401" spans="2:32">
      <c r="B3401" s="29"/>
      <c r="C3401" s="29"/>
      <c r="D3401" s="29"/>
      <c r="E3401" s="29"/>
      <c r="F3401" s="29"/>
      <c r="G3401" s="29"/>
      <c r="H3401" s="29"/>
      <c r="I3401" s="29"/>
      <c r="J3401" s="29"/>
      <c r="K3401" s="29"/>
      <c r="L3401" s="29"/>
      <c r="M3401" s="29"/>
      <c r="N3401" s="29"/>
      <c r="O3401" s="29"/>
      <c r="P3401" s="29"/>
      <c r="Q3401" s="29"/>
      <c r="R3401" s="29"/>
      <c r="S3401" s="29"/>
      <c r="T3401" s="29"/>
      <c r="U3401" s="29"/>
      <c r="V3401" s="29"/>
      <c r="W3401" s="29"/>
      <c r="X3401" s="29"/>
      <c r="Y3401" s="29"/>
      <c r="Z3401" s="29"/>
      <c r="AA3401" s="29"/>
      <c r="AB3401" s="29"/>
      <c r="AC3401" s="29"/>
      <c r="AD3401" s="29"/>
      <c r="AE3401" s="29"/>
      <c r="AF3401" s="29"/>
    </row>
    <row r="3402" spans="2:32">
      <c r="B3402" s="29"/>
      <c r="C3402" s="29"/>
      <c r="D3402" s="29"/>
      <c r="E3402" s="29"/>
      <c r="F3402" s="29"/>
      <c r="G3402" s="29"/>
      <c r="H3402" s="29"/>
      <c r="I3402" s="29"/>
      <c r="J3402" s="29"/>
      <c r="K3402" s="29"/>
      <c r="L3402" s="29"/>
      <c r="M3402" s="29"/>
      <c r="N3402" s="29"/>
      <c r="O3402" s="29"/>
      <c r="P3402" s="29"/>
      <c r="Q3402" s="29"/>
      <c r="R3402" s="29"/>
      <c r="S3402" s="29"/>
      <c r="T3402" s="29"/>
      <c r="U3402" s="29"/>
      <c r="V3402" s="29"/>
      <c r="W3402" s="29"/>
      <c r="X3402" s="29"/>
      <c r="Y3402" s="29"/>
      <c r="Z3402" s="29"/>
      <c r="AA3402" s="29"/>
      <c r="AB3402" s="29"/>
      <c r="AC3402" s="29"/>
      <c r="AD3402" s="29"/>
      <c r="AE3402" s="29"/>
      <c r="AF3402" s="29"/>
    </row>
    <row r="3403" spans="2:32">
      <c r="B3403" s="29"/>
      <c r="C3403" s="29"/>
      <c r="D3403" s="29"/>
      <c r="E3403" s="29"/>
      <c r="F3403" s="29"/>
      <c r="G3403" s="29"/>
      <c r="H3403" s="29"/>
      <c r="I3403" s="29"/>
      <c r="J3403" s="29"/>
      <c r="K3403" s="29"/>
      <c r="L3403" s="29"/>
      <c r="M3403" s="29"/>
      <c r="N3403" s="29"/>
      <c r="O3403" s="29"/>
      <c r="P3403" s="29"/>
      <c r="Q3403" s="29"/>
      <c r="R3403" s="29"/>
      <c r="S3403" s="29"/>
      <c r="T3403" s="29"/>
      <c r="U3403" s="29"/>
      <c r="V3403" s="29"/>
      <c r="W3403" s="29"/>
      <c r="X3403" s="29"/>
      <c r="Y3403" s="29"/>
      <c r="Z3403" s="29"/>
      <c r="AA3403" s="29"/>
      <c r="AB3403" s="29"/>
      <c r="AC3403" s="29"/>
      <c r="AD3403" s="29"/>
      <c r="AE3403" s="29"/>
      <c r="AF3403" s="29"/>
    </row>
    <row r="3404" spans="2:32">
      <c r="B3404" s="29"/>
      <c r="C3404" s="29"/>
      <c r="D3404" s="29"/>
      <c r="E3404" s="29"/>
      <c r="F3404" s="29"/>
      <c r="G3404" s="29"/>
      <c r="H3404" s="29"/>
      <c r="I3404" s="29"/>
      <c r="J3404" s="29"/>
      <c r="K3404" s="29"/>
      <c r="L3404" s="29"/>
      <c r="M3404" s="29"/>
      <c r="N3404" s="29"/>
      <c r="O3404" s="29"/>
      <c r="P3404" s="29"/>
      <c r="Q3404" s="29"/>
      <c r="R3404" s="29"/>
      <c r="S3404" s="29"/>
      <c r="T3404" s="29"/>
      <c r="U3404" s="29"/>
      <c r="V3404" s="29"/>
      <c r="W3404" s="29"/>
      <c r="X3404" s="29"/>
      <c r="Y3404" s="29"/>
      <c r="Z3404" s="29"/>
      <c r="AA3404" s="29"/>
      <c r="AB3404" s="29"/>
      <c r="AC3404" s="29"/>
      <c r="AD3404" s="29"/>
      <c r="AE3404" s="29"/>
      <c r="AF3404" s="29"/>
    </row>
    <row r="3405" spans="2:32">
      <c r="B3405" s="29"/>
      <c r="C3405" s="29"/>
      <c r="D3405" s="29"/>
      <c r="E3405" s="29"/>
      <c r="F3405" s="29"/>
      <c r="G3405" s="29"/>
      <c r="H3405" s="29"/>
      <c r="I3405" s="29"/>
      <c r="J3405" s="29"/>
      <c r="K3405" s="29"/>
      <c r="L3405" s="29"/>
      <c r="M3405" s="29"/>
      <c r="N3405" s="29"/>
      <c r="O3405" s="29"/>
      <c r="P3405" s="29"/>
      <c r="Q3405" s="29"/>
      <c r="R3405" s="29"/>
      <c r="S3405" s="29"/>
      <c r="T3405" s="29"/>
      <c r="U3405" s="29"/>
      <c r="V3405" s="29"/>
      <c r="W3405" s="29"/>
      <c r="X3405" s="29"/>
      <c r="Y3405" s="29"/>
      <c r="Z3405" s="29"/>
      <c r="AA3405" s="29"/>
      <c r="AB3405" s="29"/>
      <c r="AC3405" s="29"/>
      <c r="AD3405" s="29"/>
      <c r="AE3405" s="29"/>
      <c r="AF3405" s="29"/>
    </row>
    <row r="3406" spans="2:32">
      <c r="B3406" s="29"/>
      <c r="C3406" s="29"/>
      <c r="D3406" s="29"/>
      <c r="E3406" s="29"/>
      <c r="F3406" s="29"/>
      <c r="G3406" s="29"/>
      <c r="H3406" s="29"/>
      <c r="I3406" s="29"/>
      <c r="J3406" s="29"/>
      <c r="K3406" s="29"/>
      <c r="L3406" s="29"/>
      <c r="M3406" s="29"/>
      <c r="N3406" s="29"/>
      <c r="O3406" s="29"/>
      <c r="P3406" s="29"/>
      <c r="Q3406" s="29"/>
      <c r="R3406" s="29"/>
      <c r="S3406" s="29"/>
      <c r="T3406" s="29"/>
      <c r="U3406" s="29"/>
      <c r="V3406" s="29"/>
      <c r="W3406" s="29"/>
      <c r="X3406" s="29"/>
      <c r="Y3406" s="29"/>
      <c r="Z3406" s="29"/>
      <c r="AA3406" s="29"/>
      <c r="AB3406" s="29"/>
      <c r="AC3406" s="29"/>
      <c r="AD3406" s="29"/>
      <c r="AE3406" s="29"/>
      <c r="AF3406" s="29"/>
    </row>
    <row r="3407" spans="2:32">
      <c r="B3407" s="29"/>
      <c r="C3407" s="29"/>
      <c r="D3407" s="29"/>
      <c r="E3407" s="29"/>
      <c r="F3407" s="29"/>
      <c r="G3407" s="29"/>
      <c r="H3407" s="29"/>
      <c r="I3407" s="29"/>
      <c r="J3407" s="29"/>
      <c r="K3407" s="29"/>
      <c r="L3407" s="29"/>
      <c r="M3407" s="29"/>
      <c r="N3407" s="29"/>
      <c r="O3407" s="29"/>
      <c r="P3407" s="29"/>
      <c r="Q3407" s="29"/>
      <c r="R3407" s="29"/>
      <c r="S3407" s="29"/>
      <c r="T3407" s="29"/>
      <c r="U3407" s="29"/>
      <c r="V3407" s="29"/>
      <c r="W3407" s="29"/>
      <c r="X3407" s="29"/>
      <c r="Y3407" s="29"/>
      <c r="Z3407" s="29"/>
      <c r="AA3407" s="29"/>
      <c r="AB3407" s="29"/>
      <c r="AC3407" s="29"/>
      <c r="AD3407" s="29"/>
      <c r="AE3407" s="29"/>
      <c r="AF3407" s="29"/>
    </row>
    <row r="3408" spans="2:32">
      <c r="B3408" s="29"/>
      <c r="C3408" s="29"/>
      <c r="D3408" s="29"/>
      <c r="E3408" s="29"/>
      <c r="F3408" s="29"/>
      <c r="G3408" s="29"/>
      <c r="H3408" s="29"/>
      <c r="I3408" s="29"/>
      <c r="J3408" s="29"/>
      <c r="K3408" s="29"/>
      <c r="L3408" s="29"/>
      <c r="M3408" s="29"/>
      <c r="N3408" s="29"/>
      <c r="O3408" s="29"/>
      <c r="P3408" s="29"/>
      <c r="Q3408" s="29"/>
      <c r="R3408" s="29"/>
      <c r="S3408" s="29"/>
      <c r="T3408" s="29"/>
      <c r="U3408" s="29"/>
      <c r="V3408" s="29"/>
      <c r="W3408" s="29"/>
      <c r="X3408" s="29"/>
      <c r="Y3408" s="29"/>
      <c r="Z3408" s="29"/>
      <c r="AA3408" s="29"/>
      <c r="AB3408" s="29"/>
      <c r="AC3408" s="29"/>
      <c r="AD3408" s="29"/>
      <c r="AE3408" s="29"/>
      <c r="AF3408" s="29"/>
    </row>
    <row r="3496" spans="2:32">
      <c r="B3496" s="29"/>
      <c r="C3496" s="29"/>
      <c r="D3496" s="29"/>
      <c r="E3496" s="29"/>
      <c r="F3496" s="29"/>
      <c r="G3496" s="29"/>
      <c r="H3496" s="29"/>
      <c r="I3496" s="29"/>
      <c r="J3496" s="29"/>
      <c r="K3496" s="29"/>
      <c r="L3496" s="29"/>
      <c r="M3496" s="29"/>
      <c r="N3496" s="29"/>
      <c r="O3496" s="29"/>
      <c r="P3496" s="29"/>
      <c r="Q3496" s="29"/>
      <c r="R3496" s="29"/>
      <c r="S3496" s="29"/>
      <c r="T3496" s="29"/>
      <c r="U3496" s="29"/>
      <c r="V3496" s="29"/>
      <c r="W3496" s="29"/>
      <c r="X3496" s="29"/>
      <c r="Y3496" s="29"/>
      <c r="Z3496" s="29"/>
      <c r="AA3496" s="29"/>
      <c r="AB3496" s="29"/>
      <c r="AC3496" s="29"/>
      <c r="AD3496" s="29"/>
      <c r="AE3496" s="29"/>
      <c r="AF3496" s="29"/>
    </row>
    <row r="3499" spans="2:32">
      <c r="B3499" s="29"/>
      <c r="C3499" s="29"/>
      <c r="D3499" s="29"/>
      <c r="E3499" s="29"/>
      <c r="F3499" s="29"/>
      <c r="G3499" s="29"/>
      <c r="H3499" s="29"/>
      <c r="I3499" s="29"/>
      <c r="J3499" s="29"/>
      <c r="K3499" s="29"/>
      <c r="L3499" s="29"/>
      <c r="M3499" s="29"/>
      <c r="N3499" s="29"/>
      <c r="O3499" s="29"/>
      <c r="P3499" s="29"/>
      <c r="Q3499" s="29"/>
      <c r="R3499" s="29"/>
      <c r="S3499" s="29"/>
      <c r="T3499" s="29"/>
      <c r="U3499" s="29"/>
      <c r="V3499" s="29"/>
      <c r="W3499" s="29"/>
      <c r="X3499" s="29"/>
      <c r="Y3499" s="29"/>
      <c r="Z3499" s="29"/>
      <c r="AA3499" s="29"/>
      <c r="AB3499" s="29"/>
      <c r="AC3499" s="29"/>
      <c r="AD3499" s="29"/>
      <c r="AE3499" s="29"/>
      <c r="AF3499" s="29"/>
    </row>
    <row r="3501" spans="2:32">
      <c r="B3501" s="29"/>
      <c r="C3501" s="29"/>
      <c r="D3501" s="29"/>
      <c r="E3501" s="29"/>
      <c r="F3501" s="29"/>
      <c r="G3501" s="29"/>
      <c r="H3501" s="29"/>
      <c r="I3501" s="29"/>
      <c r="J3501" s="29"/>
      <c r="K3501" s="29"/>
      <c r="L3501" s="29"/>
      <c r="M3501" s="29"/>
      <c r="N3501" s="29"/>
      <c r="O3501" s="29"/>
      <c r="P3501" s="29"/>
      <c r="Q3501" s="29"/>
      <c r="R3501" s="29"/>
      <c r="S3501" s="29"/>
      <c r="T3501" s="29"/>
      <c r="U3501" s="29"/>
      <c r="V3501" s="29"/>
      <c r="W3501" s="29"/>
      <c r="X3501" s="29"/>
      <c r="Y3501" s="29"/>
      <c r="Z3501" s="29"/>
      <c r="AA3501" s="29"/>
      <c r="AB3501" s="29"/>
      <c r="AC3501" s="29"/>
      <c r="AD3501" s="29"/>
      <c r="AE3501" s="29"/>
      <c r="AF3501" s="29"/>
    </row>
    <row r="3502" spans="2:32">
      <c r="B3502" s="29"/>
      <c r="C3502" s="29"/>
      <c r="D3502" s="29"/>
      <c r="E3502" s="29"/>
      <c r="F3502" s="29"/>
      <c r="G3502" s="29"/>
      <c r="H3502" s="29"/>
      <c r="I3502" s="29"/>
      <c r="J3502" s="29"/>
      <c r="K3502" s="29"/>
      <c r="L3502" s="29"/>
      <c r="M3502" s="29"/>
      <c r="N3502" s="29"/>
      <c r="O3502" s="29"/>
      <c r="P3502" s="29"/>
      <c r="Q3502" s="29"/>
      <c r="R3502" s="29"/>
      <c r="S3502" s="29"/>
      <c r="T3502" s="29"/>
      <c r="U3502" s="29"/>
      <c r="V3502" s="29"/>
      <c r="W3502" s="29"/>
      <c r="X3502" s="29"/>
      <c r="Y3502" s="29"/>
      <c r="Z3502" s="29"/>
      <c r="AA3502" s="29"/>
      <c r="AB3502" s="29"/>
      <c r="AC3502" s="29"/>
      <c r="AD3502" s="29"/>
      <c r="AE3502" s="29"/>
      <c r="AF3502" s="29"/>
    </row>
    <row r="3621" spans="2:32">
      <c r="B3621" s="29"/>
      <c r="C3621" s="29"/>
      <c r="D3621" s="29"/>
      <c r="E3621" s="29"/>
      <c r="F3621" s="29"/>
      <c r="G3621" s="29"/>
      <c r="H3621" s="29"/>
      <c r="I3621" s="29"/>
      <c r="J3621" s="29"/>
      <c r="K3621" s="29"/>
      <c r="L3621" s="29"/>
      <c r="M3621" s="29"/>
      <c r="N3621" s="29"/>
      <c r="O3621" s="29"/>
      <c r="P3621" s="29"/>
      <c r="Q3621" s="29"/>
      <c r="R3621" s="29"/>
      <c r="S3621" s="29"/>
      <c r="T3621" s="29"/>
      <c r="U3621" s="29"/>
      <c r="V3621" s="29"/>
      <c r="W3621" s="29"/>
      <c r="X3621" s="29"/>
      <c r="Y3621" s="29"/>
      <c r="Z3621" s="29"/>
      <c r="AA3621" s="29"/>
      <c r="AB3621" s="29"/>
      <c r="AC3621" s="29"/>
      <c r="AD3621" s="29"/>
      <c r="AE3621" s="29"/>
      <c r="AF3621" s="29"/>
    </row>
    <row r="3624" spans="2:32">
      <c r="B3624" s="29"/>
      <c r="C3624" s="29"/>
      <c r="D3624" s="29"/>
      <c r="E3624" s="29"/>
      <c r="F3624" s="29"/>
      <c r="G3624" s="29"/>
      <c r="H3624" s="29"/>
      <c r="I3624" s="29"/>
      <c r="J3624" s="29"/>
      <c r="K3624" s="29"/>
      <c r="L3624" s="29"/>
      <c r="M3624" s="29"/>
      <c r="N3624" s="29"/>
      <c r="O3624" s="29"/>
      <c r="P3624" s="29"/>
      <c r="Q3624" s="29"/>
      <c r="R3624" s="29"/>
      <c r="S3624" s="29"/>
      <c r="T3624" s="29"/>
      <c r="U3624" s="29"/>
      <c r="V3624" s="29"/>
      <c r="W3624" s="29"/>
      <c r="X3624" s="29"/>
      <c r="Y3624" s="29"/>
      <c r="Z3624" s="29"/>
      <c r="AA3624" s="29"/>
      <c r="AB3624" s="29"/>
      <c r="AC3624" s="29"/>
      <c r="AD3624" s="29"/>
      <c r="AE3624" s="29"/>
      <c r="AF3624" s="29"/>
    </row>
    <row r="3626" spans="2:32">
      <c r="B3626" s="29"/>
      <c r="C3626" s="29"/>
      <c r="D3626" s="29"/>
      <c r="E3626" s="29"/>
      <c r="F3626" s="29"/>
      <c r="G3626" s="29"/>
      <c r="H3626" s="29"/>
      <c r="I3626" s="29"/>
      <c r="J3626" s="29"/>
      <c r="K3626" s="29"/>
      <c r="L3626" s="29"/>
      <c r="M3626" s="29"/>
      <c r="N3626" s="29"/>
      <c r="O3626" s="29"/>
      <c r="P3626" s="29"/>
      <c r="Q3626" s="29"/>
      <c r="R3626" s="29"/>
      <c r="S3626" s="29"/>
      <c r="T3626" s="29"/>
      <c r="U3626" s="29"/>
      <c r="V3626" s="29"/>
      <c r="W3626" s="29"/>
      <c r="X3626" s="29"/>
      <c r="Y3626" s="29"/>
      <c r="Z3626" s="29"/>
      <c r="AA3626" s="29"/>
      <c r="AB3626" s="29"/>
      <c r="AC3626" s="29"/>
      <c r="AD3626" s="29"/>
      <c r="AE3626" s="29"/>
      <c r="AF3626" s="29"/>
    </row>
    <row r="3627" spans="2:32">
      <c r="B3627" s="29"/>
      <c r="C3627" s="29"/>
      <c r="D3627" s="29"/>
      <c r="E3627" s="29"/>
      <c r="F3627" s="29"/>
      <c r="G3627" s="29"/>
      <c r="H3627" s="29"/>
      <c r="I3627" s="29"/>
      <c r="J3627" s="29"/>
      <c r="K3627" s="29"/>
      <c r="L3627" s="29"/>
      <c r="M3627" s="29"/>
      <c r="N3627" s="29"/>
      <c r="O3627" s="29"/>
      <c r="P3627" s="29"/>
      <c r="Q3627" s="29"/>
      <c r="R3627" s="29"/>
      <c r="S3627" s="29"/>
      <c r="T3627" s="29"/>
      <c r="U3627" s="29"/>
      <c r="V3627" s="29"/>
      <c r="W3627" s="29"/>
      <c r="X3627" s="29"/>
      <c r="Y3627" s="29"/>
      <c r="Z3627" s="29"/>
      <c r="AA3627" s="29"/>
      <c r="AB3627" s="29"/>
      <c r="AC3627" s="29"/>
      <c r="AD3627" s="29"/>
      <c r="AE3627" s="29"/>
      <c r="AF3627" s="29"/>
    </row>
    <row r="3746" spans="2:32">
      <c r="B3746" s="29"/>
      <c r="C3746" s="29"/>
      <c r="D3746" s="29"/>
      <c r="E3746" s="29"/>
      <c r="F3746" s="29"/>
      <c r="G3746" s="29"/>
      <c r="H3746" s="29"/>
      <c r="I3746" s="29"/>
      <c r="J3746" s="29"/>
      <c r="K3746" s="29"/>
      <c r="L3746" s="29"/>
      <c r="M3746" s="29"/>
      <c r="N3746" s="29"/>
      <c r="O3746" s="29"/>
      <c r="P3746" s="29"/>
      <c r="Q3746" s="29"/>
      <c r="R3746" s="29"/>
      <c r="S3746" s="29"/>
      <c r="T3746" s="29"/>
      <c r="U3746" s="29"/>
      <c r="V3746" s="29"/>
      <c r="W3746" s="29"/>
      <c r="X3746" s="29"/>
      <c r="Y3746" s="29"/>
      <c r="Z3746" s="29"/>
      <c r="AA3746" s="29"/>
      <c r="AB3746" s="29"/>
      <c r="AC3746" s="29"/>
      <c r="AD3746" s="29"/>
      <c r="AE3746" s="29"/>
      <c r="AF3746" s="29"/>
    </row>
    <row r="3749" spans="2:32">
      <c r="B3749" s="29"/>
      <c r="C3749" s="29"/>
      <c r="D3749" s="29"/>
      <c r="E3749" s="29"/>
      <c r="F3749" s="29"/>
      <c r="G3749" s="29"/>
      <c r="H3749" s="29"/>
      <c r="I3749" s="29"/>
      <c r="J3749" s="29"/>
      <c r="K3749" s="29"/>
      <c r="L3749" s="29"/>
      <c r="M3749" s="29"/>
      <c r="N3749" s="29"/>
      <c r="O3749" s="29"/>
      <c r="P3749" s="29"/>
      <c r="Q3749" s="29"/>
      <c r="R3749" s="29"/>
      <c r="S3749" s="29"/>
      <c r="T3749" s="29"/>
      <c r="U3749" s="29"/>
      <c r="V3749" s="29"/>
      <c r="W3749" s="29"/>
      <c r="X3749" s="29"/>
      <c r="Y3749" s="29"/>
      <c r="Z3749" s="29"/>
      <c r="AA3749" s="29"/>
      <c r="AB3749" s="29"/>
      <c r="AC3749" s="29"/>
      <c r="AD3749" s="29"/>
      <c r="AE3749" s="29"/>
      <c r="AF3749" s="29"/>
    </row>
    <row r="3751" spans="2:32">
      <c r="B3751" s="29"/>
      <c r="C3751" s="29"/>
      <c r="D3751" s="29"/>
      <c r="E3751" s="29"/>
      <c r="F3751" s="29"/>
      <c r="G3751" s="29"/>
      <c r="H3751" s="29"/>
      <c r="I3751" s="29"/>
      <c r="J3751" s="29"/>
      <c r="K3751" s="29"/>
      <c r="L3751" s="29"/>
      <c r="M3751" s="29"/>
      <c r="N3751" s="29"/>
      <c r="O3751" s="29"/>
      <c r="P3751" s="29"/>
      <c r="Q3751" s="29"/>
      <c r="R3751" s="29"/>
      <c r="S3751" s="29"/>
      <c r="T3751" s="29"/>
      <c r="U3751" s="29"/>
      <c r="V3751" s="29"/>
      <c r="W3751" s="29"/>
      <c r="X3751" s="29"/>
      <c r="Y3751" s="29"/>
      <c r="Z3751" s="29"/>
      <c r="AA3751" s="29"/>
      <c r="AB3751" s="29"/>
      <c r="AC3751" s="29"/>
      <c r="AD3751" s="29"/>
      <c r="AE3751" s="29"/>
      <c r="AF3751" s="29"/>
    </row>
    <row r="3752" spans="2:32">
      <c r="B3752" s="29"/>
      <c r="C3752" s="29"/>
      <c r="D3752" s="29"/>
      <c r="E3752" s="29"/>
      <c r="F3752" s="29"/>
      <c r="G3752" s="29"/>
      <c r="H3752" s="29"/>
      <c r="I3752" s="29"/>
      <c r="J3752" s="29"/>
      <c r="K3752" s="29"/>
      <c r="L3752" s="29"/>
      <c r="M3752" s="29"/>
      <c r="N3752" s="29"/>
      <c r="O3752" s="29"/>
      <c r="P3752" s="29"/>
      <c r="Q3752" s="29"/>
      <c r="R3752" s="29"/>
      <c r="S3752" s="29"/>
      <c r="T3752" s="29"/>
      <c r="U3752" s="29"/>
      <c r="V3752" s="29"/>
      <c r="W3752" s="29"/>
      <c r="X3752" s="29"/>
      <c r="Y3752" s="29"/>
      <c r="Z3752" s="29"/>
      <c r="AA3752" s="29"/>
      <c r="AB3752" s="29"/>
      <c r="AC3752" s="29"/>
      <c r="AD3752" s="29"/>
      <c r="AE3752" s="29"/>
      <c r="AF3752" s="29"/>
    </row>
    <row r="3874" spans="2:32">
      <c r="B3874" s="29"/>
      <c r="C3874" s="29"/>
      <c r="D3874" s="29"/>
      <c r="E3874" s="29"/>
      <c r="F3874" s="29"/>
      <c r="G3874" s="29"/>
      <c r="H3874" s="29"/>
      <c r="I3874" s="29"/>
      <c r="J3874" s="29"/>
      <c r="K3874" s="29"/>
      <c r="L3874" s="29"/>
      <c r="M3874" s="29"/>
      <c r="N3874" s="29"/>
      <c r="O3874" s="29"/>
      <c r="P3874" s="29"/>
      <c r="Q3874" s="29"/>
      <c r="R3874" s="29"/>
      <c r="S3874" s="29"/>
      <c r="T3874" s="29"/>
      <c r="U3874" s="29"/>
      <c r="V3874" s="29"/>
      <c r="W3874" s="29"/>
      <c r="X3874" s="29"/>
      <c r="Y3874" s="29"/>
      <c r="Z3874" s="29"/>
      <c r="AA3874" s="29"/>
      <c r="AB3874" s="29"/>
      <c r="AC3874" s="29"/>
      <c r="AD3874" s="29"/>
      <c r="AE3874" s="29"/>
      <c r="AF3874" s="29"/>
    </row>
    <row r="3876" spans="2:32">
      <c r="B3876" s="29"/>
      <c r="C3876" s="29"/>
      <c r="D3876" s="29"/>
      <c r="E3876" s="29"/>
      <c r="F3876" s="29"/>
      <c r="G3876" s="29"/>
      <c r="H3876" s="29"/>
      <c r="I3876" s="29"/>
      <c r="J3876" s="29"/>
      <c r="K3876" s="29"/>
      <c r="L3876" s="29"/>
      <c r="M3876" s="29"/>
      <c r="N3876" s="29"/>
      <c r="O3876" s="29"/>
      <c r="P3876" s="29"/>
      <c r="Q3876" s="29"/>
      <c r="R3876" s="29"/>
      <c r="S3876" s="29"/>
      <c r="T3876" s="29"/>
      <c r="U3876" s="29"/>
      <c r="V3876" s="29"/>
      <c r="W3876" s="29"/>
      <c r="X3876" s="29"/>
      <c r="Y3876" s="29"/>
      <c r="Z3876" s="29"/>
      <c r="AA3876" s="29"/>
      <c r="AB3876" s="29"/>
      <c r="AC3876" s="29"/>
      <c r="AD3876" s="29"/>
      <c r="AE3876" s="29"/>
      <c r="AF3876" s="29"/>
    </row>
    <row r="3877" spans="2:32">
      <c r="B3877" s="29"/>
      <c r="C3877" s="29"/>
      <c r="D3877" s="29"/>
      <c r="E3877" s="29"/>
      <c r="F3877" s="29"/>
      <c r="G3877" s="29"/>
      <c r="H3877" s="29"/>
      <c r="I3877" s="29"/>
      <c r="J3877" s="29"/>
      <c r="K3877" s="29"/>
      <c r="L3877" s="29"/>
      <c r="M3877" s="29"/>
      <c r="N3877" s="29"/>
      <c r="O3877" s="29"/>
      <c r="P3877" s="29"/>
      <c r="Q3877" s="29"/>
      <c r="R3877" s="29"/>
      <c r="S3877" s="29"/>
      <c r="T3877" s="29"/>
      <c r="U3877" s="29"/>
      <c r="V3877" s="29"/>
      <c r="W3877" s="29"/>
      <c r="X3877" s="29"/>
      <c r="Y3877" s="29"/>
      <c r="Z3877" s="29"/>
      <c r="AA3877" s="29"/>
      <c r="AB3877" s="29"/>
      <c r="AC3877" s="29"/>
      <c r="AD3877" s="29"/>
      <c r="AE3877" s="29"/>
      <c r="AF3877" s="29"/>
    </row>
    <row r="3886" spans="2:32">
      <c r="B3886" s="29"/>
      <c r="C3886" s="29"/>
      <c r="D3886" s="29"/>
      <c r="E3886" s="29"/>
      <c r="F3886" s="29"/>
      <c r="G3886" s="29"/>
      <c r="H3886" s="29"/>
      <c r="I3886" s="29"/>
      <c r="J3886" s="29"/>
      <c r="K3886" s="29"/>
      <c r="L3886" s="29"/>
      <c r="M3886" s="29"/>
      <c r="N3886" s="29"/>
      <c r="O3886" s="29"/>
      <c r="P3886" s="29"/>
      <c r="Q3886" s="29"/>
      <c r="R3886" s="29"/>
      <c r="S3886" s="29"/>
      <c r="T3886" s="29"/>
      <c r="U3886" s="29"/>
      <c r="V3886" s="29"/>
      <c r="W3886" s="29"/>
      <c r="X3886" s="29"/>
      <c r="Y3886" s="29"/>
      <c r="Z3886" s="29"/>
      <c r="AA3886" s="29"/>
      <c r="AB3886" s="29"/>
      <c r="AC3886" s="29"/>
      <c r="AD3886" s="29"/>
      <c r="AE3886" s="29"/>
      <c r="AF3886" s="29"/>
    </row>
    <row r="3887" spans="2:32">
      <c r="B3887" s="29"/>
      <c r="C3887" s="29"/>
      <c r="D3887" s="29"/>
      <c r="E3887" s="29"/>
      <c r="F3887" s="29"/>
      <c r="G3887" s="29"/>
      <c r="H3887" s="29"/>
      <c r="I3887" s="29"/>
      <c r="J3887" s="29"/>
      <c r="K3887" s="29"/>
      <c r="L3887" s="29"/>
      <c r="M3887" s="29"/>
      <c r="N3887" s="29"/>
      <c r="O3887" s="29"/>
      <c r="P3887" s="29"/>
      <c r="Q3887" s="29"/>
      <c r="R3887" s="29"/>
      <c r="S3887" s="29"/>
      <c r="T3887" s="29"/>
      <c r="U3887" s="29"/>
      <c r="V3887" s="29"/>
      <c r="W3887" s="29"/>
      <c r="X3887" s="29"/>
      <c r="Y3887" s="29"/>
      <c r="Z3887" s="29"/>
      <c r="AA3887" s="29"/>
      <c r="AB3887" s="29"/>
      <c r="AC3887" s="29"/>
      <c r="AD3887" s="29"/>
      <c r="AE3887" s="29"/>
      <c r="AF3887" s="29"/>
    </row>
    <row r="3888" spans="2:32">
      <c r="B3888" s="29"/>
      <c r="C3888" s="29"/>
      <c r="D3888" s="29"/>
      <c r="E3888" s="29"/>
      <c r="F3888" s="29"/>
      <c r="G3888" s="29"/>
      <c r="H3888" s="29"/>
      <c r="I3888" s="29"/>
      <c r="J3888" s="29"/>
      <c r="K3888" s="29"/>
      <c r="L3888" s="29"/>
      <c r="M3888" s="29"/>
      <c r="N3888" s="29"/>
      <c r="O3888" s="29"/>
      <c r="P3888" s="29"/>
      <c r="Q3888" s="29"/>
      <c r="R3888" s="29"/>
      <c r="S3888" s="29"/>
      <c r="T3888" s="29"/>
      <c r="U3888" s="29"/>
      <c r="V3888" s="29"/>
      <c r="W3888" s="29"/>
      <c r="X3888" s="29"/>
      <c r="Y3888" s="29"/>
      <c r="Z3888" s="29"/>
      <c r="AA3888" s="29"/>
      <c r="AB3888" s="29"/>
      <c r="AC3888" s="29"/>
      <c r="AD3888" s="29"/>
      <c r="AE3888" s="29"/>
      <c r="AF3888" s="29"/>
    </row>
    <row r="4001" spans="2:32">
      <c r="B4001" s="29"/>
      <c r="C4001" s="29"/>
      <c r="D4001" s="29"/>
      <c r="E4001" s="29"/>
      <c r="F4001" s="29"/>
      <c r="G4001" s="29"/>
      <c r="H4001" s="29"/>
      <c r="I4001" s="29"/>
      <c r="J4001" s="29"/>
      <c r="K4001" s="29"/>
      <c r="L4001" s="29"/>
      <c r="M4001" s="29"/>
      <c r="N4001" s="29"/>
      <c r="O4001" s="29"/>
      <c r="P4001" s="29"/>
      <c r="Q4001" s="29"/>
      <c r="R4001" s="29"/>
      <c r="S4001" s="29"/>
      <c r="T4001" s="29"/>
      <c r="U4001" s="29"/>
      <c r="V4001" s="29"/>
      <c r="W4001" s="29"/>
      <c r="X4001" s="29"/>
      <c r="Y4001" s="29"/>
      <c r="Z4001" s="29"/>
      <c r="AA4001" s="29"/>
      <c r="AB4001" s="29"/>
      <c r="AC4001" s="29"/>
      <c r="AD4001" s="29"/>
      <c r="AE4001" s="29"/>
      <c r="AF4001" s="29"/>
    </row>
    <row r="4002" spans="2:32">
      <c r="B4002" s="29"/>
      <c r="C4002" s="29"/>
      <c r="D4002" s="29"/>
      <c r="E4002" s="29"/>
      <c r="F4002" s="29"/>
      <c r="G4002" s="29"/>
      <c r="H4002" s="29"/>
      <c r="I4002" s="29"/>
      <c r="J4002" s="29"/>
      <c r="K4002" s="29"/>
      <c r="L4002" s="29"/>
      <c r="M4002" s="29"/>
      <c r="N4002" s="29"/>
      <c r="O4002" s="29"/>
      <c r="P4002" s="29"/>
      <c r="Q4002" s="29"/>
      <c r="R4002" s="29"/>
      <c r="S4002" s="29"/>
      <c r="T4002" s="29"/>
      <c r="U4002" s="29"/>
      <c r="V4002" s="29"/>
      <c r="W4002" s="29"/>
      <c r="X4002" s="29"/>
      <c r="Y4002" s="29"/>
      <c r="Z4002" s="29"/>
      <c r="AA4002" s="29"/>
      <c r="AB4002" s="29"/>
      <c r="AC4002" s="29"/>
      <c r="AD4002" s="29"/>
      <c r="AE4002" s="29"/>
      <c r="AF4002" s="29"/>
    </row>
    <row r="4011" spans="2:32">
      <c r="B4011" s="29"/>
      <c r="C4011" s="29"/>
      <c r="D4011" s="29"/>
      <c r="E4011" s="29"/>
      <c r="F4011" s="29"/>
      <c r="G4011" s="29"/>
      <c r="H4011" s="29"/>
      <c r="I4011" s="29"/>
      <c r="J4011" s="29"/>
      <c r="K4011" s="29"/>
      <c r="L4011" s="29"/>
      <c r="M4011" s="29"/>
      <c r="N4011" s="29"/>
      <c r="O4011" s="29"/>
      <c r="P4011" s="29"/>
      <c r="Q4011" s="29"/>
      <c r="R4011" s="29"/>
      <c r="S4011" s="29"/>
      <c r="T4011" s="29"/>
      <c r="U4011" s="29"/>
      <c r="V4011" s="29"/>
      <c r="W4011" s="29"/>
      <c r="X4011" s="29"/>
      <c r="Y4011" s="29"/>
      <c r="Z4011" s="29"/>
      <c r="AA4011" s="29"/>
      <c r="AB4011" s="29"/>
      <c r="AC4011" s="29"/>
      <c r="AD4011" s="29"/>
      <c r="AE4011" s="29"/>
      <c r="AF4011" s="29"/>
    </row>
    <row r="4012" spans="2:32">
      <c r="B4012" s="29"/>
      <c r="C4012" s="29"/>
      <c r="D4012" s="29"/>
      <c r="E4012" s="29"/>
      <c r="F4012" s="29"/>
      <c r="G4012" s="29"/>
      <c r="H4012" s="29"/>
      <c r="I4012" s="29"/>
      <c r="J4012" s="29"/>
      <c r="K4012" s="29"/>
      <c r="L4012" s="29"/>
      <c r="M4012" s="29"/>
      <c r="N4012" s="29"/>
      <c r="O4012" s="29"/>
      <c r="P4012" s="29"/>
      <c r="Q4012" s="29"/>
      <c r="R4012" s="29"/>
      <c r="S4012" s="29"/>
      <c r="T4012" s="29"/>
      <c r="U4012" s="29"/>
      <c r="V4012" s="29"/>
      <c r="W4012" s="29"/>
      <c r="X4012" s="29"/>
      <c r="Y4012" s="29"/>
      <c r="Z4012" s="29"/>
      <c r="AA4012" s="29"/>
      <c r="AB4012" s="29"/>
      <c r="AC4012" s="29"/>
      <c r="AD4012" s="29"/>
      <c r="AE4012" s="29"/>
      <c r="AF4012" s="29"/>
    </row>
    <row r="4013" spans="2:32">
      <c r="B4013" s="29"/>
      <c r="C4013" s="29"/>
      <c r="D4013" s="29"/>
      <c r="E4013" s="29"/>
      <c r="F4013" s="29"/>
      <c r="G4013" s="29"/>
      <c r="H4013" s="29"/>
      <c r="I4013" s="29"/>
      <c r="J4013" s="29"/>
      <c r="K4013" s="29"/>
      <c r="L4013" s="29"/>
      <c r="M4013" s="29"/>
      <c r="N4013" s="29"/>
      <c r="O4013" s="29"/>
      <c r="P4013" s="29"/>
      <c r="Q4013" s="29"/>
      <c r="R4013" s="29"/>
      <c r="S4013" s="29"/>
      <c r="T4013" s="29"/>
      <c r="U4013" s="29"/>
      <c r="V4013" s="29"/>
      <c r="W4013" s="29"/>
      <c r="X4013" s="29"/>
      <c r="Y4013" s="29"/>
      <c r="Z4013" s="29"/>
      <c r="AA4013" s="29"/>
      <c r="AB4013" s="29"/>
      <c r="AC4013" s="29"/>
      <c r="AD4013" s="29"/>
      <c r="AE4013" s="29"/>
      <c r="AF4013" s="29"/>
    </row>
    <row r="4014" spans="2:32">
      <c r="B4014" s="29"/>
      <c r="C4014" s="29"/>
      <c r="D4014" s="29"/>
      <c r="E4014" s="29"/>
      <c r="F4014" s="29"/>
      <c r="G4014" s="29"/>
      <c r="H4014" s="29"/>
      <c r="I4014" s="29"/>
      <c r="J4014" s="29"/>
      <c r="K4014" s="29"/>
      <c r="L4014" s="29"/>
      <c r="M4014" s="29"/>
      <c r="N4014" s="29"/>
      <c r="O4014" s="29"/>
      <c r="P4014" s="29"/>
      <c r="Q4014" s="29"/>
      <c r="R4014" s="29"/>
      <c r="S4014" s="29"/>
      <c r="T4014" s="29"/>
      <c r="U4014" s="29"/>
      <c r="V4014" s="29"/>
      <c r="W4014" s="29"/>
      <c r="X4014" s="29"/>
      <c r="Y4014" s="29"/>
      <c r="Z4014" s="29"/>
      <c r="AA4014" s="29"/>
      <c r="AB4014" s="29"/>
      <c r="AC4014" s="29"/>
      <c r="AD4014" s="29"/>
      <c r="AE4014" s="29"/>
      <c r="AF4014" s="29"/>
    </row>
    <row r="4015" spans="2:32">
      <c r="B4015" s="29"/>
      <c r="C4015" s="29"/>
      <c r="D4015" s="29"/>
      <c r="E4015" s="29"/>
      <c r="F4015" s="29"/>
      <c r="G4015" s="29"/>
      <c r="H4015" s="29"/>
      <c r="I4015" s="29"/>
      <c r="J4015" s="29"/>
      <c r="K4015" s="29"/>
      <c r="L4015" s="29"/>
      <c r="M4015" s="29"/>
      <c r="N4015" s="29"/>
      <c r="O4015" s="29"/>
      <c r="P4015" s="29"/>
      <c r="Q4015" s="29"/>
      <c r="R4015" s="29"/>
      <c r="S4015" s="29"/>
      <c r="T4015" s="29"/>
      <c r="U4015" s="29"/>
      <c r="V4015" s="29"/>
      <c r="W4015" s="29"/>
      <c r="X4015" s="29"/>
      <c r="Y4015" s="29"/>
      <c r="Z4015" s="29"/>
      <c r="AA4015" s="29"/>
      <c r="AB4015" s="29"/>
      <c r="AC4015" s="29"/>
      <c r="AD4015" s="29"/>
      <c r="AE4015" s="29"/>
      <c r="AF4015" s="29"/>
    </row>
    <row r="4016" spans="2:32">
      <c r="B4016" s="29"/>
      <c r="C4016" s="29"/>
      <c r="D4016" s="29"/>
      <c r="E4016" s="29"/>
      <c r="F4016" s="29"/>
      <c r="G4016" s="29"/>
      <c r="H4016" s="29"/>
      <c r="I4016" s="29"/>
      <c r="J4016" s="29"/>
      <c r="K4016" s="29"/>
      <c r="L4016" s="29"/>
      <c r="M4016" s="29"/>
      <c r="N4016" s="29"/>
      <c r="O4016" s="29"/>
      <c r="P4016" s="29"/>
      <c r="Q4016" s="29"/>
      <c r="R4016" s="29"/>
      <c r="S4016" s="29"/>
      <c r="T4016" s="29"/>
      <c r="U4016" s="29"/>
      <c r="V4016" s="29"/>
      <c r="W4016" s="29"/>
      <c r="X4016" s="29"/>
      <c r="Y4016" s="29"/>
      <c r="Z4016" s="29"/>
      <c r="AA4016" s="29"/>
      <c r="AB4016" s="29"/>
      <c r="AC4016" s="29"/>
      <c r="AD4016" s="29"/>
      <c r="AE4016" s="29"/>
      <c r="AF4016" s="29"/>
    </row>
    <row r="4121" spans="2:32">
      <c r="B4121" s="29"/>
      <c r="C4121" s="29"/>
      <c r="D4121" s="29"/>
      <c r="E4121" s="29"/>
      <c r="F4121" s="29"/>
      <c r="G4121" s="29"/>
      <c r="H4121" s="29"/>
      <c r="I4121" s="29"/>
      <c r="J4121" s="29"/>
      <c r="K4121" s="29"/>
      <c r="L4121" s="29"/>
      <c r="M4121" s="29"/>
      <c r="N4121" s="29"/>
      <c r="O4121" s="29"/>
      <c r="P4121" s="29"/>
      <c r="Q4121" s="29"/>
      <c r="R4121" s="29"/>
      <c r="S4121" s="29"/>
      <c r="T4121" s="29"/>
      <c r="U4121" s="29"/>
      <c r="V4121" s="29"/>
      <c r="W4121" s="29"/>
      <c r="X4121" s="29"/>
      <c r="Y4121" s="29"/>
      <c r="Z4121" s="29"/>
      <c r="AA4121" s="29"/>
      <c r="AB4121" s="29"/>
      <c r="AC4121" s="29"/>
      <c r="AD4121" s="29"/>
      <c r="AE4121" s="29"/>
      <c r="AF4121" s="29"/>
    </row>
    <row r="4124" spans="2:32">
      <c r="B4124" s="29"/>
      <c r="C4124" s="29"/>
      <c r="D4124" s="29"/>
      <c r="E4124" s="29"/>
      <c r="F4124" s="29"/>
      <c r="G4124" s="29"/>
      <c r="H4124" s="29"/>
      <c r="I4124" s="29"/>
      <c r="J4124" s="29"/>
      <c r="K4124" s="29"/>
      <c r="L4124" s="29"/>
      <c r="M4124" s="29"/>
      <c r="N4124" s="29"/>
      <c r="O4124" s="29"/>
      <c r="P4124" s="29"/>
      <c r="Q4124" s="29"/>
      <c r="R4124" s="29"/>
      <c r="S4124" s="29"/>
      <c r="T4124" s="29"/>
      <c r="U4124" s="29"/>
      <c r="V4124" s="29"/>
      <c r="W4124" s="29"/>
      <c r="X4124" s="29"/>
      <c r="Y4124" s="29"/>
      <c r="Z4124" s="29"/>
      <c r="AA4124" s="29"/>
      <c r="AB4124" s="29"/>
      <c r="AC4124" s="29"/>
      <c r="AD4124" s="29"/>
      <c r="AE4124" s="29"/>
      <c r="AF4124" s="29"/>
    </row>
    <row r="4126" spans="2:32">
      <c r="B4126" s="29"/>
      <c r="C4126" s="29"/>
      <c r="D4126" s="29"/>
      <c r="E4126" s="29"/>
      <c r="F4126" s="29"/>
      <c r="G4126" s="29"/>
      <c r="H4126" s="29"/>
      <c r="I4126" s="29"/>
      <c r="J4126" s="29"/>
      <c r="K4126" s="29"/>
      <c r="L4126" s="29"/>
      <c r="M4126" s="29"/>
      <c r="N4126" s="29"/>
      <c r="O4126" s="29"/>
      <c r="P4126" s="29"/>
      <c r="Q4126" s="29"/>
      <c r="R4126" s="29"/>
      <c r="S4126" s="29"/>
      <c r="T4126" s="29"/>
      <c r="U4126" s="29"/>
      <c r="V4126" s="29"/>
      <c r="W4126" s="29"/>
      <c r="X4126" s="29"/>
      <c r="Y4126" s="29"/>
      <c r="Z4126" s="29"/>
      <c r="AA4126" s="29"/>
      <c r="AB4126" s="29"/>
      <c r="AC4126" s="29"/>
      <c r="AD4126" s="29"/>
      <c r="AE4126" s="29"/>
      <c r="AF4126" s="29"/>
    </row>
    <row r="4127" spans="2:32">
      <c r="B4127" s="29"/>
      <c r="C4127" s="29"/>
      <c r="D4127" s="29"/>
      <c r="E4127" s="29"/>
      <c r="F4127" s="29"/>
      <c r="G4127" s="29"/>
      <c r="H4127" s="29"/>
      <c r="I4127" s="29"/>
      <c r="J4127" s="29"/>
      <c r="K4127" s="29"/>
      <c r="L4127" s="29"/>
      <c r="M4127" s="29"/>
      <c r="N4127" s="29"/>
      <c r="O4127" s="29"/>
      <c r="P4127" s="29"/>
      <c r="Q4127" s="29"/>
      <c r="R4127" s="29"/>
      <c r="S4127" s="29"/>
      <c r="T4127" s="29"/>
      <c r="U4127" s="29"/>
      <c r="V4127" s="29"/>
      <c r="W4127" s="29"/>
      <c r="X4127" s="29"/>
      <c r="Y4127" s="29"/>
      <c r="Z4127" s="29"/>
      <c r="AA4127" s="29"/>
      <c r="AB4127" s="29"/>
      <c r="AC4127" s="29"/>
      <c r="AD4127" s="29"/>
      <c r="AE4127" s="29"/>
      <c r="AF4127" s="29"/>
    </row>
    <row r="4246" spans="2:32">
      <c r="B4246" s="29"/>
      <c r="C4246" s="29"/>
      <c r="D4246" s="29"/>
      <c r="E4246" s="29"/>
      <c r="F4246" s="29"/>
      <c r="G4246" s="29"/>
      <c r="H4246" s="29"/>
      <c r="I4246" s="29"/>
      <c r="J4246" s="29"/>
      <c r="K4246" s="29"/>
      <c r="L4246" s="29"/>
      <c r="M4246" s="29"/>
      <c r="N4246" s="29"/>
      <c r="O4246" s="29"/>
      <c r="P4246" s="29"/>
      <c r="Q4246" s="29"/>
      <c r="R4246" s="29"/>
      <c r="S4246" s="29"/>
      <c r="T4246" s="29"/>
      <c r="U4246" s="29"/>
      <c r="V4246" s="29"/>
      <c r="W4246" s="29"/>
      <c r="X4246" s="29"/>
      <c r="Y4246" s="29"/>
      <c r="Z4246" s="29"/>
      <c r="AA4246" s="29"/>
      <c r="AB4246" s="29"/>
      <c r="AC4246" s="29"/>
      <c r="AD4246" s="29"/>
      <c r="AE4246" s="29"/>
      <c r="AF4246" s="29"/>
    </row>
    <row r="4249" spans="2:32">
      <c r="B4249" s="29"/>
      <c r="C4249" s="29"/>
      <c r="D4249" s="29"/>
      <c r="E4249" s="29"/>
      <c r="F4249" s="29"/>
      <c r="G4249" s="29"/>
      <c r="H4249" s="29"/>
      <c r="I4249" s="29"/>
      <c r="J4249" s="29"/>
      <c r="K4249" s="29"/>
      <c r="L4249" s="29"/>
      <c r="M4249" s="29"/>
      <c r="N4249" s="29"/>
      <c r="O4249" s="29"/>
      <c r="P4249" s="29"/>
      <c r="Q4249" s="29"/>
      <c r="R4249" s="29"/>
      <c r="S4249" s="29"/>
      <c r="T4249" s="29"/>
      <c r="U4249" s="29"/>
      <c r="V4249" s="29"/>
      <c r="W4249" s="29"/>
      <c r="X4249" s="29"/>
      <c r="Y4249" s="29"/>
      <c r="Z4249" s="29"/>
      <c r="AA4249" s="29"/>
      <c r="AB4249" s="29"/>
      <c r="AC4249" s="29"/>
      <c r="AD4249" s="29"/>
      <c r="AE4249" s="29"/>
      <c r="AF4249" s="29"/>
    </row>
    <row r="4251" spans="2:32">
      <c r="B4251" s="29"/>
      <c r="C4251" s="29"/>
      <c r="D4251" s="29"/>
      <c r="E4251" s="29"/>
      <c r="F4251" s="29"/>
      <c r="G4251" s="29"/>
      <c r="H4251" s="29"/>
      <c r="I4251" s="29"/>
      <c r="J4251" s="29"/>
      <c r="K4251" s="29"/>
      <c r="L4251" s="29"/>
      <c r="M4251" s="29"/>
      <c r="N4251" s="29"/>
      <c r="O4251" s="29"/>
      <c r="P4251" s="29"/>
      <c r="Q4251" s="29"/>
      <c r="R4251" s="29"/>
      <c r="S4251" s="29"/>
      <c r="T4251" s="29"/>
      <c r="U4251" s="29"/>
      <c r="V4251" s="29"/>
      <c r="W4251" s="29"/>
      <c r="X4251" s="29"/>
      <c r="Y4251" s="29"/>
      <c r="Z4251" s="29"/>
      <c r="AA4251" s="29"/>
      <c r="AB4251" s="29"/>
      <c r="AC4251" s="29"/>
      <c r="AD4251" s="29"/>
      <c r="AE4251" s="29"/>
      <c r="AF4251" s="29"/>
    </row>
    <row r="4252" spans="2:32">
      <c r="B4252" s="29"/>
      <c r="C4252" s="29"/>
      <c r="D4252" s="29"/>
      <c r="E4252" s="29"/>
      <c r="F4252" s="29"/>
      <c r="G4252" s="29"/>
      <c r="H4252" s="29"/>
      <c r="I4252" s="29"/>
      <c r="J4252" s="29"/>
      <c r="K4252" s="29"/>
      <c r="L4252" s="29"/>
      <c r="M4252" s="29"/>
      <c r="N4252" s="29"/>
      <c r="O4252" s="29"/>
      <c r="P4252" s="29"/>
      <c r="Q4252" s="29"/>
      <c r="R4252" s="29"/>
      <c r="S4252" s="29"/>
      <c r="T4252" s="29"/>
      <c r="U4252" s="29"/>
      <c r="V4252" s="29"/>
      <c r="W4252" s="29"/>
      <c r="X4252" s="29"/>
      <c r="Y4252" s="29"/>
      <c r="Z4252" s="29"/>
      <c r="AA4252" s="29"/>
      <c r="AB4252" s="29"/>
      <c r="AC4252" s="29"/>
      <c r="AD4252" s="29"/>
      <c r="AE4252" s="29"/>
      <c r="AF4252" s="29"/>
    </row>
    <row r="4371" spans="2:32">
      <c r="B4371" s="29"/>
      <c r="C4371" s="29"/>
      <c r="D4371" s="29"/>
      <c r="E4371" s="29"/>
      <c r="F4371" s="29"/>
      <c r="G4371" s="29"/>
      <c r="H4371" s="29"/>
      <c r="I4371" s="29"/>
      <c r="J4371" s="29"/>
      <c r="K4371" s="29"/>
      <c r="L4371" s="29"/>
      <c r="M4371" s="29"/>
      <c r="N4371" s="29"/>
      <c r="O4371" s="29"/>
      <c r="P4371" s="29"/>
      <c r="Q4371" s="29"/>
      <c r="R4371" s="29"/>
      <c r="S4371" s="29"/>
      <c r="T4371" s="29"/>
      <c r="U4371" s="29"/>
      <c r="V4371" s="29"/>
      <c r="W4371" s="29"/>
      <c r="X4371" s="29"/>
      <c r="Y4371" s="29"/>
      <c r="Z4371" s="29"/>
      <c r="AA4371" s="29"/>
      <c r="AB4371" s="29"/>
      <c r="AC4371" s="29"/>
      <c r="AD4371" s="29"/>
      <c r="AE4371" s="29"/>
      <c r="AF4371" s="29"/>
    </row>
    <row r="4374" spans="2:32">
      <c r="B4374" s="29"/>
      <c r="C4374" s="29"/>
      <c r="D4374" s="29"/>
      <c r="E4374" s="29"/>
      <c r="F4374" s="29"/>
      <c r="G4374" s="29"/>
      <c r="H4374" s="29"/>
      <c r="I4374" s="29"/>
      <c r="J4374" s="29"/>
      <c r="K4374" s="29"/>
      <c r="L4374" s="29"/>
      <c r="M4374" s="29"/>
      <c r="N4374" s="29"/>
      <c r="O4374" s="29"/>
      <c r="P4374" s="29"/>
      <c r="Q4374" s="29"/>
      <c r="R4374" s="29"/>
      <c r="S4374" s="29"/>
      <c r="T4374" s="29"/>
      <c r="U4374" s="29"/>
      <c r="V4374" s="29"/>
      <c r="W4374" s="29"/>
      <c r="X4374" s="29"/>
      <c r="Y4374" s="29"/>
      <c r="Z4374" s="29"/>
      <c r="AA4374" s="29"/>
      <c r="AB4374" s="29"/>
      <c r="AC4374" s="29"/>
      <c r="AD4374" s="29"/>
      <c r="AE4374" s="29"/>
      <c r="AF4374" s="29"/>
    </row>
    <row r="4376" spans="2:32">
      <c r="B4376" s="29"/>
      <c r="C4376" s="29"/>
      <c r="D4376" s="29"/>
      <c r="E4376" s="29"/>
      <c r="F4376" s="29"/>
      <c r="G4376" s="29"/>
      <c r="H4376" s="29"/>
      <c r="I4376" s="29"/>
      <c r="J4376" s="29"/>
      <c r="K4376" s="29"/>
      <c r="L4376" s="29"/>
      <c r="M4376" s="29"/>
      <c r="N4376" s="29"/>
      <c r="O4376" s="29"/>
      <c r="P4376" s="29"/>
      <c r="Q4376" s="29"/>
      <c r="R4376" s="29"/>
      <c r="S4376" s="29"/>
      <c r="T4376" s="29"/>
      <c r="U4376" s="29"/>
      <c r="V4376" s="29"/>
      <c r="W4376" s="29"/>
      <c r="X4376" s="29"/>
      <c r="Y4376" s="29"/>
      <c r="Z4376" s="29"/>
      <c r="AA4376" s="29"/>
      <c r="AB4376" s="29"/>
      <c r="AC4376" s="29"/>
      <c r="AD4376" s="29"/>
      <c r="AE4376" s="29"/>
      <c r="AF4376" s="29"/>
    </row>
    <row r="4377" spans="2:32">
      <c r="B4377" s="29"/>
      <c r="C4377" s="29"/>
      <c r="D4377" s="29"/>
      <c r="E4377" s="29"/>
      <c r="F4377" s="29"/>
      <c r="G4377" s="29"/>
      <c r="H4377" s="29"/>
      <c r="I4377" s="29"/>
      <c r="J4377" s="29"/>
      <c r="K4377" s="29"/>
      <c r="L4377" s="29"/>
      <c r="M4377" s="29"/>
      <c r="N4377" s="29"/>
      <c r="O4377" s="29"/>
      <c r="P4377" s="29"/>
      <c r="Q4377" s="29"/>
      <c r="R4377" s="29"/>
      <c r="S4377" s="29"/>
      <c r="T4377" s="29"/>
      <c r="U4377" s="29"/>
      <c r="V4377" s="29"/>
      <c r="W4377" s="29"/>
      <c r="X4377" s="29"/>
      <c r="Y4377" s="29"/>
      <c r="Z4377" s="29"/>
      <c r="AA4377" s="29"/>
      <c r="AB4377" s="29"/>
      <c r="AC4377" s="29"/>
      <c r="AD4377" s="29"/>
      <c r="AE4377" s="29"/>
      <c r="AF4377" s="29"/>
    </row>
    <row r="4499" spans="2:32">
      <c r="B4499" s="29"/>
      <c r="C4499" s="29"/>
      <c r="D4499" s="29"/>
      <c r="E4499" s="29"/>
      <c r="F4499" s="29"/>
      <c r="G4499" s="29"/>
      <c r="H4499" s="29"/>
      <c r="I4499" s="29"/>
      <c r="J4499" s="29"/>
      <c r="K4499" s="29"/>
      <c r="L4499" s="29"/>
      <c r="M4499" s="29"/>
      <c r="N4499" s="29"/>
      <c r="O4499" s="29"/>
      <c r="P4499" s="29"/>
      <c r="Q4499" s="29"/>
      <c r="R4499" s="29"/>
      <c r="S4499" s="29"/>
      <c r="T4499" s="29"/>
      <c r="U4499" s="29"/>
      <c r="V4499" s="29"/>
      <c r="W4499" s="29"/>
      <c r="X4499" s="29"/>
      <c r="Y4499" s="29"/>
      <c r="Z4499" s="29"/>
      <c r="AA4499" s="29"/>
      <c r="AB4499" s="29"/>
      <c r="AC4499" s="29"/>
      <c r="AD4499" s="29"/>
      <c r="AE4499" s="29"/>
      <c r="AF4499" s="29"/>
    </row>
    <row r="4501" spans="2:32">
      <c r="B4501" s="29"/>
      <c r="C4501" s="29"/>
      <c r="D4501" s="29"/>
      <c r="E4501" s="29"/>
      <c r="F4501" s="29"/>
      <c r="G4501" s="29"/>
      <c r="H4501" s="29"/>
      <c r="I4501" s="29"/>
      <c r="J4501" s="29"/>
      <c r="K4501" s="29"/>
      <c r="L4501" s="29"/>
      <c r="M4501" s="29"/>
      <c r="N4501" s="29"/>
      <c r="O4501" s="29"/>
      <c r="P4501" s="29"/>
      <c r="Q4501" s="29"/>
      <c r="R4501" s="29"/>
      <c r="S4501" s="29"/>
      <c r="T4501" s="29"/>
      <c r="U4501" s="29"/>
      <c r="V4501" s="29"/>
      <c r="W4501" s="29"/>
      <c r="X4501" s="29"/>
      <c r="Y4501" s="29"/>
      <c r="Z4501" s="29"/>
      <c r="AA4501" s="29"/>
      <c r="AB4501" s="29"/>
      <c r="AC4501" s="29"/>
      <c r="AD4501" s="29"/>
      <c r="AE4501" s="29"/>
      <c r="AF4501" s="29"/>
    </row>
    <row r="4502" spans="2:32">
      <c r="B4502" s="29"/>
      <c r="C4502" s="29"/>
      <c r="D4502" s="29"/>
      <c r="E4502" s="29"/>
      <c r="F4502" s="29"/>
      <c r="G4502" s="29"/>
      <c r="H4502" s="29"/>
      <c r="I4502" s="29"/>
      <c r="J4502" s="29"/>
      <c r="K4502" s="29"/>
      <c r="L4502" s="29"/>
      <c r="M4502" s="29"/>
      <c r="N4502" s="29"/>
      <c r="O4502" s="29"/>
      <c r="P4502" s="29"/>
      <c r="Q4502" s="29"/>
      <c r="R4502" s="29"/>
      <c r="S4502" s="29"/>
      <c r="T4502" s="29"/>
      <c r="U4502" s="29"/>
      <c r="V4502" s="29"/>
      <c r="W4502" s="29"/>
      <c r="X4502" s="29"/>
      <c r="Y4502" s="29"/>
      <c r="Z4502" s="29"/>
      <c r="AA4502" s="29"/>
      <c r="AB4502" s="29"/>
      <c r="AC4502" s="29"/>
      <c r="AD4502" s="29"/>
      <c r="AE4502" s="29"/>
      <c r="AF4502" s="29"/>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3"/>
  <sheetViews>
    <sheetView workbookViewId="0"/>
    <sheetView workbookViewId="1"/>
  </sheetViews>
  <sheetFormatPr defaultRowHeight="14.75"/>
  <cols>
    <col min="1" max="1" width="33.86328125" customWidth="1"/>
  </cols>
  <sheetData>
    <row r="1" spans="1:3">
      <c r="A1" s="1" t="s">
        <v>3</v>
      </c>
      <c r="B1" s="1">
        <v>2012</v>
      </c>
      <c r="C1" s="1">
        <v>2013</v>
      </c>
    </row>
    <row r="2" spans="1:3">
      <c r="A2" s="1" t="s">
        <v>11</v>
      </c>
      <c r="B2">
        <v>21385</v>
      </c>
      <c r="C2">
        <v>20366</v>
      </c>
    </row>
    <row r="3" spans="1:3">
      <c r="A3" s="1" t="s">
        <v>2</v>
      </c>
      <c r="B3">
        <v>8454939</v>
      </c>
      <c r="C3">
        <v>8404687</v>
      </c>
    </row>
  </sheetData>
  <pageMargins left="0.7" right="0.7" top="0.75" bottom="0.75" header="0.3" footer="0.3"/>
  <pageSetup orientation="portrait" horizontalDpi="1200" verticalDpi="12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AP79"/>
  <sheetViews>
    <sheetView workbookViewId="0"/>
    <sheetView workbookViewId="1"/>
  </sheetViews>
  <sheetFormatPr defaultColWidth="8.86328125" defaultRowHeight="13"/>
  <cols>
    <col min="1" max="1" width="41.7265625" style="15" customWidth="1"/>
    <col min="2" max="40" width="8.7265625" style="15" customWidth="1"/>
    <col min="41" max="41" width="8.86328125" style="15"/>
    <col min="42" max="42" width="8.7265625" style="15" customWidth="1"/>
    <col min="43" max="16384" width="8.86328125" style="15"/>
  </cols>
  <sheetData>
    <row r="1" spans="1:42" ht="16.5" customHeight="1" thickBot="1">
      <c r="A1" s="170" t="s">
        <v>3891</v>
      </c>
      <c r="B1" s="170"/>
      <c r="C1" s="170"/>
      <c r="D1" s="170"/>
      <c r="E1" s="170"/>
      <c r="F1" s="170"/>
      <c r="G1" s="170"/>
      <c r="H1" s="170"/>
      <c r="I1" s="170"/>
      <c r="J1" s="170"/>
      <c r="K1" s="170"/>
      <c r="L1" s="170"/>
      <c r="M1" s="170"/>
      <c r="N1" s="170"/>
      <c r="O1" s="170"/>
      <c r="P1" s="170"/>
      <c r="Q1" s="170"/>
      <c r="R1" s="170"/>
      <c r="S1" s="170"/>
      <c r="T1" s="170"/>
      <c r="U1" s="170"/>
      <c r="V1" s="170"/>
      <c r="W1" s="170"/>
      <c r="X1" s="170"/>
      <c r="Y1" s="170"/>
      <c r="Z1" s="170"/>
      <c r="AA1" s="170"/>
      <c r="AB1" s="170"/>
      <c r="AC1" s="170"/>
      <c r="AD1" s="170"/>
      <c r="AE1" s="170"/>
      <c r="AF1" s="170"/>
      <c r="AG1" s="170"/>
      <c r="AH1" s="170"/>
      <c r="AI1" s="170"/>
      <c r="AJ1" s="170"/>
      <c r="AK1" s="170"/>
      <c r="AL1" s="170"/>
      <c r="AM1" s="170"/>
      <c r="AN1" s="170"/>
      <c r="AO1" s="170"/>
      <c r="AP1" s="170"/>
    </row>
    <row r="2" spans="1:42" ht="16.5" customHeight="1">
      <c r="A2" s="16"/>
      <c r="B2" s="17">
        <v>1960</v>
      </c>
      <c r="C2" s="17">
        <v>1965</v>
      </c>
      <c r="D2" s="17">
        <v>1970</v>
      </c>
      <c r="E2" s="17">
        <v>1975</v>
      </c>
      <c r="F2" s="17">
        <v>1980</v>
      </c>
      <c r="G2" s="17">
        <v>1985</v>
      </c>
      <c r="H2" s="17">
        <v>1990</v>
      </c>
      <c r="I2" s="17">
        <v>1991</v>
      </c>
      <c r="J2" s="17">
        <v>1992</v>
      </c>
      <c r="K2" s="17">
        <v>1993</v>
      </c>
      <c r="L2" s="17">
        <v>1994</v>
      </c>
      <c r="M2" s="17">
        <v>1995</v>
      </c>
      <c r="N2" s="17">
        <v>1996</v>
      </c>
      <c r="O2" s="17">
        <v>1997</v>
      </c>
      <c r="P2" s="17">
        <v>1998</v>
      </c>
      <c r="Q2" s="17">
        <v>1999</v>
      </c>
      <c r="R2" s="17">
        <v>2000</v>
      </c>
      <c r="S2" s="17">
        <v>2001</v>
      </c>
      <c r="T2" s="16">
        <v>2002</v>
      </c>
      <c r="U2" s="16">
        <v>2003</v>
      </c>
      <c r="V2" s="18">
        <v>2004</v>
      </c>
      <c r="W2" s="16">
        <v>2005</v>
      </c>
      <c r="X2" s="16">
        <v>2006</v>
      </c>
      <c r="Y2" s="16">
        <v>2007</v>
      </c>
      <c r="Z2" s="16">
        <v>2008</v>
      </c>
      <c r="AA2" s="16">
        <v>2009</v>
      </c>
      <c r="AB2" s="16">
        <v>2010</v>
      </c>
      <c r="AC2" s="17">
        <v>2011</v>
      </c>
      <c r="AD2" s="17">
        <v>2012</v>
      </c>
      <c r="AE2" s="16">
        <v>2013</v>
      </c>
      <c r="AF2" s="17">
        <v>2014</v>
      </c>
      <c r="AG2" s="17">
        <v>2015</v>
      </c>
      <c r="AH2" s="17">
        <v>2016</v>
      </c>
      <c r="AI2" s="17">
        <v>2017</v>
      </c>
      <c r="AJ2" s="17">
        <v>2018</v>
      </c>
      <c r="AK2" s="17">
        <v>2019</v>
      </c>
      <c r="AL2" s="17">
        <v>2020</v>
      </c>
      <c r="AM2" s="17">
        <v>2021</v>
      </c>
      <c r="AN2" s="17">
        <v>2022</v>
      </c>
      <c r="AO2" s="177">
        <v>2023</v>
      </c>
      <c r="AP2" s="17">
        <v>2024</v>
      </c>
    </row>
    <row r="3" spans="1:42" ht="16.5" customHeight="1">
      <c r="A3" s="19" t="s">
        <v>161</v>
      </c>
      <c r="B3" s="20"/>
      <c r="C3" s="20"/>
      <c r="D3" s="20"/>
      <c r="E3" s="21"/>
      <c r="F3" s="21"/>
      <c r="G3" s="22"/>
      <c r="H3" s="22"/>
      <c r="I3" s="22"/>
      <c r="J3" s="22"/>
      <c r="K3" s="22"/>
      <c r="L3" s="22"/>
      <c r="M3" s="22"/>
      <c r="N3" s="22"/>
      <c r="O3" s="22"/>
      <c r="P3" s="22"/>
      <c r="Q3" s="22"/>
      <c r="R3" s="22"/>
      <c r="S3" s="20"/>
      <c r="T3" s="22"/>
      <c r="U3" s="22"/>
      <c r="V3" s="22"/>
      <c r="W3" s="22"/>
      <c r="X3" s="22"/>
      <c r="Y3" s="22"/>
      <c r="Z3" s="22"/>
      <c r="AA3" s="20"/>
      <c r="AB3" s="20"/>
      <c r="AC3" s="20"/>
      <c r="AD3" s="20"/>
      <c r="AE3" s="23"/>
      <c r="AF3" s="23"/>
      <c r="AG3" s="23"/>
      <c r="AH3" s="23"/>
      <c r="AI3" s="23"/>
      <c r="AJ3" s="23"/>
      <c r="AK3" s="23"/>
      <c r="AL3" s="23"/>
      <c r="AM3" s="23"/>
      <c r="AN3" s="23"/>
      <c r="AO3" s="178"/>
      <c r="AP3" s="23"/>
    </row>
    <row r="4" spans="1:42" ht="16.5" customHeight="1">
      <c r="A4" s="160" t="s">
        <v>220</v>
      </c>
      <c r="B4" s="24">
        <v>31099</v>
      </c>
      <c r="C4" s="24">
        <v>53226</v>
      </c>
      <c r="D4" s="24">
        <v>108442</v>
      </c>
      <c r="E4" s="24">
        <v>119591.474</v>
      </c>
      <c r="F4" s="24">
        <v>190765.929</v>
      </c>
      <c r="G4" s="24">
        <v>275863.54700000002</v>
      </c>
      <c r="H4" s="24">
        <v>337215.22553599998</v>
      </c>
      <c r="I4" s="24">
        <v>329787.96750099998</v>
      </c>
      <c r="J4" s="24">
        <v>345019.61278099997</v>
      </c>
      <c r="K4" s="24">
        <v>351096.458323</v>
      </c>
      <c r="L4" s="24">
        <v>376873.402328</v>
      </c>
      <c r="M4" s="24">
        <v>391593.82941200002</v>
      </c>
      <c r="N4" s="24">
        <v>419281.55251800001</v>
      </c>
      <c r="O4" s="24">
        <v>439262.67014</v>
      </c>
      <c r="P4" s="24">
        <v>449103.79910300003</v>
      </c>
      <c r="Q4" s="24">
        <v>473081.98319599999</v>
      </c>
      <c r="R4" s="24">
        <v>500431.77514500002</v>
      </c>
      <c r="S4" s="24">
        <v>473591.64681000001</v>
      </c>
      <c r="T4" s="24">
        <v>472190.76637199998</v>
      </c>
      <c r="U4" s="24">
        <v>497648.14399399998</v>
      </c>
      <c r="V4" s="24">
        <v>547931.15319800004</v>
      </c>
      <c r="W4" s="24">
        <v>572868.82004599995</v>
      </c>
      <c r="X4" s="24">
        <v>576823.04937200004</v>
      </c>
      <c r="Y4" s="24">
        <v>594614.09036200005</v>
      </c>
      <c r="Z4" s="24">
        <v>570089.94696500001</v>
      </c>
      <c r="AA4" s="24">
        <v>540693.68270899996</v>
      </c>
      <c r="AB4" s="24">
        <v>554710.522322</v>
      </c>
      <c r="AC4" s="24">
        <v>565613.64535799995</v>
      </c>
      <c r="AD4" s="24">
        <v>570438.230553</v>
      </c>
      <c r="AE4" s="24">
        <v>579461.44977599999</v>
      </c>
      <c r="AF4" s="24">
        <v>597005.00355200004</v>
      </c>
      <c r="AG4" s="24">
        <v>632154.82412700006</v>
      </c>
      <c r="AH4" s="24">
        <v>661477.92748199997</v>
      </c>
      <c r="AI4" s="24">
        <v>685472.00477</v>
      </c>
      <c r="AJ4" s="24">
        <v>722415.33364099998</v>
      </c>
      <c r="AK4" s="24">
        <v>754450.05571900005</v>
      </c>
      <c r="AL4" s="24">
        <v>306058.02996800002</v>
      </c>
      <c r="AM4" s="24">
        <v>573403.84113099996</v>
      </c>
      <c r="AN4" s="24">
        <v>708960.15039199998</v>
      </c>
      <c r="AO4" s="179">
        <v>773500.22849500005</v>
      </c>
      <c r="AP4" s="24">
        <v>801515.25748100004</v>
      </c>
    </row>
    <row r="5" spans="1:42" ht="16.5" customHeight="1">
      <c r="A5" s="160" t="s">
        <v>221</v>
      </c>
      <c r="B5" s="24">
        <v>2300</v>
      </c>
      <c r="C5" s="24" t="s">
        <v>163</v>
      </c>
      <c r="D5" s="24">
        <v>9100</v>
      </c>
      <c r="E5" s="24" t="s">
        <v>163</v>
      </c>
      <c r="F5" s="24">
        <v>14700</v>
      </c>
      <c r="G5" s="24" t="s">
        <v>163</v>
      </c>
      <c r="H5" s="24">
        <v>13000</v>
      </c>
      <c r="I5" s="24" t="s">
        <v>163</v>
      </c>
      <c r="J5" s="24" t="s">
        <v>163</v>
      </c>
      <c r="K5" s="24" t="s">
        <v>163</v>
      </c>
      <c r="L5" s="24" t="s">
        <v>163</v>
      </c>
      <c r="M5" s="24">
        <v>10800</v>
      </c>
      <c r="N5" s="24">
        <v>12000</v>
      </c>
      <c r="O5" s="24">
        <v>12500</v>
      </c>
      <c r="P5" s="24">
        <v>13100</v>
      </c>
      <c r="Q5" s="24">
        <v>14100</v>
      </c>
      <c r="R5" s="24">
        <v>15200</v>
      </c>
      <c r="S5" s="24">
        <v>15900</v>
      </c>
      <c r="T5" s="24" t="s">
        <v>163</v>
      </c>
      <c r="U5" s="24" t="s">
        <v>163</v>
      </c>
      <c r="V5" s="24" t="s">
        <v>163</v>
      </c>
      <c r="W5" s="24" t="s">
        <v>163</v>
      </c>
      <c r="X5" s="24" t="s">
        <v>163</v>
      </c>
      <c r="Y5" s="24" t="s">
        <v>163</v>
      </c>
      <c r="Z5" s="24" t="s">
        <v>163</v>
      </c>
      <c r="AA5" s="24" t="s">
        <v>163</v>
      </c>
      <c r="AB5" s="24" t="s">
        <v>163</v>
      </c>
      <c r="AC5" s="24" t="s">
        <v>163</v>
      </c>
      <c r="AD5" s="24" t="s">
        <v>163</v>
      </c>
      <c r="AE5" s="24" t="s">
        <v>163</v>
      </c>
      <c r="AF5" s="24" t="s">
        <v>163</v>
      </c>
      <c r="AG5" s="24" t="s">
        <v>163</v>
      </c>
      <c r="AH5" s="24" t="s">
        <v>163</v>
      </c>
      <c r="AI5" s="24" t="s">
        <v>163</v>
      </c>
      <c r="AJ5" s="24" t="s">
        <v>163</v>
      </c>
      <c r="AK5" s="24" t="s">
        <v>163</v>
      </c>
      <c r="AL5" s="24" t="s">
        <v>163</v>
      </c>
      <c r="AM5" s="24" t="s">
        <v>163</v>
      </c>
      <c r="AN5" s="24" t="s">
        <v>163</v>
      </c>
      <c r="AO5" s="179" t="s">
        <v>163</v>
      </c>
      <c r="AP5" s="24" t="s">
        <v>163</v>
      </c>
    </row>
    <row r="6" spans="1:42" ht="16.5" customHeight="1">
      <c r="A6" s="25" t="s">
        <v>162</v>
      </c>
      <c r="B6" s="22">
        <v>1272078.3999999999</v>
      </c>
      <c r="C6" s="22">
        <v>1555237.28</v>
      </c>
      <c r="D6" s="22">
        <v>2042002.2799999998</v>
      </c>
      <c r="E6" s="22">
        <v>2404954.4</v>
      </c>
      <c r="F6" s="22">
        <v>2653510.21</v>
      </c>
      <c r="G6" s="22">
        <v>2991120.8</v>
      </c>
      <c r="H6" s="22">
        <v>3539602.56</v>
      </c>
      <c r="I6" s="22">
        <v>3578582.4400000004</v>
      </c>
      <c r="J6" s="22">
        <v>3676688.44</v>
      </c>
      <c r="K6" s="22">
        <v>3747067.87</v>
      </c>
      <c r="L6" s="22">
        <v>3939875</v>
      </c>
      <c r="M6" s="22">
        <v>3848458</v>
      </c>
      <c r="N6" s="22">
        <v>3951008.7272999999</v>
      </c>
      <c r="O6" s="22">
        <v>4071136.5328719998</v>
      </c>
      <c r="P6" s="22">
        <v>4182066.2400156059</v>
      </c>
      <c r="Q6" s="22">
        <v>4285299.4390774053</v>
      </c>
      <c r="R6" s="22">
        <v>4370488.7148582162</v>
      </c>
      <c r="S6" s="22">
        <v>4623397.8260386921</v>
      </c>
      <c r="T6" s="22">
        <v>4646520.9849062953</v>
      </c>
      <c r="U6" s="22">
        <v>4701825.0032426612</v>
      </c>
      <c r="V6" s="22">
        <v>4824654.4447763506</v>
      </c>
      <c r="W6" s="22">
        <v>4867608.4897589097</v>
      </c>
      <c r="X6" s="22">
        <v>4908058.8374757655</v>
      </c>
      <c r="Y6" s="22">
        <v>4959766.7012</v>
      </c>
      <c r="Z6" s="22">
        <v>4900171</v>
      </c>
      <c r="AA6" s="22">
        <v>5000591.895902345</v>
      </c>
      <c r="AB6" s="22">
        <v>5009805.5620214241</v>
      </c>
      <c r="AC6" s="22">
        <v>4997049.3066988336</v>
      </c>
      <c r="AD6" s="22">
        <v>5046332.4132198002</v>
      </c>
      <c r="AE6" s="22">
        <v>5083123.4649372874</v>
      </c>
      <c r="AF6" s="22">
        <v>5158160.8548277542</v>
      </c>
      <c r="AG6" s="22">
        <v>5282710.2500658771</v>
      </c>
      <c r="AH6" s="22">
        <v>5411827.6229987517</v>
      </c>
      <c r="AI6" s="22">
        <v>5482189.7570441701</v>
      </c>
      <c r="AJ6" s="22">
        <v>5545845.3035232006</v>
      </c>
      <c r="AK6" s="22">
        <v>5579125.9722718718</v>
      </c>
      <c r="AL6" s="22">
        <v>4934929.062720011</v>
      </c>
      <c r="AM6" s="22">
        <v>5335698.541654665</v>
      </c>
      <c r="AN6" s="22">
        <v>5027965.0069534937</v>
      </c>
      <c r="AO6" s="180">
        <v>5090216.336107987</v>
      </c>
      <c r="AP6" s="22" t="s">
        <v>164</v>
      </c>
    </row>
    <row r="7" spans="1:42" ht="16.5" customHeight="1">
      <c r="A7" s="161" t="s">
        <v>222</v>
      </c>
      <c r="B7" s="24">
        <v>1144673.3999999999</v>
      </c>
      <c r="C7" s="24">
        <v>1394803.28</v>
      </c>
      <c r="D7" s="24">
        <v>1750897</v>
      </c>
      <c r="E7" s="24">
        <v>1954165.5</v>
      </c>
      <c r="F7" s="24">
        <v>2011988.76</v>
      </c>
      <c r="G7" s="24">
        <v>2094620.64</v>
      </c>
      <c r="H7" s="24">
        <v>2281390.92</v>
      </c>
      <c r="I7" s="24">
        <v>2200259.7000000002</v>
      </c>
      <c r="J7" s="24">
        <v>2208226.09</v>
      </c>
      <c r="K7" s="24">
        <v>2213281.4900000002</v>
      </c>
      <c r="L7" s="24">
        <v>2756223</v>
      </c>
      <c r="M7" s="24">
        <v>2286887</v>
      </c>
      <c r="N7" s="24">
        <v>2337068</v>
      </c>
      <c r="O7" s="24">
        <v>2389065</v>
      </c>
      <c r="P7" s="24">
        <v>2463828.420042248</v>
      </c>
      <c r="Q7" s="24">
        <v>2495140.3026243281</v>
      </c>
      <c r="R7" s="24">
        <v>2544457.3524414399</v>
      </c>
      <c r="S7" s="24">
        <v>2556481.2400000002</v>
      </c>
      <c r="T7" s="24">
        <v>2620388.92</v>
      </c>
      <c r="U7" s="24">
        <v>2641885.0920744999</v>
      </c>
      <c r="V7" s="24">
        <v>2685826.6531088967</v>
      </c>
      <c r="W7" s="24">
        <v>2699304.6428176584</v>
      </c>
      <c r="X7" s="24">
        <v>2671044.2305259043</v>
      </c>
      <c r="Y7" s="24">
        <v>3324977</v>
      </c>
      <c r="Z7" s="24">
        <v>3199116</v>
      </c>
      <c r="AA7" s="24">
        <v>3413874.6951679634</v>
      </c>
      <c r="AB7" s="24">
        <v>3429995.6410861243</v>
      </c>
      <c r="AC7" s="24">
        <v>3464405.2296386864</v>
      </c>
      <c r="AD7" s="24">
        <v>3490438.2857423411</v>
      </c>
      <c r="AE7" s="24">
        <v>3507723.0973114655</v>
      </c>
      <c r="AF7" s="24">
        <v>3502000.6903627221</v>
      </c>
      <c r="AG7" s="24">
        <v>3628378.8815517384</v>
      </c>
      <c r="AH7" s="24">
        <v>3699794.4380078609</v>
      </c>
      <c r="AI7" s="24">
        <v>3709919.1961312541</v>
      </c>
      <c r="AJ7" s="24">
        <v>3729610.234329388</v>
      </c>
      <c r="AK7" s="24">
        <v>3765896.0121443863</v>
      </c>
      <c r="AL7" s="24">
        <v>3225113.8011595304</v>
      </c>
      <c r="AM7" s="24">
        <v>3471196.0905209668</v>
      </c>
      <c r="AN7" s="24">
        <v>3284668.705926788</v>
      </c>
      <c r="AO7" s="179">
        <v>3337838.5965900021</v>
      </c>
      <c r="AP7" s="24" t="s">
        <v>164</v>
      </c>
    </row>
    <row r="8" spans="1:42" ht="16.5" customHeight="1">
      <c r="A8" s="161" t="s">
        <v>223</v>
      </c>
      <c r="B8" s="24" t="s">
        <v>164</v>
      </c>
      <c r="C8" s="24" t="s">
        <v>164</v>
      </c>
      <c r="D8" s="24">
        <v>3276.9</v>
      </c>
      <c r="E8" s="24">
        <v>6191.9</v>
      </c>
      <c r="F8" s="24">
        <v>12256.8</v>
      </c>
      <c r="G8" s="24">
        <v>11811.8</v>
      </c>
      <c r="H8" s="24">
        <v>12424.1</v>
      </c>
      <c r="I8" s="24">
        <v>11656.06</v>
      </c>
      <c r="J8" s="24">
        <v>11946.25</v>
      </c>
      <c r="K8" s="24">
        <v>12184.38</v>
      </c>
      <c r="L8" s="24">
        <v>11264</v>
      </c>
      <c r="M8" s="24">
        <v>10777</v>
      </c>
      <c r="N8" s="24">
        <v>10912</v>
      </c>
      <c r="O8" s="24">
        <v>11089</v>
      </c>
      <c r="P8" s="24">
        <v>11311.197996230532</v>
      </c>
      <c r="Q8" s="24">
        <v>11642.295010415633</v>
      </c>
      <c r="R8" s="24">
        <v>11515.796151175477</v>
      </c>
      <c r="S8" s="24">
        <v>11759.58</v>
      </c>
      <c r="T8" s="24">
        <v>12131.04</v>
      </c>
      <c r="U8" s="24">
        <v>12162.999800241942</v>
      </c>
      <c r="V8" s="24">
        <v>12855.361903711795</v>
      </c>
      <c r="W8" s="24">
        <v>13276.957048550581</v>
      </c>
      <c r="X8" s="24">
        <v>15302.837710775921</v>
      </c>
      <c r="Y8" s="24">
        <v>27173</v>
      </c>
      <c r="Z8" s="24">
        <v>26430</v>
      </c>
      <c r="AA8" s="24">
        <v>24162.284984465721</v>
      </c>
      <c r="AB8" s="24">
        <v>21482.715623236356</v>
      </c>
      <c r="AC8" s="24">
        <v>21516.752486125952</v>
      </c>
      <c r="AD8" s="24">
        <v>24815.916143547372</v>
      </c>
      <c r="AE8" s="24">
        <v>23633.293571165999</v>
      </c>
      <c r="AF8" s="24">
        <v>23173.173385423503</v>
      </c>
      <c r="AG8" s="24">
        <v>22751.532128664399</v>
      </c>
      <c r="AH8" s="24">
        <v>23725.111955421387</v>
      </c>
      <c r="AI8" s="24">
        <v>23381.622003386132</v>
      </c>
      <c r="AJ8" s="24">
        <v>23296.76856786057</v>
      </c>
      <c r="AK8" s="24">
        <v>22846.373475193806</v>
      </c>
      <c r="AL8" s="24">
        <v>21617.631727385826</v>
      </c>
      <c r="AM8" s="24">
        <v>23658.62164138829</v>
      </c>
      <c r="AN8" s="24">
        <v>24369.327208820261</v>
      </c>
      <c r="AO8" s="179">
        <v>20694.693802962931</v>
      </c>
      <c r="AP8" s="24" t="s">
        <v>164</v>
      </c>
    </row>
    <row r="9" spans="1:42" ht="16.5" customHeight="1">
      <c r="A9" s="161" t="s">
        <v>224</v>
      </c>
      <c r="B9" s="24" t="s">
        <v>164</v>
      </c>
      <c r="C9" s="24" t="s">
        <v>164</v>
      </c>
      <c r="D9" s="24">
        <v>225613.38</v>
      </c>
      <c r="E9" s="24">
        <v>363267</v>
      </c>
      <c r="F9" s="24">
        <v>520773.65</v>
      </c>
      <c r="G9" s="24">
        <v>688091.36</v>
      </c>
      <c r="H9" s="24">
        <v>999753.54</v>
      </c>
      <c r="I9" s="24">
        <v>1116957.68</v>
      </c>
      <c r="J9" s="24">
        <v>1201667.1000000001</v>
      </c>
      <c r="K9" s="24">
        <v>1252860</v>
      </c>
      <c r="L9" s="24">
        <v>885897</v>
      </c>
      <c r="M9" s="24">
        <v>1256146</v>
      </c>
      <c r="N9" s="24">
        <v>1298299</v>
      </c>
      <c r="O9" s="24">
        <v>1352675</v>
      </c>
      <c r="P9" s="24">
        <v>1380557.2397938734</v>
      </c>
      <c r="Q9" s="24">
        <v>1432782.3794077854</v>
      </c>
      <c r="R9" s="24">
        <v>1467663.7991499156</v>
      </c>
      <c r="S9" s="24">
        <v>1678852.5595885422</v>
      </c>
      <c r="T9" s="24">
        <v>1674791.8930520001</v>
      </c>
      <c r="U9" s="24">
        <v>1706102.912463947</v>
      </c>
      <c r="V9" s="24">
        <v>1780771.1384466074</v>
      </c>
      <c r="W9" s="24">
        <v>1804848.0064037023</v>
      </c>
      <c r="X9" s="24">
        <v>1876689.847532914</v>
      </c>
      <c r="Y9" s="24">
        <v>1017007</v>
      </c>
      <c r="Z9" s="24">
        <v>1049667</v>
      </c>
      <c r="AA9" s="24">
        <v>991383.33848368167</v>
      </c>
      <c r="AB9" s="24">
        <v>1001455.7277059199</v>
      </c>
      <c r="AC9" s="24">
        <v>972382.44726826402</v>
      </c>
      <c r="AD9" s="24">
        <v>970669.41516661318</v>
      </c>
      <c r="AE9" s="24">
        <v>977476.62107445241</v>
      </c>
      <c r="AF9" s="24">
        <v>1037129.0861966583</v>
      </c>
      <c r="AG9" s="24">
        <v>1028773.6840018815</v>
      </c>
      <c r="AH9" s="24">
        <v>1075233.5052042801</v>
      </c>
      <c r="AI9" s="24">
        <v>1106303.4454204475</v>
      </c>
      <c r="AJ9" s="24">
        <v>1119644.0825954296</v>
      </c>
      <c r="AK9" s="24">
        <v>1128488.8887035879</v>
      </c>
      <c r="AL9" s="24">
        <v>1085129.151521432</v>
      </c>
      <c r="AM9" s="24">
        <v>1168120.1523734201</v>
      </c>
      <c r="AN9" s="24">
        <v>1007240.09337026</v>
      </c>
      <c r="AO9" s="179">
        <v>1040166.403000145</v>
      </c>
      <c r="AP9" s="24" t="s">
        <v>164</v>
      </c>
    </row>
    <row r="10" spans="1:42" ht="16.5" customHeight="1">
      <c r="A10" s="160" t="s">
        <v>225</v>
      </c>
      <c r="B10" s="24">
        <v>98551</v>
      </c>
      <c r="C10" s="24">
        <v>128769</v>
      </c>
      <c r="D10" s="24">
        <v>27081</v>
      </c>
      <c r="E10" s="24">
        <v>34606</v>
      </c>
      <c r="F10" s="24">
        <v>39813</v>
      </c>
      <c r="G10" s="24">
        <v>45441</v>
      </c>
      <c r="H10" s="24">
        <v>51901</v>
      </c>
      <c r="I10" s="24">
        <v>52898</v>
      </c>
      <c r="J10" s="24">
        <v>53874</v>
      </c>
      <c r="K10" s="24">
        <v>56772</v>
      </c>
      <c r="L10" s="24">
        <v>61284</v>
      </c>
      <c r="M10" s="24">
        <v>62705</v>
      </c>
      <c r="N10" s="24">
        <v>64072</v>
      </c>
      <c r="O10" s="24">
        <v>66893</v>
      </c>
      <c r="P10" s="24">
        <v>68021</v>
      </c>
      <c r="Q10" s="24">
        <v>70311</v>
      </c>
      <c r="R10" s="24">
        <v>70500</v>
      </c>
      <c r="S10" s="24">
        <v>85488.639999999999</v>
      </c>
      <c r="T10" s="24">
        <v>75866</v>
      </c>
      <c r="U10" s="24">
        <v>77756.625026012029</v>
      </c>
      <c r="V10" s="24">
        <v>78441.001270563196</v>
      </c>
      <c r="W10" s="24">
        <v>78495.659525951312</v>
      </c>
      <c r="X10" s="24">
        <v>80344.221164056842</v>
      </c>
      <c r="Y10" s="24">
        <v>119979</v>
      </c>
      <c r="Z10" s="24">
        <v>126855</v>
      </c>
      <c r="AA10" s="24">
        <v>120206.75691287633</v>
      </c>
      <c r="AB10" s="24">
        <v>110738.2452064016</v>
      </c>
      <c r="AC10" s="24">
        <v>103803.03027298137</v>
      </c>
      <c r="AD10" s="24">
        <v>105605.2225970268</v>
      </c>
      <c r="AE10" s="24">
        <v>106581.57890487878</v>
      </c>
      <c r="AF10" s="24">
        <v>109301.40619692924</v>
      </c>
      <c r="AG10" s="24">
        <v>109597.31844960712</v>
      </c>
      <c r="AH10" s="24">
        <v>113337.94163267993</v>
      </c>
      <c r="AI10" s="24">
        <v>116102.39910916959</v>
      </c>
      <c r="AJ10" s="24">
        <v>120698.99421461202</v>
      </c>
      <c r="AK10" s="24">
        <v>124745.70718075465</v>
      </c>
      <c r="AL10" s="24">
        <v>117832.17393367999</v>
      </c>
      <c r="AM10" s="24">
        <v>131637.174901808</v>
      </c>
      <c r="AN10" s="24">
        <v>136223.78686582399</v>
      </c>
      <c r="AO10" s="179">
        <v>134100.60811871599</v>
      </c>
      <c r="AP10" s="24" t="s">
        <v>164</v>
      </c>
    </row>
    <row r="11" spans="1:42" ht="16.5" customHeight="1">
      <c r="A11" s="160" t="s">
        <v>165</v>
      </c>
      <c r="B11" s="24">
        <v>28854</v>
      </c>
      <c r="C11" s="24">
        <v>31665</v>
      </c>
      <c r="D11" s="24">
        <v>35134</v>
      </c>
      <c r="E11" s="24">
        <v>46724</v>
      </c>
      <c r="F11" s="24">
        <v>68678</v>
      </c>
      <c r="G11" s="24">
        <v>78063</v>
      </c>
      <c r="H11" s="24">
        <v>94341</v>
      </c>
      <c r="I11" s="24">
        <v>96645</v>
      </c>
      <c r="J11" s="24">
        <v>99510</v>
      </c>
      <c r="K11" s="24">
        <v>103116</v>
      </c>
      <c r="L11" s="24">
        <v>108932</v>
      </c>
      <c r="M11" s="24">
        <v>115451</v>
      </c>
      <c r="N11" s="24">
        <v>118899</v>
      </c>
      <c r="O11" s="24">
        <v>124584</v>
      </c>
      <c r="P11" s="24">
        <v>128359</v>
      </c>
      <c r="Q11" s="24">
        <v>132386</v>
      </c>
      <c r="R11" s="24">
        <v>135020</v>
      </c>
      <c r="S11" s="24">
        <v>161169.12</v>
      </c>
      <c r="T11" s="24">
        <v>138737</v>
      </c>
      <c r="U11" s="24">
        <v>140159.96248174272</v>
      </c>
      <c r="V11" s="24">
        <v>142369.77185656936</v>
      </c>
      <c r="W11" s="24">
        <v>144027.63604132412</v>
      </c>
      <c r="X11" s="24">
        <v>142169.22730548185</v>
      </c>
      <c r="Y11" s="24">
        <v>184199</v>
      </c>
      <c r="Z11" s="24">
        <v>183826</v>
      </c>
      <c r="AA11" s="24">
        <v>168099.53433899098</v>
      </c>
      <c r="AB11" s="24">
        <v>175788.97173715092</v>
      </c>
      <c r="AC11" s="24">
        <v>163791.29311902044</v>
      </c>
      <c r="AD11" s="24">
        <v>163601.73110557569</v>
      </c>
      <c r="AE11" s="24">
        <v>168435.63414130086</v>
      </c>
      <c r="AF11" s="24">
        <v>169830.17838475661</v>
      </c>
      <c r="AG11" s="24">
        <v>170246.27799988686</v>
      </c>
      <c r="AH11" s="24">
        <v>174556.97827435564</v>
      </c>
      <c r="AI11" s="24">
        <v>181490.18169777928</v>
      </c>
      <c r="AJ11" s="24">
        <v>184165.1211510069</v>
      </c>
      <c r="AK11" s="24">
        <v>175304.70135307586</v>
      </c>
      <c r="AL11" s="24">
        <v>179816.80092319596</v>
      </c>
      <c r="AM11" s="24">
        <v>195389.15734589699</v>
      </c>
      <c r="AN11" s="24">
        <v>195048.63938260701</v>
      </c>
      <c r="AO11" s="179">
        <v>195757.795420187</v>
      </c>
      <c r="AP11" s="24" t="s">
        <v>164</v>
      </c>
    </row>
    <row r="12" spans="1:42" s="185" customFormat="1" ht="16.5" customHeight="1">
      <c r="A12" s="183" t="s">
        <v>226</v>
      </c>
      <c r="B12" s="184" t="s">
        <v>164</v>
      </c>
      <c r="C12" s="184" t="s">
        <v>164</v>
      </c>
      <c r="D12" s="184" t="s">
        <v>164</v>
      </c>
      <c r="E12" s="184" t="s">
        <v>164</v>
      </c>
      <c r="F12" s="184" t="s">
        <v>164</v>
      </c>
      <c r="G12" s="184">
        <v>73093</v>
      </c>
      <c r="H12" s="184">
        <v>99792</v>
      </c>
      <c r="I12" s="184">
        <v>100166</v>
      </c>
      <c r="J12" s="184">
        <v>101465</v>
      </c>
      <c r="K12" s="184">
        <v>108854</v>
      </c>
      <c r="L12" s="184">
        <v>116275</v>
      </c>
      <c r="M12" s="184">
        <v>116492</v>
      </c>
      <c r="N12" s="184">
        <v>121758.7273</v>
      </c>
      <c r="O12" s="184">
        <v>126830.53287200001</v>
      </c>
      <c r="P12" s="184">
        <v>129989.38218325401</v>
      </c>
      <c r="Q12" s="184">
        <v>143037.46203487608</v>
      </c>
      <c r="R12" s="184">
        <v>141331.7671156849</v>
      </c>
      <c r="S12" s="184">
        <v>129646.68645014966</v>
      </c>
      <c r="T12" s="184">
        <v>124606.13185429553</v>
      </c>
      <c r="U12" s="184">
        <v>123757.41139621758</v>
      </c>
      <c r="V12" s="184">
        <v>124390.5181900022</v>
      </c>
      <c r="W12" s="184">
        <v>127655.58792172259</v>
      </c>
      <c r="X12" s="184">
        <v>122508.47323663282</v>
      </c>
      <c r="Y12" s="184">
        <v>286431.70120000001</v>
      </c>
      <c r="Z12" s="184">
        <v>292075.290018</v>
      </c>
      <c r="AA12" s="184">
        <v>282865.28601436689</v>
      </c>
      <c r="AB12" s="184">
        <v>270344.2606625912</v>
      </c>
      <c r="AC12" s="184">
        <v>271150.55391375569</v>
      </c>
      <c r="AD12" s="184">
        <v>291201.84246469656</v>
      </c>
      <c r="AE12" s="184">
        <v>299273.23993402399</v>
      </c>
      <c r="AF12" s="184">
        <v>316726.32030126388</v>
      </c>
      <c r="AG12" s="184">
        <v>322962.55593409849</v>
      </c>
      <c r="AH12" s="184">
        <v>325179.64792415383</v>
      </c>
      <c r="AI12" s="184">
        <v>344992.9126821332</v>
      </c>
      <c r="AJ12" s="184">
        <v>368430.10266490339</v>
      </c>
      <c r="AK12" s="184">
        <v>361844.28941487317</v>
      </c>
      <c r="AL12" s="184">
        <v>305419.50345478667</v>
      </c>
      <c r="AM12" s="184">
        <v>345697.34487118549</v>
      </c>
      <c r="AN12" s="184">
        <v>380414.45419919386</v>
      </c>
      <c r="AO12" s="184">
        <v>361658.2391759748</v>
      </c>
      <c r="AP12" s="184" t="s">
        <v>164</v>
      </c>
    </row>
    <row r="13" spans="1:42" ht="16.5" customHeight="1">
      <c r="A13" s="26" t="s">
        <v>227</v>
      </c>
      <c r="B13" s="22" t="s">
        <v>163</v>
      </c>
      <c r="C13" s="22" t="s">
        <v>163</v>
      </c>
      <c r="D13" s="22" t="s">
        <v>163</v>
      </c>
      <c r="E13" s="22" t="s">
        <v>163</v>
      </c>
      <c r="F13" s="22">
        <v>39854</v>
      </c>
      <c r="G13" s="22">
        <v>39581</v>
      </c>
      <c r="H13" s="22">
        <v>41143</v>
      </c>
      <c r="I13" s="22">
        <v>40703</v>
      </c>
      <c r="J13" s="22">
        <v>40241</v>
      </c>
      <c r="K13" s="22">
        <v>39384</v>
      </c>
      <c r="L13" s="22">
        <v>39585</v>
      </c>
      <c r="M13" s="22">
        <v>39808</v>
      </c>
      <c r="N13" s="22">
        <v>38984.124200000006</v>
      </c>
      <c r="O13" s="22">
        <v>40180.218951999996</v>
      </c>
      <c r="P13" s="22">
        <v>41605.038687999993</v>
      </c>
      <c r="Q13" s="22">
        <v>43278.862481000004</v>
      </c>
      <c r="R13" s="22">
        <v>45100.241891000005</v>
      </c>
      <c r="S13" s="22">
        <v>46507.533026999998</v>
      </c>
      <c r="T13" s="22">
        <v>46096.088878999995</v>
      </c>
      <c r="U13" s="22">
        <v>45676.831126000005</v>
      </c>
      <c r="V13" s="22">
        <v>46545.783080000001</v>
      </c>
      <c r="W13" s="22">
        <v>47124.653055000002</v>
      </c>
      <c r="X13" s="22">
        <v>49504.172899999998</v>
      </c>
      <c r="Y13" s="22">
        <v>51873.259700000002</v>
      </c>
      <c r="Z13" s="22">
        <v>53712.078122999999</v>
      </c>
      <c r="AA13" s="22">
        <v>53898.382540000013</v>
      </c>
      <c r="AB13" s="22">
        <v>52627.181348999991</v>
      </c>
      <c r="AC13" s="22">
        <v>54328.134432999992</v>
      </c>
      <c r="AD13" s="22">
        <v>55169.258447999993</v>
      </c>
      <c r="AE13" s="22">
        <v>56467.102654000009</v>
      </c>
      <c r="AF13" s="22">
        <v>57012.092909000006</v>
      </c>
      <c r="AG13" s="22">
        <v>55697.697335999997</v>
      </c>
      <c r="AH13" s="22">
        <v>56321.611936000008</v>
      </c>
      <c r="AI13" s="22">
        <v>54825.884253999997</v>
      </c>
      <c r="AJ13" s="22">
        <v>53830.315945999995</v>
      </c>
      <c r="AK13" s="22">
        <v>54097.055531000005</v>
      </c>
      <c r="AL13" s="22">
        <v>31546.991245999998</v>
      </c>
      <c r="AM13" s="22">
        <v>22371.473348</v>
      </c>
      <c r="AN13" s="22">
        <v>29947.146078999998</v>
      </c>
      <c r="AO13" s="180">
        <v>35018.159723000004</v>
      </c>
      <c r="AP13" s="22">
        <v>38002.261865</v>
      </c>
    </row>
    <row r="14" spans="1:42" s="185" customFormat="1" ht="16.5" customHeight="1">
      <c r="A14" s="183" t="s">
        <v>228</v>
      </c>
      <c r="B14" s="184" t="s">
        <v>163</v>
      </c>
      <c r="C14" s="184" t="s">
        <v>163</v>
      </c>
      <c r="D14" s="184" t="s">
        <v>163</v>
      </c>
      <c r="E14" s="184" t="s">
        <v>163</v>
      </c>
      <c r="F14" s="184">
        <v>21790</v>
      </c>
      <c r="G14" s="184">
        <v>21161</v>
      </c>
      <c r="H14" s="184">
        <v>20981</v>
      </c>
      <c r="I14" s="184">
        <v>21090</v>
      </c>
      <c r="J14" s="184">
        <v>20336</v>
      </c>
      <c r="K14" s="184">
        <v>20247</v>
      </c>
      <c r="L14" s="184">
        <v>18832</v>
      </c>
      <c r="M14" s="184">
        <v>18818</v>
      </c>
      <c r="N14" s="184">
        <v>16802.168100000003</v>
      </c>
      <c r="O14" s="184">
        <v>17509.219211999996</v>
      </c>
      <c r="P14" s="184">
        <v>17873.721648999999</v>
      </c>
      <c r="Q14" s="184">
        <v>18683.797939</v>
      </c>
      <c r="R14" s="184">
        <v>18807.334752999999</v>
      </c>
      <c r="S14" s="184">
        <v>19582.868181999998</v>
      </c>
      <c r="T14" s="184">
        <v>19678.689117000002</v>
      </c>
      <c r="U14" s="184">
        <v>19178.851354999999</v>
      </c>
      <c r="V14" s="184">
        <v>18920.853862999997</v>
      </c>
      <c r="W14" s="184">
        <v>19424.922553999997</v>
      </c>
      <c r="X14" s="184">
        <v>20390.185932999997</v>
      </c>
      <c r="Y14" s="184">
        <v>20388.053</v>
      </c>
      <c r="Z14" s="184">
        <v>21198.098654000001</v>
      </c>
      <c r="AA14" s="184">
        <v>21099.988628999999</v>
      </c>
      <c r="AB14" s="184">
        <v>20569.726839999999</v>
      </c>
      <c r="AC14" s="184">
        <v>19905.426138999999</v>
      </c>
      <c r="AD14" s="184">
        <v>20129.730629000001</v>
      </c>
      <c r="AE14" s="184">
        <v>18926.876337000002</v>
      </c>
      <c r="AF14" s="184">
        <v>18964.660620999999</v>
      </c>
      <c r="AG14" s="184">
        <v>18506.425159999999</v>
      </c>
      <c r="AH14" s="184">
        <v>18149.823675</v>
      </c>
      <c r="AI14" s="184">
        <v>17075.697165000001</v>
      </c>
      <c r="AJ14" s="184">
        <v>16584.114250999999</v>
      </c>
      <c r="AK14" s="184">
        <v>16387.317525999999</v>
      </c>
      <c r="AL14" s="184">
        <v>11736.487144000001</v>
      </c>
      <c r="AM14" s="184">
        <v>8243.0161960000005</v>
      </c>
      <c r="AN14" s="184">
        <v>10111.540220999999</v>
      </c>
      <c r="AO14" s="184">
        <v>11874.891041000001</v>
      </c>
      <c r="AP14" s="184">
        <v>12637.882264</v>
      </c>
    </row>
    <row r="15" spans="1:42" ht="16.5" customHeight="1">
      <c r="A15" s="160" t="s">
        <v>229</v>
      </c>
      <c r="B15" s="24" t="s">
        <v>163</v>
      </c>
      <c r="C15" s="24" t="s">
        <v>163</v>
      </c>
      <c r="D15" s="24" t="s">
        <v>163</v>
      </c>
      <c r="E15" s="24" t="s">
        <v>163</v>
      </c>
      <c r="F15" s="24" t="s">
        <v>164</v>
      </c>
      <c r="G15" s="24" t="s">
        <v>164</v>
      </c>
      <c r="H15" s="24" t="s">
        <v>164</v>
      </c>
      <c r="I15" s="24" t="s">
        <v>164</v>
      </c>
      <c r="J15" s="24" t="s">
        <v>164</v>
      </c>
      <c r="K15" s="24" t="s">
        <v>164</v>
      </c>
      <c r="L15" s="24" t="s">
        <v>164</v>
      </c>
      <c r="M15" s="24" t="s">
        <v>164</v>
      </c>
      <c r="N15" s="24" t="s">
        <v>164</v>
      </c>
      <c r="O15" s="24" t="s">
        <v>164</v>
      </c>
      <c r="P15" s="24" t="s">
        <v>164</v>
      </c>
      <c r="Q15" s="24" t="s">
        <v>164</v>
      </c>
      <c r="R15" s="24" t="s">
        <v>164</v>
      </c>
      <c r="S15" s="24" t="s">
        <v>164</v>
      </c>
      <c r="T15" s="24" t="s">
        <v>164</v>
      </c>
      <c r="U15" s="24" t="s">
        <v>164</v>
      </c>
      <c r="V15" s="24" t="s">
        <v>164</v>
      </c>
      <c r="W15" s="24" t="s">
        <v>164</v>
      </c>
      <c r="X15" s="24" t="s">
        <v>164</v>
      </c>
      <c r="Y15" s="24" t="s">
        <v>164</v>
      </c>
      <c r="Z15" s="24" t="s">
        <v>164</v>
      </c>
      <c r="AA15" s="24" t="s">
        <v>164</v>
      </c>
      <c r="AB15" s="24" t="s">
        <v>164</v>
      </c>
      <c r="AC15" s="24">
        <v>653.14929600000005</v>
      </c>
      <c r="AD15" s="24">
        <v>1012.461811</v>
      </c>
      <c r="AE15" s="24">
        <v>2330.5266470000001</v>
      </c>
      <c r="AF15" s="24">
        <v>2464.2874219999999</v>
      </c>
      <c r="AG15" s="24">
        <v>1586.7355230000001</v>
      </c>
      <c r="AH15" s="24">
        <v>2261.1835350000001</v>
      </c>
      <c r="AI15" s="24">
        <v>2147.8257210000002</v>
      </c>
      <c r="AJ15" s="24">
        <v>2040.4712919999999</v>
      </c>
      <c r="AK15" s="24">
        <v>1979.8159760000001</v>
      </c>
      <c r="AL15" s="24">
        <v>879.57698000000005</v>
      </c>
      <c r="AM15" s="24">
        <v>505.66693800000002</v>
      </c>
      <c r="AN15" s="24">
        <v>750.25525600000003</v>
      </c>
      <c r="AO15" s="179">
        <v>899.93936299999996</v>
      </c>
      <c r="AP15" s="24">
        <v>962.98125800000003</v>
      </c>
    </row>
    <row r="16" spans="1:42" ht="16.5" customHeight="1">
      <c r="A16" s="160" t="s">
        <v>230</v>
      </c>
      <c r="B16" s="24" t="s">
        <v>163</v>
      </c>
      <c r="C16" s="24" t="s">
        <v>163</v>
      </c>
      <c r="D16" s="24" t="s">
        <v>163</v>
      </c>
      <c r="E16" s="24" t="s">
        <v>163</v>
      </c>
      <c r="F16" s="24">
        <v>381</v>
      </c>
      <c r="G16" s="24">
        <v>350</v>
      </c>
      <c r="H16" s="24">
        <v>571</v>
      </c>
      <c r="I16" s="24">
        <v>662</v>
      </c>
      <c r="J16" s="24">
        <v>701</v>
      </c>
      <c r="K16" s="24">
        <v>705</v>
      </c>
      <c r="L16" s="24">
        <v>833</v>
      </c>
      <c r="M16" s="24">
        <v>860</v>
      </c>
      <c r="N16" s="24">
        <v>955.24509999999998</v>
      </c>
      <c r="O16" s="24">
        <v>1023.7081319999999</v>
      </c>
      <c r="P16" s="24">
        <v>1115.35194</v>
      </c>
      <c r="Q16" s="24">
        <v>1190.168551</v>
      </c>
      <c r="R16" s="24">
        <v>1339.431795</v>
      </c>
      <c r="S16" s="24">
        <v>1427.305259</v>
      </c>
      <c r="T16" s="24">
        <v>1431.6725369999999</v>
      </c>
      <c r="U16" s="24">
        <v>1476.0326319999997</v>
      </c>
      <c r="V16" s="24">
        <v>1576.197658</v>
      </c>
      <c r="W16" s="24">
        <v>1699.5838489999999</v>
      </c>
      <c r="X16" s="24">
        <v>1865.7201999999997</v>
      </c>
      <c r="Y16" s="24">
        <v>1930.2944</v>
      </c>
      <c r="Z16" s="24">
        <v>2081.062559</v>
      </c>
      <c r="AA16" s="24">
        <v>2196.117518</v>
      </c>
      <c r="AB16" s="24">
        <v>2172.7471529999998</v>
      </c>
      <c r="AC16" s="24">
        <v>2363.430715</v>
      </c>
      <c r="AD16" s="24">
        <v>2488.8479259999999</v>
      </c>
      <c r="AE16" s="24">
        <v>2564.6256589999998</v>
      </c>
      <c r="AF16" s="24">
        <v>2674.5207209999999</v>
      </c>
      <c r="AG16" s="24">
        <v>2678.1120999999998</v>
      </c>
      <c r="AH16" s="24">
        <v>2755.9249209999998</v>
      </c>
      <c r="AI16" s="24">
        <v>2776.0459599999999</v>
      </c>
      <c r="AJ16" s="24">
        <v>2728.4780609999998</v>
      </c>
      <c r="AK16" s="24">
        <v>2692.6561099999999</v>
      </c>
      <c r="AL16" s="24">
        <v>1834.1855929999999</v>
      </c>
      <c r="AM16" s="24">
        <v>1040.6861719999999</v>
      </c>
      <c r="AN16" s="24">
        <v>1473.5166879999999</v>
      </c>
      <c r="AO16" s="179">
        <v>1735.9633329999999</v>
      </c>
      <c r="AP16" s="24">
        <v>1931.8469110000001</v>
      </c>
    </row>
    <row r="17" spans="1:42" ht="16.5" customHeight="1">
      <c r="A17" s="160" t="s">
        <v>166</v>
      </c>
      <c r="B17" s="24" t="s">
        <v>163</v>
      </c>
      <c r="C17" s="24" t="s">
        <v>163</v>
      </c>
      <c r="D17" s="24" t="s">
        <v>163</v>
      </c>
      <c r="E17" s="24" t="s">
        <v>163</v>
      </c>
      <c r="F17" s="24">
        <v>10558</v>
      </c>
      <c r="G17" s="24">
        <v>10427</v>
      </c>
      <c r="H17" s="24">
        <v>11475</v>
      </c>
      <c r="I17" s="24">
        <v>10528</v>
      </c>
      <c r="J17" s="24">
        <v>10737</v>
      </c>
      <c r="K17" s="24">
        <v>10231</v>
      </c>
      <c r="L17" s="24">
        <v>10668</v>
      </c>
      <c r="M17" s="24">
        <v>10559</v>
      </c>
      <c r="N17" s="24">
        <v>11530.220300000001</v>
      </c>
      <c r="O17" s="24">
        <v>12056.0676</v>
      </c>
      <c r="P17" s="24">
        <v>12284.382321999999</v>
      </c>
      <c r="Q17" s="24">
        <v>12902.056581000001</v>
      </c>
      <c r="R17" s="24">
        <v>13843.512074999999</v>
      </c>
      <c r="S17" s="24">
        <v>14178.091572000001</v>
      </c>
      <c r="T17" s="24">
        <v>13663.224326</v>
      </c>
      <c r="U17" s="24">
        <v>13606.195594000001</v>
      </c>
      <c r="V17" s="24">
        <v>14354.281087000001</v>
      </c>
      <c r="W17" s="24">
        <v>14417.698761</v>
      </c>
      <c r="X17" s="24">
        <v>14721.465516</v>
      </c>
      <c r="Y17" s="24">
        <v>16137.9522</v>
      </c>
      <c r="Z17" s="24">
        <v>16849.920437000001</v>
      </c>
      <c r="AA17" s="24">
        <v>16805.109970000001</v>
      </c>
      <c r="AB17" s="24">
        <v>16406.938677999999</v>
      </c>
      <c r="AC17" s="24">
        <v>17316.613255</v>
      </c>
      <c r="AD17" s="24">
        <v>17516.432841999998</v>
      </c>
      <c r="AE17" s="24">
        <v>18004.627035000001</v>
      </c>
      <c r="AF17" s="24">
        <v>18339.048674999998</v>
      </c>
      <c r="AG17" s="24">
        <v>18283.014310999999</v>
      </c>
      <c r="AH17" s="24">
        <v>18356.560739</v>
      </c>
      <c r="AI17" s="24">
        <v>17591.049738000002</v>
      </c>
      <c r="AJ17" s="24">
        <v>16914.100309000001</v>
      </c>
      <c r="AK17" s="24">
        <v>17365.828963</v>
      </c>
      <c r="AL17" s="24">
        <v>8947.3054759999995</v>
      </c>
      <c r="AM17" s="24">
        <v>7405.0892560000002</v>
      </c>
      <c r="AN17" s="24">
        <v>9801.9196709999997</v>
      </c>
      <c r="AO17" s="179">
        <v>11309.456759999999</v>
      </c>
      <c r="AP17" s="24">
        <v>11498.863498000001</v>
      </c>
    </row>
    <row r="18" spans="1:42" s="185" customFormat="1" ht="16.5" customHeight="1">
      <c r="A18" s="183" t="s">
        <v>231</v>
      </c>
      <c r="B18" s="184" t="s">
        <v>163</v>
      </c>
      <c r="C18" s="184" t="s">
        <v>163</v>
      </c>
      <c r="D18" s="184" t="s">
        <v>163</v>
      </c>
      <c r="E18" s="184" t="s">
        <v>163</v>
      </c>
      <c r="F18" s="184">
        <v>219</v>
      </c>
      <c r="G18" s="184">
        <v>306</v>
      </c>
      <c r="H18" s="184">
        <v>193</v>
      </c>
      <c r="I18" s="184">
        <v>195</v>
      </c>
      <c r="J18" s="184">
        <v>199</v>
      </c>
      <c r="K18" s="184">
        <v>188</v>
      </c>
      <c r="L18" s="184">
        <v>187</v>
      </c>
      <c r="M18" s="184">
        <v>187</v>
      </c>
      <c r="N18" s="184">
        <v>184.16370000000001</v>
      </c>
      <c r="O18" s="184">
        <v>189.170345</v>
      </c>
      <c r="P18" s="184">
        <v>181.71669800000001</v>
      </c>
      <c r="Q18" s="184">
        <v>186.10567</v>
      </c>
      <c r="R18" s="184">
        <v>191.89107100000004</v>
      </c>
      <c r="S18" s="184">
        <v>186.99797199999998</v>
      </c>
      <c r="T18" s="184">
        <v>187.793553</v>
      </c>
      <c r="U18" s="184">
        <v>176.144657</v>
      </c>
      <c r="V18" s="184">
        <v>173.21470899999997</v>
      </c>
      <c r="W18" s="184">
        <v>172.98174700000001</v>
      </c>
      <c r="X18" s="184">
        <v>163.88912900000003</v>
      </c>
      <c r="Y18" s="184">
        <v>155.51650000000001</v>
      </c>
      <c r="Z18" s="184">
        <v>160.68531200000001</v>
      </c>
      <c r="AA18" s="184">
        <v>168.066937</v>
      </c>
      <c r="AB18" s="184">
        <v>158.87200799999999</v>
      </c>
      <c r="AC18" s="184">
        <v>160.306691</v>
      </c>
      <c r="AD18" s="184">
        <v>161.88904700000001</v>
      </c>
      <c r="AE18" s="184">
        <v>156.31329400000001</v>
      </c>
      <c r="AF18" s="184">
        <v>157.73160200000001</v>
      </c>
      <c r="AG18" s="184">
        <v>146.21782099999999</v>
      </c>
      <c r="AH18" s="184">
        <v>153.97867400000001</v>
      </c>
      <c r="AI18" s="184">
        <v>140.21642199999999</v>
      </c>
      <c r="AJ18" s="184">
        <v>126.282285</v>
      </c>
      <c r="AK18" s="184">
        <v>125.805218</v>
      </c>
      <c r="AL18" s="184">
        <v>89.173112000000003</v>
      </c>
      <c r="AM18" s="184">
        <v>56.164338000000001</v>
      </c>
      <c r="AN18" s="184">
        <v>77.939828000000006</v>
      </c>
      <c r="AO18" s="184">
        <v>84.204537999999999</v>
      </c>
      <c r="AP18" s="184">
        <v>101.43056</v>
      </c>
    </row>
    <row r="19" spans="1:42" ht="16.5" customHeight="1">
      <c r="A19" s="160" t="s">
        <v>167</v>
      </c>
      <c r="B19" s="24">
        <v>4197</v>
      </c>
      <c r="C19" s="24">
        <v>4128</v>
      </c>
      <c r="D19" s="24">
        <v>4592</v>
      </c>
      <c r="E19" s="24">
        <v>4513</v>
      </c>
      <c r="F19" s="24">
        <v>6516</v>
      </c>
      <c r="G19" s="24">
        <v>6534</v>
      </c>
      <c r="H19" s="24">
        <v>7082</v>
      </c>
      <c r="I19" s="24">
        <v>7344</v>
      </c>
      <c r="J19" s="24">
        <v>7320</v>
      </c>
      <c r="K19" s="24">
        <v>6940</v>
      </c>
      <c r="L19" s="24">
        <v>7996</v>
      </c>
      <c r="M19" s="24">
        <v>8244</v>
      </c>
      <c r="N19" s="24">
        <v>8350.4012999999995</v>
      </c>
      <c r="O19" s="24">
        <v>8037.4858980000008</v>
      </c>
      <c r="P19" s="24">
        <v>8702.2589120000011</v>
      </c>
      <c r="Q19" s="24">
        <v>8764.0169889999997</v>
      </c>
      <c r="R19" s="24">
        <v>9399.8729629999998</v>
      </c>
      <c r="S19" s="24">
        <v>9543.5642550000011</v>
      </c>
      <c r="T19" s="24">
        <v>9499.8287029999992</v>
      </c>
      <c r="U19" s="24">
        <v>9555.383124</v>
      </c>
      <c r="V19" s="24">
        <v>9715.2788890000011</v>
      </c>
      <c r="W19" s="24">
        <v>9470.1332469999998</v>
      </c>
      <c r="X19" s="24">
        <v>10358.926487000002</v>
      </c>
      <c r="Y19" s="24">
        <v>11136.821900000001</v>
      </c>
      <c r="Z19" s="24">
        <v>11031.999811</v>
      </c>
      <c r="AA19" s="24">
        <v>11129.418953</v>
      </c>
      <c r="AB19" s="24">
        <v>10773.7353</v>
      </c>
      <c r="AC19" s="24">
        <v>11314.228574000001</v>
      </c>
      <c r="AD19" s="24">
        <v>11120.63185</v>
      </c>
      <c r="AE19" s="24">
        <v>11735.558829</v>
      </c>
      <c r="AF19" s="24">
        <v>11599.846942</v>
      </c>
      <c r="AG19" s="24">
        <v>11687.41799</v>
      </c>
      <c r="AH19" s="24">
        <v>11767.703304999999</v>
      </c>
      <c r="AI19" s="24">
        <v>12250.669639</v>
      </c>
      <c r="AJ19" s="24">
        <v>12609.891154999999</v>
      </c>
      <c r="AK19" s="24">
        <v>12707.307116</v>
      </c>
      <c r="AL19" s="24">
        <v>6020.8763829999998</v>
      </c>
      <c r="AM19" s="24">
        <v>3706.5763750000001</v>
      </c>
      <c r="AN19" s="24">
        <v>5924.2964480000001</v>
      </c>
      <c r="AO19" s="179">
        <v>7045.3155669999996</v>
      </c>
      <c r="AP19" s="24">
        <v>8659.4933959999998</v>
      </c>
    </row>
    <row r="20" spans="1:42" s="185" customFormat="1" ht="16.5" customHeight="1">
      <c r="A20" s="186" t="s">
        <v>232</v>
      </c>
      <c r="B20" s="184" t="s">
        <v>163</v>
      </c>
      <c r="C20" s="184" t="s">
        <v>163</v>
      </c>
      <c r="D20" s="184" t="s">
        <v>163</v>
      </c>
      <c r="E20" s="184" t="s">
        <v>163</v>
      </c>
      <c r="F20" s="184" t="s">
        <v>164</v>
      </c>
      <c r="G20" s="184">
        <v>364</v>
      </c>
      <c r="H20" s="184">
        <v>431</v>
      </c>
      <c r="I20" s="184">
        <v>454</v>
      </c>
      <c r="J20" s="184">
        <v>495</v>
      </c>
      <c r="K20" s="184">
        <v>562</v>
      </c>
      <c r="L20" s="184">
        <v>577</v>
      </c>
      <c r="M20" s="184">
        <v>607</v>
      </c>
      <c r="N20" s="184">
        <v>390.9409</v>
      </c>
      <c r="O20" s="184">
        <v>531.07757100000003</v>
      </c>
      <c r="P20" s="184">
        <v>513.41098099999999</v>
      </c>
      <c r="Q20" s="184">
        <v>558.98629999999991</v>
      </c>
      <c r="R20" s="184">
        <v>587.65657799999997</v>
      </c>
      <c r="S20" s="184">
        <v>625.77712400000007</v>
      </c>
      <c r="T20" s="184">
        <v>650.98968500000001</v>
      </c>
      <c r="U20" s="184">
        <v>688.58305900000005</v>
      </c>
      <c r="V20" s="184">
        <v>703.84377199999994</v>
      </c>
      <c r="W20" s="184">
        <v>738.47902800000008</v>
      </c>
      <c r="X20" s="184">
        <v>753.30440099999998</v>
      </c>
      <c r="Y20" s="184">
        <v>777.72930000000008</v>
      </c>
      <c r="Z20" s="184">
        <v>843.926016</v>
      </c>
      <c r="AA20" s="184">
        <v>881.04851499999995</v>
      </c>
      <c r="AB20" s="184">
        <v>841.18544899999995</v>
      </c>
      <c r="AC20" s="184">
        <v>846.28385000000003</v>
      </c>
      <c r="AD20" s="184">
        <v>851.33871699999997</v>
      </c>
      <c r="AE20" s="184">
        <v>851.65238199999999</v>
      </c>
      <c r="AF20" s="184">
        <v>863.76945699999999</v>
      </c>
      <c r="AG20" s="184">
        <v>871.27002600000003</v>
      </c>
      <c r="AH20" s="184">
        <v>865.04832399999998</v>
      </c>
      <c r="AI20" s="184">
        <v>863.55728899999997</v>
      </c>
      <c r="AJ20" s="184">
        <v>851.11984399999994</v>
      </c>
      <c r="AK20" s="184">
        <v>838.53669000000002</v>
      </c>
      <c r="AL20" s="184">
        <v>653.56273699999997</v>
      </c>
      <c r="AM20" s="184">
        <v>480.92725899999999</v>
      </c>
      <c r="AN20" s="184">
        <v>637.29668200000003</v>
      </c>
      <c r="AO20" s="184">
        <v>739.48242200000004</v>
      </c>
      <c r="AP20" s="184">
        <v>804.29427699999997</v>
      </c>
    </row>
    <row r="21" spans="1:42" ht="16.5" customHeight="1">
      <c r="A21" s="160" t="s">
        <v>233</v>
      </c>
      <c r="B21" s="24" t="s">
        <v>163</v>
      </c>
      <c r="C21" s="24" t="s">
        <v>163</v>
      </c>
      <c r="D21" s="24" t="s">
        <v>163</v>
      </c>
      <c r="E21" s="24" t="s">
        <v>163</v>
      </c>
      <c r="F21" s="24" t="s">
        <v>164</v>
      </c>
      <c r="G21" s="24" t="s">
        <v>164</v>
      </c>
      <c r="H21" s="24">
        <v>286</v>
      </c>
      <c r="I21" s="24">
        <v>282</v>
      </c>
      <c r="J21" s="24">
        <v>271</v>
      </c>
      <c r="K21" s="24">
        <v>260</v>
      </c>
      <c r="L21" s="24">
        <v>260</v>
      </c>
      <c r="M21" s="24">
        <v>260</v>
      </c>
      <c r="N21" s="24">
        <v>255.38840000000002</v>
      </c>
      <c r="O21" s="24">
        <v>254.21924200000004</v>
      </c>
      <c r="P21" s="24">
        <v>280.125878</v>
      </c>
      <c r="Q21" s="24">
        <v>294.71404899999999</v>
      </c>
      <c r="R21" s="24">
        <v>298.132858</v>
      </c>
      <c r="S21" s="24">
        <v>295.33117599999997</v>
      </c>
      <c r="T21" s="24">
        <v>301.363563</v>
      </c>
      <c r="U21" s="24">
        <v>366.84362800000002</v>
      </c>
      <c r="V21" s="24">
        <v>356.984306</v>
      </c>
      <c r="W21" s="24">
        <v>359.19848399999995</v>
      </c>
      <c r="X21" s="24">
        <v>359.85686900000002</v>
      </c>
      <c r="Y21" s="24">
        <v>380.78190000000001</v>
      </c>
      <c r="Z21" s="24">
        <v>390.45811700000002</v>
      </c>
      <c r="AA21" s="24">
        <v>364.67172900000003</v>
      </c>
      <c r="AB21" s="24">
        <v>389.20500600000003</v>
      </c>
      <c r="AC21" s="24">
        <v>389.38419099999999</v>
      </c>
      <c r="AD21" s="24">
        <v>402.115701</v>
      </c>
      <c r="AE21" s="24">
        <v>402.30593399999998</v>
      </c>
      <c r="AF21" s="24">
        <v>414.20945999999998</v>
      </c>
      <c r="AG21" s="24">
        <v>450.52650199999999</v>
      </c>
      <c r="AH21" s="24">
        <v>489.35633300000001</v>
      </c>
      <c r="AI21" s="24">
        <v>486.03749599999998</v>
      </c>
      <c r="AJ21" s="24">
        <v>519.78385800000001</v>
      </c>
      <c r="AK21" s="24">
        <v>546.56959700000004</v>
      </c>
      <c r="AL21" s="24">
        <v>411.191959</v>
      </c>
      <c r="AM21" s="24">
        <v>268.01794899999999</v>
      </c>
      <c r="AN21" s="24">
        <v>377.48324200000002</v>
      </c>
      <c r="AO21" s="179">
        <v>435.68326500000001</v>
      </c>
      <c r="AP21" s="24">
        <v>472.38134000000002</v>
      </c>
    </row>
    <row r="22" spans="1:42" ht="16.5" customHeight="1">
      <c r="A22" s="160" t="s">
        <v>234</v>
      </c>
      <c r="B22" s="24" t="s">
        <v>163</v>
      </c>
      <c r="C22" s="24" t="s">
        <v>163</v>
      </c>
      <c r="D22" s="24" t="s">
        <v>163</v>
      </c>
      <c r="E22" s="24" t="s">
        <v>163</v>
      </c>
      <c r="F22" s="24">
        <v>390</v>
      </c>
      <c r="G22" s="24">
        <v>439</v>
      </c>
      <c r="H22" s="24">
        <v>124</v>
      </c>
      <c r="I22" s="24">
        <v>148</v>
      </c>
      <c r="J22" s="24">
        <v>182</v>
      </c>
      <c r="K22" s="24">
        <v>251</v>
      </c>
      <c r="L22" s="24">
        <v>232</v>
      </c>
      <c r="M22" s="24">
        <v>273</v>
      </c>
      <c r="N22" s="24">
        <v>515.5963999999949</v>
      </c>
      <c r="O22" s="24">
        <v>579.27095199999894</v>
      </c>
      <c r="P22" s="24">
        <v>654.07030799999484</v>
      </c>
      <c r="Q22" s="24">
        <v>699.01640200000111</v>
      </c>
      <c r="R22" s="24">
        <v>632.40979800000787</v>
      </c>
      <c r="S22" s="24">
        <v>667.59748699999909</v>
      </c>
      <c r="T22" s="24">
        <v>682.52739499999007</v>
      </c>
      <c r="U22" s="24">
        <v>628.79707700001018</v>
      </c>
      <c r="V22" s="24">
        <v>745.12879600000451</v>
      </c>
      <c r="W22" s="24">
        <v>841.65538500000548</v>
      </c>
      <c r="X22" s="24">
        <v>890.82436499999312</v>
      </c>
      <c r="Y22" s="24">
        <v>966.1105000000025</v>
      </c>
      <c r="Z22" s="24">
        <v>1155.9272169999999</v>
      </c>
      <c r="AA22" s="24">
        <v>1253.9602890000001</v>
      </c>
      <c r="AB22" s="24">
        <v>1314.7709150000001</v>
      </c>
      <c r="AC22" s="24">
        <v>1379.3117219999999</v>
      </c>
      <c r="AD22" s="24">
        <v>1485.809925</v>
      </c>
      <c r="AE22" s="24">
        <v>1494.6165370000001</v>
      </c>
      <c r="AF22" s="24">
        <v>1534.0180089999999</v>
      </c>
      <c r="AG22" s="24">
        <v>1487.977903</v>
      </c>
      <c r="AH22" s="24">
        <v>1522.03243</v>
      </c>
      <c r="AI22" s="24">
        <v>1494.7848240000001</v>
      </c>
      <c r="AJ22" s="24">
        <v>1456.074891</v>
      </c>
      <c r="AK22" s="24">
        <v>1453.218335</v>
      </c>
      <c r="AL22" s="24">
        <v>974.63186199999996</v>
      </c>
      <c r="AM22" s="24">
        <v>665.32886499999995</v>
      </c>
      <c r="AN22" s="24">
        <v>792.89804300000003</v>
      </c>
      <c r="AO22" s="179">
        <v>893.223434</v>
      </c>
      <c r="AP22" s="24">
        <v>933.08836099999996</v>
      </c>
    </row>
    <row r="23" spans="1:42" ht="16.5" customHeight="1">
      <c r="A23" s="19" t="s">
        <v>235</v>
      </c>
      <c r="B23" s="22">
        <v>17064</v>
      </c>
      <c r="C23" s="22">
        <v>13260</v>
      </c>
      <c r="D23" s="22">
        <v>6179</v>
      </c>
      <c r="E23" s="22">
        <v>3931</v>
      </c>
      <c r="F23" s="22">
        <v>4503</v>
      </c>
      <c r="G23" s="22">
        <v>4825</v>
      </c>
      <c r="H23" s="22">
        <v>6057</v>
      </c>
      <c r="I23" s="22">
        <v>6273</v>
      </c>
      <c r="J23" s="22">
        <v>6091</v>
      </c>
      <c r="K23" s="22">
        <v>6199</v>
      </c>
      <c r="L23" s="22">
        <v>5921</v>
      </c>
      <c r="M23" s="22">
        <v>5545</v>
      </c>
      <c r="N23" s="22">
        <v>5050</v>
      </c>
      <c r="O23" s="22">
        <v>5166</v>
      </c>
      <c r="P23" s="22">
        <v>5304</v>
      </c>
      <c r="Q23" s="22">
        <v>5330</v>
      </c>
      <c r="R23" s="22">
        <v>5573.9916949999997</v>
      </c>
      <c r="S23" s="22">
        <v>5571</v>
      </c>
      <c r="T23" s="22">
        <v>5313.8277230000003</v>
      </c>
      <c r="U23" s="22">
        <v>5679.9337930000002</v>
      </c>
      <c r="V23" s="22">
        <v>5510.88</v>
      </c>
      <c r="W23" s="22">
        <v>5381</v>
      </c>
      <c r="X23" s="22">
        <v>5410</v>
      </c>
      <c r="Y23" s="22">
        <v>5783</v>
      </c>
      <c r="Z23" s="22">
        <v>6179</v>
      </c>
      <c r="AA23" s="22">
        <v>5914</v>
      </c>
      <c r="AB23" s="22">
        <v>6420</v>
      </c>
      <c r="AC23" s="22">
        <v>6568</v>
      </c>
      <c r="AD23" s="22">
        <v>6804</v>
      </c>
      <c r="AE23" s="22">
        <v>6810</v>
      </c>
      <c r="AF23" s="22">
        <v>6675</v>
      </c>
      <c r="AG23" s="22">
        <v>6536</v>
      </c>
      <c r="AH23" s="22">
        <v>6520</v>
      </c>
      <c r="AI23" s="22">
        <v>6563</v>
      </c>
      <c r="AJ23" s="22">
        <v>6361</v>
      </c>
      <c r="AK23" s="22">
        <v>6487</v>
      </c>
      <c r="AL23" s="22">
        <v>3450</v>
      </c>
      <c r="AM23" s="22">
        <v>2860</v>
      </c>
      <c r="AN23" s="22">
        <v>4888</v>
      </c>
      <c r="AO23" s="180">
        <v>5826</v>
      </c>
      <c r="AP23" s="22">
        <v>6546</v>
      </c>
    </row>
    <row r="24" spans="1:42" ht="16.5" customHeight="1">
      <c r="A24" s="19" t="s">
        <v>236</v>
      </c>
      <c r="B24" s="22" t="s">
        <v>163</v>
      </c>
      <c r="C24" s="22" t="s">
        <v>163</v>
      </c>
      <c r="D24" s="22" t="s">
        <v>163</v>
      </c>
      <c r="E24" s="22" t="s">
        <v>163</v>
      </c>
      <c r="F24" s="22" t="s">
        <v>163</v>
      </c>
      <c r="G24" s="22" t="s">
        <v>163</v>
      </c>
      <c r="H24" s="22">
        <v>11418</v>
      </c>
      <c r="I24" s="22" t="s">
        <v>163</v>
      </c>
      <c r="J24" s="22" t="s">
        <v>163</v>
      </c>
      <c r="K24" s="22" t="s">
        <v>163</v>
      </c>
      <c r="L24" s="22" t="s">
        <v>163</v>
      </c>
      <c r="M24" s="22">
        <v>10821</v>
      </c>
      <c r="N24" s="22" t="s">
        <v>163</v>
      </c>
      <c r="O24" s="22" t="s">
        <v>163</v>
      </c>
      <c r="P24" s="22" t="s">
        <v>163</v>
      </c>
      <c r="Q24" s="22" t="s">
        <v>163</v>
      </c>
      <c r="R24" s="22" t="s">
        <v>163</v>
      </c>
      <c r="S24" s="22">
        <v>24779</v>
      </c>
      <c r="T24" s="22" t="s">
        <v>163</v>
      </c>
      <c r="U24" s="22" t="s">
        <v>163</v>
      </c>
      <c r="V24" s="22" t="s">
        <v>163</v>
      </c>
      <c r="W24" s="22" t="s">
        <v>163</v>
      </c>
      <c r="X24" s="22" t="s">
        <v>163</v>
      </c>
      <c r="Y24" s="22" t="s">
        <v>163</v>
      </c>
      <c r="Z24" s="22" t="s">
        <v>163</v>
      </c>
      <c r="AA24" s="22">
        <v>27943</v>
      </c>
      <c r="AB24" s="22" t="s">
        <v>163</v>
      </c>
      <c r="AC24" s="22" t="s">
        <v>163</v>
      </c>
      <c r="AD24" s="22" t="s">
        <v>163</v>
      </c>
      <c r="AE24" s="22" t="s">
        <v>163</v>
      </c>
      <c r="AF24" s="22" t="s">
        <v>163</v>
      </c>
      <c r="AG24" s="22" t="s">
        <v>163</v>
      </c>
      <c r="AH24" s="22" t="s">
        <v>163</v>
      </c>
      <c r="AI24" s="22">
        <v>33651</v>
      </c>
      <c r="AJ24" s="22" t="s">
        <v>163</v>
      </c>
      <c r="AK24" s="22" t="s">
        <v>163</v>
      </c>
      <c r="AL24" s="22" t="s">
        <v>163</v>
      </c>
      <c r="AM24" s="22" t="s">
        <v>163</v>
      </c>
      <c r="AN24" s="22">
        <v>16153</v>
      </c>
      <c r="AO24" s="180" t="s">
        <v>163</v>
      </c>
      <c r="AP24" s="22" t="s">
        <v>163</v>
      </c>
    </row>
    <row r="25" spans="1:42" ht="16.5" customHeight="1" thickBot="1">
      <c r="A25" s="19" t="s">
        <v>237</v>
      </c>
      <c r="B25" s="27" t="s">
        <v>163</v>
      </c>
      <c r="C25" s="27" t="s">
        <v>163</v>
      </c>
      <c r="D25" s="27" t="s">
        <v>163</v>
      </c>
      <c r="E25" s="27" t="s">
        <v>163</v>
      </c>
      <c r="F25" s="27" t="s">
        <v>163</v>
      </c>
      <c r="G25" s="27" t="s">
        <v>163</v>
      </c>
      <c r="H25" s="27">
        <v>3471</v>
      </c>
      <c r="I25" s="27" t="s">
        <v>163</v>
      </c>
      <c r="J25" s="27" t="s">
        <v>163</v>
      </c>
      <c r="K25" s="27" t="s">
        <v>163</v>
      </c>
      <c r="L25" s="27" t="s">
        <v>163</v>
      </c>
      <c r="M25" s="27">
        <v>4593</v>
      </c>
      <c r="N25" s="27" t="s">
        <v>163</v>
      </c>
      <c r="O25" s="27" t="s">
        <v>163</v>
      </c>
      <c r="P25" s="27" t="s">
        <v>163</v>
      </c>
      <c r="Q25" s="27" t="s">
        <v>163</v>
      </c>
      <c r="R25" s="27" t="s">
        <v>163</v>
      </c>
      <c r="S25" s="27">
        <v>6266</v>
      </c>
      <c r="T25" s="27" t="s">
        <v>163</v>
      </c>
      <c r="U25" s="27" t="s">
        <v>163</v>
      </c>
      <c r="V25" s="27" t="s">
        <v>163</v>
      </c>
      <c r="W25" s="27" t="s">
        <v>163</v>
      </c>
      <c r="X25" s="27" t="s">
        <v>163</v>
      </c>
      <c r="Y25" s="27" t="s">
        <v>163</v>
      </c>
      <c r="Z25" s="27" t="s">
        <v>163</v>
      </c>
      <c r="AA25" s="27">
        <v>8956</v>
      </c>
      <c r="AB25" s="27" t="s">
        <v>163</v>
      </c>
      <c r="AC25" s="27" t="s">
        <v>163</v>
      </c>
      <c r="AD25" s="27" t="s">
        <v>163</v>
      </c>
      <c r="AE25" s="27" t="s">
        <v>163</v>
      </c>
      <c r="AF25" s="27" t="s">
        <v>163</v>
      </c>
      <c r="AG25" s="27" t="s">
        <v>163</v>
      </c>
      <c r="AH25" s="27" t="s">
        <v>163</v>
      </c>
      <c r="AI25" s="27">
        <v>8499</v>
      </c>
      <c r="AJ25" s="27" t="s">
        <v>163</v>
      </c>
      <c r="AK25" s="27" t="s">
        <v>163</v>
      </c>
      <c r="AL25" s="27" t="s">
        <v>163</v>
      </c>
      <c r="AM25" s="27" t="s">
        <v>163</v>
      </c>
      <c r="AN25" s="27">
        <v>5888</v>
      </c>
      <c r="AO25" s="181" t="s">
        <v>163</v>
      </c>
      <c r="AP25" s="27" t="s">
        <v>163</v>
      </c>
    </row>
    <row r="26" spans="1:42" ht="12.65" customHeight="1">
      <c r="A26" s="162" t="s">
        <v>3892</v>
      </c>
      <c r="B26" s="162"/>
      <c r="C26" s="162"/>
      <c r="D26" s="162"/>
      <c r="E26" s="162"/>
      <c r="F26" s="162"/>
      <c r="G26" s="162"/>
      <c r="H26" s="162"/>
      <c r="I26" s="162"/>
      <c r="J26" s="162"/>
      <c r="K26" s="162"/>
      <c r="L26" s="162"/>
      <c r="M26" s="162"/>
      <c r="N26" s="162"/>
      <c r="O26" s="162"/>
      <c r="P26" s="162"/>
      <c r="Q26" s="162"/>
      <c r="R26" s="162"/>
      <c r="S26" s="162"/>
      <c r="T26" s="162"/>
      <c r="U26" s="162"/>
      <c r="V26" s="162"/>
      <c r="W26" s="162"/>
      <c r="X26" s="162"/>
      <c r="Y26" s="162"/>
      <c r="Z26" s="162"/>
      <c r="AA26" s="28"/>
      <c r="AB26" s="28"/>
      <c r="AC26" s="28"/>
      <c r="AD26" s="28"/>
      <c r="AE26" s="28"/>
      <c r="AF26" s="28"/>
      <c r="AG26" s="28"/>
      <c r="AH26" s="28"/>
      <c r="AI26" s="28"/>
      <c r="AJ26" s="28"/>
      <c r="AK26" s="28"/>
      <c r="AL26" s="28"/>
      <c r="AM26" s="28"/>
      <c r="AN26" s="28"/>
      <c r="AO26" s="182"/>
    </row>
    <row r="27" spans="1:42" ht="12.65" customHeight="1">
      <c r="A27" s="163"/>
      <c r="B27" s="163"/>
      <c r="C27" s="163"/>
      <c r="D27" s="163"/>
      <c r="E27" s="163"/>
      <c r="F27" s="163"/>
      <c r="G27" s="163"/>
      <c r="H27" s="163"/>
      <c r="I27" s="163"/>
      <c r="J27" s="163"/>
      <c r="K27" s="163"/>
      <c r="L27" s="163"/>
      <c r="M27" s="163"/>
      <c r="N27" s="163"/>
      <c r="O27" s="163"/>
      <c r="P27" s="163"/>
      <c r="Q27" s="163"/>
      <c r="R27" s="163"/>
      <c r="S27" s="163"/>
      <c r="T27" s="163"/>
      <c r="U27" s="163"/>
      <c r="V27" s="163"/>
      <c r="W27" s="163"/>
      <c r="X27" s="163"/>
      <c r="Y27" s="163"/>
      <c r="Z27" s="163"/>
      <c r="AA27" s="171"/>
      <c r="AB27" s="171"/>
      <c r="AC27" s="171"/>
      <c r="AD27" s="171"/>
      <c r="AE27" s="171"/>
      <c r="AF27" s="171"/>
      <c r="AG27" s="171"/>
      <c r="AH27" s="171"/>
      <c r="AI27" s="171"/>
      <c r="AJ27" s="171"/>
      <c r="AK27" s="171"/>
      <c r="AL27" s="171"/>
      <c r="AM27" s="171"/>
      <c r="AN27" s="171"/>
    </row>
    <row r="28" spans="1:42" ht="25.5" customHeight="1">
      <c r="A28" s="164" t="s">
        <v>238</v>
      </c>
      <c r="B28" s="164"/>
      <c r="C28" s="164"/>
      <c r="D28" s="164"/>
      <c r="E28" s="164"/>
      <c r="F28" s="164"/>
      <c r="G28" s="164"/>
      <c r="H28" s="164"/>
      <c r="I28" s="164"/>
      <c r="J28" s="164"/>
      <c r="K28" s="164"/>
      <c r="L28" s="164"/>
      <c r="M28" s="164"/>
      <c r="N28" s="164"/>
      <c r="O28" s="164"/>
      <c r="P28" s="164"/>
      <c r="Q28" s="164"/>
      <c r="R28" s="164"/>
      <c r="S28" s="164"/>
      <c r="T28" s="164"/>
      <c r="U28" s="164"/>
      <c r="V28" s="164"/>
      <c r="W28" s="164"/>
      <c r="X28" s="164"/>
      <c r="Y28" s="164"/>
      <c r="Z28" s="164"/>
      <c r="AA28" s="28"/>
      <c r="AB28" s="28"/>
      <c r="AC28" s="28"/>
      <c r="AD28" s="28"/>
      <c r="AE28" s="28"/>
      <c r="AF28" s="28"/>
      <c r="AG28" s="28"/>
      <c r="AH28" s="28"/>
      <c r="AI28" s="28"/>
      <c r="AJ28" s="28"/>
      <c r="AK28" s="28"/>
      <c r="AL28" s="28"/>
      <c r="AM28" s="28"/>
      <c r="AN28" s="28"/>
    </row>
    <row r="29" spans="1:42" ht="12.75" customHeight="1">
      <c r="A29" s="164" t="s">
        <v>239</v>
      </c>
      <c r="B29" s="164"/>
      <c r="C29" s="164"/>
      <c r="D29" s="164"/>
      <c r="E29" s="164"/>
      <c r="F29" s="164"/>
      <c r="G29" s="164"/>
      <c r="H29" s="164"/>
      <c r="I29" s="164"/>
      <c r="J29" s="164"/>
      <c r="K29" s="164"/>
      <c r="L29" s="164"/>
      <c r="M29" s="164"/>
      <c r="N29" s="164"/>
      <c r="O29" s="164"/>
      <c r="P29" s="164"/>
      <c r="Q29" s="164"/>
      <c r="R29" s="164"/>
      <c r="S29" s="164"/>
      <c r="T29" s="164"/>
      <c r="U29" s="164"/>
      <c r="V29" s="164"/>
      <c r="W29" s="164"/>
      <c r="X29" s="164"/>
      <c r="Y29" s="164"/>
      <c r="Z29" s="164"/>
      <c r="AA29" s="28"/>
      <c r="AB29" s="28"/>
      <c r="AC29" s="28"/>
      <c r="AD29" s="28"/>
      <c r="AE29" s="28"/>
      <c r="AF29" s="28"/>
      <c r="AG29" s="28"/>
      <c r="AH29" s="28"/>
      <c r="AI29" s="28"/>
      <c r="AJ29" s="28"/>
      <c r="AK29" s="28"/>
      <c r="AL29" s="28"/>
      <c r="AM29" s="28"/>
      <c r="AN29" s="28"/>
    </row>
    <row r="30" spans="1:42" ht="12.75" customHeight="1">
      <c r="A30" s="164" t="s">
        <v>240</v>
      </c>
      <c r="B30" s="164"/>
      <c r="C30" s="164"/>
      <c r="D30" s="164"/>
      <c r="E30" s="164"/>
      <c r="F30" s="164"/>
      <c r="G30" s="164"/>
      <c r="H30" s="164"/>
      <c r="I30" s="164"/>
      <c r="J30" s="164"/>
      <c r="K30" s="164"/>
      <c r="L30" s="164"/>
      <c r="M30" s="164"/>
      <c r="N30" s="164"/>
      <c r="O30" s="164"/>
      <c r="P30" s="164"/>
      <c r="Q30" s="164"/>
      <c r="R30" s="164"/>
      <c r="S30" s="164"/>
      <c r="T30" s="164"/>
      <c r="U30" s="164"/>
      <c r="V30" s="164"/>
      <c r="W30" s="164"/>
      <c r="X30" s="164"/>
      <c r="Y30" s="164"/>
      <c r="Z30" s="164"/>
      <c r="AA30" s="28"/>
      <c r="AB30" s="28"/>
      <c r="AC30" s="28"/>
      <c r="AD30" s="28"/>
      <c r="AE30" s="28"/>
      <c r="AF30" s="28"/>
      <c r="AG30" s="28"/>
      <c r="AH30" s="28"/>
      <c r="AI30" s="28"/>
      <c r="AJ30" s="28"/>
      <c r="AK30" s="28"/>
      <c r="AL30" s="28"/>
      <c r="AM30" s="28"/>
      <c r="AN30" s="28"/>
    </row>
    <row r="31" spans="1:42" ht="25.5" customHeight="1">
      <c r="A31" s="164" t="s">
        <v>241</v>
      </c>
      <c r="B31" s="164"/>
      <c r="C31" s="164"/>
      <c r="D31" s="164"/>
      <c r="E31" s="164"/>
      <c r="F31" s="164"/>
      <c r="G31" s="164"/>
      <c r="H31" s="164"/>
      <c r="I31" s="164"/>
      <c r="J31" s="164"/>
      <c r="K31" s="164"/>
      <c r="L31" s="164"/>
      <c r="M31" s="164"/>
      <c r="N31" s="164"/>
      <c r="O31" s="164"/>
      <c r="P31" s="164"/>
      <c r="Q31" s="164"/>
      <c r="R31" s="164"/>
      <c r="S31" s="164"/>
      <c r="T31" s="164"/>
      <c r="U31" s="164"/>
      <c r="V31" s="164"/>
      <c r="W31" s="164"/>
      <c r="X31" s="164"/>
      <c r="Y31" s="164"/>
      <c r="Z31" s="164"/>
      <c r="AA31" s="28"/>
      <c r="AB31" s="28"/>
      <c r="AC31" s="28"/>
      <c r="AD31" s="28"/>
      <c r="AE31" s="28"/>
      <c r="AF31" s="28"/>
      <c r="AG31" s="28"/>
      <c r="AH31" s="28"/>
      <c r="AI31" s="28"/>
      <c r="AJ31" s="28"/>
      <c r="AK31" s="28"/>
      <c r="AL31" s="28"/>
      <c r="AM31" s="28"/>
      <c r="AN31" s="28"/>
    </row>
    <row r="32" spans="1:42" ht="12.75" customHeight="1">
      <c r="A32" s="164" t="s">
        <v>242</v>
      </c>
      <c r="B32" s="164"/>
      <c r="C32" s="164"/>
      <c r="D32" s="164"/>
      <c r="E32" s="164"/>
      <c r="F32" s="164"/>
      <c r="G32" s="164"/>
      <c r="H32" s="164"/>
      <c r="I32" s="164"/>
      <c r="J32" s="164"/>
      <c r="K32" s="164"/>
      <c r="L32" s="164"/>
      <c r="M32" s="164"/>
      <c r="N32" s="164"/>
      <c r="O32" s="164"/>
      <c r="P32" s="164"/>
      <c r="Q32" s="164"/>
      <c r="R32" s="164"/>
      <c r="S32" s="164"/>
      <c r="T32" s="164"/>
      <c r="U32" s="164"/>
      <c r="V32" s="164"/>
      <c r="W32" s="164"/>
      <c r="X32" s="164"/>
      <c r="Y32" s="164"/>
      <c r="Z32" s="164"/>
      <c r="AA32" s="28"/>
      <c r="AB32" s="28"/>
      <c r="AC32" s="28"/>
      <c r="AD32" s="28"/>
      <c r="AE32" s="28"/>
      <c r="AF32" s="28"/>
      <c r="AG32" s="28"/>
      <c r="AH32" s="28"/>
      <c r="AI32" s="28"/>
      <c r="AJ32" s="28"/>
      <c r="AK32" s="28"/>
      <c r="AL32" s="28"/>
      <c r="AM32" s="28"/>
      <c r="AN32" s="28"/>
    </row>
    <row r="33" spans="1:40" ht="12.75" customHeight="1">
      <c r="A33" s="164" t="s">
        <v>243</v>
      </c>
      <c r="B33" s="164"/>
      <c r="C33" s="164"/>
      <c r="D33" s="164"/>
      <c r="E33" s="164"/>
      <c r="F33" s="164"/>
      <c r="G33" s="164"/>
      <c r="H33" s="164"/>
      <c r="I33" s="164"/>
      <c r="J33" s="164"/>
      <c r="K33" s="164"/>
      <c r="L33" s="164"/>
      <c r="M33" s="164"/>
      <c r="N33" s="164"/>
      <c r="O33" s="164"/>
      <c r="P33" s="164"/>
      <c r="Q33" s="164"/>
      <c r="R33" s="164"/>
      <c r="S33" s="164"/>
      <c r="T33" s="164"/>
      <c r="U33" s="164"/>
      <c r="V33" s="164"/>
      <c r="W33" s="164"/>
      <c r="X33" s="164"/>
      <c r="Y33" s="164"/>
      <c r="Z33" s="164"/>
      <c r="AA33" s="28"/>
      <c r="AB33" s="28"/>
      <c r="AC33" s="28"/>
      <c r="AD33" s="28"/>
      <c r="AE33" s="28"/>
      <c r="AF33" s="28"/>
      <c r="AG33" s="28"/>
      <c r="AH33" s="28"/>
      <c r="AI33" s="28"/>
      <c r="AJ33" s="28"/>
      <c r="AK33" s="28"/>
      <c r="AL33" s="28"/>
      <c r="AM33" s="28"/>
      <c r="AN33" s="28"/>
    </row>
    <row r="34" spans="1:40" ht="12.75" customHeight="1">
      <c r="A34" s="164" t="s">
        <v>244</v>
      </c>
      <c r="B34" s="164"/>
      <c r="C34" s="164"/>
      <c r="D34" s="164"/>
      <c r="E34" s="164"/>
      <c r="F34" s="164"/>
      <c r="G34" s="164"/>
      <c r="H34" s="164"/>
      <c r="I34" s="164"/>
      <c r="J34" s="164"/>
      <c r="K34" s="164"/>
      <c r="L34" s="164"/>
      <c r="M34" s="164"/>
      <c r="N34" s="164"/>
      <c r="O34" s="164"/>
      <c r="P34" s="164"/>
      <c r="Q34" s="164"/>
      <c r="R34" s="164"/>
      <c r="S34" s="164"/>
      <c r="T34" s="164"/>
      <c r="U34" s="164"/>
      <c r="V34" s="164"/>
      <c r="W34" s="164"/>
      <c r="X34" s="164"/>
      <c r="Y34" s="164"/>
      <c r="Z34" s="164"/>
      <c r="AA34" s="28"/>
      <c r="AB34" s="28"/>
      <c r="AC34" s="28"/>
      <c r="AD34" s="28"/>
      <c r="AE34" s="28"/>
      <c r="AF34" s="28"/>
      <c r="AG34" s="28"/>
      <c r="AH34" s="28"/>
      <c r="AI34" s="28"/>
      <c r="AJ34" s="28"/>
      <c r="AK34" s="28"/>
      <c r="AL34" s="28"/>
      <c r="AM34" s="28"/>
      <c r="AN34" s="28"/>
    </row>
    <row r="35" spans="1:40" ht="12.75" customHeight="1">
      <c r="A35" s="165" t="s">
        <v>245</v>
      </c>
      <c r="B35" s="165"/>
      <c r="C35" s="165"/>
      <c r="D35" s="165"/>
      <c r="E35" s="165"/>
      <c r="F35" s="165"/>
      <c r="G35" s="165"/>
      <c r="H35" s="165"/>
      <c r="I35" s="165"/>
      <c r="J35" s="165"/>
      <c r="K35" s="165"/>
      <c r="L35" s="165"/>
      <c r="M35" s="165"/>
      <c r="N35" s="165"/>
      <c r="O35" s="165"/>
      <c r="P35" s="165"/>
      <c r="Q35" s="165"/>
      <c r="R35" s="165"/>
      <c r="S35" s="165"/>
      <c r="T35" s="165"/>
      <c r="U35" s="165"/>
      <c r="V35" s="165"/>
      <c r="W35" s="165"/>
      <c r="X35" s="165"/>
      <c r="Y35" s="165"/>
      <c r="Z35" s="165"/>
      <c r="AA35" s="28"/>
      <c r="AB35" s="28"/>
      <c r="AC35" s="28"/>
      <c r="AD35" s="28"/>
      <c r="AE35" s="28"/>
      <c r="AF35" s="28"/>
      <c r="AG35" s="28"/>
      <c r="AH35" s="28"/>
      <c r="AI35" s="28"/>
      <c r="AJ35" s="28"/>
      <c r="AK35" s="28"/>
      <c r="AL35" s="28"/>
      <c r="AM35" s="28"/>
      <c r="AN35" s="28"/>
    </row>
    <row r="36" spans="1:40" ht="12.75" customHeight="1">
      <c r="A36" s="164" t="s">
        <v>246</v>
      </c>
      <c r="B36" s="164"/>
      <c r="C36" s="164"/>
      <c r="D36" s="164"/>
      <c r="E36" s="164"/>
      <c r="F36" s="164"/>
      <c r="G36" s="164"/>
      <c r="H36" s="164"/>
      <c r="I36" s="164"/>
      <c r="J36" s="164"/>
      <c r="K36" s="164"/>
      <c r="L36" s="164"/>
      <c r="M36" s="164"/>
      <c r="N36" s="164"/>
      <c r="O36" s="164"/>
      <c r="P36" s="164"/>
      <c r="Q36" s="164"/>
      <c r="R36" s="164"/>
      <c r="S36" s="164"/>
      <c r="T36" s="164"/>
      <c r="U36" s="164"/>
      <c r="V36" s="164"/>
      <c r="W36" s="164"/>
      <c r="X36" s="164"/>
      <c r="Y36" s="164"/>
      <c r="Z36" s="164"/>
      <c r="AA36" s="28"/>
      <c r="AB36" s="28"/>
      <c r="AC36" s="28"/>
      <c r="AD36" s="28"/>
      <c r="AE36" s="28"/>
      <c r="AF36" s="28"/>
      <c r="AG36" s="28"/>
      <c r="AH36" s="28"/>
      <c r="AI36" s="28"/>
      <c r="AJ36" s="28"/>
      <c r="AK36" s="28"/>
      <c r="AL36" s="28"/>
      <c r="AM36" s="28"/>
      <c r="AN36" s="28"/>
    </row>
    <row r="37" spans="1:40" ht="25.5" customHeight="1">
      <c r="A37" s="164" t="s">
        <v>247</v>
      </c>
      <c r="B37" s="164"/>
      <c r="C37" s="164"/>
      <c r="D37" s="164"/>
      <c r="E37" s="164"/>
      <c r="F37" s="164"/>
      <c r="G37" s="164"/>
      <c r="H37" s="164"/>
      <c r="I37" s="164"/>
      <c r="J37" s="164"/>
      <c r="K37" s="164"/>
      <c r="L37" s="164"/>
      <c r="M37" s="164"/>
      <c r="N37" s="164"/>
      <c r="O37" s="164"/>
      <c r="P37" s="164"/>
      <c r="Q37" s="164"/>
      <c r="R37" s="164"/>
      <c r="S37" s="164"/>
      <c r="T37" s="164"/>
      <c r="U37" s="164"/>
      <c r="V37" s="164"/>
      <c r="W37" s="164"/>
      <c r="X37" s="164"/>
      <c r="Y37" s="164"/>
      <c r="Z37" s="164"/>
      <c r="AA37" s="28"/>
      <c r="AB37" s="28"/>
      <c r="AC37" s="28"/>
      <c r="AD37" s="28"/>
      <c r="AE37" s="28"/>
      <c r="AF37" s="28"/>
      <c r="AG37" s="28"/>
      <c r="AH37" s="28"/>
      <c r="AI37" s="28"/>
      <c r="AJ37" s="28"/>
      <c r="AK37" s="28"/>
      <c r="AL37" s="28"/>
      <c r="AM37" s="28"/>
      <c r="AN37" s="28"/>
    </row>
    <row r="38" spans="1:40" ht="12.65" customHeight="1">
      <c r="A38" s="28"/>
      <c r="B38" s="28"/>
      <c r="C38" s="28"/>
      <c r="D38" s="28"/>
      <c r="E38" s="28"/>
      <c r="F38" s="28"/>
      <c r="G38" s="28"/>
      <c r="H38" s="28"/>
      <c r="I38" s="28"/>
      <c r="J38" s="28"/>
      <c r="K38" s="28"/>
      <c r="L38" s="28"/>
      <c r="M38" s="28"/>
      <c r="N38" s="28"/>
      <c r="O38" s="28"/>
      <c r="P38" s="28"/>
      <c r="Q38" s="28"/>
      <c r="R38" s="28"/>
      <c r="S38" s="28"/>
      <c r="T38" s="28"/>
      <c r="U38" s="28"/>
      <c r="V38" s="28"/>
      <c r="W38" s="28"/>
      <c r="X38" s="28"/>
      <c r="Y38" s="28"/>
      <c r="Z38" s="28"/>
      <c r="AA38" s="28"/>
      <c r="AB38" s="28"/>
      <c r="AC38" s="28"/>
      <c r="AD38" s="28"/>
      <c r="AE38" s="28"/>
      <c r="AF38" s="28"/>
      <c r="AG38" s="28"/>
      <c r="AH38" s="28"/>
      <c r="AI38" s="28"/>
      <c r="AJ38" s="28"/>
      <c r="AK38" s="28"/>
      <c r="AL38" s="28"/>
      <c r="AM38" s="28"/>
      <c r="AN38" s="28"/>
    </row>
    <row r="39" spans="1:40" ht="12.65" customHeight="1">
      <c r="A39" s="166" t="s">
        <v>169</v>
      </c>
      <c r="B39" s="166"/>
      <c r="C39" s="166"/>
      <c r="D39" s="166"/>
      <c r="E39" s="166"/>
      <c r="F39" s="166"/>
      <c r="G39" s="166"/>
      <c r="H39" s="166"/>
      <c r="I39" s="166"/>
      <c r="J39" s="166"/>
      <c r="K39" s="166"/>
      <c r="L39" s="166"/>
      <c r="M39" s="166"/>
      <c r="N39" s="166"/>
      <c r="O39" s="166"/>
      <c r="P39" s="166"/>
      <c r="Q39" s="166"/>
      <c r="R39" s="166"/>
      <c r="S39" s="166"/>
      <c r="T39" s="166"/>
      <c r="U39" s="166"/>
      <c r="V39" s="166"/>
      <c r="W39" s="166"/>
      <c r="X39" s="166"/>
      <c r="Y39" s="166"/>
      <c r="Z39" s="166"/>
      <c r="AA39" s="28"/>
      <c r="AB39" s="28"/>
      <c r="AC39" s="28"/>
      <c r="AD39" s="28"/>
      <c r="AE39" s="28"/>
      <c r="AF39" s="28"/>
      <c r="AG39" s="28"/>
      <c r="AH39" s="28"/>
      <c r="AI39" s="28"/>
      <c r="AJ39" s="28"/>
      <c r="AK39" s="28"/>
      <c r="AL39" s="28"/>
      <c r="AM39" s="28"/>
      <c r="AN39" s="28"/>
    </row>
    <row r="40" spans="1:40" ht="12.65" customHeight="1">
      <c r="A40" s="167" t="s">
        <v>248</v>
      </c>
      <c r="B40" s="167"/>
      <c r="C40" s="167"/>
      <c r="D40" s="167"/>
      <c r="E40" s="167"/>
      <c r="F40" s="167"/>
      <c r="G40" s="167"/>
      <c r="H40" s="167"/>
      <c r="I40" s="167"/>
      <c r="J40" s="167"/>
      <c r="K40" s="167"/>
      <c r="L40" s="167"/>
      <c r="M40" s="167"/>
      <c r="N40" s="167"/>
      <c r="O40" s="167"/>
      <c r="P40" s="167"/>
      <c r="Q40" s="167"/>
      <c r="R40" s="167"/>
      <c r="S40" s="167"/>
      <c r="T40" s="167"/>
      <c r="U40" s="167"/>
      <c r="V40" s="167"/>
      <c r="W40" s="167"/>
      <c r="X40" s="167"/>
      <c r="Y40" s="167"/>
      <c r="Z40" s="167"/>
      <c r="AA40" s="28"/>
      <c r="AB40" s="28"/>
      <c r="AC40" s="28"/>
      <c r="AD40" s="28"/>
      <c r="AE40" s="28"/>
      <c r="AF40" s="28"/>
      <c r="AG40" s="28"/>
      <c r="AH40" s="28"/>
      <c r="AI40" s="28"/>
      <c r="AJ40" s="28"/>
      <c r="AK40" s="28"/>
      <c r="AL40" s="28"/>
      <c r="AM40" s="28"/>
      <c r="AN40" s="28"/>
    </row>
    <row r="41" spans="1:40" ht="38.25" customHeight="1">
      <c r="A41" s="167" t="s">
        <v>170</v>
      </c>
      <c r="B41" s="167"/>
      <c r="C41" s="167"/>
      <c r="D41" s="167"/>
      <c r="E41" s="167"/>
      <c r="F41" s="167"/>
      <c r="G41" s="167"/>
      <c r="H41" s="167"/>
      <c r="I41" s="167"/>
      <c r="J41" s="167"/>
      <c r="K41" s="167"/>
      <c r="L41" s="167"/>
      <c r="M41" s="167"/>
      <c r="N41" s="167"/>
      <c r="O41" s="167"/>
      <c r="P41" s="167"/>
      <c r="Q41" s="167"/>
      <c r="R41" s="167"/>
      <c r="S41" s="167"/>
      <c r="T41" s="167"/>
      <c r="U41" s="167"/>
      <c r="V41" s="167"/>
      <c r="W41" s="167"/>
      <c r="X41" s="167"/>
      <c r="Y41" s="167"/>
      <c r="Z41" s="167"/>
      <c r="AA41" s="28"/>
      <c r="AB41" s="28"/>
      <c r="AC41" s="28"/>
      <c r="AD41" s="28"/>
      <c r="AE41" s="28"/>
      <c r="AF41" s="28"/>
      <c r="AG41" s="28"/>
      <c r="AH41" s="28"/>
      <c r="AI41" s="28"/>
      <c r="AJ41" s="28"/>
      <c r="AK41" s="28"/>
      <c r="AL41" s="28"/>
      <c r="AM41" s="28"/>
      <c r="AN41" s="28"/>
    </row>
    <row r="42" spans="1:40" ht="25.5" customHeight="1">
      <c r="A42" s="167" t="s">
        <v>249</v>
      </c>
      <c r="B42" s="167"/>
      <c r="C42" s="167"/>
      <c r="D42" s="167"/>
      <c r="E42" s="167"/>
      <c r="F42" s="167"/>
      <c r="G42" s="167"/>
      <c r="H42" s="167"/>
      <c r="I42" s="167"/>
      <c r="J42" s="167"/>
      <c r="K42" s="167"/>
      <c r="L42" s="167"/>
      <c r="M42" s="167"/>
      <c r="N42" s="167"/>
      <c r="O42" s="167"/>
      <c r="P42" s="167"/>
      <c r="Q42" s="167"/>
      <c r="R42" s="167"/>
      <c r="S42" s="167"/>
      <c r="T42" s="167"/>
      <c r="U42" s="167"/>
      <c r="V42" s="167"/>
      <c r="W42" s="167"/>
      <c r="X42" s="167"/>
      <c r="Y42" s="167"/>
      <c r="Z42" s="167"/>
      <c r="AA42" s="28"/>
      <c r="AB42" s="28"/>
      <c r="AC42" s="28"/>
      <c r="AD42" s="28"/>
      <c r="AE42" s="28"/>
      <c r="AF42" s="28"/>
      <c r="AG42" s="28"/>
      <c r="AH42" s="28"/>
      <c r="AI42" s="28"/>
      <c r="AJ42" s="28"/>
      <c r="AK42" s="28"/>
      <c r="AL42" s="28"/>
      <c r="AM42" s="28"/>
      <c r="AN42" s="28"/>
    </row>
    <row r="43" spans="1:40" ht="25.5" customHeight="1">
      <c r="A43" s="167" t="s">
        <v>250</v>
      </c>
      <c r="B43" s="167"/>
      <c r="C43" s="167"/>
      <c r="D43" s="167"/>
      <c r="E43" s="167"/>
      <c r="F43" s="167"/>
      <c r="G43" s="167"/>
      <c r="H43" s="167"/>
      <c r="I43" s="167"/>
      <c r="J43" s="167"/>
      <c r="K43" s="167"/>
      <c r="L43" s="167"/>
      <c r="M43" s="167"/>
      <c r="N43" s="167"/>
      <c r="O43" s="167"/>
      <c r="P43" s="167"/>
      <c r="Q43" s="167"/>
      <c r="R43" s="167"/>
      <c r="S43" s="167"/>
      <c r="T43" s="167"/>
      <c r="U43" s="167"/>
      <c r="V43" s="167"/>
      <c r="W43" s="167"/>
      <c r="X43" s="167"/>
      <c r="Y43" s="167"/>
      <c r="Z43" s="167"/>
      <c r="AA43" s="28"/>
      <c r="AB43" s="28"/>
      <c r="AC43" s="28"/>
      <c r="AD43" s="28"/>
      <c r="AE43" s="28"/>
      <c r="AF43" s="28"/>
      <c r="AG43" s="28"/>
      <c r="AH43" s="28"/>
      <c r="AI43" s="28"/>
      <c r="AJ43" s="28"/>
      <c r="AK43" s="28"/>
      <c r="AL43" s="28"/>
      <c r="AM43" s="28"/>
      <c r="AN43" s="28"/>
    </row>
    <row r="44" spans="1:40" ht="12.65" customHeight="1">
      <c r="A44" s="167" t="s">
        <v>171</v>
      </c>
      <c r="B44" s="167"/>
      <c r="C44" s="167"/>
      <c r="D44" s="167"/>
      <c r="E44" s="167"/>
      <c r="F44" s="167"/>
      <c r="G44" s="167"/>
      <c r="H44" s="167"/>
      <c r="I44" s="167"/>
      <c r="J44" s="167"/>
      <c r="K44" s="167"/>
      <c r="L44" s="167"/>
      <c r="M44" s="167"/>
      <c r="N44" s="167"/>
      <c r="O44" s="167"/>
      <c r="P44" s="167"/>
      <c r="Q44" s="167"/>
      <c r="R44" s="167"/>
      <c r="S44" s="167"/>
      <c r="T44" s="167"/>
      <c r="U44" s="167"/>
      <c r="V44" s="167"/>
      <c r="W44" s="167"/>
      <c r="X44" s="167"/>
      <c r="Y44" s="167"/>
      <c r="Z44" s="167"/>
      <c r="AA44" s="28"/>
      <c r="AB44" s="28"/>
      <c r="AC44" s="28"/>
      <c r="AD44" s="28"/>
      <c r="AE44" s="28"/>
      <c r="AF44" s="28"/>
      <c r="AG44" s="28"/>
      <c r="AH44" s="28"/>
      <c r="AI44" s="28"/>
      <c r="AJ44" s="28"/>
      <c r="AK44" s="28"/>
      <c r="AL44" s="28"/>
      <c r="AM44" s="28"/>
      <c r="AN44" s="28"/>
    </row>
    <row r="45" spans="1:40" ht="25.5" customHeight="1">
      <c r="A45" s="167" t="s">
        <v>251</v>
      </c>
      <c r="B45" s="167"/>
      <c r="C45" s="167"/>
      <c r="D45" s="167"/>
      <c r="E45" s="167"/>
      <c r="F45" s="167"/>
      <c r="G45" s="167"/>
      <c r="H45" s="167"/>
      <c r="I45" s="167"/>
      <c r="J45" s="167"/>
      <c r="K45" s="167"/>
      <c r="L45" s="167"/>
      <c r="M45" s="167"/>
      <c r="N45" s="167"/>
      <c r="O45" s="167"/>
      <c r="P45" s="167"/>
      <c r="Q45" s="167"/>
      <c r="R45" s="167"/>
      <c r="S45" s="167"/>
      <c r="T45" s="167"/>
      <c r="U45" s="167"/>
      <c r="V45" s="167"/>
      <c r="W45" s="167"/>
      <c r="X45" s="167"/>
      <c r="Y45" s="167"/>
      <c r="Z45" s="167"/>
      <c r="AA45" s="28"/>
      <c r="AB45" s="28"/>
      <c r="AC45" s="28"/>
      <c r="AD45" s="28"/>
      <c r="AE45" s="28"/>
      <c r="AF45" s="28"/>
      <c r="AG45" s="28"/>
      <c r="AH45" s="28"/>
      <c r="AI45" s="28"/>
      <c r="AJ45" s="28"/>
      <c r="AK45" s="28"/>
      <c r="AL45" s="28"/>
      <c r="AM45" s="28"/>
      <c r="AN45" s="28"/>
    </row>
    <row r="46" spans="1:40" ht="12.75" customHeight="1">
      <c r="A46" s="28" t="s">
        <v>252</v>
      </c>
      <c r="B46" s="28"/>
      <c r="C46" s="28"/>
      <c r="D46" s="28"/>
      <c r="E46" s="28"/>
      <c r="F46" s="28"/>
      <c r="G46" s="28"/>
      <c r="H46" s="28"/>
      <c r="I46" s="28"/>
      <c r="J46" s="28"/>
      <c r="K46" s="28"/>
      <c r="L46" s="28"/>
      <c r="M46" s="28"/>
      <c r="N46" s="28"/>
      <c r="O46" s="28"/>
      <c r="P46" s="28"/>
      <c r="Q46" s="28"/>
      <c r="R46" s="28"/>
      <c r="S46" s="28"/>
      <c r="T46" s="28"/>
      <c r="U46" s="28"/>
      <c r="V46" s="28"/>
      <c r="W46" s="28"/>
      <c r="X46" s="28"/>
      <c r="Y46" s="28"/>
      <c r="Z46" s="28"/>
      <c r="AA46" s="28"/>
      <c r="AB46" s="28"/>
      <c r="AC46" s="28"/>
      <c r="AD46" s="28"/>
      <c r="AE46" s="28"/>
      <c r="AF46" s="28"/>
      <c r="AG46" s="28"/>
      <c r="AH46" s="28"/>
      <c r="AI46" s="28"/>
      <c r="AJ46" s="28"/>
      <c r="AK46" s="28"/>
      <c r="AL46" s="28"/>
      <c r="AM46" s="28"/>
      <c r="AN46" s="28"/>
    </row>
    <row r="47" spans="1:40" ht="12.75" customHeight="1">
      <c r="A47" s="172" t="s">
        <v>172</v>
      </c>
      <c r="B47" s="172"/>
      <c r="C47" s="172"/>
      <c r="D47" s="172"/>
      <c r="E47" s="172"/>
      <c r="F47" s="172"/>
      <c r="G47" s="172"/>
      <c r="H47" s="172"/>
      <c r="I47" s="172"/>
      <c r="J47" s="172"/>
      <c r="K47" s="172"/>
      <c r="L47" s="172"/>
      <c r="M47" s="172"/>
      <c r="N47" s="172"/>
      <c r="O47" s="172"/>
      <c r="P47" s="172"/>
      <c r="Q47" s="172"/>
      <c r="R47" s="172"/>
      <c r="S47" s="172"/>
      <c r="T47" s="172"/>
      <c r="U47" s="172"/>
      <c r="V47" s="172"/>
      <c r="W47" s="172"/>
      <c r="X47" s="172"/>
      <c r="Y47" s="172"/>
      <c r="Z47" s="172"/>
      <c r="AA47" s="28"/>
      <c r="AB47" s="28"/>
      <c r="AC47" s="28"/>
      <c r="AD47" s="28"/>
      <c r="AE47" s="28"/>
      <c r="AF47" s="28"/>
      <c r="AG47" s="28"/>
      <c r="AH47" s="28"/>
      <c r="AI47" s="28"/>
      <c r="AJ47" s="28"/>
      <c r="AK47" s="28"/>
      <c r="AL47" s="28"/>
      <c r="AM47" s="28"/>
      <c r="AN47" s="28"/>
    </row>
    <row r="48" spans="1:40" ht="12.75" customHeight="1">
      <c r="A48" s="167" t="s">
        <v>173</v>
      </c>
      <c r="B48" s="167"/>
      <c r="C48" s="167"/>
      <c r="D48" s="167"/>
      <c r="E48" s="167"/>
      <c r="F48" s="167"/>
      <c r="G48" s="167"/>
      <c r="H48" s="167"/>
      <c r="I48" s="167"/>
      <c r="J48" s="167"/>
      <c r="K48" s="167"/>
      <c r="L48" s="167"/>
      <c r="M48" s="167"/>
      <c r="N48" s="167"/>
      <c r="O48" s="167"/>
      <c r="P48" s="167"/>
      <c r="Q48" s="167"/>
      <c r="R48" s="167"/>
      <c r="S48" s="167"/>
      <c r="T48" s="167"/>
      <c r="U48" s="167"/>
      <c r="V48" s="167"/>
      <c r="W48" s="167"/>
      <c r="X48" s="167"/>
      <c r="Y48" s="167"/>
      <c r="Z48" s="167"/>
      <c r="AA48" s="28"/>
      <c r="AB48" s="28"/>
      <c r="AC48" s="28"/>
      <c r="AD48" s="28"/>
      <c r="AE48" s="28"/>
      <c r="AF48" s="28"/>
      <c r="AG48" s="28"/>
      <c r="AH48" s="28"/>
      <c r="AI48" s="28"/>
      <c r="AJ48" s="28"/>
      <c r="AK48" s="28"/>
      <c r="AL48" s="28"/>
      <c r="AM48" s="28"/>
      <c r="AN48" s="28"/>
    </row>
    <row r="49" spans="1:40" ht="12.75" customHeight="1">
      <c r="A49" s="167" t="s">
        <v>253</v>
      </c>
      <c r="B49" s="167"/>
      <c r="C49" s="167"/>
      <c r="D49" s="167"/>
      <c r="E49" s="167"/>
      <c r="F49" s="167"/>
      <c r="G49" s="167"/>
      <c r="H49" s="167"/>
      <c r="I49" s="167"/>
      <c r="J49" s="167"/>
      <c r="K49" s="167"/>
      <c r="L49" s="167"/>
      <c r="M49" s="167"/>
      <c r="N49" s="167"/>
      <c r="O49" s="167"/>
      <c r="P49" s="167"/>
      <c r="Q49" s="167"/>
      <c r="R49" s="167"/>
      <c r="S49" s="167"/>
      <c r="T49" s="167"/>
      <c r="U49" s="167"/>
      <c r="V49" s="167"/>
      <c r="W49" s="167"/>
      <c r="X49" s="167"/>
      <c r="Y49" s="167"/>
      <c r="Z49" s="167"/>
      <c r="AA49" s="28"/>
      <c r="AB49" s="28"/>
      <c r="AC49" s="28"/>
      <c r="AD49" s="28"/>
      <c r="AE49" s="28"/>
      <c r="AF49" s="28"/>
      <c r="AG49" s="28"/>
      <c r="AH49" s="28"/>
      <c r="AI49" s="28"/>
      <c r="AJ49" s="28"/>
      <c r="AK49" s="28"/>
      <c r="AL49" s="28"/>
      <c r="AM49" s="28"/>
      <c r="AN49" s="28"/>
    </row>
    <row r="50" spans="1:40" ht="12.75" customHeight="1">
      <c r="A50" s="28"/>
      <c r="B50" s="28"/>
      <c r="C50" s="28"/>
      <c r="D50" s="28"/>
      <c r="E50" s="28"/>
      <c r="F50" s="28"/>
      <c r="G50" s="28"/>
      <c r="H50" s="28"/>
      <c r="I50" s="28"/>
      <c r="J50" s="28"/>
      <c r="K50" s="28"/>
      <c r="L50" s="28"/>
      <c r="M50" s="28"/>
      <c r="N50" s="28"/>
      <c r="O50" s="28"/>
      <c r="P50" s="28"/>
      <c r="Q50" s="28"/>
      <c r="R50" s="28"/>
      <c r="S50" s="28"/>
      <c r="T50" s="28"/>
      <c r="U50" s="28"/>
      <c r="V50" s="28"/>
      <c r="W50" s="28"/>
      <c r="X50" s="28"/>
      <c r="Y50" s="28"/>
      <c r="Z50" s="28"/>
      <c r="AA50" s="28"/>
      <c r="AB50" s="28"/>
      <c r="AC50" s="28"/>
      <c r="AD50" s="28"/>
      <c r="AE50" s="28"/>
      <c r="AF50" s="28"/>
      <c r="AG50" s="28"/>
      <c r="AH50" s="28"/>
      <c r="AI50" s="28"/>
      <c r="AJ50" s="28"/>
      <c r="AK50" s="28"/>
      <c r="AL50" s="28"/>
      <c r="AM50" s="28"/>
      <c r="AN50" s="28"/>
    </row>
    <row r="51" spans="1:40" ht="12.75" customHeight="1">
      <c r="A51" s="168" t="s">
        <v>174</v>
      </c>
      <c r="B51" s="168"/>
      <c r="C51" s="168"/>
      <c r="D51" s="168"/>
      <c r="E51" s="168"/>
      <c r="F51" s="168"/>
      <c r="G51" s="168"/>
      <c r="H51" s="168"/>
      <c r="I51" s="168"/>
      <c r="J51" s="168"/>
      <c r="K51" s="168"/>
      <c r="L51" s="168"/>
      <c r="M51" s="168"/>
      <c r="N51" s="168"/>
      <c r="O51" s="168"/>
      <c r="P51" s="168"/>
      <c r="Q51" s="168"/>
      <c r="R51" s="168"/>
      <c r="S51" s="168"/>
      <c r="T51" s="168"/>
      <c r="U51" s="168"/>
      <c r="V51" s="168"/>
      <c r="W51" s="168"/>
      <c r="X51" s="168"/>
      <c r="Y51" s="168"/>
      <c r="Z51" s="168"/>
      <c r="AA51" s="28"/>
      <c r="AB51" s="28"/>
      <c r="AC51" s="28"/>
      <c r="AD51" s="28"/>
      <c r="AE51" s="28"/>
      <c r="AF51" s="28"/>
      <c r="AG51" s="28"/>
      <c r="AH51" s="28"/>
      <c r="AI51" s="28"/>
      <c r="AJ51" s="28"/>
      <c r="AK51" s="28"/>
      <c r="AL51" s="28"/>
      <c r="AM51" s="28"/>
      <c r="AN51" s="28"/>
    </row>
    <row r="52" spans="1:40" ht="12.75" customHeight="1">
      <c r="A52" s="168" t="s">
        <v>175</v>
      </c>
      <c r="B52" s="168"/>
      <c r="C52" s="168"/>
      <c r="D52" s="168"/>
      <c r="E52" s="168"/>
      <c r="F52" s="168"/>
      <c r="G52" s="168"/>
      <c r="H52" s="168"/>
      <c r="I52" s="168"/>
      <c r="J52" s="168"/>
      <c r="K52" s="168"/>
      <c r="L52" s="168"/>
      <c r="M52" s="168"/>
      <c r="N52" s="168"/>
      <c r="O52" s="168"/>
      <c r="P52" s="168"/>
      <c r="Q52" s="168"/>
      <c r="R52" s="168"/>
      <c r="S52" s="168"/>
      <c r="T52" s="168"/>
      <c r="U52" s="168"/>
      <c r="V52" s="168"/>
      <c r="W52" s="168"/>
      <c r="X52" s="168"/>
      <c r="Y52" s="168"/>
      <c r="Z52" s="168"/>
      <c r="AA52" s="28"/>
      <c r="AB52" s="28"/>
      <c r="AC52" s="28"/>
      <c r="AD52" s="28"/>
      <c r="AE52" s="28"/>
      <c r="AF52" s="28"/>
      <c r="AG52" s="28"/>
      <c r="AH52" s="28"/>
      <c r="AI52" s="28"/>
      <c r="AJ52" s="28"/>
      <c r="AK52" s="28"/>
      <c r="AL52" s="28"/>
      <c r="AM52" s="28"/>
      <c r="AN52" s="28"/>
    </row>
    <row r="53" spans="1:40" ht="12.75" customHeight="1">
      <c r="A53" s="169" t="s">
        <v>254</v>
      </c>
      <c r="B53" s="169"/>
      <c r="C53" s="169"/>
      <c r="D53" s="169"/>
      <c r="E53" s="169"/>
      <c r="F53" s="169"/>
      <c r="G53" s="169"/>
      <c r="H53" s="169"/>
      <c r="I53" s="169"/>
      <c r="J53" s="169"/>
      <c r="K53" s="169"/>
      <c r="L53" s="169"/>
      <c r="M53" s="169"/>
      <c r="N53" s="169"/>
      <c r="O53" s="169"/>
      <c r="P53" s="169"/>
      <c r="Q53" s="169"/>
      <c r="R53" s="169"/>
      <c r="S53" s="169"/>
      <c r="T53" s="169"/>
      <c r="U53" s="169"/>
      <c r="V53" s="169"/>
      <c r="W53" s="169"/>
      <c r="X53" s="169"/>
      <c r="Y53" s="169"/>
      <c r="Z53" s="169"/>
      <c r="AA53" s="28"/>
      <c r="AB53" s="28"/>
      <c r="AC53" s="28"/>
      <c r="AD53" s="28"/>
      <c r="AE53" s="28"/>
      <c r="AF53" s="28"/>
      <c r="AG53" s="28"/>
      <c r="AH53" s="28"/>
      <c r="AI53" s="28"/>
      <c r="AJ53" s="28"/>
      <c r="AK53" s="28"/>
      <c r="AL53" s="28"/>
      <c r="AM53" s="28"/>
      <c r="AN53" s="28"/>
    </row>
    <row r="54" spans="1:40" ht="12.75" customHeight="1">
      <c r="A54" s="173" t="s">
        <v>176</v>
      </c>
      <c r="B54" s="173"/>
      <c r="C54" s="173"/>
      <c r="D54" s="173"/>
      <c r="E54" s="173"/>
      <c r="F54" s="173"/>
      <c r="G54" s="173"/>
      <c r="H54" s="173"/>
      <c r="I54" s="173"/>
      <c r="J54" s="173"/>
      <c r="K54" s="173"/>
      <c r="L54" s="173"/>
      <c r="M54" s="173"/>
      <c r="N54" s="173"/>
      <c r="O54" s="173"/>
      <c r="P54" s="173"/>
      <c r="Q54" s="173"/>
      <c r="R54" s="173"/>
      <c r="S54" s="173"/>
      <c r="T54" s="173"/>
      <c r="U54" s="173"/>
      <c r="V54" s="173"/>
      <c r="W54" s="173"/>
      <c r="X54" s="173"/>
      <c r="Y54" s="173"/>
      <c r="Z54" s="173"/>
      <c r="AA54" s="28"/>
      <c r="AB54" s="28"/>
      <c r="AC54" s="28"/>
      <c r="AD54" s="28"/>
      <c r="AE54" s="28"/>
      <c r="AF54" s="28"/>
      <c r="AG54" s="28"/>
      <c r="AH54" s="28"/>
      <c r="AI54" s="28"/>
      <c r="AJ54" s="28"/>
      <c r="AK54" s="28"/>
      <c r="AL54" s="28"/>
      <c r="AM54" s="28"/>
      <c r="AN54" s="28"/>
    </row>
    <row r="55" spans="1:40" ht="12.75" customHeight="1">
      <c r="A55" s="173" t="s">
        <v>255</v>
      </c>
      <c r="B55" s="173"/>
      <c r="C55" s="173"/>
      <c r="D55" s="173"/>
      <c r="E55" s="173"/>
      <c r="F55" s="173"/>
      <c r="G55" s="173"/>
      <c r="H55" s="173"/>
      <c r="I55" s="173"/>
      <c r="J55" s="173"/>
      <c r="K55" s="173"/>
      <c r="L55" s="173"/>
      <c r="M55" s="173"/>
      <c r="N55" s="173"/>
      <c r="O55" s="173"/>
      <c r="P55" s="173"/>
      <c r="Q55" s="173"/>
      <c r="R55" s="173"/>
      <c r="S55" s="173"/>
      <c r="T55" s="173"/>
      <c r="U55" s="173"/>
      <c r="V55" s="173"/>
      <c r="W55" s="173"/>
      <c r="X55" s="173"/>
      <c r="Y55" s="173"/>
      <c r="Z55" s="173"/>
      <c r="AA55" s="28"/>
      <c r="AB55" s="28"/>
      <c r="AC55" s="28"/>
      <c r="AD55" s="28"/>
      <c r="AE55" s="28"/>
      <c r="AF55" s="28"/>
      <c r="AG55" s="28"/>
      <c r="AH55" s="28"/>
      <c r="AI55" s="28"/>
      <c r="AJ55" s="28"/>
      <c r="AK55" s="28"/>
      <c r="AL55" s="28"/>
      <c r="AM55" s="28"/>
      <c r="AN55" s="28"/>
    </row>
    <row r="56" spans="1:40" ht="12.75" customHeight="1">
      <c r="A56" s="28" t="s">
        <v>256</v>
      </c>
      <c r="B56" s="28"/>
      <c r="C56" s="28"/>
      <c r="D56" s="28"/>
      <c r="E56" s="28"/>
      <c r="F56" s="28"/>
      <c r="G56" s="28"/>
      <c r="H56" s="28"/>
      <c r="I56" s="28"/>
      <c r="J56" s="28"/>
      <c r="K56" s="28"/>
      <c r="L56" s="28"/>
      <c r="M56" s="28"/>
      <c r="N56" s="28"/>
      <c r="O56" s="28"/>
      <c r="P56" s="28"/>
      <c r="Q56" s="28"/>
      <c r="R56" s="28"/>
      <c r="S56" s="28"/>
      <c r="T56" s="28"/>
      <c r="U56" s="28"/>
      <c r="V56" s="28"/>
      <c r="W56" s="28"/>
      <c r="X56" s="28"/>
      <c r="Y56" s="28"/>
      <c r="Z56" s="28"/>
      <c r="AA56" s="28"/>
      <c r="AB56" s="28"/>
      <c r="AC56" s="28"/>
      <c r="AD56" s="28"/>
      <c r="AE56" s="28"/>
      <c r="AF56" s="28"/>
      <c r="AG56" s="28"/>
      <c r="AH56" s="28"/>
      <c r="AI56" s="28"/>
      <c r="AJ56" s="28"/>
      <c r="AK56" s="28"/>
      <c r="AL56" s="28"/>
      <c r="AM56" s="28"/>
      <c r="AN56" s="28"/>
    </row>
    <row r="57" spans="1:40" ht="12.75" customHeight="1">
      <c r="A57" s="28" t="s">
        <v>3893</v>
      </c>
      <c r="B57" s="28"/>
      <c r="C57" s="28"/>
      <c r="D57" s="28"/>
      <c r="E57" s="28"/>
      <c r="F57" s="28"/>
      <c r="G57" s="28"/>
      <c r="H57" s="28"/>
      <c r="I57" s="28"/>
      <c r="J57" s="28"/>
      <c r="K57" s="28"/>
      <c r="L57" s="28"/>
      <c r="M57" s="28"/>
      <c r="N57" s="28"/>
      <c r="O57" s="28"/>
      <c r="P57" s="28"/>
      <c r="Q57" s="28"/>
      <c r="R57" s="28"/>
      <c r="S57" s="28"/>
      <c r="T57" s="28"/>
      <c r="U57" s="28"/>
      <c r="V57" s="28"/>
      <c r="W57" s="28"/>
      <c r="X57" s="28"/>
      <c r="Y57" s="28"/>
      <c r="Z57" s="28"/>
      <c r="AA57" s="28"/>
      <c r="AB57" s="28"/>
      <c r="AC57" s="28"/>
      <c r="AD57" s="28"/>
      <c r="AE57" s="28"/>
      <c r="AF57" s="28"/>
      <c r="AG57" s="28"/>
      <c r="AH57" s="28"/>
      <c r="AI57" s="28"/>
      <c r="AJ57" s="28"/>
      <c r="AK57" s="28"/>
      <c r="AL57" s="28"/>
      <c r="AM57" s="28"/>
      <c r="AN57" s="28"/>
    </row>
    <row r="58" spans="1:40" ht="12.75" customHeight="1">
      <c r="A58" s="169" t="s">
        <v>257</v>
      </c>
      <c r="B58" s="169"/>
      <c r="C58" s="169"/>
      <c r="D58" s="169"/>
      <c r="E58" s="169"/>
      <c r="F58" s="169"/>
      <c r="G58" s="169"/>
      <c r="H58" s="169"/>
      <c r="I58" s="169"/>
      <c r="J58" s="169"/>
      <c r="K58" s="169"/>
      <c r="L58" s="169"/>
      <c r="M58" s="169"/>
      <c r="N58" s="169"/>
      <c r="O58" s="169"/>
      <c r="P58" s="169"/>
      <c r="Q58" s="169"/>
      <c r="R58" s="169"/>
      <c r="S58" s="169"/>
      <c r="T58" s="169"/>
      <c r="U58" s="169"/>
      <c r="V58" s="169"/>
      <c r="W58" s="169"/>
      <c r="X58" s="169"/>
      <c r="Y58" s="169"/>
      <c r="Z58" s="169"/>
      <c r="AA58" s="28"/>
      <c r="AB58" s="28"/>
      <c r="AC58" s="28"/>
      <c r="AD58" s="28"/>
      <c r="AE58" s="28"/>
      <c r="AF58" s="28"/>
      <c r="AG58" s="28"/>
      <c r="AH58" s="28"/>
      <c r="AI58" s="28"/>
      <c r="AJ58" s="28"/>
      <c r="AK58" s="28"/>
      <c r="AL58" s="28"/>
      <c r="AM58" s="28"/>
      <c r="AN58" s="28"/>
    </row>
    <row r="59" spans="1:40" ht="12.75" customHeight="1">
      <c r="A59" s="28" t="s">
        <v>258</v>
      </c>
      <c r="B59" s="28"/>
      <c r="C59" s="28"/>
      <c r="D59" s="28"/>
      <c r="E59" s="28"/>
      <c r="F59" s="28"/>
      <c r="G59" s="28"/>
      <c r="H59" s="28"/>
      <c r="I59" s="28"/>
      <c r="J59" s="28"/>
      <c r="K59" s="28"/>
      <c r="L59" s="28"/>
      <c r="M59" s="28"/>
      <c r="N59" s="28"/>
      <c r="O59" s="28"/>
      <c r="P59" s="28"/>
      <c r="Q59" s="28"/>
      <c r="R59" s="28"/>
      <c r="S59" s="28"/>
      <c r="T59" s="28"/>
      <c r="U59" s="28"/>
      <c r="V59" s="28"/>
      <c r="W59" s="28"/>
      <c r="X59" s="28"/>
      <c r="Y59" s="28"/>
      <c r="Z59" s="28"/>
      <c r="AA59" s="28"/>
      <c r="AB59" s="28"/>
      <c r="AC59" s="28"/>
      <c r="AD59" s="28"/>
      <c r="AE59" s="28"/>
      <c r="AF59" s="28"/>
      <c r="AG59" s="28"/>
      <c r="AH59" s="28"/>
      <c r="AI59" s="28"/>
      <c r="AJ59" s="28"/>
      <c r="AK59" s="28"/>
      <c r="AL59" s="28"/>
      <c r="AM59" s="28"/>
      <c r="AN59" s="28"/>
    </row>
    <row r="60" spans="1:40" ht="12.75" customHeight="1">
      <c r="A60" s="174" t="s">
        <v>177</v>
      </c>
      <c r="B60" s="174"/>
      <c r="C60" s="174"/>
      <c r="D60" s="174"/>
      <c r="E60" s="174"/>
      <c r="F60" s="174"/>
      <c r="G60" s="174"/>
      <c r="H60" s="174"/>
      <c r="I60" s="174"/>
      <c r="J60" s="174"/>
      <c r="K60" s="174"/>
      <c r="L60" s="174"/>
      <c r="M60" s="174"/>
      <c r="N60" s="174"/>
      <c r="O60" s="174"/>
      <c r="P60" s="174"/>
      <c r="Q60" s="174"/>
      <c r="R60" s="174"/>
      <c r="S60" s="174"/>
      <c r="T60" s="174"/>
      <c r="U60" s="174"/>
      <c r="V60" s="174"/>
      <c r="W60" s="174"/>
      <c r="X60" s="174"/>
      <c r="Y60" s="174"/>
      <c r="Z60" s="174"/>
      <c r="AA60" s="28"/>
      <c r="AB60" s="28"/>
      <c r="AC60" s="28"/>
      <c r="AD60" s="28"/>
      <c r="AE60" s="28"/>
      <c r="AF60" s="28"/>
      <c r="AG60" s="28"/>
      <c r="AH60" s="28"/>
      <c r="AI60" s="28"/>
      <c r="AJ60" s="28"/>
      <c r="AK60" s="28"/>
      <c r="AL60" s="28"/>
      <c r="AM60" s="28"/>
      <c r="AN60" s="28"/>
    </row>
    <row r="61" spans="1:40" ht="12.75" customHeight="1">
      <c r="A61" s="28" t="s">
        <v>259</v>
      </c>
      <c r="B61" s="28"/>
      <c r="C61" s="28"/>
      <c r="D61" s="28"/>
      <c r="E61" s="28"/>
      <c r="F61" s="28"/>
      <c r="G61" s="28"/>
      <c r="H61" s="28"/>
      <c r="I61" s="28"/>
      <c r="J61" s="28"/>
      <c r="K61" s="28"/>
      <c r="L61" s="28"/>
      <c r="M61" s="28"/>
      <c r="N61" s="28"/>
      <c r="O61" s="28"/>
      <c r="P61" s="28"/>
      <c r="Q61" s="28"/>
      <c r="R61" s="28"/>
      <c r="S61" s="28"/>
      <c r="T61" s="28"/>
      <c r="U61" s="28"/>
      <c r="V61" s="28"/>
      <c r="W61" s="28"/>
      <c r="X61" s="28"/>
      <c r="Y61" s="28"/>
      <c r="Z61" s="28"/>
      <c r="AA61" s="28"/>
      <c r="AB61" s="28"/>
      <c r="AC61" s="28"/>
      <c r="AD61" s="28"/>
      <c r="AE61" s="28"/>
      <c r="AF61" s="28"/>
      <c r="AG61" s="28"/>
      <c r="AH61" s="28"/>
      <c r="AI61" s="28"/>
      <c r="AJ61" s="28"/>
      <c r="AK61" s="28"/>
      <c r="AL61" s="28"/>
      <c r="AM61" s="28"/>
      <c r="AN61" s="28"/>
    </row>
    <row r="62" spans="1:40" ht="12.75" customHeight="1">
      <c r="A62" s="173" t="s">
        <v>3894</v>
      </c>
      <c r="B62" s="173"/>
      <c r="C62" s="173"/>
      <c r="D62" s="173"/>
      <c r="E62" s="173"/>
      <c r="F62" s="173"/>
      <c r="G62" s="173"/>
      <c r="H62" s="173"/>
      <c r="I62" s="173"/>
      <c r="J62" s="173"/>
      <c r="K62" s="173"/>
      <c r="L62" s="173"/>
      <c r="M62" s="173"/>
      <c r="N62" s="173"/>
      <c r="O62" s="173"/>
      <c r="P62" s="173"/>
      <c r="Q62" s="173"/>
      <c r="R62" s="173"/>
      <c r="S62" s="173"/>
      <c r="T62" s="173"/>
      <c r="U62" s="173"/>
      <c r="V62" s="173"/>
      <c r="W62" s="173"/>
      <c r="X62" s="173"/>
      <c r="Y62" s="173"/>
      <c r="Z62" s="173"/>
      <c r="AA62" s="175"/>
      <c r="AB62" s="175"/>
      <c r="AC62" s="175"/>
      <c r="AD62" s="175"/>
      <c r="AE62" s="175"/>
      <c r="AF62" s="175"/>
      <c r="AG62" s="175"/>
      <c r="AH62" s="175"/>
      <c r="AI62" s="175"/>
      <c r="AJ62" s="175"/>
      <c r="AK62" s="175"/>
      <c r="AL62" s="175"/>
      <c r="AM62" s="175"/>
      <c r="AN62" s="175"/>
    </row>
    <row r="63" spans="1:40" ht="12.75" customHeight="1">
      <c r="A63" s="174" t="s">
        <v>178</v>
      </c>
      <c r="B63" s="174"/>
      <c r="C63" s="174"/>
      <c r="D63" s="174"/>
      <c r="E63" s="174"/>
      <c r="F63" s="174"/>
      <c r="G63" s="174"/>
      <c r="H63" s="174"/>
      <c r="I63" s="174"/>
      <c r="J63" s="174"/>
      <c r="K63" s="174"/>
      <c r="L63" s="174"/>
      <c r="M63" s="174"/>
      <c r="N63" s="174"/>
      <c r="O63" s="174"/>
      <c r="P63" s="174"/>
      <c r="Q63" s="174"/>
      <c r="R63" s="174"/>
      <c r="S63" s="174"/>
      <c r="T63" s="174"/>
      <c r="U63" s="174"/>
      <c r="V63" s="174"/>
      <c r="W63" s="174"/>
      <c r="X63" s="174"/>
      <c r="Y63" s="174"/>
      <c r="Z63" s="174"/>
      <c r="AA63" s="175"/>
      <c r="AB63" s="175"/>
      <c r="AC63" s="175"/>
      <c r="AD63" s="175"/>
      <c r="AE63" s="175"/>
      <c r="AF63" s="175"/>
      <c r="AG63" s="175"/>
      <c r="AH63" s="175"/>
      <c r="AI63" s="175"/>
      <c r="AJ63" s="175"/>
      <c r="AK63" s="175"/>
      <c r="AL63" s="175"/>
      <c r="AM63" s="175"/>
      <c r="AN63" s="175"/>
    </row>
    <row r="64" spans="1:40" ht="12.75" customHeight="1">
      <c r="A64" s="176" t="s">
        <v>179</v>
      </c>
      <c r="B64" s="176"/>
      <c r="C64" s="176"/>
      <c r="D64" s="176"/>
      <c r="E64" s="176"/>
      <c r="F64" s="176"/>
      <c r="G64" s="176"/>
      <c r="H64" s="176"/>
      <c r="I64" s="176"/>
      <c r="J64" s="176"/>
      <c r="K64" s="176"/>
      <c r="L64" s="176"/>
      <c r="M64" s="176"/>
      <c r="N64" s="176"/>
      <c r="O64" s="176"/>
      <c r="P64" s="176"/>
      <c r="Q64" s="176"/>
      <c r="R64" s="176"/>
      <c r="S64" s="176"/>
      <c r="T64" s="176"/>
      <c r="U64" s="176"/>
      <c r="V64" s="176"/>
      <c r="W64" s="176"/>
      <c r="X64" s="176"/>
      <c r="Y64" s="176"/>
      <c r="Z64" s="176"/>
      <c r="AA64" s="175"/>
      <c r="AB64" s="175"/>
      <c r="AC64" s="175"/>
      <c r="AD64" s="175"/>
      <c r="AE64" s="175"/>
      <c r="AF64" s="175"/>
      <c r="AG64" s="175"/>
      <c r="AH64" s="175"/>
      <c r="AI64" s="175"/>
      <c r="AJ64" s="175"/>
      <c r="AK64" s="175"/>
      <c r="AL64" s="175"/>
      <c r="AM64" s="175"/>
      <c r="AN64" s="175"/>
    </row>
    <row r="65" spans="1:40" ht="12.75" customHeight="1">
      <c r="A65" s="173" t="s">
        <v>180</v>
      </c>
      <c r="B65" s="173"/>
      <c r="C65" s="173"/>
      <c r="D65" s="173"/>
      <c r="E65" s="173"/>
      <c r="F65" s="173"/>
      <c r="G65" s="173"/>
      <c r="H65" s="173"/>
      <c r="I65" s="173"/>
      <c r="J65" s="173"/>
      <c r="K65" s="173"/>
      <c r="L65" s="173"/>
      <c r="M65" s="173"/>
      <c r="N65" s="173"/>
      <c r="O65" s="173"/>
      <c r="P65" s="173"/>
      <c r="Q65" s="173"/>
      <c r="R65" s="173"/>
      <c r="S65" s="173"/>
      <c r="T65" s="173"/>
      <c r="U65" s="173"/>
      <c r="V65" s="173"/>
      <c r="W65" s="173"/>
      <c r="X65" s="173"/>
      <c r="Y65" s="173"/>
      <c r="Z65" s="173"/>
      <c r="AA65" s="175"/>
      <c r="AB65" s="175"/>
      <c r="AC65" s="175"/>
      <c r="AD65" s="175"/>
      <c r="AE65" s="175"/>
      <c r="AF65" s="175"/>
      <c r="AG65" s="175"/>
      <c r="AH65" s="175"/>
      <c r="AI65" s="175"/>
      <c r="AJ65" s="175"/>
      <c r="AK65" s="175"/>
      <c r="AL65" s="175"/>
      <c r="AM65" s="175"/>
      <c r="AN65" s="175"/>
    </row>
    <row r="66" spans="1:40" ht="12.75" customHeight="1">
      <c r="A66" s="173" t="s">
        <v>181</v>
      </c>
      <c r="B66" s="173"/>
      <c r="C66" s="173"/>
      <c r="D66" s="173"/>
      <c r="E66" s="173"/>
      <c r="F66" s="173"/>
      <c r="G66" s="173"/>
      <c r="H66" s="173"/>
      <c r="I66" s="173"/>
      <c r="J66" s="173"/>
      <c r="K66" s="173"/>
      <c r="L66" s="173"/>
      <c r="M66" s="173"/>
      <c r="N66" s="173"/>
      <c r="O66" s="173"/>
      <c r="P66" s="173"/>
      <c r="Q66" s="173"/>
      <c r="R66" s="173"/>
      <c r="S66" s="173"/>
      <c r="T66" s="173"/>
      <c r="U66" s="173"/>
      <c r="V66" s="173"/>
      <c r="W66" s="173"/>
      <c r="X66" s="173"/>
      <c r="Y66" s="173"/>
      <c r="Z66" s="173"/>
      <c r="AA66" s="28"/>
      <c r="AB66" s="28"/>
      <c r="AC66" s="28"/>
      <c r="AD66" s="28"/>
      <c r="AE66" s="28"/>
      <c r="AF66" s="28"/>
      <c r="AG66" s="28"/>
      <c r="AH66" s="28"/>
      <c r="AI66" s="28"/>
      <c r="AJ66" s="28"/>
      <c r="AK66" s="28"/>
      <c r="AL66" s="28"/>
      <c r="AM66" s="28"/>
      <c r="AN66" s="28"/>
    </row>
    <row r="67" spans="1:40" ht="12.75" customHeight="1">
      <c r="A67" s="173" t="s">
        <v>260</v>
      </c>
      <c r="B67" s="173"/>
      <c r="C67" s="173"/>
      <c r="D67" s="173"/>
      <c r="E67" s="173"/>
      <c r="F67" s="173"/>
      <c r="G67" s="173"/>
      <c r="H67" s="173"/>
      <c r="I67" s="173"/>
      <c r="J67" s="173"/>
      <c r="K67" s="173"/>
      <c r="L67" s="173"/>
      <c r="M67" s="173"/>
      <c r="N67" s="173"/>
      <c r="O67" s="173"/>
      <c r="P67" s="173"/>
      <c r="Q67" s="173"/>
      <c r="R67" s="173"/>
      <c r="S67" s="173"/>
      <c r="T67" s="173"/>
      <c r="U67" s="173"/>
      <c r="V67" s="173"/>
      <c r="W67" s="173"/>
      <c r="X67" s="173"/>
      <c r="Y67" s="173"/>
      <c r="Z67" s="173"/>
      <c r="AA67" s="28"/>
      <c r="AB67" s="28"/>
      <c r="AC67" s="28"/>
      <c r="AD67" s="28"/>
      <c r="AE67" s="28"/>
      <c r="AF67" s="28"/>
      <c r="AG67" s="28"/>
      <c r="AH67" s="28"/>
      <c r="AI67" s="28"/>
      <c r="AJ67" s="28"/>
      <c r="AK67" s="28"/>
      <c r="AL67" s="28"/>
      <c r="AM67" s="28"/>
      <c r="AN67" s="28"/>
    </row>
    <row r="68" spans="1:40" ht="12.75" customHeight="1">
      <c r="A68" s="173" t="s">
        <v>3895</v>
      </c>
      <c r="B68" s="173"/>
      <c r="C68" s="173"/>
      <c r="D68" s="173"/>
      <c r="E68" s="173"/>
      <c r="F68" s="173"/>
      <c r="G68" s="173"/>
      <c r="H68" s="173"/>
      <c r="I68" s="173"/>
      <c r="J68" s="173"/>
      <c r="K68" s="173"/>
      <c r="L68" s="173"/>
      <c r="M68" s="173"/>
      <c r="N68" s="173"/>
      <c r="O68" s="173"/>
      <c r="P68" s="173"/>
      <c r="Q68" s="173"/>
      <c r="R68" s="173"/>
      <c r="S68" s="173"/>
      <c r="T68" s="173"/>
      <c r="U68" s="173"/>
      <c r="V68" s="173"/>
      <c r="W68" s="173"/>
      <c r="X68" s="173"/>
      <c r="Y68" s="173"/>
      <c r="Z68" s="173"/>
      <c r="AA68" s="28"/>
      <c r="AB68" s="28"/>
      <c r="AC68" s="28"/>
      <c r="AD68" s="28"/>
      <c r="AE68" s="28"/>
      <c r="AF68" s="28"/>
      <c r="AG68" s="28"/>
      <c r="AH68" s="28"/>
      <c r="AI68" s="28"/>
      <c r="AJ68" s="28"/>
      <c r="AK68" s="28"/>
      <c r="AL68" s="28"/>
      <c r="AM68" s="28"/>
      <c r="AN68" s="28"/>
    </row>
    <row r="69" spans="1:40" ht="12.75" customHeight="1">
      <c r="A69" s="176" t="s">
        <v>182</v>
      </c>
      <c r="B69" s="176"/>
      <c r="C69" s="176"/>
      <c r="D69" s="176"/>
      <c r="E69" s="176"/>
      <c r="F69" s="176"/>
      <c r="G69" s="176"/>
      <c r="H69" s="176"/>
      <c r="I69" s="176"/>
      <c r="J69" s="176"/>
      <c r="K69" s="176"/>
      <c r="L69" s="176"/>
      <c r="M69" s="176"/>
      <c r="N69" s="176"/>
      <c r="O69" s="176"/>
      <c r="P69" s="176"/>
      <c r="Q69" s="176"/>
      <c r="R69" s="176"/>
      <c r="S69" s="176"/>
      <c r="T69" s="176"/>
      <c r="U69" s="176"/>
      <c r="V69" s="176"/>
      <c r="W69" s="176"/>
      <c r="X69" s="176"/>
      <c r="Y69" s="176"/>
      <c r="Z69" s="176"/>
      <c r="AA69" s="28"/>
      <c r="AB69" s="28"/>
      <c r="AC69" s="28"/>
      <c r="AD69" s="28"/>
      <c r="AE69" s="28"/>
      <c r="AF69" s="28"/>
      <c r="AG69" s="28"/>
      <c r="AH69" s="28"/>
      <c r="AI69" s="28"/>
      <c r="AJ69" s="28"/>
      <c r="AK69" s="28"/>
      <c r="AL69" s="28"/>
      <c r="AM69" s="28"/>
      <c r="AN69" s="28"/>
    </row>
    <row r="70" spans="1:40" ht="12.75" customHeight="1">
      <c r="A70" s="173" t="s">
        <v>183</v>
      </c>
      <c r="B70" s="173"/>
      <c r="C70" s="173"/>
      <c r="D70" s="173"/>
      <c r="E70" s="173"/>
      <c r="F70" s="173"/>
      <c r="G70" s="173"/>
      <c r="H70" s="173"/>
      <c r="I70" s="173"/>
      <c r="J70" s="173"/>
      <c r="K70" s="173"/>
      <c r="L70" s="173"/>
      <c r="M70" s="173"/>
      <c r="N70" s="173"/>
      <c r="O70" s="173"/>
      <c r="P70" s="173"/>
      <c r="Q70" s="173"/>
      <c r="R70" s="173"/>
      <c r="S70" s="173"/>
      <c r="T70" s="173"/>
      <c r="U70" s="173"/>
      <c r="V70" s="173"/>
      <c r="W70" s="173"/>
      <c r="X70" s="173"/>
      <c r="Y70" s="173"/>
      <c r="Z70" s="173"/>
      <c r="AA70" s="175"/>
      <c r="AB70" s="175"/>
      <c r="AC70" s="175"/>
      <c r="AD70" s="175"/>
      <c r="AE70" s="175"/>
      <c r="AF70" s="175"/>
      <c r="AG70" s="175"/>
      <c r="AH70" s="175"/>
      <c r="AI70" s="175"/>
      <c r="AJ70" s="175"/>
      <c r="AK70" s="175"/>
      <c r="AL70" s="175"/>
      <c r="AM70" s="175"/>
      <c r="AN70" s="175"/>
    </row>
    <row r="71" spans="1:40" ht="12.75" customHeight="1">
      <c r="A71" s="173" t="s">
        <v>261</v>
      </c>
      <c r="B71" s="173"/>
      <c r="C71" s="173"/>
      <c r="D71" s="173"/>
      <c r="E71" s="173"/>
      <c r="F71" s="173"/>
      <c r="G71" s="173"/>
      <c r="H71" s="173"/>
      <c r="I71" s="173"/>
      <c r="J71" s="173"/>
      <c r="K71" s="173"/>
      <c r="L71" s="173"/>
      <c r="M71" s="173"/>
      <c r="N71" s="173"/>
      <c r="O71" s="173"/>
      <c r="P71" s="173"/>
      <c r="Q71" s="173"/>
      <c r="R71" s="173"/>
      <c r="S71" s="173"/>
      <c r="T71" s="173"/>
      <c r="U71" s="173"/>
      <c r="V71" s="173"/>
      <c r="W71" s="173"/>
      <c r="X71" s="173"/>
      <c r="Y71" s="173"/>
      <c r="Z71" s="173"/>
      <c r="AA71" s="28"/>
      <c r="AB71" s="28"/>
      <c r="AC71" s="28"/>
      <c r="AD71" s="28"/>
      <c r="AE71" s="28"/>
      <c r="AF71" s="28"/>
      <c r="AG71" s="28"/>
      <c r="AH71" s="28"/>
      <c r="AI71" s="28"/>
      <c r="AJ71" s="28"/>
      <c r="AK71" s="28"/>
      <c r="AL71" s="28"/>
      <c r="AM71" s="28"/>
      <c r="AN71" s="28"/>
    </row>
    <row r="72" spans="1:40" ht="12.75" customHeight="1">
      <c r="A72" s="173" t="s">
        <v>3896</v>
      </c>
      <c r="B72" s="173"/>
      <c r="C72" s="173"/>
      <c r="D72" s="173"/>
      <c r="E72" s="173"/>
      <c r="F72" s="173"/>
      <c r="G72" s="173"/>
      <c r="H72" s="173"/>
      <c r="I72" s="173"/>
      <c r="J72" s="173"/>
      <c r="K72" s="173"/>
      <c r="L72" s="173"/>
      <c r="M72" s="173"/>
      <c r="N72" s="173"/>
      <c r="O72" s="173"/>
      <c r="P72" s="173"/>
      <c r="Q72" s="173"/>
      <c r="R72" s="173"/>
      <c r="S72" s="173"/>
      <c r="T72" s="173"/>
      <c r="U72" s="173"/>
      <c r="V72" s="173"/>
      <c r="W72" s="173"/>
      <c r="X72" s="173"/>
      <c r="Y72" s="173"/>
      <c r="Z72" s="173"/>
      <c r="AA72" s="28"/>
      <c r="AB72" s="28"/>
      <c r="AC72" s="28"/>
      <c r="AD72" s="28"/>
      <c r="AE72" s="28"/>
      <c r="AF72" s="28"/>
      <c r="AG72" s="28"/>
      <c r="AH72" s="28"/>
      <c r="AI72" s="28"/>
      <c r="AJ72" s="28"/>
      <c r="AK72" s="28"/>
      <c r="AL72" s="28"/>
      <c r="AM72" s="28"/>
      <c r="AN72" s="28"/>
    </row>
    <row r="73" spans="1:40" ht="12.75" customHeight="1">
      <c r="A73" s="174" t="s">
        <v>262</v>
      </c>
      <c r="B73" s="174"/>
      <c r="C73" s="174"/>
      <c r="D73" s="174"/>
      <c r="E73" s="174"/>
      <c r="F73" s="174"/>
      <c r="G73" s="174"/>
      <c r="H73" s="174"/>
      <c r="I73" s="174"/>
      <c r="J73" s="174"/>
      <c r="K73" s="174"/>
      <c r="L73" s="174"/>
      <c r="M73" s="174"/>
      <c r="N73" s="174"/>
      <c r="O73" s="174"/>
      <c r="P73" s="174"/>
      <c r="Q73" s="174"/>
      <c r="R73" s="174"/>
      <c r="S73" s="174"/>
      <c r="T73" s="174"/>
      <c r="U73" s="174"/>
      <c r="V73" s="174"/>
      <c r="W73" s="174"/>
      <c r="X73" s="174"/>
      <c r="Y73" s="174"/>
      <c r="Z73" s="174"/>
      <c r="AA73" s="28"/>
      <c r="AB73" s="28"/>
      <c r="AC73" s="28"/>
      <c r="AD73" s="28"/>
      <c r="AE73" s="28"/>
      <c r="AF73" s="28"/>
      <c r="AG73" s="28"/>
      <c r="AH73" s="28"/>
      <c r="AI73" s="28"/>
      <c r="AJ73" s="28"/>
      <c r="AK73" s="28"/>
      <c r="AL73" s="28"/>
      <c r="AM73" s="28"/>
      <c r="AN73" s="28"/>
    </row>
    <row r="74" spans="1:40" ht="12.75" customHeight="1">
      <c r="A74" s="173" t="s">
        <v>184</v>
      </c>
      <c r="B74" s="173"/>
      <c r="C74" s="173"/>
      <c r="D74" s="173"/>
      <c r="E74" s="173"/>
      <c r="F74" s="173"/>
      <c r="G74" s="173"/>
      <c r="H74" s="173"/>
      <c r="I74" s="173"/>
      <c r="J74" s="173"/>
      <c r="K74" s="173"/>
      <c r="L74" s="173"/>
      <c r="M74" s="173"/>
      <c r="N74" s="173"/>
      <c r="O74" s="173"/>
      <c r="P74" s="173"/>
      <c r="Q74" s="173"/>
      <c r="R74" s="173"/>
      <c r="S74" s="173"/>
      <c r="T74" s="173"/>
      <c r="U74" s="173"/>
      <c r="V74" s="173"/>
      <c r="W74" s="173"/>
      <c r="X74" s="173"/>
      <c r="Y74" s="173"/>
      <c r="Z74" s="173"/>
      <c r="AA74" s="28"/>
      <c r="AB74" s="28"/>
      <c r="AC74" s="28"/>
      <c r="AD74" s="28"/>
      <c r="AE74" s="28"/>
      <c r="AF74" s="28"/>
      <c r="AG74" s="28"/>
      <c r="AH74" s="28"/>
      <c r="AI74" s="28"/>
      <c r="AJ74" s="28"/>
      <c r="AK74" s="28"/>
      <c r="AL74" s="28"/>
      <c r="AM74" s="28"/>
      <c r="AN74" s="28"/>
    </row>
    <row r="75" spans="1:40" ht="12.75" customHeight="1">
      <c r="A75" s="173" t="s">
        <v>185</v>
      </c>
      <c r="B75" s="173"/>
      <c r="C75" s="173"/>
      <c r="D75" s="173"/>
      <c r="E75" s="173"/>
      <c r="F75" s="173"/>
      <c r="G75" s="173"/>
      <c r="H75" s="173"/>
      <c r="I75" s="173"/>
      <c r="J75" s="173"/>
      <c r="K75" s="173"/>
      <c r="L75" s="173"/>
      <c r="M75" s="173"/>
      <c r="N75" s="173"/>
      <c r="O75" s="173"/>
      <c r="P75" s="173"/>
      <c r="Q75" s="173"/>
      <c r="R75" s="173"/>
      <c r="S75" s="173"/>
      <c r="T75" s="173"/>
      <c r="U75" s="173"/>
      <c r="V75" s="173"/>
      <c r="W75" s="173"/>
      <c r="X75" s="173"/>
      <c r="Y75" s="173"/>
      <c r="Z75" s="173"/>
      <c r="AA75" s="28"/>
      <c r="AB75" s="28"/>
      <c r="AC75" s="28"/>
      <c r="AD75" s="28"/>
      <c r="AE75" s="28"/>
      <c r="AF75" s="28"/>
      <c r="AG75" s="28"/>
      <c r="AH75" s="28"/>
      <c r="AI75" s="28"/>
      <c r="AJ75" s="28"/>
      <c r="AK75" s="28"/>
      <c r="AL75" s="28"/>
      <c r="AM75" s="28"/>
      <c r="AN75" s="28"/>
    </row>
    <row r="76" spans="1:40" ht="12.75" customHeight="1">
      <c r="A76" s="173" t="s">
        <v>263</v>
      </c>
      <c r="B76" s="173"/>
      <c r="C76" s="173"/>
      <c r="D76" s="173"/>
      <c r="E76" s="173"/>
      <c r="F76" s="173"/>
      <c r="G76" s="173"/>
      <c r="H76" s="173"/>
      <c r="I76" s="173"/>
      <c r="J76" s="173"/>
      <c r="K76" s="173"/>
      <c r="L76" s="173"/>
      <c r="M76" s="173"/>
      <c r="N76" s="173"/>
      <c r="O76" s="173"/>
      <c r="P76" s="173"/>
      <c r="Q76" s="173"/>
      <c r="R76" s="173"/>
      <c r="S76" s="173"/>
      <c r="T76" s="173"/>
      <c r="U76" s="173"/>
      <c r="V76" s="173"/>
      <c r="W76" s="173"/>
      <c r="X76" s="173"/>
      <c r="Y76" s="173"/>
      <c r="Z76" s="173"/>
      <c r="AA76" s="28"/>
      <c r="AB76" s="28"/>
      <c r="AC76" s="28"/>
      <c r="AD76" s="28"/>
      <c r="AE76" s="28"/>
      <c r="AF76" s="28"/>
      <c r="AG76" s="28"/>
      <c r="AH76" s="28"/>
      <c r="AI76" s="28"/>
      <c r="AJ76" s="28"/>
      <c r="AK76" s="28"/>
      <c r="AL76" s="28"/>
      <c r="AM76" s="28"/>
      <c r="AN76" s="28"/>
    </row>
    <row r="77" spans="1:40" ht="12.75" customHeight="1">
      <c r="A77" s="173" t="s">
        <v>3897</v>
      </c>
      <c r="B77" s="173"/>
      <c r="C77" s="173"/>
      <c r="D77" s="173"/>
      <c r="E77" s="173"/>
      <c r="F77" s="173"/>
      <c r="G77" s="173"/>
      <c r="H77" s="173"/>
      <c r="I77" s="173"/>
      <c r="J77" s="173"/>
      <c r="K77" s="173"/>
      <c r="L77" s="173"/>
      <c r="M77" s="173"/>
      <c r="N77" s="173"/>
      <c r="O77" s="173"/>
      <c r="P77" s="173"/>
      <c r="Q77" s="173"/>
      <c r="R77" s="173"/>
      <c r="S77" s="173"/>
      <c r="T77" s="173"/>
      <c r="U77" s="173"/>
      <c r="V77" s="173"/>
      <c r="W77" s="173"/>
      <c r="X77" s="173"/>
      <c r="Y77" s="173"/>
      <c r="Z77" s="173"/>
    </row>
    <row r="78" spans="1:40" ht="12.75" customHeight="1">
      <c r="A78" s="174" t="s">
        <v>264</v>
      </c>
      <c r="B78" s="174"/>
      <c r="C78" s="174"/>
      <c r="D78" s="174"/>
      <c r="E78" s="174"/>
      <c r="F78" s="174"/>
      <c r="G78" s="174"/>
      <c r="H78" s="174"/>
      <c r="I78" s="174"/>
      <c r="J78" s="174"/>
      <c r="K78" s="174"/>
      <c r="L78" s="174"/>
      <c r="M78" s="174"/>
      <c r="N78" s="174"/>
      <c r="O78" s="174"/>
      <c r="P78" s="174"/>
      <c r="Q78" s="174"/>
      <c r="R78" s="174"/>
      <c r="S78" s="174"/>
      <c r="T78" s="174"/>
      <c r="U78" s="174"/>
      <c r="V78" s="174"/>
      <c r="W78" s="174"/>
      <c r="X78" s="174"/>
      <c r="Y78" s="174"/>
      <c r="Z78" s="174"/>
    </row>
    <row r="79" spans="1:40" ht="12.75" customHeight="1">
      <c r="A79" s="173" t="s">
        <v>3898</v>
      </c>
      <c r="B79" s="173"/>
      <c r="C79" s="173"/>
      <c r="D79" s="173"/>
      <c r="E79" s="173"/>
      <c r="F79" s="173"/>
      <c r="G79" s="173"/>
      <c r="H79" s="173"/>
      <c r="I79" s="173"/>
      <c r="J79" s="173"/>
      <c r="K79" s="173"/>
      <c r="L79" s="173"/>
      <c r="M79" s="173"/>
      <c r="N79" s="173"/>
      <c r="O79" s="173"/>
      <c r="P79" s="173"/>
      <c r="Q79" s="173"/>
      <c r="R79" s="173"/>
      <c r="S79" s="173"/>
      <c r="T79" s="173"/>
      <c r="U79" s="173"/>
      <c r="V79" s="173"/>
      <c r="W79" s="173"/>
      <c r="X79" s="173"/>
      <c r="Y79" s="173"/>
      <c r="Z79" s="173"/>
    </row>
  </sheetData>
  <pageMargins left="0.25" right="0.25" top="0.25" bottom="0.25" header="0.3" footer="0.3"/>
  <pageSetup scale="42" fitToHeight="0" orientation="landscape"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2A9420-0CEA-46F0-ACA6-37B5C574DD83}">
  <dimension ref="A1:AP98"/>
  <sheetViews>
    <sheetView workbookViewId="0"/>
    <sheetView workbookViewId="1"/>
  </sheetViews>
  <sheetFormatPr defaultColWidth="8.7265625" defaultRowHeight="13"/>
  <cols>
    <col min="1" max="1" width="34.54296875" style="54" customWidth="1"/>
    <col min="2" max="19" width="10.86328125" style="54" hidden="1" customWidth="1"/>
    <col min="20" max="20" width="10.86328125" style="77" hidden="1" customWidth="1"/>
    <col min="21" max="38" width="10.86328125" style="54" hidden="1" customWidth="1"/>
    <col min="39" max="42" width="10.86328125" style="54" customWidth="1"/>
    <col min="43" max="16384" width="8.7265625" style="54"/>
  </cols>
  <sheetData>
    <row r="1" spans="1:42" ht="16.5" customHeight="1" thickBot="1">
      <c r="A1" s="187" t="s">
        <v>1063</v>
      </c>
      <c r="B1" s="187"/>
      <c r="C1" s="187"/>
      <c r="D1" s="187"/>
      <c r="E1" s="187"/>
      <c r="F1" s="187"/>
      <c r="G1" s="187"/>
      <c r="H1" s="187"/>
      <c r="I1" s="187"/>
      <c r="J1" s="187"/>
      <c r="K1" s="187"/>
      <c r="L1" s="187"/>
      <c r="M1" s="187"/>
      <c r="N1" s="187"/>
      <c r="O1" s="187"/>
      <c r="P1" s="187"/>
      <c r="Q1" s="187"/>
      <c r="R1" s="187"/>
      <c r="S1" s="187"/>
      <c r="T1" s="187"/>
      <c r="U1" s="187"/>
      <c r="V1" s="187"/>
      <c r="W1" s="187"/>
      <c r="X1" s="187"/>
      <c r="Y1" s="187"/>
      <c r="Z1" s="187"/>
      <c r="AA1" s="187"/>
      <c r="AB1" s="187"/>
      <c r="AC1" s="187"/>
      <c r="AD1" s="187"/>
      <c r="AE1" s="187"/>
      <c r="AF1" s="187"/>
      <c r="AG1" s="187"/>
      <c r="AH1" s="187"/>
      <c r="AI1" s="187"/>
      <c r="AJ1" s="187"/>
      <c r="AK1" s="187"/>
      <c r="AL1" s="187"/>
      <c r="AM1" s="187"/>
      <c r="AN1" s="187"/>
      <c r="AO1" s="187"/>
      <c r="AP1" s="187"/>
    </row>
    <row r="2" spans="1:42" s="60" customFormat="1" ht="16.5" customHeight="1">
      <c r="A2" s="33"/>
      <c r="B2" s="42">
        <v>1960</v>
      </c>
      <c r="C2" s="42">
        <v>1965</v>
      </c>
      <c r="D2" s="42">
        <v>1970</v>
      </c>
      <c r="E2" s="42">
        <v>1975</v>
      </c>
      <c r="F2" s="42">
        <v>1980</v>
      </c>
      <c r="G2" s="42">
        <v>1985</v>
      </c>
      <c r="H2" s="42">
        <v>1990</v>
      </c>
      <c r="I2" s="42">
        <v>1991</v>
      </c>
      <c r="J2" s="42">
        <v>1992</v>
      </c>
      <c r="K2" s="42">
        <v>1993</v>
      </c>
      <c r="L2" s="42">
        <v>1994</v>
      </c>
      <c r="M2" s="42">
        <v>1995</v>
      </c>
      <c r="N2" s="42">
        <v>1996</v>
      </c>
      <c r="O2" s="42">
        <v>1997</v>
      </c>
      <c r="P2" s="42">
        <v>1998</v>
      </c>
      <c r="Q2" s="42">
        <v>1999</v>
      </c>
      <c r="R2" s="42">
        <v>2000</v>
      </c>
      <c r="S2" s="42">
        <v>2001</v>
      </c>
      <c r="T2" s="42">
        <v>2002</v>
      </c>
      <c r="U2" s="42">
        <v>2003</v>
      </c>
      <c r="V2" s="42">
        <v>2004</v>
      </c>
      <c r="W2" s="42">
        <v>2005</v>
      </c>
      <c r="X2" s="42">
        <v>2006</v>
      </c>
      <c r="Y2" s="42">
        <v>2007</v>
      </c>
      <c r="Z2" s="42">
        <v>2008</v>
      </c>
      <c r="AA2" s="42">
        <v>2009</v>
      </c>
      <c r="AB2" s="42">
        <v>2010</v>
      </c>
      <c r="AC2" s="42">
        <v>2011</v>
      </c>
      <c r="AD2" s="42">
        <v>2012</v>
      </c>
      <c r="AE2" s="42">
        <v>2013</v>
      </c>
      <c r="AF2" s="42">
        <v>2014</v>
      </c>
      <c r="AG2" s="42">
        <v>2015</v>
      </c>
      <c r="AH2" s="42">
        <v>2016</v>
      </c>
      <c r="AI2" s="42">
        <v>2017</v>
      </c>
      <c r="AJ2" s="42">
        <v>2018</v>
      </c>
      <c r="AK2" s="42">
        <v>2019</v>
      </c>
      <c r="AL2" s="42">
        <v>2020</v>
      </c>
      <c r="AM2" s="42">
        <v>2021</v>
      </c>
      <c r="AN2" s="42">
        <v>2022</v>
      </c>
      <c r="AO2" s="42">
        <v>2023</v>
      </c>
      <c r="AP2" s="55">
        <v>2024</v>
      </c>
    </row>
    <row r="3" spans="1:42" s="60" customFormat="1" ht="16.5" customHeight="1">
      <c r="A3" s="56" t="s">
        <v>161</v>
      </c>
      <c r="B3" s="57"/>
      <c r="C3" s="57"/>
      <c r="D3" s="57"/>
      <c r="E3" s="57"/>
      <c r="F3" s="57"/>
      <c r="G3" s="57"/>
      <c r="H3" s="57"/>
      <c r="I3" s="57"/>
      <c r="J3" s="57"/>
      <c r="K3" s="57"/>
      <c r="L3" s="57"/>
      <c r="M3" s="57"/>
      <c r="N3" s="57"/>
      <c r="O3" s="57"/>
      <c r="P3" s="57"/>
      <c r="Q3" s="57"/>
      <c r="R3" s="57"/>
      <c r="S3" s="57"/>
      <c r="T3" s="57"/>
      <c r="U3" s="57"/>
      <c r="V3" s="57"/>
      <c r="W3" s="57"/>
      <c r="X3" s="57"/>
      <c r="Y3" s="57"/>
      <c r="Z3" s="57"/>
      <c r="AA3" s="57"/>
      <c r="AB3" s="57"/>
      <c r="AC3" s="57"/>
      <c r="AD3" s="57"/>
      <c r="AE3" s="57"/>
      <c r="AF3" s="57"/>
      <c r="AG3" s="57"/>
      <c r="AH3" s="57"/>
      <c r="AI3" s="57"/>
      <c r="AJ3" s="57"/>
      <c r="AK3" s="57"/>
      <c r="AL3" s="57"/>
      <c r="AM3" s="57"/>
      <c r="AN3" s="57"/>
      <c r="AO3" s="57"/>
    </row>
    <row r="4" spans="1:42" s="60" customFormat="1" ht="16.5" customHeight="1">
      <c r="A4" s="188" t="s">
        <v>1064</v>
      </c>
      <c r="B4" s="61">
        <v>2135</v>
      </c>
      <c r="C4" s="61">
        <v>2125</v>
      </c>
      <c r="D4" s="61">
        <v>2679</v>
      </c>
      <c r="E4" s="61">
        <v>2495</v>
      </c>
      <c r="F4" s="61">
        <v>3808</v>
      </c>
      <c r="G4" s="61">
        <v>4678</v>
      </c>
      <c r="H4" s="61">
        <v>6083</v>
      </c>
      <c r="I4" s="61">
        <v>6054</v>
      </c>
      <c r="J4" s="61">
        <v>7320</v>
      </c>
      <c r="K4" s="61">
        <v>7297</v>
      </c>
      <c r="L4" s="61">
        <v>7370</v>
      </c>
      <c r="M4" s="61">
        <v>6865</v>
      </c>
      <c r="N4" s="61">
        <v>7077</v>
      </c>
      <c r="O4" s="61">
        <v>7043</v>
      </c>
      <c r="P4" s="61">
        <v>7451</v>
      </c>
      <c r="Q4" s="57">
        <v>7859</v>
      </c>
      <c r="R4" s="57">
        <v>7826</v>
      </c>
      <c r="S4" s="57">
        <v>7746</v>
      </c>
      <c r="T4" s="57">
        <v>7673</v>
      </c>
      <c r="U4" s="57">
        <v>7564</v>
      </c>
      <c r="V4" s="57">
        <v>7764</v>
      </c>
      <c r="W4" s="57">
        <v>7686</v>
      </c>
      <c r="X4" s="57">
        <v>7637</v>
      </c>
      <c r="Y4" s="57">
        <v>7732</v>
      </c>
      <c r="Z4" s="57">
        <v>7337</v>
      </c>
      <c r="AA4" s="57">
        <v>7169</v>
      </c>
      <c r="AB4" s="57">
        <v>7185</v>
      </c>
      <c r="AC4" s="57">
        <v>7167</v>
      </c>
      <c r="AD4" s="57">
        <v>6914</v>
      </c>
      <c r="AE4" s="57">
        <v>6740</v>
      </c>
      <c r="AF4" s="57">
        <v>6761</v>
      </c>
      <c r="AG4" s="57">
        <v>6876</v>
      </c>
      <c r="AH4" s="57">
        <v>7077</v>
      </c>
      <c r="AI4" s="57">
        <v>7196</v>
      </c>
      <c r="AJ4" s="57">
        <v>7475</v>
      </c>
      <c r="AK4" s="57">
        <v>7628</v>
      </c>
      <c r="AL4" s="57">
        <v>5884</v>
      </c>
      <c r="AM4" s="57">
        <v>5815</v>
      </c>
      <c r="AN4" s="57">
        <v>6852</v>
      </c>
      <c r="AO4" s="57">
        <v>7572</v>
      </c>
      <c r="AP4" s="57">
        <v>7387</v>
      </c>
    </row>
    <row r="5" spans="1:42" s="60" customFormat="1" ht="16.5" customHeight="1">
      <c r="A5" s="188" t="s">
        <v>1065</v>
      </c>
      <c r="B5" s="61">
        <v>76549</v>
      </c>
      <c r="C5" s="61">
        <v>95442</v>
      </c>
      <c r="D5" s="61">
        <v>131743</v>
      </c>
      <c r="E5" s="61">
        <v>168475</v>
      </c>
      <c r="F5" s="61">
        <v>211045</v>
      </c>
      <c r="G5" s="61">
        <v>210654</v>
      </c>
      <c r="H5" s="61">
        <v>198000</v>
      </c>
      <c r="I5" s="61">
        <v>196874</v>
      </c>
      <c r="J5" s="61">
        <v>185650</v>
      </c>
      <c r="K5" s="61">
        <v>177120</v>
      </c>
      <c r="L5" s="61">
        <v>172935</v>
      </c>
      <c r="M5" s="61">
        <v>188089</v>
      </c>
      <c r="N5" s="61">
        <v>191129</v>
      </c>
      <c r="O5" s="61">
        <v>192414</v>
      </c>
      <c r="P5" s="61">
        <v>204710</v>
      </c>
      <c r="Q5" s="57">
        <v>219464</v>
      </c>
      <c r="R5" s="57">
        <v>217533</v>
      </c>
      <c r="S5" s="57">
        <v>211446</v>
      </c>
      <c r="T5" s="57">
        <v>211244</v>
      </c>
      <c r="U5" s="57">
        <v>209708</v>
      </c>
      <c r="V5" s="57">
        <v>219426</v>
      </c>
      <c r="W5" s="57">
        <v>224352</v>
      </c>
      <c r="X5" s="57">
        <v>221943</v>
      </c>
      <c r="Y5" s="57">
        <v>231607</v>
      </c>
      <c r="Z5" s="57">
        <v>228663</v>
      </c>
      <c r="AA5" s="57">
        <v>223877</v>
      </c>
      <c r="AB5" s="57">
        <v>223370</v>
      </c>
      <c r="AC5" s="57">
        <v>220453.22868848289</v>
      </c>
      <c r="AD5" s="57">
        <v>209033.99999999994</v>
      </c>
      <c r="AE5" s="57">
        <v>199927</v>
      </c>
      <c r="AF5" s="57">
        <v>204408</v>
      </c>
      <c r="AG5" s="57">
        <v>210031</v>
      </c>
      <c r="AH5" s="57">
        <v>211794</v>
      </c>
      <c r="AI5" s="57">
        <v>211757</v>
      </c>
      <c r="AJ5" s="57">
        <v>211749</v>
      </c>
      <c r="AK5" s="57">
        <v>210981</v>
      </c>
      <c r="AL5" s="57">
        <v>204140</v>
      </c>
      <c r="AM5" s="57">
        <v>209194</v>
      </c>
      <c r="AN5" s="57">
        <v>209540</v>
      </c>
      <c r="AO5" s="57">
        <v>214222</v>
      </c>
      <c r="AP5" s="57">
        <v>214940</v>
      </c>
    </row>
    <row r="6" spans="1:42" s="59" customFormat="1" ht="16.5" customHeight="1">
      <c r="A6" s="56" t="s">
        <v>1066</v>
      </c>
      <c r="B6" s="62">
        <v>73857768</v>
      </c>
      <c r="C6" s="62">
        <v>90357667</v>
      </c>
      <c r="D6" s="62">
        <v>111242295</v>
      </c>
      <c r="E6" s="62">
        <v>137912779</v>
      </c>
      <c r="F6" s="62">
        <v>161490159</v>
      </c>
      <c r="G6" s="62">
        <v>177133282</v>
      </c>
      <c r="H6" s="62">
        <v>193057376</v>
      </c>
      <c r="I6" s="62">
        <v>192313834</v>
      </c>
      <c r="J6" s="62">
        <v>194427346</v>
      </c>
      <c r="K6" s="62">
        <v>198041338</v>
      </c>
      <c r="L6" s="62">
        <v>201801918</v>
      </c>
      <c r="M6" s="62">
        <v>205427212</v>
      </c>
      <c r="N6" s="62">
        <v>210441248.708</v>
      </c>
      <c r="O6" s="62">
        <v>211580033</v>
      </c>
      <c r="P6" s="62">
        <v>215496003</v>
      </c>
      <c r="Q6" s="63">
        <v>220461056</v>
      </c>
      <c r="R6" s="63">
        <v>225821241</v>
      </c>
      <c r="S6" s="63">
        <v>235331382</v>
      </c>
      <c r="T6" s="63">
        <v>234624135</v>
      </c>
      <c r="U6" s="63">
        <v>236760033</v>
      </c>
      <c r="V6" s="63">
        <v>243010549</v>
      </c>
      <c r="W6" s="63">
        <v>247421120</v>
      </c>
      <c r="X6" s="63">
        <v>250844644</v>
      </c>
      <c r="Y6" s="63">
        <v>254403081</v>
      </c>
      <c r="Z6" s="63">
        <v>255917664</v>
      </c>
      <c r="AA6" s="63">
        <v>254212611</v>
      </c>
      <c r="AB6" s="63">
        <v>250070048</v>
      </c>
      <c r="AC6" s="63">
        <v>253215681</v>
      </c>
      <c r="AD6" s="63">
        <v>253639386</v>
      </c>
      <c r="AE6" s="63">
        <v>255876822</v>
      </c>
      <c r="AF6" s="63">
        <v>260350938</v>
      </c>
      <c r="AG6" s="63">
        <v>263610219</v>
      </c>
      <c r="AH6" s="63">
        <v>268799083</v>
      </c>
      <c r="AI6" s="63">
        <v>272480899</v>
      </c>
      <c r="AJ6" s="63">
        <v>273602100</v>
      </c>
      <c r="AK6" s="63">
        <v>276491174</v>
      </c>
      <c r="AL6" s="63">
        <v>275936367</v>
      </c>
      <c r="AM6" s="63">
        <v>281185492</v>
      </c>
      <c r="AN6" s="63">
        <v>282174766</v>
      </c>
      <c r="AO6" s="63">
        <v>284614269</v>
      </c>
      <c r="AP6" s="63" t="s">
        <v>164</v>
      </c>
    </row>
    <row r="7" spans="1:42" s="60" customFormat="1" ht="16.5" customHeight="1">
      <c r="A7" s="188" t="s">
        <v>1067</v>
      </c>
      <c r="B7" s="61">
        <v>61671390</v>
      </c>
      <c r="C7" s="61">
        <v>75257588</v>
      </c>
      <c r="D7" s="61">
        <v>92067655</v>
      </c>
      <c r="E7" s="61">
        <v>111670004</v>
      </c>
      <c r="F7" s="61">
        <v>127294783</v>
      </c>
      <c r="G7" s="61">
        <v>133329597</v>
      </c>
      <c r="H7" s="61">
        <v>137959958</v>
      </c>
      <c r="I7" s="61">
        <v>132476966</v>
      </c>
      <c r="J7" s="61">
        <v>130646266</v>
      </c>
      <c r="K7" s="61">
        <v>131305045</v>
      </c>
      <c r="L7" s="61">
        <v>133929661</v>
      </c>
      <c r="M7" s="61">
        <v>128386775</v>
      </c>
      <c r="N7" s="61">
        <v>129728341</v>
      </c>
      <c r="O7" s="61">
        <v>129748704</v>
      </c>
      <c r="P7" s="61">
        <v>131838538</v>
      </c>
      <c r="Q7" s="57">
        <v>132432044</v>
      </c>
      <c r="R7" s="57">
        <v>133621420</v>
      </c>
      <c r="S7" s="57">
        <v>137633467</v>
      </c>
      <c r="T7" s="57">
        <v>135920677</v>
      </c>
      <c r="U7" s="57">
        <v>135669897</v>
      </c>
      <c r="V7" s="57">
        <v>136430651</v>
      </c>
      <c r="W7" s="57">
        <v>136568083</v>
      </c>
      <c r="X7" s="57">
        <v>135399945</v>
      </c>
      <c r="Y7" s="57">
        <v>196491176</v>
      </c>
      <c r="Z7" s="57">
        <v>196762927</v>
      </c>
      <c r="AA7" s="57">
        <v>193979654</v>
      </c>
      <c r="AB7" s="57">
        <v>190202782</v>
      </c>
      <c r="AC7" s="57">
        <v>183522635</v>
      </c>
      <c r="AD7" s="57">
        <v>183171882</v>
      </c>
      <c r="AE7" s="57">
        <v>184497490</v>
      </c>
      <c r="AF7" s="57">
        <v>187554928</v>
      </c>
      <c r="AG7" s="57">
        <v>189618308</v>
      </c>
      <c r="AH7" s="57">
        <v>192774508</v>
      </c>
      <c r="AI7" s="57">
        <v>193672370</v>
      </c>
      <c r="AJ7" s="57">
        <v>192856211</v>
      </c>
      <c r="AK7" s="57">
        <v>194348815</v>
      </c>
      <c r="AL7" s="57">
        <v>194788825</v>
      </c>
      <c r="AM7" s="57">
        <v>196611629</v>
      </c>
      <c r="AN7" s="57">
        <v>196467427</v>
      </c>
      <c r="AO7" s="57">
        <v>197134299</v>
      </c>
      <c r="AP7" s="57" t="s">
        <v>164</v>
      </c>
    </row>
    <row r="8" spans="1:42" s="60" customFormat="1" ht="16.5" customHeight="1">
      <c r="A8" s="188" t="s">
        <v>1068</v>
      </c>
      <c r="B8" s="61" t="s">
        <v>164</v>
      </c>
      <c r="C8" s="61" t="s">
        <v>164</v>
      </c>
      <c r="D8" s="61" t="s">
        <v>164</v>
      </c>
      <c r="E8" s="61" t="s">
        <v>164</v>
      </c>
      <c r="F8" s="61" t="s">
        <v>164</v>
      </c>
      <c r="G8" s="61" t="s">
        <v>164</v>
      </c>
      <c r="H8" s="61" t="s">
        <v>164</v>
      </c>
      <c r="I8" s="61" t="s">
        <v>164</v>
      </c>
      <c r="J8" s="61" t="s">
        <v>164</v>
      </c>
      <c r="K8" s="61" t="s">
        <v>164</v>
      </c>
      <c r="L8" s="61">
        <v>3756553</v>
      </c>
      <c r="M8" s="61">
        <v>3897191</v>
      </c>
      <c r="N8" s="61">
        <v>3871599</v>
      </c>
      <c r="O8" s="61">
        <v>3826373</v>
      </c>
      <c r="P8" s="61">
        <v>3879450</v>
      </c>
      <c r="Q8" s="57">
        <v>4152433</v>
      </c>
      <c r="R8" s="57">
        <v>4346068</v>
      </c>
      <c r="S8" s="57">
        <v>4903056</v>
      </c>
      <c r="T8" s="57">
        <v>5004156</v>
      </c>
      <c r="U8" s="57">
        <v>5370035</v>
      </c>
      <c r="V8" s="57">
        <v>5767934</v>
      </c>
      <c r="W8" s="57">
        <v>6227146</v>
      </c>
      <c r="X8" s="57">
        <v>6678958</v>
      </c>
      <c r="Y8" s="57">
        <v>7138476</v>
      </c>
      <c r="Z8" s="57">
        <v>7752926</v>
      </c>
      <c r="AA8" s="57">
        <v>7929724</v>
      </c>
      <c r="AB8" s="57">
        <v>8009503</v>
      </c>
      <c r="AC8" s="57">
        <v>8437502</v>
      </c>
      <c r="AD8" s="57">
        <v>8454939</v>
      </c>
      <c r="AE8" s="57">
        <v>8404687</v>
      </c>
      <c r="AF8" s="57">
        <v>8417718</v>
      </c>
      <c r="AG8" s="57">
        <v>8600936</v>
      </c>
      <c r="AH8" s="57">
        <v>8679380</v>
      </c>
      <c r="AI8" s="57">
        <v>8715204</v>
      </c>
      <c r="AJ8" s="57">
        <v>8666185</v>
      </c>
      <c r="AK8" s="57">
        <v>8596314</v>
      </c>
      <c r="AL8" s="57">
        <v>8347435</v>
      </c>
      <c r="AM8" s="57">
        <v>9424769</v>
      </c>
      <c r="AN8" s="57">
        <v>9186256</v>
      </c>
      <c r="AO8" s="57">
        <v>9516910</v>
      </c>
      <c r="AP8" s="57" t="s">
        <v>164</v>
      </c>
    </row>
    <row r="9" spans="1:42" s="60" customFormat="1" ht="16.5" customHeight="1">
      <c r="A9" s="188" t="s">
        <v>1069</v>
      </c>
      <c r="B9" s="61" t="s">
        <v>164</v>
      </c>
      <c r="C9" s="61" t="s">
        <v>164</v>
      </c>
      <c r="D9" s="61">
        <v>14210591</v>
      </c>
      <c r="E9" s="61">
        <v>20418250</v>
      </c>
      <c r="F9" s="61">
        <v>27875934</v>
      </c>
      <c r="G9" s="61">
        <v>37213863</v>
      </c>
      <c r="H9" s="61">
        <v>48274555</v>
      </c>
      <c r="I9" s="61">
        <v>53033443</v>
      </c>
      <c r="J9" s="61">
        <v>57091143</v>
      </c>
      <c r="K9" s="61">
        <v>59993706</v>
      </c>
      <c r="L9" s="61">
        <v>57141967</v>
      </c>
      <c r="M9" s="61">
        <v>65738322</v>
      </c>
      <c r="N9" s="61">
        <v>69133912.708000004</v>
      </c>
      <c r="O9" s="61">
        <v>70224082</v>
      </c>
      <c r="P9" s="61">
        <v>71330205</v>
      </c>
      <c r="Q9" s="57">
        <v>75356376</v>
      </c>
      <c r="R9" s="57">
        <v>79084979</v>
      </c>
      <c r="S9" s="57">
        <v>84187636</v>
      </c>
      <c r="T9" s="57">
        <v>85011305</v>
      </c>
      <c r="U9" s="57">
        <v>87186663</v>
      </c>
      <c r="V9" s="57">
        <v>91845327</v>
      </c>
      <c r="W9" s="57">
        <v>95336839</v>
      </c>
      <c r="X9" s="57">
        <v>99124775</v>
      </c>
      <c r="Y9" s="57">
        <v>39186974</v>
      </c>
      <c r="Z9" s="57">
        <v>39685228</v>
      </c>
      <c r="AA9" s="57">
        <v>40488025</v>
      </c>
      <c r="AB9" s="57">
        <v>40241658</v>
      </c>
      <c r="AC9" s="57">
        <v>50318787</v>
      </c>
      <c r="AD9" s="57">
        <v>50588676</v>
      </c>
      <c r="AE9" s="57">
        <v>51512740</v>
      </c>
      <c r="AF9" s="57">
        <v>52600309</v>
      </c>
      <c r="AG9" s="57">
        <v>53298884</v>
      </c>
      <c r="AH9" s="57">
        <v>54870473</v>
      </c>
      <c r="AI9" s="57">
        <v>56880878</v>
      </c>
      <c r="AJ9" s="57">
        <v>57853642</v>
      </c>
      <c r="AK9" s="57">
        <v>59465369</v>
      </c>
      <c r="AL9" s="57">
        <v>58890431</v>
      </c>
      <c r="AM9" s="57">
        <v>60382963</v>
      </c>
      <c r="AN9" s="57">
        <v>61273790</v>
      </c>
      <c r="AO9" s="57">
        <v>62103995</v>
      </c>
      <c r="AP9" s="57" t="s">
        <v>164</v>
      </c>
    </row>
    <row r="10" spans="1:42" s="60" customFormat="1" ht="16.5" customHeight="1">
      <c r="A10" s="189" t="s">
        <v>1070</v>
      </c>
      <c r="B10" s="61" t="s">
        <v>164</v>
      </c>
      <c r="C10" s="61">
        <v>13999285</v>
      </c>
      <c r="D10" s="61">
        <v>3681405</v>
      </c>
      <c r="E10" s="61">
        <v>4231622</v>
      </c>
      <c r="F10" s="61">
        <v>4373784</v>
      </c>
      <c r="G10" s="61">
        <v>4593071</v>
      </c>
      <c r="H10" s="61">
        <v>4486981</v>
      </c>
      <c r="I10" s="61">
        <v>4480815</v>
      </c>
      <c r="J10" s="61">
        <v>4369842</v>
      </c>
      <c r="K10" s="61">
        <v>4407850</v>
      </c>
      <c r="L10" s="61">
        <v>4724608</v>
      </c>
      <c r="M10" s="61">
        <v>5023670</v>
      </c>
      <c r="N10" s="61">
        <v>5266029</v>
      </c>
      <c r="O10" s="61">
        <v>5293358</v>
      </c>
      <c r="P10" s="61">
        <v>5734925</v>
      </c>
      <c r="Q10" s="57">
        <v>5762864</v>
      </c>
      <c r="R10" s="57">
        <v>5926030</v>
      </c>
      <c r="S10" s="57">
        <v>5703501</v>
      </c>
      <c r="T10" s="57">
        <v>5650619</v>
      </c>
      <c r="U10" s="57">
        <v>5848523</v>
      </c>
      <c r="V10" s="57">
        <v>6161028</v>
      </c>
      <c r="W10" s="57">
        <v>6395240</v>
      </c>
      <c r="X10" s="57">
        <v>6649337</v>
      </c>
      <c r="Y10" s="57">
        <v>8116672</v>
      </c>
      <c r="Z10" s="57">
        <v>8288046</v>
      </c>
      <c r="AA10" s="57">
        <v>8356097</v>
      </c>
      <c r="AB10" s="57">
        <v>8217189</v>
      </c>
      <c r="AC10" s="57">
        <v>7819055</v>
      </c>
      <c r="AD10" s="57">
        <v>8190286</v>
      </c>
      <c r="AE10" s="57">
        <v>8126007</v>
      </c>
      <c r="AF10" s="57">
        <v>8328759</v>
      </c>
      <c r="AG10" s="57">
        <v>8456302</v>
      </c>
      <c r="AH10" s="57">
        <v>8746518</v>
      </c>
      <c r="AI10" s="57">
        <v>9336998</v>
      </c>
      <c r="AJ10" s="57">
        <v>10327899</v>
      </c>
      <c r="AK10" s="57">
        <v>10160433</v>
      </c>
      <c r="AL10" s="57">
        <v>9908410</v>
      </c>
      <c r="AM10" s="57">
        <v>10687394</v>
      </c>
      <c r="AN10" s="57">
        <v>11049522</v>
      </c>
      <c r="AO10" s="57">
        <v>11567428</v>
      </c>
      <c r="AP10" s="57" t="s">
        <v>164</v>
      </c>
    </row>
    <row r="11" spans="1:42" s="60" customFormat="1" ht="16.5" customHeight="1">
      <c r="A11" s="188" t="s">
        <v>1071</v>
      </c>
      <c r="B11" s="61">
        <v>11914249</v>
      </c>
      <c r="C11" s="61">
        <v>786510</v>
      </c>
      <c r="D11" s="61">
        <v>905082</v>
      </c>
      <c r="E11" s="61">
        <v>1130747</v>
      </c>
      <c r="F11" s="61">
        <v>1416869</v>
      </c>
      <c r="G11" s="61">
        <v>1403266</v>
      </c>
      <c r="H11" s="61">
        <v>1708895</v>
      </c>
      <c r="I11" s="61">
        <v>1691331</v>
      </c>
      <c r="J11" s="61">
        <v>1675363</v>
      </c>
      <c r="K11" s="61">
        <v>1680305</v>
      </c>
      <c r="L11" s="61">
        <v>1578706</v>
      </c>
      <c r="M11" s="61">
        <v>1695751</v>
      </c>
      <c r="N11" s="61">
        <v>1746586</v>
      </c>
      <c r="O11" s="61">
        <v>1789968</v>
      </c>
      <c r="P11" s="61">
        <v>1997345</v>
      </c>
      <c r="Q11" s="57">
        <v>2028562</v>
      </c>
      <c r="R11" s="57">
        <v>2096619</v>
      </c>
      <c r="S11" s="57">
        <v>2154174</v>
      </c>
      <c r="T11" s="57">
        <v>2276661</v>
      </c>
      <c r="U11" s="57">
        <v>1908365</v>
      </c>
      <c r="V11" s="57">
        <v>2010335</v>
      </c>
      <c r="W11" s="57">
        <v>2086759</v>
      </c>
      <c r="X11" s="57">
        <v>2169670</v>
      </c>
      <c r="Y11" s="57">
        <v>2635347</v>
      </c>
      <c r="Z11" s="57">
        <v>2585229</v>
      </c>
      <c r="AA11" s="57">
        <v>2617118</v>
      </c>
      <c r="AB11" s="57">
        <v>2552865</v>
      </c>
      <c r="AC11" s="57">
        <v>2451638</v>
      </c>
      <c r="AD11" s="57">
        <v>2469094</v>
      </c>
      <c r="AE11" s="57">
        <v>2471349</v>
      </c>
      <c r="AF11" s="57">
        <v>2577197</v>
      </c>
      <c r="AG11" s="57">
        <v>2746882</v>
      </c>
      <c r="AH11" s="57">
        <v>2752043</v>
      </c>
      <c r="AI11" s="57">
        <v>2892218</v>
      </c>
      <c r="AJ11" s="57">
        <v>2906011</v>
      </c>
      <c r="AK11" s="57">
        <v>2925210</v>
      </c>
      <c r="AL11" s="57">
        <v>2990962</v>
      </c>
      <c r="AM11" s="57">
        <v>3135181</v>
      </c>
      <c r="AN11" s="57">
        <v>3239716</v>
      </c>
      <c r="AO11" s="57">
        <v>3324112</v>
      </c>
      <c r="AP11" s="57" t="s">
        <v>164</v>
      </c>
    </row>
    <row r="12" spans="1:42" s="60" customFormat="1" ht="16.5" customHeight="1">
      <c r="A12" s="188" t="s">
        <v>1072</v>
      </c>
      <c r="B12" s="61">
        <v>272129</v>
      </c>
      <c r="C12" s="61">
        <v>314284</v>
      </c>
      <c r="D12" s="61">
        <v>377562</v>
      </c>
      <c r="E12" s="61">
        <v>462156</v>
      </c>
      <c r="F12" s="61">
        <v>528789</v>
      </c>
      <c r="G12" s="61">
        <v>593485</v>
      </c>
      <c r="H12" s="61">
        <v>626987</v>
      </c>
      <c r="I12" s="61">
        <v>631279</v>
      </c>
      <c r="J12" s="61">
        <v>644732</v>
      </c>
      <c r="K12" s="61">
        <v>654432</v>
      </c>
      <c r="L12" s="61">
        <v>670423</v>
      </c>
      <c r="M12" s="61">
        <v>685503</v>
      </c>
      <c r="N12" s="61">
        <v>694781</v>
      </c>
      <c r="O12" s="61">
        <v>697548</v>
      </c>
      <c r="P12" s="61">
        <v>715540</v>
      </c>
      <c r="Q12" s="57">
        <v>728777</v>
      </c>
      <c r="R12" s="57">
        <v>746125</v>
      </c>
      <c r="S12" s="57">
        <v>749548</v>
      </c>
      <c r="T12" s="57">
        <v>760717</v>
      </c>
      <c r="U12" s="57">
        <v>776550</v>
      </c>
      <c r="V12" s="57">
        <v>795274</v>
      </c>
      <c r="W12" s="57">
        <v>807053</v>
      </c>
      <c r="X12" s="57">
        <v>821959</v>
      </c>
      <c r="Y12" s="57">
        <v>834436</v>
      </c>
      <c r="Z12" s="57">
        <v>843308</v>
      </c>
      <c r="AA12" s="57">
        <v>841993</v>
      </c>
      <c r="AB12" s="57">
        <v>846051</v>
      </c>
      <c r="AC12" s="57">
        <v>666064</v>
      </c>
      <c r="AD12" s="57">
        <v>764509</v>
      </c>
      <c r="AE12" s="57">
        <v>864549</v>
      </c>
      <c r="AF12" s="57">
        <v>872027</v>
      </c>
      <c r="AG12" s="57">
        <v>888907</v>
      </c>
      <c r="AH12" s="57">
        <v>976161</v>
      </c>
      <c r="AI12" s="57">
        <v>983231</v>
      </c>
      <c r="AJ12" s="57">
        <v>992152</v>
      </c>
      <c r="AK12" s="57">
        <v>995033</v>
      </c>
      <c r="AL12" s="57">
        <v>1010304</v>
      </c>
      <c r="AM12" s="57">
        <v>943556</v>
      </c>
      <c r="AN12" s="57">
        <v>958055</v>
      </c>
      <c r="AO12" s="57">
        <v>967525</v>
      </c>
      <c r="AP12" s="57" t="s">
        <v>164</v>
      </c>
    </row>
    <row r="13" spans="1:42" s="60" customFormat="1" ht="16.5" customHeight="1">
      <c r="A13" s="64" t="s">
        <v>1073</v>
      </c>
      <c r="B13" s="61"/>
      <c r="C13" s="61"/>
      <c r="D13" s="61"/>
      <c r="E13" s="61"/>
      <c r="F13" s="61"/>
      <c r="G13" s="61"/>
      <c r="H13" s="61"/>
      <c r="I13" s="61"/>
      <c r="J13" s="61"/>
      <c r="K13" s="61"/>
      <c r="L13" s="61"/>
      <c r="M13" s="61"/>
      <c r="N13" s="61"/>
      <c r="O13" s="61"/>
      <c r="P13" s="61"/>
      <c r="Q13" s="57"/>
      <c r="R13" s="57"/>
      <c r="S13" s="57"/>
      <c r="T13" s="57"/>
      <c r="U13" s="57"/>
      <c r="V13" s="57"/>
      <c r="W13" s="57"/>
      <c r="X13" s="57"/>
      <c r="Y13" s="57"/>
      <c r="Z13" s="57"/>
      <c r="AA13" s="57"/>
      <c r="AB13" s="57"/>
      <c r="AC13" s="57"/>
      <c r="AD13" s="57"/>
      <c r="AE13" s="57"/>
      <c r="AF13" s="57"/>
      <c r="AG13" s="57"/>
      <c r="AH13" s="57"/>
      <c r="AI13" s="57"/>
      <c r="AJ13" s="57"/>
      <c r="AK13" s="57"/>
      <c r="AL13" s="57"/>
      <c r="AM13" s="57"/>
      <c r="AN13" s="57"/>
      <c r="AO13" s="57"/>
      <c r="AP13" s="57"/>
    </row>
    <row r="14" spans="1:42" s="60" customFormat="1" ht="16.5" customHeight="1">
      <c r="A14" s="188" t="s">
        <v>1074</v>
      </c>
      <c r="B14" s="61">
        <v>49600</v>
      </c>
      <c r="C14" s="61">
        <v>49600</v>
      </c>
      <c r="D14" s="61">
        <v>49700</v>
      </c>
      <c r="E14" s="61">
        <v>50822</v>
      </c>
      <c r="F14" s="61">
        <v>59411</v>
      </c>
      <c r="G14" s="61">
        <v>64258</v>
      </c>
      <c r="H14" s="61">
        <v>58714</v>
      </c>
      <c r="I14" s="61">
        <v>60377</v>
      </c>
      <c r="J14" s="61">
        <v>63080</v>
      </c>
      <c r="K14" s="61">
        <v>64850</v>
      </c>
      <c r="L14" s="61">
        <v>68123</v>
      </c>
      <c r="M14" s="61">
        <v>67107</v>
      </c>
      <c r="N14" s="61">
        <v>53339</v>
      </c>
      <c r="O14" s="61">
        <v>54946</v>
      </c>
      <c r="P14" s="61">
        <v>55661</v>
      </c>
      <c r="Q14" s="57">
        <v>57352</v>
      </c>
      <c r="R14" s="57">
        <v>58578</v>
      </c>
      <c r="S14" s="57">
        <v>60256</v>
      </c>
      <c r="T14" s="57">
        <v>60719</v>
      </c>
      <c r="U14" s="57">
        <v>61659</v>
      </c>
      <c r="V14" s="57">
        <v>61318</v>
      </c>
      <c r="W14" s="57">
        <v>62284</v>
      </c>
      <c r="X14" s="57">
        <v>64025</v>
      </c>
      <c r="Y14" s="57">
        <v>63359</v>
      </c>
      <c r="Z14" s="57">
        <v>63151</v>
      </c>
      <c r="AA14" s="57">
        <v>63343</v>
      </c>
      <c r="AB14" s="57">
        <v>63108</v>
      </c>
      <c r="AC14" s="57">
        <v>61127</v>
      </c>
      <c r="AD14" s="57">
        <v>61245</v>
      </c>
      <c r="AE14" s="57">
        <v>66823</v>
      </c>
      <c r="AF14" s="57">
        <v>62449</v>
      </c>
      <c r="AG14" s="57">
        <v>63573</v>
      </c>
      <c r="AH14" s="57">
        <v>63270</v>
      </c>
      <c r="AI14" s="57">
        <v>63759</v>
      </c>
      <c r="AJ14" s="57">
        <v>63284</v>
      </c>
      <c r="AK14" s="57">
        <v>64000</v>
      </c>
      <c r="AL14" s="57">
        <v>63903</v>
      </c>
      <c r="AM14" s="57">
        <v>62836</v>
      </c>
      <c r="AN14" s="57">
        <v>62766</v>
      </c>
      <c r="AO14" s="57">
        <v>61131</v>
      </c>
      <c r="AP14" s="57">
        <v>60998</v>
      </c>
    </row>
    <row r="15" spans="1:42" s="60" customFormat="1" ht="16.5" customHeight="1">
      <c r="A15" s="188" t="s">
        <v>1075</v>
      </c>
      <c r="B15" s="61">
        <v>2856</v>
      </c>
      <c r="C15" s="61">
        <v>1549</v>
      </c>
      <c r="D15" s="61">
        <v>1262</v>
      </c>
      <c r="E15" s="61">
        <v>1061</v>
      </c>
      <c r="F15" s="61">
        <v>1013</v>
      </c>
      <c r="G15" s="61">
        <v>717</v>
      </c>
      <c r="H15" s="61">
        <v>910</v>
      </c>
      <c r="I15" s="61">
        <v>1092</v>
      </c>
      <c r="J15" s="61">
        <v>1055</v>
      </c>
      <c r="K15" s="61">
        <v>1001</v>
      </c>
      <c r="L15" s="61">
        <v>1051</v>
      </c>
      <c r="M15" s="61">
        <v>1048</v>
      </c>
      <c r="N15" s="61">
        <v>1097</v>
      </c>
      <c r="O15" s="61">
        <v>1062</v>
      </c>
      <c r="P15" s="61">
        <v>1061</v>
      </c>
      <c r="Q15" s="57">
        <v>1160</v>
      </c>
      <c r="R15" s="57">
        <v>1306</v>
      </c>
      <c r="S15" s="57">
        <v>1359</v>
      </c>
      <c r="T15" s="57">
        <v>1448</v>
      </c>
      <c r="U15" s="57">
        <v>1482</v>
      </c>
      <c r="V15" s="57">
        <v>1622</v>
      </c>
      <c r="W15" s="57">
        <v>1645</v>
      </c>
      <c r="X15" s="57">
        <v>1801</v>
      </c>
      <c r="Y15" s="57">
        <v>1802</v>
      </c>
      <c r="Z15" s="57">
        <v>1948</v>
      </c>
      <c r="AA15" s="57">
        <v>2059</v>
      </c>
      <c r="AB15" s="57">
        <v>2096</v>
      </c>
      <c r="AC15" s="57">
        <v>2284</v>
      </c>
      <c r="AD15" s="57">
        <v>2348</v>
      </c>
      <c r="AE15" s="57">
        <v>2842</v>
      </c>
      <c r="AF15" s="57">
        <v>2444</v>
      </c>
      <c r="AG15" s="57">
        <v>2478</v>
      </c>
      <c r="AH15" s="57">
        <v>2553</v>
      </c>
      <c r="AI15" s="57">
        <v>2557</v>
      </c>
      <c r="AJ15" s="57">
        <v>2729</v>
      </c>
      <c r="AK15" s="57">
        <v>2811</v>
      </c>
      <c r="AL15" s="57">
        <v>2799</v>
      </c>
      <c r="AM15" s="57">
        <v>2859</v>
      </c>
      <c r="AN15" s="57">
        <v>2892</v>
      </c>
      <c r="AO15" s="57">
        <v>2964</v>
      </c>
      <c r="AP15" s="57">
        <v>3009</v>
      </c>
    </row>
    <row r="16" spans="1:42" s="60" customFormat="1" ht="16.5" customHeight="1">
      <c r="A16" s="190" t="s">
        <v>1076</v>
      </c>
      <c r="B16" s="61">
        <v>9010</v>
      </c>
      <c r="C16" s="61">
        <v>9115</v>
      </c>
      <c r="D16" s="61">
        <v>9338</v>
      </c>
      <c r="E16" s="61">
        <v>9608</v>
      </c>
      <c r="F16" s="61">
        <v>9641</v>
      </c>
      <c r="G16" s="61">
        <v>9326</v>
      </c>
      <c r="H16" s="61">
        <v>10567</v>
      </c>
      <c r="I16" s="61">
        <v>10478</v>
      </c>
      <c r="J16" s="61">
        <v>10391</v>
      </c>
      <c r="K16" s="61">
        <v>10282</v>
      </c>
      <c r="L16" s="61">
        <v>10282</v>
      </c>
      <c r="M16" s="61">
        <v>10166</v>
      </c>
      <c r="N16" s="61">
        <v>10243</v>
      </c>
      <c r="O16" s="61">
        <v>10228</v>
      </c>
      <c r="P16" s="61">
        <v>10296</v>
      </c>
      <c r="Q16" s="57">
        <v>10362</v>
      </c>
      <c r="R16" s="57">
        <v>10311</v>
      </c>
      <c r="S16" s="57">
        <v>10718</v>
      </c>
      <c r="T16" s="57">
        <v>10849</v>
      </c>
      <c r="U16" s="57">
        <v>10754</v>
      </c>
      <c r="V16" s="57">
        <v>10858</v>
      </c>
      <c r="W16" s="57">
        <v>11110</v>
      </c>
      <c r="X16" s="57">
        <v>11052</v>
      </c>
      <c r="Y16" s="57">
        <v>11222</v>
      </c>
      <c r="Z16" s="57">
        <v>11377</v>
      </c>
      <c r="AA16" s="57">
        <v>11461</v>
      </c>
      <c r="AB16" s="57">
        <v>11510</v>
      </c>
      <c r="AC16" s="57">
        <v>14942</v>
      </c>
      <c r="AD16" s="57">
        <v>10469</v>
      </c>
      <c r="AE16" s="57">
        <v>10380</v>
      </c>
      <c r="AF16" s="57">
        <v>10551</v>
      </c>
      <c r="AG16" s="57">
        <v>10737</v>
      </c>
      <c r="AH16" s="57">
        <v>10775</v>
      </c>
      <c r="AI16" s="57">
        <v>10705</v>
      </c>
      <c r="AJ16" s="57">
        <v>10763</v>
      </c>
      <c r="AK16" s="57">
        <v>11198</v>
      </c>
      <c r="AL16" s="57">
        <v>11064</v>
      </c>
      <c r="AM16" s="57">
        <v>10942</v>
      </c>
      <c r="AN16" s="57">
        <v>10880</v>
      </c>
      <c r="AO16" s="57">
        <v>11069</v>
      </c>
      <c r="AP16" s="57">
        <v>11076</v>
      </c>
    </row>
    <row r="17" spans="1:42" s="60" customFormat="1" ht="16.5" customHeight="1">
      <c r="A17" s="188" t="s">
        <v>1077</v>
      </c>
      <c r="B17" s="61">
        <v>3826</v>
      </c>
      <c r="C17" s="61">
        <v>1453</v>
      </c>
      <c r="D17" s="61">
        <v>1050</v>
      </c>
      <c r="E17" s="61">
        <v>703</v>
      </c>
      <c r="F17" s="61">
        <v>823</v>
      </c>
      <c r="G17" s="61">
        <v>676</v>
      </c>
      <c r="H17" s="61">
        <v>610</v>
      </c>
      <c r="I17" s="61">
        <v>551</v>
      </c>
      <c r="J17" s="61">
        <v>665</v>
      </c>
      <c r="K17" s="61">
        <v>635</v>
      </c>
      <c r="L17" s="61">
        <v>643</v>
      </c>
      <c r="M17" s="61">
        <v>695</v>
      </c>
      <c r="N17" s="61">
        <v>675</v>
      </c>
      <c r="O17" s="61">
        <v>655</v>
      </c>
      <c r="P17" s="61">
        <v>646</v>
      </c>
      <c r="Q17" s="57">
        <v>657</v>
      </c>
      <c r="R17" s="57">
        <v>652</v>
      </c>
      <c r="S17" s="57">
        <v>600</v>
      </c>
      <c r="T17" s="57">
        <v>616</v>
      </c>
      <c r="U17" s="57">
        <v>672</v>
      </c>
      <c r="V17" s="57">
        <v>597</v>
      </c>
      <c r="W17" s="57">
        <v>615</v>
      </c>
      <c r="X17" s="57">
        <v>609</v>
      </c>
      <c r="Y17" s="57">
        <v>559</v>
      </c>
      <c r="Z17" s="57">
        <v>590</v>
      </c>
      <c r="AA17" s="57">
        <v>531</v>
      </c>
      <c r="AB17" s="57">
        <v>571</v>
      </c>
      <c r="AC17" s="57">
        <v>479</v>
      </c>
      <c r="AD17" s="57">
        <v>570</v>
      </c>
      <c r="AE17" s="57">
        <v>560</v>
      </c>
      <c r="AF17" s="57">
        <v>537</v>
      </c>
      <c r="AG17" s="57">
        <v>611</v>
      </c>
      <c r="AH17" s="57">
        <v>601</v>
      </c>
      <c r="AI17" s="57">
        <v>539</v>
      </c>
      <c r="AJ17" s="57">
        <v>571</v>
      </c>
      <c r="AK17" s="57">
        <v>572</v>
      </c>
      <c r="AL17" s="57">
        <v>633</v>
      </c>
      <c r="AM17" s="57">
        <v>563</v>
      </c>
      <c r="AN17" s="57">
        <v>563</v>
      </c>
      <c r="AO17" s="57">
        <v>535</v>
      </c>
      <c r="AP17" s="57">
        <v>535</v>
      </c>
    </row>
    <row r="18" spans="1:42" s="60" customFormat="1" ht="16.5" customHeight="1">
      <c r="A18" s="188" t="s">
        <v>1078</v>
      </c>
      <c r="B18" s="61" t="s">
        <v>163</v>
      </c>
      <c r="C18" s="61" t="s">
        <v>163</v>
      </c>
      <c r="D18" s="61" t="s">
        <v>163</v>
      </c>
      <c r="E18" s="61" t="s">
        <v>163</v>
      </c>
      <c r="F18" s="61">
        <v>4500</v>
      </c>
      <c r="G18" s="61">
        <v>4035</v>
      </c>
      <c r="H18" s="61">
        <v>4982</v>
      </c>
      <c r="I18" s="61">
        <v>5126</v>
      </c>
      <c r="J18" s="61">
        <v>5164</v>
      </c>
      <c r="K18" s="61">
        <v>4982</v>
      </c>
      <c r="L18" s="61">
        <v>5126</v>
      </c>
      <c r="M18" s="61">
        <v>5164</v>
      </c>
      <c r="N18" s="61">
        <v>5239</v>
      </c>
      <c r="O18" s="61">
        <v>5425</v>
      </c>
      <c r="P18" s="61">
        <v>5535</v>
      </c>
      <c r="Q18" s="65">
        <v>5549</v>
      </c>
      <c r="R18" s="65">
        <v>5497</v>
      </c>
      <c r="S18" s="65">
        <v>5528</v>
      </c>
      <c r="T18" s="65">
        <v>5631</v>
      </c>
      <c r="U18" s="65">
        <v>5866</v>
      </c>
      <c r="V18" s="65">
        <v>6130</v>
      </c>
      <c r="W18" s="65">
        <v>6290</v>
      </c>
      <c r="X18" s="65">
        <v>6300</v>
      </c>
      <c r="Y18" s="65">
        <v>6279</v>
      </c>
      <c r="Z18" s="65">
        <v>6494</v>
      </c>
      <c r="AA18" s="65">
        <v>6722</v>
      </c>
      <c r="AB18" s="65">
        <v>6768</v>
      </c>
      <c r="AC18" s="65">
        <v>6971</v>
      </c>
      <c r="AD18" s="65">
        <v>6938</v>
      </c>
      <c r="AE18" s="65">
        <v>7150</v>
      </c>
      <c r="AF18" s="65">
        <v>7177</v>
      </c>
      <c r="AG18" s="65">
        <v>7151</v>
      </c>
      <c r="AH18" s="65">
        <v>7190</v>
      </c>
      <c r="AI18" s="65">
        <v>7129</v>
      </c>
      <c r="AJ18" s="65">
        <v>7023</v>
      </c>
      <c r="AK18" s="65">
        <v>7144</v>
      </c>
      <c r="AL18" s="65">
        <v>7524</v>
      </c>
      <c r="AM18" s="65">
        <v>7545</v>
      </c>
      <c r="AN18" s="65">
        <v>7645</v>
      </c>
      <c r="AO18" s="65">
        <v>7603</v>
      </c>
      <c r="AP18" s="57">
        <v>7643</v>
      </c>
    </row>
    <row r="19" spans="1:42" s="60" customFormat="1" ht="16.5" customHeight="1">
      <c r="A19" s="188" t="s">
        <v>1079</v>
      </c>
      <c r="B19" s="61" t="s">
        <v>163</v>
      </c>
      <c r="C19" s="61" t="s">
        <v>163</v>
      </c>
      <c r="D19" s="61" t="s">
        <v>163</v>
      </c>
      <c r="E19" s="61" t="s">
        <v>163</v>
      </c>
      <c r="F19" s="61" t="s">
        <v>163</v>
      </c>
      <c r="G19" s="61">
        <v>14490</v>
      </c>
      <c r="H19" s="61">
        <v>16471</v>
      </c>
      <c r="I19" s="61">
        <v>17879</v>
      </c>
      <c r="J19" s="61">
        <v>20695</v>
      </c>
      <c r="K19" s="61">
        <v>23527</v>
      </c>
      <c r="L19" s="61">
        <v>28729</v>
      </c>
      <c r="M19" s="61">
        <v>29352</v>
      </c>
      <c r="N19" s="61">
        <v>17738</v>
      </c>
      <c r="O19" s="61">
        <v>19820</v>
      </c>
      <c r="P19" s="61">
        <v>20042</v>
      </c>
      <c r="Q19" s="65">
        <v>20761</v>
      </c>
      <c r="R19" s="65">
        <v>22087</v>
      </c>
      <c r="S19" s="65">
        <v>24668</v>
      </c>
      <c r="T19" s="65">
        <v>24808</v>
      </c>
      <c r="U19" s="65">
        <v>25873</v>
      </c>
      <c r="V19" s="65">
        <v>26333</v>
      </c>
      <c r="W19" s="65">
        <v>28346</v>
      </c>
      <c r="X19" s="65">
        <v>29406</v>
      </c>
      <c r="Y19" s="65">
        <v>29433</v>
      </c>
      <c r="Z19" s="65">
        <v>30773</v>
      </c>
      <c r="AA19" s="65">
        <v>34266</v>
      </c>
      <c r="AB19" s="65">
        <v>32696</v>
      </c>
      <c r="AC19" s="65">
        <v>31846</v>
      </c>
      <c r="AD19" s="65">
        <v>31929</v>
      </c>
      <c r="AE19" s="65">
        <v>31433</v>
      </c>
      <c r="AF19" s="65">
        <v>31359</v>
      </c>
      <c r="AG19" s="65">
        <v>32490</v>
      </c>
      <c r="AH19" s="65">
        <v>33225</v>
      </c>
      <c r="AI19" s="65">
        <v>33012</v>
      </c>
      <c r="AJ19" s="65">
        <v>33253</v>
      </c>
      <c r="AK19" s="65">
        <v>34613</v>
      </c>
      <c r="AL19" s="65">
        <v>34633</v>
      </c>
      <c r="AM19" s="65">
        <v>31553</v>
      </c>
      <c r="AN19" s="65">
        <v>31777</v>
      </c>
      <c r="AO19" s="65">
        <v>32423</v>
      </c>
      <c r="AP19" s="57">
        <v>34458</v>
      </c>
    </row>
    <row r="20" spans="1:42" s="60" customFormat="1" ht="16.5" customHeight="1">
      <c r="A20" s="188" t="s">
        <v>1080</v>
      </c>
      <c r="B20" s="61" t="s">
        <v>163</v>
      </c>
      <c r="C20" s="61" t="s">
        <v>163</v>
      </c>
      <c r="D20" s="61" t="s">
        <v>163</v>
      </c>
      <c r="E20" s="61" t="s">
        <v>163</v>
      </c>
      <c r="F20" s="61" t="s">
        <v>163</v>
      </c>
      <c r="G20" s="61">
        <v>867</v>
      </c>
      <c r="H20" s="61">
        <v>1176</v>
      </c>
      <c r="I20" s="61">
        <v>1568</v>
      </c>
      <c r="J20" s="61">
        <v>1821</v>
      </c>
      <c r="K20" s="61">
        <v>2268</v>
      </c>
      <c r="L20" s="61">
        <v>2462</v>
      </c>
      <c r="M20" s="61">
        <v>2809</v>
      </c>
      <c r="N20" s="61">
        <v>5344</v>
      </c>
      <c r="O20" s="61">
        <v>6245</v>
      </c>
      <c r="P20" s="61">
        <v>7105</v>
      </c>
      <c r="Q20" s="65">
        <v>7467</v>
      </c>
      <c r="R20" s="65">
        <v>7705</v>
      </c>
      <c r="S20" s="65">
        <v>8137</v>
      </c>
      <c r="T20" s="65">
        <v>8033</v>
      </c>
      <c r="U20" s="65">
        <v>8626</v>
      </c>
      <c r="V20" s="65">
        <v>10544</v>
      </c>
      <c r="W20" s="65">
        <v>11622</v>
      </c>
      <c r="X20" s="65">
        <v>12454</v>
      </c>
      <c r="Y20" s="65">
        <v>12953</v>
      </c>
      <c r="Z20" s="65">
        <v>14953</v>
      </c>
      <c r="AA20" s="65">
        <v>17766</v>
      </c>
      <c r="AB20" s="65">
        <v>18066</v>
      </c>
      <c r="AC20" s="65">
        <v>18965</v>
      </c>
      <c r="AD20" s="65">
        <v>16996</v>
      </c>
      <c r="AE20" s="65">
        <v>17793</v>
      </c>
      <c r="AF20" s="65">
        <v>17994</v>
      </c>
      <c r="AG20" s="65">
        <v>18601</v>
      </c>
      <c r="AH20" s="65">
        <v>17042</v>
      </c>
      <c r="AI20" s="65">
        <v>18104</v>
      </c>
      <c r="AJ20" s="65">
        <v>17803</v>
      </c>
      <c r="AK20" s="65">
        <v>17491</v>
      </c>
      <c r="AL20" s="65">
        <v>17511</v>
      </c>
      <c r="AM20" s="65">
        <v>13748</v>
      </c>
      <c r="AN20" s="65">
        <v>13451</v>
      </c>
      <c r="AO20" s="65">
        <v>14245</v>
      </c>
      <c r="AP20" s="57">
        <v>14147</v>
      </c>
    </row>
    <row r="21" spans="1:42" s="60" customFormat="1" ht="16.5" customHeight="1">
      <c r="A21" s="56" t="s">
        <v>168</v>
      </c>
      <c r="B21" s="61"/>
      <c r="C21" s="61"/>
      <c r="D21" s="61"/>
      <c r="E21" s="61"/>
      <c r="F21" s="61"/>
      <c r="G21" s="61"/>
      <c r="H21" s="61"/>
      <c r="I21" s="61"/>
      <c r="J21" s="61"/>
      <c r="K21" s="61"/>
      <c r="L21" s="61"/>
      <c r="M21" s="61"/>
      <c r="N21" s="61"/>
      <c r="O21" s="61"/>
      <c r="P21" s="61"/>
      <c r="Q21" s="57"/>
      <c r="R21" s="57"/>
      <c r="S21" s="57"/>
      <c r="T21" s="57"/>
      <c r="U21" s="57"/>
      <c r="V21" s="57"/>
      <c r="W21" s="57"/>
      <c r="X21" s="57"/>
      <c r="Y21" s="57"/>
      <c r="Z21" s="57"/>
      <c r="AA21" s="57"/>
      <c r="AB21" s="57"/>
      <c r="AC21" s="57"/>
      <c r="AD21" s="57"/>
      <c r="AE21" s="57"/>
      <c r="AF21" s="57"/>
      <c r="AG21" s="57"/>
      <c r="AH21" s="57"/>
      <c r="AI21" s="57"/>
      <c r="AJ21" s="57"/>
      <c r="AK21" s="57"/>
      <c r="AL21" s="57"/>
      <c r="AM21" s="57"/>
      <c r="AN21" s="57"/>
      <c r="AO21" s="57"/>
      <c r="AP21" s="57"/>
    </row>
    <row r="22" spans="1:42" s="60" customFormat="1" ht="16.5" customHeight="1">
      <c r="A22" s="188" t="s">
        <v>1081</v>
      </c>
      <c r="B22" s="61">
        <v>1658292</v>
      </c>
      <c r="C22" s="61">
        <v>1478005</v>
      </c>
      <c r="D22" s="61">
        <v>1423921</v>
      </c>
      <c r="E22" s="61">
        <v>1359459</v>
      </c>
      <c r="F22" s="61">
        <v>1168114</v>
      </c>
      <c r="G22" s="61">
        <v>867070</v>
      </c>
      <c r="H22" s="61">
        <v>658902</v>
      </c>
      <c r="I22" s="61">
        <v>633489</v>
      </c>
      <c r="J22" s="61">
        <v>605189</v>
      </c>
      <c r="K22" s="61">
        <v>587033</v>
      </c>
      <c r="L22" s="61">
        <v>590930</v>
      </c>
      <c r="M22" s="61">
        <v>583486</v>
      </c>
      <c r="N22" s="61">
        <v>570865</v>
      </c>
      <c r="O22" s="61">
        <v>568493</v>
      </c>
      <c r="P22" s="61">
        <v>575604</v>
      </c>
      <c r="Q22" s="57">
        <v>579140</v>
      </c>
      <c r="R22" s="57">
        <v>560154</v>
      </c>
      <c r="S22" s="57">
        <v>499860</v>
      </c>
      <c r="T22" s="57">
        <v>477751</v>
      </c>
      <c r="U22" s="57">
        <v>467063</v>
      </c>
      <c r="V22" s="57">
        <v>473773</v>
      </c>
      <c r="W22" s="57">
        <v>474839</v>
      </c>
      <c r="X22" s="57">
        <v>475415</v>
      </c>
      <c r="Y22" s="57">
        <v>460172</v>
      </c>
      <c r="Z22" s="57">
        <v>450297</v>
      </c>
      <c r="AA22" s="57">
        <v>416180</v>
      </c>
      <c r="AB22" s="57">
        <v>397730</v>
      </c>
      <c r="AC22" s="57">
        <v>380699</v>
      </c>
      <c r="AD22" s="57">
        <v>380641</v>
      </c>
      <c r="AE22" s="57">
        <v>373838</v>
      </c>
      <c r="AF22" s="57">
        <v>371642</v>
      </c>
      <c r="AG22" s="57">
        <v>330996</v>
      </c>
      <c r="AH22" s="57">
        <v>315227</v>
      </c>
      <c r="AI22" s="57">
        <v>306268</v>
      </c>
      <c r="AJ22" s="57">
        <v>293742</v>
      </c>
      <c r="AK22" s="57">
        <v>270378</v>
      </c>
      <c r="AL22" s="57">
        <v>252400</v>
      </c>
      <c r="AM22" s="57">
        <v>243087</v>
      </c>
      <c r="AN22" s="57">
        <v>251997</v>
      </c>
      <c r="AO22" s="57">
        <v>258001</v>
      </c>
      <c r="AP22" s="57" t="s">
        <v>164</v>
      </c>
    </row>
    <row r="23" spans="1:42" s="60" customFormat="1" ht="16.5" customHeight="1">
      <c r="A23" s="188" t="s">
        <v>1082</v>
      </c>
      <c r="B23" s="61">
        <v>29031</v>
      </c>
      <c r="C23" s="61">
        <v>27780</v>
      </c>
      <c r="D23" s="61">
        <v>27077</v>
      </c>
      <c r="E23" s="61">
        <v>27846</v>
      </c>
      <c r="F23" s="61">
        <v>28094</v>
      </c>
      <c r="G23" s="61">
        <v>22548</v>
      </c>
      <c r="H23" s="61">
        <v>18835</v>
      </c>
      <c r="I23" s="61">
        <v>18344</v>
      </c>
      <c r="J23" s="61">
        <v>18004</v>
      </c>
      <c r="K23" s="61">
        <v>18161</v>
      </c>
      <c r="L23" s="61">
        <v>18505</v>
      </c>
      <c r="M23" s="61">
        <v>18812</v>
      </c>
      <c r="N23" s="61">
        <v>19269</v>
      </c>
      <c r="O23" s="61">
        <v>19684</v>
      </c>
      <c r="P23" s="61">
        <v>20261</v>
      </c>
      <c r="Q23" s="57">
        <v>20256</v>
      </c>
      <c r="R23" s="57">
        <v>20028</v>
      </c>
      <c r="S23" s="57">
        <v>19745</v>
      </c>
      <c r="T23" s="57">
        <v>20506</v>
      </c>
      <c r="U23" s="57">
        <v>20774</v>
      </c>
      <c r="V23" s="57">
        <v>22015</v>
      </c>
      <c r="W23" s="57">
        <v>22779</v>
      </c>
      <c r="X23" s="57">
        <v>23732</v>
      </c>
      <c r="Y23" s="57">
        <v>24143</v>
      </c>
      <c r="Z23" s="57">
        <v>24003</v>
      </c>
      <c r="AA23" s="57">
        <v>24045</v>
      </c>
      <c r="AB23" s="57">
        <v>23893</v>
      </c>
      <c r="AC23" s="57">
        <v>24250</v>
      </c>
      <c r="AD23" s="57">
        <v>24707</v>
      </c>
      <c r="AE23" s="57">
        <v>25033</v>
      </c>
      <c r="AF23" s="57">
        <v>25916</v>
      </c>
      <c r="AG23" s="57">
        <v>26574</v>
      </c>
      <c r="AH23" s="57">
        <v>26716</v>
      </c>
      <c r="AI23" s="57">
        <v>26547</v>
      </c>
      <c r="AJ23" s="57">
        <v>26086</v>
      </c>
      <c r="AK23" s="57">
        <v>24597</v>
      </c>
      <c r="AL23" s="57">
        <v>23544</v>
      </c>
      <c r="AM23" s="57">
        <v>23264</v>
      </c>
      <c r="AN23" s="57">
        <v>23184</v>
      </c>
      <c r="AO23" s="57">
        <v>23156</v>
      </c>
      <c r="AP23" s="57" t="s">
        <v>164</v>
      </c>
    </row>
    <row r="24" spans="1:42" s="60" customFormat="1" ht="16.5" customHeight="1">
      <c r="A24" s="188" t="s">
        <v>1083</v>
      </c>
      <c r="B24" s="61">
        <v>32104</v>
      </c>
      <c r="C24" s="61">
        <v>37164</v>
      </c>
      <c r="D24" s="61">
        <v>29787</v>
      </c>
      <c r="E24" s="61">
        <v>29407</v>
      </c>
      <c r="F24" s="61">
        <v>102161</v>
      </c>
      <c r="G24" s="61">
        <v>111086</v>
      </c>
      <c r="H24" s="61">
        <v>103527</v>
      </c>
      <c r="I24" s="61">
        <v>97492</v>
      </c>
      <c r="J24" s="61">
        <v>90064</v>
      </c>
      <c r="K24" s="61">
        <v>88513</v>
      </c>
      <c r="L24" s="61">
        <v>86120</v>
      </c>
      <c r="M24" s="61">
        <v>84724</v>
      </c>
      <c r="N24" s="61">
        <v>87364</v>
      </c>
      <c r="O24" s="61">
        <v>116108</v>
      </c>
      <c r="P24" s="61">
        <v>121659</v>
      </c>
      <c r="Q24" s="57">
        <v>126762</v>
      </c>
      <c r="R24" s="57">
        <v>132448</v>
      </c>
      <c r="S24" s="57">
        <v>125470</v>
      </c>
      <c r="T24" s="57">
        <v>130590</v>
      </c>
      <c r="U24" s="57">
        <v>124580</v>
      </c>
      <c r="V24" s="57">
        <v>120169</v>
      </c>
      <c r="W24" s="57">
        <v>120195</v>
      </c>
      <c r="X24" s="57">
        <v>120688</v>
      </c>
      <c r="Y24" s="57">
        <v>120463</v>
      </c>
      <c r="Z24" s="57">
        <v>109487</v>
      </c>
      <c r="AA24" s="57">
        <v>108233</v>
      </c>
      <c r="AB24" s="57">
        <v>101755</v>
      </c>
      <c r="AC24" s="57">
        <v>95972</v>
      </c>
      <c r="AD24" s="57">
        <v>92742</v>
      </c>
      <c r="AE24" s="57">
        <v>88122</v>
      </c>
      <c r="AF24" s="57" t="s">
        <v>163</v>
      </c>
      <c r="AG24" s="57" t="s">
        <v>163</v>
      </c>
      <c r="AH24" s="57" t="s">
        <v>163</v>
      </c>
      <c r="AI24" s="57" t="s">
        <v>163</v>
      </c>
      <c r="AJ24" s="57" t="s">
        <v>163</v>
      </c>
      <c r="AK24" s="57" t="s">
        <v>163</v>
      </c>
      <c r="AL24" s="57" t="s">
        <v>163</v>
      </c>
      <c r="AM24" s="57" t="s">
        <v>163</v>
      </c>
      <c r="AN24" s="57" t="s">
        <v>163</v>
      </c>
      <c r="AO24" s="57" t="s">
        <v>163</v>
      </c>
      <c r="AP24" s="65" t="s">
        <v>163</v>
      </c>
    </row>
    <row r="25" spans="1:42" s="60" customFormat="1" ht="16.5" customHeight="1">
      <c r="A25" s="188" t="s">
        <v>1084</v>
      </c>
      <c r="B25" s="61">
        <v>275090</v>
      </c>
      <c r="C25" s="61">
        <v>285493</v>
      </c>
      <c r="D25" s="61">
        <v>330473</v>
      </c>
      <c r="E25" s="61">
        <v>334739</v>
      </c>
      <c r="F25" s="61">
        <v>440552</v>
      </c>
      <c r="G25" s="61">
        <v>443530</v>
      </c>
      <c r="H25" s="61">
        <v>449832</v>
      </c>
      <c r="I25" s="61">
        <v>458679</v>
      </c>
      <c r="J25" s="61">
        <v>477883</v>
      </c>
      <c r="K25" s="61">
        <v>497586</v>
      </c>
      <c r="L25" s="61">
        <v>515362</v>
      </c>
      <c r="M25" s="61">
        <v>550717</v>
      </c>
      <c r="N25" s="61">
        <v>582344</v>
      </c>
      <c r="O25" s="61">
        <v>585818</v>
      </c>
      <c r="P25" s="61">
        <v>618404</v>
      </c>
      <c r="Q25" s="57">
        <v>662934</v>
      </c>
      <c r="R25" s="57">
        <v>688194</v>
      </c>
      <c r="S25" s="57">
        <v>688806</v>
      </c>
      <c r="T25" s="57">
        <v>691329</v>
      </c>
      <c r="U25" s="57">
        <v>687337</v>
      </c>
      <c r="V25" s="57">
        <v>693978</v>
      </c>
      <c r="W25" s="57">
        <v>717211</v>
      </c>
      <c r="X25" s="57">
        <v>750404</v>
      </c>
      <c r="Y25" s="57">
        <v>805074</v>
      </c>
      <c r="Z25" s="57">
        <v>833188</v>
      </c>
      <c r="AA25" s="57">
        <v>839020</v>
      </c>
      <c r="AB25" s="57">
        <v>809544</v>
      </c>
      <c r="AC25" s="57">
        <v>806554</v>
      </c>
      <c r="AD25" s="57">
        <v>842802</v>
      </c>
      <c r="AE25" s="57">
        <v>873679</v>
      </c>
      <c r="AF25" s="57" t="s">
        <v>163</v>
      </c>
      <c r="AG25" s="57" t="s">
        <v>163</v>
      </c>
      <c r="AH25" s="57" t="s">
        <v>163</v>
      </c>
      <c r="AI25" s="57" t="s">
        <v>163</v>
      </c>
      <c r="AJ25" s="57" t="s">
        <v>163</v>
      </c>
      <c r="AK25" s="57" t="s">
        <v>163</v>
      </c>
      <c r="AL25" s="57" t="s">
        <v>163</v>
      </c>
      <c r="AM25" s="57" t="s">
        <v>163</v>
      </c>
      <c r="AN25" s="57" t="s">
        <v>163</v>
      </c>
      <c r="AO25" s="57" t="s">
        <v>163</v>
      </c>
      <c r="AP25" s="65" t="s">
        <v>163</v>
      </c>
    </row>
    <row r="26" spans="1:42" s="60" customFormat="1" ht="16.5" customHeight="1">
      <c r="A26" s="188" t="s">
        <v>1085</v>
      </c>
      <c r="B26" s="61" t="s">
        <v>163</v>
      </c>
      <c r="C26" s="61" t="s">
        <v>163</v>
      </c>
      <c r="D26" s="61" t="s">
        <v>163</v>
      </c>
      <c r="E26" s="61">
        <v>1913</v>
      </c>
      <c r="F26" s="61">
        <v>2128</v>
      </c>
      <c r="G26" s="61">
        <v>1854</v>
      </c>
      <c r="H26" s="61">
        <v>1863</v>
      </c>
      <c r="I26" s="61">
        <v>1786</v>
      </c>
      <c r="J26" s="61">
        <v>1796</v>
      </c>
      <c r="K26" s="61">
        <v>1853</v>
      </c>
      <c r="L26" s="61">
        <v>1852</v>
      </c>
      <c r="M26" s="61">
        <v>1722</v>
      </c>
      <c r="N26" s="61">
        <v>1730</v>
      </c>
      <c r="O26" s="61">
        <v>1728</v>
      </c>
      <c r="P26" s="61">
        <v>1962</v>
      </c>
      <c r="Q26" s="65">
        <v>1992</v>
      </c>
      <c r="R26" s="65">
        <v>1894</v>
      </c>
      <c r="S26" s="65">
        <v>2084</v>
      </c>
      <c r="T26" s="65">
        <v>2896</v>
      </c>
      <c r="U26" s="65">
        <v>1623</v>
      </c>
      <c r="V26" s="65">
        <v>1211</v>
      </c>
      <c r="W26" s="65">
        <v>1186</v>
      </c>
      <c r="X26" s="65">
        <v>1191</v>
      </c>
      <c r="Y26" s="65">
        <v>1164</v>
      </c>
      <c r="Z26" s="65">
        <v>1177</v>
      </c>
      <c r="AA26" s="65">
        <v>1214</v>
      </c>
      <c r="AB26" s="65">
        <v>1274</v>
      </c>
      <c r="AC26" s="65">
        <v>1301</v>
      </c>
      <c r="AD26" s="65">
        <v>2090</v>
      </c>
      <c r="AE26" s="65">
        <v>1447</v>
      </c>
      <c r="AF26" s="65">
        <v>1419</v>
      </c>
      <c r="AG26" s="65">
        <v>1428</v>
      </c>
      <c r="AH26" s="65">
        <v>1402</v>
      </c>
      <c r="AI26" s="65">
        <v>1405</v>
      </c>
      <c r="AJ26" s="65">
        <v>1403</v>
      </c>
      <c r="AK26" s="65">
        <v>1415</v>
      </c>
      <c r="AL26" s="65">
        <v>1313</v>
      </c>
      <c r="AM26" s="65">
        <v>1443</v>
      </c>
      <c r="AN26" s="65">
        <v>1344</v>
      </c>
      <c r="AO26" s="65">
        <v>1353</v>
      </c>
      <c r="AP26" s="65" t="s">
        <v>164</v>
      </c>
    </row>
    <row r="27" spans="1:42" s="60" customFormat="1" ht="16.5" customHeight="1">
      <c r="A27" s="188" t="s">
        <v>1086</v>
      </c>
      <c r="B27" s="61" t="s">
        <v>163</v>
      </c>
      <c r="C27" s="61" t="s">
        <v>163</v>
      </c>
      <c r="D27" s="61" t="s">
        <v>163</v>
      </c>
      <c r="E27" s="61">
        <v>355</v>
      </c>
      <c r="F27" s="61">
        <v>419</v>
      </c>
      <c r="G27" s="61">
        <v>291</v>
      </c>
      <c r="H27" s="61">
        <v>318</v>
      </c>
      <c r="I27" s="61">
        <v>316</v>
      </c>
      <c r="J27" s="61">
        <v>336</v>
      </c>
      <c r="K27" s="61">
        <v>360</v>
      </c>
      <c r="L27" s="61">
        <v>338</v>
      </c>
      <c r="M27" s="61">
        <v>313</v>
      </c>
      <c r="N27" s="61">
        <v>299</v>
      </c>
      <c r="O27" s="61">
        <v>332</v>
      </c>
      <c r="P27" s="61">
        <v>345</v>
      </c>
      <c r="Q27" s="65">
        <v>329</v>
      </c>
      <c r="R27" s="65">
        <v>378</v>
      </c>
      <c r="S27" s="65">
        <v>401</v>
      </c>
      <c r="T27" s="65">
        <v>372</v>
      </c>
      <c r="U27" s="65">
        <v>442</v>
      </c>
      <c r="V27" s="65">
        <v>276</v>
      </c>
      <c r="W27" s="65">
        <v>258</v>
      </c>
      <c r="X27" s="65">
        <v>319</v>
      </c>
      <c r="Y27" s="65">
        <v>270</v>
      </c>
      <c r="Z27" s="65">
        <v>278</v>
      </c>
      <c r="AA27" s="65">
        <v>274</v>
      </c>
      <c r="AB27" s="65">
        <v>282</v>
      </c>
      <c r="AC27" s="65">
        <v>287</v>
      </c>
      <c r="AD27" s="65">
        <v>485</v>
      </c>
      <c r="AE27" s="65">
        <v>418</v>
      </c>
      <c r="AF27" s="65">
        <v>428</v>
      </c>
      <c r="AG27" s="65">
        <v>423</v>
      </c>
      <c r="AH27" s="65">
        <v>434</v>
      </c>
      <c r="AI27" s="65">
        <v>419</v>
      </c>
      <c r="AJ27" s="65">
        <v>431</v>
      </c>
      <c r="AK27" s="65">
        <v>403</v>
      </c>
      <c r="AL27" s="65">
        <v>384</v>
      </c>
      <c r="AM27" s="65">
        <v>395</v>
      </c>
      <c r="AN27" s="65">
        <v>391</v>
      </c>
      <c r="AO27" s="65">
        <v>413</v>
      </c>
      <c r="AP27" s="65" t="s">
        <v>164</v>
      </c>
    </row>
    <row r="28" spans="1:42" s="60" customFormat="1" ht="16.5" customHeight="1">
      <c r="A28" s="56" t="s">
        <v>1087</v>
      </c>
      <c r="B28" s="61"/>
      <c r="C28" s="61"/>
      <c r="D28" s="61"/>
      <c r="E28" s="61"/>
      <c r="F28" s="61"/>
      <c r="G28" s="61"/>
      <c r="H28" s="61"/>
      <c r="I28" s="61"/>
      <c r="J28" s="61"/>
      <c r="K28" s="61"/>
      <c r="L28" s="61"/>
      <c r="M28" s="61"/>
      <c r="N28" s="61"/>
      <c r="O28" s="61"/>
      <c r="P28" s="61"/>
      <c r="Q28" s="57"/>
      <c r="R28" s="57"/>
      <c r="S28" s="57"/>
      <c r="T28" s="57"/>
      <c r="U28" s="57"/>
      <c r="V28" s="57"/>
      <c r="W28" s="57"/>
      <c r="X28" s="57"/>
      <c r="Y28" s="57"/>
      <c r="Z28" s="57"/>
      <c r="AA28" s="57"/>
      <c r="AB28" s="57"/>
      <c r="AC28" s="57"/>
      <c r="AD28" s="57"/>
      <c r="AE28" s="57"/>
      <c r="AF28" s="57"/>
      <c r="AG28" s="57"/>
      <c r="AH28" s="57"/>
      <c r="AI28" s="57"/>
      <c r="AJ28" s="57"/>
      <c r="AK28" s="57"/>
      <c r="AL28" s="57"/>
      <c r="AM28" s="57"/>
      <c r="AN28" s="57"/>
      <c r="AO28" s="57"/>
      <c r="AP28" s="57"/>
    </row>
    <row r="29" spans="1:42" s="60" customFormat="1" ht="16.5" customHeight="1">
      <c r="A29" s="188" t="s">
        <v>1088</v>
      </c>
      <c r="B29" s="61">
        <v>16777</v>
      </c>
      <c r="C29" s="61">
        <v>17033</v>
      </c>
      <c r="D29" s="61">
        <v>19377</v>
      </c>
      <c r="E29" s="61">
        <v>25515</v>
      </c>
      <c r="F29" s="61">
        <v>31662</v>
      </c>
      <c r="G29" s="61">
        <v>33597</v>
      </c>
      <c r="H29" s="61">
        <v>33597</v>
      </c>
      <c r="I29" s="61" t="s">
        <v>164</v>
      </c>
      <c r="J29" s="61">
        <v>30899</v>
      </c>
      <c r="K29" s="61">
        <v>30785</v>
      </c>
      <c r="L29" s="61">
        <v>30730</v>
      </c>
      <c r="M29" s="61">
        <v>27851</v>
      </c>
      <c r="N29" s="61">
        <v>28908</v>
      </c>
      <c r="O29" s="61">
        <v>33790</v>
      </c>
      <c r="P29" s="61">
        <v>33759</v>
      </c>
      <c r="Q29" s="66">
        <v>34448</v>
      </c>
      <c r="R29" s="57">
        <v>35008</v>
      </c>
      <c r="S29" s="57">
        <v>35036</v>
      </c>
      <c r="T29" s="57">
        <v>34681</v>
      </c>
      <c r="U29" s="57">
        <v>33780</v>
      </c>
      <c r="V29" s="57">
        <v>32989</v>
      </c>
      <c r="W29" s="57">
        <v>32380</v>
      </c>
      <c r="X29" s="57">
        <v>32889</v>
      </c>
      <c r="Y29" s="57">
        <v>33486</v>
      </c>
      <c r="Z29" s="57">
        <v>32932</v>
      </c>
      <c r="AA29" s="57">
        <v>31761</v>
      </c>
      <c r="AB29" s="57">
        <v>31906</v>
      </c>
      <c r="AC29" s="57">
        <v>32454</v>
      </c>
      <c r="AD29" s="57">
        <v>32880</v>
      </c>
      <c r="AE29" s="57">
        <v>32895</v>
      </c>
      <c r="AF29" s="57">
        <v>32275</v>
      </c>
      <c r="AG29" s="57">
        <v>32819</v>
      </c>
      <c r="AH29" s="57">
        <v>33472</v>
      </c>
      <c r="AI29" s="57">
        <v>33712</v>
      </c>
      <c r="AJ29" s="57">
        <v>33852</v>
      </c>
      <c r="AK29" s="57">
        <v>33600</v>
      </c>
      <c r="AL29" s="57">
        <v>34209</v>
      </c>
      <c r="AM29" s="57">
        <v>34802</v>
      </c>
      <c r="AN29" s="57">
        <v>35076</v>
      </c>
      <c r="AO29" s="57">
        <v>35255</v>
      </c>
      <c r="AP29" s="65" t="s">
        <v>164</v>
      </c>
    </row>
    <row r="30" spans="1:42" s="60" customFormat="1" ht="16.5" customHeight="1">
      <c r="A30" s="188" t="s">
        <v>1089</v>
      </c>
      <c r="B30" s="61">
        <v>6543</v>
      </c>
      <c r="C30" s="61">
        <v>6083</v>
      </c>
      <c r="D30" s="61">
        <v>6455</v>
      </c>
      <c r="E30" s="61">
        <v>6144</v>
      </c>
      <c r="F30" s="61">
        <v>7126</v>
      </c>
      <c r="G30" s="61">
        <v>7522</v>
      </c>
      <c r="H30" s="61">
        <v>8236</v>
      </c>
      <c r="I30" s="61" t="s">
        <v>164</v>
      </c>
      <c r="J30" s="61">
        <v>8311</v>
      </c>
      <c r="K30" s="61">
        <v>8323</v>
      </c>
      <c r="L30" s="61">
        <v>8334</v>
      </c>
      <c r="M30" s="61">
        <v>9009</v>
      </c>
      <c r="N30" s="61">
        <v>9037</v>
      </c>
      <c r="O30" s="61">
        <v>9966</v>
      </c>
      <c r="P30" s="61">
        <v>9980</v>
      </c>
      <c r="Q30" s="66">
        <v>10279</v>
      </c>
      <c r="R30" s="57">
        <v>10410</v>
      </c>
      <c r="S30" s="57">
        <v>10449</v>
      </c>
      <c r="T30" s="57">
        <v>10437</v>
      </c>
      <c r="U30" s="57">
        <v>10470</v>
      </c>
      <c r="V30" s="57">
        <v>10367</v>
      </c>
      <c r="W30" s="57">
        <v>10497</v>
      </c>
      <c r="X30" s="57">
        <v>10587</v>
      </c>
      <c r="Y30" s="57">
        <v>10640</v>
      </c>
      <c r="Z30" s="57">
        <v>10786</v>
      </c>
      <c r="AA30" s="57">
        <v>10607</v>
      </c>
      <c r="AB30" s="57">
        <v>10775</v>
      </c>
      <c r="AC30" s="57">
        <v>10702</v>
      </c>
      <c r="AD30" s="57">
        <v>10673</v>
      </c>
      <c r="AE30" s="57">
        <v>10566</v>
      </c>
      <c r="AF30" s="57">
        <v>10187</v>
      </c>
      <c r="AG30" s="57">
        <v>10108</v>
      </c>
      <c r="AH30" s="57">
        <v>10068</v>
      </c>
      <c r="AI30" s="57">
        <v>10114</v>
      </c>
      <c r="AJ30" s="57">
        <v>10150</v>
      </c>
      <c r="AK30" s="57">
        <v>10152</v>
      </c>
      <c r="AL30" s="57">
        <v>10339</v>
      </c>
      <c r="AM30" s="57">
        <v>10473</v>
      </c>
      <c r="AN30" s="57">
        <v>10522</v>
      </c>
      <c r="AO30" s="57">
        <v>10518</v>
      </c>
      <c r="AP30" s="65" t="s">
        <v>164</v>
      </c>
    </row>
    <row r="31" spans="1:42" s="60" customFormat="1" ht="33" customHeight="1">
      <c r="A31" s="188" t="s">
        <v>1090</v>
      </c>
      <c r="B31" s="61">
        <v>2926</v>
      </c>
      <c r="C31" s="61">
        <v>2376</v>
      </c>
      <c r="D31" s="61">
        <v>1579</v>
      </c>
      <c r="E31" s="61">
        <v>857</v>
      </c>
      <c r="F31" s="61">
        <v>864</v>
      </c>
      <c r="G31" s="61">
        <v>737</v>
      </c>
      <c r="H31" s="61">
        <v>636</v>
      </c>
      <c r="I31" s="61">
        <v>619</v>
      </c>
      <c r="J31" s="61">
        <v>603</v>
      </c>
      <c r="K31" s="61">
        <v>565</v>
      </c>
      <c r="L31" s="61">
        <v>543</v>
      </c>
      <c r="M31" s="61">
        <v>509</v>
      </c>
      <c r="N31" s="61">
        <v>495</v>
      </c>
      <c r="O31" s="61">
        <v>477</v>
      </c>
      <c r="P31" s="61">
        <v>470</v>
      </c>
      <c r="Q31" s="66">
        <v>463</v>
      </c>
      <c r="R31" s="67">
        <v>282</v>
      </c>
      <c r="S31" s="67">
        <v>274</v>
      </c>
      <c r="T31" s="67">
        <v>261</v>
      </c>
      <c r="U31" s="67">
        <v>246</v>
      </c>
      <c r="V31" s="67">
        <v>233</v>
      </c>
      <c r="W31" s="67">
        <v>231</v>
      </c>
      <c r="X31" s="67">
        <v>229</v>
      </c>
      <c r="Y31" s="67">
        <v>220</v>
      </c>
      <c r="Z31" s="67">
        <v>225</v>
      </c>
      <c r="AA31" s="67">
        <v>217</v>
      </c>
      <c r="AB31" s="67">
        <v>221</v>
      </c>
      <c r="AC31" s="67">
        <v>214</v>
      </c>
      <c r="AD31" s="67">
        <v>198</v>
      </c>
      <c r="AE31" s="67">
        <v>187</v>
      </c>
      <c r="AF31" s="67">
        <v>179</v>
      </c>
      <c r="AG31" s="67">
        <v>170</v>
      </c>
      <c r="AH31" s="67">
        <v>169</v>
      </c>
      <c r="AI31" s="67">
        <v>176</v>
      </c>
      <c r="AJ31" s="67">
        <v>182</v>
      </c>
      <c r="AK31" s="67">
        <v>182</v>
      </c>
      <c r="AL31" s="67">
        <v>185</v>
      </c>
      <c r="AM31" s="67">
        <v>183</v>
      </c>
      <c r="AN31" s="67">
        <v>178</v>
      </c>
      <c r="AO31" s="67">
        <v>177</v>
      </c>
      <c r="AP31" s="58">
        <v>185</v>
      </c>
    </row>
    <row r="32" spans="1:42" s="60" customFormat="1" ht="16.5" customHeight="1" thickBot="1">
      <c r="A32" s="191" t="s">
        <v>1091</v>
      </c>
      <c r="B32" s="61">
        <v>2450484</v>
      </c>
      <c r="C32" s="61">
        <v>4138140</v>
      </c>
      <c r="D32" s="61">
        <v>5128345</v>
      </c>
      <c r="E32" s="61">
        <v>7303286</v>
      </c>
      <c r="F32" s="61">
        <v>8577857</v>
      </c>
      <c r="G32" s="61">
        <v>9589483</v>
      </c>
      <c r="H32" s="61">
        <v>10996253</v>
      </c>
      <c r="I32" s="61">
        <v>11068440</v>
      </c>
      <c r="J32" s="61">
        <v>11132386</v>
      </c>
      <c r="K32" s="61">
        <v>11282736</v>
      </c>
      <c r="L32" s="61">
        <v>11429585</v>
      </c>
      <c r="M32" s="61">
        <v>11734710</v>
      </c>
      <c r="N32" s="61">
        <v>11877938</v>
      </c>
      <c r="O32" s="61">
        <v>12312982</v>
      </c>
      <c r="P32" s="61">
        <v>12565930</v>
      </c>
      <c r="Q32" s="68">
        <v>12738271</v>
      </c>
      <c r="R32" s="69">
        <v>12782143</v>
      </c>
      <c r="S32" s="69">
        <v>12876346</v>
      </c>
      <c r="T32" s="69">
        <v>12854054</v>
      </c>
      <c r="U32" s="69">
        <v>12794616</v>
      </c>
      <c r="V32" s="69">
        <v>12781476</v>
      </c>
      <c r="W32" s="69">
        <v>12942414</v>
      </c>
      <c r="X32" s="69">
        <v>12746126</v>
      </c>
      <c r="Y32" s="69">
        <v>12875568</v>
      </c>
      <c r="Z32" s="69">
        <v>12692892</v>
      </c>
      <c r="AA32" s="69">
        <v>12721541</v>
      </c>
      <c r="AB32" s="69">
        <v>12438926</v>
      </c>
      <c r="AC32" s="69">
        <v>12173935</v>
      </c>
      <c r="AD32" s="69">
        <v>12101936</v>
      </c>
      <c r="AE32" s="69">
        <v>12013496</v>
      </c>
      <c r="AF32" s="69">
        <v>11804002</v>
      </c>
      <c r="AG32" s="69">
        <v>11867049</v>
      </c>
      <c r="AH32" s="69">
        <v>11861811</v>
      </c>
      <c r="AI32" s="69">
        <v>11961568</v>
      </c>
      <c r="AJ32" s="69">
        <v>11852969</v>
      </c>
      <c r="AK32" s="69">
        <v>11878542</v>
      </c>
      <c r="AL32" s="69">
        <v>11838188</v>
      </c>
      <c r="AM32" s="69">
        <v>11957886</v>
      </c>
      <c r="AN32" s="69">
        <v>11770383</v>
      </c>
      <c r="AO32" s="69">
        <v>11546512</v>
      </c>
      <c r="AP32" s="70">
        <v>11674073</v>
      </c>
    </row>
    <row r="33" spans="1:37" ht="12.75" customHeight="1">
      <c r="A33" s="197" t="s">
        <v>3899</v>
      </c>
      <c r="B33" s="197"/>
      <c r="C33" s="197"/>
      <c r="D33" s="197"/>
      <c r="E33" s="197"/>
      <c r="F33" s="197"/>
      <c r="G33" s="197"/>
      <c r="H33" s="197"/>
      <c r="I33" s="197"/>
      <c r="J33" s="197"/>
      <c r="K33" s="197"/>
      <c r="L33" s="197"/>
      <c r="M33" s="197"/>
      <c r="N33" s="197"/>
      <c r="O33" s="197"/>
      <c r="P33" s="197"/>
      <c r="Q33" s="197"/>
      <c r="R33" s="197"/>
      <c r="S33" s="197"/>
      <c r="T33" s="197"/>
      <c r="U33" s="197"/>
      <c r="V33" s="197"/>
      <c r="W33" s="71"/>
      <c r="X33" s="71"/>
      <c r="Y33" s="71"/>
      <c r="Z33" s="71"/>
      <c r="AA33" s="71"/>
      <c r="AB33" s="71"/>
      <c r="AC33" s="71"/>
      <c r="AD33" s="72"/>
      <c r="AE33" s="73"/>
      <c r="AF33" s="72"/>
      <c r="AG33" s="72"/>
      <c r="AH33" s="72"/>
      <c r="AI33" s="72"/>
      <c r="AJ33" s="72"/>
      <c r="AK33" s="72"/>
    </row>
    <row r="34" spans="1:37" ht="12.75" customHeight="1">
      <c r="A34" s="192"/>
      <c r="B34" s="192"/>
      <c r="C34" s="192"/>
      <c r="D34" s="192"/>
      <c r="E34" s="192"/>
      <c r="F34" s="192"/>
      <c r="G34" s="192"/>
      <c r="H34" s="192"/>
      <c r="I34" s="192"/>
      <c r="J34" s="192"/>
      <c r="K34" s="192"/>
      <c r="L34" s="192"/>
      <c r="M34" s="192"/>
      <c r="N34" s="192"/>
      <c r="O34" s="192"/>
      <c r="P34" s="192"/>
      <c r="Q34" s="192"/>
      <c r="R34" s="192"/>
      <c r="S34" s="192"/>
      <c r="T34" s="192"/>
      <c r="U34" s="192"/>
      <c r="V34" s="192"/>
      <c r="W34" s="72"/>
      <c r="X34" s="72"/>
      <c r="Y34" s="72"/>
      <c r="Z34" s="72"/>
      <c r="AA34" s="72"/>
      <c r="AB34" s="72"/>
      <c r="AC34" s="72"/>
      <c r="AD34" s="72"/>
      <c r="AE34" s="72"/>
      <c r="AF34" s="72"/>
      <c r="AG34" s="72"/>
      <c r="AH34" s="72"/>
      <c r="AI34" s="72"/>
      <c r="AJ34" s="72"/>
      <c r="AK34" s="72"/>
    </row>
    <row r="35" spans="1:37" ht="12.75" customHeight="1">
      <c r="A35" s="193" t="s">
        <v>1092</v>
      </c>
      <c r="B35" s="193"/>
      <c r="C35" s="193"/>
      <c r="D35" s="193"/>
      <c r="E35" s="193"/>
      <c r="F35" s="193"/>
      <c r="G35" s="193"/>
      <c r="H35" s="193"/>
      <c r="I35" s="193"/>
      <c r="J35" s="193"/>
      <c r="K35" s="193"/>
      <c r="L35" s="193"/>
      <c r="M35" s="193"/>
      <c r="N35" s="193"/>
      <c r="O35" s="193"/>
      <c r="P35" s="193"/>
      <c r="Q35" s="193"/>
      <c r="R35" s="193"/>
      <c r="S35" s="193"/>
      <c r="T35" s="193"/>
      <c r="U35" s="193"/>
      <c r="V35" s="193"/>
      <c r="W35" s="74"/>
      <c r="X35" s="74"/>
      <c r="Y35" s="74"/>
      <c r="Z35" s="74"/>
      <c r="AA35" s="74"/>
      <c r="AB35" s="74"/>
      <c r="AC35" s="74"/>
      <c r="AD35" s="74"/>
      <c r="AE35" s="74"/>
      <c r="AF35" s="74"/>
      <c r="AG35" s="74"/>
      <c r="AH35" s="74"/>
      <c r="AI35" s="74"/>
      <c r="AJ35" s="74"/>
      <c r="AK35" s="74"/>
    </row>
    <row r="36" spans="1:37" ht="25.5" customHeight="1">
      <c r="A36" s="194" t="s">
        <v>1093</v>
      </c>
      <c r="B36" s="194"/>
      <c r="C36" s="194"/>
      <c r="D36" s="194"/>
      <c r="E36" s="194"/>
      <c r="F36" s="194"/>
      <c r="G36" s="194"/>
      <c r="H36" s="194"/>
      <c r="I36" s="194"/>
      <c r="J36" s="194"/>
      <c r="K36" s="194"/>
      <c r="L36" s="194"/>
      <c r="M36" s="194"/>
      <c r="N36" s="194"/>
      <c r="O36" s="194"/>
      <c r="P36" s="194"/>
      <c r="Q36" s="194"/>
      <c r="R36" s="194"/>
      <c r="S36" s="194"/>
      <c r="T36" s="194"/>
      <c r="U36" s="194"/>
      <c r="V36" s="194"/>
      <c r="W36" s="74"/>
      <c r="X36" s="74"/>
      <c r="Y36" s="74"/>
      <c r="Z36" s="74"/>
      <c r="AA36" s="74"/>
      <c r="AB36" s="74"/>
      <c r="AC36" s="74"/>
      <c r="AD36" s="74"/>
      <c r="AE36" s="74"/>
      <c r="AF36" s="74"/>
      <c r="AG36" s="74"/>
      <c r="AH36" s="74"/>
      <c r="AI36" s="74"/>
      <c r="AJ36" s="74"/>
      <c r="AK36" s="74"/>
    </row>
    <row r="37" spans="1:37" ht="38.25" customHeight="1">
      <c r="A37" s="195" t="s">
        <v>1094</v>
      </c>
      <c r="B37" s="195"/>
      <c r="C37" s="195"/>
      <c r="D37" s="195"/>
      <c r="E37" s="195"/>
      <c r="F37" s="195"/>
      <c r="G37" s="195"/>
      <c r="H37" s="195"/>
      <c r="I37" s="195"/>
      <c r="J37" s="195"/>
      <c r="K37" s="195"/>
      <c r="L37" s="195"/>
      <c r="M37" s="195"/>
      <c r="N37" s="195"/>
      <c r="O37" s="195"/>
      <c r="P37" s="195"/>
      <c r="Q37" s="195"/>
      <c r="R37" s="195"/>
      <c r="S37" s="195"/>
      <c r="T37" s="195"/>
      <c r="U37" s="195"/>
      <c r="V37" s="195"/>
      <c r="W37" s="74"/>
      <c r="X37" s="74"/>
      <c r="Y37" s="74"/>
      <c r="Z37" s="74"/>
      <c r="AA37" s="74"/>
      <c r="AB37" s="74"/>
      <c r="AC37" s="74"/>
      <c r="AD37" s="74"/>
      <c r="AE37" s="74"/>
      <c r="AF37" s="74"/>
      <c r="AG37" s="74"/>
      <c r="AH37" s="74"/>
      <c r="AI37" s="74"/>
      <c r="AJ37" s="74"/>
      <c r="AK37" s="74"/>
    </row>
    <row r="38" spans="1:37" ht="12.75" customHeight="1">
      <c r="A38" s="194" t="s">
        <v>1095</v>
      </c>
      <c r="B38" s="194"/>
      <c r="C38" s="194"/>
      <c r="D38" s="194"/>
      <c r="E38" s="194"/>
      <c r="F38" s="194"/>
      <c r="G38" s="194"/>
      <c r="H38" s="194"/>
      <c r="I38" s="194"/>
      <c r="J38" s="194"/>
      <c r="K38" s="194"/>
      <c r="L38" s="194"/>
      <c r="M38" s="194"/>
      <c r="N38" s="194"/>
      <c r="O38" s="194"/>
      <c r="P38" s="194"/>
      <c r="Q38" s="194"/>
      <c r="R38" s="194"/>
      <c r="S38" s="194"/>
      <c r="T38" s="194"/>
      <c r="U38" s="194"/>
      <c r="V38" s="194"/>
      <c r="W38" s="74"/>
      <c r="X38" s="74"/>
      <c r="Y38" s="74"/>
      <c r="Z38" s="74"/>
      <c r="AA38" s="74"/>
      <c r="AB38" s="74"/>
      <c r="AC38" s="74"/>
      <c r="AD38" s="74"/>
      <c r="AE38" s="74"/>
      <c r="AF38" s="74"/>
      <c r="AG38" s="74"/>
      <c r="AH38" s="74"/>
      <c r="AI38" s="74"/>
      <c r="AJ38" s="74"/>
      <c r="AK38" s="74"/>
    </row>
    <row r="39" spans="1:37" ht="12.75" customHeight="1">
      <c r="A39" s="194" t="s">
        <v>1096</v>
      </c>
      <c r="B39" s="194"/>
      <c r="C39" s="194"/>
      <c r="D39" s="194"/>
      <c r="E39" s="194"/>
      <c r="F39" s="194"/>
      <c r="G39" s="194"/>
      <c r="H39" s="194"/>
      <c r="I39" s="194"/>
      <c r="J39" s="194"/>
      <c r="K39" s="194"/>
      <c r="L39" s="194"/>
      <c r="M39" s="194"/>
      <c r="N39" s="194"/>
      <c r="O39" s="194"/>
      <c r="P39" s="194"/>
      <c r="Q39" s="194"/>
      <c r="R39" s="194"/>
      <c r="S39" s="194"/>
      <c r="T39" s="194"/>
      <c r="U39" s="194"/>
      <c r="V39" s="194"/>
      <c r="W39" s="74"/>
      <c r="X39" s="74"/>
      <c r="Y39" s="74"/>
      <c r="Z39" s="74"/>
      <c r="AA39" s="74"/>
      <c r="AB39" s="74"/>
      <c r="AC39" s="74"/>
      <c r="AD39" s="74"/>
      <c r="AE39" s="74"/>
      <c r="AF39" s="74"/>
      <c r="AG39" s="74"/>
      <c r="AH39" s="74"/>
      <c r="AI39" s="74"/>
      <c r="AJ39" s="74"/>
      <c r="AK39" s="74"/>
    </row>
    <row r="40" spans="1:37" ht="12.75" customHeight="1">
      <c r="A40" s="194" t="s">
        <v>1097</v>
      </c>
      <c r="B40" s="194"/>
      <c r="C40" s="194"/>
      <c r="D40" s="194"/>
      <c r="E40" s="194"/>
      <c r="F40" s="194"/>
      <c r="G40" s="194"/>
      <c r="H40" s="194"/>
      <c r="I40" s="194"/>
      <c r="J40" s="194"/>
      <c r="K40" s="194"/>
      <c r="L40" s="194"/>
      <c r="M40" s="194"/>
      <c r="N40" s="194"/>
      <c r="O40" s="194"/>
      <c r="P40" s="194"/>
      <c r="Q40" s="194"/>
      <c r="R40" s="194"/>
      <c r="S40" s="194"/>
      <c r="T40" s="194"/>
      <c r="U40" s="194"/>
      <c r="V40" s="194"/>
      <c r="W40" s="74"/>
      <c r="X40" s="74"/>
      <c r="Y40" s="74"/>
      <c r="Z40" s="74"/>
      <c r="AA40" s="74"/>
      <c r="AB40" s="74"/>
      <c r="AC40" s="74"/>
      <c r="AD40" s="74"/>
      <c r="AE40" s="74"/>
      <c r="AF40" s="74"/>
      <c r="AG40" s="74"/>
      <c r="AH40" s="74"/>
      <c r="AI40" s="74"/>
      <c r="AJ40" s="74"/>
      <c r="AK40" s="74"/>
    </row>
    <row r="41" spans="1:37" ht="12.75" customHeight="1">
      <c r="A41" s="194" t="s">
        <v>1098</v>
      </c>
      <c r="B41" s="194"/>
      <c r="C41" s="194"/>
      <c r="D41" s="194"/>
      <c r="E41" s="194"/>
      <c r="F41" s="194"/>
      <c r="G41" s="194"/>
      <c r="H41" s="194"/>
      <c r="I41" s="194"/>
      <c r="J41" s="194"/>
      <c r="K41" s="194"/>
      <c r="L41" s="194"/>
      <c r="M41" s="194"/>
      <c r="N41" s="194"/>
      <c r="O41" s="194"/>
      <c r="P41" s="194"/>
      <c r="Q41" s="194"/>
      <c r="R41" s="194"/>
      <c r="S41" s="194"/>
      <c r="T41" s="194"/>
      <c r="U41" s="194"/>
      <c r="V41" s="194"/>
      <c r="W41" s="74"/>
      <c r="X41" s="74"/>
      <c r="Y41" s="74"/>
      <c r="Z41" s="74"/>
      <c r="AA41" s="74"/>
      <c r="AB41" s="74"/>
      <c r="AC41" s="74"/>
      <c r="AD41" s="74"/>
      <c r="AE41" s="74"/>
      <c r="AF41" s="74"/>
      <c r="AG41" s="74"/>
      <c r="AH41" s="74"/>
      <c r="AI41" s="74"/>
      <c r="AJ41" s="74"/>
      <c r="AK41" s="74"/>
    </row>
    <row r="42" spans="1:37" ht="12.75" customHeight="1">
      <c r="A42" s="194" t="s">
        <v>1099</v>
      </c>
      <c r="B42" s="194"/>
      <c r="C42" s="194"/>
      <c r="D42" s="194"/>
      <c r="E42" s="194"/>
      <c r="F42" s="194"/>
      <c r="G42" s="194"/>
      <c r="H42" s="194"/>
      <c r="I42" s="194"/>
      <c r="J42" s="194"/>
      <c r="K42" s="194"/>
      <c r="L42" s="194"/>
      <c r="M42" s="194"/>
      <c r="N42" s="194"/>
      <c r="O42" s="194"/>
      <c r="P42" s="194"/>
      <c r="Q42" s="194"/>
      <c r="R42" s="194"/>
      <c r="S42" s="194"/>
      <c r="T42" s="194"/>
      <c r="U42" s="194"/>
      <c r="V42" s="194"/>
      <c r="W42" s="74"/>
      <c r="X42" s="74"/>
      <c r="Y42" s="74"/>
      <c r="Z42" s="74"/>
      <c r="AA42" s="74"/>
      <c r="AB42" s="74"/>
      <c r="AC42" s="74"/>
      <c r="AD42" s="74"/>
      <c r="AE42" s="74"/>
      <c r="AF42" s="74"/>
      <c r="AG42" s="74"/>
      <c r="AH42" s="74"/>
      <c r="AI42" s="74"/>
      <c r="AJ42" s="74"/>
      <c r="AK42" s="74"/>
    </row>
    <row r="43" spans="1:37" ht="12.75" customHeight="1">
      <c r="A43" s="194" t="s">
        <v>1100</v>
      </c>
      <c r="B43" s="194"/>
      <c r="C43" s="194"/>
      <c r="D43" s="194"/>
      <c r="E43" s="194"/>
      <c r="F43" s="194"/>
      <c r="G43" s="194"/>
      <c r="H43" s="194"/>
      <c r="I43" s="194"/>
      <c r="J43" s="194"/>
      <c r="K43" s="194"/>
      <c r="L43" s="194"/>
      <c r="M43" s="194"/>
      <c r="N43" s="194"/>
      <c r="O43" s="194"/>
      <c r="P43" s="194"/>
      <c r="Q43" s="194"/>
      <c r="R43" s="194"/>
      <c r="S43" s="194"/>
      <c r="T43" s="194"/>
      <c r="U43" s="194"/>
      <c r="V43" s="194"/>
      <c r="W43" s="74"/>
      <c r="X43" s="74"/>
      <c r="Y43" s="74"/>
      <c r="Z43" s="74"/>
      <c r="AA43" s="74"/>
      <c r="AB43" s="74"/>
      <c r="AC43" s="74"/>
      <c r="AD43" s="74"/>
      <c r="AE43" s="74"/>
      <c r="AF43" s="74"/>
      <c r="AG43" s="74"/>
      <c r="AH43" s="74"/>
      <c r="AI43" s="74"/>
      <c r="AJ43" s="74"/>
      <c r="AK43" s="74"/>
    </row>
    <row r="44" spans="1:37" ht="12.75" customHeight="1">
      <c r="A44" s="195" t="s">
        <v>1101</v>
      </c>
      <c r="B44" s="195"/>
      <c r="C44" s="195"/>
      <c r="D44" s="195"/>
      <c r="E44" s="195"/>
      <c r="F44" s="195"/>
      <c r="G44" s="195"/>
      <c r="H44" s="195"/>
      <c r="I44" s="195"/>
      <c r="J44" s="195"/>
      <c r="K44" s="195"/>
      <c r="L44" s="195"/>
      <c r="M44" s="195"/>
      <c r="N44" s="195"/>
      <c r="O44" s="195"/>
      <c r="P44" s="195"/>
      <c r="Q44" s="195"/>
      <c r="R44" s="195"/>
      <c r="S44" s="195"/>
      <c r="T44" s="195"/>
      <c r="U44" s="195"/>
      <c r="V44" s="195"/>
      <c r="W44" s="74"/>
      <c r="X44" s="74"/>
      <c r="Y44" s="74"/>
      <c r="Z44" s="74"/>
      <c r="AA44" s="74"/>
      <c r="AB44" s="74"/>
      <c r="AC44" s="74"/>
      <c r="AD44" s="74"/>
      <c r="AE44" s="74"/>
      <c r="AF44" s="74"/>
      <c r="AG44" s="74"/>
      <c r="AH44" s="74"/>
      <c r="AI44" s="74"/>
      <c r="AJ44" s="74"/>
      <c r="AK44" s="74"/>
    </row>
    <row r="45" spans="1:37" ht="12.75" customHeight="1">
      <c r="A45" s="194" t="s">
        <v>1102</v>
      </c>
      <c r="B45" s="194"/>
      <c r="C45" s="194"/>
      <c r="D45" s="194"/>
      <c r="E45" s="194"/>
      <c r="F45" s="194"/>
      <c r="G45" s="194"/>
      <c r="H45" s="194"/>
      <c r="I45" s="194"/>
      <c r="J45" s="194"/>
      <c r="K45" s="194"/>
      <c r="L45" s="194"/>
      <c r="M45" s="194"/>
      <c r="N45" s="194"/>
      <c r="O45" s="194"/>
      <c r="P45" s="194"/>
      <c r="Q45" s="194"/>
      <c r="R45" s="194"/>
      <c r="S45" s="194"/>
      <c r="T45" s="194"/>
      <c r="U45" s="194"/>
      <c r="V45" s="194"/>
      <c r="W45" s="74"/>
      <c r="X45" s="74"/>
      <c r="Y45" s="74"/>
      <c r="Z45" s="74"/>
      <c r="AA45" s="74"/>
      <c r="AB45" s="74"/>
      <c r="AC45" s="74"/>
      <c r="AD45" s="74"/>
      <c r="AE45" s="74"/>
      <c r="AF45" s="74"/>
      <c r="AG45" s="74"/>
      <c r="AH45" s="74"/>
      <c r="AI45" s="74"/>
      <c r="AJ45" s="74"/>
      <c r="AK45" s="74"/>
    </row>
    <row r="46" spans="1:37" ht="12.75" customHeight="1">
      <c r="A46" s="194" t="s">
        <v>1103</v>
      </c>
      <c r="B46" s="194"/>
      <c r="C46" s="194"/>
      <c r="D46" s="194"/>
      <c r="E46" s="194"/>
      <c r="F46" s="194"/>
      <c r="G46" s="194"/>
      <c r="H46" s="194"/>
      <c r="I46" s="194"/>
      <c r="J46" s="194"/>
      <c r="K46" s="194"/>
      <c r="L46" s="194"/>
      <c r="M46" s="194"/>
      <c r="N46" s="194"/>
      <c r="O46" s="194"/>
      <c r="P46" s="194"/>
      <c r="Q46" s="194"/>
      <c r="R46" s="194"/>
      <c r="S46" s="194"/>
      <c r="T46" s="194"/>
      <c r="U46" s="194"/>
      <c r="V46" s="194"/>
      <c r="W46" s="74"/>
      <c r="X46" s="74"/>
      <c r="Y46" s="74"/>
      <c r="Z46" s="74"/>
      <c r="AA46" s="74"/>
      <c r="AB46" s="74"/>
      <c r="AC46" s="74"/>
      <c r="AD46" s="74"/>
      <c r="AE46" s="74"/>
      <c r="AF46" s="74"/>
      <c r="AG46" s="74"/>
      <c r="AH46" s="74"/>
      <c r="AI46" s="74"/>
      <c r="AJ46" s="74"/>
      <c r="AK46" s="74"/>
    </row>
    <row r="47" spans="1:37" ht="12.75" customHeight="1">
      <c r="A47" s="194" t="s">
        <v>1104</v>
      </c>
      <c r="B47" s="194"/>
      <c r="C47" s="194"/>
      <c r="D47" s="194"/>
      <c r="E47" s="194"/>
      <c r="F47" s="194"/>
      <c r="G47" s="194"/>
      <c r="H47" s="194"/>
      <c r="I47" s="194"/>
      <c r="J47" s="194"/>
      <c r="K47" s="194"/>
      <c r="L47" s="194"/>
      <c r="M47" s="194"/>
      <c r="N47" s="194"/>
      <c r="O47" s="194"/>
      <c r="P47" s="194"/>
      <c r="Q47" s="194"/>
      <c r="R47" s="194"/>
      <c r="S47" s="194"/>
      <c r="T47" s="194"/>
      <c r="U47" s="194"/>
      <c r="V47" s="194"/>
      <c r="W47" s="74"/>
      <c r="X47" s="74"/>
      <c r="Y47" s="74"/>
      <c r="Z47" s="74"/>
      <c r="AA47" s="74"/>
      <c r="AB47" s="74"/>
      <c r="AC47" s="74"/>
      <c r="AD47" s="74"/>
      <c r="AE47" s="74"/>
      <c r="AF47" s="74"/>
      <c r="AG47" s="74"/>
      <c r="AH47" s="74"/>
      <c r="AI47" s="74"/>
      <c r="AJ47" s="74"/>
      <c r="AK47" s="74"/>
    </row>
    <row r="48" spans="1:37" ht="25.5" customHeight="1">
      <c r="A48" s="194" t="s">
        <v>1105</v>
      </c>
      <c r="B48" s="194"/>
      <c r="C48" s="194"/>
      <c r="D48" s="194"/>
      <c r="E48" s="194"/>
      <c r="F48" s="194"/>
      <c r="G48" s="194"/>
      <c r="H48" s="194"/>
      <c r="I48" s="194"/>
      <c r="J48" s="194"/>
      <c r="K48" s="194"/>
      <c r="L48" s="194"/>
      <c r="M48" s="194"/>
      <c r="N48" s="194"/>
      <c r="O48" s="194"/>
      <c r="P48" s="194"/>
      <c r="Q48" s="194"/>
      <c r="R48" s="194"/>
      <c r="S48" s="194"/>
      <c r="T48" s="194"/>
      <c r="U48" s="194"/>
      <c r="V48" s="194"/>
      <c r="W48" s="74"/>
      <c r="X48" s="74"/>
      <c r="Y48" s="74"/>
      <c r="Z48" s="74"/>
      <c r="AA48" s="74"/>
      <c r="AB48" s="74"/>
      <c r="AC48" s="74"/>
      <c r="AD48" s="74"/>
      <c r="AE48" s="74"/>
      <c r="AF48" s="74"/>
      <c r="AG48" s="74"/>
      <c r="AH48" s="74"/>
      <c r="AI48" s="74"/>
      <c r="AJ48" s="74"/>
      <c r="AK48" s="74"/>
    </row>
    <row r="49" spans="1:37" ht="12.75" customHeight="1">
      <c r="A49" s="194" t="s">
        <v>1106</v>
      </c>
      <c r="B49" s="194"/>
      <c r="C49" s="194"/>
      <c r="D49" s="194"/>
      <c r="E49" s="194"/>
      <c r="F49" s="194"/>
      <c r="G49" s="194"/>
      <c r="H49" s="194"/>
      <c r="I49" s="194"/>
      <c r="J49" s="194"/>
      <c r="K49" s="194"/>
      <c r="L49" s="194"/>
      <c r="M49" s="194"/>
      <c r="N49" s="194"/>
      <c r="O49" s="194"/>
      <c r="P49" s="194"/>
      <c r="Q49" s="194"/>
      <c r="R49" s="194"/>
      <c r="S49" s="194"/>
      <c r="T49" s="194"/>
      <c r="U49" s="194"/>
      <c r="V49" s="194"/>
      <c r="W49" s="74"/>
      <c r="X49" s="74"/>
      <c r="Y49" s="74"/>
      <c r="Z49" s="74"/>
      <c r="AA49" s="74"/>
      <c r="AB49" s="74"/>
      <c r="AC49" s="74"/>
      <c r="AD49" s="74"/>
      <c r="AE49" s="74"/>
      <c r="AF49" s="74"/>
      <c r="AG49" s="74"/>
      <c r="AH49" s="74"/>
      <c r="AI49" s="74"/>
      <c r="AJ49" s="74"/>
      <c r="AK49" s="74"/>
    </row>
    <row r="50" spans="1:37" ht="12.75" customHeight="1">
      <c r="A50" s="194" t="s">
        <v>1107</v>
      </c>
      <c r="B50" s="194"/>
      <c r="C50" s="194"/>
      <c r="D50" s="194"/>
      <c r="E50" s="194"/>
      <c r="F50" s="194"/>
      <c r="G50" s="194"/>
      <c r="H50" s="194"/>
      <c r="I50" s="194"/>
      <c r="J50" s="194"/>
      <c r="K50" s="194"/>
      <c r="L50" s="194"/>
      <c r="M50" s="194"/>
      <c r="N50" s="194"/>
      <c r="O50" s="194"/>
      <c r="P50" s="194"/>
      <c r="Q50" s="194"/>
      <c r="R50" s="194"/>
      <c r="S50" s="194"/>
      <c r="T50" s="194"/>
      <c r="U50" s="194"/>
      <c r="V50" s="194"/>
      <c r="W50" s="74"/>
      <c r="X50" s="74"/>
      <c r="Y50" s="74"/>
      <c r="Z50" s="74"/>
      <c r="AA50" s="74"/>
      <c r="AB50" s="74"/>
      <c r="AC50" s="74"/>
      <c r="AD50" s="74"/>
      <c r="AE50" s="74"/>
      <c r="AF50" s="74"/>
      <c r="AG50" s="74"/>
      <c r="AH50" s="74"/>
      <c r="AI50" s="74"/>
      <c r="AJ50" s="74"/>
      <c r="AK50" s="74"/>
    </row>
    <row r="51" spans="1:37" ht="12.75" customHeight="1">
      <c r="A51" s="194"/>
      <c r="B51" s="194"/>
      <c r="C51" s="194"/>
      <c r="D51" s="194"/>
      <c r="E51" s="194"/>
      <c r="F51" s="194"/>
      <c r="G51" s="194"/>
      <c r="H51" s="194"/>
      <c r="I51" s="194"/>
      <c r="J51" s="194"/>
      <c r="K51" s="194"/>
      <c r="L51" s="194"/>
      <c r="M51" s="194"/>
      <c r="N51" s="194"/>
      <c r="O51" s="194"/>
      <c r="P51" s="194"/>
      <c r="Q51" s="194"/>
      <c r="R51" s="194"/>
      <c r="S51" s="194"/>
      <c r="T51" s="194"/>
      <c r="U51" s="194"/>
      <c r="V51" s="194"/>
      <c r="W51" s="74"/>
      <c r="X51" s="74"/>
      <c r="Y51" s="74"/>
      <c r="Z51" s="74"/>
      <c r="AA51" s="74"/>
      <c r="AB51" s="74"/>
      <c r="AC51" s="74"/>
      <c r="AD51" s="74"/>
      <c r="AE51" s="74"/>
      <c r="AF51" s="74"/>
      <c r="AG51" s="74"/>
      <c r="AH51" s="74"/>
      <c r="AI51" s="74"/>
      <c r="AJ51" s="74"/>
      <c r="AK51" s="74"/>
    </row>
    <row r="52" spans="1:37" ht="12.75" customHeight="1">
      <c r="A52" s="196" t="s">
        <v>1108</v>
      </c>
      <c r="B52" s="196"/>
      <c r="C52" s="196"/>
      <c r="D52" s="196"/>
      <c r="E52" s="196"/>
      <c r="F52" s="196"/>
      <c r="G52" s="196"/>
      <c r="H52" s="196"/>
      <c r="I52" s="196"/>
      <c r="J52" s="196"/>
      <c r="K52" s="196"/>
      <c r="L52" s="196"/>
      <c r="M52" s="196"/>
      <c r="N52" s="196"/>
      <c r="O52" s="196"/>
      <c r="P52" s="196"/>
      <c r="Q52" s="196"/>
      <c r="R52" s="196"/>
      <c r="S52" s="196"/>
      <c r="T52" s="196"/>
      <c r="U52" s="196"/>
      <c r="V52" s="196"/>
      <c r="W52" s="74"/>
      <c r="X52" s="74"/>
      <c r="Y52" s="74"/>
      <c r="Z52" s="74"/>
      <c r="AA52" s="74"/>
      <c r="AB52" s="74"/>
      <c r="AC52" s="74"/>
      <c r="AD52" s="74"/>
      <c r="AE52" s="74"/>
      <c r="AF52" s="74"/>
      <c r="AG52" s="74"/>
      <c r="AH52" s="74"/>
      <c r="AI52" s="74"/>
      <c r="AJ52" s="74"/>
      <c r="AK52" s="74"/>
    </row>
    <row r="53" spans="1:37" ht="12.75" customHeight="1">
      <c r="A53" s="73" t="s">
        <v>1109</v>
      </c>
      <c r="B53" s="73"/>
      <c r="C53" s="73"/>
      <c r="D53" s="73"/>
      <c r="E53" s="73"/>
      <c r="F53" s="73"/>
      <c r="G53" s="73"/>
      <c r="H53" s="73"/>
      <c r="I53" s="73"/>
      <c r="J53" s="73"/>
      <c r="K53" s="73"/>
      <c r="L53" s="73"/>
      <c r="M53" s="73"/>
      <c r="N53" s="73"/>
      <c r="O53" s="73"/>
      <c r="P53" s="73"/>
      <c r="Q53" s="73"/>
      <c r="R53" s="73"/>
      <c r="S53" s="73"/>
      <c r="T53" s="73"/>
      <c r="U53" s="73"/>
      <c r="V53" s="73"/>
      <c r="W53" s="74"/>
      <c r="X53" s="74"/>
      <c r="Y53" s="74"/>
      <c r="Z53" s="74"/>
      <c r="AA53" s="74"/>
      <c r="AB53" s="74"/>
      <c r="AC53" s="74"/>
      <c r="AD53" s="74"/>
      <c r="AE53" s="74"/>
      <c r="AF53" s="74"/>
      <c r="AG53" s="74"/>
      <c r="AH53" s="74"/>
      <c r="AI53" s="74"/>
      <c r="AJ53" s="74"/>
      <c r="AK53" s="74"/>
    </row>
    <row r="54" spans="1:37" ht="38.25" customHeight="1">
      <c r="A54" s="198" t="s">
        <v>1110</v>
      </c>
      <c r="B54" s="198"/>
      <c r="C54" s="198"/>
      <c r="D54" s="198"/>
      <c r="E54" s="198"/>
      <c r="F54" s="198"/>
      <c r="G54" s="198"/>
      <c r="H54" s="198"/>
      <c r="I54" s="198"/>
      <c r="J54" s="198"/>
      <c r="K54" s="198"/>
      <c r="L54" s="198"/>
      <c r="M54" s="198"/>
      <c r="N54" s="198"/>
      <c r="O54" s="198"/>
      <c r="P54" s="198"/>
      <c r="Q54" s="198"/>
      <c r="R54" s="198"/>
      <c r="S54" s="198"/>
      <c r="T54" s="198"/>
      <c r="U54" s="198"/>
      <c r="V54" s="198"/>
      <c r="W54" s="75"/>
      <c r="X54" s="75"/>
      <c r="Y54" s="75"/>
      <c r="Z54" s="75"/>
      <c r="AA54" s="75"/>
      <c r="AB54" s="75"/>
      <c r="AC54" s="75"/>
      <c r="AD54" s="75"/>
      <c r="AE54" s="75"/>
      <c r="AF54" s="75"/>
      <c r="AG54" s="75"/>
      <c r="AH54" s="75"/>
      <c r="AI54" s="75"/>
      <c r="AJ54" s="75"/>
      <c r="AK54" s="75"/>
    </row>
    <row r="55" spans="1:37" ht="12.75" customHeight="1">
      <c r="A55" s="73" t="s">
        <v>1111</v>
      </c>
      <c r="B55" s="73"/>
      <c r="C55" s="73"/>
      <c r="D55" s="73"/>
      <c r="E55" s="73"/>
      <c r="F55" s="73"/>
      <c r="G55" s="73"/>
      <c r="H55" s="73"/>
      <c r="I55" s="73"/>
      <c r="J55" s="73"/>
      <c r="K55" s="73"/>
      <c r="L55" s="73"/>
      <c r="M55" s="73"/>
      <c r="N55" s="73"/>
      <c r="O55" s="73"/>
      <c r="P55" s="73"/>
      <c r="Q55" s="73"/>
      <c r="R55" s="73"/>
      <c r="S55" s="73"/>
      <c r="T55" s="73"/>
      <c r="U55" s="73"/>
      <c r="V55" s="73"/>
      <c r="W55" s="74"/>
      <c r="X55" s="74"/>
      <c r="Y55" s="74"/>
      <c r="Z55" s="74"/>
      <c r="AA55" s="74"/>
      <c r="AB55" s="74"/>
      <c r="AC55" s="74"/>
      <c r="AD55" s="74"/>
      <c r="AE55" s="74"/>
      <c r="AF55" s="74"/>
      <c r="AG55" s="74"/>
      <c r="AH55" s="74"/>
      <c r="AI55" s="74"/>
      <c r="AJ55" s="74"/>
      <c r="AK55" s="74"/>
    </row>
    <row r="56" spans="1:37" ht="12.75" customHeight="1">
      <c r="A56" s="73" t="s">
        <v>1112</v>
      </c>
      <c r="B56" s="73"/>
      <c r="C56" s="73"/>
      <c r="D56" s="73"/>
      <c r="E56" s="73"/>
      <c r="F56" s="73"/>
      <c r="G56" s="73"/>
      <c r="H56" s="73"/>
      <c r="I56" s="73"/>
      <c r="J56" s="73"/>
      <c r="K56" s="73"/>
      <c r="L56" s="73"/>
      <c r="M56" s="73"/>
      <c r="N56" s="73"/>
      <c r="O56" s="73"/>
      <c r="P56" s="73"/>
      <c r="Q56" s="73"/>
      <c r="R56" s="73"/>
      <c r="S56" s="73"/>
      <c r="T56" s="73"/>
      <c r="U56" s="73"/>
      <c r="V56" s="73"/>
      <c r="W56" s="74"/>
      <c r="X56" s="74"/>
      <c r="Y56" s="74"/>
      <c r="Z56" s="74"/>
      <c r="AA56" s="74"/>
      <c r="AB56" s="74"/>
      <c r="AC56" s="74"/>
      <c r="AD56" s="74"/>
      <c r="AE56" s="74"/>
      <c r="AF56" s="74"/>
      <c r="AG56" s="74"/>
      <c r="AH56" s="74"/>
      <c r="AI56" s="74"/>
      <c r="AJ56" s="74"/>
      <c r="AK56" s="74"/>
    </row>
    <row r="57" spans="1:37" ht="12.75" customHeight="1">
      <c r="A57" s="73" t="s">
        <v>1113</v>
      </c>
      <c r="B57" s="73"/>
      <c r="C57" s="73"/>
      <c r="D57" s="73"/>
      <c r="E57" s="73"/>
      <c r="F57" s="73"/>
      <c r="G57" s="73"/>
      <c r="H57" s="73"/>
      <c r="I57" s="73"/>
      <c r="J57" s="73"/>
      <c r="K57" s="73"/>
      <c r="L57" s="73"/>
      <c r="M57" s="73"/>
      <c r="N57" s="73"/>
      <c r="O57" s="73"/>
      <c r="P57" s="73"/>
      <c r="Q57" s="73"/>
      <c r="R57" s="73"/>
      <c r="S57" s="73"/>
      <c r="T57" s="73"/>
      <c r="U57" s="73"/>
      <c r="V57" s="73"/>
      <c r="W57" s="74"/>
      <c r="X57" s="74"/>
      <c r="Y57" s="74"/>
      <c r="Z57" s="74"/>
      <c r="AA57" s="74"/>
      <c r="AB57" s="74"/>
      <c r="AC57" s="74"/>
      <c r="AD57" s="74"/>
      <c r="AE57" s="74"/>
      <c r="AF57" s="74"/>
      <c r="AG57" s="74"/>
      <c r="AH57" s="74"/>
      <c r="AI57" s="74"/>
      <c r="AJ57" s="74"/>
      <c r="AK57" s="74"/>
    </row>
    <row r="58" spans="1:37" ht="12.75" customHeight="1">
      <c r="A58" s="73"/>
      <c r="B58" s="73"/>
      <c r="C58" s="73"/>
      <c r="D58" s="73"/>
      <c r="E58" s="73"/>
      <c r="F58" s="73"/>
      <c r="G58" s="73"/>
      <c r="H58" s="73"/>
      <c r="I58" s="73"/>
      <c r="J58" s="73"/>
      <c r="K58" s="73"/>
      <c r="L58" s="73"/>
      <c r="M58" s="73"/>
      <c r="N58" s="73"/>
      <c r="O58" s="73"/>
      <c r="P58" s="73"/>
      <c r="Q58" s="73"/>
      <c r="R58" s="73"/>
      <c r="S58" s="73"/>
      <c r="T58" s="73"/>
      <c r="U58" s="73"/>
      <c r="V58" s="73"/>
      <c r="W58" s="74"/>
      <c r="X58" s="74"/>
      <c r="Y58" s="74"/>
      <c r="Z58" s="74"/>
      <c r="AA58" s="74"/>
      <c r="AB58" s="74"/>
      <c r="AC58" s="74"/>
      <c r="AD58" s="74"/>
      <c r="AE58" s="74"/>
      <c r="AF58" s="74"/>
      <c r="AG58" s="74"/>
      <c r="AH58" s="74"/>
      <c r="AI58" s="74"/>
      <c r="AJ58" s="74"/>
      <c r="AK58" s="74"/>
    </row>
    <row r="59" spans="1:37" ht="12.75" customHeight="1">
      <c r="A59" s="199" t="s">
        <v>174</v>
      </c>
      <c r="B59" s="199"/>
      <c r="C59" s="199"/>
      <c r="D59" s="199"/>
      <c r="E59" s="199"/>
      <c r="F59" s="199"/>
      <c r="G59" s="199"/>
      <c r="H59" s="199"/>
      <c r="I59" s="199"/>
      <c r="J59" s="199"/>
      <c r="K59" s="199"/>
      <c r="L59" s="199"/>
      <c r="M59" s="199"/>
      <c r="N59" s="199"/>
      <c r="O59" s="199"/>
      <c r="P59" s="199"/>
      <c r="Q59" s="199"/>
      <c r="R59" s="199"/>
      <c r="S59" s="199"/>
      <c r="T59" s="199"/>
      <c r="U59" s="199"/>
      <c r="V59" s="199"/>
      <c r="W59" s="74"/>
      <c r="X59" s="74"/>
      <c r="Y59" s="74"/>
      <c r="Z59" s="74"/>
      <c r="AA59" s="74"/>
      <c r="AB59" s="74"/>
      <c r="AC59" s="74"/>
      <c r="AD59" s="74"/>
      <c r="AE59" s="74"/>
      <c r="AF59" s="74"/>
      <c r="AG59" s="74"/>
      <c r="AH59" s="74"/>
      <c r="AI59" s="74"/>
      <c r="AJ59" s="74"/>
      <c r="AK59" s="74"/>
    </row>
    <row r="60" spans="1:37" ht="12.75" customHeight="1">
      <c r="A60" s="199" t="s">
        <v>175</v>
      </c>
      <c r="B60" s="199"/>
      <c r="C60" s="199"/>
      <c r="D60" s="199"/>
      <c r="E60" s="199"/>
      <c r="F60" s="199"/>
      <c r="G60" s="199"/>
      <c r="H60" s="199"/>
      <c r="I60" s="199"/>
      <c r="J60" s="199"/>
      <c r="K60" s="199"/>
      <c r="L60" s="199"/>
      <c r="M60" s="199"/>
      <c r="N60" s="199"/>
      <c r="O60" s="199"/>
      <c r="P60" s="199"/>
      <c r="Q60" s="199"/>
      <c r="R60" s="199"/>
      <c r="S60" s="199"/>
      <c r="T60" s="199"/>
      <c r="U60" s="199"/>
      <c r="V60" s="199"/>
      <c r="W60" s="74"/>
      <c r="X60" s="74"/>
      <c r="Y60" s="74"/>
      <c r="Z60" s="74"/>
      <c r="AA60" s="74"/>
      <c r="AB60" s="74"/>
      <c r="AC60" s="74"/>
      <c r="AD60" s="74"/>
      <c r="AE60" s="74"/>
      <c r="AF60" s="74"/>
      <c r="AG60" s="74"/>
      <c r="AH60" s="74"/>
      <c r="AI60" s="74"/>
      <c r="AJ60" s="74"/>
      <c r="AK60" s="74"/>
    </row>
    <row r="61" spans="1:37" ht="12.75" customHeight="1">
      <c r="A61" s="200" t="s">
        <v>1114</v>
      </c>
      <c r="B61" s="200"/>
      <c r="C61" s="200"/>
      <c r="D61" s="200"/>
      <c r="E61" s="200"/>
      <c r="F61" s="200"/>
      <c r="G61" s="200"/>
      <c r="H61" s="200"/>
      <c r="I61" s="200"/>
      <c r="J61" s="200"/>
      <c r="K61" s="200"/>
      <c r="L61" s="200"/>
      <c r="M61" s="200"/>
      <c r="N61" s="200"/>
      <c r="O61" s="200"/>
      <c r="P61" s="200"/>
      <c r="Q61" s="200"/>
      <c r="R61" s="200"/>
      <c r="S61" s="200"/>
      <c r="T61" s="200"/>
      <c r="U61" s="200"/>
      <c r="V61" s="200"/>
      <c r="W61" s="74"/>
      <c r="X61" s="74"/>
      <c r="Y61" s="74"/>
      <c r="Z61" s="74"/>
      <c r="AA61" s="74"/>
      <c r="AB61" s="74"/>
      <c r="AC61" s="74"/>
      <c r="AD61" s="74"/>
      <c r="AE61" s="74"/>
      <c r="AF61" s="74"/>
      <c r="AG61" s="74"/>
      <c r="AH61" s="74"/>
      <c r="AI61" s="74"/>
      <c r="AJ61" s="74"/>
      <c r="AK61" s="74"/>
    </row>
    <row r="62" spans="1:37" ht="12.75" customHeight="1">
      <c r="A62" s="201" t="s">
        <v>1115</v>
      </c>
      <c r="B62" s="201"/>
      <c r="C62" s="201"/>
      <c r="D62" s="201"/>
      <c r="E62" s="201"/>
      <c r="F62" s="201"/>
      <c r="G62" s="201"/>
      <c r="H62" s="201"/>
      <c r="I62" s="201"/>
      <c r="J62" s="201"/>
      <c r="K62" s="201"/>
      <c r="L62" s="201"/>
      <c r="M62" s="201"/>
      <c r="N62" s="201"/>
      <c r="O62" s="201"/>
      <c r="P62" s="201"/>
      <c r="Q62" s="201"/>
      <c r="R62" s="201"/>
      <c r="S62" s="201"/>
      <c r="T62" s="201"/>
      <c r="U62" s="201"/>
      <c r="V62" s="201"/>
      <c r="W62" s="74"/>
      <c r="X62" s="74"/>
      <c r="Y62" s="74"/>
      <c r="Z62" s="74"/>
      <c r="AA62" s="74"/>
      <c r="AB62" s="74"/>
      <c r="AC62" s="74"/>
      <c r="AD62" s="74"/>
      <c r="AE62" s="74"/>
      <c r="AF62" s="74"/>
      <c r="AG62" s="74"/>
      <c r="AH62" s="74"/>
      <c r="AI62" s="74"/>
      <c r="AJ62" s="74"/>
      <c r="AK62" s="74"/>
    </row>
    <row r="63" spans="1:37" ht="12.75" customHeight="1">
      <c r="A63" s="201" t="s">
        <v>1116</v>
      </c>
      <c r="B63" s="201"/>
      <c r="C63" s="201"/>
      <c r="D63" s="201"/>
      <c r="E63" s="201"/>
      <c r="F63" s="201"/>
      <c r="G63" s="201"/>
      <c r="H63" s="201"/>
      <c r="I63" s="201"/>
      <c r="J63" s="201"/>
      <c r="K63" s="201"/>
      <c r="L63" s="201"/>
      <c r="M63" s="201"/>
      <c r="N63" s="201"/>
      <c r="O63" s="201"/>
      <c r="P63" s="201"/>
      <c r="Q63" s="201"/>
      <c r="R63" s="201"/>
      <c r="S63" s="201"/>
      <c r="T63" s="201"/>
      <c r="U63" s="201"/>
      <c r="V63" s="201"/>
      <c r="W63" s="74"/>
      <c r="X63" s="74"/>
      <c r="Y63" s="74"/>
      <c r="Z63" s="74"/>
      <c r="AA63" s="74"/>
      <c r="AB63" s="74"/>
      <c r="AC63" s="74"/>
      <c r="AD63" s="74"/>
      <c r="AE63" s="74"/>
      <c r="AF63" s="74"/>
      <c r="AG63" s="74"/>
      <c r="AH63" s="74"/>
      <c r="AI63" s="74"/>
      <c r="AJ63" s="74"/>
      <c r="AK63" s="74"/>
    </row>
    <row r="64" spans="1:37" ht="12.75" customHeight="1">
      <c r="A64" s="201" t="s">
        <v>1117</v>
      </c>
      <c r="B64" s="201"/>
      <c r="C64" s="201"/>
      <c r="D64" s="201"/>
      <c r="E64" s="201"/>
      <c r="F64" s="201"/>
      <c r="G64" s="201"/>
      <c r="H64" s="201"/>
      <c r="I64" s="201"/>
      <c r="J64" s="201"/>
      <c r="K64" s="201"/>
      <c r="L64" s="201"/>
      <c r="M64" s="201"/>
      <c r="N64" s="201"/>
      <c r="O64" s="201"/>
      <c r="P64" s="201"/>
      <c r="Q64" s="201"/>
      <c r="R64" s="201"/>
      <c r="S64" s="201"/>
      <c r="T64" s="201"/>
      <c r="U64" s="201"/>
      <c r="V64" s="201"/>
      <c r="W64" s="74"/>
      <c r="X64" s="74"/>
      <c r="Y64" s="74"/>
      <c r="Z64" s="74"/>
      <c r="AA64" s="74"/>
      <c r="AB64" s="74"/>
      <c r="AC64" s="74"/>
      <c r="AD64" s="74"/>
      <c r="AE64" s="74"/>
      <c r="AF64" s="74"/>
      <c r="AG64" s="74"/>
      <c r="AH64" s="74"/>
      <c r="AI64" s="74"/>
      <c r="AJ64" s="74"/>
      <c r="AK64" s="74"/>
    </row>
    <row r="65" spans="1:37" ht="12.75" customHeight="1">
      <c r="A65" s="201" t="s">
        <v>1118</v>
      </c>
      <c r="B65" s="201"/>
      <c r="C65" s="201"/>
      <c r="D65" s="201"/>
      <c r="E65" s="201"/>
      <c r="F65" s="201"/>
      <c r="G65" s="201"/>
      <c r="H65" s="201"/>
      <c r="I65" s="201"/>
      <c r="J65" s="201"/>
      <c r="K65" s="201"/>
      <c r="L65" s="201"/>
      <c r="M65" s="201"/>
      <c r="N65" s="201"/>
      <c r="O65" s="201"/>
      <c r="P65" s="201"/>
      <c r="Q65" s="201"/>
      <c r="R65" s="201"/>
      <c r="S65" s="201"/>
      <c r="T65" s="201"/>
      <c r="U65" s="201"/>
      <c r="V65" s="201"/>
      <c r="W65" s="74"/>
      <c r="X65" s="74"/>
      <c r="Y65" s="74"/>
      <c r="Z65" s="74"/>
      <c r="AA65" s="74"/>
      <c r="AB65" s="74"/>
      <c r="AC65" s="74"/>
      <c r="AD65" s="74"/>
      <c r="AE65" s="74"/>
      <c r="AF65" s="74"/>
      <c r="AG65" s="74"/>
      <c r="AH65" s="74"/>
      <c r="AI65" s="74"/>
      <c r="AJ65" s="74"/>
      <c r="AK65" s="74"/>
    </row>
    <row r="66" spans="1:37" ht="12.75" customHeight="1">
      <c r="A66" s="201" t="s">
        <v>3900</v>
      </c>
      <c r="B66" s="201"/>
      <c r="C66" s="201"/>
      <c r="D66" s="201"/>
      <c r="E66" s="201"/>
      <c r="F66" s="201"/>
      <c r="G66" s="201"/>
      <c r="H66" s="201"/>
      <c r="I66" s="201"/>
      <c r="J66" s="201"/>
      <c r="K66" s="201"/>
      <c r="L66" s="201"/>
      <c r="M66" s="201"/>
      <c r="N66" s="201"/>
      <c r="O66" s="201"/>
      <c r="P66" s="201"/>
      <c r="Q66" s="201"/>
      <c r="R66" s="201"/>
      <c r="S66" s="201"/>
      <c r="T66" s="201"/>
      <c r="U66" s="201"/>
      <c r="V66" s="201"/>
      <c r="W66" s="74"/>
      <c r="X66" s="74"/>
      <c r="Y66" s="74"/>
      <c r="Z66" s="74"/>
      <c r="AA66" s="74"/>
      <c r="AB66" s="74"/>
      <c r="AC66" s="74"/>
      <c r="AD66" s="74"/>
      <c r="AE66" s="74"/>
      <c r="AF66" s="74"/>
      <c r="AG66" s="74"/>
      <c r="AH66" s="74"/>
      <c r="AI66" s="74"/>
      <c r="AJ66" s="74"/>
      <c r="AK66" s="74"/>
    </row>
    <row r="67" spans="1:37" ht="12.75" customHeight="1">
      <c r="A67" s="200" t="s">
        <v>257</v>
      </c>
      <c r="B67" s="200"/>
      <c r="C67" s="200"/>
      <c r="D67" s="200"/>
      <c r="E67" s="200"/>
      <c r="F67" s="200"/>
      <c r="G67" s="200"/>
      <c r="H67" s="200"/>
      <c r="I67" s="200"/>
      <c r="J67" s="200"/>
      <c r="K67" s="200"/>
      <c r="L67" s="200"/>
      <c r="M67" s="200"/>
      <c r="N67" s="200"/>
      <c r="O67" s="200"/>
      <c r="P67" s="200"/>
      <c r="Q67" s="200"/>
      <c r="R67" s="200"/>
      <c r="S67" s="200"/>
      <c r="T67" s="200"/>
      <c r="U67" s="200"/>
      <c r="V67" s="200"/>
      <c r="W67" s="74"/>
      <c r="X67" s="74"/>
      <c r="Y67" s="74"/>
      <c r="Z67" s="74"/>
      <c r="AA67" s="74"/>
      <c r="AB67" s="74"/>
      <c r="AC67" s="74"/>
      <c r="AD67" s="74"/>
      <c r="AE67" s="74"/>
      <c r="AF67" s="74"/>
      <c r="AG67" s="74"/>
      <c r="AH67" s="74"/>
      <c r="AI67" s="74"/>
      <c r="AJ67" s="74"/>
      <c r="AK67" s="74"/>
    </row>
    <row r="68" spans="1:37" ht="12.75" customHeight="1">
      <c r="A68" s="201" t="s">
        <v>1119</v>
      </c>
      <c r="B68" s="201"/>
      <c r="C68" s="201"/>
      <c r="D68" s="201"/>
      <c r="E68" s="201"/>
      <c r="F68" s="201"/>
      <c r="G68" s="201"/>
      <c r="H68" s="201"/>
      <c r="I68" s="201"/>
      <c r="J68" s="201"/>
      <c r="K68" s="201"/>
      <c r="L68" s="201"/>
      <c r="M68" s="201"/>
      <c r="N68" s="201"/>
      <c r="O68" s="201"/>
      <c r="P68" s="201"/>
      <c r="Q68" s="201"/>
      <c r="R68" s="201"/>
      <c r="S68" s="201"/>
      <c r="T68" s="201"/>
      <c r="U68" s="201"/>
      <c r="V68" s="201"/>
      <c r="W68" s="74"/>
      <c r="X68" s="74"/>
      <c r="Y68" s="74"/>
      <c r="Z68" s="74"/>
      <c r="AA68" s="74"/>
      <c r="AB68" s="74"/>
      <c r="AC68" s="74"/>
      <c r="AD68" s="74"/>
      <c r="AE68" s="74"/>
      <c r="AF68" s="74"/>
      <c r="AG68" s="74"/>
      <c r="AH68" s="74"/>
      <c r="AI68" s="74"/>
      <c r="AJ68" s="74"/>
      <c r="AK68" s="74"/>
    </row>
    <row r="69" spans="1:37" ht="12.75" customHeight="1">
      <c r="A69" s="201" t="s">
        <v>1120</v>
      </c>
      <c r="B69" s="201"/>
      <c r="C69" s="201"/>
      <c r="D69" s="201"/>
      <c r="E69" s="201"/>
      <c r="F69" s="201"/>
      <c r="G69" s="201"/>
      <c r="H69" s="201"/>
      <c r="I69" s="201"/>
      <c r="J69" s="201"/>
      <c r="K69" s="201"/>
      <c r="L69" s="201"/>
      <c r="M69" s="201"/>
      <c r="N69" s="201"/>
      <c r="O69" s="201"/>
      <c r="P69" s="201"/>
      <c r="Q69" s="201"/>
      <c r="R69" s="201"/>
      <c r="S69" s="201"/>
      <c r="T69" s="201"/>
      <c r="U69" s="201"/>
      <c r="V69" s="201"/>
      <c r="W69" s="74"/>
      <c r="X69" s="74"/>
      <c r="Y69" s="74"/>
      <c r="Z69" s="74"/>
      <c r="AA69" s="74"/>
      <c r="AB69" s="74"/>
      <c r="AC69" s="74"/>
      <c r="AD69" s="74"/>
      <c r="AE69" s="74"/>
      <c r="AF69" s="74"/>
      <c r="AG69" s="74"/>
      <c r="AH69" s="74"/>
      <c r="AI69" s="74"/>
      <c r="AJ69" s="74"/>
      <c r="AK69" s="74"/>
    </row>
    <row r="70" spans="1:37" ht="12.75" customHeight="1">
      <c r="A70" s="201" t="s">
        <v>1121</v>
      </c>
      <c r="B70" s="201"/>
      <c r="C70" s="201"/>
      <c r="D70" s="201"/>
      <c r="E70" s="201"/>
      <c r="F70" s="201"/>
      <c r="G70" s="201"/>
      <c r="H70" s="201"/>
      <c r="I70" s="201"/>
      <c r="J70" s="201"/>
      <c r="K70" s="201"/>
      <c r="L70" s="201"/>
      <c r="M70" s="201"/>
      <c r="N70" s="201"/>
      <c r="O70" s="201"/>
      <c r="P70" s="201"/>
      <c r="Q70" s="201"/>
      <c r="R70" s="201"/>
      <c r="S70" s="201"/>
      <c r="T70" s="201"/>
      <c r="U70" s="201"/>
      <c r="V70" s="201"/>
      <c r="W70" s="74"/>
      <c r="X70" s="74"/>
      <c r="Y70" s="74"/>
      <c r="Z70" s="74"/>
      <c r="AA70" s="74"/>
      <c r="AB70" s="74"/>
      <c r="AC70" s="74"/>
      <c r="AD70" s="74"/>
      <c r="AE70" s="74"/>
      <c r="AF70" s="74"/>
      <c r="AG70" s="74"/>
      <c r="AH70" s="74"/>
      <c r="AI70" s="74"/>
      <c r="AJ70" s="74"/>
      <c r="AK70" s="74"/>
    </row>
    <row r="71" spans="1:37" ht="12.75" customHeight="1">
      <c r="A71" s="201" t="s">
        <v>1122</v>
      </c>
      <c r="B71" s="201"/>
      <c r="C71" s="201"/>
      <c r="D71" s="201"/>
      <c r="E71" s="201"/>
      <c r="F71" s="201"/>
      <c r="G71" s="201"/>
      <c r="H71" s="201"/>
      <c r="I71" s="201"/>
      <c r="J71" s="201"/>
      <c r="K71" s="201"/>
      <c r="L71" s="201"/>
      <c r="M71" s="201"/>
      <c r="N71" s="201"/>
      <c r="O71" s="201"/>
      <c r="P71" s="201"/>
      <c r="Q71" s="201"/>
      <c r="R71" s="201"/>
      <c r="S71" s="201"/>
      <c r="T71" s="201"/>
      <c r="U71" s="201"/>
      <c r="V71" s="201"/>
      <c r="W71" s="74"/>
      <c r="X71" s="74"/>
      <c r="Y71" s="74"/>
      <c r="Z71" s="74"/>
      <c r="AA71" s="74"/>
      <c r="AB71" s="74"/>
      <c r="AC71" s="74"/>
      <c r="AD71" s="74"/>
      <c r="AE71" s="74"/>
      <c r="AF71" s="74"/>
      <c r="AG71" s="74"/>
      <c r="AH71" s="74"/>
      <c r="AI71" s="74"/>
      <c r="AJ71" s="74"/>
      <c r="AK71" s="74"/>
    </row>
    <row r="72" spans="1:37" ht="12.75" customHeight="1">
      <c r="A72" s="201" t="s">
        <v>1123</v>
      </c>
      <c r="B72" s="201"/>
      <c r="C72" s="201"/>
      <c r="D72" s="201"/>
      <c r="E72" s="201"/>
      <c r="F72" s="201"/>
      <c r="G72" s="201"/>
      <c r="H72" s="201"/>
      <c r="I72" s="201"/>
      <c r="J72" s="201"/>
      <c r="K72" s="201"/>
      <c r="L72" s="201"/>
      <c r="M72" s="201"/>
      <c r="N72" s="201"/>
      <c r="O72" s="201"/>
      <c r="P72" s="201"/>
      <c r="Q72" s="201"/>
      <c r="R72" s="201"/>
      <c r="S72" s="201"/>
      <c r="T72" s="201"/>
      <c r="U72" s="201"/>
      <c r="V72" s="201"/>
      <c r="W72" s="74"/>
      <c r="X72" s="74"/>
      <c r="Y72" s="74"/>
      <c r="Z72" s="74"/>
      <c r="AA72" s="74"/>
      <c r="AB72" s="74"/>
      <c r="AC72" s="74"/>
      <c r="AD72" s="74"/>
      <c r="AE72" s="74"/>
      <c r="AF72" s="74"/>
      <c r="AG72" s="74"/>
      <c r="AH72" s="74"/>
      <c r="AI72" s="74"/>
      <c r="AJ72" s="74"/>
      <c r="AK72" s="74"/>
    </row>
    <row r="73" spans="1:37" ht="12.75" customHeight="1">
      <c r="A73" s="201" t="s">
        <v>3901</v>
      </c>
      <c r="B73" s="201"/>
      <c r="C73" s="201"/>
      <c r="D73" s="201"/>
      <c r="E73" s="201"/>
      <c r="F73" s="201"/>
      <c r="G73" s="201"/>
      <c r="H73" s="201"/>
      <c r="I73" s="201"/>
      <c r="J73" s="201"/>
      <c r="K73" s="201"/>
      <c r="L73" s="201"/>
      <c r="M73" s="201"/>
      <c r="N73" s="201"/>
      <c r="O73" s="201"/>
      <c r="P73" s="201"/>
      <c r="Q73" s="201"/>
      <c r="R73" s="201"/>
      <c r="S73" s="201"/>
      <c r="T73" s="201"/>
      <c r="U73" s="201"/>
      <c r="V73" s="201"/>
      <c r="W73" s="74"/>
      <c r="X73" s="74"/>
      <c r="Y73" s="74"/>
      <c r="Z73" s="74"/>
      <c r="AA73" s="74"/>
      <c r="AB73" s="74"/>
      <c r="AC73" s="74"/>
      <c r="AD73" s="74"/>
      <c r="AE73" s="74"/>
      <c r="AF73" s="74"/>
      <c r="AG73" s="74"/>
      <c r="AH73" s="74"/>
      <c r="AI73" s="74"/>
      <c r="AJ73" s="74"/>
      <c r="AK73" s="74"/>
    </row>
    <row r="74" spans="1:37" ht="12.75" customHeight="1">
      <c r="A74" s="202" t="s">
        <v>177</v>
      </c>
      <c r="B74" s="202"/>
      <c r="C74" s="202"/>
      <c r="D74" s="202"/>
      <c r="E74" s="202"/>
      <c r="F74" s="202"/>
      <c r="G74" s="202"/>
      <c r="H74" s="202"/>
      <c r="I74" s="202"/>
      <c r="J74" s="202"/>
      <c r="K74" s="202"/>
      <c r="L74" s="202"/>
      <c r="M74" s="202"/>
      <c r="N74" s="202"/>
      <c r="O74" s="202"/>
      <c r="P74" s="202"/>
      <c r="Q74" s="202"/>
      <c r="R74" s="202"/>
      <c r="S74" s="202"/>
      <c r="T74" s="202"/>
      <c r="U74" s="202"/>
      <c r="V74" s="202"/>
      <c r="W74" s="74"/>
      <c r="X74" s="74"/>
      <c r="Y74" s="74"/>
      <c r="Z74" s="74"/>
      <c r="AA74" s="74"/>
      <c r="AB74" s="74"/>
      <c r="AC74" s="74"/>
      <c r="AD74" s="74"/>
      <c r="AE74" s="74"/>
      <c r="AF74" s="74"/>
      <c r="AG74" s="74"/>
      <c r="AH74" s="74"/>
      <c r="AI74" s="74"/>
      <c r="AJ74" s="74"/>
      <c r="AK74" s="74"/>
    </row>
    <row r="75" spans="1:37" ht="12.75" customHeight="1">
      <c r="A75" s="73" t="s">
        <v>1124</v>
      </c>
      <c r="B75" s="73"/>
      <c r="C75" s="73"/>
      <c r="D75" s="73"/>
      <c r="E75" s="73"/>
      <c r="F75" s="73"/>
      <c r="G75" s="73"/>
      <c r="H75" s="73"/>
      <c r="I75" s="73"/>
      <c r="J75" s="73"/>
      <c r="K75" s="73"/>
      <c r="L75" s="73"/>
      <c r="M75" s="73"/>
      <c r="N75" s="73"/>
      <c r="O75" s="73"/>
      <c r="P75" s="73"/>
      <c r="Q75" s="73"/>
      <c r="R75" s="73"/>
      <c r="S75" s="73"/>
      <c r="T75" s="73"/>
      <c r="U75" s="73"/>
      <c r="V75" s="73"/>
      <c r="W75" s="74"/>
      <c r="X75" s="74"/>
      <c r="Y75" s="74"/>
      <c r="Z75" s="74"/>
      <c r="AA75" s="74"/>
      <c r="AB75" s="74"/>
      <c r="AC75" s="74"/>
      <c r="AD75" s="74"/>
      <c r="AE75" s="74"/>
      <c r="AF75" s="74"/>
      <c r="AG75" s="74"/>
      <c r="AH75" s="74"/>
      <c r="AI75" s="74"/>
      <c r="AJ75" s="74"/>
      <c r="AK75" s="74"/>
    </row>
    <row r="76" spans="1:37" ht="12.75" customHeight="1">
      <c r="A76" s="201" t="s">
        <v>3902</v>
      </c>
      <c r="B76" s="201"/>
      <c r="C76" s="201"/>
      <c r="D76" s="201"/>
      <c r="E76" s="201"/>
      <c r="F76" s="201"/>
      <c r="G76" s="201"/>
      <c r="H76" s="201"/>
      <c r="I76" s="201"/>
      <c r="J76" s="201"/>
      <c r="K76" s="201"/>
      <c r="L76" s="201"/>
      <c r="M76" s="201"/>
      <c r="N76" s="201"/>
      <c r="O76" s="201"/>
      <c r="P76" s="201"/>
      <c r="Q76" s="201"/>
      <c r="R76" s="201"/>
      <c r="S76" s="201"/>
      <c r="T76" s="201"/>
      <c r="U76" s="201"/>
      <c r="V76" s="201"/>
      <c r="W76" s="74"/>
      <c r="X76" s="74"/>
      <c r="Y76" s="74"/>
      <c r="Z76" s="74"/>
      <c r="AA76" s="74"/>
      <c r="AB76" s="74"/>
      <c r="AC76" s="74"/>
      <c r="AD76" s="74"/>
      <c r="AE76" s="74"/>
      <c r="AF76" s="74"/>
      <c r="AG76" s="74"/>
      <c r="AH76" s="74"/>
      <c r="AI76" s="74"/>
      <c r="AJ76" s="74"/>
      <c r="AK76" s="74"/>
    </row>
    <row r="77" spans="1:37" ht="12.75" customHeight="1">
      <c r="A77" s="202" t="s">
        <v>178</v>
      </c>
      <c r="B77" s="202"/>
      <c r="C77" s="202"/>
      <c r="D77" s="202"/>
      <c r="E77" s="202"/>
      <c r="F77" s="202"/>
      <c r="G77" s="202"/>
      <c r="H77" s="202"/>
      <c r="I77" s="202"/>
      <c r="J77" s="202"/>
      <c r="K77" s="202"/>
      <c r="L77" s="202"/>
      <c r="M77" s="202"/>
      <c r="N77" s="202"/>
      <c r="O77" s="202"/>
      <c r="P77" s="202"/>
      <c r="Q77" s="202"/>
      <c r="R77" s="202"/>
      <c r="S77" s="202"/>
      <c r="T77" s="202"/>
      <c r="U77" s="202"/>
      <c r="V77" s="202"/>
      <c r="W77" s="74"/>
      <c r="X77" s="74"/>
      <c r="Y77" s="74"/>
      <c r="Z77" s="74"/>
      <c r="AA77" s="74"/>
      <c r="AB77" s="74"/>
      <c r="AC77" s="74"/>
      <c r="AD77" s="74"/>
      <c r="AE77" s="74"/>
      <c r="AF77" s="74"/>
      <c r="AG77" s="74"/>
      <c r="AH77" s="74"/>
      <c r="AI77" s="74"/>
      <c r="AJ77" s="74"/>
      <c r="AK77" s="74"/>
    </row>
    <row r="78" spans="1:37" ht="12.75" customHeight="1">
      <c r="A78" s="201" t="s">
        <v>1125</v>
      </c>
      <c r="B78" s="201"/>
      <c r="C78" s="201"/>
      <c r="D78" s="201"/>
      <c r="E78" s="201"/>
      <c r="F78" s="201"/>
      <c r="G78" s="201"/>
      <c r="H78" s="201"/>
      <c r="I78" s="201"/>
      <c r="J78" s="201"/>
      <c r="K78" s="201"/>
      <c r="L78" s="201"/>
      <c r="M78" s="201"/>
      <c r="N78" s="201"/>
      <c r="O78" s="201"/>
      <c r="P78" s="201"/>
      <c r="Q78" s="201"/>
      <c r="R78" s="201"/>
      <c r="S78" s="201"/>
      <c r="T78" s="201"/>
      <c r="U78" s="201"/>
      <c r="V78" s="201"/>
      <c r="W78" s="74"/>
      <c r="X78" s="74"/>
      <c r="Y78" s="74"/>
      <c r="Z78" s="74"/>
      <c r="AA78" s="74"/>
      <c r="AB78" s="74"/>
      <c r="AC78" s="74"/>
      <c r="AD78" s="74"/>
      <c r="AE78" s="74"/>
      <c r="AF78" s="74"/>
      <c r="AG78" s="74"/>
      <c r="AH78" s="74"/>
      <c r="AI78" s="74"/>
      <c r="AJ78" s="74"/>
      <c r="AK78" s="74"/>
    </row>
    <row r="79" spans="1:37" ht="12.75" customHeight="1">
      <c r="A79" s="201" t="s">
        <v>1126</v>
      </c>
      <c r="B79" s="201"/>
      <c r="C79" s="201"/>
      <c r="D79" s="201"/>
      <c r="E79" s="201"/>
      <c r="F79" s="201"/>
      <c r="G79" s="201"/>
      <c r="H79" s="201"/>
      <c r="I79" s="201"/>
      <c r="J79" s="201"/>
      <c r="K79" s="201"/>
      <c r="L79" s="201"/>
      <c r="M79" s="201"/>
      <c r="N79" s="201"/>
      <c r="O79" s="201"/>
      <c r="P79" s="201"/>
      <c r="Q79" s="201"/>
      <c r="R79" s="201"/>
      <c r="S79" s="201"/>
      <c r="T79" s="201"/>
      <c r="U79" s="201"/>
      <c r="V79" s="201"/>
      <c r="W79" s="74"/>
      <c r="X79" s="74"/>
      <c r="Y79" s="74"/>
      <c r="Z79" s="74"/>
      <c r="AA79" s="74"/>
      <c r="AB79" s="74"/>
      <c r="AC79" s="74"/>
      <c r="AD79" s="74"/>
      <c r="AE79" s="74"/>
      <c r="AF79" s="74"/>
      <c r="AG79" s="74"/>
      <c r="AH79" s="74"/>
      <c r="AI79" s="74"/>
      <c r="AJ79" s="74"/>
      <c r="AK79" s="74"/>
    </row>
    <row r="80" spans="1:37" ht="12.75" customHeight="1">
      <c r="A80" s="201" t="s">
        <v>3903</v>
      </c>
      <c r="B80" s="201"/>
      <c r="C80" s="201"/>
      <c r="D80" s="201"/>
      <c r="E80" s="201"/>
      <c r="F80" s="201"/>
      <c r="G80" s="201"/>
      <c r="H80" s="201"/>
      <c r="I80" s="201"/>
      <c r="J80" s="201"/>
      <c r="K80" s="201"/>
      <c r="L80" s="201"/>
      <c r="M80" s="201"/>
      <c r="N80" s="201"/>
      <c r="O80" s="201"/>
      <c r="P80" s="201"/>
      <c r="Q80" s="201"/>
      <c r="R80" s="201"/>
      <c r="S80" s="201"/>
      <c r="T80" s="201"/>
      <c r="U80" s="201"/>
      <c r="V80" s="201"/>
      <c r="W80" s="74"/>
      <c r="X80" s="74"/>
      <c r="Y80" s="74"/>
      <c r="Z80" s="74"/>
      <c r="AA80" s="74"/>
      <c r="AB80" s="74"/>
      <c r="AC80" s="74"/>
      <c r="AD80" s="74"/>
      <c r="AE80" s="74"/>
      <c r="AF80" s="74"/>
      <c r="AG80" s="74"/>
      <c r="AH80" s="74"/>
      <c r="AI80" s="74"/>
      <c r="AJ80" s="74"/>
      <c r="AK80" s="74"/>
    </row>
    <row r="81" spans="1:37" ht="12.75" customHeight="1">
      <c r="A81" s="202" t="s">
        <v>1127</v>
      </c>
      <c r="B81" s="202"/>
      <c r="C81" s="202"/>
      <c r="D81" s="202"/>
      <c r="E81" s="202"/>
      <c r="F81" s="202"/>
      <c r="G81" s="202"/>
      <c r="H81" s="202"/>
      <c r="I81" s="202"/>
      <c r="J81" s="202"/>
      <c r="K81" s="202"/>
      <c r="L81" s="202"/>
      <c r="M81" s="202"/>
      <c r="N81" s="202"/>
      <c r="O81" s="202"/>
      <c r="P81" s="202"/>
      <c r="Q81" s="202"/>
      <c r="R81" s="202"/>
      <c r="S81" s="202"/>
      <c r="T81" s="202"/>
      <c r="U81" s="202"/>
      <c r="V81" s="202"/>
      <c r="W81" s="74"/>
      <c r="X81" s="74"/>
      <c r="Y81" s="74"/>
      <c r="Z81" s="74"/>
      <c r="AA81" s="74"/>
      <c r="AB81" s="74"/>
      <c r="AC81" s="74"/>
      <c r="AD81" s="74"/>
      <c r="AE81" s="74"/>
      <c r="AF81" s="74"/>
      <c r="AG81" s="74"/>
      <c r="AH81" s="74"/>
      <c r="AI81" s="74"/>
      <c r="AJ81" s="74"/>
      <c r="AK81" s="74"/>
    </row>
    <row r="82" spans="1:37" ht="12.75" customHeight="1">
      <c r="A82" s="201" t="s">
        <v>1128</v>
      </c>
      <c r="B82" s="201"/>
      <c r="C82" s="201"/>
      <c r="D82" s="201"/>
      <c r="E82" s="201"/>
      <c r="F82" s="201"/>
      <c r="G82" s="201"/>
      <c r="H82" s="201"/>
      <c r="I82" s="201"/>
      <c r="J82" s="201"/>
      <c r="K82" s="201"/>
      <c r="L82" s="201"/>
      <c r="M82" s="201"/>
      <c r="N82" s="201"/>
      <c r="O82" s="201"/>
      <c r="P82" s="201"/>
      <c r="Q82" s="201"/>
      <c r="R82" s="201"/>
      <c r="S82" s="201"/>
      <c r="T82" s="201"/>
      <c r="U82" s="201"/>
      <c r="V82" s="201"/>
      <c r="W82" s="74"/>
      <c r="X82" s="74"/>
      <c r="Y82" s="74"/>
      <c r="Z82" s="74"/>
      <c r="AA82" s="74"/>
      <c r="AB82" s="74"/>
      <c r="AC82" s="74"/>
      <c r="AD82" s="74"/>
      <c r="AE82" s="74"/>
      <c r="AF82" s="74"/>
      <c r="AG82" s="74"/>
      <c r="AH82" s="74"/>
      <c r="AI82" s="74"/>
      <c r="AJ82" s="74"/>
      <c r="AK82" s="74"/>
    </row>
    <row r="83" spans="1:37" ht="12.75" customHeight="1">
      <c r="A83" s="202" t="s">
        <v>1129</v>
      </c>
      <c r="B83" s="202"/>
      <c r="C83" s="202"/>
      <c r="D83" s="202"/>
      <c r="E83" s="202"/>
      <c r="F83" s="202"/>
      <c r="G83" s="202"/>
      <c r="H83" s="202"/>
      <c r="I83" s="202"/>
      <c r="J83" s="202"/>
      <c r="K83" s="202"/>
      <c r="L83" s="202"/>
      <c r="M83" s="202"/>
      <c r="N83" s="202"/>
      <c r="O83" s="202"/>
      <c r="P83" s="202"/>
      <c r="Q83" s="202"/>
      <c r="R83" s="202"/>
      <c r="S83" s="202"/>
      <c r="T83" s="202"/>
      <c r="U83" s="202"/>
      <c r="V83" s="202"/>
      <c r="W83" s="74"/>
      <c r="X83" s="74"/>
      <c r="Y83" s="74"/>
      <c r="Z83" s="74"/>
      <c r="AA83" s="74"/>
      <c r="AB83" s="74"/>
      <c r="AC83" s="74"/>
      <c r="AD83" s="74"/>
      <c r="AE83" s="74"/>
      <c r="AF83" s="74"/>
      <c r="AG83" s="74"/>
      <c r="AH83" s="74"/>
      <c r="AI83" s="74"/>
      <c r="AJ83" s="74"/>
      <c r="AK83" s="74"/>
    </row>
    <row r="84" spans="1:37" ht="12.75" customHeight="1">
      <c r="A84" s="201" t="s">
        <v>1130</v>
      </c>
      <c r="B84" s="201"/>
      <c r="C84" s="201"/>
      <c r="D84" s="201"/>
      <c r="E84" s="201"/>
      <c r="F84" s="201"/>
      <c r="G84" s="201"/>
      <c r="H84" s="201"/>
      <c r="I84" s="201"/>
      <c r="J84" s="201"/>
      <c r="K84" s="201"/>
      <c r="L84" s="201"/>
      <c r="M84" s="201"/>
      <c r="N84" s="201"/>
      <c r="O84" s="201"/>
      <c r="P84" s="201"/>
      <c r="Q84" s="201"/>
      <c r="R84" s="201"/>
      <c r="S84" s="201"/>
      <c r="T84" s="201"/>
      <c r="U84" s="201"/>
      <c r="V84" s="201"/>
      <c r="W84" s="74"/>
      <c r="X84" s="74"/>
      <c r="Y84" s="74"/>
      <c r="Z84" s="74"/>
      <c r="AA84" s="74"/>
      <c r="AB84" s="74"/>
      <c r="AC84" s="74"/>
      <c r="AD84" s="74"/>
      <c r="AE84" s="74"/>
      <c r="AF84" s="74"/>
      <c r="AG84" s="74"/>
      <c r="AH84" s="74"/>
      <c r="AI84" s="74"/>
      <c r="AJ84" s="74"/>
      <c r="AK84" s="74"/>
    </row>
    <row r="85" spans="1:37" ht="12.75" customHeight="1">
      <c r="A85" s="201" t="s">
        <v>1131</v>
      </c>
      <c r="B85" s="201"/>
      <c r="C85" s="201"/>
      <c r="D85" s="201"/>
      <c r="E85" s="201"/>
      <c r="F85" s="201"/>
      <c r="G85" s="201"/>
      <c r="H85" s="201"/>
      <c r="I85" s="201"/>
      <c r="J85" s="201"/>
      <c r="K85" s="201"/>
      <c r="L85" s="201"/>
      <c r="M85" s="201"/>
      <c r="N85" s="201"/>
      <c r="O85" s="201"/>
      <c r="P85" s="201"/>
      <c r="Q85" s="201"/>
      <c r="R85" s="201"/>
      <c r="S85" s="201"/>
      <c r="T85" s="201"/>
      <c r="U85" s="201"/>
      <c r="V85" s="201"/>
      <c r="W85" s="74"/>
      <c r="X85" s="74"/>
      <c r="Y85" s="74"/>
      <c r="Z85" s="74"/>
      <c r="AA85" s="74"/>
      <c r="AB85" s="74"/>
      <c r="AC85" s="74"/>
      <c r="AD85" s="74"/>
      <c r="AE85" s="74"/>
      <c r="AF85" s="74"/>
      <c r="AG85" s="74"/>
      <c r="AH85" s="74"/>
      <c r="AI85" s="74"/>
      <c r="AJ85" s="74"/>
      <c r="AK85" s="74"/>
    </row>
    <row r="86" spans="1:37" ht="12.75" customHeight="1">
      <c r="A86" s="201" t="s">
        <v>3904</v>
      </c>
      <c r="B86" s="201"/>
      <c r="C86" s="201"/>
      <c r="D86" s="201"/>
      <c r="E86" s="201"/>
      <c r="F86" s="201"/>
      <c r="G86" s="201"/>
      <c r="H86" s="201"/>
      <c r="I86" s="201"/>
      <c r="J86" s="201"/>
      <c r="K86" s="201"/>
      <c r="L86" s="201"/>
      <c r="M86" s="201"/>
      <c r="N86" s="201"/>
      <c r="O86" s="201"/>
      <c r="P86" s="201"/>
      <c r="Q86" s="201"/>
      <c r="R86" s="201"/>
      <c r="S86" s="201"/>
      <c r="T86" s="201"/>
      <c r="U86" s="201"/>
      <c r="V86" s="201"/>
      <c r="W86" s="74"/>
      <c r="X86" s="74"/>
      <c r="Y86" s="74"/>
      <c r="Z86" s="74"/>
      <c r="AA86" s="74"/>
      <c r="AB86" s="74"/>
      <c r="AC86" s="74"/>
      <c r="AD86" s="74"/>
      <c r="AE86" s="74"/>
      <c r="AF86" s="74"/>
      <c r="AG86" s="74"/>
      <c r="AH86" s="74"/>
      <c r="AI86" s="74"/>
      <c r="AJ86" s="74"/>
      <c r="AK86" s="74"/>
    </row>
    <row r="87" spans="1:37" ht="12.75" customHeight="1">
      <c r="A87" s="202" t="s">
        <v>1132</v>
      </c>
      <c r="B87" s="202"/>
      <c r="C87" s="202"/>
      <c r="D87" s="202"/>
      <c r="E87" s="202"/>
      <c r="F87" s="202"/>
      <c r="G87" s="202"/>
      <c r="H87" s="202"/>
      <c r="I87" s="202"/>
      <c r="J87" s="202"/>
      <c r="K87" s="202"/>
      <c r="L87" s="202"/>
      <c r="M87" s="202"/>
      <c r="N87" s="202"/>
      <c r="O87" s="202"/>
      <c r="P87" s="202"/>
      <c r="Q87" s="202"/>
      <c r="R87" s="202"/>
      <c r="S87" s="202"/>
      <c r="T87" s="202"/>
      <c r="U87" s="202"/>
      <c r="V87" s="202"/>
      <c r="W87" s="74"/>
      <c r="X87" s="74"/>
      <c r="Y87" s="74"/>
      <c r="Z87" s="74"/>
      <c r="AA87" s="74"/>
      <c r="AB87" s="74"/>
      <c r="AC87" s="74"/>
      <c r="AD87" s="74"/>
      <c r="AE87" s="74"/>
      <c r="AF87" s="74"/>
      <c r="AG87" s="74"/>
      <c r="AH87" s="74"/>
      <c r="AI87" s="74"/>
      <c r="AJ87" s="74"/>
      <c r="AK87" s="74"/>
    </row>
    <row r="88" spans="1:37" ht="12.75" customHeight="1">
      <c r="A88" s="200" t="s">
        <v>1133</v>
      </c>
      <c r="B88" s="200"/>
      <c r="C88" s="200"/>
      <c r="D88" s="200"/>
      <c r="E88" s="200"/>
      <c r="F88" s="200"/>
      <c r="G88" s="200"/>
      <c r="H88" s="200"/>
      <c r="I88" s="200"/>
      <c r="J88" s="200"/>
      <c r="K88" s="200"/>
      <c r="L88" s="200"/>
      <c r="M88" s="200"/>
      <c r="N88" s="200"/>
      <c r="O88" s="200"/>
      <c r="P88" s="200"/>
      <c r="Q88" s="200"/>
      <c r="R88" s="200"/>
      <c r="S88" s="200"/>
      <c r="T88" s="200"/>
      <c r="U88" s="200"/>
      <c r="V88" s="200"/>
      <c r="W88" s="74"/>
      <c r="X88" s="74"/>
      <c r="Y88" s="74"/>
      <c r="Z88" s="74"/>
      <c r="AA88" s="74"/>
      <c r="AB88" s="74"/>
      <c r="AC88" s="74"/>
      <c r="AD88" s="74"/>
      <c r="AE88" s="74"/>
      <c r="AF88" s="74"/>
      <c r="AG88" s="74"/>
      <c r="AH88" s="74"/>
      <c r="AI88" s="74"/>
      <c r="AJ88" s="74"/>
      <c r="AK88" s="74"/>
    </row>
    <row r="89" spans="1:37" ht="12.75" customHeight="1">
      <c r="A89" s="73" t="s">
        <v>1134</v>
      </c>
      <c r="B89" s="73"/>
      <c r="C89" s="73"/>
      <c r="D89" s="73"/>
      <c r="E89" s="73"/>
      <c r="F89" s="73"/>
      <c r="G89" s="73"/>
      <c r="H89" s="73"/>
      <c r="I89" s="73"/>
      <c r="J89" s="73"/>
      <c r="K89" s="73"/>
      <c r="L89" s="73"/>
      <c r="M89" s="73"/>
      <c r="N89" s="73"/>
      <c r="O89" s="73"/>
      <c r="P89" s="73"/>
      <c r="Q89" s="73"/>
      <c r="R89" s="73"/>
      <c r="S89" s="73"/>
      <c r="T89" s="73"/>
      <c r="U89" s="73"/>
      <c r="V89" s="73"/>
      <c r="W89" s="74"/>
      <c r="X89" s="74"/>
      <c r="Y89" s="74"/>
      <c r="Z89" s="74"/>
      <c r="AA89" s="74"/>
      <c r="AB89" s="74"/>
      <c r="AC89" s="74"/>
      <c r="AD89" s="74"/>
      <c r="AE89" s="74"/>
      <c r="AF89" s="74"/>
      <c r="AG89" s="74"/>
      <c r="AH89" s="74"/>
      <c r="AI89" s="74"/>
      <c r="AJ89" s="74"/>
      <c r="AK89" s="74"/>
    </row>
    <row r="90" spans="1:37" ht="12.75" customHeight="1">
      <c r="A90" s="73" t="s">
        <v>3905</v>
      </c>
      <c r="B90" s="73"/>
      <c r="C90" s="73"/>
      <c r="D90" s="73"/>
      <c r="E90" s="73"/>
      <c r="F90" s="73"/>
      <c r="G90" s="73"/>
      <c r="H90" s="73"/>
      <c r="I90" s="73"/>
      <c r="J90" s="73"/>
      <c r="K90" s="73"/>
      <c r="L90" s="73"/>
      <c r="M90" s="73"/>
      <c r="N90" s="73"/>
      <c r="O90" s="73"/>
      <c r="P90" s="73"/>
      <c r="Q90" s="73"/>
      <c r="R90" s="73"/>
      <c r="S90" s="73"/>
      <c r="T90" s="73"/>
      <c r="U90" s="73"/>
      <c r="V90" s="73"/>
      <c r="W90" s="74"/>
      <c r="X90" s="74"/>
      <c r="Y90" s="74"/>
      <c r="Z90" s="74"/>
      <c r="AA90" s="74"/>
      <c r="AB90" s="74"/>
      <c r="AC90" s="74"/>
      <c r="AD90" s="74"/>
      <c r="AE90" s="74"/>
      <c r="AF90" s="74"/>
      <c r="AG90" s="74"/>
      <c r="AH90" s="74"/>
      <c r="AI90" s="74"/>
      <c r="AJ90" s="74"/>
      <c r="AK90" s="74"/>
    </row>
    <row r="91" spans="1:37" ht="12.75" customHeight="1">
      <c r="A91" s="200" t="s">
        <v>1135</v>
      </c>
      <c r="B91" s="200"/>
      <c r="C91" s="200"/>
      <c r="D91" s="200"/>
      <c r="E91" s="200"/>
      <c r="F91" s="200"/>
      <c r="G91" s="200"/>
      <c r="H91" s="200"/>
      <c r="I91" s="200"/>
      <c r="J91" s="200"/>
      <c r="K91" s="200"/>
      <c r="L91" s="200"/>
      <c r="M91" s="200"/>
      <c r="N91" s="200"/>
      <c r="O91" s="200"/>
      <c r="P91" s="200"/>
      <c r="Q91" s="200"/>
      <c r="R91" s="200"/>
      <c r="S91" s="200"/>
      <c r="T91" s="200"/>
      <c r="U91" s="200"/>
      <c r="V91" s="200"/>
      <c r="W91" s="74"/>
      <c r="X91" s="74"/>
      <c r="Y91" s="74"/>
      <c r="Z91" s="74"/>
      <c r="AA91" s="74"/>
      <c r="AB91" s="74"/>
      <c r="AC91" s="74"/>
      <c r="AD91" s="74"/>
      <c r="AE91" s="74"/>
      <c r="AF91" s="74"/>
      <c r="AG91" s="74"/>
      <c r="AH91" s="74"/>
      <c r="AI91" s="74"/>
      <c r="AJ91" s="74"/>
      <c r="AK91" s="74"/>
    </row>
    <row r="92" spans="1:37" ht="12.75" customHeight="1">
      <c r="A92" s="201" t="s">
        <v>1136</v>
      </c>
      <c r="B92" s="201"/>
      <c r="C92" s="201"/>
      <c r="D92" s="201"/>
      <c r="E92" s="201"/>
      <c r="F92" s="201"/>
      <c r="G92" s="201"/>
      <c r="H92" s="201"/>
      <c r="I92" s="201"/>
      <c r="J92" s="201"/>
      <c r="K92" s="201"/>
      <c r="L92" s="201"/>
      <c r="M92" s="201"/>
      <c r="N92" s="201"/>
      <c r="O92" s="201"/>
      <c r="P92" s="201"/>
      <c r="Q92" s="201"/>
      <c r="R92" s="201"/>
      <c r="S92" s="201"/>
      <c r="T92" s="201"/>
      <c r="U92" s="201"/>
      <c r="V92" s="201"/>
      <c r="W92" s="74"/>
      <c r="X92" s="74"/>
      <c r="Y92" s="74"/>
      <c r="Z92" s="74"/>
      <c r="AA92" s="74"/>
      <c r="AB92" s="74"/>
      <c r="AC92" s="74"/>
      <c r="AD92" s="74"/>
      <c r="AE92" s="74"/>
      <c r="AF92" s="74"/>
      <c r="AG92" s="74"/>
      <c r="AH92" s="74"/>
      <c r="AI92" s="74"/>
      <c r="AJ92" s="74"/>
      <c r="AK92" s="74"/>
    </row>
    <row r="93" spans="1:37" ht="12.75" customHeight="1">
      <c r="A93" s="73" t="s">
        <v>1137</v>
      </c>
      <c r="B93" s="73"/>
      <c r="C93" s="73"/>
      <c r="D93" s="73"/>
      <c r="E93" s="73"/>
      <c r="F93" s="73"/>
      <c r="G93" s="73"/>
      <c r="H93" s="73"/>
      <c r="I93" s="73"/>
      <c r="J93" s="73"/>
      <c r="K93" s="73"/>
      <c r="L93" s="73"/>
      <c r="M93" s="73"/>
      <c r="N93" s="73"/>
      <c r="O93" s="73"/>
      <c r="P93" s="73"/>
      <c r="Q93" s="73"/>
      <c r="R93" s="73"/>
      <c r="S93" s="73"/>
      <c r="T93" s="73"/>
      <c r="U93" s="73"/>
      <c r="V93" s="73"/>
      <c r="W93" s="74"/>
      <c r="X93" s="74"/>
      <c r="Y93" s="74"/>
      <c r="Z93" s="74"/>
      <c r="AA93" s="74"/>
      <c r="AB93" s="74"/>
      <c r="AC93" s="74"/>
      <c r="AD93" s="74"/>
      <c r="AE93" s="74"/>
      <c r="AF93" s="74"/>
      <c r="AG93" s="74"/>
      <c r="AH93" s="74"/>
      <c r="AI93" s="74"/>
      <c r="AJ93" s="74"/>
      <c r="AK93" s="74"/>
    </row>
    <row r="94" spans="1:37" ht="12.75" customHeight="1">
      <c r="A94" s="73" t="s">
        <v>3906</v>
      </c>
      <c r="B94" s="73"/>
      <c r="C94" s="73"/>
      <c r="D94" s="73"/>
      <c r="E94" s="73"/>
      <c r="F94" s="73"/>
      <c r="G94" s="73"/>
      <c r="H94" s="73"/>
      <c r="I94" s="73"/>
      <c r="J94" s="73"/>
      <c r="K94" s="73"/>
      <c r="L94" s="73"/>
      <c r="M94" s="73"/>
      <c r="N94" s="73"/>
      <c r="O94" s="73"/>
      <c r="P94" s="73"/>
      <c r="Q94" s="73"/>
      <c r="R94" s="73"/>
      <c r="S94" s="73"/>
      <c r="T94" s="73"/>
      <c r="U94" s="73"/>
      <c r="V94" s="73"/>
      <c r="W94" s="74"/>
      <c r="X94" s="74"/>
      <c r="Y94" s="74"/>
      <c r="Z94" s="74"/>
      <c r="AA94" s="74"/>
      <c r="AB94" s="74"/>
      <c r="AC94" s="74"/>
      <c r="AD94" s="74"/>
      <c r="AE94" s="74"/>
      <c r="AF94" s="74"/>
      <c r="AG94" s="74"/>
      <c r="AH94" s="74"/>
      <c r="AI94" s="74"/>
      <c r="AJ94" s="74"/>
      <c r="AK94" s="74"/>
    </row>
    <row r="95" spans="1:37" ht="12.75" customHeight="1">
      <c r="A95" s="200" t="s">
        <v>1138</v>
      </c>
      <c r="B95" s="200"/>
      <c r="C95" s="200"/>
      <c r="D95" s="200"/>
      <c r="E95" s="200"/>
      <c r="F95" s="200"/>
      <c r="G95" s="200"/>
      <c r="H95" s="200"/>
      <c r="I95" s="200"/>
      <c r="J95" s="200"/>
      <c r="K95" s="200"/>
      <c r="L95" s="200"/>
      <c r="M95" s="200"/>
      <c r="N95" s="200"/>
      <c r="O95" s="200"/>
      <c r="P95" s="200"/>
      <c r="Q95" s="200"/>
      <c r="R95" s="200"/>
      <c r="S95" s="200"/>
      <c r="T95" s="200"/>
      <c r="U95" s="200"/>
      <c r="V95" s="200"/>
      <c r="W95" s="74"/>
      <c r="X95" s="74"/>
      <c r="Y95" s="74"/>
      <c r="Z95" s="74"/>
      <c r="AA95" s="74"/>
      <c r="AB95" s="74"/>
      <c r="AC95" s="74"/>
      <c r="AD95" s="74"/>
      <c r="AE95" s="74"/>
      <c r="AF95" s="74"/>
      <c r="AG95" s="74"/>
      <c r="AH95" s="74"/>
      <c r="AI95" s="74"/>
      <c r="AJ95" s="74"/>
      <c r="AK95" s="74"/>
    </row>
    <row r="96" spans="1:37" ht="12.75" customHeight="1">
      <c r="A96" s="201" t="s">
        <v>3907</v>
      </c>
      <c r="B96" s="201"/>
      <c r="C96" s="201"/>
      <c r="D96" s="201"/>
      <c r="E96" s="201"/>
      <c r="F96" s="201"/>
      <c r="G96" s="201"/>
      <c r="H96" s="201"/>
      <c r="I96" s="201"/>
      <c r="J96" s="201"/>
      <c r="K96" s="201"/>
      <c r="L96" s="201"/>
      <c r="M96" s="201"/>
      <c r="N96" s="201"/>
      <c r="O96" s="201"/>
      <c r="P96" s="201"/>
      <c r="Q96" s="201"/>
      <c r="R96" s="201"/>
      <c r="S96" s="201"/>
      <c r="T96" s="201"/>
      <c r="U96" s="201"/>
      <c r="V96" s="201"/>
      <c r="W96" s="74"/>
      <c r="X96" s="74"/>
      <c r="Y96" s="74"/>
      <c r="Z96" s="74"/>
      <c r="AA96" s="76"/>
      <c r="AB96" s="76"/>
      <c r="AC96" s="76"/>
      <c r="AD96" s="76"/>
      <c r="AE96" s="76"/>
      <c r="AF96" s="76"/>
      <c r="AG96" s="76"/>
      <c r="AH96" s="76"/>
      <c r="AI96" s="76"/>
      <c r="AJ96" s="76"/>
      <c r="AK96" s="76"/>
    </row>
    <row r="97" spans="1:37">
      <c r="A97" s="73"/>
      <c r="B97" s="203"/>
      <c r="C97" s="203"/>
      <c r="D97" s="203"/>
      <c r="E97" s="204"/>
      <c r="F97" s="204"/>
      <c r="G97" s="204"/>
      <c r="H97" s="204"/>
      <c r="I97" s="204"/>
      <c r="J97" s="204"/>
      <c r="K97" s="204"/>
      <c r="L97" s="204"/>
      <c r="M97" s="204"/>
      <c r="N97" s="204"/>
      <c r="O97" s="204"/>
      <c r="P97" s="76"/>
      <c r="Q97" s="76"/>
      <c r="R97" s="76"/>
      <c r="S97" s="76"/>
      <c r="T97" s="205"/>
      <c r="U97" s="76"/>
      <c r="V97" s="76"/>
      <c r="W97" s="76"/>
      <c r="X97" s="76"/>
      <c r="Y97" s="76"/>
      <c r="Z97" s="76"/>
      <c r="AA97" s="11"/>
      <c r="AB97" s="11"/>
      <c r="AC97" s="11"/>
      <c r="AD97" s="11"/>
      <c r="AE97" s="11"/>
      <c r="AF97" s="11"/>
      <c r="AG97" s="11"/>
      <c r="AH97" s="11"/>
      <c r="AI97" s="11"/>
      <c r="AJ97" s="11"/>
      <c r="AK97" s="11"/>
    </row>
    <row r="98" spans="1:37">
      <c r="A98" s="11"/>
      <c r="B98" s="11"/>
      <c r="C98" s="11"/>
      <c r="D98" s="11"/>
      <c r="E98" s="11"/>
      <c r="F98" s="11"/>
      <c r="G98" s="11"/>
      <c r="H98" s="11"/>
      <c r="I98" s="11"/>
      <c r="J98" s="11"/>
      <c r="K98" s="11"/>
      <c r="L98" s="11"/>
      <c r="M98" s="11"/>
      <c r="N98" s="11"/>
      <c r="O98" s="11"/>
      <c r="P98" s="11"/>
      <c r="Q98" s="11"/>
      <c r="R98" s="11"/>
      <c r="S98" s="11"/>
      <c r="T98" s="206"/>
      <c r="U98" s="11"/>
      <c r="V98" s="11"/>
      <c r="W98" s="11"/>
      <c r="X98" s="11"/>
      <c r="Y98" s="11"/>
      <c r="Z98" s="11"/>
    </row>
  </sheetData>
  <conditionalFormatting sqref="B2:AO32">
    <cfRule type="containsText" dxfId="6" priority="1" operator="containsText" text="false">
      <formula>NOT(ISERROR(SEARCH("false",B2)))</formula>
    </cfRule>
  </conditionalFormatting>
  <conditionalFormatting sqref="AP2">
    <cfRule type="containsText" dxfId="5" priority="2" operator="containsText" text="false">
      <formula>NOT(ISERROR(SEARCH("false",AP2)))</formula>
    </cfRule>
  </conditionalFormatting>
  <conditionalFormatting sqref="AP4:AP32">
    <cfRule type="containsText" dxfId="4" priority="3" operator="containsText" text="false">
      <formula>NOT(ISERROR(SEARCH("false",AP4)))</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B4D2E7-CE4C-493C-8DFF-314293158B84}">
  <dimension ref="A1:AH119"/>
  <sheetViews>
    <sheetView workbookViewId="0"/>
    <sheetView workbookViewId="1"/>
  </sheetViews>
  <sheetFormatPr defaultRowHeight="14.75"/>
  <cols>
    <col min="1" max="1" width="30.7265625" customWidth="1"/>
    <col min="2" max="2" width="38.40625" customWidth="1"/>
    <col min="3" max="5" width="0" hidden="1" customWidth="1"/>
  </cols>
  <sheetData>
    <row r="1" spans="1:34">
      <c r="A1" t="s">
        <v>3880</v>
      </c>
    </row>
    <row r="2" spans="1:34">
      <c r="A2" t="s">
        <v>3879</v>
      </c>
    </row>
    <row r="3" spans="1:34">
      <c r="A3" t="s">
        <v>3878</v>
      </c>
    </row>
    <row r="4" spans="1:34">
      <c r="A4" t="s">
        <v>2352</v>
      </c>
    </row>
    <row r="5" spans="1:34">
      <c r="B5" t="s">
        <v>2351</v>
      </c>
      <c r="C5" t="s">
        <v>2350</v>
      </c>
      <c r="D5" t="s">
        <v>2349</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2348</v>
      </c>
    </row>
    <row r="6" spans="1:34">
      <c r="A6" t="s">
        <v>41</v>
      </c>
    </row>
    <row r="7" spans="1:34">
      <c r="A7" t="s">
        <v>42</v>
      </c>
    </row>
    <row r="8" spans="1:34">
      <c r="A8" t="s">
        <v>3877</v>
      </c>
    </row>
    <row r="9" spans="1:34">
      <c r="A9" t="s">
        <v>3876</v>
      </c>
      <c r="B9" t="s">
        <v>3875</v>
      </c>
      <c r="C9" t="s">
        <v>3874</v>
      </c>
      <c r="D9" t="s">
        <v>3873</v>
      </c>
      <c r="E9" t="s">
        <v>3866</v>
      </c>
      <c r="F9">
        <v>3013.7297359999998</v>
      </c>
      <c r="G9">
        <v>3058.3715820000002</v>
      </c>
      <c r="H9">
        <v>3083.451172</v>
      </c>
      <c r="I9">
        <v>3100.0170899999998</v>
      </c>
      <c r="J9">
        <v>3112.2297359999998</v>
      </c>
      <c r="K9">
        <v>3125.576172</v>
      </c>
      <c r="L9">
        <v>3140.1669919999999</v>
      </c>
      <c r="M9">
        <v>3154.0073240000002</v>
      </c>
      <c r="N9">
        <v>3161.4350589999999</v>
      </c>
      <c r="O9">
        <v>3167.1464839999999</v>
      </c>
      <c r="P9">
        <v>3171.9169919999999</v>
      </c>
      <c r="Q9">
        <v>3174.3566890000002</v>
      </c>
      <c r="R9">
        <v>3179.41626</v>
      </c>
      <c r="S9">
        <v>3189.5078119999998</v>
      </c>
      <c r="T9">
        <v>3202.960693</v>
      </c>
      <c r="U9">
        <v>3216.1186520000001</v>
      </c>
      <c r="V9">
        <v>3230.5129390000002</v>
      </c>
      <c r="W9">
        <v>3244.2316890000002</v>
      </c>
      <c r="X9">
        <v>3257.2741700000001</v>
      </c>
      <c r="Y9">
        <v>3268.8366700000001</v>
      </c>
      <c r="Z9">
        <v>3279.341797</v>
      </c>
      <c r="AA9">
        <v>3288.4411620000001</v>
      </c>
      <c r="AB9">
        <v>3297.5173340000001</v>
      </c>
      <c r="AC9">
        <v>3308.5703119999998</v>
      </c>
      <c r="AD9">
        <v>3321.3464359999998</v>
      </c>
      <c r="AE9">
        <v>3335.046875</v>
      </c>
      <c r="AF9">
        <v>3349.8640140000002</v>
      </c>
      <c r="AG9" s="144">
        <v>4.0000000000000001E-3</v>
      </c>
      <c r="AH9" s="144"/>
    </row>
    <row r="10" spans="1:34" s="255" customFormat="1">
      <c r="A10" s="255" t="s">
        <v>3776</v>
      </c>
      <c r="B10" s="255" t="s">
        <v>3872</v>
      </c>
      <c r="C10" s="255" t="s">
        <v>3871</v>
      </c>
      <c r="D10" s="255" t="s">
        <v>3866</v>
      </c>
      <c r="F10" s="255">
        <v>90.234665000000007</v>
      </c>
      <c r="G10" s="255">
        <v>88.746048000000002</v>
      </c>
      <c r="H10" s="255">
        <v>87.524918</v>
      </c>
      <c r="I10" s="255">
        <v>86.879401999999999</v>
      </c>
      <c r="J10" s="255">
        <v>86.146125999999995</v>
      </c>
      <c r="K10" s="255">
        <v>85.551413999999994</v>
      </c>
      <c r="L10" s="255">
        <v>85.088477999999995</v>
      </c>
      <c r="M10" s="255">
        <v>84.555840000000003</v>
      </c>
      <c r="N10" s="255">
        <v>84.013214000000005</v>
      </c>
      <c r="O10" s="255">
        <v>83.542664000000002</v>
      </c>
      <c r="P10" s="255">
        <v>83.043007000000003</v>
      </c>
      <c r="Q10" s="255">
        <v>82.538109000000006</v>
      </c>
      <c r="R10" s="255">
        <v>82.013915999999995</v>
      </c>
      <c r="S10" s="255">
        <v>81.499672000000004</v>
      </c>
      <c r="T10" s="255">
        <v>80.976737999999997</v>
      </c>
      <c r="U10" s="255">
        <v>80.459800999999999</v>
      </c>
      <c r="V10" s="255">
        <v>79.954575000000006</v>
      </c>
      <c r="W10" s="255">
        <v>79.410117999999997</v>
      </c>
      <c r="X10" s="255">
        <v>78.884186</v>
      </c>
      <c r="Y10" s="255">
        <v>78.326515000000001</v>
      </c>
      <c r="Z10" s="255">
        <v>77.806870000000004</v>
      </c>
      <c r="AA10" s="255">
        <v>77.239433000000005</v>
      </c>
      <c r="AB10" s="255">
        <v>76.680190999999994</v>
      </c>
      <c r="AC10" s="255">
        <v>76.081207000000006</v>
      </c>
      <c r="AD10" s="255">
        <v>75.451774999999998</v>
      </c>
      <c r="AE10" s="255">
        <v>74.792136999999997</v>
      </c>
      <c r="AF10" s="255">
        <v>74.117767000000001</v>
      </c>
      <c r="AG10" s="256">
        <v>-8.0000000000000002E-3</v>
      </c>
    </row>
    <row r="11" spans="1:34">
      <c r="A11" t="s">
        <v>3870</v>
      </c>
      <c r="B11" t="s">
        <v>3869</v>
      </c>
      <c r="C11" t="s">
        <v>3868</v>
      </c>
      <c r="D11" t="s">
        <v>3867</v>
      </c>
      <c r="E11" t="s">
        <v>3866</v>
      </c>
      <c r="F11">
        <v>340.05480999999997</v>
      </c>
      <c r="G11">
        <v>346.20788599999997</v>
      </c>
      <c r="H11">
        <v>350.06781000000001</v>
      </c>
      <c r="I11">
        <v>353.52682499999997</v>
      </c>
      <c r="J11">
        <v>356.01293900000002</v>
      </c>
      <c r="K11">
        <v>358.95523100000003</v>
      </c>
      <c r="L11">
        <v>362.11615</v>
      </c>
      <c r="M11">
        <v>364.84686299999998</v>
      </c>
      <c r="N11">
        <v>367.71499599999999</v>
      </c>
      <c r="O11">
        <v>370.28033399999998</v>
      </c>
      <c r="P11">
        <v>373.22686800000002</v>
      </c>
      <c r="Q11">
        <v>376.19421399999999</v>
      </c>
      <c r="R11">
        <v>379.62560999999999</v>
      </c>
      <c r="S11">
        <v>383.28887900000001</v>
      </c>
      <c r="T11">
        <v>386.979919</v>
      </c>
      <c r="U11">
        <v>390.324951</v>
      </c>
      <c r="V11">
        <v>393.89111300000002</v>
      </c>
      <c r="W11">
        <v>397.25488300000001</v>
      </c>
      <c r="X11">
        <v>400.59506199999998</v>
      </c>
      <c r="Y11">
        <v>403.50134300000002</v>
      </c>
      <c r="Z11">
        <v>406.149719</v>
      </c>
      <c r="AA11">
        <v>409.08056599999998</v>
      </c>
      <c r="AB11">
        <v>411.83874500000002</v>
      </c>
      <c r="AC11">
        <v>416.011169</v>
      </c>
      <c r="AD11">
        <v>420.09765599999997</v>
      </c>
      <c r="AE11">
        <v>423.84225500000002</v>
      </c>
      <c r="AF11">
        <v>427.05206299999998</v>
      </c>
      <c r="AG11" s="144">
        <v>8.9999999999999993E-3</v>
      </c>
      <c r="AH11" s="144"/>
    </row>
    <row r="12" spans="1:34">
      <c r="A12" t="s">
        <v>3865</v>
      </c>
    </row>
    <row r="13" spans="1:34">
      <c r="A13" t="s">
        <v>3773</v>
      </c>
      <c r="B13" t="s">
        <v>3864</v>
      </c>
      <c r="C13" t="s">
        <v>3863</v>
      </c>
      <c r="D13" t="s">
        <v>3859</v>
      </c>
      <c r="F13">
        <v>190.78021200000001</v>
      </c>
      <c r="G13">
        <v>196.637619</v>
      </c>
      <c r="H13">
        <v>200.382034</v>
      </c>
      <c r="I13">
        <v>202.76496900000001</v>
      </c>
      <c r="J13">
        <v>204.50441000000001</v>
      </c>
      <c r="K13">
        <v>205.76622</v>
      </c>
      <c r="L13">
        <v>206.654663</v>
      </c>
      <c r="M13">
        <v>207.15368699999999</v>
      </c>
      <c r="N13">
        <v>207.40228300000001</v>
      </c>
      <c r="O13">
        <v>207.54490699999999</v>
      </c>
      <c r="P13">
        <v>207.693939</v>
      </c>
      <c r="Q13">
        <v>207.716095</v>
      </c>
      <c r="R13">
        <v>207.670807</v>
      </c>
      <c r="S13">
        <v>207.610535</v>
      </c>
      <c r="T13">
        <v>207.429047</v>
      </c>
      <c r="U13">
        <v>207.19026199999999</v>
      </c>
      <c r="V13">
        <v>206.886765</v>
      </c>
      <c r="W13">
        <v>206.52593999999999</v>
      </c>
      <c r="X13">
        <v>206.10232500000001</v>
      </c>
      <c r="Y13">
        <v>205.65777600000001</v>
      </c>
      <c r="Z13">
        <v>205.159729</v>
      </c>
      <c r="AA13">
        <v>204.65632600000001</v>
      </c>
      <c r="AB13">
        <v>204.09098800000001</v>
      </c>
      <c r="AC13">
        <v>203.49281300000001</v>
      </c>
      <c r="AD13">
        <v>202.89883399999999</v>
      </c>
      <c r="AE13">
        <v>202.30595400000001</v>
      </c>
      <c r="AF13">
        <v>201.76945499999999</v>
      </c>
      <c r="AG13" s="144">
        <v>2E-3</v>
      </c>
    </row>
    <row r="14" spans="1:34">
      <c r="A14" t="s">
        <v>3862</v>
      </c>
      <c r="B14" t="s">
        <v>3861</v>
      </c>
      <c r="C14" t="s">
        <v>3860</v>
      </c>
      <c r="D14" t="s">
        <v>3859</v>
      </c>
      <c r="F14">
        <v>25.878022999999999</v>
      </c>
      <c r="G14">
        <v>28.773292999999999</v>
      </c>
      <c r="H14">
        <v>30.990027999999999</v>
      </c>
      <c r="I14">
        <v>32.691127999999999</v>
      </c>
      <c r="J14">
        <v>34.018692000000001</v>
      </c>
      <c r="K14">
        <v>35.161124999999998</v>
      </c>
      <c r="L14">
        <v>36.109000999999999</v>
      </c>
      <c r="M14">
        <v>36.852859000000002</v>
      </c>
      <c r="N14">
        <v>37.463329000000002</v>
      </c>
      <c r="O14">
        <v>37.964500000000001</v>
      </c>
      <c r="P14">
        <v>38.458427</v>
      </c>
      <c r="Q14">
        <v>38.854377999999997</v>
      </c>
      <c r="R14">
        <v>39.233795000000001</v>
      </c>
      <c r="S14">
        <v>39.64349</v>
      </c>
      <c r="T14">
        <v>40.072304000000003</v>
      </c>
      <c r="U14">
        <v>40.454436999999999</v>
      </c>
      <c r="V14">
        <v>40.811695</v>
      </c>
      <c r="W14">
        <v>41.128436999999998</v>
      </c>
      <c r="X14">
        <v>41.427906</v>
      </c>
      <c r="Y14">
        <v>41.717632000000002</v>
      </c>
      <c r="Z14">
        <v>41.951228999999998</v>
      </c>
      <c r="AA14">
        <v>42.199916999999999</v>
      </c>
      <c r="AB14">
        <v>42.389290000000003</v>
      </c>
      <c r="AC14">
        <v>42.613959999999999</v>
      </c>
      <c r="AD14">
        <v>42.893344999999997</v>
      </c>
      <c r="AE14">
        <v>43.173431000000001</v>
      </c>
      <c r="AF14">
        <v>43.548084000000003</v>
      </c>
      <c r="AG14" s="144">
        <v>0.02</v>
      </c>
    </row>
    <row r="15" spans="1:34">
      <c r="A15" t="s">
        <v>3858</v>
      </c>
    </row>
    <row r="16" spans="1:34">
      <c r="A16" t="s">
        <v>161</v>
      </c>
      <c r="B16" t="s">
        <v>3857</v>
      </c>
      <c r="C16" t="s">
        <v>3856</v>
      </c>
      <c r="D16" t="s">
        <v>3855</v>
      </c>
      <c r="F16">
        <v>1413.1365969999999</v>
      </c>
      <c r="G16">
        <v>1426.5014650000001</v>
      </c>
      <c r="H16">
        <v>1461.8975829999999</v>
      </c>
      <c r="I16">
        <v>1494.7885739999999</v>
      </c>
      <c r="J16">
        <v>1522.10022</v>
      </c>
      <c r="K16">
        <v>1551.6201169999999</v>
      </c>
      <c r="L16">
        <v>1578.6829829999999</v>
      </c>
      <c r="M16">
        <v>1601.181519</v>
      </c>
      <c r="N16">
        <v>1627.146362</v>
      </c>
      <c r="O16">
        <v>1654.892212</v>
      </c>
      <c r="P16">
        <v>1681.6214600000001</v>
      </c>
      <c r="Q16">
        <v>1711.017578</v>
      </c>
      <c r="R16">
        <v>1740.960693</v>
      </c>
      <c r="S16">
        <v>1772.771851</v>
      </c>
      <c r="T16">
        <v>1806.9364009999999</v>
      </c>
      <c r="U16">
        <v>1841.1685789999999</v>
      </c>
      <c r="V16">
        <v>1875.4395750000001</v>
      </c>
      <c r="W16">
        <v>1909.125366</v>
      </c>
      <c r="X16">
        <v>1945.61853</v>
      </c>
      <c r="Y16">
        <v>1981.3470460000001</v>
      </c>
      <c r="Z16">
        <v>2014.714111</v>
      </c>
      <c r="AA16">
        <v>2047.454346</v>
      </c>
      <c r="AB16">
        <v>2079.6472170000002</v>
      </c>
      <c r="AC16">
        <v>2117.3378910000001</v>
      </c>
      <c r="AD16">
        <v>2157.5336910000001</v>
      </c>
      <c r="AE16">
        <v>2196.0695799999999</v>
      </c>
      <c r="AF16">
        <v>2234.092529</v>
      </c>
      <c r="AG16" s="144">
        <v>1.7999999999999999E-2</v>
      </c>
    </row>
    <row r="17" spans="1:33">
      <c r="A17" t="s">
        <v>3854</v>
      </c>
    </row>
    <row r="18" spans="1:33">
      <c r="A18" t="s">
        <v>168</v>
      </c>
      <c r="B18" t="s">
        <v>3853</v>
      </c>
      <c r="C18" t="s">
        <v>3852</v>
      </c>
      <c r="D18" t="s">
        <v>3849</v>
      </c>
      <c r="F18">
        <v>1464.855225</v>
      </c>
      <c r="G18">
        <v>1498.5776370000001</v>
      </c>
      <c r="H18">
        <v>1462.373169</v>
      </c>
      <c r="I18">
        <v>1413.733154</v>
      </c>
      <c r="J18">
        <v>1414.115112</v>
      </c>
      <c r="K18">
        <v>1410.565186</v>
      </c>
      <c r="L18">
        <v>1369.7414550000001</v>
      </c>
      <c r="M18">
        <v>1370.1805420000001</v>
      </c>
      <c r="N18">
        <v>1305.8111570000001</v>
      </c>
      <c r="O18">
        <v>1312.2113039999999</v>
      </c>
      <c r="P18">
        <v>1299.8524170000001</v>
      </c>
      <c r="Q18">
        <v>1300.4210210000001</v>
      </c>
      <c r="R18">
        <v>1305.7510990000001</v>
      </c>
      <c r="S18">
        <v>1312.3923339999999</v>
      </c>
      <c r="T18">
        <v>1330.286621</v>
      </c>
      <c r="U18">
        <v>1321.974976</v>
      </c>
      <c r="V18">
        <v>1328.3294679999999</v>
      </c>
      <c r="W18">
        <v>1330.294678</v>
      </c>
      <c r="X18">
        <v>1337.347534</v>
      </c>
      <c r="Y18">
        <v>1345.204712</v>
      </c>
      <c r="Z18">
        <v>1349.7685550000001</v>
      </c>
      <c r="AA18">
        <v>1354.558716</v>
      </c>
      <c r="AB18">
        <v>1355.6860349999999</v>
      </c>
      <c r="AC18">
        <v>1370.355591</v>
      </c>
      <c r="AD18">
        <v>1382.527466</v>
      </c>
      <c r="AE18">
        <v>1392.701904</v>
      </c>
      <c r="AF18">
        <v>1397.21228</v>
      </c>
      <c r="AG18" s="144">
        <v>-2E-3</v>
      </c>
    </row>
    <row r="19" spans="1:33">
      <c r="A19" t="s">
        <v>193</v>
      </c>
      <c r="B19" t="s">
        <v>3851</v>
      </c>
      <c r="C19" t="s">
        <v>3850</v>
      </c>
      <c r="D19" t="s">
        <v>3849</v>
      </c>
      <c r="F19">
        <v>458.773346</v>
      </c>
      <c r="G19">
        <v>464.892853</v>
      </c>
      <c r="H19">
        <v>462.96167000000003</v>
      </c>
      <c r="I19">
        <v>460.98571800000002</v>
      </c>
      <c r="J19">
        <v>459.37042200000002</v>
      </c>
      <c r="K19">
        <v>457.35058600000002</v>
      </c>
      <c r="L19">
        <v>454.85974099999999</v>
      </c>
      <c r="M19">
        <v>451.94982900000002</v>
      </c>
      <c r="N19">
        <v>448.29049700000002</v>
      </c>
      <c r="O19">
        <v>446.236603</v>
      </c>
      <c r="P19">
        <v>444.57028200000002</v>
      </c>
      <c r="Q19">
        <v>442.67672700000003</v>
      </c>
      <c r="R19">
        <v>440.63128699999999</v>
      </c>
      <c r="S19">
        <v>439.09964000000002</v>
      </c>
      <c r="T19">
        <v>437.71414199999998</v>
      </c>
      <c r="U19">
        <v>435.98474099999999</v>
      </c>
      <c r="V19">
        <v>434.76898199999999</v>
      </c>
      <c r="W19">
        <v>433.49096700000001</v>
      </c>
      <c r="X19">
        <v>432.22720299999997</v>
      </c>
      <c r="Y19">
        <v>430.67340100000001</v>
      </c>
      <c r="Z19">
        <v>428.801331</v>
      </c>
      <c r="AA19">
        <v>427.06716899999998</v>
      </c>
      <c r="AB19">
        <v>425.27600100000001</v>
      </c>
      <c r="AC19">
        <v>424.65441900000002</v>
      </c>
      <c r="AD19">
        <v>423.51385499999998</v>
      </c>
      <c r="AE19">
        <v>422.14224200000001</v>
      </c>
      <c r="AF19">
        <v>420.62109400000003</v>
      </c>
      <c r="AG19" s="144">
        <v>-3.0000000000000001E-3</v>
      </c>
    </row>
    <row r="20" spans="1:33">
      <c r="A20" t="s">
        <v>63</v>
      </c>
    </row>
    <row r="21" spans="1:33">
      <c r="A21" t="s">
        <v>3848</v>
      </c>
    </row>
    <row r="22" spans="1:33">
      <c r="A22" t="s">
        <v>3847</v>
      </c>
      <c r="B22" t="s">
        <v>3846</v>
      </c>
      <c r="C22" t="s">
        <v>3845</v>
      </c>
      <c r="D22" t="s">
        <v>1956</v>
      </c>
      <c r="F22">
        <v>39.271113999999997</v>
      </c>
      <c r="G22">
        <v>42.959927</v>
      </c>
      <c r="H22">
        <v>47.575771000000003</v>
      </c>
      <c r="I22">
        <v>47.493256000000002</v>
      </c>
      <c r="J22">
        <v>47.449084999999997</v>
      </c>
      <c r="K22">
        <v>47.490924999999997</v>
      </c>
      <c r="L22">
        <v>47.591320000000003</v>
      </c>
      <c r="M22">
        <v>47.604393000000002</v>
      </c>
      <c r="N22">
        <v>47.569965000000003</v>
      </c>
      <c r="O22">
        <v>47.492598999999998</v>
      </c>
      <c r="P22">
        <v>47.679400999999999</v>
      </c>
      <c r="Q22">
        <v>47.648468000000001</v>
      </c>
      <c r="R22">
        <v>47.59169</v>
      </c>
      <c r="S22">
        <v>47.590065000000003</v>
      </c>
      <c r="T22">
        <v>47.594569999999997</v>
      </c>
      <c r="U22">
        <v>47.597126000000003</v>
      </c>
      <c r="V22">
        <v>47.557651999999997</v>
      </c>
      <c r="W22">
        <v>47.536555999999997</v>
      </c>
      <c r="X22">
        <v>47.522250999999997</v>
      </c>
      <c r="Y22">
        <v>47.527641000000003</v>
      </c>
      <c r="Z22">
        <v>47.509605000000001</v>
      </c>
      <c r="AA22">
        <v>47.515839</v>
      </c>
      <c r="AB22">
        <v>47.499699</v>
      </c>
      <c r="AC22">
        <v>47.476486000000001</v>
      </c>
      <c r="AD22">
        <v>47.471778999999998</v>
      </c>
      <c r="AE22">
        <v>47.466419000000002</v>
      </c>
      <c r="AF22">
        <v>47.51144</v>
      </c>
      <c r="AG22" s="144">
        <v>7.0000000000000001E-3</v>
      </c>
    </row>
    <row r="23" spans="1:33">
      <c r="A23" t="s">
        <v>3823</v>
      </c>
      <c r="B23" t="s">
        <v>3844</v>
      </c>
      <c r="C23" t="s">
        <v>3843</v>
      </c>
      <c r="D23" t="s">
        <v>1956</v>
      </c>
      <c r="F23">
        <v>48.175083000000001</v>
      </c>
      <c r="G23">
        <v>52.414535999999998</v>
      </c>
      <c r="H23">
        <v>58.241450999999998</v>
      </c>
      <c r="I23">
        <v>58.255462999999999</v>
      </c>
      <c r="J23">
        <v>58.266669999999998</v>
      </c>
      <c r="K23">
        <v>58.284412000000003</v>
      </c>
      <c r="L23">
        <v>58.290976999999998</v>
      </c>
      <c r="M23">
        <v>58.296238000000002</v>
      </c>
      <c r="N23">
        <v>58.292617999999997</v>
      </c>
      <c r="O23">
        <v>58.297882000000001</v>
      </c>
      <c r="P23">
        <v>58.322220000000002</v>
      </c>
      <c r="Q23">
        <v>58.317551000000002</v>
      </c>
      <c r="R23">
        <v>58.313091</v>
      </c>
      <c r="S23">
        <v>58.312266999999999</v>
      </c>
      <c r="T23">
        <v>58.318325000000002</v>
      </c>
      <c r="U23">
        <v>58.320647999999998</v>
      </c>
      <c r="V23">
        <v>58.313701999999999</v>
      </c>
      <c r="W23">
        <v>58.314289000000002</v>
      </c>
      <c r="X23">
        <v>58.312122000000002</v>
      </c>
      <c r="Y23">
        <v>58.322738999999999</v>
      </c>
      <c r="Z23">
        <v>58.317923999999998</v>
      </c>
      <c r="AA23">
        <v>58.327765999999997</v>
      </c>
      <c r="AB23">
        <v>58.321185999999997</v>
      </c>
      <c r="AC23">
        <v>58.318832</v>
      </c>
      <c r="AD23">
        <v>58.325527000000001</v>
      </c>
      <c r="AE23">
        <v>58.327376999999998</v>
      </c>
      <c r="AF23">
        <v>58.347693999999997</v>
      </c>
      <c r="AG23" s="144">
        <v>7.0000000000000001E-3</v>
      </c>
    </row>
    <row r="24" spans="1:33">
      <c r="A24" t="s">
        <v>3820</v>
      </c>
      <c r="B24" t="s">
        <v>3842</v>
      </c>
      <c r="C24" t="s">
        <v>3841</v>
      </c>
      <c r="D24" t="s">
        <v>1956</v>
      </c>
      <c r="F24">
        <v>35.086903</v>
      </c>
      <c r="G24">
        <v>38.087924999999998</v>
      </c>
      <c r="H24">
        <v>42.293404000000002</v>
      </c>
      <c r="I24">
        <v>42.265976000000002</v>
      </c>
      <c r="J24">
        <v>42.251018999999999</v>
      </c>
      <c r="K24">
        <v>42.230449999999998</v>
      </c>
      <c r="L24">
        <v>42.21875</v>
      </c>
      <c r="M24">
        <v>42.207087999999999</v>
      </c>
      <c r="N24">
        <v>42.198193000000003</v>
      </c>
      <c r="O24">
        <v>42.188656000000002</v>
      </c>
      <c r="P24">
        <v>42.178351999999997</v>
      </c>
      <c r="Q24">
        <v>42.170338000000001</v>
      </c>
      <c r="R24">
        <v>42.163196999999997</v>
      </c>
      <c r="S24">
        <v>42.157119999999999</v>
      </c>
      <c r="T24">
        <v>42.150413999999998</v>
      </c>
      <c r="U24">
        <v>42.144038999999999</v>
      </c>
      <c r="V24">
        <v>42.139083999999997</v>
      </c>
      <c r="W24">
        <v>42.13335</v>
      </c>
      <c r="X24">
        <v>42.127730999999997</v>
      </c>
      <c r="Y24">
        <v>42.121071000000001</v>
      </c>
      <c r="Z24">
        <v>42.115974000000001</v>
      </c>
      <c r="AA24">
        <v>42.109614999999998</v>
      </c>
      <c r="AB24">
        <v>42.105437999999999</v>
      </c>
      <c r="AC24">
        <v>42.100982999999999</v>
      </c>
      <c r="AD24">
        <v>42.095027999999999</v>
      </c>
      <c r="AE24">
        <v>42.089644999999997</v>
      </c>
      <c r="AF24">
        <v>42.083157</v>
      </c>
      <c r="AG24" s="144">
        <v>7.0000000000000001E-3</v>
      </c>
    </row>
    <row r="25" spans="1:33">
      <c r="A25" t="s">
        <v>3840</v>
      </c>
      <c r="B25" t="s">
        <v>3839</v>
      </c>
      <c r="C25" t="s">
        <v>3838</v>
      </c>
      <c r="D25" t="s">
        <v>1956</v>
      </c>
      <c r="F25">
        <v>39.942822</v>
      </c>
      <c r="G25">
        <v>43.957706000000002</v>
      </c>
      <c r="H25">
        <v>47.924385000000001</v>
      </c>
      <c r="I25">
        <v>48.168633</v>
      </c>
      <c r="J25">
        <v>48.206814000000001</v>
      </c>
      <c r="K25">
        <v>47.845936000000002</v>
      </c>
      <c r="L25">
        <v>47.905158999999998</v>
      </c>
      <c r="M25">
        <v>48.590632999999997</v>
      </c>
      <c r="N25">
        <v>49.493091999999997</v>
      </c>
      <c r="O25">
        <v>48.658332999999999</v>
      </c>
      <c r="P25">
        <v>49.540320999999999</v>
      </c>
      <c r="Q25">
        <v>50.266624</v>
      </c>
      <c r="R25">
        <v>50.779812</v>
      </c>
      <c r="S25">
        <v>51.219344999999997</v>
      </c>
      <c r="T25">
        <v>51.674301</v>
      </c>
      <c r="U25">
        <v>52.231579000000004</v>
      </c>
      <c r="V25">
        <v>52.558425999999997</v>
      </c>
      <c r="W25">
        <v>52.808188999999999</v>
      </c>
      <c r="X25">
        <v>52.984974000000001</v>
      </c>
      <c r="Y25">
        <v>53.223258999999999</v>
      </c>
      <c r="Z25">
        <v>53.349930000000001</v>
      </c>
      <c r="AA25">
        <v>53.548645</v>
      </c>
      <c r="AB25">
        <v>53.654530000000001</v>
      </c>
      <c r="AC25">
        <v>53.715496000000002</v>
      </c>
      <c r="AD25">
        <v>53.847445999999998</v>
      </c>
      <c r="AE25">
        <v>53.972465999999997</v>
      </c>
      <c r="AF25">
        <v>54.298808999999999</v>
      </c>
      <c r="AG25" s="144">
        <v>1.2E-2</v>
      </c>
    </row>
    <row r="26" spans="1:33">
      <c r="A26" t="s">
        <v>3823</v>
      </c>
      <c r="B26" t="s">
        <v>3837</v>
      </c>
      <c r="C26" t="s">
        <v>3836</v>
      </c>
      <c r="D26" t="s">
        <v>1956</v>
      </c>
      <c r="F26">
        <v>53.113453</v>
      </c>
      <c r="G26">
        <v>57.640594</v>
      </c>
      <c r="H26">
        <v>63.325600000000001</v>
      </c>
      <c r="I26">
        <v>68.261688000000007</v>
      </c>
      <c r="J26">
        <v>68.800171000000006</v>
      </c>
      <c r="K26">
        <v>66.580070000000006</v>
      </c>
      <c r="L26">
        <v>66.171570000000003</v>
      </c>
      <c r="M26">
        <v>67.334129000000004</v>
      </c>
      <c r="N26">
        <v>70.141272999999998</v>
      </c>
      <c r="O26">
        <v>69.021690000000007</v>
      </c>
      <c r="P26">
        <v>70.175094999999999</v>
      </c>
      <c r="Q26">
        <v>72.345962999999998</v>
      </c>
      <c r="R26">
        <v>73.417396999999994</v>
      </c>
      <c r="S26">
        <v>74.362701000000001</v>
      </c>
      <c r="T26">
        <v>75.273003000000003</v>
      </c>
      <c r="U26">
        <v>76.767471</v>
      </c>
      <c r="V26">
        <v>77.966553000000005</v>
      </c>
      <c r="W26">
        <v>78.546875</v>
      </c>
      <c r="X26">
        <v>79.005652999999995</v>
      </c>
      <c r="Y26">
        <v>79.448586000000006</v>
      </c>
      <c r="Z26">
        <v>79.814239999999998</v>
      </c>
      <c r="AA26">
        <v>80.153214000000006</v>
      </c>
      <c r="AB26">
        <v>80.456695999999994</v>
      </c>
      <c r="AC26">
        <v>80.688453999999993</v>
      </c>
      <c r="AD26">
        <v>80.951462000000006</v>
      </c>
      <c r="AE26">
        <v>81.205382999999998</v>
      </c>
      <c r="AF26">
        <v>81.537047999999999</v>
      </c>
      <c r="AG26" s="144">
        <v>1.7000000000000001E-2</v>
      </c>
    </row>
    <row r="27" spans="1:33">
      <c r="A27" t="s">
        <v>3820</v>
      </c>
      <c r="B27" t="s">
        <v>3835</v>
      </c>
      <c r="C27" t="s">
        <v>3834</v>
      </c>
      <c r="D27" t="s">
        <v>1956</v>
      </c>
      <c r="F27">
        <v>34.459515000000003</v>
      </c>
      <c r="G27">
        <v>37.642277</v>
      </c>
      <c r="H27">
        <v>41.127471999999997</v>
      </c>
      <c r="I27">
        <v>40.267257999999998</v>
      </c>
      <c r="J27">
        <v>40.255310000000001</v>
      </c>
      <c r="K27">
        <v>40.242519000000001</v>
      </c>
      <c r="L27">
        <v>40.218753999999997</v>
      </c>
      <c r="M27">
        <v>40.700054000000002</v>
      </c>
      <c r="N27">
        <v>41.130524000000001</v>
      </c>
      <c r="O27">
        <v>40.554600000000001</v>
      </c>
      <c r="P27">
        <v>40.930511000000003</v>
      </c>
      <c r="Q27">
        <v>41.310794999999999</v>
      </c>
      <c r="R27">
        <v>41.765965000000001</v>
      </c>
      <c r="S27">
        <v>42.053348999999997</v>
      </c>
      <c r="T27">
        <v>42.351562000000001</v>
      </c>
      <c r="U27">
        <v>42.643214999999998</v>
      </c>
      <c r="V27">
        <v>42.837719</v>
      </c>
      <c r="W27">
        <v>43.033183999999999</v>
      </c>
      <c r="X27">
        <v>43.158431999999998</v>
      </c>
      <c r="Y27">
        <v>43.308086000000003</v>
      </c>
      <c r="Z27">
        <v>43.407924999999999</v>
      </c>
      <c r="AA27">
        <v>43.533504000000001</v>
      </c>
      <c r="AB27">
        <v>43.621684999999999</v>
      </c>
      <c r="AC27">
        <v>43.68882</v>
      </c>
      <c r="AD27">
        <v>43.782268999999999</v>
      </c>
      <c r="AE27">
        <v>43.872546999999997</v>
      </c>
      <c r="AF27">
        <v>44.049908000000002</v>
      </c>
      <c r="AG27" s="144">
        <v>8.9999999999999993E-3</v>
      </c>
    </row>
    <row r="28" spans="1:33">
      <c r="A28" t="s">
        <v>3833</v>
      </c>
      <c r="B28" t="s">
        <v>3832</v>
      </c>
      <c r="C28" t="s">
        <v>3831</v>
      </c>
      <c r="D28" t="s">
        <v>1956</v>
      </c>
      <c r="F28">
        <v>36.992213999999997</v>
      </c>
      <c r="G28">
        <v>40.049953000000002</v>
      </c>
      <c r="H28">
        <v>42.808971</v>
      </c>
      <c r="I28">
        <v>43.230891999999997</v>
      </c>
      <c r="J28">
        <v>44.016902999999999</v>
      </c>
      <c r="K28">
        <v>44.308898999999997</v>
      </c>
      <c r="L28">
        <v>44.989899000000001</v>
      </c>
      <c r="M28">
        <v>45.614960000000004</v>
      </c>
      <c r="N28">
        <v>46.454155</v>
      </c>
      <c r="O28">
        <v>45.667557000000002</v>
      </c>
      <c r="P28">
        <v>46.478081000000003</v>
      </c>
      <c r="Q28">
        <v>47.149428999999998</v>
      </c>
      <c r="R28">
        <v>47.616024000000003</v>
      </c>
      <c r="S28">
        <v>48.020485000000001</v>
      </c>
      <c r="T28">
        <v>48.435195999999998</v>
      </c>
      <c r="U28">
        <v>48.949013000000001</v>
      </c>
      <c r="V28">
        <v>49.253231</v>
      </c>
      <c r="W28">
        <v>49.479267</v>
      </c>
      <c r="X28">
        <v>49.642772999999998</v>
      </c>
      <c r="Y28">
        <v>49.856163000000002</v>
      </c>
      <c r="Z28">
        <v>49.976058999999999</v>
      </c>
      <c r="AA28">
        <v>50.153815999999999</v>
      </c>
      <c r="AB28">
        <v>50.256393000000003</v>
      </c>
      <c r="AC28">
        <v>50.313774000000002</v>
      </c>
      <c r="AD28">
        <v>50.431538000000003</v>
      </c>
      <c r="AE28">
        <v>50.545406</v>
      </c>
      <c r="AF28">
        <v>50.836013999999999</v>
      </c>
      <c r="AG28" s="144">
        <v>1.2E-2</v>
      </c>
    </row>
    <row r="29" spans="1:33">
      <c r="A29" t="s">
        <v>3823</v>
      </c>
      <c r="B29" t="s">
        <v>3830</v>
      </c>
      <c r="C29" t="s">
        <v>3829</v>
      </c>
      <c r="D29" t="s">
        <v>1956</v>
      </c>
      <c r="F29">
        <v>48.381923999999998</v>
      </c>
      <c r="G29">
        <v>51.754009000000003</v>
      </c>
      <c r="H29">
        <v>55.653796999999997</v>
      </c>
      <c r="I29">
        <v>59.137737000000001</v>
      </c>
      <c r="J29">
        <v>61.278339000000003</v>
      </c>
      <c r="K29">
        <v>61.308632000000003</v>
      </c>
      <c r="L29">
        <v>62.883270000000003</v>
      </c>
      <c r="M29">
        <v>63.968285000000002</v>
      </c>
      <c r="N29">
        <v>66.642882999999998</v>
      </c>
      <c r="O29">
        <v>65.576897000000002</v>
      </c>
      <c r="P29">
        <v>66.660210000000006</v>
      </c>
      <c r="Q29">
        <v>68.722472999999994</v>
      </c>
      <c r="R29">
        <v>69.727547000000001</v>
      </c>
      <c r="S29">
        <v>70.613060000000004</v>
      </c>
      <c r="T29">
        <v>71.466324</v>
      </c>
      <c r="U29">
        <v>72.886696000000001</v>
      </c>
      <c r="V29">
        <v>74.021286000000003</v>
      </c>
      <c r="W29">
        <v>74.566199999999995</v>
      </c>
      <c r="X29">
        <v>74.998435999999998</v>
      </c>
      <c r="Y29">
        <v>75.416839999999993</v>
      </c>
      <c r="Z29">
        <v>75.761993000000004</v>
      </c>
      <c r="AA29">
        <v>76.083054000000004</v>
      </c>
      <c r="AB29">
        <v>76.370345999999998</v>
      </c>
      <c r="AC29">
        <v>76.590514999999996</v>
      </c>
      <c r="AD29">
        <v>76.839706000000007</v>
      </c>
      <c r="AE29">
        <v>77.080558999999994</v>
      </c>
      <c r="AF29">
        <v>77.395804999999996</v>
      </c>
      <c r="AG29" s="144">
        <v>1.7999999999999999E-2</v>
      </c>
    </row>
    <row r="30" spans="1:33">
      <c r="A30" t="s">
        <v>3820</v>
      </c>
      <c r="B30" t="s">
        <v>3828</v>
      </c>
      <c r="C30" t="s">
        <v>3827</v>
      </c>
      <c r="D30" t="s">
        <v>1956</v>
      </c>
      <c r="F30">
        <v>32.114288000000002</v>
      </c>
      <c r="G30">
        <v>34.514839000000002</v>
      </c>
      <c r="H30">
        <v>36.986862000000002</v>
      </c>
      <c r="I30">
        <v>36.634200999999997</v>
      </c>
      <c r="J30">
        <v>37.092925999999999</v>
      </c>
      <c r="K30">
        <v>37.343777000000003</v>
      </c>
      <c r="L30">
        <v>37.577010999999999</v>
      </c>
      <c r="M30">
        <v>38.011017000000002</v>
      </c>
      <c r="N30">
        <v>38.403038000000002</v>
      </c>
      <c r="O30">
        <v>37.869067999999999</v>
      </c>
      <c r="P30">
        <v>38.209907999999999</v>
      </c>
      <c r="Q30">
        <v>38.555424000000002</v>
      </c>
      <c r="R30">
        <v>38.963661000000002</v>
      </c>
      <c r="S30">
        <v>39.224598</v>
      </c>
      <c r="T30">
        <v>39.495063999999999</v>
      </c>
      <c r="U30">
        <v>39.75996</v>
      </c>
      <c r="V30">
        <v>39.93721</v>
      </c>
      <c r="W30">
        <v>40.114798999999998</v>
      </c>
      <c r="X30">
        <v>40.230305000000001</v>
      </c>
      <c r="Y30">
        <v>40.368130000000001</v>
      </c>
      <c r="Z30">
        <v>40.460380999999998</v>
      </c>
      <c r="AA30">
        <v>40.576186999999997</v>
      </c>
      <c r="AB30">
        <v>40.657494</v>
      </c>
      <c r="AC30">
        <v>40.719509000000002</v>
      </c>
      <c r="AD30">
        <v>40.805653</v>
      </c>
      <c r="AE30">
        <v>40.888672</v>
      </c>
      <c r="AF30">
        <v>41.051575</v>
      </c>
      <c r="AG30" s="144">
        <v>8.9999999999999993E-3</v>
      </c>
    </row>
    <row r="31" spans="1:33">
      <c r="A31" t="s">
        <v>3826</v>
      </c>
      <c r="B31" t="s">
        <v>3825</v>
      </c>
      <c r="C31" t="s">
        <v>3824</v>
      </c>
      <c r="D31" t="s">
        <v>1956</v>
      </c>
      <c r="F31">
        <v>27.538564999999998</v>
      </c>
      <c r="G31">
        <v>29.747971</v>
      </c>
      <c r="H31">
        <v>31.720669000000001</v>
      </c>
      <c r="I31">
        <v>32.058968</v>
      </c>
      <c r="J31">
        <v>32.641983000000003</v>
      </c>
      <c r="K31">
        <v>32.859589</v>
      </c>
      <c r="L31">
        <v>33.335555999999997</v>
      </c>
      <c r="M31">
        <v>33.786160000000002</v>
      </c>
      <c r="N31">
        <v>34.398437999999999</v>
      </c>
      <c r="O31">
        <v>33.841163999999999</v>
      </c>
      <c r="P31">
        <v>34.423504000000001</v>
      </c>
      <c r="Q31">
        <v>34.906590000000001</v>
      </c>
      <c r="R31">
        <v>35.232799999999997</v>
      </c>
      <c r="S31">
        <v>35.521309000000002</v>
      </c>
      <c r="T31">
        <v>35.816288</v>
      </c>
      <c r="U31">
        <v>36.185467000000003</v>
      </c>
      <c r="V31">
        <v>36.402821000000003</v>
      </c>
      <c r="W31">
        <v>36.561584000000003</v>
      </c>
      <c r="X31">
        <v>36.675685999999999</v>
      </c>
      <c r="Y31">
        <v>36.824798999999999</v>
      </c>
      <c r="Z31">
        <v>36.907935999999999</v>
      </c>
      <c r="AA31">
        <v>37.031731000000001</v>
      </c>
      <c r="AB31">
        <v>37.102466999999997</v>
      </c>
      <c r="AC31">
        <v>37.140445999999997</v>
      </c>
      <c r="AD31">
        <v>37.221237000000002</v>
      </c>
      <c r="AE31">
        <v>37.299518999999997</v>
      </c>
      <c r="AF31">
        <v>37.503345000000003</v>
      </c>
      <c r="AG31" s="144">
        <v>1.2E-2</v>
      </c>
    </row>
    <row r="32" spans="1:33">
      <c r="A32" t="s">
        <v>3823</v>
      </c>
      <c r="B32" t="s">
        <v>3822</v>
      </c>
      <c r="C32" t="s">
        <v>3821</v>
      </c>
      <c r="D32" t="s">
        <v>1956</v>
      </c>
      <c r="F32">
        <v>35.736514999999997</v>
      </c>
      <c r="G32">
        <v>38.187514999999998</v>
      </c>
      <c r="H32">
        <v>41.026561999999998</v>
      </c>
      <c r="I32">
        <v>43.567794999999997</v>
      </c>
      <c r="J32">
        <v>45.129069999999999</v>
      </c>
      <c r="K32">
        <v>45.143227000000003</v>
      </c>
      <c r="L32">
        <v>46.28548</v>
      </c>
      <c r="M32">
        <v>47.069462000000001</v>
      </c>
      <c r="N32">
        <v>49.029162999999997</v>
      </c>
      <c r="O32">
        <v>48.263415999999999</v>
      </c>
      <c r="P32">
        <v>49.042400000000001</v>
      </c>
      <c r="Q32">
        <v>50.544037000000003</v>
      </c>
      <c r="R32">
        <v>51.270535000000002</v>
      </c>
      <c r="S32">
        <v>51.909388999999997</v>
      </c>
      <c r="T32">
        <v>52.522804000000001</v>
      </c>
      <c r="U32">
        <v>53.556106999999997</v>
      </c>
      <c r="V32">
        <v>54.379283999999998</v>
      </c>
      <c r="W32">
        <v>54.768990000000002</v>
      </c>
      <c r="X32">
        <v>55.077838999999997</v>
      </c>
      <c r="Y32">
        <v>55.373089</v>
      </c>
      <c r="Z32">
        <v>55.619441999999999</v>
      </c>
      <c r="AA32">
        <v>55.844054999999997</v>
      </c>
      <c r="AB32">
        <v>56.048706000000003</v>
      </c>
      <c r="AC32">
        <v>56.203578999999998</v>
      </c>
      <c r="AD32">
        <v>56.377032999999997</v>
      </c>
      <c r="AE32">
        <v>56.545631</v>
      </c>
      <c r="AF32">
        <v>56.762431999999997</v>
      </c>
      <c r="AG32" s="144">
        <v>1.7999999999999999E-2</v>
      </c>
    </row>
    <row r="33" spans="1:33">
      <c r="A33" t="s">
        <v>3820</v>
      </c>
      <c r="B33" t="s">
        <v>3819</v>
      </c>
      <c r="C33" t="s">
        <v>3818</v>
      </c>
      <c r="D33" t="s">
        <v>1956</v>
      </c>
      <c r="F33">
        <v>23.988018</v>
      </c>
      <c r="G33">
        <v>25.717506</v>
      </c>
      <c r="H33">
        <v>27.470897999999998</v>
      </c>
      <c r="I33">
        <v>27.241520000000001</v>
      </c>
      <c r="J33">
        <v>27.584202000000001</v>
      </c>
      <c r="K33">
        <v>27.775763999999999</v>
      </c>
      <c r="L33">
        <v>27.919968000000001</v>
      </c>
      <c r="M33">
        <v>28.231255000000001</v>
      </c>
      <c r="N33">
        <v>28.510629999999999</v>
      </c>
      <c r="O33">
        <v>28.137867</v>
      </c>
      <c r="P33">
        <v>28.37771</v>
      </c>
      <c r="Q33">
        <v>28.619430999999999</v>
      </c>
      <c r="R33">
        <v>28.901937</v>
      </c>
      <c r="S33">
        <v>29.085546000000001</v>
      </c>
      <c r="T33">
        <v>29.275507000000001</v>
      </c>
      <c r="U33">
        <v>29.461161000000001</v>
      </c>
      <c r="V33">
        <v>29.584817999999999</v>
      </c>
      <c r="W33">
        <v>29.708748</v>
      </c>
      <c r="X33">
        <v>29.788166</v>
      </c>
      <c r="Y33">
        <v>29.883118</v>
      </c>
      <c r="Z33">
        <v>29.946400000000001</v>
      </c>
      <c r="AA33">
        <v>30.026071999999999</v>
      </c>
      <c r="AB33">
        <v>30.081591</v>
      </c>
      <c r="AC33">
        <v>30.123497</v>
      </c>
      <c r="AD33">
        <v>30.182155999999999</v>
      </c>
      <c r="AE33">
        <v>30.238665000000001</v>
      </c>
      <c r="AF33">
        <v>30.351025</v>
      </c>
      <c r="AG33" s="144">
        <v>8.9999999999999993E-3</v>
      </c>
    </row>
    <row r="34" spans="1:33">
      <c r="A34" t="s">
        <v>3817</v>
      </c>
      <c r="B34" t="s">
        <v>3816</v>
      </c>
      <c r="C34" t="s">
        <v>3815</v>
      </c>
      <c r="D34" t="s">
        <v>1956</v>
      </c>
      <c r="F34">
        <v>22.673542000000001</v>
      </c>
      <c r="G34">
        <v>23.019804000000001</v>
      </c>
      <c r="H34">
        <v>23.398861</v>
      </c>
      <c r="I34">
        <v>23.830568</v>
      </c>
      <c r="J34">
        <v>24.300024000000001</v>
      </c>
      <c r="K34">
        <v>24.836760000000002</v>
      </c>
      <c r="L34">
        <v>25.429971999999999</v>
      </c>
      <c r="M34">
        <v>25.986374000000001</v>
      </c>
      <c r="N34">
        <v>26.538643</v>
      </c>
      <c r="O34">
        <v>27.064734999999999</v>
      </c>
      <c r="P34">
        <v>27.521101000000002</v>
      </c>
      <c r="Q34">
        <v>27.975999999999999</v>
      </c>
      <c r="R34">
        <v>28.511520000000001</v>
      </c>
      <c r="S34">
        <v>29.075071000000001</v>
      </c>
      <c r="T34">
        <v>29.604527999999998</v>
      </c>
      <c r="U34">
        <v>30.117156999999999</v>
      </c>
      <c r="V34">
        <v>30.573536000000001</v>
      </c>
      <c r="W34">
        <v>30.986899999999999</v>
      </c>
      <c r="X34">
        <v>31.437296</v>
      </c>
      <c r="Y34">
        <v>31.758548999999999</v>
      </c>
      <c r="Z34">
        <v>32.106952999999997</v>
      </c>
      <c r="AA34">
        <v>32.412998000000002</v>
      </c>
      <c r="AB34">
        <v>32.726719000000003</v>
      </c>
      <c r="AC34">
        <v>32.964526999999997</v>
      </c>
      <c r="AD34">
        <v>33.336478999999997</v>
      </c>
      <c r="AE34">
        <v>33.624088</v>
      </c>
      <c r="AF34">
        <v>33.818747999999999</v>
      </c>
      <c r="AG34" s="144">
        <v>1.4999999999999999E-2</v>
      </c>
    </row>
    <row r="35" spans="1:33">
      <c r="A35" t="s">
        <v>3814</v>
      </c>
      <c r="B35" t="s">
        <v>3813</v>
      </c>
      <c r="C35" t="s">
        <v>3812</v>
      </c>
      <c r="D35" t="s">
        <v>1956</v>
      </c>
      <c r="F35">
        <v>13.769277000000001</v>
      </c>
      <c r="G35">
        <v>13.86491</v>
      </c>
      <c r="H35">
        <v>13.983874999999999</v>
      </c>
      <c r="I35">
        <v>14.109709000000001</v>
      </c>
      <c r="J35">
        <v>14.421766</v>
      </c>
      <c r="K35">
        <v>14.424688</v>
      </c>
      <c r="L35">
        <v>14.556281999999999</v>
      </c>
      <c r="M35">
        <v>14.750196000000001</v>
      </c>
      <c r="N35">
        <v>14.936327</v>
      </c>
      <c r="O35">
        <v>15.064475</v>
      </c>
      <c r="P35">
        <v>15.224270000000001</v>
      </c>
      <c r="Q35">
        <v>15.464074</v>
      </c>
      <c r="R35">
        <v>15.665839999999999</v>
      </c>
      <c r="S35">
        <v>15.84999</v>
      </c>
      <c r="T35">
        <v>16.032001000000001</v>
      </c>
      <c r="U35">
        <v>16.187612999999999</v>
      </c>
      <c r="V35">
        <v>16.309277000000002</v>
      </c>
      <c r="W35">
        <v>16.511687999999999</v>
      </c>
      <c r="X35">
        <v>16.675953</v>
      </c>
      <c r="Y35">
        <v>16.834778</v>
      </c>
      <c r="Z35">
        <v>16.980089</v>
      </c>
      <c r="AA35">
        <v>17.087033999999999</v>
      </c>
      <c r="AB35">
        <v>17.201184999999999</v>
      </c>
      <c r="AC35">
        <v>17.306694</v>
      </c>
      <c r="AD35">
        <v>17.349647999999998</v>
      </c>
      <c r="AE35">
        <v>17.431222999999999</v>
      </c>
      <c r="AF35">
        <v>17.567291000000001</v>
      </c>
      <c r="AG35" s="144">
        <v>8.9999999999999993E-3</v>
      </c>
    </row>
    <row r="36" spans="1:33">
      <c r="A36" t="s">
        <v>3811</v>
      </c>
      <c r="B36" t="s">
        <v>3810</v>
      </c>
      <c r="C36" t="s">
        <v>3809</v>
      </c>
      <c r="D36" t="s">
        <v>1956</v>
      </c>
      <c r="F36">
        <v>13.296923</v>
      </c>
      <c r="G36">
        <v>13.351376999999999</v>
      </c>
      <c r="H36">
        <v>13.405718999999999</v>
      </c>
      <c r="I36">
        <v>13.465928999999999</v>
      </c>
      <c r="J36">
        <v>13.534836</v>
      </c>
      <c r="K36">
        <v>13.601525000000001</v>
      </c>
      <c r="L36">
        <v>13.675136</v>
      </c>
      <c r="M36">
        <v>13.75475</v>
      </c>
      <c r="N36">
        <v>13.839869</v>
      </c>
      <c r="O36">
        <v>13.933196000000001</v>
      </c>
      <c r="P36">
        <v>14.030329999999999</v>
      </c>
      <c r="Q36">
        <v>14.136103</v>
      </c>
      <c r="R36">
        <v>14.245768</v>
      </c>
      <c r="S36">
        <v>14.363693</v>
      </c>
      <c r="T36">
        <v>14.48442</v>
      </c>
      <c r="U36">
        <v>14.607023</v>
      </c>
      <c r="V36">
        <v>14.721759</v>
      </c>
      <c r="W36">
        <v>14.851385000000001</v>
      </c>
      <c r="X36">
        <v>14.978259</v>
      </c>
      <c r="Y36">
        <v>15.111693000000001</v>
      </c>
      <c r="Z36">
        <v>15.246414</v>
      </c>
      <c r="AA36">
        <v>15.375544</v>
      </c>
      <c r="AB36">
        <v>15.505302</v>
      </c>
      <c r="AC36">
        <v>15.6272</v>
      </c>
      <c r="AD36">
        <v>15.74775</v>
      </c>
      <c r="AE36">
        <v>15.865226</v>
      </c>
      <c r="AF36">
        <v>15.983394000000001</v>
      </c>
      <c r="AG36" s="144">
        <v>7.0000000000000001E-3</v>
      </c>
    </row>
    <row r="37" spans="1:33">
      <c r="A37" t="s">
        <v>3808</v>
      </c>
      <c r="B37" t="s">
        <v>3807</v>
      </c>
      <c r="C37" t="s">
        <v>3806</v>
      </c>
      <c r="D37" t="s">
        <v>1956</v>
      </c>
      <c r="F37">
        <v>7.7570230000000002</v>
      </c>
      <c r="G37">
        <v>7.8260310000000004</v>
      </c>
      <c r="H37">
        <v>7.9062919999999997</v>
      </c>
      <c r="I37">
        <v>7.9960290000000001</v>
      </c>
      <c r="J37">
        <v>8.0947890000000005</v>
      </c>
      <c r="K37">
        <v>8.1991750000000003</v>
      </c>
      <c r="L37">
        <v>8.3074709999999996</v>
      </c>
      <c r="M37">
        <v>8.4176070000000003</v>
      </c>
      <c r="N37">
        <v>8.5283219999999993</v>
      </c>
      <c r="O37">
        <v>8.6380099999999995</v>
      </c>
      <c r="P37">
        <v>8.7450679999999998</v>
      </c>
      <c r="Q37">
        <v>8.8470669999999991</v>
      </c>
      <c r="R37">
        <v>8.9420540000000006</v>
      </c>
      <c r="S37">
        <v>9.029954</v>
      </c>
      <c r="T37">
        <v>9.1127330000000004</v>
      </c>
      <c r="U37">
        <v>9.1914820000000006</v>
      </c>
      <c r="V37">
        <v>9.2668909999999993</v>
      </c>
      <c r="W37">
        <v>9.3372069999999994</v>
      </c>
      <c r="X37">
        <v>9.4020580000000002</v>
      </c>
      <c r="Y37">
        <v>9.4613700000000005</v>
      </c>
      <c r="Z37">
        <v>9.5162099999999992</v>
      </c>
      <c r="AA37">
        <v>9.5691059999999997</v>
      </c>
      <c r="AB37">
        <v>9.6208910000000003</v>
      </c>
      <c r="AC37">
        <v>9.6705670000000001</v>
      </c>
      <c r="AD37">
        <v>9.7169790000000003</v>
      </c>
      <c r="AE37">
        <v>9.7613710000000005</v>
      </c>
      <c r="AF37">
        <v>9.8045439999999999</v>
      </c>
      <c r="AG37" s="144">
        <v>8.9999999999999993E-3</v>
      </c>
    </row>
    <row r="38" spans="1:33">
      <c r="A38" t="s">
        <v>3805</v>
      </c>
    </row>
    <row r="39" spans="1:33">
      <c r="A39" t="s">
        <v>3804</v>
      </c>
      <c r="B39" t="s">
        <v>3803</v>
      </c>
      <c r="C39" t="s">
        <v>3802</v>
      </c>
      <c r="D39" t="s">
        <v>2409</v>
      </c>
      <c r="F39">
        <v>85.368492000000003</v>
      </c>
      <c r="G39">
        <v>85.782234000000003</v>
      </c>
      <c r="H39">
        <v>86.453063999999998</v>
      </c>
      <c r="I39">
        <v>87.127350000000007</v>
      </c>
      <c r="J39">
        <v>87.815926000000005</v>
      </c>
      <c r="K39">
        <v>88.497085999999996</v>
      </c>
      <c r="L39">
        <v>89.183655000000002</v>
      </c>
      <c r="M39">
        <v>89.886848000000001</v>
      </c>
      <c r="N39">
        <v>90.639893000000001</v>
      </c>
      <c r="O39">
        <v>91.399001999999996</v>
      </c>
      <c r="P39">
        <v>92.155806999999996</v>
      </c>
      <c r="Q39">
        <v>92.914574000000002</v>
      </c>
      <c r="R39">
        <v>93.675323000000006</v>
      </c>
      <c r="S39">
        <v>94.433295999999999</v>
      </c>
      <c r="T39">
        <v>95.211731</v>
      </c>
      <c r="U39">
        <v>95.983520999999996</v>
      </c>
      <c r="V39">
        <v>96.768569999999997</v>
      </c>
      <c r="W39">
        <v>97.563377000000003</v>
      </c>
      <c r="X39">
        <v>98.389313000000001</v>
      </c>
      <c r="Y39">
        <v>99.21096</v>
      </c>
      <c r="Z39">
        <v>100.03321099999999</v>
      </c>
      <c r="AA39">
        <v>100.86144299999999</v>
      </c>
      <c r="AB39">
        <v>101.69375599999999</v>
      </c>
      <c r="AC39">
        <v>102.534424</v>
      </c>
      <c r="AD39">
        <v>103.379761</v>
      </c>
      <c r="AE39">
        <v>104.22199999999999</v>
      </c>
      <c r="AF39">
        <v>105.063164</v>
      </c>
      <c r="AG39" s="144">
        <v>8.0000000000000002E-3</v>
      </c>
    </row>
    <row r="40" spans="1:33">
      <c r="A40" t="s">
        <v>3801</v>
      </c>
    </row>
    <row r="41" spans="1:33">
      <c r="A41" t="s">
        <v>168</v>
      </c>
      <c r="B41" t="s">
        <v>3800</v>
      </c>
      <c r="C41" t="s">
        <v>3799</v>
      </c>
      <c r="D41" t="s">
        <v>1794</v>
      </c>
      <c r="F41">
        <v>3.3734500000000001</v>
      </c>
      <c r="G41">
        <v>3.3770099999999998</v>
      </c>
      <c r="H41">
        <v>3.3805740000000002</v>
      </c>
      <c r="I41">
        <v>3.3841420000000002</v>
      </c>
      <c r="J41">
        <v>3.3877130000000002</v>
      </c>
      <c r="K41">
        <v>3.391289</v>
      </c>
      <c r="L41">
        <v>3.3948680000000002</v>
      </c>
      <c r="M41">
        <v>3.3984510000000001</v>
      </c>
      <c r="N41">
        <v>3.402037</v>
      </c>
      <c r="O41">
        <v>3.4056280000000001</v>
      </c>
      <c r="P41">
        <v>3.4092220000000002</v>
      </c>
      <c r="Q41">
        <v>3.41282</v>
      </c>
      <c r="R41">
        <v>3.4164219999999998</v>
      </c>
      <c r="S41">
        <v>3.4200270000000002</v>
      </c>
      <c r="T41">
        <v>3.4236369999999998</v>
      </c>
      <c r="U41">
        <v>3.4272499999999999</v>
      </c>
      <c r="V41">
        <v>3.4308670000000001</v>
      </c>
      <c r="W41">
        <v>3.434488</v>
      </c>
      <c r="X41">
        <v>3.438113</v>
      </c>
      <c r="Y41">
        <v>3.4417409999999999</v>
      </c>
      <c r="Z41">
        <v>3.445373</v>
      </c>
      <c r="AA41">
        <v>3.4490099999999999</v>
      </c>
      <c r="AB41">
        <v>3.4526490000000001</v>
      </c>
      <c r="AC41">
        <v>3.4562930000000001</v>
      </c>
      <c r="AD41">
        <v>3.4599410000000002</v>
      </c>
      <c r="AE41">
        <v>3.4635929999999999</v>
      </c>
      <c r="AF41">
        <v>3.4672480000000001</v>
      </c>
      <c r="AG41" s="144">
        <v>1E-3</v>
      </c>
    </row>
    <row r="42" spans="1:33">
      <c r="A42" t="s">
        <v>193</v>
      </c>
      <c r="B42" t="s">
        <v>3798</v>
      </c>
      <c r="C42" t="s">
        <v>3797</v>
      </c>
      <c r="D42" t="s">
        <v>1794</v>
      </c>
      <c r="F42">
        <v>4.8577789999999998</v>
      </c>
      <c r="G42">
        <v>4.876665</v>
      </c>
      <c r="H42">
        <v>4.8956239999999998</v>
      </c>
      <c r="I42">
        <v>4.9146570000000001</v>
      </c>
      <c r="J42">
        <v>4.933764</v>
      </c>
      <c r="K42">
        <v>4.9529449999999997</v>
      </c>
      <c r="L42">
        <v>4.9722</v>
      </c>
      <c r="M42">
        <v>4.9915310000000002</v>
      </c>
      <c r="N42">
        <v>5.0109370000000002</v>
      </c>
      <c r="O42">
        <v>5.0304180000000001</v>
      </c>
      <c r="P42">
        <v>5.0499749999999999</v>
      </c>
      <c r="Q42">
        <v>5.0696079999999997</v>
      </c>
      <c r="R42">
        <v>5.0893170000000003</v>
      </c>
      <c r="S42">
        <v>5.1091030000000002</v>
      </c>
      <c r="T42">
        <v>5.1289660000000001</v>
      </c>
      <c r="U42">
        <v>5.1489060000000002</v>
      </c>
      <c r="V42">
        <v>5.1689230000000004</v>
      </c>
      <c r="W42">
        <v>5.189019</v>
      </c>
      <c r="X42">
        <v>5.2091919999999998</v>
      </c>
      <c r="Y42">
        <v>5.2294450000000001</v>
      </c>
      <c r="Z42">
        <v>5.2497749999999996</v>
      </c>
      <c r="AA42">
        <v>5.2701849999999997</v>
      </c>
      <c r="AB42">
        <v>5.2906740000000001</v>
      </c>
      <c r="AC42">
        <v>5.3112430000000002</v>
      </c>
      <c r="AD42">
        <v>5.3318919999999999</v>
      </c>
      <c r="AE42">
        <v>5.3526210000000001</v>
      </c>
      <c r="AF42">
        <v>5.3734299999999999</v>
      </c>
      <c r="AG42" s="144">
        <v>4.0000000000000001E-3</v>
      </c>
    </row>
    <row r="43" spans="1:33">
      <c r="A43" t="s">
        <v>103</v>
      </c>
    </row>
    <row r="44" spans="1:33">
      <c r="A44" t="s">
        <v>3796</v>
      </c>
    </row>
    <row r="45" spans="1:33">
      <c r="A45" t="s">
        <v>3710</v>
      </c>
      <c r="B45" t="s">
        <v>3778</v>
      </c>
      <c r="C45" t="s">
        <v>3795</v>
      </c>
      <c r="D45" t="s">
        <v>3780</v>
      </c>
      <c r="F45">
        <v>15.264656</v>
      </c>
      <c r="G45">
        <v>15.318794</v>
      </c>
      <c r="H45">
        <v>15.263797</v>
      </c>
      <c r="I45">
        <v>15.137206000000001</v>
      </c>
      <c r="J45">
        <v>14.977221</v>
      </c>
      <c r="K45">
        <v>14.792021999999999</v>
      </c>
      <c r="L45">
        <v>14.586777</v>
      </c>
      <c r="M45">
        <v>14.410761000000001</v>
      </c>
      <c r="N45">
        <v>14.212754</v>
      </c>
      <c r="O45">
        <v>14.032137000000001</v>
      </c>
      <c r="P45">
        <v>13.876548</v>
      </c>
      <c r="Q45">
        <v>13.716936</v>
      </c>
      <c r="R45">
        <v>13.53182</v>
      </c>
      <c r="S45">
        <v>13.355209</v>
      </c>
      <c r="T45">
        <v>13.213084</v>
      </c>
      <c r="U45">
        <v>13.074738</v>
      </c>
      <c r="V45">
        <v>12.960391</v>
      </c>
      <c r="W45">
        <v>12.861575999999999</v>
      </c>
      <c r="X45">
        <v>12.746392999999999</v>
      </c>
      <c r="Y45">
        <v>12.672746999999999</v>
      </c>
      <c r="Z45">
        <v>12.58318</v>
      </c>
      <c r="AA45">
        <v>12.516975</v>
      </c>
      <c r="AB45">
        <v>12.440613000000001</v>
      </c>
      <c r="AC45">
        <v>12.393321</v>
      </c>
      <c r="AD45">
        <v>12.311717</v>
      </c>
      <c r="AE45">
        <v>12.264787</v>
      </c>
      <c r="AF45">
        <v>12.255931</v>
      </c>
      <c r="AG45" s="144">
        <v>-8.0000000000000002E-3</v>
      </c>
    </row>
    <row r="46" spans="1:33">
      <c r="A46" t="s">
        <v>3776</v>
      </c>
      <c r="B46" t="s">
        <v>3775</v>
      </c>
      <c r="C46" t="s">
        <v>3794</v>
      </c>
      <c r="D46" t="s">
        <v>3780</v>
      </c>
      <c r="F46">
        <v>0.87437500000000001</v>
      </c>
      <c r="G46">
        <v>0.85573900000000003</v>
      </c>
      <c r="H46">
        <v>0.83974099999999996</v>
      </c>
      <c r="I46">
        <v>0.82906299999999999</v>
      </c>
      <c r="J46">
        <v>0.81703800000000004</v>
      </c>
      <c r="K46">
        <v>0.80652299999999999</v>
      </c>
      <c r="L46">
        <v>0.79705300000000001</v>
      </c>
      <c r="M46">
        <v>0.78666800000000003</v>
      </c>
      <c r="N46">
        <v>0.77601900000000001</v>
      </c>
      <c r="O46">
        <v>0.76574799999999998</v>
      </c>
      <c r="P46">
        <v>0.75515299999999996</v>
      </c>
      <c r="Q46">
        <v>0.74423300000000003</v>
      </c>
      <c r="R46">
        <v>0.73315399999999997</v>
      </c>
      <c r="S46">
        <v>0.72199100000000005</v>
      </c>
      <c r="T46">
        <v>0.71085900000000002</v>
      </c>
      <c r="U46">
        <v>0.69993099999999997</v>
      </c>
      <c r="V46">
        <v>0.68972299999999997</v>
      </c>
      <c r="W46">
        <v>0.67865399999999998</v>
      </c>
      <c r="X46">
        <v>0.66812099999999996</v>
      </c>
      <c r="Y46">
        <v>0.65726200000000001</v>
      </c>
      <c r="Z46">
        <v>0.64687300000000003</v>
      </c>
      <c r="AA46">
        <v>0.63653199999999999</v>
      </c>
      <c r="AB46">
        <v>0.62642500000000001</v>
      </c>
      <c r="AC46">
        <v>0.61649600000000004</v>
      </c>
      <c r="AD46">
        <v>0.60653199999999996</v>
      </c>
      <c r="AE46">
        <v>0.59660599999999997</v>
      </c>
      <c r="AF46">
        <v>0.58668299999999995</v>
      </c>
      <c r="AG46" s="144">
        <v>-1.4999999999999999E-2</v>
      </c>
    </row>
    <row r="47" spans="1:33">
      <c r="A47" t="s">
        <v>3773</v>
      </c>
      <c r="B47" t="s">
        <v>3772</v>
      </c>
      <c r="C47" t="s">
        <v>3793</v>
      </c>
      <c r="D47" t="s">
        <v>3780</v>
      </c>
      <c r="F47">
        <v>0.20785899999999999</v>
      </c>
      <c r="G47">
        <v>0.21351600000000001</v>
      </c>
      <c r="H47">
        <v>0.21612999999999999</v>
      </c>
      <c r="I47">
        <v>0.21712600000000001</v>
      </c>
      <c r="J47">
        <v>0.21748200000000001</v>
      </c>
      <c r="K47">
        <v>0.21742800000000001</v>
      </c>
      <c r="L47">
        <v>0.21724399999999999</v>
      </c>
      <c r="M47">
        <v>0.21624199999999999</v>
      </c>
      <c r="N47">
        <v>0.21476500000000001</v>
      </c>
      <c r="O47">
        <v>0.21318599999999999</v>
      </c>
      <c r="P47">
        <v>0.21190600000000001</v>
      </c>
      <c r="Q47">
        <v>0.210372</v>
      </c>
      <c r="R47">
        <v>0.208783</v>
      </c>
      <c r="S47">
        <v>0.20722499999999999</v>
      </c>
      <c r="T47">
        <v>0.20564499999999999</v>
      </c>
      <c r="U47">
        <v>0.20397999999999999</v>
      </c>
      <c r="V47">
        <v>0.20218700000000001</v>
      </c>
      <c r="W47">
        <v>0.20030100000000001</v>
      </c>
      <c r="X47">
        <v>0.198292</v>
      </c>
      <c r="Y47">
        <v>0.19633700000000001</v>
      </c>
      <c r="Z47">
        <v>0.19428100000000001</v>
      </c>
      <c r="AA47">
        <v>0.19231999999999999</v>
      </c>
      <c r="AB47">
        <v>0.190195</v>
      </c>
      <c r="AC47">
        <v>0.18795100000000001</v>
      </c>
      <c r="AD47">
        <v>0.18579200000000001</v>
      </c>
      <c r="AE47">
        <v>0.18369099999999999</v>
      </c>
      <c r="AF47">
        <v>0.18190400000000001</v>
      </c>
      <c r="AG47" s="144">
        <v>-5.0000000000000001E-3</v>
      </c>
    </row>
    <row r="48" spans="1:33">
      <c r="A48" t="s">
        <v>3666</v>
      </c>
      <c r="B48" t="s">
        <v>3770</v>
      </c>
      <c r="C48" t="s">
        <v>3792</v>
      </c>
      <c r="D48" t="s">
        <v>3780</v>
      </c>
      <c r="F48">
        <v>6.005128</v>
      </c>
      <c r="G48">
        <v>6.058611</v>
      </c>
      <c r="H48">
        <v>6.0625530000000003</v>
      </c>
      <c r="I48">
        <v>6.0522770000000001</v>
      </c>
      <c r="J48">
        <v>6.0186789999999997</v>
      </c>
      <c r="K48">
        <v>5.988855</v>
      </c>
      <c r="L48">
        <v>5.9601290000000002</v>
      </c>
      <c r="M48">
        <v>5.9234799999999996</v>
      </c>
      <c r="N48">
        <v>5.8891929999999997</v>
      </c>
      <c r="O48">
        <v>5.8513450000000002</v>
      </c>
      <c r="P48">
        <v>5.82186</v>
      </c>
      <c r="Q48">
        <v>5.7964849999999997</v>
      </c>
      <c r="R48">
        <v>5.7830719999999998</v>
      </c>
      <c r="S48">
        <v>5.7776480000000001</v>
      </c>
      <c r="T48">
        <v>5.7755739999999998</v>
      </c>
      <c r="U48">
        <v>5.7705010000000003</v>
      </c>
      <c r="V48">
        <v>5.7706039999999996</v>
      </c>
      <c r="W48">
        <v>5.7710679999999996</v>
      </c>
      <c r="X48">
        <v>5.774972</v>
      </c>
      <c r="Y48">
        <v>5.7765789999999999</v>
      </c>
      <c r="Z48">
        <v>5.7777500000000002</v>
      </c>
      <c r="AA48">
        <v>5.7845149999999999</v>
      </c>
      <c r="AB48">
        <v>5.7897829999999999</v>
      </c>
      <c r="AC48">
        <v>5.816376</v>
      </c>
      <c r="AD48">
        <v>5.8437739999999998</v>
      </c>
      <c r="AE48">
        <v>5.8675810000000004</v>
      </c>
      <c r="AF48">
        <v>5.8845640000000001</v>
      </c>
      <c r="AG48" s="144">
        <v>-1E-3</v>
      </c>
    </row>
    <row r="49" spans="1:34">
      <c r="A49" t="s">
        <v>168</v>
      </c>
      <c r="B49" t="s">
        <v>3768</v>
      </c>
      <c r="C49" t="s">
        <v>3767</v>
      </c>
      <c r="D49" t="s">
        <v>3791</v>
      </c>
      <c r="E49" t="s">
        <v>3780</v>
      </c>
      <c r="F49">
        <v>4.3892E-2</v>
      </c>
      <c r="G49">
        <v>4.6490999999999998E-2</v>
      </c>
      <c r="H49">
        <v>4.7928999999999999E-2</v>
      </c>
      <c r="I49">
        <v>4.8710999999999997E-2</v>
      </c>
      <c r="J49">
        <v>4.9231999999999998E-2</v>
      </c>
      <c r="K49">
        <v>4.9773999999999999E-2</v>
      </c>
      <c r="L49">
        <v>5.0394000000000001E-2</v>
      </c>
      <c r="M49">
        <v>5.0847000000000003E-2</v>
      </c>
      <c r="N49">
        <v>5.1249999999999997E-2</v>
      </c>
      <c r="O49">
        <v>5.1577999999999999E-2</v>
      </c>
      <c r="P49">
        <v>5.1859000000000002E-2</v>
      </c>
      <c r="Q49">
        <v>5.2283999999999997E-2</v>
      </c>
      <c r="R49">
        <v>5.2821E-2</v>
      </c>
      <c r="S49">
        <v>5.3370000000000001E-2</v>
      </c>
      <c r="T49">
        <v>5.3935999999999998E-2</v>
      </c>
      <c r="U49">
        <v>5.4448999999999997E-2</v>
      </c>
      <c r="V49">
        <v>5.4919999999999997E-2</v>
      </c>
      <c r="W49">
        <v>5.534E-2</v>
      </c>
      <c r="X49">
        <v>5.5737000000000002E-2</v>
      </c>
      <c r="Y49">
        <v>5.6128999999999998E-2</v>
      </c>
      <c r="Z49">
        <v>5.6454999999999998E-2</v>
      </c>
      <c r="AA49">
        <v>5.6805000000000001E-2</v>
      </c>
      <c r="AB49">
        <v>5.7083000000000002E-2</v>
      </c>
      <c r="AC49">
        <v>5.7393E-2</v>
      </c>
      <c r="AD49">
        <v>5.7764999999999997E-2</v>
      </c>
      <c r="AE49">
        <v>5.8137000000000001E-2</v>
      </c>
      <c r="AF49">
        <v>5.8624999999999997E-2</v>
      </c>
      <c r="AG49" s="144">
        <v>1.0999999999999999E-2</v>
      </c>
      <c r="AH49" s="144"/>
    </row>
    <row r="50" spans="1:34">
      <c r="A50" t="s">
        <v>168</v>
      </c>
      <c r="B50" t="s">
        <v>3765</v>
      </c>
      <c r="C50" t="s">
        <v>3764</v>
      </c>
      <c r="D50" t="s">
        <v>3790</v>
      </c>
      <c r="E50" t="s">
        <v>3780</v>
      </c>
      <c r="F50">
        <v>0.43423099999999998</v>
      </c>
      <c r="G50">
        <v>0.44375900000000001</v>
      </c>
      <c r="H50">
        <v>0.43258099999999999</v>
      </c>
      <c r="I50">
        <v>0.41775200000000001</v>
      </c>
      <c r="J50">
        <v>0.41742499999999999</v>
      </c>
      <c r="K50">
        <v>0.41593799999999997</v>
      </c>
      <c r="L50">
        <v>0.403474</v>
      </c>
      <c r="M50">
        <v>0.40317799999999998</v>
      </c>
      <c r="N50">
        <v>0.38383200000000001</v>
      </c>
      <c r="O50">
        <v>0.38530700000000001</v>
      </c>
      <c r="P50">
        <v>0.38127499999999998</v>
      </c>
      <c r="Q50">
        <v>0.38103999999999999</v>
      </c>
      <c r="R50">
        <v>0.38219799999999998</v>
      </c>
      <c r="S50">
        <v>0.38373699999999999</v>
      </c>
      <c r="T50">
        <v>0.38856000000000002</v>
      </c>
      <c r="U50">
        <v>0.38572499999999998</v>
      </c>
      <c r="V50">
        <v>0.38717000000000001</v>
      </c>
      <c r="W50">
        <v>0.38733400000000001</v>
      </c>
      <c r="X50">
        <v>0.38897700000000002</v>
      </c>
      <c r="Y50">
        <v>0.39084999999999998</v>
      </c>
      <c r="Z50">
        <v>0.39176299999999997</v>
      </c>
      <c r="AA50">
        <v>0.39273799999999998</v>
      </c>
      <c r="AB50">
        <v>0.39265099999999997</v>
      </c>
      <c r="AC50">
        <v>0.39648099999999997</v>
      </c>
      <c r="AD50">
        <v>0.39958100000000002</v>
      </c>
      <c r="AE50">
        <v>0.40209800000000001</v>
      </c>
      <c r="AF50">
        <v>0.40297500000000003</v>
      </c>
      <c r="AG50" s="144">
        <v>-3.0000000000000001E-3</v>
      </c>
      <c r="AH50" s="144"/>
    </row>
    <row r="51" spans="1:34">
      <c r="A51" t="s">
        <v>3759</v>
      </c>
      <c r="B51" t="s">
        <v>3762</v>
      </c>
      <c r="C51" t="s">
        <v>3761</v>
      </c>
      <c r="D51" t="s">
        <v>3789</v>
      </c>
      <c r="E51" t="s">
        <v>3780</v>
      </c>
      <c r="F51">
        <v>9.4440999999999997E-2</v>
      </c>
      <c r="G51">
        <v>9.5329999999999998E-2</v>
      </c>
      <c r="H51">
        <v>9.4565999999999997E-2</v>
      </c>
      <c r="I51">
        <v>9.3798000000000006E-2</v>
      </c>
      <c r="J51">
        <v>9.3107999999999996E-2</v>
      </c>
      <c r="K51">
        <v>9.2339000000000004E-2</v>
      </c>
      <c r="L51">
        <v>9.1481000000000007E-2</v>
      </c>
      <c r="M51">
        <v>9.0542999999999998E-2</v>
      </c>
      <c r="N51">
        <v>8.9462E-2</v>
      </c>
      <c r="O51">
        <v>8.8707999999999995E-2</v>
      </c>
      <c r="P51">
        <v>8.8034000000000001E-2</v>
      </c>
      <c r="Q51">
        <v>8.7319999999999995E-2</v>
      </c>
      <c r="R51">
        <v>8.6580000000000004E-2</v>
      </c>
      <c r="S51">
        <v>8.5944999999999994E-2</v>
      </c>
      <c r="T51">
        <v>8.5342000000000001E-2</v>
      </c>
      <c r="U51">
        <v>8.4675E-2</v>
      </c>
      <c r="V51">
        <v>8.4112000000000006E-2</v>
      </c>
      <c r="W51">
        <v>8.3540000000000003E-2</v>
      </c>
      <c r="X51">
        <v>8.2974000000000006E-2</v>
      </c>
      <c r="Y51">
        <v>8.2354999999999998E-2</v>
      </c>
      <c r="Z51">
        <v>8.1680000000000003E-2</v>
      </c>
      <c r="AA51">
        <v>8.1034999999999996E-2</v>
      </c>
      <c r="AB51">
        <v>8.0381999999999995E-2</v>
      </c>
      <c r="AC51">
        <v>7.9953999999999997E-2</v>
      </c>
      <c r="AD51">
        <v>7.9430000000000001E-2</v>
      </c>
      <c r="AE51">
        <v>7.8866000000000006E-2</v>
      </c>
      <c r="AF51">
        <v>7.8278E-2</v>
      </c>
      <c r="AG51" s="144">
        <v>-7.0000000000000001E-3</v>
      </c>
      <c r="AH51" s="144"/>
    </row>
    <row r="52" spans="1:34">
      <c r="A52" t="s">
        <v>3759</v>
      </c>
      <c r="B52" t="s">
        <v>3758</v>
      </c>
      <c r="C52" t="s">
        <v>3757</v>
      </c>
      <c r="D52" t="s">
        <v>3788</v>
      </c>
      <c r="E52" t="s">
        <v>3780</v>
      </c>
      <c r="F52">
        <v>0.75211899999999998</v>
      </c>
      <c r="G52">
        <v>0.73338199999999998</v>
      </c>
      <c r="H52">
        <v>0.74175500000000005</v>
      </c>
      <c r="I52">
        <v>0.75531999999999999</v>
      </c>
      <c r="J52">
        <v>0.76629499999999995</v>
      </c>
      <c r="K52">
        <v>0.778196</v>
      </c>
      <c r="L52">
        <v>0.78992600000000002</v>
      </c>
      <c r="M52">
        <v>0.80055600000000005</v>
      </c>
      <c r="N52">
        <v>0.81212399999999996</v>
      </c>
      <c r="O52">
        <v>0.82328699999999999</v>
      </c>
      <c r="P52">
        <v>0.83492999999999995</v>
      </c>
      <c r="Q52">
        <v>0.84416400000000003</v>
      </c>
      <c r="R52">
        <v>0.85184199999999999</v>
      </c>
      <c r="S52">
        <v>0.85928400000000005</v>
      </c>
      <c r="T52">
        <v>0.86581799999999998</v>
      </c>
      <c r="U52">
        <v>0.87240700000000004</v>
      </c>
      <c r="V52">
        <v>0.87826199999999999</v>
      </c>
      <c r="W52">
        <v>0.88398900000000002</v>
      </c>
      <c r="X52">
        <v>0.88983500000000004</v>
      </c>
      <c r="Y52">
        <v>0.89557200000000003</v>
      </c>
      <c r="Z52">
        <v>0.90109300000000003</v>
      </c>
      <c r="AA52">
        <v>0.90631600000000001</v>
      </c>
      <c r="AB52">
        <v>0.91075899999999999</v>
      </c>
      <c r="AC52">
        <v>0.91678400000000004</v>
      </c>
      <c r="AD52">
        <v>0.92391900000000005</v>
      </c>
      <c r="AE52">
        <v>0.93080399999999996</v>
      </c>
      <c r="AF52">
        <v>0.93727300000000002</v>
      </c>
      <c r="AG52" s="144">
        <v>8.9999999999999993E-3</v>
      </c>
      <c r="AH52" s="144"/>
    </row>
    <row r="53" spans="1:34">
      <c r="A53" t="s">
        <v>3755</v>
      </c>
      <c r="B53" t="s">
        <v>3754</v>
      </c>
      <c r="C53" t="s">
        <v>3787</v>
      </c>
      <c r="D53" t="s">
        <v>3780</v>
      </c>
      <c r="F53">
        <v>0.20760500000000001</v>
      </c>
      <c r="G53">
        <v>0.20604500000000001</v>
      </c>
      <c r="H53">
        <v>0.20525199999999999</v>
      </c>
      <c r="I53">
        <v>0.204434</v>
      </c>
      <c r="J53">
        <v>0.20314499999999999</v>
      </c>
      <c r="K53">
        <v>0.20208499999999999</v>
      </c>
      <c r="L53">
        <v>0.20075299999999999</v>
      </c>
      <c r="M53">
        <v>0.19906499999999999</v>
      </c>
      <c r="N53">
        <v>0.19771900000000001</v>
      </c>
      <c r="O53">
        <v>0.19650300000000001</v>
      </c>
      <c r="P53">
        <v>0.19525300000000001</v>
      </c>
      <c r="Q53">
        <v>0.19423499999999999</v>
      </c>
      <c r="R53">
        <v>0.193269</v>
      </c>
      <c r="S53">
        <v>0.19245499999999999</v>
      </c>
      <c r="T53">
        <v>0.19170200000000001</v>
      </c>
      <c r="U53">
        <v>0.19090599999999999</v>
      </c>
      <c r="V53">
        <v>0.19012599999999999</v>
      </c>
      <c r="W53">
        <v>0.18931899999999999</v>
      </c>
      <c r="X53">
        <v>0.18861600000000001</v>
      </c>
      <c r="Y53">
        <v>0.187856</v>
      </c>
      <c r="Z53">
        <v>0.18696299999999999</v>
      </c>
      <c r="AA53">
        <v>0.18601500000000001</v>
      </c>
      <c r="AB53">
        <v>0.18501600000000001</v>
      </c>
      <c r="AC53">
        <v>0.18428600000000001</v>
      </c>
      <c r="AD53">
        <v>0.183617</v>
      </c>
      <c r="AE53">
        <v>0.18285100000000001</v>
      </c>
      <c r="AF53">
        <v>0.18205499999999999</v>
      </c>
      <c r="AG53" s="144">
        <v>-5.0000000000000001E-3</v>
      </c>
    </row>
    <row r="54" spans="1:34">
      <c r="A54" t="s">
        <v>161</v>
      </c>
      <c r="B54" t="s">
        <v>3752</v>
      </c>
      <c r="C54" t="s">
        <v>3786</v>
      </c>
      <c r="D54" t="s">
        <v>3780</v>
      </c>
      <c r="F54">
        <v>3.2683239999999998</v>
      </c>
      <c r="G54">
        <v>3.2620330000000002</v>
      </c>
      <c r="H54">
        <v>3.2887469999999999</v>
      </c>
      <c r="I54">
        <v>3.3238750000000001</v>
      </c>
      <c r="J54">
        <v>3.351261</v>
      </c>
      <c r="K54">
        <v>3.3835480000000002</v>
      </c>
      <c r="L54">
        <v>3.411572</v>
      </c>
      <c r="M54">
        <v>3.4309509999999999</v>
      </c>
      <c r="N54">
        <v>3.4546049999999999</v>
      </c>
      <c r="O54">
        <v>3.4793050000000001</v>
      </c>
      <c r="P54">
        <v>3.5032459999999999</v>
      </c>
      <c r="Q54">
        <v>3.5340240000000001</v>
      </c>
      <c r="R54">
        <v>3.5675560000000002</v>
      </c>
      <c r="S54">
        <v>3.6071569999999999</v>
      </c>
      <c r="T54">
        <v>3.6496209999999998</v>
      </c>
      <c r="U54">
        <v>3.6931419999999999</v>
      </c>
      <c r="V54">
        <v>3.735951</v>
      </c>
      <c r="W54">
        <v>3.776446</v>
      </c>
      <c r="X54">
        <v>3.821688</v>
      </c>
      <c r="Y54">
        <v>3.8639779999999999</v>
      </c>
      <c r="Z54">
        <v>3.9011779999999998</v>
      </c>
      <c r="AA54">
        <v>3.9369100000000001</v>
      </c>
      <c r="AB54">
        <v>3.970224</v>
      </c>
      <c r="AC54">
        <v>4.0111319999999999</v>
      </c>
      <c r="AD54">
        <v>4.0551300000000001</v>
      </c>
      <c r="AE54">
        <v>4.0945159999999996</v>
      </c>
      <c r="AF54">
        <v>4.1335119999999996</v>
      </c>
      <c r="AG54" s="144">
        <v>8.9999999999999993E-3</v>
      </c>
    </row>
    <row r="55" spans="1:34">
      <c r="A55" t="s">
        <v>3750</v>
      </c>
      <c r="B55" t="s">
        <v>3749</v>
      </c>
      <c r="C55" t="s">
        <v>3785</v>
      </c>
      <c r="D55" t="s">
        <v>3780</v>
      </c>
      <c r="F55">
        <v>0.44478899999999999</v>
      </c>
      <c r="G55">
        <v>0.44984499999999999</v>
      </c>
      <c r="H55">
        <v>0.45296900000000001</v>
      </c>
      <c r="I55">
        <v>0.45489600000000002</v>
      </c>
      <c r="J55">
        <v>0.455762</v>
      </c>
      <c r="K55">
        <v>0.45559300000000003</v>
      </c>
      <c r="L55">
        <v>0.45537699999999998</v>
      </c>
      <c r="M55">
        <v>0.45584200000000002</v>
      </c>
      <c r="N55">
        <v>0.45621699999999998</v>
      </c>
      <c r="O55">
        <v>0.45661000000000002</v>
      </c>
      <c r="P55">
        <v>0.45693299999999998</v>
      </c>
      <c r="Q55">
        <v>0.45718500000000001</v>
      </c>
      <c r="R55">
        <v>0.45763300000000001</v>
      </c>
      <c r="S55">
        <v>0.45822099999999999</v>
      </c>
      <c r="T55">
        <v>0.458787</v>
      </c>
      <c r="U55">
        <v>0.459339</v>
      </c>
      <c r="V55">
        <v>0.45987499999999998</v>
      </c>
      <c r="W55">
        <v>0.460399</v>
      </c>
      <c r="X55">
        <v>0.46091399999999999</v>
      </c>
      <c r="Y55">
        <v>0.46142300000000003</v>
      </c>
      <c r="Z55">
        <v>0.46192699999999998</v>
      </c>
      <c r="AA55">
        <v>0.46242499999999997</v>
      </c>
      <c r="AB55">
        <v>0.462922</v>
      </c>
      <c r="AC55">
        <v>0.46341900000000003</v>
      </c>
      <c r="AD55">
        <v>0.46391300000000002</v>
      </c>
      <c r="AE55">
        <v>0.46440799999999999</v>
      </c>
      <c r="AF55">
        <v>0.46490399999999998</v>
      </c>
      <c r="AG55" s="144">
        <v>2E-3</v>
      </c>
    </row>
    <row r="56" spans="1:34">
      <c r="A56" t="s">
        <v>3747</v>
      </c>
      <c r="B56" t="s">
        <v>3746</v>
      </c>
      <c r="C56" t="s">
        <v>3784</v>
      </c>
      <c r="D56" t="s">
        <v>3780</v>
      </c>
      <c r="F56">
        <v>0.134269</v>
      </c>
      <c r="G56">
        <v>0.13466500000000001</v>
      </c>
      <c r="H56">
        <v>0.13530500000000001</v>
      </c>
      <c r="I56">
        <v>0.135764</v>
      </c>
      <c r="J56">
        <v>0.13597200000000001</v>
      </c>
      <c r="K56">
        <v>0.13608500000000001</v>
      </c>
      <c r="L56">
        <v>0.136129</v>
      </c>
      <c r="M56">
        <v>0.13605500000000001</v>
      </c>
      <c r="N56">
        <v>0.135958</v>
      </c>
      <c r="O56">
        <v>0.13591</v>
      </c>
      <c r="P56">
        <v>0.13589200000000001</v>
      </c>
      <c r="Q56">
        <v>0.13586300000000001</v>
      </c>
      <c r="R56">
        <v>0.135821</v>
      </c>
      <c r="S56">
        <v>0.13577600000000001</v>
      </c>
      <c r="T56">
        <v>0.13575699999999999</v>
      </c>
      <c r="U56">
        <v>0.135764</v>
      </c>
      <c r="V56">
        <v>0.135768</v>
      </c>
      <c r="W56">
        <v>0.135743</v>
      </c>
      <c r="X56">
        <v>0.13569899999999999</v>
      </c>
      <c r="Y56">
        <v>0.135634</v>
      </c>
      <c r="Z56">
        <v>0.13556699999999999</v>
      </c>
      <c r="AA56">
        <v>0.13550100000000001</v>
      </c>
      <c r="AB56">
        <v>0.13541800000000001</v>
      </c>
      <c r="AC56">
        <v>0.135323</v>
      </c>
      <c r="AD56">
        <v>0.13519600000000001</v>
      </c>
      <c r="AE56">
        <v>0.13505600000000001</v>
      </c>
      <c r="AF56">
        <v>0.13491900000000001</v>
      </c>
      <c r="AG56" s="144">
        <v>0</v>
      </c>
    </row>
    <row r="57" spans="1:34">
      <c r="A57" t="s">
        <v>3744</v>
      </c>
      <c r="B57" t="s">
        <v>3743</v>
      </c>
      <c r="C57" t="s">
        <v>3783</v>
      </c>
      <c r="D57" t="s">
        <v>3780</v>
      </c>
      <c r="F57">
        <v>0.92415800000000004</v>
      </c>
      <c r="G57">
        <v>0.87021000000000004</v>
      </c>
      <c r="H57">
        <v>0.86357099999999998</v>
      </c>
      <c r="I57">
        <v>0.83560900000000005</v>
      </c>
      <c r="J57">
        <v>0.79156499999999996</v>
      </c>
      <c r="K57">
        <v>0.75778999999999996</v>
      </c>
      <c r="L57">
        <v>0.71301099999999995</v>
      </c>
      <c r="M57">
        <v>0.70335300000000001</v>
      </c>
      <c r="N57">
        <v>0.71609599999999995</v>
      </c>
      <c r="O57">
        <v>0.70919600000000005</v>
      </c>
      <c r="P57">
        <v>0.70162199999999997</v>
      </c>
      <c r="Q57">
        <v>0.70198499999999997</v>
      </c>
      <c r="R57">
        <v>0.70706999999999998</v>
      </c>
      <c r="S57">
        <v>0.71651200000000004</v>
      </c>
      <c r="T57">
        <v>0.72648199999999996</v>
      </c>
      <c r="U57">
        <v>0.73760999999999999</v>
      </c>
      <c r="V57">
        <v>0.746228</v>
      </c>
      <c r="W57">
        <v>0.752332</v>
      </c>
      <c r="X57">
        <v>0.75695699999999999</v>
      </c>
      <c r="Y57">
        <v>0.76515100000000003</v>
      </c>
      <c r="Z57">
        <v>0.77486100000000002</v>
      </c>
      <c r="AA57">
        <v>0.78181100000000003</v>
      </c>
      <c r="AB57">
        <v>0.79294299999999995</v>
      </c>
      <c r="AC57">
        <v>0.80118500000000004</v>
      </c>
      <c r="AD57">
        <v>0.81029300000000004</v>
      </c>
      <c r="AE57">
        <v>0.81983700000000004</v>
      </c>
      <c r="AF57">
        <v>0.83159899999999998</v>
      </c>
      <c r="AG57" s="144">
        <v>-4.0000000000000001E-3</v>
      </c>
    </row>
    <row r="58" spans="1:34">
      <c r="A58" t="s">
        <v>3741</v>
      </c>
      <c r="B58" t="s">
        <v>3740</v>
      </c>
      <c r="C58" t="s">
        <v>3782</v>
      </c>
      <c r="D58" t="s">
        <v>3780</v>
      </c>
      <c r="F58">
        <v>0.36798999999999998</v>
      </c>
      <c r="G58">
        <v>0.42041099999999998</v>
      </c>
      <c r="H58">
        <v>0.44769300000000001</v>
      </c>
      <c r="I58">
        <v>0.44849299999999998</v>
      </c>
      <c r="J58">
        <v>0.53499699999999994</v>
      </c>
      <c r="K58">
        <v>0.59558800000000001</v>
      </c>
      <c r="L58">
        <v>0.65857699999999997</v>
      </c>
      <c r="M58">
        <v>0.70078799999999997</v>
      </c>
      <c r="N58">
        <v>0.76951800000000004</v>
      </c>
      <c r="O58">
        <v>0.83505300000000005</v>
      </c>
      <c r="P58">
        <v>0.87701099999999999</v>
      </c>
      <c r="Q58">
        <v>0.89379399999999998</v>
      </c>
      <c r="R58">
        <v>0.91217599999999999</v>
      </c>
      <c r="S58">
        <v>0.92736099999999999</v>
      </c>
      <c r="T58">
        <v>0.93575200000000003</v>
      </c>
      <c r="U58">
        <v>0.93575200000000003</v>
      </c>
      <c r="V58">
        <v>0.93735100000000005</v>
      </c>
      <c r="W58">
        <v>0.93575200000000003</v>
      </c>
      <c r="X58">
        <v>0.93574199999999996</v>
      </c>
      <c r="Y58">
        <v>0.93075399999999997</v>
      </c>
      <c r="Z58">
        <v>0.93217099999999997</v>
      </c>
      <c r="AA58">
        <v>0.92952699999999999</v>
      </c>
      <c r="AB58">
        <v>0.93468700000000005</v>
      </c>
      <c r="AC58">
        <v>0.93499699999999997</v>
      </c>
      <c r="AD58">
        <v>0.93623199999999995</v>
      </c>
      <c r="AE58">
        <v>0.93412899999999999</v>
      </c>
      <c r="AF58">
        <v>0.93501800000000002</v>
      </c>
      <c r="AG58" s="144">
        <v>3.6999999999999998E-2</v>
      </c>
    </row>
    <row r="59" spans="1:34">
      <c r="A59" t="s">
        <v>3738</v>
      </c>
      <c r="B59" t="s">
        <v>3737</v>
      </c>
      <c r="C59" t="s">
        <v>3781</v>
      </c>
      <c r="D59" t="s">
        <v>3780</v>
      </c>
      <c r="F59">
        <v>29.023834000000001</v>
      </c>
      <c r="G59">
        <v>29.108829</v>
      </c>
      <c r="H59">
        <v>29.092590000000001</v>
      </c>
      <c r="I59">
        <v>28.954325000000001</v>
      </c>
      <c r="J59">
        <v>28.829184000000001</v>
      </c>
      <c r="K59">
        <v>28.671766000000002</v>
      </c>
      <c r="L59">
        <v>28.471896999999998</v>
      </c>
      <c r="M59">
        <v>28.308323000000001</v>
      </c>
      <c r="N59">
        <v>28.159511999999999</v>
      </c>
      <c r="O59">
        <v>28.023869999999999</v>
      </c>
      <c r="P59">
        <v>27.891521000000001</v>
      </c>
      <c r="Q59">
        <v>27.749924</v>
      </c>
      <c r="R59">
        <v>27.603794000000001</v>
      </c>
      <c r="S59">
        <v>27.481891999999998</v>
      </c>
      <c r="T59">
        <v>27.396920999999999</v>
      </c>
      <c r="U59">
        <v>27.298918</v>
      </c>
      <c r="V59">
        <v>27.232672000000001</v>
      </c>
      <c r="W59">
        <v>27.171799</v>
      </c>
      <c r="X59">
        <v>27.104918000000001</v>
      </c>
      <c r="Y59">
        <v>27.072628000000002</v>
      </c>
      <c r="Z59">
        <v>27.025742000000001</v>
      </c>
      <c r="AA59">
        <v>26.999421999999999</v>
      </c>
      <c r="AB59">
        <v>26.969100999999998</v>
      </c>
      <c r="AC59">
        <v>26.995097999999999</v>
      </c>
      <c r="AD59">
        <v>26.992891</v>
      </c>
      <c r="AE59">
        <v>27.013369000000001</v>
      </c>
      <c r="AF59">
        <v>27.068242999999999</v>
      </c>
      <c r="AG59" s="144">
        <v>-3.0000000000000001E-3</v>
      </c>
    </row>
    <row r="60" spans="1:34">
      <c r="A60" t="s">
        <v>3779</v>
      </c>
    </row>
    <row r="61" spans="1:34">
      <c r="A61" t="s">
        <v>3710</v>
      </c>
      <c r="B61" t="s">
        <v>3778</v>
      </c>
      <c r="C61" t="s">
        <v>3777</v>
      </c>
      <c r="D61" t="s">
        <v>3735</v>
      </c>
      <c r="F61">
        <v>8.2808890000000002</v>
      </c>
      <c r="G61">
        <v>8.3093610000000009</v>
      </c>
      <c r="H61">
        <v>8.2775669999999995</v>
      </c>
      <c r="I61">
        <v>8.2064699999999995</v>
      </c>
      <c r="J61">
        <v>8.1172900000000006</v>
      </c>
      <c r="K61">
        <v>8.0142310000000005</v>
      </c>
      <c r="L61">
        <v>7.9001390000000002</v>
      </c>
      <c r="M61">
        <v>7.8022710000000002</v>
      </c>
      <c r="N61">
        <v>7.6924460000000003</v>
      </c>
      <c r="O61">
        <v>7.5924829999999996</v>
      </c>
      <c r="P61">
        <v>7.5060650000000004</v>
      </c>
      <c r="Q61">
        <v>7.4175789999999999</v>
      </c>
      <c r="R61">
        <v>7.3148879999999998</v>
      </c>
      <c r="S61">
        <v>7.216888</v>
      </c>
      <c r="T61">
        <v>7.1375099999999998</v>
      </c>
      <c r="U61">
        <v>7.060346</v>
      </c>
      <c r="V61">
        <v>6.996391</v>
      </c>
      <c r="W61">
        <v>6.9408979999999998</v>
      </c>
      <c r="X61">
        <v>6.876627</v>
      </c>
      <c r="Y61">
        <v>6.8351490000000004</v>
      </c>
      <c r="Z61">
        <v>6.7852079999999999</v>
      </c>
      <c r="AA61">
        <v>6.7480399999999996</v>
      </c>
      <c r="AB61">
        <v>6.705527</v>
      </c>
      <c r="AC61">
        <v>6.6790250000000002</v>
      </c>
      <c r="AD61">
        <v>6.6338410000000003</v>
      </c>
      <c r="AE61">
        <v>6.6075730000000004</v>
      </c>
      <c r="AF61">
        <v>6.6020709999999996</v>
      </c>
      <c r="AG61" s="144">
        <v>-8.9999999999999993E-3</v>
      </c>
    </row>
    <row r="62" spans="1:34">
      <c r="A62" t="s">
        <v>3776</v>
      </c>
      <c r="B62" t="s">
        <v>3775</v>
      </c>
      <c r="C62" t="s">
        <v>3774</v>
      </c>
      <c r="D62" t="s">
        <v>3735</v>
      </c>
      <c r="F62">
        <v>0.45701599999999998</v>
      </c>
      <c r="G62">
        <v>0.44781300000000002</v>
      </c>
      <c r="H62">
        <v>0.44001899999999999</v>
      </c>
      <c r="I62">
        <v>0.43496899999999999</v>
      </c>
      <c r="J62">
        <v>0.42930299999999999</v>
      </c>
      <c r="K62">
        <v>0.42444999999999999</v>
      </c>
      <c r="L62">
        <v>0.42006100000000002</v>
      </c>
      <c r="M62">
        <v>0.415188</v>
      </c>
      <c r="N62">
        <v>0.41015800000000002</v>
      </c>
      <c r="O62">
        <v>0.40529700000000002</v>
      </c>
      <c r="P62">
        <v>0.40024300000000002</v>
      </c>
      <c r="Q62">
        <v>0.39499000000000001</v>
      </c>
      <c r="R62">
        <v>0.389598</v>
      </c>
      <c r="S62">
        <v>0.38410699999999998</v>
      </c>
      <c r="T62">
        <v>0.37855699999999998</v>
      </c>
      <c r="U62">
        <v>0.37307699999999999</v>
      </c>
      <c r="V62">
        <v>0.36791600000000002</v>
      </c>
      <c r="W62">
        <v>0.36227700000000002</v>
      </c>
      <c r="X62">
        <v>0.35687000000000002</v>
      </c>
      <c r="Y62">
        <v>0.35124300000000003</v>
      </c>
      <c r="Z62">
        <v>0.34584900000000002</v>
      </c>
      <c r="AA62">
        <v>0.34045500000000001</v>
      </c>
      <c r="AB62">
        <v>0.33516899999999999</v>
      </c>
      <c r="AC62">
        <v>0.329957</v>
      </c>
      <c r="AD62">
        <v>0.32472099999999998</v>
      </c>
      <c r="AE62">
        <v>0.319494</v>
      </c>
      <c r="AF62">
        <v>0.31426399999999999</v>
      </c>
      <c r="AG62" s="144">
        <v>-1.4E-2</v>
      </c>
    </row>
    <row r="63" spans="1:34">
      <c r="A63" t="s">
        <v>3773</v>
      </c>
      <c r="B63" t="s">
        <v>3772</v>
      </c>
      <c r="C63" t="s">
        <v>3771</v>
      </c>
      <c r="D63" t="s">
        <v>3735</v>
      </c>
      <c r="F63">
        <v>0.103228</v>
      </c>
      <c r="G63">
        <v>0.10592600000000001</v>
      </c>
      <c r="H63">
        <v>0.107151</v>
      </c>
      <c r="I63">
        <v>0.107583</v>
      </c>
      <c r="J63">
        <v>0.10771799999999999</v>
      </c>
      <c r="K63">
        <v>0.10764799999999999</v>
      </c>
      <c r="L63">
        <v>0.107517</v>
      </c>
      <c r="M63">
        <v>0.10698199999999999</v>
      </c>
      <c r="N63">
        <v>0.106228</v>
      </c>
      <c r="O63">
        <v>0.105447</v>
      </c>
      <c r="P63">
        <v>0.104835</v>
      </c>
      <c r="Q63">
        <v>0.104076</v>
      </c>
      <c r="R63">
        <v>0.103287</v>
      </c>
      <c r="S63">
        <v>0.102533</v>
      </c>
      <c r="T63">
        <v>0.101759</v>
      </c>
      <c r="U63">
        <v>0.10094400000000001</v>
      </c>
      <c r="V63">
        <v>0.10005500000000001</v>
      </c>
      <c r="W63">
        <v>9.9111000000000005E-2</v>
      </c>
      <c r="X63">
        <v>9.8109000000000002E-2</v>
      </c>
      <c r="Y63">
        <v>9.7108E-2</v>
      </c>
      <c r="Z63">
        <v>9.6051999999999998E-2</v>
      </c>
      <c r="AA63">
        <v>9.5036999999999996E-2</v>
      </c>
      <c r="AB63">
        <v>9.3949000000000005E-2</v>
      </c>
      <c r="AC63">
        <v>9.2840000000000006E-2</v>
      </c>
      <c r="AD63">
        <v>9.1764999999999999E-2</v>
      </c>
      <c r="AE63">
        <v>9.0727000000000002E-2</v>
      </c>
      <c r="AF63">
        <v>8.9831999999999995E-2</v>
      </c>
      <c r="AG63" s="144">
        <v>-5.0000000000000001E-3</v>
      </c>
    </row>
    <row r="64" spans="1:34">
      <c r="A64" t="s">
        <v>3666</v>
      </c>
      <c r="B64" t="s">
        <v>3770</v>
      </c>
      <c r="C64" t="s">
        <v>3769</v>
      </c>
      <c r="D64" t="s">
        <v>3735</v>
      </c>
      <c r="F64">
        <v>2.8939409999999999</v>
      </c>
      <c r="G64">
        <v>2.9200170000000001</v>
      </c>
      <c r="H64">
        <v>2.9221780000000002</v>
      </c>
      <c r="I64">
        <v>2.9175800000000001</v>
      </c>
      <c r="J64">
        <v>2.9023850000000002</v>
      </c>
      <c r="K64">
        <v>2.8892139999999999</v>
      </c>
      <c r="L64">
        <v>2.8769239999999998</v>
      </c>
      <c r="M64">
        <v>2.8609070000000001</v>
      </c>
      <c r="N64">
        <v>2.8461609999999999</v>
      </c>
      <c r="O64">
        <v>2.8299210000000001</v>
      </c>
      <c r="P64">
        <v>2.817726</v>
      </c>
      <c r="Q64">
        <v>2.8072620000000001</v>
      </c>
      <c r="R64">
        <v>2.8023570000000002</v>
      </c>
      <c r="S64">
        <v>2.8011180000000002</v>
      </c>
      <c r="T64">
        <v>2.8012329999999999</v>
      </c>
      <c r="U64">
        <v>2.7997049999999999</v>
      </c>
      <c r="V64">
        <v>2.800392</v>
      </c>
      <c r="W64">
        <v>2.8007070000000001</v>
      </c>
      <c r="X64">
        <v>2.80227</v>
      </c>
      <c r="Y64">
        <v>2.802311</v>
      </c>
      <c r="Z64">
        <v>2.8020360000000002</v>
      </c>
      <c r="AA64">
        <v>2.8042590000000001</v>
      </c>
      <c r="AB64">
        <v>2.805666</v>
      </c>
      <c r="AC64">
        <v>2.8171620000000002</v>
      </c>
      <c r="AD64">
        <v>2.8287710000000001</v>
      </c>
      <c r="AE64">
        <v>2.8385180000000001</v>
      </c>
      <c r="AF64">
        <v>2.8448889999999998</v>
      </c>
      <c r="AG64" s="144">
        <v>-1E-3</v>
      </c>
    </row>
    <row r="65" spans="1:34">
      <c r="A65" t="s">
        <v>168</v>
      </c>
      <c r="B65" t="s">
        <v>3768</v>
      </c>
      <c r="C65" t="s">
        <v>3767</v>
      </c>
      <c r="D65" t="s">
        <v>3766</v>
      </c>
      <c r="E65" t="s">
        <v>3735</v>
      </c>
      <c r="F65">
        <v>2.0774999999999998E-2</v>
      </c>
      <c r="G65">
        <v>2.2003999999999999E-2</v>
      </c>
      <c r="H65">
        <v>2.2683999999999999E-2</v>
      </c>
      <c r="I65">
        <v>2.3053000000000001E-2</v>
      </c>
      <c r="J65">
        <v>2.3300000000000001E-2</v>
      </c>
      <c r="K65">
        <v>2.3556000000000001E-2</v>
      </c>
      <c r="L65">
        <v>2.3848999999999999E-2</v>
      </c>
      <c r="M65">
        <v>2.4063999999999999E-2</v>
      </c>
      <c r="N65">
        <v>2.4254000000000001E-2</v>
      </c>
      <c r="O65">
        <v>2.4410000000000001E-2</v>
      </c>
      <c r="P65">
        <v>2.4542999999999999E-2</v>
      </c>
      <c r="Q65">
        <v>2.4743000000000001E-2</v>
      </c>
      <c r="R65">
        <v>2.4997999999999999E-2</v>
      </c>
      <c r="S65">
        <v>2.5257999999999999E-2</v>
      </c>
      <c r="T65">
        <v>2.5526E-2</v>
      </c>
      <c r="U65">
        <v>2.5769E-2</v>
      </c>
      <c r="V65">
        <v>2.5992000000000001E-2</v>
      </c>
      <c r="W65">
        <v>2.6190999999999999E-2</v>
      </c>
      <c r="X65">
        <v>2.6377999999999999E-2</v>
      </c>
      <c r="Y65">
        <v>2.6564000000000001E-2</v>
      </c>
      <c r="Z65">
        <v>2.6717999999999999E-2</v>
      </c>
      <c r="AA65">
        <v>2.6884000000000002E-2</v>
      </c>
      <c r="AB65">
        <v>2.7015999999999998E-2</v>
      </c>
      <c r="AC65">
        <v>2.7163E-2</v>
      </c>
      <c r="AD65">
        <v>2.7338999999999999E-2</v>
      </c>
      <c r="AE65">
        <v>2.7515000000000001E-2</v>
      </c>
      <c r="AF65">
        <v>2.7746E-2</v>
      </c>
      <c r="AG65" s="144">
        <v>1.0999999999999999E-2</v>
      </c>
      <c r="AH65" s="144"/>
    </row>
    <row r="66" spans="1:34">
      <c r="A66" t="s">
        <v>168</v>
      </c>
      <c r="B66" t="s">
        <v>3765</v>
      </c>
      <c r="C66" t="s">
        <v>3764</v>
      </c>
      <c r="D66" t="s">
        <v>3763</v>
      </c>
      <c r="E66" t="s">
        <v>3735</v>
      </c>
      <c r="F66">
        <v>0.205982</v>
      </c>
      <c r="G66">
        <v>0.21049599999999999</v>
      </c>
      <c r="H66">
        <v>0.205175</v>
      </c>
      <c r="I66">
        <v>0.19812299999999999</v>
      </c>
      <c r="J66">
        <v>0.19797799999999999</v>
      </c>
      <c r="K66">
        <v>0.197273</v>
      </c>
      <c r="L66">
        <v>0.19136500000000001</v>
      </c>
      <c r="M66">
        <v>0.191222</v>
      </c>
      <c r="N66">
        <v>0.18204500000000001</v>
      </c>
      <c r="O66">
        <v>0.18274399999999999</v>
      </c>
      <c r="P66">
        <v>0.180835</v>
      </c>
      <c r="Q66">
        <v>0.18072099999999999</v>
      </c>
      <c r="R66">
        <v>0.18127199999999999</v>
      </c>
      <c r="S66">
        <v>0.182005</v>
      </c>
      <c r="T66">
        <v>0.18429200000000001</v>
      </c>
      <c r="U66">
        <v>0.182949</v>
      </c>
      <c r="V66">
        <v>0.18363699999999999</v>
      </c>
      <c r="W66">
        <v>0.18371299999999999</v>
      </c>
      <c r="X66">
        <v>0.18449199999999999</v>
      </c>
      <c r="Y66">
        <v>0.18537999999999999</v>
      </c>
      <c r="Z66">
        <v>0.18581500000000001</v>
      </c>
      <c r="AA66">
        <v>0.186277</v>
      </c>
      <c r="AB66">
        <v>0.18623899999999999</v>
      </c>
      <c r="AC66">
        <v>0.188059</v>
      </c>
      <c r="AD66">
        <v>0.189528</v>
      </c>
      <c r="AE66">
        <v>0.19072</v>
      </c>
      <c r="AF66">
        <v>0.191137</v>
      </c>
      <c r="AG66" s="144">
        <v>-3.0000000000000001E-3</v>
      </c>
      <c r="AH66" s="144"/>
    </row>
    <row r="67" spans="1:34">
      <c r="A67" t="s">
        <v>3759</v>
      </c>
      <c r="B67" t="s">
        <v>3762</v>
      </c>
      <c r="C67" t="s">
        <v>3761</v>
      </c>
      <c r="D67" t="s">
        <v>3760</v>
      </c>
      <c r="E67" t="s">
        <v>3735</v>
      </c>
      <c r="F67">
        <v>4.4743999999999999E-2</v>
      </c>
      <c r="G67">
        <v>4.5169000000000001E-2</v>
      </c>
      <c r="H67">
        <v>4.4804999999999998E-2</v>
      </c>
      <c r="I67">
        <v>4.4438999999999999E-2</v>
      </c>
      <c r="J67">
        <v>4.4117000000000003E-2</v>
      </c>
      <c r="K67">
        <v>4.3755000000000002E-2</v>
      </c>
      <c r="L67">
        <v>4.3351000000000001E-2</v>
      </c>
      <c r="M67">
        <v>4.2908000000000002E-2</v>
      </c>
      <c r="N67">
        <v>4.2397999999999998E-2</v>
      </c>
      <c r="O67">
        <v>4.2042000000000003E-2</v>
      </c>
      <c r="P67">
        <v>4.1724999999999998E-2</v>
      </c>
      <c r="Q67">
        <v>4.1388000000000001E-2</v>
      </c>
      <c r="R67">
        <v>4.104E-2</v>
      </c>
      <c r="S67">
        <v>4.0740999999999999E-2</v>
      </c>
      <c r="T67">
        <v>4.0457E-2</v>
      </c>
      <c r="U67">
        <v>4.0143999999999999E-2</v>
      </c>
      <c r="V67">
        <v>3.9878999999999998E-2</v>
      </c>
      <c r="W67">
        <v>3.9607999999999997E-2</v>
      </c>
      <c r="X67">
        <v>3.9338999999999999E-2</v>
      </c>
      <c r="Y67">
        <v>3.9045999999999997E-2</v>
      </c>
      <c r="Z67">
        <v>3.8725999999999997E-2</v>
      </c>
      <c r="AA67">
        <v>3.8419000000000002E-2</v>
      </c>
      <c r="AB67">
        <v>3.8109999999999998E-2</v>
      </c>
      <c r="AC67">
        <v>3.7907999999999997E-2</v>
      </c>
      <c r="AD67">
        <v>3.7658999999999998E-2</v>
      </c>
      <c r="AE67">
        <v>3.7391000000000001E-2</v>
      </c>
      <c r="AF67">
        <v>3.7111999999999999E-2</v>
      </c>
      <c r="AG67" s="144">
        <v>-7.0000000000000001E-3</v>
      </c>
      <c r="AH67" s="144"/>
    </row>
    <row r="68" spans="1:34">
      <c r="A68" t="s">
        <v>3759</v>
      </c>
      <c r="B68" t="s">
        <v>3758</v>
      </c>
      <c r="C68" t="s">
        <v>3757</v>
      </c>
      <c r="D68" t="s">
        <v>3756</v>
      </c>
      <c r="E68" t="s">
        <v>3735</v>
      </c>
      <c r="F68">
        <v>0.33552599999999999</v>
      </c>
      <c r="G68">
        <v>0.32803199999999999</v>
      </c>
      <c r="H68">
        <v>0.33212399999999997</v>
      </c>
      <c r="I68">
        <v>0.338171</v>
      </c>
      <c r="J68">
        <v>0.34316999999999998</v>
      </c>
      <c r="K68">
        <v>0.348464</v>
      </c>
      <c r="L68">
        <v>0.35370600000000002</v>
      </c>
      <c r="M68">
        <v>0.35850500000000002</v>
      </c>
      <c r="N68">
        <v>0.36379800000000001</v>
      </c>
      <c r="O68">
        <v>0.36891600000000002</v>
      </c>
      <c r="P68">
        <v>0.37424099999999999</v>
      </c>
      <c r="Q68">
        <v>0.37837799999999999</v>
      </c>
      <c r="R68">
        <v>0.381832</v>
      </c>
      <c r="S68">
        <v>0.38513900000000001</v>
      </c>
      <c r="T68">
        <v>0.38807799999999998</v>
      </c>
      <c r="U68">
        <v>0.39102700000000001</v>
      </c>
      <c r="V68">
        <v>0.39366099999999998</v>
      </c>
      <c r="W68">
        <v>0.39625199999999999</v>
      </c>
      <c r="X68">
        <v>0.398897</v>
      </c>
      <c r="Y68">
        <v>0.40148099999999998</v>
      </c>
      <c r="Z68">
        <v>0.40397100000000002</v>
      </c>
      <c r="AA68">
        <v>0.40631</v>
      </c>
      <c r="AB68">
        <v>0.40826099999999999</v>
      </c>
      <c r="AC68">
        <v>0.41094900000000001</v>
      </c>
      <c r="AD68">
        <v>0.41413299999999997</v>
      </c>
      <c r="AE68">
        <v>0.41722100000000001</v>
      </c>
      <c r="AF68">
        <v>0.42011900000000002</v>
      </c>
      <c r="AG68" s="144">
        <v>8.9999999999999993E-3</v>
      </c>
      <c r="AH68" s="144"/>
    </row>
    <row r="69" spans="1:34">
      <c r="A69" t="s">
        <v>3755</v>
      </c>
      <c r="B69" t="s">
        <v>3754</v>
      </c>
      <c r="C69" t="s">
        <v>3753</v>
      </c>
      <c r="D69" t="s">
        <v>3735</v>
      </c>
      <c r="F69">
        <v>0.11264399999999999</v>
      </c>
      <c r="G69">
        <v>0.11182300000000001</v>
      </c>
      <c r="H69">
        <v>0.111419</v>
      </c>
      <c r="I69">
        <v>0.111002</v>
      </c>
      <c r="J69">
        <v>0.110329</v>
      </c>
      <c r="K69">
        <v>0.109779</v>
      </c>
      <c r="L69">
        <v>0.109081</v>
      </c>
      <c r="M69">
        <v>0.10818999999999999</v>
      </c>
      <c r="N69">
        <v>0.107484</v>
      </c>
      <c r="O69">
        <v>0.106848</v>
      </c>
      <c r="P69">
        <v>0.106194</v>
      </c>
      <c r="Q69">
        <v>0.105666</v>
      </c>
      <c r="R69">
        <v>0.105161</v>
      </c>
      <c r="S69">
        <v>0.104739</v>
      </c>
      <c r="T69">
        <v>0.10435</v>
      </c>
      <c r="U69">
        <v>0.103936</v>
      </c>
      <c r="V69">
        <v>0.103532</v>
      </c>
      <c r="W69">
        <v>0.10310999999999999</v>
      </c>
      <c r="X69">
        <v>0.102745</v>
      </c>
      <c r="Y69">
        <v>0.102349</v>
      </c>
      <c r="Z69">
        <v>0.10188</v>
      </c>
      <c r="AA69">
        <v>0.101381</v>
      </c>
      <c r="AB69">
        <v>0.100854</v>
      </c>
      <c r="AC69">
        <v>0.10047399999999999</v>
      </c>
      <c r="AD69">
        <v>0.10012699999999999</v>
      </c>
      <c r="AE69">
        <v>9.9725999999999995E-2</v>
      </c>
      <c r="AF69">
        <v>9.9308999999999995E-2</v>
      </c>
      <c r="AG69" s="144">
        <v>-5.0000000000000001E-3</v>
      </c>
    </row>
    <row r="70" spans="1:34">
      <c r="A70" t="s">
        <v>161</v>
      </c>
      <c r="B70" t="s">
        <v>3752</v>
      </c>
      <c r="C70" t="s">
        <v>3751</v>
      </c>
      <c r="D70" t="s">
        <v>3735</v>
      </c>
      <c r="F70">
        <v>1.5805739999999999</v>
      </c>
      <c r="G70">
        <v>1.577537</v>
      </c>
      <c r="H70">
        <v>1.5904469999999999</v>
      </c>
      <c r="I70">
        <v>1.607424</v>
      </c>
      <c r="J70">
        <v>1.6206590000000001</v>
      </c>
      <c r="K70">
        <v>1.636263</v>
      </c>
      <c r="L70">
        <v>1.649807</v>
      </c>
      <c r="M70">
        <v>1.659173</v>
      </c>
      <c r="N70">
        <v>1.6706049999999999</v>
      </c>
      <c r="O70">
        <v>1.6825429999999999</v>
      </c>
      <c r="P70">
        <v>1.6941139999999999</v>
      </c>
      <c r="Q70">
        <v>1.7089890000000001</v>
      </c>
      <c r="R70">
        <v>1.7251939999999999</v>
      </c>
      <c r="S70">
        <v>1.7443310000000001</v>
      </c>
      <c r="T70">
        <v>1.7648520000000001</v>
      </c>
      <c r="U70">
        <v>1.785884</v>
      </c>
      <c r="V70">
        <v>1.8065709999999999</v>
      </c>
      <c r="W70">
        <v>1.8261400000000001</v>
      </c>
      <c r="X70">
        <v>1.8480030000000001</v>
      </c>
      <c r="Y70">
        <v>1.8684400000000001</v>
      </c>
      <c r="Z70">
        <v>1.886417</v>
      </c>
      <c r="AA70">
        <v>1.9036839999999999</v>
      </c>
      <c r="AB70">
        <v>1.9197839999999999</v>
      </c>
      <c r="AC70">
        <v>1.9395519999999999</v>
      </c>
      <c r="AD70">
        <v>1.960815</v>
      </c>
      <c r="AE70">
        <v>1.9798480000000001</v>
      </c>
      <c r="AF70">
        <v>1.9986919999999999</v>
      </c>
      <c r="AG70" s="144">
        <v>8.9999999999999993E-3</v>
      </c>
    </row>
    <row r="71" spans="1:34">
      <c r="A71" t="s">
        <v>3750</v>
      </c>
      <c r="B71" t="s">
        <v>3749</v>
      </c>
      <c r="C71" t="s">
        <v>3748</v>
      </c>
      <c r="D71" t="s">
        <v>3735</v>
      </c>
      <c r="F71">
        <v>0.21395900000000001</v>
      </c>
      <c r="G71">
        <v>0.216389</v>
      </c>
      <c r="H71">
        <v>0.217888</v>
      </c>
      <c r="I71">
        <v>0.218809</v>
      </c>
      <c r="J71">
        <v>0.21922900000000001</v>
      </c>
      <c r="K71">
        <v>0.21914800000000001</v>
      </c>
      <c r="L71">
        <v>0.21904499999999999</v>
      </c>
      <c r="M71">
        <v>0.21926699999999999</v>
      </c>
      <c r="N71">
        <v>0.219448</v>
      </c>
      <c r="O71">
        <v>0.219636</v>
      </c>
      <c r="P71">
        <v>0.21979199999999999</v>
      </c>
      <c r="Q71">
        <v>0.219913</v>
      </c>
      <c r="R71">
        <v>0.22012899999999999</v>
      </c>
      <c r="S71">
        <v>0.220413</v>
      </c>
      <c r="T71">
        <v>0.22068499999999999</v>
      </c>
      <c r="U71">
        <v>0.22095100000000001</v>
      </c>
      <c r="V71">
        <v>0.22120999999999999</v>
      </c>
      <c r="W71">
        <v>0.22146099999999999</v>
      </c>
      <c r="X71">
        <v>0.22170899999999999</v>
      </c>
      <c r="Y71">
        <v>0.22195400000000001</v>
      </c>
      <c r="Z71">
        <v>0.22219700000000001</v>
      </c>
      <c r="AA71">
        <v>0.22243599999999999</v>
      </c>
      <c r="AB71">
        <v>0.22267600000000001</v>
      </c>
      <c r="AC71">
        <v>0.222916</v>
      </c>
      <c r="AD71">
        <v>0.22315299999999999</v>
      </c>
      <c r="AE71">
        <v>0.22339100000000001</v>
      </c>
      <c r="AF71">
        <v>0.22363</v>
      </c>
      <c r="AG71" s="144">
        <v>2E-3</v>
      </c>
    </row>
    <row r="72" spans="1:34">
      <c r="A72" t="s">
        <v>3747</v>
      </c>
      <c r="B72" t="s">
        <v>3746</v>
      </c>
      <c r="C72" t="s">
        <v>3745</v>
      </c>
      <c r="D72" t="s">
        <v>3735</v>
      </c>
      <c r="F72">
        <v>6.3423999999999994E-2</v>
      </c>
      <c r="G72">
        <v>6.3611000000000001E-2</v>
      </c>
      <c r="H72">
        <v>6.3912999999999998E-2</v>
      </c>
      <c r="I72">
        <v>6.4130999999999994E-2</v>
      </c>
      <c r="J72">
        <v>6.4227999999999993E-2</v>
      </c>
      <c r="K72">
        <v>6.4282000000000006E-2</v>
      </c>
      <c r="L72">
        <v>6.4302999999999999E-2</v>
      </c>
      <c r="M72">
        <v>6.4268000000000006E-2</v>
      </c>
      <c r="N72">
        <v>6.4222000000000001E-2</v>
      </c>
      <c r="O72">
        <v>6.4199000000000006E-2</v>
      </c>
      <c r="P72">
        <v>6.4190999999999998E-2</v>
      </c>
      <c r="Q72">
        <v>6.4176999999999998E-2</v>
      </c>
      <c r="R72">
        <v>6.4157000000000006E-2</v>
      </c>
      <c r="S72">
        <v>6.4135999999999999E-2</v>
      </c>
      <c r="T72">
        <v>6.4127000000000003E-2</v>
      </c>
      <c r="U72">
        <v>6.4130000000000006E-2</v>
      </c>
      <c r="V72">
        <v>6.4131999999999995E-2</v>
      </c>
      <c r="W72">
        <v>6.4120999999999997E-2</v>
      </c>
      <c r="X72">
        <v>6.4100000000000004E-2</v>
      </c>
      <c r="Y72">
        <v>6.4069000000000001E-2</v>
      </c>
      <c r="Z72">
        <v>6.4036999999999997E-2</v>
      </c>
      <c r="AA72">
        <v>6.4005999999999993E-2</v>
      </c>
      <c r="AB72">
        <v>6.3966999999999996E-2</v>
      </c>
      <c r="AC72">
        <v>6.3922000000000007E-2</v>
      </c>
      <c r="AD72">
        <v>6.3862000000000002E-2</v>
      </c>
      <c r="AE72">
        <v>6.3796000000000005E-2</v>
      </c>
      <c r="AF72">
        <v>6.3730999999999996E-2</v>
      </c>
      <c r="AG72" s="144">
        <v>0</v>
      </c>
    </row>
    <row r="73" spans="1:34">
      <c r="A73" t="s">
        <v>3744</v>
      </c>
      <c r="B73" t="s">
        <v>3743</v>
      </c>
      <c r="C73" t="s">
        <v>3742</v>
      </c>
      <c r="D73" t="s">
        <v>3735</v>
      </c>
      <c r="F73">
        <v>0.43654100000000001</v>
      </c>
      <c r="G73">
        <v>0.41105799999999998</v>
      </c>
      <c r="H73">
        <v>0.40792200000000001</v>
      </c>
      <c r="I73">
        <v>0.39471400000000001</v>
      </c>
      <c r="J73">
        <v>0.37390899999999999</v>
      </c>
      <c r="K73">
        <v>0.35795500000000002</v>
      </c>
      <c r="L73">
        <v>0.33680300000000002</v>
      </c>
      <c r="M73">
        <v>0.33223999999999998</v>
      </c>
      <c r="N73">
        <v>0.33826000000000001</v>
      </c>
      <c r="O73">
        <v>0.33500099999999999</v>
      </c>
      <c r="P73">
        <v>0.33142300000000002</v>
      </c>
      <c r="Q73">
        <v>0.331594</v>
      </c>
      <c r="R73">
        <v>0.33399600000000002</v>
      </c>
      <c r="S73">
        <v>0.33845599999999998</v>
      </c>
      <c r="T73">
        <v>0.34316600000000003</v>
      </c>
      <c r="U73">
        <v>0.34842200000000001</v>
      </c>
      <c r="V73">
        <v>0.352493</v>
      </c>
      <c r="W73">
        <v>0.35537600000000003</v>
      </c>
      <c r="X73">
        <v>0.35756100000000002</v>
      </c>
      <c r="Y73">
        <v>0.36143199999999998</v>
      </c>
      <c r="Z73">
        <v>0.36601800000000001</v>
      </c>
      <c r="AA73">
        <v>0.36930099999999999</v>
      </c>
      <c r="AB73">
        <v>0.37456</v>
      </c>
      <c r="AC73">
        <v>0.37845299999999998</v>
      </c>
      <c r="AD73">
        <v>0.38275500000000001</v>
      </c>
      <c r="AE73">
        <v>0.38726300000000002</v>
      </c>
      <c r="AF73">
        <v>0.39282</v>
      </c>
      <c r="AG73" s="144">
        <v>-4.0000000000000001E-3</v>
      </c>
    </row>
    <row r="74" spans="1:34">
      <c r="A74" t="s">
        <v>3741</v>
      </c>
      <c r="B74" t="s">
        <v>3740</v>
      </c>
      <c r="C74" t="s">
        <v>3739</v>
      </c>
      <c r="D74" t="s">
        <v>3735</v>
      </c>
      <c r="F74">
        <v>0.17382600000000001</v>
      </c>
      <c r="G74">
        <v>0.19858799999999999</v>
      </c>
      <c r="H74">
        <v>0.211475</v>
      </c>
      <c r="I74">
        <v>0.21185300000000001</v>
      </c>
      <c r="J74">
        <v>0.25271500000000002</v>
      </c>
      <c r="K74">
        <v>0.28133599999999997</v>
      </c>
      <c r="L74">
        <v>0.31108999999999998</v>
      </c>
      <c r="M74">
        <v>0.33102900000000002</v>
      </c>
      <c r="N74">
        <v>0.36349500000000001</v>
      </c>
      <c r="O74">
        <v>0.394451</v>
      </c>
      <c r="P74">
        <v>0.414271</v>
      </c>
      <c r="Q74">
        <v>0.42219899999999999</v>
      </c>
      <c r="R74">
        <v>0.43088100000000001</v>
      </c>
      <c r="S74">
        <v>0.438054</v>
      </c>
      <c r="T74">
        <v>0.44201800000000002</v>
      </c>
      <c r="U74">
        <v>0.44201800000000002</v>
      </c>
      <c r="V74">
        <v>0.44277300000000003</v>
      </c>
      <c r="W74">
        <v>0.44201800000000002</v>
      </c>
      <c r="X74">
        <v>0.44201299999999999</v>
      </c>
      <c r="Y74">
        <v>0.43965700000000002</v>
      </c>
      <c r="Z74">
        <v>0.440326</v>
      </c>
      <c r="AA74">
        <v>0.43907800000000002</v>
      </c>
      <c r="AB74">
        <v>0.44151499999999999</v>
      </c>
      <c r="AC74">
        <v>0.44166100000000003</v>
      </c>
      <c r="AD74">
        <v>0.442245</v>
      </c>
      <c r="AE74">
        <v>0.441251</v>
      </c>
      <c r="AF74">
        <v>0.44167099999999998</v>
      </c>
      <c r="AG74" s="144">
        <v>3.6999999999999998E-2</v>
      </c>
    </row>
    <row r="75" spans="1:34">
      <c r="A75" t="s">
        <v>3738</v>
      </c>
      <c r="B75" t="s">
        <v>3737</v>
      </c>
      <c r="C75" t="s">
        <v>3736</v>
      </c>
      <c r="D75" t="s">
        <v>3735</v>
      </c>
      <c r="F75">
        <v>14.923069</v>
      </c>
      <c r="G75">
        <v>14.967827</v>
      </c>
      <c r="H75">
        <v>14.954769000000001</v>
      </c>
      <c r="I75">
        <v>14.878322000000001</v>
      </c>
      <c r="J75">
        <v>14.806329</v>
      </c>
      <c r="K75">
        <v>14.717354</v>
      </c>
      <c r="L75">
        <v>14.60704</v>
      </c>
      <c r="M75">
        <v>14.516214</v>
      </c>
      <c r="N75">
        <v>14.431001</v>
      </c>
      <c r="O75">
        <v>14.353937999999999</v>
      </c>
      <c r="P75">
        <v>14.280196999999999</v>
      </c>
      <c r="Q75">
        <v>14.201674000000001</v>
      </c>
      <c r="R75">
        <v>14.118790000000001</v>
      </c>
      <c r="S75">
        <v>14.047919</v>
      </c>
      <c r="T75">
        <v>13.996613</v>
      </c>
      <c r="U75">
        <v>13.939302</v>
      </c>
      <c r="V75">
        <v>13.898635000000001</v>
      </c>
      <c r="W75">
        <v>13.860984999999999</v>
      </c>
      <c r="X75">
        <v>13.819115</v>
      </c>
      <c r="Y75">
        <v>13.79618</v>
      </c>
      <c r="Z75">
        <v>13.765250999999999</v>
      </c>
      <c r="AA75">
        <v>13.745568</v>
      </c>
      <c r="AB75">
        <v>13.723292000000001</v>
      </c>
      <c r="AC75">
        <v>13.730040000000001</v>
      </c>
      <c r="AD75">
        <v>13.720713</v>
      </c>
      <c r="AE75">
        <v>13.724432999999999</v>
      </c>
      <c r="AF75">
        <v>13.747025000000001</v>
      </c>
      <c r="AG75" s="144">
        <v>-3.0000000000000001E-3</v>
      </c>
    </row>
    <row r="76" spans="1:34">
      <c r="A76" t="s">
        <v>3734</v>
      </c>
    </row>
    <row r="77" spans="1:34">
      <c r="A77" t="s">
        <v>3710</v>
      </c>
    </row>
    <row r="78" spans="1:34">
      <c r="A78" t="s">
        <v>3733</v>
      </c>
      <c r="B78" t="s">
        <v>3732</v>
      </c>
      <c r="C78" t="s">
        <v>3728</v>
      </c>
      <c r="D78" t="s">
        <v>3727</v>
      </c>
      <c r="F78">
        <v>196.04522700000001</v>
      </c>
      <c r="G78">
        <v>171.409897</v>
      </c>
      <c r="H78">
        <v>162.355515</v>
      </c>
      <c r="I78">
        <v>154.321045</v>
      </c>
      <c r="J78">
        <v>148.64556899999999</v>
      </c>
      <c r="K78">
        <v>144.482483</v>
      </c>
      <c r="L78">
        <v>141.272278</v>
      </c>
      <c r="M78">
        <v>138.77520799999999</v>
      </c>
      <c r="N78">
        <v>136.615768</v>
      </c>
      <c r="O78">
        <v>134.627396</v>
      </c>
      <c r="P78">
        <v>133.028458</v>
      </c>
      <c r="Q78">
        <v>131.523697</v>
      </c>
      <c r="R78">
        <v>130.10266100000001</v>
      </c>
      <c r="S78">
        <v>128.795334</v>
      </c>
      <c r="T78">
        <v>127.58626599999999</v>
      </c>
      <c r="U78">
        <v>126.458855</v>
      </c>
      <c r="V78">
        <v>125.39215900000001</v>
      </c>
      <c r="W78">
        <v>124.39598100000001</v>
      </c>
      <c r="X78">
        <v>123.470978</v>
      </c>
      <c r="Y78">
        <v>122.61042</v>
      </c>
      <c r="Z78">
        <v>121.805725</v>
      </c>
      <c r="AA78">
        <v>121.053917</v>
      </c>
      <c r="AB78">
        <v>120.34687</v>
      </c>
      <c r="AC78">
        <v>119.68440200000001</v>
      </c>
      <c r="AD78">
        <v>119.062546</v>
      </c>
      <c r="AE78">
        <v>118.478157</v>
      </c>
      <c r="AF78">
        <v>117.926872</v>
      </c>
      <c r="AG78" s="144">
        <v>-1.9E-2</v>
      </c>
    </row>
    <row r="79" spans="1:34">
      <c r="A79" t="s">
        <v>3731</v>
      </c>
      <c r="B79" t="s">
        <v>3730</v>
      </c>
      <c r="C79" t="s">
        <v>3728</v>
      </c>
      <c r="D79" t="s">
        <v>3727</v>
      </c>
      <c r="F79">
        <v>570.03552200000001</v>
      </c>
      <c r="G79">
        <v>489.47833300000002</v>
      </c>
      <c r="H79">
        <v>459.87057499999997</v>
      </c>
      <c r="I79">
        <v>433.59802200000001</v>
      </c>
      <c r="J79">
        <v>415.03927599999997</v>
      </c>
      <c r="K79">
        <v>401.425995</v>
      </c>
      <c r="L79">
        <v>390.92867999999999</v>
      </c>
      <c r="M79">
        <v>382.763306</v>
      </c>
      <c r="N79">
        <v>375.70193499999999</v>
      </c>
      <c r="O79">
        <v>369.19998199999998</v>
      </c>
      <c r="P79">
        <v>363.971497</v>
      </c>
      <c r="Q79">
        <v>359.05090300000001</v>
      </c>
      <c r="R79">
        <v>354.40417500000001</v>
      </c>
      <c r="S79">
        <v>350.12924199999998</v>
      </c>
      <c r="T79">
        <v>346.17562900000001</v>
      </c>
      <c r="U79">
        <v>342.48895299999998</v>
      </c>
      <c r="V79">
        <v>339.00088499999998</v>
      </c>
      <c r="W79">
        <v>335.74340799999999</v>
      </c>
      <c r="X79">
        <v>332.718658</v>
      </c>
      <c r="Y79">
        <v>329.90460200000001</v>
      </c>
      <c r="Z79">
        <v>327.27328499999999</v>
      </c>
      <c r="AA79">
        <v>324.81484999999998</v>
      </c>
      <c r="AB79">
        <v>322.502838</v>
      </c>
      <c r="AC79">
        <v>320.33651700000001</v>
      </c>
      <c r="AD79">
        <v>318.30306999999999</v>
      </c>
      <c r="AE79">
        <v>316.39218099999999</v>
      </c>
      <c r="AF79">
        <v>314.58950800000002</v>
      </c>
      <c r="AG79" s="144">
        <v>-2.3E-2</v>
      </c>
    </row>
    <row r="80" spans="1:34">
      <c r="A80" t="s">
        <v>3718</v>
      </c>
      <c r="B80" t="s">
        <v>3729</v>
      </c>
      <c r="C80" t="s">
        <v>3728</v>
      </c>
      <c r="D80" t="s">
        <v>3727</v>
      </c>
      <c r="F80">
        <v>570.03552200000001</v>
      </c>
      <c r="G80">
        <v>489.47833300000002</v>
      </c>
      <c r="H80">
        <v>459.87057499999997</v>
      </c>
      <c r="I80">
        <v>433.59802200000001</v>
      </c>
      <c r="J80">
        <v>415.03927599999997</v>
      </c>
      <c r="K80">
        <v>401.425995</v>
      </c>
      <c r="L80">
        <v>390.92867999999999</v>
      </c>
      <c r="M80">
        <v>382.763306</v>
      </c>
      <c r="N80">
        <v>375.70193499999999</v>
      </c>
      <c r="O80">
        <v>369.19998199999998</v>
      </c>
      <c r="P80">
        <v>363.971497</v>
      </c>
      <c r="Q80">
        <v>359.05090300000001</v>
      </c>
      <c r="R80">
        <v>354.40417500000001</v>
      </c>
      <c r="S80">
        <v>350.12924199999998</v>
      </c>
      <c r="T80">
        <v>346.17562900000001</v>
      </c>
      <c r="U80">
        <v>342.48895299999998</v>
      </c>
      <c r="V80">
        <v>339.00088499999998</v>
      </c>
      <c r="W80">
        <v>335.74340799999999</v>
      </c>
      <c r="X80">
        <v>332.718658</v>
      </c>
      <c r="Y80">
        <v>329.90460200000001</v>
      </c>
      <c r="Z80">
        <v>327.27328499999999</v>
      </c>
      <c r="AA80">
        <v>324.81484999999998</v>
      </c>
      <c r="AB80">
        <v>322.502838</v>
      </c>
      <c r="AC80">
        <v>320.33651700000001</v>
      </c>
      <c r="AD80">
        <v>318.30306999999999</v>
      </c>
      <c r="AE80">
        <v>316.39218099999999</v>
      </c>
      <c r="AF80">
        <v>314.58950800000002</v>
      </c>
      <c r="AG80" s="144">
        <v>-2.3E-2</v>
      </c>
    </row>
    <row r="81" spans="1:33">
      <c r="A81" t="s">
        <v>3666</v>
      </c>
    </row>
    <row r="82" spans="1:33">
      <c r="A82" t="s">
        <v>3726</v>
      </c>
      <c r="B82" t="s">
        <v>3725</v>
      </c>
      <c r="C82" t="s">
        <v>3716</v>
      </c>
      <c r="D82" t="s">
        <v>3715</v>
      </c>
      <c r="F82">
        <v>336.87881499999997</v>
      </c>
      <c r="G82">
        <v>307.29882800000001</v>
      </c>
      <c r="H82">
        <v>288.80246</v>
      </c>
      <c r="I82">
        <v>271.07699600000001</v>
      </c>
      <c r="J82">
        <v>255.568634</v>
      </c>
      <c r="K82">
        <v>244.600708</v>
      </c>
      <c r="L82">
        <v>236.54896500000001</v>
      </c>
      <c r="M82">
        <v>230.33711199999999</v>
      </c>
      <c r="N82">
        <v>225.49472</v>
      </c>
      <c r="O82">
        <v>221.30664100000001</v>
      </c>
      <c r="P82">
        <v>217.45829800000001</v>
      </c>
      <c r="Q82">
        <v>214.35638399999999</v>
      </c>
      <c r="R82">
        <v>211.433594</v>
      </c>
      <c r="S82">
        <v>208.67517100000001</v>
      </c>
      <c r="T82">
        <v>206.139725</v>
      </c>
      <c r="U82">
        <v>203.79489100000001</v>
      </c>
      <c r="V82">
        <v>201.60882599999999</v>
      </c>
      <c r="W82">
        <v>199.54255699999999</v>
      </c>
      <c r="X82">
        <v>197.61050399999999</v>
      </c>
      <c r="Y82">
        <v>195.81800799999999</v>
      </c>
      <c r="Z82">
        <v>194.15103099999999</v>
      </c>
      <c r="AA82">
        <v>192.59423799999999</v>
      </c>
      <c r="AB82">
        <v>191.14033499999999</v>
      </c>
      <c r="AC82">
        <v>189.77330000000001</v>
      </c>
      <c r="AD82">
        <v>188.49174500000001</v>
      </c>
      <c r="AE82">
        <v>187.289368</v>
      </c>
      <c r="AF82">
        <v>186.15943899999999</v>
      </c>
      <c r="AG82" s="144">
        <v>-2.3E-2</v>
      </c>
    </row>
    <row r="83" spans="1:33">
      <c r="A83" t="s">
        <v>3724</v>
      </c>
      <c r="B83" t="s">
        <v>3723</v>
      </c>
      <c r="C83" t="s">
        <v>3716</v>
      </c>
      <c r="D83" t="s">
        <v>3715</v>
      </c>
      <c r="F83">
        <v>483.723389</v>
      </c>
      <c r="G83">
        <v>441.24963400000001</v>
      </c>
      <c r="H83">
        <v>414.69073500000002</v>
      </c>
      <c r="I83">
        <v>389.23873900000001</v>
      </c>
      <c r="J83">
        <v>366.97033699999997</v>
      </c>
      <c r="K83">
        <v>351.22152699999998</v>
      </c>
      <c r="L83">
        <v>339.66006499999997</v>
      </c>
      <c r="M83">
        <v>330.74047899999999</v>
      </c>
      <c r="N83">
        <v>323.78732300000001</v>
      </c>
      <c r="O83">
        <v>317.77362099999999</v>
      </c>
      <c r="P83">
        <v>312.247772</v>
      </c>
      <c r="Q83">
        <v>307.79376200000002</v>
      </c>
      <c r="R83">
        <v>303.596924</v>
      </c>
      <c r="S83">
        <v>299.63619999999997</v>
      </c>
      <c r="T83">
        <v>295.99548299999998</v>
      </c>
      <c r="U83">
        <v>292.62853999999999</v>
      </c>
      <c r="V83">
        <v>289.489532</v>
      </c>
      <c r="W83">
        <v>286.52267499999999</v>
      </c>
      <c r="X83">
        <v>283.74841300000003</v>
      </c>
      <c r="Y83">
        <v>281.17456099999998</v>
      </c>
      <c r="Z83">
        <v>278.78097500000001</v>
      </c>
      <c r="AA83">
        <v>276.545593</v>
      </c>
      <c r="AB83">
        <v>274.45788599999997</v>
      </c>
      <c r="AC83">
        <v>272.49499500000002</v>
      </c>
      <c r="AD83">
        <v>270.65481599999998</v>
      </c>
      <c r="AE83">
        <v>268.92828400000002</v>
      </c>
      <c r="AF83">
        <v>267.30587800000001</v>
      </c>
      <c r="AG83" s="144">
        <v>-2.3E-2</v>
      </c>
    </row>
    <row r="84" spans="1:33">
      <c r="A84" t="s">
        <v>3722</v>
      </c>
      <c r="B84" t="s">
        <v>3721</v>
      </c>
      <c r="C84" t="s">
        <v>3716</v>
      </c>
      <c r="D84" t="s">
        <v>3715</v>
      </c>
      <c r="F84">
        <v>362.79254200000003</v>
      </c>
      <c r="G84">
        <v>330.93722500000001</v>
      </c>
      <c r="H84">
        <v>311.01800500000002</v>
      </c>
      <c r="I84">
        <v>291.92904700000003</v>
      </c>
      <c r="J84">
        <v>275.22778299999999</v>
      </c>
      <c r="K84">
        <v>263.41613799999999</v>
      </c>
      <c r="L84">
        <v>254.74504099999999</v>
      </c>
      <c r="M84">
        <v>248.05534399999999</v>
      </c>
      <c r="N84">
        <v>242.840485</v>
      </c>
      <c r="O84">
        <v>238.33019999999999</v>
      </c>
      <c r="P84">
        <v>234.18585200000001</v>
      </c>
      <c r="Q84">
        <v>230.84532200000001</v>
      </c>
      <c r="R84">
        <v>227.69770800000001</v>
      </c>
      <c r="S84">
        <v>224.727127</v>
      </c>
      <c r="T84">
        <v>221.99662799999999</v>
      </c>
      <c r="U84">
        <v>219.47141999999999</v>
      </c>
      <c r="V84">
        <v>217.11720299999999</v>
      </c>
      <c r="W84">
        <v>214.891998</v>
      </c>
      <c r="X84">
        <v>212.81132500000001</v>
      </c>
      <c r="Y84">
        <v>210.88093599999999</v>
      </c>
      <c r="Z84">
        <v>209.08573899999999</v>
      </c>
      <c r="AA84">
        <v>207.40919500000001</v>
      </c>
      <c r="AB84">
        <v>205.84343000000001</v>
      </c>
      <c r="AC84">
        <v>204.37124600000001</v>
      </c>
      <c r="AD84">
        <v>202.99110400000001</v>
      </c>
      <c r="AE84">
        <v>201.69624300000001</v>
      </c>
      <c r="AF84">
        <v>200.479401</v>
      </c>
      <c r="AG84" s="144">
        <v>-2.3E-2</v>
      </c>
    </row>
    <row r="85" spans="1:33">
      <c r="A85" t="s">
        <v>3720</v>
      </c>
      <c r="B85" t="s">
        <v>3719</v>
      </c>
      <c r="C85" t="s">
        <v>3716</v>
      </c>
      <c r="D85" t="s">
        <v>3715</v>
      </c>
      <c r="F85">
        <v>238.97354100000001</v>
      </c>
      <c r="G85">
        <v>217.99026499999999</v>
      </c>
      <c r="H85">
        <v>204.86937</v>
      </c>
      <c r="I85">
        <v>192.29534899999999</v>
      </c>
      <c r="J85">
        <v>181.29411300000001</v>
      </c>
      <c r="K85">
        <v>173.51374799999999</v>
      </c>
      <c r="L85">
        <v>167.802032</v>
      </c>
      <c r="M85">
        <v>163.39550800000001</v>
      </c>
      <c r="N85">
        <v>159.960419</v>
      </c>
      <c r="O85">
        <v>156.989487</v>
      </c>
      <c r="P85">
        <v>154.259567</v>
      </c>
      <c r="Q85">
        <v>152.05914300000001</v>
      </c>
      <c r="R85">
        <v>149.98577900000001</v>
      </c>
      <c r="S85">
        <v>148.029068</v>
      </c>
      <c r="T85">
        <v>146.23045300000001</v>
      </c>
      <c r="U85">
        <v>144.56707800000001</v>
      </c>
      <c r="V85">
        <v>143.01632699999999</v>
      </c>
      <c r="W85">
        <v>141.55059800000001</v>
      </c>
      <c r="X85">
        <v>140.180069</v>
      </c>
      <c r="Y85">
        <v>138.908478</v>
      </c>
      <c r="Z85">
        <v>137.72598300000001</v>
      </c>
      <c r="AA85">
        <v>136.62162799999999</v>
      </c>
      <c r="AB85">
        <v>135.590271</v>
      </c>
      <c r="AC85">
        <v>134.620529</v>
      </c>
      <c r="AD85">
        <v>133.71142599999999</v>
      </c>
      <c r="AE85">
        <v>132.85845900000001</v>
      </c>
      <c r="AF85">
        <v>132.05694600000001</v>
      </c>
      <c r="AG85" s="144">
        <v>-2.3E-2</v>
      </c>
    </row>
    <row r="86" spans="1:33">
      <c r="A86" t="s">
        <v>3718</v>
      </c>
      <c r="B86" t="s">
        <v>3717</v>
      </c>
      <c r="C86" t="s">
        <v>3716</v>
      </c>
      <c r="D86" t="s">
        <v>3715</v>
      </c>
      <c r="F86">
        <v>993.36047399999995</v>
      </c>
      <c r="G86">
        <v>906.13757299999997</v>
      </c>
      <c r="H86">
        <v>851.59698500000002</v>
      </c>
      <c r="I86">
        <v>799.32952899999998</v>
      </c>
      <c r="J86">
        <v>753.59985400000005</v>
      </c>
      <c r="K86">
        <v>721.25848399999995</v>
      </c>
      <c r="L86">
        <v>697.51623500000005</v>
      </c>
      <c r="M86">
        <v>679.19909700000005</v>
      </c>
      <c r="N86">
        <v>664.92034899999999</v>
      </c>
      <c r="O86">
        <v>652.57074</v>
      </c>
      <c r="P86">
        <v>641.22314500000005</v>
      </c>
      <c r="Q86">
        <v>632.07647699999995</v>
      </c>
      <c r="R86">
        <v>623.45794699999999</v>
      </c>
      <c r="S86">
        <v>615.32428000000004</v>
      </c>
      <c r="T86">
        <v>607.84789999999998</v>
      </c>
      <c r="U86">
        <v>600.93365500000004</v>
      </c>
      <c r="V86">
        <v>594.48748799999998</v>
      </c>
      <c r="W86">
        <v>588.39471400000002</v>
      </c>
      <c r="X86">
        <v>582.69769299999996</v>
      </c>
      <c r="Y86">
        <v>577.41204800000003</v>
      </c>
      <c r="Z86">
        <v>572.49664299999995</v>
      </c>
      <c r="AA86">
        <v>567.90606700000001</v>
      </c>
      <c r="AB86">
        <v>563.61889599999995</v>
      </c>
      <c r="AC86">
        <v>559.58795199999997</v>
      </c>
      <c r="AD86">
        <v>555.80895999999996</v>
      </c>
      <c r="AE86">
        <v>552.26348900000005</v>
      </c>
      <c r="AF86">
        <v>548.93164100000001</v>
      </c>
      <c r="AG86" s="144">
        <v>-2.3E-2</v>
      </c>
    </row>
    <row r="87" spans="1:33">
      <c r="A87" t="s">
        <v>3714</v>
      </c>
    </row>
    <row r="88" spans="1:33">
      <c r="A88" t="s">
        <v>3713</v>
      </c>
      <c r="B88" t="s">
        <v>3712</v>
      </c>
      <c r="C88" t="s">
        <v>3711</v>
      </c>
      <c r="D88" t="s">
        <v>3684</v>
      </c>
      <c r="F88">
        <v>14.660724999999999</v>
      </c>
      <c r="G88">
        <v>14.47932</v>
      </c>
      <c r="H88">
        <v>13.539622</v>
      </c>
      <c r="I88">
        <v>12.501745</v>
      </c>
      <c r="J88">
        <v>12.459519999999999</v>
      </c>
      <c r="K88">
        <v>12.533541</v>
      </c>
      <c r="L88">
        <v>12.655854</v>
      </c>
      <c r="M88">
        <v>12.79153</v>
      </c>
      <c r="N88">
        <v>12.88917</v>
      </c>
      <c r="O88">
        <v>13.116578000000001</v>
      </c>
      <c r="P88">
        <v>13.132267000000001</v>
      </c>
      <c r="Q88">
        <v>13.026171</v>
      </c>
      <c r="R88">
        <v>13.029432</v>
      </c>
      <c r="S88">
        <v>13.024822</v>
      </c>
      <c r="T88">
        <v>13.013798</v>
      </c>
      <c r="U88">
        <v>12.905737</v>
      </c>
      <c r="V88">
        <v>12.819233000000001</v>
      </c>
      <c r="W88">
        <v>12.860766999999999</v>
      </c>
      <c r="X88">
        <v>12.948478</v>
      </c>
      <c r="Y88">
        <v>13.121888999999999</v>
      </c>
      <c r="Z88">
        <v>13.205757999999999</v>
      </c>
      <c r="AA88">
        <v>13.272812999999999</v>
      </c>
      <c r="AB88">
        <v>13.279309</v>
      </c>
      <c r="AC88">
        <v>13.341877999999999</v>
      </c>
      <c r="AD88">
        <v>13.308396999999999</v>
      </c>
      <c r="AE88">
        <v>13.322649999999999</v>
      </c>
      <c r="AF88">
        <v>13.292918999999999</v>
      </c>
      <c r="AG88" s="144">
        <v>-4.0000000000000001E-3</v>
      </c>
    </row>
    <row r="89" spans="1:33">
      <c r="A89" t="s">
        <v>3710</v>
      </c>
      <c r="B89" t="s">
        <v>3709</v>
      </c>
      <c r="C89" t="s">
        <v>3702</v>
      </c>
      <c r="D89" t="s">
        <v>3684</v>
      </c>
      <c r="F89">
        <v>21.406419</v>
      </c>
      <c r="G89">
        <v>20.894677000000001</v>
      </c>
      <c r="H89">
        <v>18.821584999999999</v>
      </c>
      <c r="I89">
        <v>17.486322000000001</v>
      </c>
      <c r="J89">
        <v>17.284580999999999</v>
      </c>
      <c r="K89">
        <v>17.332429000000001</v>
      </c>
      <c r="L89">
        <v>17.445575000000002</v>
      </c>
      <c r="M89">
        <v>17.659478</v>
      </c>
      <c r="N89">
        <v>17.786636999999999</v>
      </c>
      <c r="O89">
        <v>18.025981000000002</v>
      </c>
      <c r="P89">
        <v>18.087261000000002</v>
      </c>
      <c r="Q89">
        <v>18.058178000000002</v>
      </c>
      <c r="R89">
        <v>18.077915000000001</v>
      </c>
      <c r="S89">
        <v>18.038933</v>
      </c>
      <c r="T89">
        <v>18.008388</v>
      </c>
      <c r="U89">
        <v>17.904356</v>
      </c>
      <c r="V89">
        <v>17.860285000000001</v>
      </c>
      <c r="W89">
        <v>17.921337000000001</v>
      </c>
      <c r="X89">
        <v>18.047402999999999</v>
      </c>
      <c r="Y89">
        <v>18.188303999999999</v>
      </c>
      <c r="Z89">
        <v>18.280470000000001</v>
      </c>
      <c r="AA89">
        <v>18.398088000000001</v>
      </c>
      <c r="AB89">
        <v>18.47851</v>
      </c>
      <c r="AC89">
        <v>18.575382999999999</v>
      </c>
      <c r="AD89">
        <v>18.601012999999998</v>
      </c>
      <c r="AE89">
        <v>18.634260999999999</v>
      </c>
      <c r="AF89">
        <v>18.651931999999999</v>
      </c>
      <c r="AG89" s="144">
        <v>-5.0000000000000001E-3</v>
      </c>
    </row>
    <row r="90" spans="1:33">
      <c r="A90" t="s">
        <v>3708</v>
      </c>
      <c r="B90" t="s">
        <v>3707</v>
      </c>
      <c r="C90" t="s">
        <v>3702</v>
      </c>
      <c r="D90" t="s">
        <v>3684</v>
      </c>
      <c r="F90">
        <v>18.915469000000002</v>
      </c>
      <c r="G90">
        <v>18.494361000000001</v>
      </c>
      <c r="H90">
        <v>16.748058</v>
      </c>
      <c r="I90">
        <v>15.598786</v>
      </c>
      <c r="J90">
        <v>15.387491000000001</v>
      </c>
      <c r="K90">
        <v>15.411830999999999</v>
      </c>
      <c r="L90">
        <v>15.483029999999999</v>
      </c>
      <c r="M90">
        <v>15.651555999999999</v>
      </c>
      <c r="N90">
        <v>15.761011</v>
      </c>
      <c r="O90">
        <v>15.963941</v>
      </c>
      <c r="P90">
        <v>16.044131</v>
      </c>
      <c r="Q90">
        <v>16.044027</v>
      </c>
      <c r="R90">
        <v>16.074539000000001</v>
      </c>
      <c r="S90">
        <v>16.049256</v>
      </c>
      <c r="T90">
        <v>16.027716999999999</v>
      </c>
      <c r="U90">
        <v>15.944241</v>
      </c>
      <c r="V90">
        <v>15.890953</v>
      </c>
      <c r="W90">
        <v>15.949241000000001</v>
      </c>
      <c r="X90">
        <v>16.076356000000001</v>
      </c>
      <c r="Y90">
        <v>16.220196999999999</v>
      </c>
      <c r="Z90">
        <v>16.330137000000001</v>
      </c>
      <c r="AA90">
        <v>16.446974999999998</v>
      </c>
      <c r="AB90">
        <v>16.533956</v>
      </c>
      <c r="AC90">
        <v>16.647703</v>
      </c>
      <c r="AD90">
        <v>16.695798</v>
      </c>
      <c r="AE90">
        <v>16.747364000000001</v>
      </c>
      <c r="AF90">
        <v>16.791399999999999</v>
      </c>
      <c r="AG90" s="144">
        <v>-5.0000000000000001E-3</v>
      </c>
    </row>
    <row r="91" spans="1:33">
      <c r="A91" t="s">
        <v>3706</v>
      </c>
      <c r="B91" t="s">
        <v>3705</v>
      </c>
      <c r="C91" t="s">
        <v>3702</v>
      </c>
      <c r="D91" t="s">
        <v>3684</v>
      </c>
      <c r="F91">
        <v>24.560234000000001</v>
      </c>
      <c r="G91">
        <v>23.65334</v>
      </c>
      <c r="H91">
        <v>20.961617</v>
      </c>
      <c r="I91">
        <v>19.246886</v>
      </c>
      <c r="J91">
        <v>18.991436</v>
      </c>
      <c r="K91">
        <v>18.994349</v>
      </c>
      <c r="L91">
        <v>19.096301</v>
      </c>
      <c r="M91">
        <v>19.288595999999998</v>
      </c>
      <c r="N91">
        <v>19.346433000000001</v>
      </c>
      <c r="O91">
        <v>19.542026</v>
      </c>
      <c r="P91">
        <v>19.505562999999999</v>
      </c>
      <c r="Q91">
        <v>19.382211999999999</v>
      </c>
      <c r="R91">
        <v>19.341442000000001</v>
      </c>
      <c r="S91">
        <v>19.236585000000002</v>
      </c>
      <c r="T91">
        <v>19.152076000000001</v>
      </c>
      <c r="U91">
        <v>18.982410000000002</v>
      </c>
      <c r="V91">
        <v>18.923145000000002</v>
      </c>
      <c r="W91">
        <v>18.947120999999999</v>
      </c>
      <c r="X91">
        <v>19.024059000000001</v>
      </c>
      <c r="Y91">
        <v>19.112776</v>
      </c>
      <c r="Z91">
        <v>19.133858</v>
      </c>
      <c r="AA91">
        <v>19.210448</v>
      </c>
      <c r="AB91">
        <v>19.242525000000001</v>
      </c>
      <c r="AC91">
        <v>19.275586000000001</v>
      </c>
      <c r="AD91">
        <v>19.235341999999999</v>
      </c>
      <c r="AE91">
        <v>19.213842</v>
      </c>
      <c r="AF91">
        <v>19.162220999999999</v>
      </c>
      <c r="AG91" s="144">
        <v>-0.01</v>
      </c>
    </row>
    <row r="92" spans="1:33">
      <c r="A92" t="s">
        <v>3704</v>
      </c>
      <c r="B92" t="s">
        <v>3703</v>
      </c>
      <c r="C92" t="s">
        <v>3702</v>
      </c>
      <c r="D92" t="s">
        <v>3684</v>
      </c>
      <c r="F92">
        <v>32.392367999999998</v>
      </c>
      <c r="G92">
        <v>31.175576</v>
      </c>
      <c r="H92">
        <v>27.621338000000002</v>
      </c>
      <c r="I92">
        <v>25.355183</v>
      </c>
      <c r="J92">
        <v>25.018739</v>
      </c>
      <c r="K92">
        <v>25.021774000000001</v>
      </c>
      <c r="L92">
        <v>25.157150000000001</v>
      </c>
      <c r="M92">
        <v>25.409141999999999</v>
      </c>
      <c r="N92">
        <v>25.478199</v>
      </c>
      <c r="O92">
        <v>25.725657999999999</v>
      </c>
      <c r="P92">
        <v>25.6675</v>
      </c>
      <c r="Q92">
        <v>25.497035</v>
      </c>
      <c r="R92">
        <v>25.434052000000001</v>
      </c>
      <c r="S92">
        <v>25.300881</v>
      </c>
      <c r="T92">
        <v>25.193921</v>
      </c>
      <c r="U92">
        <v>24.978705999999999</v>
      </c>
      <c r="V92">
        <v>24.923964000000002</v>
      </c>
      <c r="W92">
        <v>24.959510000000002</v>
      </c>
      <c r="X92">
        <v>25.053393</v>
      </c>
      <c r="Y92">
        <v>25.160581000000001</v>
      </c>
      <c r="Z92">
        <v>25.174085999999999</v>
      </c>
      <c r="AA92">
        <v>25.273709</v>
      </c>
      <c r="AB92">
        <v>25.316188</v>
      </c>
      <c r="AC92">
        <v>25.346585000000001</v>
      </c>
      <c r="AD92">
        <v>25.289458</v>
      </c>
      <c r="AE92">
        <v>25.253147999999999</v>
      </c>
      <c r="AF92">
        <v>25.178395999999999</v>
      </c>
      <c r="AG92" s="144">
        <v>-0.01</v>
      </c>
    </row>
    <row r="93" spans="1:33">
      <c r="A93" t="s">
        <v>1072</v>
      </c>
      <c r="B93" t="s">
        <v>3701</v>
      </c>
      <c r="C93" t="s">
        <v>3694</v>
      </c>
      <c r="D93" t="s">
        <v>3684</v>
      </c>
      <c r="F93">
        <v>17.499977999999999</v>
      </c>
      <c r="G93">
        <v>16.868295</v>
      </c>
      <c r="H93">
        <v>14.858658</v>
      </c>
      <c r="I93">
        <v>13.690975</v>
      </c>
      <c r="J93">
        <v>13.510317000000001</v>
      </c>
      <c r="K93">
        <v>13.550777</v>
      </c>
      <c r="L93">
        <v>13.650695000000001</v>
      </c>
      <c r="M93">
        <v>13.814605999999999</v>
      </c>
      <c r="N93">
        <v>13.887226</v>
      </c>
      <c r="O93">
        <v>14.057883</v>
      </c>
      <c r="P93">
        <v>14.094117000000001</v>
      </c>
      <c r="Q93">
        <v>14.088540999999999</v>
      </c>
      <c r="R93">
        <v>14.142582000000001</v>
      </c>
      <c r="S93">
        <v>14.072425000000001</v>
      </c>
      <c r="T93">
        <v>14.010379</v>
      </c>
      <c r="U93">
        <v>13.850702</v>
      </c>
      <c r="V93">
        <v>13.739597</v>
      </c>
      <c r="W93">
        <v>13.741968</v>
      </c>
      <c r="X93">
        <v>13.801117</v>
      </c>
      <c r="Y93">
        <v>13.910145</v>
      </c>
      <c r="Z93">
        <v>13.958562000000001</v>
      </c>
      <c r="AA93">
        <v>14.029273999999999</v>
      </c>
      <c r="AB93">
        <v>14.033215</v>
      </c>
      <c r="AC93">
        <v>14.086240999999999</v>
      </c>
      <c r="AD93">
        <v>14.057613</v>
      </c>
      <c r="AE93">
        <v>14.07015</v>
      </c>
      <c r="AF93">
        <v>14.052716</v>
      </c>
      <c r="AG93" s="144">
        <v>-8.0000000000000002E-3</v>
      </c>
    </row>
    <row r="94" spans="1:33">
      <c r="A94" t="s">
        <v>3700</v>
      </c>
      <c r="B94" t="s">
        <v>3699</v>
      </c>
      <c r="C94" t="s">
        <v>3694</v>
      </c>
      <c r="D94" t="s">
        <v>3684</v>
      </c>
      <c r="F94">
        <v>17.109794999999998</v>
      </c>
      <c r="G94">
        <v>16.165376999999999</v>
      </c>
      <c r="H94">
        <v>14.333702000000001</v>
      </c>
      <c r="I94">
        <v>13.116031</v>
      </c>
      <c r="J94">
        <v>12.958225000000001</v>
      </c>
      <c r="K94">
        <v>12.986746999999999</v>
      </c>
      <c r="L94">
        <v>13.083360000000001</v>
      </c>
      <c r="M94">
        <v>13.197463000000001</v>
      </c>
      <c r="N94">
        <v>13.253920000000001</v>
      </c>
      <c r="O94">
        <v>13.438112</v>
      </c>
      <c r="P94">
        <v>13.430469</v>
      </c>
      <c r="Q94">
        <v>13.314503</v>
      </c>
      <c r="R94">
        <v>13.323175000000001</v>
      </c>
      <c r="S94">
        <v>13.323256000000001</v>
      </c>
      <c r="T94">
        <v>13.299072000000001</v>
      </c>
      <c r="U94">
        <v>13.205408</v>
      </c>
      <c r="V94">
        <v>13.172117</v>
      </c>
      <c r="W94">
        <v>13.215064</v>
      </c>
      <c r="X94">
        <v>13.264645</v>
      </c>
      <c r="Y94">
        <v>13.397519000000001</v>
      </c>
      <c r="Z94">
        <v>13.428667000000001</v>
      </c>
      <c r="AA94">
        <v>13.513114</v>
      </c>
      <c r="AB94">
        <v>13.536572</v>
      </c>
      <c r="AC94">
        <v>13.570066000000001</v>
      </c>
      <c r="AD94">
        <v>13.520778</v>
      </c>
      <c r="AE94">
        <v>13.503270000000001</v>
      </c>
      <c r="AF94">
        <v>13.441691</v>
      </c>
      <c r="AG94" s="144">
        <v>-8.9999999999999993E-3</v>
      </c>
    </row>
    <row r="95" spans="1:33">
      <c r="A95" t="s">
        <v>3698</v>
      </c>
      <c r="B95" t="s">
        <v>3697</v>
      </c>
      <c r="C95" t="s">
        <v>3694</v>
      </c>
      <c r="D95" t="s">
        <v>3684</v>
      </c>
      <c r="F95">
        <v>17.561288999999999</v>
      </c>
      <c r="G95">
        <v>17.024719999999999</v>
      </c>
      <c r="H95">
        <v>14.998709</v>
      </c>
      <c r="I95">
        <v>13.865487999999999</v>
      </c>
      <c r="J95">
        <v>13.694796999999999</v>
      </c>
      <c r="K95">
        <v>13.753669</v>
      </c>
      <c r="L95">
        <v>13.866458</v>
      </c>
      <c r="M95">
        <v>14.061038</v>
      </c>
      <c r="N95">
        <v>14.151945</v>
      </c>
      <c r="O95">
        <v>14.327889000000001</v>
      </c>
      <c r="P95">
        <v>14.392894</v>
      </c>
      <c r="Q95">
        <v>14.448506</v>
      </c>
      <c r="R95">
        <v>14.535325</v>
      </c>
      <c r="S95">
        <v>14.441808999999999</v>
      </c>
      <c r="T95">
        <v>14.369104999999999</v>
      </c>
      <c r="U95">
        <v>14.182898</v>
      </c>
      <c r="V95">
        <v>14.037635999999999</v>
      </c>
      <c r="W95">
        <v>14.023992</v>
      </c>
      <c r="X95">
        <v>14.093598</v>
      </c>
      <c r="Y95">
        <v>14.194001999999999</v>
      </c>
      <c r="Z95">
        <v>14.256455000000001</v>
      </c>
      <c r="AA95">
        <v>14.322983000000001</v>
      </c>
      <c r="AB95">
        <v>14.319469</v>
      </c>
      <c r="AC95">
        <v>14.387855</v>
      </c>
      <c r="AD95">
        <v>14.374874999999999</v>
      </c>
      <c r="AE95">
        <v>14.408455</v>
      </c>
      <c r="AF95">
        <v>14.418906</v>
      </c>
      <c r="AG95" s="144">
        <v>-8.0000000000000002E-3</v>
      </c>
    </row>
    <row r="96" spans="1:33">
      <c r="A96" t="s">
        <v>3696</v>
      </c>
      <c r="B96" t="s">
        <v>3695</v>
      </c>
      <c r="C96" t="s">
        <v>3694</v>
      </c>
      <c r="D96" t="s">
        <v>3684</v>
      </c>
      <c r="F96">
        <v>12.941013</v>
      </c>
      <c r="G96">
        <v>12.624143999999999</v>
      </c>
      <c r="H96">
        <v>11.719846</v>
      </c>
      <c r="I96">
        <v>11.091652</v>
      </c>
      <c r="J96">
        <v>11.041523</v>
      </c>
      <c r="K96">
        <v>11.135455</v>
      </c>
      <c r="L96">
        <v>11.261929</v>
      </c>
      <c r="M96">
        <v>11.467452</v>
      </c>
      <c r="N96">
        <v>11.591284</v>
      </c>
      <c r="O96">
        <v>11.827546</v>
      </c>
      <c r="P96">
        <v>11.914558</v>
      </c>
      <c r="Q96">
        <v>11.840052999999999</v>
      </c>
      <c r="R96">
        <v>11.800545</v>
      </c>
      <c r="S96">
        <v>11.73856</v>
      </c>
      <c r="T96">
        <v>11.673352</v>
      </c>
      <c r="U96">
        <v>11.557297999999999</v>
      </c>
      <c r="V96">
        <v>11.491102</v>
      </c>
      <c r="W96">
        <v>11.510795</v>
      </c>
      <c r="X96">
        <v>11.566348</v>
      </c>
      <c r="Y96">
        <v>11.638818000000001</v>
      </c>
      <c r="Z96">
        <v>11.67062</v>
      </c>
      <c r="AA96">
        <v>11.73199</v>
      </c>
      <c r="AB96">
        <v>11.780459</v>
      </c>
      <c r="AC96">
        <v>11.801879</v>
      </c>
      <c r="AD96">
        <v>11.767419</v>
      </c>
      <c r="AE96">
        <v>11.731590000000001</v>
      </c>
      <c r="AF96">
        <v>11.686546</v>
      </c>
      <c r="AG96" s="144">
        <v>-4.0000000000000001E-3</v>
      </c>
    </row>
    <row r="97" spans="1:33">
      <c r="A97" t="s">
        <v>3693</v>
      </c>
      <c r="B97" t="s">
        <v>3692</v>
      </c>
      <c r="C97" t="s">
        <v>3689</v>
      </c>
      <c r="D97" t="s">
        <v>3684</v>
      </c>
      <c r="F97">
        <v>18.392759999999999</v>
      </c>
      <c r="G97">
        <v>17.964400000000001</v>
      </c>
      <c r="H97">
        <v>16.773347000000001</v>
      </c>
      <c r="I97">
        <v>15.913226999999999</v>
      </c>
      <c r="J97">
        <v>15.843658</v>
      </c>
      <c r="K97">
        <v>15.975294999999999</v>
      </c>
      <c r="L97">
        <v>16.123283000000001</v>
      </c>
      <c r="M97">
        <v>16.242621</v>
      </c>
      <c r="N97">
        <v>16.119142</v>
      </c>
      <c r="O97">
        <v>16.181032999999999</v>
      </c>
      <c r="P97">
        <v>15.929745</v>
      </c>
      <c r="Q97">
        <v>15.355148</v>
      </c>
      <c r="R97">
        <v>14.820855999999999</v>
      </c>
      <c r="S97">
        <v>14.332749</v>
      </c>
      <c r="T97">
        <v>13.900952</v>
      </c>
      <c r="U97">
        <v>13.469419</v>
      </c>
      <c r="V97">
        <v>13.144062</v>
      </c>
      <c r="W97">
        <v>12.936470999999999</v>
      </c>
      <c r="X97">
        <v>12.805147</v>
      </c>
      <c r="Y97">
        <v>12.721908000000001</v>
      </c>
      <c r="Z97">
        <v>12.632145</v>
      </c>
      <c r="AA97">
        <v>12.598369</v>
      </c>
      <c r="AB97">
        <v>12.569184</v>
      </c>
      <c r="AC97">
        <v>12.521887</v>
      </c>
      <c r="AD97">
        <v>12.426758</v>
      </c>
      <c r="AE97">
        <v>12.339561</v>
      </c>
      <c r="AF97">
        <v>12.250221</v>
      </c>
      <c r="AG97" s="144">
        <v>-1.6E-2</v>
      </c>
    </row>
    <row r="98" spans="1:33">
      <c r="A98" t="s">
        <v>3660</v>
      </c>
      <c r="B98" t="s">
        <v>3691</v>
      </c>
      <c r="C98" t="s">
        <v>3689</v>
      </c>
      <c r="D98" t="s">
        <v>3684</v>
      </c>
      <c r="F98">
        <v>12.941013</v>
      </c>
      <c r="G98">
        <v>12.624143999999999</v>
      </c>
      <c r="H98">
        <v>11.719846</v>
      </c>
      <c r="I98">
        <v>11.091652</v>
      </c>
      <c r="J98">
        <v>11.041523</v>
      </c>
      <c r="K98">
        <v>11.135455</v>
      </c>
      <c r="L98">
        <v>11.261929</v>
      </c>
      <c r="M98">
        <v>11.467452</v>
      </c>
      <c r="N98">
        <v>11.591284</v>
      </c>
      <c r="O98">
        <v>11.827546</v>
      </c>
      <c r="P98">
        <v>11.914558</v>
      </c>
      <c r="Q98">
        <v>11.840052999999999</v>
      </c>
      <c r="R98">
        <v>11.800545</v>
      </c>
      <c r="S98">
        <v>11.73856</v>
      </c>
      <c r="T98">
        <v>11.673352</v>
      </c>
      <c r="U98">
        <v>11.557297999999999</v>
      </c>
      <c r="V98">
        <v>11.491102</v>
      </c>
      <c r="W98">
        <v>11.510795</v>
      </c>
      <c r="X98">
        <v>11.566348</v>
      </c>
      <c r="Y98">
        <v>11.638818000000001</v>
      </c>
      <c r="Z98">
        <v>11.67062</v>
      </c>
      <c r="AA98">
        <v>11.73199</v>
      </c>
      <c r="AB98">
        <v>11.780459</v>
      </c>
      <c r="AC98">
        <v>11.801879</v>
      </c>
      <c r="AD98">
        <v>11.767419</v>
      </c>
      <c r="AE98">
        <v>11.731590000000001</v>
      </c>
      <c r="AF98">
        <v>11.686546</v>
      </c>
      <c r="AG98" s="144">
        <v>-4.0000000000000001E-3</v>
      </c>
    </row>
    <row r="99" spans="1:33">
      <c r="A99" t="s">
        <v>3663</v>
      </c>
      <c r="B99" t="s">
        <v>3690</v>
      </c>
      <c r="C99" t="s">
        <v>3689</v>
      </c>
      <c r="D99" t="s">
        <v>3684</v>
      </c>
      <c r="F99">
        <v>24.149308999999999</v>
      </c>
      <c r="G99">
        <v>23.538983999999999</v>
      </c>
      <c r="H99">
        <v>22.020655000000001</v>
      </c>
      <c r="I99">
        <v>20.899756</v>
      </c>
      <c r="J99">
        <v>20.810403000000001</v>
      </c>
      <c r="K99">
        <v>21.018688999999998</v>
      </c>
      <c r="L99">
        <v>21.265512999999999</v>
      </c>
      <c r="M99">
        <v>21.630918000000001</v>
      </c>
      <c r="N99">
        <v>21.821584999999999</v>
      </c>
      <c r="O99">
        <v>22.191970999999999</v>
      </c>
      <c r="P99">
        <v>22.233132000000001</v>
      </c>
      <c r="Q99">
        <v>21.968354000000001</v>
      </c>
      <c r="R99">
        <v>21.82507</v>
      </c>
      <c r="S99">
        <v>21.729991999999999</v>
      </c>
      <c r="T99">
        <v>21.668022000000001</v>
      </c>
      <c r="U99">
        <v>21.554518999999999</v>
      </c>
      <c r="V99">
        <v>21.546306999999999</v>
      </c>
      <c r="W99">
        <v>21.653545000000001</v>
      </c>
      <c r="X99">
        <v>21.818480999999998</v>
      </c>
      <c r="Y99">
        <v>21.973880999999999</v>
      </c>
      <c r="Z99">
        <v>22.062764000000001</v>
      </c>
      <c r="AA99">
        <v>22.223499</v>
      </c>
      <c r="AB99">
        <v>22.378456</v>
      </c>
      <c r="AC99">
        <v>22.459212000000001</v>
      </c>
      <c r="AD99">
        <v>22.427599000000001</v>
      </c>
      <c r="AE99">
        <v>22.37236</v>
      </c>
      <c r="AF99">
        <v>22.297429000000001</v>
      </c>
      <c r="AG99" s="144">
        <v>-3.0000000000000001E-3</v>
      </c>
    </row>
    <row r="100" spans="1:33">
      <c r="A100" t="s">
        <v>3688</v>
      </c>
    </row>
    <row r="101" spans="1:33">
      <c r="A101" t="s">
        <v>3660</v>
      </c>
      <c r="B101" t="s">
        <v>3687</v>
      </c>
      <c r="C101" t="s">
        <v>3685</v>
      </c>
      <c r="D101" t="s">
        <v>3684</v>
      </c>
      <c r="F101">
        <v>12.941013</v>
      </c>
      <c r="G101">
        <v>12.624143999999999</v>
      </c>
      <c r="H101">
        <v>11.719846</v>
      </c>
      <c r="I101">
        <v>11.091652</v>
      </c>
      <c r="J101">
        <v>11.041523</v>
      </c>
      <c r="K101">
        <v>11.135455</v>
      </c>
      <c r="L101">
        <v>11.261929</v>
      </c>
      <c r="M101">
        <v>11.467452</v>
      </c>
      <c r="N101">
        <v>11.591284</v>
      </c>
      <c r="O101">
        <v>11.827546</v>
      </c>
      <c r="P101">
        <v>11.914558</v>
      </c>
      <c r="Q101">
        <v>11.840052999999999</v>
      </c>
      <c r="R101">
        <v>11.800545</v>
      </c>
      <c r="S101">
        <v>11.73856</v>
      </c>
      <c r="T101">
        <v>11.673352</v>
      </c>
      <c r="U101">
        <v>11.557297999999999</v>
      </c>
      <c r="V101">
        <v>11.491102</v>
      </c>
      <c r="W101">
        <v>11.510795</v>
      </c>
      <c r="X101">
        <v>11.566348</v>
      </c>
      <c r="Y101">
        <v>11.638818000000001</v>
      </c>
      <c r="Z101">
        <v>11.67062</v>
      </c>
      <c r="AA101">
        <v>11.73199</v>
      </c>
      <c r="AB101">
        <v>11.780459</v>
      </c>
      <c r="AC101">
        <v>11.801879</v>
      </c>
      <c r="AD101">
        <v>11.767419</v>
      </c>
      <c r="AE101">
        <v>11.731590000000001</v>
      </c>
      <c r="AF101">
        <v>11.686546</v>
      </c>
      <c r="AG101" s="144">
        <v>-4.0000000000000001E-3</v>
      </c>
    </row>
    <row r="102" spans="1:33">
      <c r="A102" t="s">
        <v>3663</v>
      </c>
      <c r="B102" t="s">
        <v>3686</v>
      </c>
      <c r="C102" t="s">
        <v>3685</v>
      </c>
      <c r="D102" t="s">
        <v>3684</v>
      </c>
      <c r="F102">
        <v>24.149308999999999</v>
      </c>
      <c r="G102">
        <v>23.538983999999999</v>
      </c>
      <c r="H102">
        <v>22.020655000000001</v>
      </c>
      <c r="I102">
        <v>20.899756</v>
      </c>
      <c r="J102">
        <v>20.810403000000001</v>
      </c>
      <c r="K102">
        <v>21.018688999999998</v>
      </c>
      <c r="L102">
        <v>21.265512999999999</v>
      </c>
      <c r="M102">
        <v>21.630918000000001</v>
      </c>
      <c r="N102">
        <v>21.821584999999999</v>
      </c>
      <c r="O102">
        <v>22.191970999999999</v>
      </c>
      <c r="P102">
        <v>22.233132000000001</v>
      </c>
      <c r="Q102">
        <v>21.968354000000001</v>
      </c>
      <c r="R102">
        <v>21.82507</v>
      </c>
      <c r="S102">
        <v>21.729991999999999</v>
      </c>
      <c r="T102">
        <v>21.668022000000001</v>
      </c>
      <c r="U102">
        <v>21.554518999999999</v>
      </c>
      <c r="V102">
        <v>21.546306999999999</v>
      </c>
      <c r="W102">
        <v>21.653545000000001</v>
      </c>
      <c r="X102">
        <v>21.818480999999998</v>
      </c>
      <c r="Y102">
        <v>21.973880999999999</v>
      </c>
      <c r="Z102">
        <v>22.062764000000001</v>
      </c>
      <c r="AA102">
        <v>22.223499</v>
      </c>
      <c r="AB102">
        <v>22.378456</v>
      </c>
      <c r="AC102">
        <v>22.459212000000001</v>
      </c>
      <c r="AD102">
        <v>22.427599000000001</v>
      </c>
      <c r="AE102">
        <v>22.37236</v>
      </c>
      <c r="AF102">
        <v>22.297429000000001</v>
      </c>
      <c r="AG102" s="144">
        <v>-3.0000000000000001E-3</v>
      </c>
    </row>
    <row r="103" spans="1:33">
      <c r="A103" t="s">
        <v>3683</v>
      </c>
      <c r="B103" t="s">
        <v>3682</v>
      </c>
      <c r="C103" t="s">
        <v>3681</v>
      </c>
      <c r="D103" t="s">
        <v>3680</v>
      </c>
      <c r="F103">
        <v>8.2315170000000002</v>
      </c>
      <c r="G103">
        <v>8.356859</v>
      </c>
      <c r="H103">
        <v>8.3182880000000008</v>
      </c>
      <c r="I103">
        <v>8.2909299999999995</v>
      </c>
      <c r="J103">
        <v>8.3077780000000008</v>
      </c>
      <c r="K103">
        <v>8.3374550000000003</v>
      </c>
      <c r="L103">
        <v>8.3757319999999993</v>
      </c>
      <c r="M103">
        <v>8.4028349999999996</v>
      </c>
      <c r="N103">
        <v>8.4641330000000004</v>
      </c>
      <c r="O103">
        <v>8.4959319999999998</v>
      </c>
      <c r="P103">
        <v>8.5403179999999992</v>
      </c>
      <c r="Q103">
        <v>8.5279729999999994</v>
      </c>
      <c r="R103">
        <v>8.5055169999999993</v>
      </c>
      <c r="S103">
        <v>8.4888680000000001</v>
      </c>
      <c r="T103">
        <v>8.483689</v>
      </c>
      <c r="U103">
        <v>8.4763900000000003</v>
      </c>
      <c r="V103">
        <v>8.4840520000000001</v>
      </c>
      <c r="W103">
        <v>8.5093599999999991</v>
      </c>
      <c r="X103">
        <v>8.5356719999999999</v>
      </c>
      <c r="Y103">
        <v>8.5486109999999993</v>
      </c>
      <c r="Z103">
        <v>8.5571140000000003</v>
      </c>
      <c r="AA103">
        <v>8.5607380000000006</v>
      </c>
      <c r="AB103">
        <v>8.5608299999999993</v>
      </c>
      <c r="AC103">
        <v>8.5542350000000003</v>
      </c>
      <c r="AD103">
        <v>8.5512890000000006</v>
      </c>
      <c r="AE103">
        <v>8.5480119999999999</v>
      </c>
      <c r="AF103">
        <v>8.5461880000000008</v>
      </c>
      <c r="AG103" s="144">
        <v>1E-3</v>
      </c>
    </row>
    <row r="104" spans="1:33">
      <c r="A104" t="s">
        <v>3679</v>
      </c>
    </row>
    <row r="105" spans="1:33">
      <c r="A105" t="s">
        <v>214</v>
      </c>
    </row>
    <row r="106" spans="1:33">
      <c r="A106" t="s">
        <v>3666</v>
      </c>
      <c r="B106" t="s">
        <v>3678</v>
      </c>
      <c r="C106" t="s">
        <v>3677</v>
      </c>
      <c r="D106" t="s">
        <v>3647</v>
      </c>
      <c r="F106">
        <v>17.766323</v>
      </c>
      <c r="G106">
        <v>17.970210999999999</v>
      </c>
      <c r="H106">
        <v>17.959671</v>
      </c>
      <c r="I106">
        <v>17.85622</v>
      </c>
      <c r="J106">
        <v>17.812985999999999</v>
      </c>
      <c r="K106">
        <v>17.876345000000001</v>
      </c>
      <c r="L106">
        <v>17.945992</v>
      </c>
      <c r="M106">
        <v>17.996148999999999</v>
      </c>
      <c r="N106">
        <v>18.214977000000001</v>
      </c>
      <c r="O106">
        <v>18.394098</v>
      </c>
      <c r="P106">
        <v>18.492505999999999</v>
      </c>
      <c r="Q106">
        <v>19.302897999999999</v>
      </c>
      <c r="R106">
        <v>19.313524000000001</v>
      </c>
      <c r="S106">
        <v>19.199712999999999</v>
      </c>
      <c r="T106">
        <v>19.099436000000001</v>
      </c>
      <c r="U106">
        <v>19.006401</v>
      </c>
      <c r="V106">
        <v>18.972618000000001</v>
      </c>
      <c r="W106">
        <v>19.015931999999999</v>
      </c>
      <c r="X106">
        <v>19.059194999999999</v>
      </c>
      <c r="Y106">
        <v>19.089003000000002</v>
      </c>
      <c r="Z106">
        <v>19.078462999999999</v>
      </c>
      <c r="AA106">
        <v>19.073222999999999</v>
      </c>
      <c r="AB106">
        <v>19.035549</v>
      </c>
      <c r="AC106">
        <v>18.976642999999999</v>
      </c>
      <c r="AD106">
        <v>18.914947999999999</v>
      </c>
      <c r="AE106">
        <v>18.991773999999999</v>
      </c>
      <c r="AF106">
        <v>18.961599</v>
      </c>
      <c r="AG106" s="144">
        <v>3.0000000000000001E-3</v>
      </c>
    </row>
    <row r="107" spans="1:33">
      <c r="A107" t="s">
        <v>3663</v>
      </c>
      <c r="B107" t="s">
        <v>3676</v>
      </c>
      <c r="C107" t="s">
        <v>3675</v>
      </c>
      <c r="D107" t="s">
        <v>3647</v>
      </c>
      <c r="F107">
        <v>19.777598999999999</v>
      </c>
      <c r="G107">
        <v>19.960829</v>
      </c>
      <c r="H107">
        <v>19.863551999999999</v>
      </c>
      <c r="I107">
        <v>19.700586000000001</v>
      </c>
      <c r="J107">
        <v>19.63954</v>
      </c>
      <c r="K107">
        <v>19.690778999999999</v>
      </c>
      <c r="L107">
        <v>19.757977</v>
      </c>
      <c r="M107">
        <v>19.798511999999999</v>
      </c>
      <c r="N107">
        <v>20.007479</v>
      </c>
      <c r="O107">
        <v>20.204947000000001</v>
      </c>
      <c r="P107">
        <v>20.307542999999999</v>
      </c>
      <c r="Q107">
        <v>20.827048999999999</v>
      </c>
      <c r="R107">
        <v>20.821225999999999</v>
      </c>
      <c r="S107">
        <v>20.723355999999999</v>
      </c>
      <c r="T107">
        <v>20.637675999999999</v>
      </c>
      <c r="U107">
        <v>20.552267000000001</v>
      </c>
      <c r="V107">
        <v>20.518706999999999</v>
      </c>
      <c r="W107">
        <v>20.559086000000001</v>
      </c>
      <c r="X107">
        <v>20.594023</v>
      </c>
      <c r="Y107">
        <v>20.612739999999999</v>
      </c>
      <c r="Z107">
        <v>20.589821000000001</v>
      </c>
      <c r="AA107">
        <v>20.572635999999999</v>
      </c>
      <c r="AB107">
        <v>20.518937999999999</v>
      </c>
      <c r="AC107">
        <v>20.441102999999998</v>
      </c>
      <c r="AD107">
        <v>20.358809000000001</v>
      </c>
      <c r="AE107">
        <v>20.404717999999999</v>
      </c>
      <c r="AF107">
        <v>20.358135000000001</v>
      </c>
      <c r="AG107" s="144">
        <v>1E-3</v>
      </c>
    </row>
    <row r="108" spans="1:33">
      <c r="A108" t="s">
        <v>3660</v>
      </c>
      <c r="B108" t="s">
        <v>3674</v>
      </c>
      <c r="C108" t="s">
        <v>3673</v>
      </c>
      <c r="D108" t="s">
        <v>3647</v>
      </c>
      <c r="F108">
        <v>17.562643000000001</v>
      </c>
      <c r="G108">
        <v>17.663405999999998</v>
      </c>
      <c r="H108">
        <v>17.567457000000001</v>
      </c>
      <c r="I108">
        <v>17.382929000000001</v>
      </c>
      <c r="J108">
        <v>17.291913999999998</v>
      </c>
      <c r="K108">
        <v>17.307409</v>
      </c>
      <c r="L108">
        <v>17.343654999999998</v>
      </c>
      <c r="M108">
        <v>17.378972999999998</v>
      </c>
      <c r="N108">
        <v>17.587420999999999</v>
      </c>
      <c r="O108">
        <v>17.754463000000001</v>
      </c>
      <c r="P108">
        <v>17.843942999999999</v>
      </c>
      <c r="Q108">
        <v>18.745529000000001</v>
      </c>
      <c r="R108">
        <v>18.747879000000001</v>
      </c>
      <c r="S108">
        <v>18.610184</v>
      </c>
      <c r="T108">
        <v>18.480103</v>
      </c>
      <c r="U108">
        <v>18.357793999999998</v>
      </c>
      <c r="V108">
        <v>18.290929999999999</v>
      </c>
      <c r="W108">
        <v>18.293406000000001</v>
      </c>
      <c r="X108">
        <v>18.292567999999999</v>
      </c>
      <c r="Y108">
        <v>18.276505</v>
      </c>
      <c r="Z108">
        <v>18.221741000000002</v>
      </c>
      <c r="AA108">
        <v>18.169429999999998</v>
      </c>
      <c r="AB108">
        <v>18.083389</v>
      </c>
      <c r="AC108">
        <v>17.971112999999999</v>
      </c>
      <c r="AD108">
        <v>17.858927000000001</v>
      </c>
      <c r="AE108">
        <v>17.892932999999999</v>
      </c>
      <c r="AF108">
        <v>17.811951000000001</v>
      </c>
      <c r="AG108" s="144">
        <v>1E-3</v>
      </c>
    </row>
    <row r="109" spans="1:33">
      <c r="A109" t="s">
        <v>3654</v>
      </c>
      <c r="B109" t="s">
        <v>3672</v>
      </c>
      <c r="C109" t="s">
        <v>3671</v>
      </c>
      <c r="D109" t="s">
        <v>3647</v>
      </c>
      <c r="F109">
        <v>0</v>
      </c>
      <c r="G109">
        <v>0</v>
      </c>
      <c r="H109">
        <v>0</v>
      </c>
      <c r="I109">
        <v>0</v>
      </c>
      <c r="J109">
        <v>0</v>
      </c>
      <c r="K109">
        <v>0</v>
      </c>
      <c r="L109">
        <v>0</v>
      </c>
      <c r="M109">
        <v>0</v>
      </c>
      <c r="N109">
        <v>0</v>
      </c>
      <c r="O109">
        <v>0</v>
      </c>
      <c r="P109">
        <v>0</v>
      </c>
      <c r="Q109">
        <v>0</v>
      </c>
      <c r="R109">
        <v>0</v>
      </c>
      <c r="S109">
        <v>0</v>
      </c>
      <c r="T109">
        <v>0</v>
      </c>
      <c r="U109">
        <v>0</v>
      </c>
      <c r="V109">
        <v>0</v>
      </c>
      <c r="W109">
        <v>0</v>
      </c>
      <c r="X109">
        <v>0</v>
      </c>
      <c r="Y109">
        <v>0</v>
      </c>
      <c r="Z109">
        <v>0</v>
      </c>
      <c r="AA109">
        <v>0</v>
      </c>
      <c r="AB109">
        <v>0</v>
      </c>
      <c r="AC109">
        <v>0</v>
      </c>
      <c r="AD109">
        <v>0</v>
      </c>
      <c r="AE109">
        <v>0</v>
      </c>
      <c r="AF109">
        <v>0</v>
      </c>
      <c r="AG109" t="s">
        <v>1769</v>
      </c>
    </row>
    <row r="110" spans="1:33">
      <c r="A110" t="s">
        <v>2815</v>
      </c>
      <c r="B110" t="s">
        <v>3670</v>
      </c>
      <c r="C110" t="s">
        <v>3669</v>
      </c>
      <c r="D110" t="s">
        <v>3647</v>
      </c>
      <c r="F110">
        <v>11.443804</v>
      </c>
      <c r="G110">
        <v>12.072668</v>
      </c>
      <c r="H110">
        <v>11.969920999999999</v>
      </c>
      <c r="I110">
        <v>11.783875</v>
      </c>
      <c r="J110">
        <v>11.726345999999999</v>
      </c>
      <c r="K110">
        <v>11.797737</v>
      </c>
      <c r="L110">
        <v>11.908505999999999</v>
      </c>
      <c r="M110">
        <v>11.999717</v>
      </c>
      <c r="N110">
        <v>12.302014</v>
      </c>
      <c r="O110">
        <v>12.554612000000001</v>
      </c>
      <c r="P110">
        <v>12.694451000000001</v>
      </c>
      <c r="Q110">
        <v>13.0364</v>
      </c>
      <c r="R110">
        <v>12.997778</v>
      </c>
      <c r="S110">
        <v>12.920356999999999</v>
      </c>
      <c r="T110">
        <v>12.858921</v>
      </c>
      <c r="U110">
        <v>12.790533999999999</v>
      </c>
      <c r="V110">
        <v>12.798731999999999</v>
      </c>
      <c r="W110">
        <v>12.878328</v>
      </c>
      <c r="X110">
        <v>12.934844999999999</v>
      </c>
      <c r="Y110">
        <v>12.995628</v>
      </c>
      <c r="Z110">
        <v>12.983548000000001</v>
      </c>
      <c r="AA110">
        <v>12.963507999999999</v>
      </c>
      <c r="AB110">
        <v>12.921654999999999</v>
      </c>
      <c r="AC110">
        <v>12.843486</v>
      </c>
      <c r="AD110">
        <v>12.780554</v>
      </c>
      <c r="AE110">
        <v>12.805318</v>
      </c>
      <c r="AF110">
        <v>12.774438999999999</v>
      </c>
      <c r="AG110" s="144">
        <v>4.0000000000000001E-3</v>
      </c>
    </row>
    <row r="111" spans="1:33">
      <c r="A111" t="s">
        <v>2780</v>
      </c>
      <c r="B111" t="s">
        <v>3668</v>
      </c>
      <c r="C111" t="s">
        <v>3667</v>
      </c>
      <c r="D111" t="s">
        <v>3647</v>
      </c>
      <c r="F111">
        <v>11.443804</v>
      </c>
      <c r="G111">
        <v>12.072668</v>
      </c>
      <c r="H111">
        <v>11.969920999999999</v>
      </c>
      <c r="I111">
        <v>11.783875</v>
      </c>
      <c r="J111">
        <v>11.726345999999999</v>
      </c>
      <c r="K111">
        <v>11.797737</v>
      </c>
      <c r="L111">
        <v>11.908505999999999</v>
      </c>
      <c r="M111">
        <v>11.999717</v>
      </c>
      <c r="N111">
        <v>12.302014</v>
      </c>
      <c r="O111">
        <v>12.554612000000001</v>
      </c>
      <c r="P111">
        <v>12.694451000000001</v>
      </c>
      <c r="Q111">
        <v>13.0364</v>
      </c>
      <c r="R111">
        <v>12.997778</v>
      </c>
      <c r="S111">
        <v>12.920356999999999</v>
      </c>
      <c r="T111">
        <v>12.858921</v>
      </c>
      <c r="U111">
        <v>12.790533999999999</v>
      </c>
      <c r="V111">
        <v>12.798731999999999</v>
      </c>
      <c r="W111">
        <v>12.878328</v>
      </c>
      <c r="X111">
        <v>12.934844999999999</v>
      </c>
      <c r="Y111">
        <v>12.995628</v>
      </c>
      <c r="Z111">
        <v>12.983548000000001</v>
      </c>
      <c r="AA111">
        <v>12.963507999999999</v>
      </c>
      <c r="AB111">
        <v>12.921654999999999</v>
      </c>
      <c r="AC111">
        <v>12.843486</v>
      </c>
      <c r="AD111">
        <v>12.780554</v>
      </c>
      <c r="AE111">
        <v>12.805318</v>
      </c>
      <c r="AF111">
        <v>12.774438999999999</v>
      </c>
      <c r="AG111" s="144">
        <v>4.0000000000000001E-3</v>
      </c>
    </row>
    <row r="112" spans="1:33">
      <c r="A112" t="s">
        <v>215</v>
      </c>
    </row>
    <row r="113" spans="1:33">
      <c r="A113" t="s">
        <v>3666</v>
      </c>
      <c r="B113" t="s">
        <v>3665</v>
      </c>
      <c r="C113" t="s">
        <v>3664</v>
      </c>
      <c r="D113" t="s">
        <v>3647</v>
      </c>
      <c r="F113">
        <v>26.082224</v>
      </c>
      <c r="G113">
        <v>27.372015000000001</v>
      </c>
      <c r="H113">
        <v>26.960653000000001</v>
      </c>
      <c r="I113">
        <v>26.532195999999999</v>
      </c>
      <c r="J113">
        <v>26.423973</v>
      </c>
      <c r="K113">
        <v>26.564364999999999</v>
      </c>
      <c r="L113">
        <v>26.776347999999999</v>
      </c>
      <c r="M113">
        <v>26.899049999999999</v>
      </c>
      <c r="N113">
        <v>27.525832999999999</v>
      </c>
      <c r="O113">
        <v>28.011175000000001</v>
      </c>
      <c r="P113">
        <v>28.278126</v>
      </c>
      <c r="Q113">
        <v>28.777691000000001</v>
      </c>
      <c r="R113">
        <v>28.634815</v>
      </c>
      <c r="S113">
        <v>28.390754999999999</v>
      </c>
      <c r="T113">
        <v>28.198139000000001</v>
      </c>
      <c r="U113">
        <v>28.004740000000002</v>
      </c>
      <c r="V113">
        <v>27.976728000000001</v>
      </c>
      <c r="W113">
        <v>28.080334000000001</v>
      </c>
      <c r="X113">
        <v>28.169062</v>
      </c>
      <c r="Y113">
        <v>28.202684000000001</v>
      </c>
      <c r="Z113">
        <v>28.142578</v>
      </c>
      <c r="AA113">
        <v>28.047516000000002</v>
      </c>
      <c r="AB113">
        <v>27.889599</v>
      </c>
      <c r="AC113">
        <v>27.643142999999998</v>
      </c>
      <c r="AD113">
        <v>27.423555</v>
      </c>
      <c r="AE113">
        <v>27.345938</v>
      </c>
      <c r="AF113">
        <v>27.191025</v>
      </c>
      <c r="AG113" s="144">
        <v>2E-3</v>
      </c>
    </row>
    <row r="114" spans="1:33">
      <c r="A114" t="s">
        <v>3663</v>
      </c>
      <c r="B114" t="s">
        <v>3662</v>
      </c>
      <c r="C114" t="s">
        <v>3661</v>
      </c>
      <c r="D114" t="s">
        <v>3647</v>
      </c>
      <c r="F114">
        <v>27.212330000000001</v>
      </c>
      <c r="G114">
        <v>28.590579999999999</v>
      </c>
      <c r="H114">
        <v>28.250004000000001</v>
      </c>
      <c r="I114">
        <v>27.861284000000001</v>
      </c>
      <c r="J114">
        <v>27.783439999999999</v>
      </c>
      <c r="K114">
        <v>27.948340999999999</v>
      </c>
      <c r="L114">
        <v>28.180513000000001</v>
      </c>
      <c r="M114">
        <v>28.31982</v>
      </c>
      <c r="N114">
        <v>28.963902000000001</v>
      </c>
      <c r="O114">
        <v>29.464773000000001</v>
      </c>
      <c r="P114">
        <v>29.745934999999999</v>
      </c>
      <c r="Q114">
        <v>30.258866999999999</v>
      </c>
      <c r="R114">
        <v>30.127694999999999</v>
      </c>
      <c r="S114">
        <v>29.898018</v>
      </c>
      <c r="T114">
        <v>29.718136000000001</v>
      </c>
      <c r="U114">
        <v>29.539587000000001</v>
      </c>
      <c r="V114">
        <v>29.532623000000001</v>
      </c>
      <c r="W114">
        <v>29.663944000000001</v>
      </c>
      <c r="X114">
        <v>29.776478000000001</v>
      </c>
      <c r="Y114">
        <v>29.836489</v>
      </c>
      <c r="Z114">
        <v>29.807697000000001</v>
      </c>
      <c r="AA114">
        <v>29.742032999999999</v>
      </c>
      <c r="AB114">
        <v>29.621078000000001</v>
      </c>
      <c r="AC114">
        <v>29.414465</v>
      </c>
      <c r="AD114">
        <v>29.243926999999999</v>
      </c>
      <c r="AE114">
        <v>29.218567</v>
      </c>
      <c r="AF114">
        <v>29.114000000000001</v>
      </c>
      <c r="AG114" s="144">
        <v>3.0000000000000001E-3</v>
      </c>
    </row>
    <row r="115" spans="1:33">
      <c r="A115" t="s">
        <v>3660</v>
      </c>
      <c r="B115" t="s">
        <v>3659</v>
      </c>
      <c r="C115" t="s">
        <v>3658</v>
      </c>
      <c r="D115" t="s">
        <v>3647</v>
      </c>
      <c r="F115">
        <v>24.282774</v>
      </c>
      <c r="G115">
        <v>25.647283999999999</v>
      </c>
      <c r="H115">
        <v>25.308827999999998</v>
      </c>
      <c r="I115">
        <v>24.922684</v>
      </c>
      <c r="J115">
        <v>24.84449</v>
      </c>
      <c r="K115">
        <v>25.006926</v>
      </c>
      <c r="L115">
        <v>25.235980999999999</v>
      </c>
      <c r="M115">
        <v>25.372945999999999</v>
      </c>
      <c r="N115">
        <v>26.010107000000001</v>
      </c>
      <c r="O115">
        <v>26.505376999999999</v>
      </c>
      <c r="P115">
        <v>26.782921000000002</v>
      </c>
      <c r="Q115">
        <v>27.294965999999999</v>
      </c>
      <c r="R115">
        <v>27.164916999999999</v>
      </c>
      <c r="S115">
        <v>26.936419000000001</v>
      </c>
      <c r="T115">
        <v>26.757287999999999</v>
      </c>
      <c r="U115">
        <v>26.579505999999999</v>
      </c>
      <c r="V115">
        <v>26.571735</v>
      </c>
      <c r="W115">
        <v>26.701001999999999</v>
      </c>
      <c r="X115">
        <v>26.811657</v>
      </c>
      <c r="Y115">
        <v>26.870258</v>
      </c>
      <c r="Z115">
        <v>26.840878</v>
      </c>
      <c r="AA115">
        <v>26.774963</v>
      </c>
      <c r="AB115">
        <v>26.654264000000001</v>
      </c>
      <c r="AC115">
        <v>26.448715</v>
      </c>
      <c r="AD115">
        <v>26.278912999999999</v>
      </c>
      <c r="AE115">
        <v>26.253814999999999</v>
      </c>
      <c r="AF115">
        <v>26.149422000000001</v>
      </c>
      <c r="AG115" s="144">
        <v>3.0000000000000001E-3</v>
      </c>
    </row>
    <row r="116" spans="1:33">
      <c r="A116" t="s">
        <v>3657</v>
      </c>
      <c r="B116" t="s">
        <v>3656</v>
      </c>
      <c r="C116" t="s">
        <v>3655</v>
      </c>
      <c r="D116" t="s">
        <v>3647</v>
      </c>
      <c r="F116">
        <v>15.662438</v>
      </c>
      <c r="G116">
        <v>17.095972</v>
      </c>
      <c r="H116">
        <v>16.921756999999999</v>
      </c>
      <c r="I116">
        <v>16.564378999999999</v>
      </c>
      <c r="J116">
        <v>16.49259</v>
      </c>
      <c r="K116">
        <v>16.698236000000001</v>
      </c>
      <c r="L116">
        <v>16.991081000000001</v>
      </c>
      <c r="M116">
        <v>17.245121000000001</v>
      </c>
      <c r="N116">
        <v>17.959441999999999</v>
      </c>
      <c r="O116">
        <v>18.565225999999999</v>
      </c>
      <c r="P116">
        <v>18.924628999999999</v>
      </c>
      <c r="Q116">
        <v>19.662490999999999</v>
      </c>
      <c r="R116">
        <v>19.615673000000001</v>
      </c>
      <c r="S116">
        <v>19.493829999999999</v>
      </c>
      <c r="T116">
        <v>19.405608999999998</v>
      </c>
      <c r="U116">
        <v>19.300985000000001</v>
      </c>
      <c r="V116">
        <v>19.363647</v>
      </c>
      <c r="W116">
        <v>19.582083000000001</v>
      </c>
      <c r="X116">
        <v>19.75009</v>
      </c>
      <c r="Y116">
        <v>19.927520999999999</v>
      </c>
      <c r="Z116">
        <v>19.945639</v>
      </c>
      <c r="AA116">
        <v>19.946338999999998</v>
      </c>
      <c r="AB116">
        <v>19.898668000000001</v>
      </c>
      <c r="AC116">
        <v>19.771090999999998</v>
      </c>
      <c r="AD116">
        <v>19.676361</v>
      </c>
      <c r="AE116">
        <v>19.762139999999999</v>
      </c>
      <c r="AF116">
        <v>19.735866999999999</v>
      </c>
      <c r="AG116" s="144">
        <v>8.9999999999999993E-3</v>
      </c>
    </row>
    <row r="117" spans="1:33">
      <c r="A117" t="s">
        <v>3654</v>
      </c>
      <c r="B117" t="s">
        <v>3653</v>
      </c>
      <c r="C117" t="s">
        <v>3652</v>
      </c>
      <c r="D117" t="s">
        <v>3647</v>
      </c>
      <c r="F117">
        <v>11.131519000000001</v>
      </c>
      <c r="G117">
        <v>11.783325</v>
      </c>
      <c r="H117">
        <v>11.598039</v>
      </c>
      <c r="I117">
        <v>11.436346</v>
      </c>
      <c r="J117">
        <v>11.439994</v>
      </c>
      <c r="K117">
        <v>11.579726000000001</v>
      </c>
      <c r="L117">
        <v>11.769632</v>
      </c>
      <c r="M117">
        <v>11.890407</v>
      </c>
      <c r="N117">
        <v>12.266788</v>
      </c>
      <c r="O117">
        <v>12.528677999999999</v>
      </c>
      <c r="P117">
        <v>12.711942000000001</v>
      </c>
      <c r="Q117">
        <v>13.838943</v>
      </c>
      <c r="R117">
        <v>13.914254</v>
      </c>
      <c r="S117">
        <v>13.820492</v>
      </c>
      <c r="T117">
        <v>13.752132</v>
      </c>
      <c r="U117">
        <v>13.689482999999999</v>
      </c>
      <c r="V117">
        <v>13.71308</v>
      </c>
      <c r="W117">
        <v>13.800635</v>
      </c>
      <c r="X117">
        <v>13.886991</v>
      </c>
      <c r="Y117">
        <v>13.943507</v>
      </c>
      <c r="Z117">
        <v>13.96114</v>
      </c>
      <c r="AA117">
        <v>13.94815</v>
      </c>
      <c r="AB117">
        <v>13.912392000000001</v>
      </c>
      <c r="AC117">
        <v>13.839399999999999</v>
      </c>
      <c r="AD117">
        <v>13.792706000000001</v>
      </c>
      <c r="AE117">
        <v>13.955946000000001</v>
      </c>
      <c r="AF117">
        <v>13.916736999999999</v>
      </c>
      <c r="AG117" s="144">
        <v>8.9999999999999993E-3</v>
      </c>
    </row>
    <row r="118" spans="1:33">
      <c r="A118" t="s">
        <v>2815</v>
      </c>
      <c r="B118" t="s">
        <v>3651</v>
      </c>
      <c r="C118" t="s">
        <v>3650</v>
      </c>
      <c r="D118" t="s">
        <v>3647</v>
      </c>
      <c r="F118">
        <v>10.518917999999999</v>
      </c>
      <c r="G118">
        <v>11.220459</v>
      </c>
      <c r="H118">
        <v>11.048302</v>
      </c>
      <c r="I118">
        <v>10.882524</v>
      </c>
      <c r="J118">
        <v>10.878577999999999</v>
      </c>
      <c r="K118">
        <v>10.997228</v>
      </c>
      <c r="L118">
        <v>11.141553999999999</v>
      </c>
      <c r="M118">
        <v>11.237958000000001</v>
      </c>
      <c r="N118">
        <v>11.587527</v>
      </c>
      <c r="O118">
        <v>11.865107</v>
      </c>
      <c r="P118">
        <v>12.042180999999999</v>
      </c>
      <c r="Q118">
        <v>12.425376999999999</v>
      </c>
      <c r="R118">
        <v>12.398633999999999</v>
      </c>
      <c r="S118">
        <v>12.306039999999999</v>
      </c>
      <c r="T118">
        <v>12.237890999999999</v>
      </c>
      <c r="U118">
        <v>12.169972</v>
      </c>
      <c r="V118">
        <v>12.187250000000001</v>
      </c>
      <c r="W118">
        <v>12.269031999999999</v>
      </c>
      <c r="X118">
        <v>12.346788999999999</v>
      </c>
      <c r="Y118">
        <v>12.400518999999999</v>
      </c>
      <c r="Z118">
        <v>12.414308999999999</v>
      </c>
      <c r="AA118">
        <v>12.404987999999999</v>
      </c>
      <c r="AB118">
        <v>12.371383</v>
      </c>
      <c r="AC118">
        <v>12.301284000000001</v>
      </c>
      <c r="AD118">
        <v>12.250579</v>
      </c>
      <c r="AE118">
        <v>12.284452</v>
      </c>
      <c r="AF118">
        <v>12.258368000000001</v>
      </c>
      <c r="AG118" s="144">
        <v>6.0000000000000001E-3</v>
      </c>
    </row>
    <row r="119" spans="1:33">
      <c r="A119" t="s">
        <v>2780</v>
      </c>
      <c r="B119" t="s">
        <v>3649</v>
      </c>
      <c r="C119" t="s">
        <v>3648</v>
      </c>
      <c r="D119" t="s">
        <v>3647</v>
      </c>
      <c r="F119">
        <v>11.206511000000001</v>
      </c>
      <c r="G119">
        <v>11.851167999999999</v>
      </c>
      <c r="H119">
        <v>11.666744</v>
      </c>
      <c r="I119">
        <v>11.508732999999999</v>
      </c>
      <c r="J119">
        <v>11.513063000000001</v>
      </c>
      <c r="K119">
        <v>11.654737000000001</v>
      </c>
      <c r="L119">
        <v>11.849112999999999</v>
      </c>
      <c r="M119">
        <v>11.970824</v>
      </c>
      <c r="N119">
        <v>12.350697</v>
      </c>
      <c r="O119">
        <v>12.611025</v>
      </c>
      <c r="P119">
        <v>12.794636000000001</v>
      </c>
      <c r="Q119">
        <v>14.018115999999999</v>
      </c>
      <c r="R119">
        <v>14.107737999999999</v>
      </c>
      <c r="S119">
        <v>14.015776000000001</v>
      </c>
      <c r="T119">
        <v>13.949567999999999</v>
      </c>
      <c r="U119">
        <v>13.890155</v>
      </c>
      <c r="V119">
        <v>13.92394</v>
      </c>
      <c r="W119">
        <v>14.023643</v>
      </c>
      <c r="X119">
        <v>14.124241</v>
      </c>
      <c r="Y119">
        <v>14.193315</v>
      </c>
      <c r="Z119">
        <v>14.223763</v>
      </c>
      <c r="AA119">
        <v>14.221519000000001</v>
      </c>
      <c r="AB119">
        <v>14.199920000000001</v>
      </c>
      <c r="AC119">
        <v>14.141954</v>
      </c>
      <c r="AD119">
        <v>14.111420000000001</v>
      </c>
      <c r="AE119">
        <v>14.317017</v>
      </c>
      <c r="AF119">
        <v>14.291043999999999</v>
      </c>
      <c r="AG119" s="144">
        <v>8.9999999999999993E-3</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D9452D-F976-42E9-B369-5CBF03CDEEEE}">
  <dimension ref="A1:AH58"/>
  <sheetViews>
    <sheetView workbookViewId="0"/>
    <sheetView workbookViewId="1"/>
  </sheetViews>
  <sheetFormatPr defaultRowHeight="14.75"/>
  <sheetData>
    <row r="1" spans="1:33">
      <c r="A1" t="s">
        <v>3538</v>
      </c>
    </row>
    <row r="2" spans="1:33">
      <c r="A2" t="s">
        <v>3537</v>
      </c>
    </row>
    <row r="3" spans="1:33">
      <c r="A3" t="s">
        <v>3536</v>
      </c>
    </row>
    <row r="4" spans="1:33">
      <c r="A4" t="s">
        <v>2352</v>
      </c>
    </row>
    <row r="5" spans="1:33">
      <c r="B5" t="s">
        <v>2351</v>
      </c>
      <c r="C5" t="s">
        <v>2350</v>
      </c>
      <c r="D5" t="s">
        <v>2349</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2348</v>
      </c>
    </row>
    <row r="6" spans="1:33">
      <c r="A6" t="s">
        <v>3535</v>
      </c>
    </row>
    <row r="7" spans="1:33">
      <c r="A7" t="s">
        <v>2983</v>
      </c>
    </row>
    <row r="8" spans="1:33">
      <c r="A8" t="s">
        <v>337</v>
      </c>
      <c r="B8" t="s">
        <v>3534</v>
      </c>
      <c r="C8" t="s">
        <v>3533</v>
      </c>
      <c r="D8" t="s">
        <v>1995</v>
      </c>
      <c r="F8">
        <v>108.74241600000001</v>
      </c>
      <c r="G8">
        <v>106.025879</v>
      </c>
      <c r="H8">
        <v>103.03121899999999</v>
      </c>
      <c r="I8">
        <v>99.755088999999998</v>
      </c>
      <c r="J8">
        <v>96.325905000000006</v>
      </c>
      <c r="K8">
        <v>92.986259000000004</v>
      </c>
      <c r="L8">
        <v>89.637253000000001</v>
      </c>
      <c r="M8">
        <v>86.243224999999995</v>
      </c>
      <c r="N8">
        <v>82.736350999999999</v>
      </c>
      <c r="O8">
        <v>79.426986999999997</v>
      </c>
      <c r="P8">
        <v>76.303139000000002</v>
      </c>
      <c r="Q8">
        <v>73.195068000000006</v>
      </c>
      <c r="R8">
        <v>70.231750000000005</v>
      </c>
      <c r="S8">
        <v>67.489211999999995</v>
      </c>
      <c r="T8">
        <v>64.999938999999998</v>
      </c>
      <c r="U8">
        <v>62.702289999999998</v>
      </c>
      <c r="V8">
        <v>60.584476000000002</v>
      </c>
      <c r="W8">
        <v>58.661816000000002</v>
      </c>
      <c r="X8">
        <v>56.918571</v>
      </c>
      <c r="Y8">
        <v>55.322688999999997</v>
      </c>
      <c r="Z8">
        <v>53.845939999999999</v>
      </c>
      <c r="AA8">
        <v>52.475898999999998</v>
      </c>
      <c r="AB8">
        <v>51.170169999999999</v>
      </c>
      <c r="AC8">
        <v>49.920616000000003</v>
      </c>
      <c r="AD8">
        <v>48.722949999999997</v>
      </c>
      <c r="AE8">
        <v>47.584212999999998</v>
      </c>
      <c r="AF8">
        <v>46.522464999999997</v>
      </c>
      <c r="AG8" s="144">
        <v>-3.2000000000000001E-2</v>
      </c>
    </row>
    <row r="9" spans="1:33">
      <c r="A9" t="s">
        <v>339</v>
      </c>
      <c r="B9" t="s">
        <v>3532</v>
      </c>
      <c r="C9" t="s">
        <v>3531</v>
      </c>
      <c r="D9" t="s">
        <v>1995</v>
      </c>
      <c r="F9">
        <v>0.48206100000000002</v>
      </c>
      <c r="G9">
        <v>0.44858900000000002</v>
      </c>
      <c r="H9">
        <v>0.41582599999999997</v>
      </c>
      <c r="I9">
        <v>0.383631</v>
      </c>
      <c r="J9">
        <v>0.35176200000000002</v>
      </c>
      <c r="K9">
        <v>0.32012000000000002</v>
      </c>
      <c r="L9">
        <v>0.28923500000000002</v>
      </c>
      <c r="M9">
        <v>0.25984099999999999</v>
      </c>
      <c r="N9">
        <v>0.23157700000000001</v>
      </c>
      <c r="O9">
        <v>0.204986</v>
      </c>
      <c r="P9">
        <v>0.18060499999999999</v>
      </c>
      <c r="Q9">
        <v>0.15894800000000001</v>
      </c>
      <c r="R9">
        <v>0.140461</v>
      </c>
      <c r="S9">
        <v>0.12514600000000001</v>
      </c>
      <c r="T9">
        <v>0.11297</v>
      </c>
      <c r="U9">
        <v>0.103879</v>
      </c>
      <c r="V9">
        <v>9.6940999999999999E-2</v>
      </c>
      <c r="W9">
        <v>9.0629000000000001E-2</v>
      </c>
      <c r="X9">
        <v>8.4923999999999999E-2</v>
      </c>
      <c r="Y9">
        <v>7.9742999999999994E-2</v>
      </c>
      <c r="Z9">
        <v>7.4915999999999996E-2</v>
      </c>
      <c r="AA9">
        <v>7.0396E-2</v>
      </c>
      <c r="AB9">
        <v>6.6163E-2</v>
      </c>
      <c r="AC9">
        <v>6.2198000000000003E-2</v>
      </c>
      <c r="AD9">
        <v>5.8481999999999999E-2</v>
      </c>
      <c r="AE9">
        <v>5.4998999999999999E-2</v>
      </c>
      <c r="AF9">
        <v>5.1733000000000001E-2</v>
      </c>
      <c r="AG9" s="144">
        <v>-8.2000000000000003E-2</v>
      </c>
    </row>
    <row r="10" spans="1:33">
      <c r="A10" t="s">
        <v>2978</v>
      </c>
      <c r="B10" t="s">
        <v>3530</v>
      </c>
      <c r="C10" t="s">
        <v>3529</v>
      </c>
      <c r="D10" t="s">
        <v>1995</v>
      </c>
      <c r="F10">
        <v>109.22448</v>
      </c>
      <c r="G10">
        <v>106.474464</v>
      </c>
      <c r="H10">
        <v>103.44704400000001</v>
      </c>
      <c r="I10">
        <v>100.138718</v>
      </c>
      <c r="J10">
        <v>96.677666000000002</v>
      </c>
      <c r="K10">
        <v>93.306381000000002</v>
      </c>
      <c r="L10">
        <v>89.926490999999999</v>
      </c>
      <c r="M10">
        <v>86.503067000000001</v>
      </c>
      <c r="N10">
        <v>82.967926000000006</v>
      </c>
      <c r="O10">
        <v>79.631973000000002</v>
      </c>
      <c r="P10">
        <v>76.483742000000007</v>
      </c>
      <c r="Q10">
        <v>73.354018999999994</v>
      </c>
      <c r="R10">
        <v>70.372208000000001</v>
      </c>
      <c r="S10">
        <v>67.614356999999998</v>
      </c>
      <c r="T10">
        <v>65.112907000000007</v>
      </c>
      <c r="U10">
        <v>62.806168</v>
      </c>
      <c r="V10">
        <v>60.681418999999998</v>
      </c>
      <c r="W10">
        <v>58.752445000000002</v>
      </c>
      <c r="X10">
        <v>57.003494000000003</v>
      </c>
      <c r="Y10">
        <v>55.402431</v>
      </c>
      <c r="Z10">
        <v>53.920856000000001</v>
      </c>
      <c r="AA10">
        <v>52.546295000000001</v>
      </c>
      <c r="AB10">
        <v>51.236331999999997</v>
      </c>
      <c r="AC10">
        <v>49.982815000000002</v>
      </c>
      <c r="AD10">
        <v>48.781433</v>
      </c>
      <c r="AE10">
        <v>47.639214000000003</v>
      </c>
      <c r="AF10">
        <v>46.574196000000001</v>
      </c>
      <c r="AG10" s="144">
        <v>-3.2000000000000001E-2</v>
      </c>
    </row>
    <row r="11" spans="1:33">
      <c r="A11" t="s">
        <v>2975</v>
      </c>
    </row>
    <row r="12" spans="1:33">
      <c r="A12" t="s">
        <v>344</v>
      </c>
      <c r="B12" t="s">
        <v>3528</v>
      </c>
      <c r="C12" t="s">
        <v>3527</v>
      </c>
      <c r="D12" t="s">
        <v>1995</v>
      </c>
      <c r="F12">
        <v>3.7780100000000001</v>
      </c>
      <c r="G12">
        <v>3.5434100000000002</v>
      </c>
      <c r="H12">
        <v>3.2958829999999999</v>
      </c>
      <c r="I12">
        <v>3.0365920000000002</v>
      </c>
      <c r="J12">
        <v>2.7698239999999998</v>
      </c>
      <c r="K12">
        <v>2.500095</v>
      </c>
      <c r="L12">
        <v>2.2328399999999999</v>
      </c>
      <c r="M12">
        <v>1.9757119999999999</v>
      </c>
      <c r="N12">
        <v>1.7341070000000001</v>
      </c>
      <c r="O12">
        <v>1.5130859999999999</v>
      </c>
      <c r="P12">
        <v>1.3133269999999999</v>
      </c>
      <c r="Q12">
        <v>1.1375630000000001</v>
      </c>
      <c r="R12">
        <v>0.99011400000000005</v>
      </c>
      <c r="S12">
        <v>0.87148599999999998</v>
      </c>
      <c r="T12">
        <v>0.774501</v>
      </c>
      <c r="U12">
        <v>0.69865100000000002</v>
      </c>
      <c r="V12">
        <v>0.64009899999999997</v>
      </c>
      <c r="W12">
        <v>0.59181700000000004</v>
      </c>
      <c r="X12">
        <v>0.55091299999999999</v>
      </c>
      <c r="Y12">
        <v>0.51566699999999999</v>
      </c>
      <c r="Z12">
        <v>0.48551499999999997</v>
      </c>
      <c r="AA12">
        <v>0.45842100000000002</v>
      </c>
      <c r="AB12">
        <v>0.432894</v>
      </c>
      <c r="AC12">
        <v>0.40884900000000002</v>
      </c>
      <c r="AD12">
        <v>0.386237</v>
      </c>
      <c r="AE12">
        <v>0.36496499999999998</v>
      </c>
      <c r="AF12">
        <v>0.34493200000000002</v>
      </c>
      <c r="AG12" s="144">
        <v>-8.7999999999999995E-2</v>
      </c>
    </row>
    <row r="13" spans="1:33">
      <c r="A13" t="s">
        <v>2928</v>
      </c>
      <c r="B13" t="s">
        <v>3526</v>
      </c>
      <c r="C13" t="s">
        <v>3525</v>
      </c>
      <c r="D13" t="s">
        <v>1995</v>
      </c>
      <c r="F13">
        <v>0.189364</v>
      </c>
      <c r="G13">
        <v>0.19455600000000001</v>
      </c>
      <c r="H13">
        <v>0.19730800000000001</v>
      </c>
      <c r="I13">
        <v>0.19857900000000001</v>
      </c>
      <c r="J13">
        <v>0.197598</v>
      </c>
      <c r="K13">
        <v>0.194962</v>
      </c>
      <c r="L13">
        <v>0.19237899999999999</v>
      </c>
      <c r="M13">
        <v>0.189522</v>
      </c>
      <c r="N13">
        <v>0.186697</v>
      </c>
      <c r="O13">
        <v>0.18129999999999999</v>
      </c>
      <c r="P13">
        <v>0.17685000000000001</v>
      </c>
      <c r="Q13">
        <v>0.173177</v>
      </c>
      <c r="R13">
        <v>0.170455</v>
      </c>
      <c r="S13">
        <v>0.16869999999999999</v>
      </c>
      <c r="T13">
        <v>0.16841300000000001</v>
      </c>
      <c r="U13">
        <v>0.169129</v>
      </c>
      <c r="V13">
        <v>0.17027500000000001</v>
      </c>
      <c r="W13">
        <v>0.172011</v>
      </c>
      <c r="X13">
        <v>0.1741</v>
      </c>
      <c r="Y13">
        <v>0.176482</v>
      </c>
      <c r="Z13">
        <v>0.17879700000000001</v>
      </c>
      <c r="AA13">
        <v>0.181057</v>
      </c>
      <c r="AB13">
        <v>0.18312400000000001</v>
      </c>
      <c r="AC13">
        <v>0.18501300000000001</v>
      </c>
      <c r="AD13">
        <v>0.18690599999999999</v>
      </c>
      <c r="AE13">
        <v>0.18876699999999999</v>
      </c>
      <c r="AF13">
        <v>0.19092799999999999</v>
      </c>
      <c r="AG13" s="144">
        <v>0</v>
      </c>
    </row>
    <row r="14" spans="1:33">
      <c r="A14" t="s">
        <v>2925</v>
      </c>
      <c r="B14" t="s">
        <v>3524</v>
      </c>
      <c r="C14" t="s">
        <v>3523</v>
      </c>
      <c r="D14" t="s">
        <v>1995</v>
      </c>
      <c r="F14">
        <v>0.59605799999999998</v>
      </c>
      <c r="G14">
        <v>0.799342</v>
      </c>
      <c r="H14">
        <v>1.026953</v>
      </c>
      <c r="I14">
        <v>1.2785390000000001</v>
      </c>
      <c r="J14">
        <v>1.5151269999999999</v>
      </c>
      <c r="K14">
        <v>1.736084</v>
      </c>
      <c r="L14">
        <v>1.9814229999999999</v>
      </c>
      <c r="M14">
        <v>2.2331699999999999</v>
      </c>
      <c r="N14">
        <v>2.6783700000000001</v>
      </c>
      <c r="O14">
        <v>3.1484930000000002</v>
      </c>
      <c r="P14">
        <v>3.6508669999999999</v>
      </c>
      <c r="Q14">
        <v>4.2490540000000001</v>
      </c>
      <c r="R14">
        <v>4.8313839999999999</v>
      </c>
      <c r="S14">
        <v>5.4068480000000001</v>
      </c>
      <c r="T14">
        <v>5.9816269999999996</v>
      </c>
      <c r="U14">
        <v>6.6255899999999999</v>
      </c>
      <c r="V14">
        <v>7.2437820000000004</v>
      </c>
      <c r="W14">
        <v>7.8387960000000003</v>
      </c>
      <c r="X14">
        <v>8.4091679999999993</v>
      </c>
      <c r="Y14">
        <v>8.9656479999999998</v>
      </c>
      <c r="Z14">
        <v>9.4957309999999993</v>
      </c>
      <c r="AA14">
        <v>10.010146000000001</v>
      </c>
      <c r="AB14">
        <v>10.490636</v>
      </c>
      <c r="AC14">
        <v>10.937265999999999</v>
      </c>
      <c r="AD14">
        <v>11.354158</v>
      </c>
      <c r="AE14">
        <v>11.739839</v>
      </c>
      <c r="AF14">
        <v>12.117647</v>
      </c>
      <c r="AG14" s="144">
        <v>0.123</v>
      </c>
    </row>
    <row r="15" spans="1:33">
      <c r="A15" t="s">
        <v>2922</v>
      </c>
      <c r="B15" t="s">
        <v>3522</v>
      </c>
      <c r="C15" t="s">
        <v>3521</v>
      </c>
      <c r="D15" t="s">
        <v>1995</v>
      </c>
      <c r="F15">
        <v>3.350819</v>
      </c>
      <c r="G15">
        <v>4.5535810000000003</v>
      </c>
      <c r="H15">
        <v>6.0892939999999998</v>
      </c>
      <c r="I15">
        <v>7.7830810000000001</v>
      </c>
      <c r="J15">
        <v>9.4272559999999999</v>
      </c>
      <c r="K15">
        <v>10.973656</v>
      </c>
      <c r="L15">
        <v>12.551532999999999</v>
      </c>
      <c r="M15">
        <v>14.073188999999999</v>
      </c>
      <c r="N15">
        <v>15.524174</v>
      </c>
      <c r="O15">
        <v>16.764969000000001</v>
      </c>
      <c r="P15">
        <v>18.055681</v>
      </c>
      <c r="Q15">
        <v>19.304041000000002</v>
      </c>
      <c r="R15">
        <v>20.498692999999999</v>
      </c>
      <c r="S15">
        <v>21.636648000000001</v>
      </c>
      <c r="T15">
        <v>22.716851999999999</v>
      </c>
      <c r="U15">
        <v>23.720338999999999</v>
      </c>
      <c r="V15">
        <v>24.676342000000002</v>
      </c>
      <c r="W15">
        <v>25.531099000000001</v>
      </c>
      <c r="X15">
        <v>26.285509000000001</v>
      </c>
      <c r="Y15">
        <v>26.945651999999999</v>
      </c>
      <c r="Z15">
        <v>27.518177000000001</v>
      </c>
      <c r="AA15">
        <v>28.014536</v>
      </c>
      <c r="AB15">
        <v>28.438889</v>
      </c>
      <c r="AC15">
        <v>28.795072999999999</v>
      </c>
      <c r="AD15">
        <v>29.093326999999999</v>
      </c>
      <c r="AE15">
        <v>29.345419</v>
      </c>
      <c r="AF15">
        <v>29.574321999999999</v>
      </c>
      <c r="AG15" s="144">
        <v>8.6999999999999994E-2</v>
      </c>
    </row>
    <row r="16" spans="1:33">
      <c r="A16" t="s">
        <v>2919</v>
      </c>
      <c r="B16" t="s">
        <v>3520</v>
      </c>
      <c r="C16" t="s">
        <v>3519</v>
      </c>
      <c r="D16" t="s">
        <v>1995</v>
      </c>
      <c r="F16">
        <v>0.39025399999999999</v>
      </c>
      <c r="G16">
        <v>0.41901100000000002</v>
      </c>
      <c r="H16">
        <v>0.45079399999999997</v>
      </c>
      <c r="I16">
        <v>0.48530600000000002</v>
      </c>
      <c r="J16">
        <v>0.51864299999999997</v>
      </c>
      <c r="K16">
        <v>0.54260799999999998</v>
      </c>
      <c r="L16">
        <v>0.56321399999999999</v>
      </c>
      <c r="M16">
        <v>0.58076399999999995</v>
      </c>
      <c r="N16">
        <v>0.59069899999999997</v>
      </c>
      <c r="O16">
        <v>0.59323199999999998</v>
      </c>
      <c r="P16">
        <v>0.59710700000000005</v>
      </c>
      <c r="Q16">
        <v>0.59896700000000003</v>
      </c>
      <c r="R16">
        <v>0.59988600000000003</v>
      </c>
      <c r="S16">
        <v>0.60057799999999995</v>
      </c>
      <c r="T16">
        <v>0.601549</v>
      </c>
      <c r="U16">
        <v>0.60184300000000002</v>
      </c>
      <c r="V16">
        <v>0.60175800000000002</v>
      </c>
      <c r="W16">
        <v>0.60126900000000005</v>
      </c>
      <c r="X16">
        <v>0.60097299999999998</v>
      </c>
      <c r="Y16">
        <v>0.60078399999999998</v>
      </c>
      <c r="Z16">
        <v>0.59993399999999997</v>
      </c>
      <c r="AA16">
        <v>0.59881799999999996</v>
      </c>
      <c r="AB16">
        <v>0.59695399999999998</v>
      </c>
      <c r="AC16">
        <v>0.59459200000000001</v>
      </c>
      <c r="AD16">
        <v>0.59189700000000001</v>
      </c>
      <c r="AE16">
        <v>0.58897500000000003</v>
      </c>
      <c r="AF16">
        <v>0.58703700000000003</v>
      </c>
      <c r="AG16" s="144">
        <v>1.6E-2</v>
      </c>
    </row>
    <row r="17" spans="1:33">
      <c r="A17" t="s">
        <v>2916</v>
      </c>
      <c r="B17" t="s">
        <v>3518</v>
      </c>
      <c r="C17" t="s">
        <v>3517</v>
      </c>
      <c r="D17" t="s">
        <v>1995</v>
      </c>
      <c r="F17">
        <v>0.23388200000000001</v>
      </c>
      <c r="G17">
        <v>0.256353</v>
      </c>
      <c r="H17">
        <v>0.30679200000000001</v>
      </c>
      <c r="I17">
        <v>0.36219400000000002</v>
      </c>
      <c r="J17">
        <v>0.41856900000000002</v>
      </c>
      <c r="K17">
        <v>0.46719899999999998</v>
      </c>
      <c r="L17">
        <v>0.51294799999999996</v>
      </c>
      <c r="M17">
        <v>0.55661799999999995</v>
      </c>
      <c r="N17">
        <v>0.58514600000000005</v>
      </c>
      <c r="O17">
        <v>0.60014100000000004</v>
      </c>
      <c r="P17">
        <v>0.618645</v>
      </c>
      <c r="Q17">
        <v>0.63188699999999998</v>
      </c>
      <c r="R17">
        <v>0.64504700000000004</v>
      </c>
      <c r="S17">
        <v>0.65804499999999999</v>
      </c>
      <c r="T17">
        <v>0.67108400000000001</v>
      </c>
      <c r="U17">
        <v>0.67890300000000003</v>
      </c>
      <c r="V17">
        <v>0.68503400000000003</v>
      </c>
      <c r="W17">
        <v>0.68902099999999999</v>
      </c>
      <c r="X17">
        <v>0.69115099999999996</v>
      </c>
      <c r="Y17">
        <v>0.69150900000000004</v>
      </c>
      <c r="Z17">
        <v>0.68911299999999998</v>
      </c>
      <c r="AA17">
        <v>0.684504</v>
      </c>
      <c r="AB17">
        <v>0.67767699999999997</v>
      </c>
      <c r="AC17">
        <v>0.66927000000000003</v>
      </c>
      <c r="AD17">
        <v>0.65995599999999999</v>
      </c>
      <c r="AE17">
        <v>0.6502</v>
      </c>
      <c r="AF17">
        <v>0.64114199999999999</v>
      </c>
      <c r="AG17" s="144">
        <v>0.04</v>
      </c>
    </row>
    <row r="18" spans="1:33">
      <c r="A18" t="s">
        <v>351</v>
      </c>
      <c r="B18" t="s">
        <v>3516</v>
      </c>
      <c r="C18" t="s">
        <v>3515</v>
      </c>
      <c r="D18" t="s">
        <v>1995</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1769</v>
      </c>
    </row>
    <row r="19" spans="1:33">
      <c r="A19" t="s">
        <v>353</v>
      </c>
      <c r="B19" t="s">
        <v>3514</v>
      </c>
      <c r="C19" t="s">
        <v>3513</v>
      </c>
      <c r="D19" t="s">
        <v>1995</v>
      </c>
      <c r="F19">
        <v>4.3834960000000001</v>
      </c>
      <c r="G19">
        <v>4.6673439999999999</v>
      </c>
      <c r="H19">
        <v>4.9200220000000003</v>
      </c>
      <c r="I19">
        <v>5.1893140000000004</v>
      </c>
      <c r="J19">
        <v>5.4175420000000001</v>
      </c>
      <c r="K19">
        <v>5.6472939999999996</v>
      </c>
      <c r="L19">
        <v>5.877103</v>
      </c>
      <c r="M19">
        <v>6.1017530000000004</v>
      </c>
      <c r="N19">
        <v>6.293952</v>
      </c>
      <c r="O19">
        <v>6.500947</v>
      </c>
      <c r="P19">
        <v>6.7283179999999998</v>
      </c>
      <c r="Q19">
        <v>6.9565409999999996</v>
      </c>
      <c r="R19">
        <v>7.1800379999999997</v>
      </c>
      <c r="S19">
        <v>7.4054909999999996</v>
      </c>
      <c r="T19">
        <v>7.6333349999999998</v>
      </c>
      <c r="U19">
        <v>7.8515220000000001</v>
      </c>
      <c r="V19">
        <v>8.052346</v>
      </c>
      <c r="W19">
        <v>8.2412340000000004</v>
      </c>
      <c r="X19">
        <v>8.4192579999999992</v>
      </c>
      <c r="Y19">
        <v>8.5844959999999997</v>
      </c>
      <c r="Z19">
        <v>8.7392009999999996</v>
      </c>
      <c r="AA19">
        <v>8.8846000000000007</v>
      </c>
      <c r="AB19">
        <v>9.0192829999999997</v>
      </c>
      <c r="AC19">
        <v>9.144209</v>
      </c>
      <c r="AD19">
        <v>9.2598310000000001</v>
      </c>
      <c r="AE19">
        <v>9.3698630000000005</v>
      </c>
      <c r="AF19">
        <v>9.4803820000000005</v>
      </c>
      <c r="AG19" s="144">
        <v>0.03</v>
      </c>
    </row>
    <row r="20" spans="1:33">
      <c r="A20" t="s">
        <v>355</v>
      </c>
      <c r="B20" t="s">
        <v>3512</v>
      </c>
      <c r="C20" t="s">
        <v>3511</v>
      </c>
      <c r="D20" t="s">
        <v>1995</v>
      </c>
      <c r="F20">
        <v>9.9659999999999992E-3</v>
      </c>
      <c r="G20">
        <v>9.0830000000000008E-3</v>
      </c>
      <c r="H20">
        <v>8.2019999999999992E-3</v>
      </c>
      <c r="I20">
        <v>7.3210000000000003E-3</v>
      </c>
      <c r="J20">
        <v>6.4669999999999997E-3</v>
      </c>
      <c r="K20">
        <v>5.6559999999999996E-3</v>
      </c>
      <c r="L20">
        <v>4.9849999999999998E-3</v>
      </c>
      <c r="M20">
        <v>4.352E-3</v>
      </c>
      <c r="N20">
        <v>3.7940000000000001E-3</v>
      </c>
      <c r="O20">
        <v>3.313E-3</v>
      </c>
      <c r="P20">
        <v>2.9169999999999999E-3</v>
      </c>
      <c r="Q20">
        <v>2.5860000000000002E-3</v>
      </c>
      <c r="R20">
        <v>2.3149999999999998E-3</v>
      </c>
      <c r="S20">
        <v>2.137E-3</v>
      </c>
      <c r="T20">
        <v>1.9840000000000001E-3</v>
      </c>
      <c r="U20">
        <v>1.8569999999999999E-3</v>
      </c>
      <c r="V20">
        <v>1.7440000000000001E-3</v>
      </c>
      <c r="W20">
        <v>1.6379999999999999E-3</v>
      </c>
      <c r="X20">
        <v>1.5380000000000001E-3</v>
      </c>
      <c r="Y20">
        <v>1.4450000000000001E-3</v>
      </c>
      <c r="Z20">
        <v>1.3569999999999999E-3</v>
      </c>
      <c r="AA20">
        <v>1.274E-3</v>
      </c>
      <c r="AB20">
        <v>1.1969999999999999E-3</v>
      </c>
      <c r="AC20">
        <v>1.124E-3</v>
      </c>
      <c r="AD20">
        <v>1.0560000000000001E-3</v>
      </c>
      <c r="AE20">
        <v>9.9099999999999991E-4</v>
      </c>
      <c r="AF20">
        <v>9.3099999999999997E-4</v>
      </c>
      <c r="AG20" s="144">
        <v>-8.6999999999999994E-2</v>
      </c>
    </row>
    <row r="21" spans="1:33">
      <c r="A21" t="s">
        <v>357</v>
      </c>
      <c r="B21" t="s">
        <v>3510</v>
      </c>
      <c r="C21" t="s">
        <v>3509</v>
      </c>
      <c r="D21" t="s">
        <v>1995</v>
      </c>
      <c r="F21">
        <v>2.3599999999999999E-4</v>
      </c>
      <c r="G21">
        <v>2.22E-4</v>
      </c>
      <c r="H21">
        <v>2.0900000000000001E-4</v>
      </c>
      <c r="I21">
        <v>1.9599999999999999E-4</v>
      </c>
      <c r="J21">
        <v>1.84E-4</v>
      </c>
      <c r="K21">
        <v>1.73E-4</v>
      </c>
      <c r="L21">
        <v>1.6200000000000001E-4</v>
      </c>
      <c r="M21">
        <v>1.5200000000000001E-4</v>
      </c>
      <c r="N21">
        <v>1.4300000000000001E-4</v>
      </c>
      <c r="O21">
        <v>1.34E-4</v>
      </c>
      <c r="P21">
        <v>1.26E-4</v>
      </c>
      <c r="Q21">
        <v>1.1900000000000001E-4</v>
      </c>
      <c r="R21">
        <v>1.11E-4</v>
      </c>
      <c r="S21">
        <v>1.05E-4</v>
      </c>
      <c r="T21">
        <v>9.7999999999999997E-5</v>
      </c>
      <c r="U21">
        <v>9.2E-5</v>
      </c>
      <c r="V21">
        <v>8.7000000000000001E-5</v>
      </c>
      <c r="W21">
        <v>8.1000000000000004E-5</v>
      </c>
      <c r="X21">
        <v>7.6000000000000004E-5</v>
      </c>
      <c r="Y21">
        <v>7.2000000000000002E-5</v>
      </c>
      <c r="Z21">
        <v>6.7000000000000002E-5</v>
      </c>
      <c r="AA21">
        <v>6.3E-5</v>
      </c>
      <c r="AB21">
        <v>5.8999999999999998E-5</v>
      </c>
      <c r="AC21">
        <v>5.5999999999999999E-5</v>
      </c>
      <c r="AD21">
        <v>5.1999999999999997E-5</v>
      </c>
      <c r="AE21">
        <v>4.8999999999999998E-5</v>
      </c>
      <c r="AF21">
        <v>4.6E-5</v>
      </c>
      <c r="AG21" s="144">
        <v>-6.0999999999999999E-2</v>
      </c>
    </row>
    <row r="22" spans="1:33">
      <c r="A22" t="s">
        <v>359</v>
      </c>
      <c r="B22" t="s">
        <v>3508</v>
      </c>
      <c r="C22" t="s">
        <v>3507</v>
      </c>
      <c r="D22" t="s">
        <v>1995</v>
      </c>
      <c r="F22">
        <v>1.531E-3</v>
      </c>
      <c r="G22">
        <v>1.3309999999999999E-3</v>
      </c>
      <c r="H22">
        <v>1.207E-3</v>
      </c>
      <c r="I22">
        <v>1.1299999999999999E-3</v>
      </c>
      <c r="J22">
        <v>1.062E-3</v>
      </c>
      <c r="K22">
        <v>9.9700000000000006E-4</v>
      </c>
      <c r="L22">
        <v>9.3599999999999998E-4</v>
      </c>
      <c r="M22">
        <v>8.7900000000000001E-4</v>
      </c>
      <c r="N22">
        <v>8.2600000000000002E-4</v>
      </c>
      <c r="O22">
        <v>7.76E-4</v>
      </c>
      <c r="P22">
        <v>7.2800000000000002E-4</v>
      </c>
      <c r="Q22">
        <v>6.8400000000000004E-4</v>
      </c>
      <c r="R22">
        <v>6.4199999999999999E-4</v>
      </c>
      <c r="S22">
        <v>6.0300000000000002E-4</v>
      </c>
      <c r="T22">
        <v>5.6700000000000001E-4</v>
      </c>
      <c r="U22">
        <v>5.3200000000000003E-4</v>
      </c>
      <c r="V22">
        <v>5.0000000000000001E-4</v>
      </c>
      <c r="W22">
        <v>4.6900000000000002E-4</v>
      </c>
      <c r="X22">
        <v>4.4099999999999999E-4</v>
      </c>
      <c r="Y22">
        <v>4.1399999999999998E-4</v>
      </c>
      <c r="Z22">
        <v>3.8900000000000002E-4</v>
      </c>
      <c r="AA22">
        <v>3.6499999999999998E-4</v>
      </c>
      <c r="AB22">
        <v>3.4299999999999999E-4</v>
      </c>
      <c r="AC22">
        <v>3.2200000000000002E-4</v>
      </c>
      <c r="AD22">
        <v>3.0200000000000002E-4</v>
      </c>
      <c r="AE22">
        <v>2.8400000000000002E-4</v>
      </c>
      <c r="AF22">
        <v>2.6699999999999998E-4</v>
      </c>
      <c r="AG22" s="144">
        <v>-6.5000000000000002E-2</v>
      </c>
    </row>
    <row r="23" spans="1:33">
      <c r="A23" t="s">
        <v>361</v>
      </c>
      <c r="B23" t="s">
        <v>3506</v>
      </c>
      <c r="C23" t="s">
        <v>3505</v>
      </c>
      <c r="D23" t="s">
        <v>1995</v>
      </c>
      <c r="F23">
        <v>2.9949999999999998E-3</v>
      </c>
      <c r="G23">
        <v>2.5860000000000002E-3</v>
      </c>
      <c r="H23">
        <v>2.3059999999999999E-3</v>
      </c>
      <c r="I23">
        <v>2.1350000000000002E-3</v>
      </c>
      <c r="J23">
        <v>1.99E-3</v>
      </c>
      <c r="K23">
        <v>1.869E-3</v>
      </c>
      <c r="L23">
        <v>1.755E-3</v>
      </c>
      <c r="M23">
        <v>1.6490000000000001E-3</v>
      </c>
      <c r="N23">
        <v>1.5479999999999999E-3</v>
      </c>
      <c r="O23">
        <v>1.454E-3</v>
      </c>
      <c r="P23">
        <v>1.366E-3</v>
      </c>
      <c r="Q23">
        <v>1.2819999999999999E-3</v>
      </c>
      <c r="R23">
        <v>1.204E-3</v>
      </c>
      <c r="S23">
        <v>1.1310000000000001E-3</v>
      </c>
      <c r="T23">
        <v>1.062E-3</v>
      </c>
      <c r="U23">
        <v>9.9799999999999997E-4</v>
      </c>
      <c r="V23">
        <v>9.3700000000000001E-4</v>
      </c>
      <c r="W23">
        <v>8.8000000000000003E-4</v>
      </c>
      <c r="X23">
        <v>8.2600000000000002E-4</v>
      </c>
      <c r="Y23">
        <v>7.76E-4</v>
      </c>
      <c r="Z23">
        <v>7.2900000000000005E-4</v>
      </c>
      <c r="AA23">
        <v>6.8400000000000004E-4</v>
      </c>
      <c r="AB23">
        <v>6.4300000000000002E-4</v>
      </c>
      <c r="AC23">
        <v>6.0400000000000004E-4</v>
      </c>
      <c r="AD23">
        <v>5.6700000000000001E-4</v>
      </c>
      <c r="AE23">
        <v>5.3200000000000003E-4</v>
      </c>
      <c r="AF23">
        <v>5.0000000000000001E-4</v>
      </c>
      <c r="AG23" s="144">
        <v>-6.7000000000000004E-2</v>
      </c>
    </row>
    <row r="24" spans="1:33">
      <c r="A24" t="s">
        <v>363</v>
      </c>
      <c r="B24" t="s">
        <v>3504</v>
      </c>
      <c r="C24" t="s">
        <v>3503</v>
      </c>
      <c r="D24" t="s">
        <v>1995</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t="s">
        <v>1769</v>
      </c>
    </row>
    <row r="25" spans="1:33">
      <c r="A25" t="s">
        <v>365</v>
      </c>
      <c r="B25" t="s">
        <v>3502</v>
      </c>
      <c r="C25" t="s">
        <v>3501</v>
      </c>
      <c r="D25" t="s">
        <v>1995</v>
      </c>
      <c r="F25">
        <v>1.7094000000000002E-2</v>
      </c>
      <c r="G25">
        <v>1.7212000000000002E-2</v>
      </c>
      <c r="H25">
        <v>1.7323999999999999E-2</v>
      </c>
      <c r="I25">
        <v>1.7491E-2</v>
      </c>
      <c r="J25">
        <v>1.7677999999999999E-2</v>
      </c>
      <c r="K25">
        <v>1.7375999999999999E-2</v>
      </c>
      <c r="L25">
        <v>1.7114000000000001E-2</v>
      </c>
      <c r="M25">
        <v>1.6773E-2</v>
      </c>
      <c r="N25">
        <v>1.6348000000000001E-2</v>
      </c>
      <c r="O25">
        <v>1.5785E-2</v>
      </c>
      <c r="P25">
        <v>1.516E-2</v>
      </c>
      <c r="Q25">
        <v>1.4505000000000001E-2</v>
      </c>
      <c r="R25">
        <v>1.3759E-2</v>
      </c>
      <c r="S25">
        <v>1.2952999999999999E-2</v>
      </c>
      <c r="T25">
        <v>1.2102999999999999E-2</v>
      </c>
      <c r="U25">
        <v>1.1240999999999999E-2</v>
      </c>
      <c r="V25">
        <v>1.0390999999999999E-2</v>
      </c>
      <c r="W25">
        <v>9.5709999999999996E-3</v>
      </c>
      <c r="X25">
        <v>8.848E-3</v>
      </c>
      <c r="Y25">
        <v>8.1939999999999999E-3</v>
      </c>
      <c r="Z25">
        <v>7.6309999999999998E-3</v>
      </c>
      <c r="AA25">
        <v>7.123E-3</v>
      </c>
      <c r="AB25">
        <v>6.7089999999999997E-3</v>
      </c>
      <c r="AC25">
        <v>6.3709999999999999E-3</v>
      </c>
      <c r="AD25">
        <v>6.1079999999999997E-3</v>
      </c>
      <c r="AE25">
        <v>5.8770000000000003E-3</v>
      </c>
      <c r="AF25">
        <v>5.6889999999999996E-3</v>
      </c>
      <c r="AG25" s="144">
        <v>-4.1000000000000002E-2</v>
      </c>
    </row>
    <row r="26" spans="1:33">
      <c r="A26" t="s">
        <v>2946</v>
      </c>
      <c r="B26" t="s">
        <v>3500</v>
      </c>
      <c r="C26" t="s">
        <v>3499</v>
      </c>
      <c r="D26" t="s">
        <v>1995</v>
      </c>
      <c r="F26">
        <v>12.953704999999999</v>
      </c>
      <c r="G26">
        <v>14.464029</v>
      </c>
      <c r="H26">
        <v>16.316293999999999</v>
      </c>
      <c r="I26">
        <v>18.361877</v>
      </c>
      <c r="J26">
        <v>20.291938999999999</v>
      </c>
      <c r="K26">
        <v>22.087965000000001</v>
      </c>
      <c r="L26">
        <v>23.936394</v>
      </c>
      <c r="M26">
        <v>25.734532999999999</v>
      </c>
      <c r="N26">
        <v>27.615805000000002</v>
      </c>
      <c r="O26">
        <v>29.323630999999999</v>
      </c>
      <c r="P26">
        <v>31.161090999999999</v>
      </c>
      <c r="Q26">
        <v>33.070404000000003</v>
      </c>
      <c r="R26">
        <v>34.933650999999998</v>
      </c>
      <c r="S26">
        <v>36.764729000000003</v>
      </c>
      <c r="T26">
        <v>38.563175000000001</v>
      </c>
      <c r="U26">
        <v>40.360698999999997</v>
      </c>
      <c r="V26">
        <v>42.083294000000002</v>
      </c>
      <c r="W26">
        <v>43.677886999999998</v>
      </c>
      <c r="X26">
        <v>45.142798999999997</v>
      </c>
      <c r="Y26">
        <v>46.491135</v>
      </c>
      <c r="Z26">
        <v>47.716636999999999</v>
      </c>
      <c r="AA26">
        <v>48.841591000000001</v>
      </c>
      <c r="AB26">
        <v>49.848407999999999</v>
      </c>
      <c r="AC26">
        <v>50.742747999999999</v>
      </c>
      <c r="AD26">
        <v>51.540393999999999</v>
      </c>
      <c r="AE26">
        <v>52.255763999999999</v>
      </c>
      <c r="AF26">
        <v>52.943821</v>
      </c>
      <c r="AG26" s="144">
        <v>5.6000000000000001E-2</v>
      </c>
    </row>
    <row r="27" spans="1:33">
      <c r="A27" t="s">
        <v>708</v>
      </c>
      <c r="B27" t="s">
        <v>3498</v>
      </c>
      <c r="C27" t="s">
        <v>3497</v>
      </c>
      <c r="D27" t="s">
        <v>1995</v>
      </c>
      <c r="F27">
        <v>122.178185</v>
      </c>
      <c r="G27">
        <v>120.938492</v>
      </c>
      <c r="H27">
        <v>119.763336</v>
      </c>
      <c r="I27">
        <v>118.500595</v>
      </c>
      <c r="J27">
        <v>116.969604</v>
      </c>
      <c r="K27">
        <v>115.39434799999999</v>
      </c>
      <c r="L27">
        <v>113.86288500000001</v>
      </c>
      <c r="M27">
        <v>112.237602</v>
      </c>
      <c r="N27">
        <v>110.583733</v>
      </c>
      <c r="O27">
        <v>108.95560500000001</v>
      </c>
      <c r="P27">
        <v>107.644836</v>
      </c>
      <c r="Q27">
        <v>106.424423</v>
      </c>
      <c r="R27">
        <v>105.305862</v>
      </c>
      <c r="S27">
        <v>104.37908899999999</v>
      </c>
      <c r="T27">
        <v>103.676086</v>
      </c>
      <c r="U27">
        <v>103.16687</v>
      </c>
      <c r="V27">
        <v>102.764709</v>
      </c>
      <c r="W27">
        <v>102.430328</v>
      </c>
      <c r="X27">
        <v>102.146294</v>
      </c>
      <c r="Y27">
        <v>101.89357</v>
      </c>
      <c r="Z27">
        <v>101.637497</v>
      </c>
      <c r="AA27">
        <v>101.38788599999999</v>
      </c>
      <c r="AB27">
        <v>101.08474</v>
      </c>
      <c r="AC27">
        <v>100.72556299999999</v>
      </c>
      <c r="AD27">
        <v>100.32182299999999</v>
      </c>
      <c r="AE27">
        <v>99.894974000000005</v>
      </c>
      <c r="AF27">
        <v>99.518021000000005</v>
      </c>
      <c r="AG27" s="144">
        <v>-8.0000000000000002E-3</v>
      </c>
    </row>
    <row r="28" spans="1:33">
      <c r="A28" t="s">
        <v>3496</v>
      </c>
    </row>
    <row r="29" spans="1:33">
      <c r="A29" t="s">
        <v>2939</v>
      </c>
    </row>
    <row r="30" spans="1:33">
      <c r="A30" t="s">
        <v>337</v>
      </c>
      <c r="B30" t="s">
        <v>3495</v>
      </c>
      <c r="C30" t="s">
        <v>3494</v>
      </c>
      <c r="D30" t="s">
        <v>1995</v>
      </c>
      <c r="F30">
        <v>122.602211</v>
      </c>
      <c r="G30">
        <v>123.597122</v>
      </c>
      <c r="H30">
        <v>124.07770499999999</v>
      </c>
      <c r="I30">
        <v>125.185158</v>
      </c>
      <c r="J30">
        <v>126.13748200000001</v>
      </c>
      <c r="K30">
        <v>126.961922</v>
      </c>
      <c r="L30">
        <v>127.490517</v>
      </c>
      <c r="M30">
        <v>127.716103</v>
      </c>
      <c r="N30">
        <v>127.737015</v>
      </c>
      <c r="O30">
        <v>127.87170399999999</v>
      </c>
      <c r="P30">
        <v>127.633965</v>
      </c>
      <c r="Q30">
        <v>127.17414100000001</v>
      </c>
      <c r="R30">
        <v>126.50900300000001</v>
      </c>
      <c r="S30">
        <v>125.67581199999999</v>
      </c>
      <c r="T30">
        <v>124.71436300000001</v>
      </c>
      <c r="U30">
        <v>123.672867</v>
      </c>
      <c r="V30">
        <v>122.624039</v>
      </c>
      <c r="W30">
        <v>121.549408</v>
      </c>
      <c r="X30">
        <v>120.468895</v>
      </c>
      <c r="Y30">
        <v>119.372551</v>
      </c>
      <c r="Z30">
        <v>118.32049600000001</v>
      </c>
      <c r="AA30">
        <v>117.268692</v>
      </c>
      <c r="AB30">
        <v>116.23584</v>
      </c>
      <c r="AC30">
        <v>115.21210499999999</v>
      </c>
      <c r="AD30">
        <v>114.160583</v>
      </c>
      <c r="AE30">
        <v>113.100105</v>
      </c>
      <c r="AF30">
        <v>111.98960099999999</v>
      </c>
      <c r="AG30" s="144">
        <v>-3.0000000000000001E-3</v>
      </c>
    </row>
    <row r="31" spans="1:33">
      <c r="A31" t="s">
        <v>339</v>
      </c>
      <c r="B31" t="s">
        <v>3493</v>
      </c>
      <c r="C31" t="s">
        <v>3492</v>
      </c>
      <c r="D31" t="s">
        <v>1995</v>
      </c>
      <c r="F31">
        <v>1.071032</v>
      </c>
      <c r="G31">
        <v>1.213133</v>
      </c>
      <c r="H31">
        <v>1.3465469999999999</v>
      </c>
      <c r="I31">
        <v>1.46787</v>
      </c>
      <c r="J31">
        <v>1.5797559999999999</v>
      </c>
      <c r="K31">
        <v>1.6906760000000001</v>
      </c>
      <c r="L31">
        <v>1.7601</v>
      </c>
      <c r="M31">
        <v>1.8229960000000001</v>
      </c>
      <c r="N31">
        <v>1.8818440000000001</v>
      </c>
      <c r="O31">
        <v>1.9443349999999999</v>
      </c>
      <c r="P31">
        <v>1.999323</v>
      </c>
      <c r="Q31">
        <v>2.0485660000000001</v>
      </c>
      <c r="R31">
        <v>2.0930599999999999</v>
      </c>
      <c r="S31">
        <v>2.1308479999999999</v>
      </c>
      <c r="T31">
        <v>2.1627239999999999</v>
      </c>
      <c r="U31">
        <v>2.1899769999999998</v>
      </c>
      <c r="V31">
        <v>2.2130800000000002</v>
      </c>
      <c r="W31">
        <v>2.2322739999999999</v>
      </c>
      <c r="X31">
        <v>2.246032</v>
      </c>
      <c r="Y31">
        <v>2.2551909999999999</v>
      </c>
      <c r="Z31">
        <v>2.2600150000000001</v>
      </c>
      <c r="AA31">
        <v>2.261415</v>
      </c>
      <c r="AB31">
        <v>2.2618490000000002</v>
      </c>
      <c r="AC31">
        <v>2.260939</v>
      </c>
      <c r="AD31">
        <v>2.2580719999999999</v>
      </c>
      <c r="AE31">
        <v>2.2546040000000001</v>
      </c>
      <c r="AF31">
        <v>2.2503860000000002</v>
      </c>
      <c r="AG31" s="144">
        <v>2.9000000000000001E-2</v>
      </c>
    </row>
    <row r="32" spans="1:33">
      <c r="A32" t="s">
        <v>2934</v>
      </c>
      <c r="B32" t="s">
        <v>3491</v>
      </c>
      <c r="C32" t="s">
        <v>3490</v>
      </c>
      <c r="D32" t="s">
        <v>1995</v>
      </c>
      <c r="F32">
        <v>123.673241</v>
      </c>
      <c r="G32">
        <v>124.81025700000001</v>
      </c>
      <c r="H32">
        <v>125.424255</v>
      </c>
      <c r="I32">
        <v>126.65303</v>
      </c>
      <c r="J32">
        <v>127.71723900000001</v>
      </c>
      <c r="K32">
        <v>128.652603</v>
      </c>
      <c r="L32">
        <v>129.25060999999999</v>
      </c>
      <c r="M32">
        <v>129.53909300000001</v>
      </c>
      <c r="N32">
        <v>129.618866</v>
      </c>
      <c r="O32">
        <v>129.81603999999999</v>
      </c>
      <c r="P32">
        <v>129.633286</v>
      </c>
      <c r="Q32">
        <v>129.222702</v>
      </c>
      <c r="R32">
        <v>128.60206600000001</v>
      </c>
      <c r="S32">
        <v>127.806656</v>
      </c>
      <c r="T32">
        <v>126.87709</v>
      </c>
      <c r="U32">
        <v>125.862846</v>
      </c>
      <c r="V32">
        <v>124.83712</v>
      </c>
      <c r="W32">
        <v>123.781685</v>
      </c>
      <c r="X32">
        <v>122.714928</v>
      </c>
      <c r="Y32">
        <v>121.62773900000001</v>
      </c>
      <c r="Z32">
        <v>120.580513</v>
      </c>
      <c r="AA32">
        <v>119.530106</v>
      </c>
      <c r="AB32">
        <v>118.497688</v>
      </c>
      <c r="AC32">
        <v>117.473045</v>
      </c>
      <c r="AD32">
        <v>116.418655</v>
      </c>
      <c r="AE32">
        <v>115.35470599999999</v>
      </c>
      <c r="AF32">
        <v>114.23999000000001</v>
      </c>
      <c r="AG32" s="144">
        <v>-3.0000000000000001E-3</v>
      </c>
    </row>
    <row r="33" spans="1:33">
      <c r="A33" t="s">
        <v>2931</v>
      </c>
    </row>
    <row r="34" spans="1:33">
      <c r="A34" t="s">
        <v>344</v>
      </c>
      <c r="B34" t="s">
        <v>3489</v>
      </c>
      <c r="C34" t="s">
        <v>3488</v>
      </c>
      <c r="D34" t="s">
        <v>1995</v>
      </c>
      <c r="F34">
        <v>14.794088</v>
      </c>
      <c r="G34">
        <v>14.26782</v>
      </c>
      <c r="H34">
        <v>13.725348</v>
      </c>
      <c r="I34">
        <v>13.142136000000001</v>
      </c>
      <c r="J34">
        <v>12.529042</v>
      </c>
      <c r="K34">
        <v>11.889238000000001</v>
      </c>
      <c r="L34">
        <v>11.197042</v>
      </c>
      <c r="M34">
        <v>10.492464</v>
      </c>
      <c r="N34">
        <v>9.8005469999999999</v>
      </c>
      <c r="O34">
        <v>9.1317459999999997</v>
      </c>
      <c r="P34">
        <v>8.4819300000000002</v>
      </c>
      <c r="Q34">
        <v>7.8681229999999998</v>
      </c>
      <c r="R34">
        <v>7.3014169999999998</v>
      </c>
      <c r="S34">
        <v>6.7834430000000001</v>
      </c>
      <c r="T34">
        <v>6.3223209999999996</v>
      </c>
      <c r="U34">
        <v>5.9155230000000003</v>
      </c>
      <c r="V34">
        <v>5.5534230000000004</v>
      </c>
      <c r="W34">
        <v>5.2276680000000004</v>
      </c>
      <c r="X34">
        <v>4.9411839999999998</v>
      </c>
      <c r="Y34">
        <v>4.6852119999999999</v>
      </c>
      <c r="Z34">
        <v>4.4571750000000003</v>
      </c>
      <c r="AA34">
        <v>4.2489439999999998</v>
      </c>
      <c r="AB34">
        <v>4.0590789999999997</v>
      </c>
      <c r="AC34">
        <v>3.8813520000000001</v>
      </c>
      <c r="AD34">
        <v>3.7131080000000001</v>
      </c>
      <c r="AE34">
        <v>3.5547119999999999</v>
      </c>
      <c r="AF34">
        <v>3.4045770000000002</v>
      </c>
      <c r="AG34" s="144">
        <v>-5.5E-2</v>
      </c>
    </row>
    <row r="35" spans="1:33">
      <c r="A35" t="s">
        <v>2928</v>
      </c>
      <c r="B35" t="s">
        <v>3487</v>
      </c>
      <c r="C35" t="s">
        <v>3486</v>
      </c>
      <c r="D35" t="s">
        <v>1995</v>
      </c>
      <c r="F35">
        <v>5.3600000000000002E-4</v>
      </c>
      <c r="G35">
        <v>4.8299999999999998E-4</v>
      </c>
      <c r="H35">
        <v>4.37E-4</v>
      </c>
      <c r="I35">
        <v>3.97E-4</v>
      </c>
      <c r="J35">
        <v>3.6200000000000002E-4</v>
      </c>
      <c r="K35">
        <v>3.2899999999999997E-4</v>
      </c>
      <c r="L35">
        <v>2.9799999999999998E-4</v>
      </c>
      <c r="M35">
        <v>2.7099999999999997E-4</v>
      </c>
      <c r="N35">
        <v>2.4600000000000002E-4</v>
      </c>
      <c r="O35">
        <v>2.23E-4</v>
      </c>
      <c r="P35">
        <v>2.03E-4</v>
      </c>
      <c r="Q35">
        <v>1.8599999999999999E-4</v>
      </c>
      <c r="R35">
        <v>1.7000000000000001E-4</v>
      </c>
      <c r="S35">
        <v>1.5699999999999999E-4</v>
      </c>
      <c r="T35">
        <v>1.45E-4</v>
      </c>
      <c r="U35">
        <v>1.34E-4</v>
      </c>
      <c r="V35">
        <v>1.2400000000000001E-4</v>
      </c>
      <c r="W35">
        <v>1.1400000000000001E-4</v>
      </c>
      <c r="X35">
        <v>1.06E-4</v>
      </c>
      <c r="Y35">
        <v>9.7999999999999997E-5</v>
      </c>
      <c r="Z35">
        <v>9.1000000000000003E-5</v>
      </c>
      <c r="AA35">
        <v>8.3999999999999995E-5</v>
      </c>
      <c r="AB35">
        <v>7.7999999999999999E-5</v>
      </c>
      <c r="AC35">
        <v>7.2000000000000002E-5</v>
      </c>
      <c r="AD35">
        <v>6.7000000000000002E-5</v>
      </c>
      <c r="AE35">
        <v>6.2000000000000003E-5</v>
      </c>
      <c r="AF35">
        <v>5.7000000000000003E-5</v>
      </c>
      <c r="AG35" s="144">
        <v>-8.2000000000000003E-2</v>
      </c>
    </row>
    <row r="36" spans="1:33">
      <c r="A36" t="s">
        <v>2925</v>
      </c>
      <c r="B36" t="s">
        <v>3485</v>
      </c>
      <c r="C36" t="s">
        <v>3484</v>
      </c>
      <c r="D36" t="s">
        <v>1995</v>
      </c>
      <c r="F36">
        <v>0.17559</v>
      </c>
      <c r="G36">
        <v>0.26069700000000001</v>
      </c>
      <c r="H36">
        <v>0.58880699999999997</v>
      </c>
      <c r="I36">
        <v>0.78061800000000003</v>
      </c>
      <c r="J36">
        <v>0.93684699999999999</v>
      </c>
      <c r="K36">
        <v>1.068935</v>
      </c>
      <c r="L36">
        <v>1.1635329999999999</v>
      </c>
      <c r="M36">
        <v>1.2701</v>
      </c>
      <c r="N36">
        <v>1.394074</v>
      </c>
      <c r="O36">
        <v>1.4815560000000001</v>
      </c>
      <c r="P36">
        <v>1.576978</v>
      </c>
      <c r="Q36">
        <v>1.6850099999999999</v>
      </c>
      <c r="R36">
        <v>1.8017049999999999</v>
      </c>
      <c r="S36">
        <v>1.923624</v>
      </c>
      <c r="T36">
        <v>2.0508649999999999</v>
      </c>
      <c r="U36">
        <v>2.183408</v>
      </c>
      <c r="V36">
        <v>2.3182070000000001</v>
      </c>
      <c r="W36">
        <v>2.4520360000000001</v>
      </c>
      <c r="X36">
        <v>2.583637</v>
      </c>
      <c r="Y36">
        <v>2.7134860000000001</v>
      </c>
      <c r="Z36">
        <v>2.8407589999999998</v>
      </c>
      <c r="AA36">
        <v>2.9662320000000002</v>
      </c>
      <c r="AB36">
        <v>3.0892469999999999</v>
      </c>
      <c r="AC36">
        <v>3.2089500000000002</v>
      </c>
      <c r="AD36">
        <v>3.3264179999999999</v>
      </c>
      <c r="AE36">
        <v>3.4413999999999998</v>
      </c>
      <c r="AF36">
        <v>3.5571449999999998</v>
      </c>
      <c r="AG36" s="144">
        <v>0.123</v>
      </c>
    </row>
    <row r="37" spans="1:33">
      <c r="A37" t="s">
        <v>2922</v>
      </c>
      <c r="B37" t="s">
        <v>3483</v>
      </c>
      <c r="C37" t="s">
        <v>3482</v>
      </c>
      <c r="D37" t="s">
        <v>1995</v>
      </c>
      <c r="F37">
        <v>0.45758599999999999</v>
      </c>
      <c r="G37">
        <v>0.92208000000000001</v>
      </c>
      <c r="H37">
        <v>1.4762390000000001</v>
      </c>
      <c r="I37">
        <v>2.0919080000000001</v>
      </c>
      <c r="J37">
        <v>2.7149969999999999</v>
      </c>
      <c r="K37">
        <v>3.3253560000000002</v>
      </c>
      <c r="L37">
        <v>3.7993299999999999</v>
      </c>
      <c r="M37">
        <v>4.2905930000000003</v>
      </c>
      <c r="N37">
        <v>4.8166580000000003</v>
      </c>
      <c r="O37">
        <v>5.250108</v>
      </c>
      <c r="P37">
        <v>5.698887</v>
      </c>
      <c r="Q37">
        <v>6.1740649999999997</v>
      </c>
      <c r="R37">
        <v>6.6656139999999997</v>
      </c>
      <c r="S37">
        <v>7.1621449999999998</v>
      </c>
      <c r="T37">
        <v>7.6618190000000004</v>
      </c>
      <c r="U37">
        <v>8.1631929999999997</v>
      </c>
      <c r="V37">
        <v>8.6570579999999993</v>
      </c>
      <c r="W37">
        <v>9.1358859999999993</v>
      </c>
      <c r="X37">
        <v>9.5951789999999999</v>
      </c>
      <c r="Y37">
        <v>10.034424</v>
      </c>
      <c r="Z37">
        <v>10.452215000000001</v>
      </c>
      <c r="AA37">
        <v>10.850963999999999</v>
      </c>
      <c r="AB37">
        <v>11.228305000000001</v>
      </c>
      <c r="AC37">
        <v>11.585025999999999</v>
      </c>
      <c r="AD37">
        <v>11.923116</v>
      </c>
      <c r="AE37">
        <v>12.243358000000001</v>
      </c>
      <c r="AF37">
        <v>12.557769</v>
      </c>
      <c r="AG37" s="144">
        <v>0.13600000000000001</v>
      </c>
    </row>
    <row r="38" spans="1:33">
      <c r="A38" t="s">
        <v>2919</v>
      </c>
      <c r="B38" t="s">
        <v>3481</v>
      </c>
      <c r="C38" t="s">
        <v>3480</v>
      </c>
      <c r="D38" t="s">
        <v>1995</v>
      </c>
      <c r="F38">
        <v>0.64550799999999997</v>
      </c>
      <c r="G38">
        <v>0.89343499999999998</v>
      </c>
      <c r="H38">
        <v>1.447883</v>
      </c>
      <c r="I38">
        <v>1.7944450000000001</v>
      </c>
      <c r="J38">
        <v>2.1400239999999999</v>
      </c>
      <c r="K38">
        <v>2.427181</v>
      </c>
      <c r="L38">
        <v>2.7416390000000002</v>
      </c>
      <c r="M38">
        <v>3.0513750000000002</v>
      </c>
      <c r="N38">
        <v>3.3595090000000001</v>
      </c>
      <c r="O38">
        <v>3.6159859999999999</v>
      </c>
      <c r="P38">
        <v>3.8773240000000002</v>
      </c>
      <c r="Q38">
        <v>4.152031</v>
      </c>
      <c r="R38">
        <v>4.4107890000000003</v>
      </c>
      <c r="S38">
        <v>4.6647360000000004</v>
      </c>
      <c r="T38">
        <v>4.9148379999999996</v>
      </c>
      <c r="U38">
        <v>5.1600440000000001</v>
      </c>
      <c r="V38">
        <v>5.3934249999999997</v>
      </c>
      <c r="W38">
        <v>5.6113350000000004</v>
      </c>
      <c r="X38">
        <v>5.8120390000000004</v>
      </c>
      <c r="Y38">
        <v>5.995546</v>
      </c>
      <c r="Z38">
        <v>6.1615310000000001</v>
      </c>
      <c r="AA38">
        <v>6.3107480000000002</v>
      </c>
      <c r="AB38">
        <v>6.4453379999999996</v>
      </c>
      <c r="AC38">
        <v>6.5666919999999998</v>
      </c>
      <c r="AD38">
        <v>6.67502</v>
      </c>
      <c r="AE38">
        <v>6.7724570000000002</v>
      </c>
      <c r="AF38">
        <v>6.860519</v>
      </c>
      <c r="AG38" s="144">
        <v>9.5000000000000001E-2</v>
      </c>
    </row>
    <row r="39" spans="1:33">
      <c r="A39" t="s">
        <v>2916</v>
      </c>
      <c r="B39" t="s">
        <v>3479</v>
      </c>
      <c r="C39" t="s">
        <v>3478</v>
      </c>
      <c r="D39" t="s">
        <v>1995</v>
      </c>
      <c r="F39">
        <v>0.14818100000000001</v>
      </c>
      <c r="G39">
        <v>0.36060399999999998</v>
      </c>
      <c r="H39">
        <v>0.64673000000000003</v>
      </c>
      <c r="I39">
        <v>0.96714900000000004</v>
      </c>
      <c r="J39">
        <v>1.1982600000000001</v>
      </c>
      <c r="K39">
        <v>1.377591</v>
      </c>
      <c r="L39">
        <v>1.74356</v>
      </c>
      <c r="M39">
        <v>2.102026</v>
      </c>
      <c r="N39">
        <v>2.4561959999999998</v>
      </c>
      <c r="O39">
        <v>2.7676289999999999</v>
      </c>
      <c r="P39">
        <v>3.0870160000000002</v>
      </c>
      <c r="Q39">
        <v>3.4222899999999998</v>
      </c>
      <c r="R39">
        <v>3.8247040000000001</v>
      </c>
      <c r="S39">
        <v>4.2220589999999998</v>
      </c>
      <c r="T39">
        <v>4.61496</v>
      </c>
      <c r="U39">
        <v>5.0050080000000001</v>
      </c>
      <c r="V39">
        <v>5.3880109999999997</v>
      </c>
      <c r="W39">
        <v>5.7584860000000004</v>
      </c>
      <c r="X39">
        <v>6.1135640000000002</v>
      </c>
      <c r="Y39">
        <v>6.4517600000000002</v>
      </c>
      <c r="Z39">
        <v>6.772265</v>
      </c>
      <c r="AA39">
        <v>7.0746840000000004</v>
      </c>
      <c r="AB39">
        <v>7.3582049999999999</v>
      </c>
      <c r="AC39">
        <v>7.6228749999999996</v>
      </c>
      <c r="AD39">
        <v>7.8675040000000003</v>
      </c>
      <c r="AE39">
        <v>8.0928609999999992</v>
      </c>
      <c r="AF39">
        <v>8.303077</v>
      </c>
      <c r="AG39" s="144">
        <v>0.16700000000000001</v>
      </c>
    </row>
    <row r="40" spans="1:33">
      <c r="A40" t="s">
        <v>351</v>
      </c>
      <c r="B40" t="s">
        <v>3477</v>
      </c>
      <c r="C40" t="s">
        <v>3476</v>
      </c>
      <c r="D40" t="s">
        <v>1995</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t="s">
        <v>1769</v>
      </c>
    </row>
    <row r="41" spans="1:33">
      <c r="A41" t="s">
        <v>353</v>
      </c>
      <c r="B41" t="s">
        <v>3475</v>
      </c>
      <c r="C41" t="s">
        <v>3474</v>
      </c>
      <c r="D41" t="s">
        <v>1995</v>
      </c>
      <c r="F41">
        <v>3.349602</v>
      </c>
      <c r="G41">
        <v>4.1830809999999996</v>
      </c>
      <c r="H41">
        <v>5.2982680000000002</v>
      </c>
      <c r="I41">
        <v>6.1546149999999997</v>
      </c>
      <c r="J41">
        <v>6.9858190000000002</v>
      </c>
      <c r="K41">
        <v>7.8412740000000003</v>
      </c>
      <c r="L41">
        <v>8.7270520000000005</v>
      </c>
      <c r="M41">
        <v>9.5878870000000003</v>
      </c>
      <c r="N41">
        <v>10.431224</v>
      </c>
      <c r="O41">
        <v>11.323978</v>
      </c>
      <c r="P41">
        <v>12.183553</v>
      </c>
      <c r="Q41">
        <v>13.027006</v>
      </c>
      <c r="R41">
        <v>13.853551</v>
      </c>
      <c r="S41">
        <v>14.654529999999999</v>
      </c>
      <c r="T41">
        <v>15.429045</v>
      </c>
      <c r="U41">
        <v>16.175438</v>
      </c>
      <c r="V41">
        <v>16.896954000000001</v>
      </c>
      <c r="W41">
        <v>17.584748999999999</v>
      </c>
      <c r="X41">
        <v>18.240337</v>
      </c>
      <c r="Y41">
        <v>18.860395</v>
      </c>
      <c r="Z41">
        <v>19.456378999999998</v>
      </c>
      <c r="AA41">
        <v>20.027346000000001</v>
      </c>
      <c r="AB41">
        <v>20.583994000000001</v>
      </c>
      <c r="AC41">
        <v>21.128261999999999</v>
      </c>
      <c r="AD41">
        <v>21.654205000000001</v>
      </c>
      <c r="AE41">
        <v>22.167380999999999</v>
      </c>
      <c r="AF41">
        <v>22.661224000000001</v>
      </c>
      <c r="AG41" s="144">
        <v>7.5999999999999998E-2</v>
      </c>
    </row>
    <row r="42" spans="1:33">
      <c r="A42" t="s">
        <v>355</v>
      </c>
      <c r="B42" t="s">
        <v>3473</v>
      </c>
      <c r="C42" t="s">
        <v>3472</v>
      </c>
      <c r="D42" t="s">
        <v>1995</v>
      </c>
      <c r="F42">
        <v>2.4550000000000002E-3</v>
      </c>
      <c r="G42">
        <v>2.287E-3</v>
      </c>
      <c r="H42">
        <v>2.1250000000000002E-3</v>
      </c>
      <c r="I42">
        <v>1.9719999999999998E-3</v>
      </c>
      <c r="J42">
        <v>1.8320000000000001E-3</v>
      </c>
      <c r="K42">
        <v>1.7099999999999999E-3</v>
      </c>
      <c r="L42">
        <v>1.596E-3</v>
      </c>
      <c r="M42">
        <v>1.485E-3</v>
      </c>
      <c r="N42">
        <v>1.379E-3</v>
      </c>
      <c r="O42">
        <v>1.279E-3</v>
      </c>
      <c r="P42">
        <v>1.1850000000000001E-3</v>
      </c>
      <c r="Q42">
        <v>1.098E-3</v>
      </c>
      <c r="R42">
        <v>1.0200000000000001E-3</v>
      </c>
      <c r="S42">
        <v>9.5500000000000001E-4</v>
      </c>
      <c r="T42">
        <v>8.9400000000000005E-4</v>
      </c>
      <c r="U42">
        <v>8.3900000000000001E-4</v>
      </c>
      <c r="V42">
        <v>7.8799999999999996E-4</v>
      </c>
      <c r="W42">
        <v>7.3999999999999999E-4</v>
      </c>
      <c r="X42">
        <v>6.9399999999999996E-4</v>
      </c>
      <c r="Y42">
        <v>6.5200000000000002E-4</v>
      </c>
      <c r="Z42">
        <v>6.1200000000000002E-4</v>
      </c>
      <c r="AA42">
        <v>5.7499999999999999E-4</v>
      </c>
      <c r="AB42">
        <v>5.4000000000000001E-4</v>
      </c>
      <c r="AC42">
        <v>5.0699999999999996E-4</v>
      </c>
      <c r="AD42">
        <v>4.7600000000000002E-4</v>
      </c>
      <c r="AE42">
        <v>4.4700000000000002E-4</v>
      </c>
      <c r="AF42">
        <v>4.2000000000000002E-4</v>
      </c>
      <c r="AG42" s="144">
        <v>-6.6000000000000003E-2</v>
      </c>
    </row>
    <row r="43" spans="1:33">
      <c r="A43" t="s">
        <v>357</v>
      </c>
      <c r="B43" t="s">
        <v>3471</v>
      </c>
      <c r="C43" t="s">
        <v>3470</v>
      </c>
      <c r="D43" t="s">
        <v>1995</v>
      </c>
      <c r="F43">
        <v>1.8489999999999999E-3</v>
      </c>
      <c r="G43">
        <v>1.7359999999999999E-3</v>
      </c>
      <c r="H43">
        <v>1.629E-3</v>
      </c>
      <c r="I43">
        <v>1.529E-3</v>
      </c>
      <c r="J43">
        <v>1.436E-3</v>
      </c>
      <c r="K43">
        <v>1.3470000000000001E-3</v>
      </c>
      <c r="L43">
        <v>1.2650000000000001E-3</v>
      </c>
      <c r="M43">
        <v>1.1869999999999999E-3</v>
      </c>
      <c r="N43">
        <v>1.1150000000000001E-3</v>
      </c>
      <c r="O43">
        <v>1.0460000000000001E-3</v>
      </c>
      <c r="P43">
        <v>9.8200000000000002E-4</v>
      </c>
      <c r="Q43">
        <v>9.2199999999999997E-4</v>
      </c>
      <c r="R43">
        <v>8.6499999999999999E-4</v>
      </c>
      <c r="S43">
        <v>8.1300000000000003E-4</v>
      </c>
      <c r="T43">
        <v>7.6300000000000001E-4</v>
      </c>
      <c r="U43">
        <v>7.1599999999999995E-4</v>
      </c>
      <c r="V43">
        <v>6.7199999999999996E-4</v>
      </c>
      <c r="W43">
        <v>6.3100000000000005E-4</v>
      </c>
      <c r="X43">
        <v>5.9299999999999999E-4</v>
      </c>
      <c r="Y43">
        <v>5.5599999999999996E-4</v>
      </c>
      <c r="Z43">
        <v>5.22E-4</v>
      </c>
      <c r="AA43">
        <v>4.8999999999999998E-4</v>
      </c>
      <c r="AB43">
        <v>4.6000000000000001E-4</v>
      </c>
      <c r="AC43">
        <v>4.3199999999999998E-4</v>
      </c>
      <c r="AD43">
        <v>4.06E-4</v>
      </c>
      <c r="AE43">
        <v>3.8099999999999999E-4</v>
      </c>
      <c r="AF43">
        <v>3.5799999999999997E-4</v>
      </c>
      <c r="AG43" s="144">
        <v>-6.0999999999999999E-2</v>
      </c>
    </row>
    <row r="44" spans="1:33">
      <c r="A44" t="s">
        <v>359</v>
      </c>
      <c r="B44" t="s">
        <v>3469</v>
      </c>
      <c r="C44" t="s">
        <v>3468</v>
      </c>
      <c r="D44" t="s">
        <v>1995</v>
      </c>
      <c r="F44">
        <v>4.6610000000000002E-3</v>
      </c>
      <c r="G44">
        <v>4.248E-3</v>
      </c>
      <c r="H44">
        <v>3.9309999999999996E-3</v>
      </c>
      <c r="I44">
        <v>3.6800000000000001E-3</v>
      </c>
      <c r="J44">
        <v>3.454E-3</v>
      </c>
      <c r="K44">
        <v>3.2420000000000001E-3</v>
      </c>
      <c r="L44">
        <v>3.0439999999999998E-3</v>
      </c>
      <c r="M44">
        <v>2.8570000000000002E-3</v>
      </c>
      <c r="N44">
        <v>2.6819999999999999E-3</v>
      </c>
      <c r="O44">
        <v>2.5170000000000001E-3</v>
      </c>
      <c r="P44">
        <v>2.3630000000000001E-3</v>
      </c>
      <c r="Q44">
        <v>2.2179999999999999E-3</v>
      </c>
      <c r="R44">
        <v>2.0820000000000001E-3</v>
      </c>
      <c r="S44">
        <v>1.9550000000000001E-3</v>
      </c>
      <c r="T44">
        <v>1.835E-3</v>
      </c>
      <c r="U44">
        <v>1.7229999999999999E-3</v>
      </c>
      <c r="V44">
        <v>1.6169999999999999E-3</v>
      </c>
      <c r="W44">
        <v>1.518E-3</v>
      </c>
      <c r="X44">
        <v>1.426E-3</v>
      </c>
      <c r="Y44">
        <v>1.338E-3</v>
      </c>
      <c r="Z44">
        <v>1.2570000000000001E-3</v>
      </c>
      <c r="AA44">
        <v>1.1800000000000001E-3</v>
      </c>
      <c r="AB44">
        <v>1.108E-3</v>
      </c>
      <c r="AC44">
        <v>1.0399999999999999E-3</v>
      </c>
      <c r="AD44">
        <v>9.7599999999999998E-4</v>
      </c>
      <c r="AE44">
        <v>9.1699999999999995E-4</v>
      </c>
      <c r="AF44">
        <v>8.61E-4</v>
      </c>
      <c r="AG44" s="144">
        <v>-6.3E-2</v>
      </c>
    </row>
    <row r="45" spans="1:33">
      <c r="A45" t="s">
        <v>361</v>
      </c>
      <c r="B45" t="s">
        <v>3467</v>
      </c>
      <c r="C45" t="s">
        <v>3466</v>
      </c>
      <c r="D45" t="s">
        <v>1995</v>
      </c>
      <c r="F45">
        <v>4.3379999999999998E-3</v>
      </c>
      <c r="G45">
        <v>4.0720000000000001E-3</v>
      </c>
      <c r="H45">
        <v>3.8219999999999999E-3</v>
      </c>
      <c r="I45">
        <v>3.5869999999999999E-3</v>
      </c>
      <c r="J45">
        <v>3.3670000000000002E-3</v>
      </c>
      <c r="K45">
        <v>3.1610000000000002E-3</v>
      </c>
      <c r="L45">
        <v>2.967E-3</v>
      </c>
      <c r="M45">
        <v>2.7850000000000001E-3</v>
      </c>
      <c r="N45">
        <v>2.614E-3</v>
      </c>
      <c r="O45">
        <v>2.454E-3</v>
      </c>
      <c r="P45">
        <v>2.3040000000000001E-3</v>
      </c>
      <c r="Q45">
        <v>2.1619999999999999E-3</v>
      </c>
      <c r="R45">
        <v>2.0300000000000001E-3</v>
      </c>
      <c r="S45">
        <v>1.9059999999999999E-3</v>
      </c>
      <c r="T45">
        <v>1.789E-3</v>
      </c>
      <c r="U45">
        <v>1.6800000000000001E-3</v>
      </c>
      <c r="V45">
        <v>1.5770000000000001E-3</v>
      </c>
      <c r="W45">
        <v>1.48E-3</v>
      </c>
      <c r="X45">
        <v>1.39E-3</v>
      </c>
      <c r="Y45">
        <v>1.305E-3</v>
      </c>
      <c r="Z45">
        <v>1.225E-3</v>
      </c>
      <c r="AA45">
        <v>1.15E-3</v>
      </c>
      <c r="AB45">
        <v>1.08E-3</v>
      </c>
      <c r="AC45">
        <v>1.0139999999999999E-3</v>
      </c>
      <c r="AD45">
        <v>9.5200000000000005E-4</v>
      </c>
      <c r="AE45">
        <v>8.9400000000000005E-4</v>
      </c>
      <c r="AF45">
        <v>8.3900000000000001E-4</v>
      </c>
      <c r="AG45" s="144">
        <v>-6.0999999999999999E-2</v>
      </c>
    </row>
    <row r="46" spans="1:33">
      <c r="A46" t="s">
        <v>363</v>
      </c>
      <c r="B46" t="s">
        <v>3465</v>
      </c>
      <c r="C46" t="s">
        <v>3464</v>
      </c>
      <c r="D46" t="s">
        <v>1995</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1769</v>
      </c>
    </row>
    <row r="47" spans="1:33">
      <c r="A47" t="s">
        <v>365</v>
      </c>
      <c r="B47" t="s">
        <v>3463</v>
      </c>
      <c r="C47" t="s">
        <v>3462</v>
      </c>
      <c r="D47" t="s">
        <v>1995</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1769</v>
      </c>
    </row>
    <row r="48" spans="1:33">
      <c r="A48" t="s">
        <v>2897</v>
      </c>
      <c r="B48" t="s">
        <v>3461</v>
      </c>
      <c r="C48" t="s">
        <v>3460</v>
      </c>
      <c r="D48" t="s">
        <v>1995</v>
      </c>
      <c r="F48">
        <v>19.584394</v>
      </c>
      <c r="G48">
        <v>20.900542999999999</v>
      </c>
      <c r="H48">
        <v>23.195217</v>
      </c>
      <c r="I48">
        <v>24.942038</v>
      </c>
      <c r="J48">
        <v>26.515438</v>
      </c>
      <c r="K48">
        <v>27.939364999999999</v>
      </c>
      <c r="L48">
        <v>29.381325</v>
      </c>
      <c r="M48">
        <v>30.803028000000001</v>
      </c>
      <c r="N48">
        <v>32.266243000000003</v>
      </c>
      <c r="O48">
        <v>33.578522</v>
      </c>
      <c r="P48">
        <v>34.912726999999997</v>
      </c>
      <c r="Q48">
        <v>36.335113999999997</v>
      </c>
      <c r="R48">
        <v>37.863948999999998</v>
      </c>
      <c r="S48">
        <v>39.416321000000003</v>
      </c>
      <c r="T48">
        <v>40.999274999999997</v>
      </c>
      <c r="U48">
        <v>42.607703999999998</v>
      </c>
      <c r="V48">
        <v>44.211857000000002</v>
      </c>
      <c r="W48">
        <v>45.774647000000002</v>
      </c>
      <c r="X48">
        <v>47.290146</v>
      </c>
      <c r="Y48">
        <v>48.744774</v>
      </c>
      <c r="Z48">
        <v>50.144027999999999</v>
      </c>
      <c r="AA48">
        <v>51.482399000000001</v>
      </c>
      <c r="AB48">
        <v>52.767432999999997</v>
      </c>
      <c r="AC48">
        <v>53.996223000000001</v>
      </c>
      <c r="AD48">
        <v>55.162247000000001</v>
      </c>
      <c r="AE48">
        <v>56.274867999999998</v>
      </c>
      <c r="AF48">
        <v>57.346848000000001</v>
      </c>
      <c r="AG48" s="144">
        <v>4.2000000000000003E-2</v>
      </c>
    </row>
    <row r="49" spans="1:34">
      <c r="A49" t="s">
        <v>731</v>
      </c>
      <c r="B49" t="s">
        <v>3459</v>
      </c>
      <c r="C49" t="s">
        <v>3458</v>
      </c>
      <c r="D49" t="s">
        <v>1995</v>
      </c>
      <c r="F49">
        <v>143.25762900000001</v>
      </c>
      <c r="G49">
        <v>145.71080000000001</v>
      </c>
      <c r="H49">
        <v>148.61947599999999</v>
      </c>
      <c r="I49">
        <v>151.59506200000001</v>
      </c>
      <c r="J49">
        <v>154.23268100000001</v>
      </c>
      <c r="K49">
        <v>156.59196499999999</v>
      </c>
      <c r="L49">
        <v>158.63192699999999</v>
      </c>
      <c r="M49">
        <v>160.342117</v>
      </c>
      <c r="N49">
        <v>161.88510099999999</v>
      </c>
      <c r="O49">
        <v>163.39456200000001</v>
      </c>
      <c r="P49">
        <v>164.546021</v>
      </c>
      <c r="Q49">
        <v>165.557816</v>
      </c>
      <c r="R49">
        <v>166.46601899999999</v>
      </c>
      <c r="S49">
        <v>167.22297699999999</v>
      </c>
      <c r="T49">
        <v>167.876373</v>
      </c>
      <c r="U49">
        <v>168.470551</v>
      </c>
      <c r="V49">
        <v>169.048981</v>
      </c>
      <c r="W49">
        <v>169.55633499999999</v>
      </c>
      <c r="X49">
        <v>170.005066</v>
      </c>
      <c r="Y49">
        <v>170.372513</v>
      </c>
      <c r="Z49">
        <v>170.724548</v>
      </c>
      <c r="AA49">
        <v>171.01251199999999</v>
      </c>
      <c r="AB49">
        <v>171.26512099999999</v>
      </c>
      <c r="AC49">
        <v>171.469269</v>
      </c>
      <c r="AD49">
        <v>171.58090200000001</v>
      </c>
      <c r="AE49">
        <v>171.62957800000001</v>
      </c>
      <c r="AF49">
        <v>171.586838</v>
      </c>
      <c r="AG49" s="144">
        <v>7.0000000000000001E-3</v>
      </c>
    </row>
    <row r="50" spans="1:34" s="237" customFormat="1">
      <c r="A50" s="237" t="s">
        <v>211</v>
      </c>
      <c r="B50" s="237" t="s">
        <v>3457</v>
      </c>
      <c r="C50" s="237" t="s">
        <v>3456</v>
      </c>
      <c r="D50" s="237" t="s">
        <v>3455</v>
      </c>
      <c r="E50" s="237" t="s">
        <v>1995</v>
      </c>
      <c r="F50" s="237">
        <v>265.43582199999997</v>
      </c>
      <c r="G50" s="237">
        <v>266.649292</v>
      </c>
      <c r="H50" s="237">
        <v>268.382812</v>
      </c>
      <c r="I50" s="237">
        <v>270.095642</v>
      </c>
      <c r="J50" s="237">
        <v>271.202271</v>
      </c>
      <c r="K50" s="237">
        <v>271.98632800000001</v>
      </c>
      <c r="L50" s="237">
        <v>272.49481200000002</v>
      </c>
      <c r="M50" s="237">
        <v>272.57971199999997</v>
      </c>
      <c r="N50" s="237">
        <v>272.468842</v>
      </c>
      <c r="O50" s="237">
        <v>272.35015900000002</v>
      </c>
      <c r="P50" s="237">
        <v>272.19085699999999</v>
      </c>
      <c r="Q50" s="237">
        <v>271.98223899999999</v>
      </c>
      <c r="R50" s="237">
        <v>271.77188100000001</v>
      </c>
      <c r="S50" s="237">
        <v>271.60205100000002</v>
      </c>
      <c r="T50" s="237">
        <v>271.55246</v>
      </c>
      <c r="U50" s="237">
        <v>271.63742100000002</v>
      </c>
      <c r="V50" s="237">
        <v>271.81369000000001</v>
      </c>
      <c r="W50" s="237">
        <v>271.98666400000002</v>
      </c>
      <c r="X50" s="237">
        <v>272.15136699999999</v>
      </c>
      <c r="Y50" s="237">
        <v>272.26608299999998</v>
      </c>
      <c r="Z50" s="237">
        <v>272.36206099999998</v>
      </c>
      <c r="AA50" s="237">
        <v>272.40039100000001</v>
      </c>
      <c r="AB50" s="237">
        <v>272.34985399999999</v>
      </c>
      <c r="AC50" s="237">
        <v>272.19482399999998</v>
      </c>
      <c r="AD50" s="237">
        <v>271.90271000000001</v>
      </c>
      <c r="AE50" s="237">
        <v>271.52453600000001</v>
      </c>
      <c r="AF50" s="237">
        <v>271.10485799999998</v>
      </c>
      <c r="AG50" s="242">
        <v>1E-3</v>
      </c>
      <c r="AH50" s="242"/>
    </row>
    <row r="51" spans="1:34">
      <c r="A51" t="s">
        <v>3454</v>
      </c>
      <c r="B51" t="s">
        <v>3453</v>
      </c>
      <c r="C51" t="s">
        <v>3452</v>
      </c>
      <c r="D51" t="s">
        <v>1995</v>
      </c>
      <c r="F51">
        <v>231.34463500000001</v>
      </c>
      <c r="G51">
        <v>229.62300099999999</v>
      </c>
      <c r="H51">
        <v>227.10891699999999</v>
      </c>
      <c r="I51">
        <v>224.940247</v>
      </c>
      <c r="J51">
        <v>222.463379</v>
      </c>
      <c r="K51">
        <v>219.94818100000001</v>
      </c>
      <c r="L51">
        <v>217.12777700000001</v>
      </c>
      <c r="M51">
        <v>213.95931999999999</v>
      </c>
      <c r="N51">
        <v>210.47335799999999</v>
      </c>
      <c r="O51">
        <v>207.29869099999999</v>
      </c>
      <c r="P51">
        <v>203.93710300000001</v>
      </c>
      <c r="Q51">
        <v>200.369202</v>
      </c>
      <c r="R51">
        <v>196.74075300000001</v>
      </c>
      <c r="S51">
        <v>193.16502399999999</v>
      </c>
      <c r="T51">
        <v>189.714294</v>
      </c>
      <c r="U51">
        <v>186.37515300000001</v>
      </c>
      <c r="V51">
        <v>183.20851099999999</v>
      </c>
      <c r="W51">
        <v>180.21122700000001</v>
      </c>
      <c r="X51">
        <v>177.38746599999999</v>
      </c>
      <c r="Y51">
        <v>174.69523599999999</v>
      </c>
      <c r="Z51">
        <v>172.16644299999999</v>
      </c>
      <c r="AA51">
        <v>169.744598</v>
      </c>
      <c r="AB51">
        <v>167.40600599999999</v>
      </c>
      <c r="AC51">
        <v>165.132721</v>
      </c>
      <c r="AD51">
        <v>162.88353000000001</v>
      </c>
      <c r="AE51">
        <v>160.684326</v>
      </c>
      <c r="AF51">
        <v>158.51206999999999</v>
      </c>
      <c r="AG51" s="144">
        <v>-1.4E-2</v>
      </c>
    </row>
    <row r="52" spans="1:34">
      <c r="A52" t="s">
        <v>3451</v>
      </c>
      <c r="B52" t="s">
        <v>3450</v>
      </c>
      <c r="C52" t="s">
        <v>3449</v>
      </c>
      <c r="D52" t="s">
        <v>1995</v>
      </c>
      <c r="F52">
        <v>1.5530930000000001</v>
      </c>
      <c r="G52">
        <v>1.6617219999999999</v>
      </c>
      <c r="H52">
        <v>1.7623740000000001</v>
      </c>
      <c r="I52">
        <v>1.8515010000000001</v>
      </c>
      <c r="J52">
        <v>1.9315180000000001</v>
      </c>
      <c r="K52">
        <v>2.010796</v>
      </c>
      <c r="L52">
        <v>2.0493350000000001</v>
      </c>
      <c r="M52">
        <v>2.0828359999999999</v>
      </c>
      <c r="N52">
        <v>2.1134210000000002</v>
      </c>
      <c r="O52">
        <v>2.149321</v>
      </c>
      <c r="P52">
        <v>2.1799279999999999</v>
      </c>
      <c r="Q52">
        <v>2.2075140000000002</v>
      </c>
      <c r="R52">
        <v>2.2335210000000001</v>
      </c>
      <c r="S52">
        <v>2.2559939999999998</v>
      </c>
      <c r="T52">
        <v>2.2756940000000001</v>
      </c>
      <c r="U52">
        <v>2.293857</v>
      </c>
      <c r="V52">
        <v>2.310022</v>
      </c>
      <c r="W52">
        <v>2.3229030000000002</v>
      </c>
      <c r="X52">
        <v>2.3309549999999999</v>
      </c>
      <c r="Y52">
        <v>2.3349340000000001</v>
      </c>
      <c r="Z52">
        <v>2.3349310000000001</v>
      </c>
      <c r="AA52">
        <v>2.3318120000000002</v>
      </c>
      <c r="AB52">
        <v>2.3280129999999999</v>
      </c>
      <c r="AC52">
        <v>2.323137</v>
      </c>
      <c r="AD52">
        <v>2.316554</v>
      </c>
      <c r="AE52">
        <v>2.3096019999999999</v>
      </c>
      <c r="AF52">
        <v>2.3021189999999998</v>
      </c>
      <c r="AG52" s="144">
        <v>1.4999999999999999E-2</v>
      </c>
    </row>
    <row r="53" spans="1:34">
      <c r="A53" t="s">
        <v>3448</v>
      </c>
      <c r="B53" t="s">
        <v>3447</v>
      </c>
      <c r="C53" t="s">
        <v>3446</v>
      </c>
      <c r="D53" t="s">
        <v>1995</v>
      </c>
      <c r="F53">
        <v>18.572098</v>
      </c>
      <c r="G53">
        <v>17.811229999999998</v>
      </c>
      <c r="H53">
        <v>17.021231</v>
      </c>
      <c r="I53">
        <v>16.178728</v>
      </c>
      <c r="J53">
        <v>15.298866</v>
      </c>
      <c r="K53">
        <v>14.389333000000001</v>
      </c>
      <c r="L53">
        <v>13.429881999999999</v>
      </c>
      <c r="M53">
        <v>12.468177000000001</v>
      </c>
      <c r="N53">
        <v>11.534654</v>
      </c>
      <c r="O53">
        <v>10.644833</v>
      </c>
      <c r="P53">
        <v>9.7952580000000005</v>
      </c>
      <c r="Q53">
        <v>9.0056860000000007</v>
      </c>
      <c r="R53">
        <v>8.2915310000000009</v>
      </c>
      <c r="S53">
        <v>7.6549300000000002</v>
      </c>
      <c r="T53">
        <v>7.0968229999999997</v>
      </c>
      <c r="U53">
        <v>6.6141740000000002</v>
      </c>
      <c r="V53">
        <v>6.1935229999999999</v>
      </c>
      <c r="W53">
        <v>5.8194850000000002</v>
      </c>
      <c r="X53">
        <v>5.4920960000000001</v>
      </c>
      <c r="Y53">
        <v>5.2008789999999996</v>
      </c>
      <c r="Z53">
        <v>4.9426899999999998</v>
      </c>
      <c r="AA53">
        <v>4.7073650000000002</v>
      </c>
      <c r="AB53">
        <v>4.4919719999999996</v>
      </c>
      <c r="AC53">
        <v>4.2902009999999997</v>
      </c>
      <c r="AD53">
        <v>4.0993449999999996</v>
      </c>
      <c r="AE53">
        <v>3.9196770000000001</v>
      </c>
      <c r="AF53">
        <v>3.7495099999999999</v>
      </c>
      <c r="AG53" s="144">
        <v>-0.06</v>
      </c>
    </row>
    <row r="54" spans="1:34">
      <c r="A54" t="s">
        <v>206</v>
      </c>
      <c r="B54" t="s">
        <v>3445</v>
      </c>
      <c r="C54" t="s">
        <v>3444</v>
      </c>
      <c r="D54" t="s">
        <v>1995</v>
      </c>
      <c r="F54">
        <v>4.7699530000000001</v>
      </c>
      <c r="G54">
        <v>6.7307389999999998</v>
      </c>
      <c r="H54">
        <v>9.3790379999999995</v>
      </c>
      <c r="I54">
        <v>12.133120999999999</v>
      </c>
      <c r="J54">
        <v>14.792187</v>
      </c>
      <c r="K54">
        <v>17.299320000000002</v>
      </c>
      <c r="L54">
        <v>19.688496000000001</v>
      </c>
      <c r="M54">
        <v>22.056844999999999</v>
      </c>
      <c r="N54">
        <v>24.600218000000002</v>
      </c>
      <c r="O54">
        <v>26.826649</v>
      </c>
      <c r="P54">
        <v>29.159468</v>
      </c>
      <c r="Q54">
        <v>31.585533000000002</v>
      </c>
      <c r="R54">
        <v>33.968024999999997</v>
      </c>
      <c r="S54">
        <v>36.298121999999999</v>
      </c>
      <c r="T54">
        <v>38.579720000000002</v>
      </c>
      <c r="U54">
        <v>40.861794000000003</v>
      </c>
      <c r="V54">
        <v>43.065787999999998</v>
      </c>
      <c r="W54">
        <v>45.129944000000002</v>
      </c>
      <c r="X54">
        <v>47.047699000000001</v>
      </c>
      <c r="Y54">
        <v>48.835788999999998</v>
      </c>
      <c r="Z54">
        <v>50.485771</v>
      </c>
      <c r="AA54">
        <v>52.023018</v>
      </c>
      <c r="AB54">
        <v>53.430278999999999</v>
      </c>
      <c r="AC54">
        <v>54.711395000000003</v>
      </c>
      <c r="AD54">
        <v>55.883991000000002</v>
      </c>
      <c r="AE54">
        <v>56.958846999999999</v>
      </c>
      <c r="AF54">
        <v>57.997867999999997</v>
      </c>
      <c r="AG54" s="144">
        <v>0.10100000000000001</v>
      </c>
    </row>
    <row r="55" spans="1:34">
      <c r="A55" t="s">
        <v>3443</v>
      </c>
      <c r="B55" t="s">
        <v>3442</v>
      </c>
      <c r="C55" t="s">
        <v>3441</v>
      </c>
      <c r="D55" t="s">
        <v>1995</v>
      </c>
      <c r="F55">
        <v>1.417826</v>
      </c>
      <c r="G55">
        <v>1.929403</v>
      </c>
      <c r="H55">
        <v>2.8521990000000002</v>
      </c>
      <c r="I55">
        <v>3.6090930000000001</v>
      </c>
      <c r="J55">
        <v>4.2754960000000004</v>
      </c>
      <c r="K55">
        <v>4.8145790000000002</v>
      </c>
      <c r="L55">
        <v>5.5613619999999999</v>
      </c>
      <c r="M55">
        <v>6.2907820000000001</v>
      </c>
      <c r="N55">
        <v>6.9915510000000003</v>
      </c>
      <c r="O55">
        <v>7.5769880000000001</v>
      </c>
      <c r="P55">
        <v>8.1800920000000001</v>
      </c>
      <c r="Q55">
        <v>8.8051759999999994</v>
      </c>
      <c r="R55">
        <v>9.4804270000000006</v>
      </c>
      <c r="S55">
        <v>10.145417999999999</v>
      </c>
      <c r="T55">
        <v>10.802431</v>
      </c>
      <c r="U55">
        <v>11.445798</v>
      </c>
      <c r="V55">
        <v>12.068228</v>
      </c>
      <c r="W55">
        <v>12.660111000000001</v>
      </c>
      <c r="X55">
        <v>13.217727999999999</v>
      </c>
      <c r="Y55">
        <v>13.739599</v>
      </c>
      <c r="Z55">
        <v>14.222842</v>
      </c>
      <c r="AA55">
        <v>14.668754</v>
      </c>
      <c r="AB55">
        <v>15.078174000000001</v>
      </c>
      <c r="AC55">
        <v>15.453428000000001</v>
      </c>
      <c r="AD55">
        <v>15.794376</v>
      </c>
      <c r="AE55">
        <v>16.104493999999999</v>
      </c>
      <c r="AF55">
        <v>16.391774999999999</v>
      </c>
      <c r="AG55" s="144">
        <v>9.9000000000000005E-2</v>
      </c>
    </row>
    <row r="56" spans="1:34">
      <c r="A56" t="s">
        <v>3440</v>
      </c>
      <c r="B56" t="s">
        <v>3439</v>
      </c>
      <c r="C56" t="s">
        <v>3438</v>
      </c>
      <c r="D56" t="s">
        <v>1995</v>
      </c>
      <c r="F56">
        <v>7.7330969999999999</v>
      </c>
      <c r="G56">
        <v>8.8504240000000003</v>
      </c>
      <c r="H56">
        <v>10.218289</v>
      </c>
      <c r="I56">
        <v>11.343928999999999</v>
      </c>
      <c r="J56">
        <v>12.403362</v>
      </c>
      <c r="K56">
        <v>13.488567</v>
      </c>
      <c r="L56">
        <v>14.604155</v>
      </c>
      <c r="M56">
        <v>15.689640000000001</v>
      </c>
      <c r="N56">
        <v>16.725176000000001</v>
      </c>
      <c r="O56">
        <v>17.824926000000001</v>
      </c>
      <c r="P56">
        <v>18.911871000000001</v>
      </c>
      <c r="Q56">
        <v>19.983547000000002</v>
      </c>
      <c r="R56">
        <v>21.033588000000002</v>
      </c>
      <c r="S56">
        <v>22.060020000000002</v>
      </c>
      <c r="T56">
        <v>23.062380000000001</v>
      </c>
      <c r="U56">
        <v>24.026959999999999</v>
      </c>
      <c r="V56">
        <v>24.949299</v>
      </c>
      <c r="W56">
        <v>25.825983000000001</v>
      </c>
      <c r="X56">
        <v>26.659594999999999</v>
      </c>
      <c r="Y56">
        <v>27.444890999999998</v>
      </c>
      <c r="Z56">
        <v>28.19558</v>
      </c>
      <c r="AA56">
        <v>28.911944999999999</v>
      </c>
      <c r="AB56">
        <v>29.603276999999999</v>
      </c>
      <c r="AC56">
        <v>30.272469999999998</v>
      </c>
      <c r="AD56">
        <v>30.914035999999999</v>
      </c>
      <c r="AE56">
        <v>31.537243</v>
      </c>
      <c r="AF56">
        <v>32.141604999999998</v>
      </c>
      <c r="AG56" s="144">
        <v>5.6000000000000001E-2</v>
      </c>
    </row>
    <row r="57" spans="1:34">
      <c r="A57" t="s">
        <v>3437</v>
      </c>
      <c r="B57" t="s">
        <v>3436</v>
      </c>
      <c r="C57" t="s">
        <v>3435</v>
      </c>
      <c r="D57" t="s">
        <v>1995</v>
      </c>
      <c r="F57">
        <v>2.8032000000000001E-2</v>
      </c>
      <c r="G57">
        <v>2.5564E-2</v>
      </c>
      <c r="H57">
        <v>2.3431E-2</v>
      </c>
      <c r="I57">
        <v>2.1551000000000001E-2</v>
      </c>
      <c r="J57">
        <v>1.9791E-2</v>
      </c>
      <c r="K57">
        <v>1.8155000000000001E-2</v>
      </c>
      <c r="L57">
        <v>1.6709000000000002E-2</v>
      </c>
      <c r="M57">
        <v>1.5346E-2</v>
      </c>
      <c r="N57">
        <v>1.41E-2</v>
      </c>
      <c r="O57">
        <v>1.2973E-2</v>
      </c>
      <c r="P57">
        <v>1.1971000000000001E-2</v>
      </c>
      <c r="Q57">
        <v>1.1072E-2</v>
      </c>
      <c r="R57">
        <v>1.0272E-2</v>
      </c>
      <c r="S57">
        <v>9.6039999999999997E-3</v>
      </c>
      <c r="T57">
        <v>8.992E-3</v>
      </c>
      <c r="U57">
        <v>8.4370000000000001E-3</v>
      </c>
      <c r="V57">
        <v>7.9220000000000002E-3</v>
      </c>
      <c r="W57">
        <v>7.4380000000000002E-3</v>
      </c>
      <c r="X57">
        <v>6.9839999999999998E-3</v>
      </c>
      <c r="Y57">
        <v>6.5579999999999996E-3</v>
      </c>
      <c r="Z57">
        <v>6.1580000000000003E-3</v>
      </c>
      <c r="AA57">
        <v>5.7819999999999998E-3</v>
      </c>
      <c r="AB57">
        <v>5.4299999999999999E-3</v>
      </c>
      <c r="AC57">
        <v>5.0990000000000002E-3</v>
      </c>
      <c r="AD57">
        <v>4.7879999999999997E-3</v>
      </c>
      <c r="AE57">
        <v>4.496E-3</v>
      </c>
      <c r="AF57">
        <v>4.2220000000000001E-3</v>
      </c>
      <c r="AG57" s="144">
        <v>-7.0000000000000007E-2</v>
      </c>
    </row>
    <row r="58" spans="1:34">
      <c r="A58" t="s">
        <v>209</v>
      </c>
      <c r="B58" t="s">
        <v>3434</v>
      </c>
      <c r="C58" t="s">
        <v>3433</v>
      </c>
      <c r="D58" t="s">
        <v>1995</v>
      </c>
      <c r="F58">
        <v>1.7094000000000002E-2</v>
      </c>
      <c r="G58">
        <v>1.7212000000000002E-2</v>
      </c>
      <c r="H58">
        <v>1.7323999999999999E-2</v>
      </c>
      <c r="I58">
        <v>1.7491E-2</v>
      </c>
      <c r="J58">
        <v>1.7677999999999999E-2</v>
      </c>
      <c r="K58">
        <v>1.7375999999999999E-2</v>
      </c>
      <c r="L58">
        <v>1.7114000000000001E-2</v>
      </c>
      <c r="M58">
        <v>1.6773E-2</v>
      </c>
      <c r="N58">
        <v>1.6348000000000001E-2</v>
      </c>
      <c r="O58">
        <v>1.5785E-2</v>
      </c>
      <c r="P58">
        <v>1.516E-2</v>
      </c>
      <c r="Q58">
        <v>1.4505000000000001E-2</v>
      </c>
      <c r="R58">
        <v>1.3759E-2</v>
      </c>
      <c r="S58">
        <v>1.2952999999999999E-2</v>
      </c>
      <c r="T58">
        <v>1.2102999999999999E-2</v>
      </c>
      <c r="U58">
        <v>1.1240999999999999E-2</v>
      </c>
      <c r="V58">
        <v>1.0390999999999999E-2</v>
      </c>
      <c r="W58">
        <v>9.5709999999999996E-3</v>
      </c>
      <c r="X58">
        <v>8.848E-3</v>
      </c>
      <c r="Y58">
        <v>8.1939999999999999E-3</v>
      </c>
      <c r="Z58">
        <v>7.6309999999999998E-3</v>
      </c>
      <c r="AA58">
        <v>7.123E-3</v>
      </c>
      <c r="AB58">
        <v>6.7089999999999997E-3</v>
      </c>
      <c r="AC58">
        <v>6.3709999999999999E-3</v>
      </c>
      <c r="AD58">
        <v>6.1079999999999997E-3</v>
      </c>
      <c r="AE58">
        <v>5.8770000000000003E-3</v>
      </c>
      <c r="AF58">
        <v>5.6889999999999996E-3</v>
      </c>
      <c r="AG58" s="144">
        <v>-4.1000000000000002E-2</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8A39C1-A34D-4A30-9586-E5200785E4A7}">
  <dimension ref="A1:AG63"/>
  <sheetViews>
    <sheetView workbookViewId="0"/>
    <sheetView workbookViewId="1"/>
  </sheetViews>
  <sheetFormatPr defaultRowHeight="14.75"/>
  <cols>
    <col min="1" max="1" width="30.1328125" customWidth="1"/>
  </cols>
  <sheetData>
    <row r="1" spans="1:33">
      <c r="A1" t="s">
        <v>3646</v>
      </c>
    </row>
    <row r="2" spans="1:33">
      <c r="A2" t="s">
        <v>3645</v>
      </c>
    </row>
    <row r="3" spans="1:33">
      <c r="A3" t="s">
        <v>3644</v>
      </c>
    </row>
    <row r="4" spans="1:33">
      <c r="A4" t="s">
        <v>2352</v>
      </c>
    </row>
    <row r="5" spans="1:33">
      <c r="B5" t="s">
        <v>2351</v>
      </c>
      <c r="C5" t="s">
        <v>2350</v>
      </c>
      <c r="D5" t="s">
        <v>2349</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2348</v>
      </c>
    </row>
    <row r="6" spans="1:33">
      <c r="A6" t="s">
        <v>3535</v>
      </c>
    </row>
    <row r="7" spans="1:33">
      <c r="A7" t="s">
        <v>2983</v>
      </c>
    </row>
    <row r="8" spans="1:33">
      <c r="A8" t="s">
        <v>337</v>
      </c>
      <c r="B8" t="s">
        <v>3643</v>
      </c>
      <c r="C8" t="s">
        <v>3642</v>
      </c>
      <c r="D8" t="s">
        <v>1815</v>
      </c>
      <c r="F8">
        <v>5075.3691410000001</v>
      </c>
      <c r="G8">
        <v>4824.9785160000001</v>
      </c>
      <c r="H8">
        <v>4539.7255859999996</v>
      </c>
      <c r="I8">
        <v>4228.984375</v>
      </c>
      <c r="J8">
        <v>3937.797607</v>
      </c>
      <c r="K8">
        <v>3710.922607</v>
      </c>
      <c r="L8">
        <v>3512.5742190000001</v>
      </c>
      <c r="M8">
        <v>3327.20874</v>
      </c>
      <c r="N8">
        <v>3127.469482</v>
      </c>
      <c r="O8">
        <v>2978.8933109999998</v>
      </c>
      <c r="P8">
        <v>2861.579346</v>
      </c>
      <c r="Q8">
        <v>2729.3728030000002</v>
      </c>
      <c r="R8">
        <v>2603.5134280000002</v>
      </c>
      <c r="S8">
        <v>2492.501953</v>
      </c>
      <c r="T8">
        <v>2396.883057</v>
      </c>
      <c r="U8">
        <v>2302.8364259999998</v>
      </c>
      <c r="V8">
        <v>2209.5778810000002</v>
      </c>
      <c r="W8">
        <v>2126.6970209999999</v>
      </c>
      <c r="X8">
        <v>2053.3640140000002</v>
      </c>
      <c r="Y8">
        <v>1987.5832519999999</v>
      </c>
      <c r="Z8">
        <v>1926.649048</v>
      </c>
      <c r="AA8">
        <v>1871.7105710000001</v>
      </c>
      <c r="AB8">
        <v>1819.1607670000001</v>
      </c>
      <c r="AC8">
        <v>1769.278564</v>
      </c>
      <c r="AD8">
        <v>1721.4882809999999</v>
      </c>
      <c r="AE8">
        <v>1676.5722659999999</v>
      </c>
      <c r="AF8">
        <v>1637.205078</v>
      </c>
      <c r="AG8" s="144">
        <v>-4.2999999999999997E-2</v>
      </c>
    </row>
    <row r="9" spans="1:33">
      <c r="A9" t="s">
        <v>339</v>
      </c>
      <c r="B9" t="s">
        <v>3641</v>
      </c>
      <c r="C9" t="s">
        <v>3640</v>
      </c>
      <c r="D9" t="s">
        <v>1815</v>
      </c>
      <c r="F9">
        <v>15.97803</v>
      </c>
      <c r="G9">
        <v>13.911413</v>
      </c>
      <c r="H9">
        <v>12.051627</v>
      </c>
      <c r="I9">
        <v>10.370836000000001</v>
      </c>
      <c r="J9">
        <v>8.844614</v>
      </c>
      <c r="K9">
        <v>7.4791059999999998</v>
      </c>
      <c r="L9">
        <v>6.2849209999999998</v>
      </c>
      <c r="M9">
        <v>5.2521810000000002</v>
      </c>
      <c r="N9">
        <v>4.3723409999999996</v>
      </c>
      <c r="O9">
        <v>3.6431749999999998</v>
      </c>
      <c r="P9">
        <v>3.051164</v>
      </c>
      <c r="Q9">
        <v>2.5798580000000002</v>
      </c>
      <c r="R9">
        <v>2.2096680000000002</v>
      </c>
      <c r="S9">
        <v>1.920185</v>
      </c>
      <c r="T9">
        <v>1.695036</v>
      </c>
      <c r="U9">
        <v>1.51745</v>
      </c>
      <c r="V9">
        <v>1.3681749999999999</v>
      </c>
      <c r="W9">
        <v>1.2371019999999999</v>
      </c>
      <c r="X9">
        <v>1.1214569999999999</v>
      </c>
      <c r="Y9">
        <v>1.0183390000000001</v>
      </c>
      <c r="Z9">
        <v>0.92536499999999999</v>
      </c>
      <c r="AA9">
        <v>0.84118099999999996</v>
      </c>
      <c r="AB9">
        <v>0.76493500000000003</v>
      </c>
      <c r="AC9">
        <v>0.69586000000000003</v>
      </c>
      <c r="AD9">
        <v>0.63326300000000002</v>
      </c>
      <c r="AE9">
        <v>0.57652099999999995</v>
      </c>
      <c r="AF9">
        <v>0.52507000000000004</v>
      </c>
      <c r="AG9" s="144">
        <v>-0.123</v>
      </c>
    </row>
    <row r="10" spans="1:33">
      <c r="A10" t="s">
        <v>2978</v>
      </c>
      <c r="B10" t="s">
        <v>3639</v>
      </c>
      <c r="C10" t="s">
        <v>3638</v>
      </c>
      <c r="D10" t="s">
        <v>1815</v>
      </c>
      <c r="F10">
        <v>5091.3471680000002</v>
      </c>
      <c r="G10">
        <v>4838.8901370000003</v>
      </c>
      <c r="H10">
        <v>4551.7773440000001</v>
      </c>
      <c r="I10">
        <v>4239.3549800000001</v>
      </c>
      <c r="J10">
        <v>3946.6423340000001</v>
      </c>
      <c r="K10">
        <v>3718.4016109999998</v>
      </c>
      <c r="L10">
        <v>3518.8591310000002</v>
      </c>
      <c r="M10">
        <v>3332.4609380000002</v>
      </c>
      <c r="N10">
        <v>3131.841797</v>
      </c>
      <c r="O10">
        <v>2982.5363769999999</v>
      </c>
      <c r="P10">
        <v>2864.630615</v>
      </c>
      <c r="Q10">
        <v>2731.9526369999999</v>
      </c>
      <c r="R10">
        <v>2605.7231449999999</v>
      </c>
      <c r="S10">
        <v>2494.4221189999998</v>
      </c>
      <c r="T10">
        <v>2398.578125</v>
      </c>
      <c r="U10">
        <v>2304.35376</v>
      </c>
      <c r="V10">
        <v>2210.9460450000001</v>
      </c>
      <c r="W10">
        <v>2127.9340820000002</v>
      </c>
      <c r="X10">
        <v>2054.4853520000001</v>
      </c>
      <c r="Y10">
        <v>1988.6015620000001</v>
      </c>
      <c r="Z10">
        <v>1927.5744629999999</v>
      </c>
      <c r="AA10">
        <v>1872.5517580000001</v>
      </c>
      <c r="AB10">
        <v>1819.925659</v>
      </c>
      <c r="AC10">
        <v>1769.974365</v>
      </c>
      <c r="AD10">
        <v>1722.121582</v>
      </c>
      <c r="AE10">
        <v>1677.1488039999999</v>
      </c>
      <c r="AF10">
        <v>1637.7301030000001</v>
      </c>
      <c r="AG10" s="144">
        <v>-4.2999999999999997E-2</v>
      </c>
    </row>
    <row r="11" spans="1:33">
      <c r="A11" t="s">
        <v>2975</v>
      </c>
    </row>
    <row r="12" spans="1:33">
      <c r="A12" t="s">
        <v>344</v>
      </c>
      <c r="B12" t="s">
        <v>3637</v>
      </c>
      <c r="C12" t="s">
        <v>3636</v>
      </c>
      <c r="D12" t="s">
        <v>1815</v>
      </c>
      <c r="F12">
        <v>185.83042900000001</v>
      </c>
      <c r="G12">
        <v>158.766052</v>
      </c>
      <c r="H12">
        <v>134.82157900000001</v>
      </c>
      <c r="I12">
        <v>113.52628300000001</v>
      </c>
      <c r="J12">
        <v>94.714484999999996</v>
      </c>
      <c r="K12">
        <v>78.336166000000006</v>
      </c>
      <c r="L12">
        <v>64.364654999999999</v>
      </c>
      <c r="M12">
        <v>52.711390999999999</v>
      </c>
      <c r="N12">
        <v>43.209826999999997</v>
      </c>
      <c r="O12">
        <v>35.860064999999999</v>
      </c>
      <c r="P12">
        <v>30.128226999999999</v>
      </c>
      <c r="Q12">
        <v>25.750183</v>
      </c>
      <c r="R12">
        <v>22.493084</v>
      </c>
      <c r="S12">
        <v>19.972109</v>
      </c>
      <c r="T12">
        <v>17.990849000000001</v>
      </c>
      <c r="U12">
        <v>16.438389000000001</v>
      </c>
      <c r="V12">
        <v>15.174291</v>
      </c>
      <c r="W12">
        <v>14.108563</v>
      </c>
      <c r="X12">
        <v>13.189731</v>
      </c>
      <c r="Y12">
        <v>12.385399</v>
      </c>
      <c r="Z12">
        <v>11.676161</v>
      </c>
      <c r="AA12">
        <v>11.033206</v>
      </c>
      <c r="AB12">
        <v>10.440344</v>
      </c>
      <c r="AC12">
        <v>9.8937559999999998</v>
      </c>
      <c r="AD12">
        <v>9.3882999999999992</v>
      </c>
      <c r="AE12">
        <v>8.9212100000000003</v>
      </c>
      <c r="AF12">
        <v>8.4870450000000002</v>
      </c>
      <c r="AG12" s="144">
        <v>-0.112</v>
      </c>
    </row>
    <row r="13" spans="1:33">
      <c r="A13" t="s">
        <v>2928</v>
      </c>
      <c r="B13" t="s">
        <v>3635</v>
      </c>
      <c r="C13" t="s">
        <v>3634</v>
      </c>
      <c r="D13" t="s">
        <v>1815</v>
      </c>
      <c r="F13">
        <v>11.85019</v>
      </c>
      <c r="G13">
        <v>12.360404000000001</v>
      </c>
      <c r="H13">
        <v>12.04448</v>
      </c>
      <c r="I13">
        <v>11.302363</v>
      </c>
      <c r="J13">
        <v>10.383241</v>
      </c>
      <c r="K13">
        <v>9.6245969999999996</v>
      </c>
      <c r="L13">
        <v>9.1471199999999993</v>
      </c>
      <c r="M13">
        <v>8.7943309999999997</v>
      </c>
      <c r="N13">
        <v>8.563879</v>
      </c>
      <c r="O13">
        <v>7.9911260000000004</v>
      </c>
      <c r="P13">
        <v>7.7062759999999999</v>
      </c>
      <c r="Q13">
        <v>7.5855490000000003</v>
      </c>
      <c r="R13">
        <v>7.577725</v>
      </c>
      <c r="S13">
        <v>7.6397279999999999</v>
      </c>
      <c r="T13">
        <v>7.7614070000000002</v>
      </c>
      <c r="U13">
        <v>7.9287460000000003</v>
      </c>
      <c r="V13">
        <v>7.9740909999999996</v>
      </c>
      <c r="W13">
        <v>8.0476150000000004</v>
      </c>
      <c r="X13">
        <v>8.1398639999999993</v>
      </c>
      <c r="Y13">
        <v>8.2595290000000006</v>
      </c>
      <c r="Z13">
        <v>8.3617840000000001</v>
      </c>
      <c r="AA13">
        <v>8.4713049999999992</v>
      </c>
      <c r="AB13">
        <v>8.5565529999999992</v>
      </c>
      <c r="AC13">
        <v>8.6206870000000002</v>
      </c>
      <c r="AD13">
        <v>8.6789050000000003</v>
      </c>
      <c r="AE13">
        <v>8.7322120000000005</v>
      </c>
      <c r="AF13">
        <v>8.8282769999999999</v>
      </c>
      <c r="AG13" s="144">
        <v>-1.0999999999999999E-2</v>
      </c>
    </row>
    <row r="14" spans="1:33">
      <c r="A14" t="s">
        <v>2925</v>
      </c>
      <c r="B14" t="s">
        <v>3633</v>
      </c>
      <c r="C14" t="s">
        <v>3632</v>
      </c>
      <c r="D14" t="s">
        <v>1815</v>
      </c>
      <c r="F14">
        <v>70.611594999999994</v>
      </c>
      <c r="G14">
        <v>89.524704</v>
      </c>
      <c r="H14">
        <v>108.11518100000001</v>
      </c>
      <c r="I14">
        <v>128.680252</v>
      </c>
      <c r="J14">
        <v>142.52853400000001</v>
      </c>
      <c r="K14">
        <v>151.677277</v>
      </c>
      <c r="L14">
        <v>165.152344</v>
      </c>
      <c r="M14">
        <v>179.082199</v>
      </c>
      <c r="N14">
        <v>235.65670800000001</v>
      </c>
      <c r="O14">
        <v>287.33294699999999</v>
      </c>
      <c r="P14">
        <v>334.09530599999999</v>
      </c>
      <c r="Q14">
        <v>392.77569599999998</v>
      </c>
      <c r="R14">
        <v>437.339966</v>
      </c>
      <c r="S14">
        <v>473.97659299999998</v>
      </c>
      <c r="T14">
        <v>507.04260299999999</v>
      </c>
      <c r="U14">
        <v>555.18975799999998</v>
      </c>
      <c r="V14">
        <v>592.68933100000004</v>
      </c>
      <c r="W14">
        <v>622.91485599999999</v>
      </c>
      <c r="X14">
        <v>647.55517599999996</v>
      </c>
      <c r="Y14">
        <v>671.56579599999998</v>
      </c>
      <c r="Z14">
        <v>692.02984600000002</v>
      </c>
      <c r="AA14">
        <v>712.49700900000005</v>
      </c>
      <c r="AB14">
        <v>728.66308600000002</v>
      </c>
      <c r="AC14">
        <v>741.73767099999998</v>
      </c>
      <c r="AD14">
        <v>753.25073199999997</v>
      </c>
      <c r="AE14">
        <v>763.21765100000005</v>
      </c>
      <c r="AF14">
        <v>776.83136000000002</v>
      </c>
      <c r="AG14" s="144">
        <v>9.7000000000000003E-2</v>
      </c>
    </row>
    <row r="15" spans="1:33">
      <c r="A15" t="s">
        <v>2922</v>
      </c>
      <c r="B15" t="s">
        <v>3631</v>
      </c>
      <c r="C15" t="s">
        <v>3630</v>
      </c>
      <c r="D15" t="s">
        <v>1815</v>
      </c>
      <c r="F15">
        <v>278.55419899999998</v>
      </c>
      <c r="G15">
        <v>365.30419899999998</v>
      </c>
      <c r="H15">
        <v>506.17468300000002</v>
      </c>
      <c r="I15">
        <v>651.42443800000001</v>
      </c>
      <c r="J15">
        <v>761.15637200000003</v>
      </c>
      <c r="K15">
        <v>835.74780299999998</v>
      </c>
      <c r="L15">
        <v>906.38159199999996</v>
      </c>
      <c r="M15">
        <v>966.11364700000001</v>
      </c>
      <c r="N15">
        <v>1013.405945</v>
      </c>
      <c r="O15">
        <v>1021.955872</v>
      </c>
      <c r="P15">
        <v>1053.6198730000001</v>
      </c>
      <c r="Q15">
        <v>1086.2642820000001</v>
      </c>
      <c r="R15">
        <v>1118.510254</v>
      </c>
      <c r="S15">
        <v>1148.368774</v>
      </c>
      <c r="T15">
        <v>1176.9157709999999</v>
      </c>
      <c r="U15">
        <v>1200.628418</v>
      </c>
      <c r="V15">
        <v>1230.482422</v>
      </c>
      <c r="W15">
        <v>1251.8945309999999</v>
      </c>
      <c r="X15">
        <v>1267.2229</v>
      </c>
      <c r="Y15">
        <v>1277.7420649999999</v>
      </c>
      <c r="Z15">
        <v>1286.095947</v>
      </c>
      <c r="AA15">
        <v>1292.9970699999999</v>
      </c>
      <c r="AB15">
        <v>1297.8759769999999</v>
      </c>
      <c r="AC15">
        <v>1300.224976</v>
      </c>
      <c r="AD15">
        <v>1299.7360839999999</v>
      </c>
      <c r="AE15">
        <v>1298.2346190000001</v>
      </c>
      <c r="AF15">
        <v>1298.173828</v>
      </c>
      <c r="AG15" s="144">
        <v>6.0999999999999999E-2</v>
      </c>
    </row>
    <row r="16" spans="1:33">
      <c r="A16" t="s">
        <v>2919</v>
      </c>
      <c r="B16" t="s">
        <v>3629</v>
      </c>
      <c r="C16" t="s">
        <v>3628</v>
      </c>
      <c r="D16" t="s">
        <v>1815</v>
      </c>
      <c r="F16">
        <v>24.319165999999999</v>
      </c>
      <c r="G16">
        <v>28.024124</v>
      </c>
      <c r="H16">
        <v>31.654152</v>
      </c>
      <c r="I16">
        <v>35.126587000000001</v>
      </c>
      <c r="J16">
        <v>37.782134999999997</v>
      </c>
      <c r="K16">
        <v>38.713366999999998</v>
      </c>
      <c r="L16">
        <v>39.330399</v>
      </c>
      <c r="M16">
        <v>39.821682000000003</v>
      </c>
      <c r="N16">
        <v>39.222110999999998</v>
      </c>
      <c r="O16">
        <v>37.875874000000003</v>
      </c>
      <c r="P16">
        <v>37.592007000000002</v>
      </c>
      <c r="Q16">
        <v>37.293441999999999</v>
      </c>
      <c r="R16">
        <v>37.181023000000003</v>
      </c>
      <c r="S16">
        <v>37.163882999999998</v>
      </c>
      <c r="T16">
        <v>37.256144999999997</v>
      </c>
      <c r="U16">
        <v>37.154494999999997</v>
      </c>
      <c r="V16">
        <v>37.032181000000001</v>
      </c>
      <c r="W16">
        <v>36.916473000000003</v>
      </c>
      <c r="X16">
        <v>36.799956999999999</v>
      </c>
      <c r="Y16">
        <v>36.725025000000002</v>
      </c>
      <c r="Z16">
        <v>36.564059999999998</v>
      </c>
      <c r="AA16">
        <v>36.438701999999999</v>
      </c>
      <c r="AB16">
        <v>36.224212999999999</v>
      </c>
      <c r="AC16">
        <v>35.973830999999997</v>
      </c>
      <c r="AD16">
        <v>35.735878</v>
      </c>
      <c r="AE16">
        <v>35.502071000000001</v>
      </c>
      <c r="AF16">
        <v>35.428936</v>
      </c>
      <c r="AG16" s="144">
        <v>1.4999999999999999E-2</v>
      </c>
    </row>
    <row r="17" spans="1:33">
      <c r="A17" t="s">
        <v>2916</v>
      </c>
      <c r="B17" t="s">
        <v>3627</v>
      </c>
      <c r="C17" t="s">
        <v>3626</v>
      </c>
      <c r="D17" t="s">
        <v>1815</v>
      </c>
      <c r="F17">
        <v>16.713234</v>
      </c>
      <c r="G17">
        <v>19.646000000000001</v>
      </c>
      <c r="H17">
        <v>27.472750000000001</v>
      </c>
      <c r="I17">
        <v>34.305477000000003</v>
      </c>
      <c r="J17">
        <v>39.878402999999999</v>
      </c>
      <c r="K17">
        <v>43.144492999999997</v>
      </c>
      <c r="L17">
        <v>45.670814999999997</v>
      </c>
      <c r="M17">
        <v>47.934826000000001</v>
      </c>
      <c r="N17">
        <v>47.271560999999998</v>
      </c>
      <c r="O17">
        <v>44.810276000000002</v>
      </c>
      <c r="P17">
        <v>44.349277000000001</v>
      </c>
      <c r="Q17">
        <v>43.442248999999997</v>
      </c>
      <c r="R17">
        <v>43.141379999999998</v>
      </c>
      <c r="S17">
        <v>43.079932999999997</v>
      </c>
      <c r="T17">
        <v>43.204563</v>
      </c>
      <c r="U17">
        <v>42.328564</v>
      </c>
      <c r="V17">
        <v>41.575184</v>
      </c>
      <c r="W17">
        <v>40.920043999999997</v>
      </c>
      <c r="X17">
        <v>40.343662000000002</v>
      </c>
      <c r="Y17">
        <v>39.810692000000003</v>
      </c>
      <c r="Z17">
        <v>39.193900999999997</v>
      </c>
      <c r="AA17">
        <v>38.606316</v>
      </c>
      <c r="AB17">
        <v>37.957912</v>
      </c>
      <c r="AC17">
        <v>37.301848999999997</v>
      </c>
      <c r="AD17">
        <v>36.676651</v>
      </c>
      <c r="AE17">
        <v>36.085971999999998</v>
      </c>
      <c r="AF17">
        <v>35.664669000000004</v>
      </c>
      <c r="AG17" s="144">
        <v>0.03</v>
      </c>
    </row>
    <row r="18" spans="1:33">
      <c r="A18" t="s">
        <v>351</v>
      </c>
      <c r="B18" t="s">
        <v>3625</v>
      </c>
      <c r="C18" t="s">
        <v>3624</v>
      </c>
      <c r="D18" t="s">
        <v>1815</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1769</v>
      </c>
    </row>
    <row r="19" spans="1:33">
      <c r="A19" t="s">
        <v>353</v>
      </c>
      <c r="B19" t="s">
        <v>3623</v>
      </c>
      <c r="C19" t="s">
        <v>3622</v>
      </c>
      <c r="D19" t="s">
        <v>1815</v>
      </c>
      <c r="F19">
        <v>274.11764499999998</v>
      </c>
      <c r="G19">
        <v>308.045074</v>
      </c>
      <c r="H19">
        <v>323.019226</v>
      </c>
      <c r="I19">
        <v>335.71899400000001</v>
      </c>
      <c r="J19">
        <v>337.895355</v>
      </c>
      <c r="K19">
        <v>341.75335699999999</v>
      </c>
      <c r="L19">
        <v>345.65527300000002</v>
      </c>
      <c r="M19">
        <v>349.70907599999998</v>
      </c>
      <c r="N19">
        <v>346.89227299999999</v>
      </c>
      <c r="O19">
        <v>349.15042099999999</v>
      </c>
      <c r="P19">
        <v>355.91909800000002</v>
      </c>
      <c r="Q19">
        <v>358.722961</v>
      </c>
      <c r="R19">
        <v>360.87072799999999</v>
      </c>
      <c r="S19">
        <v>363.92602499999998</v>
      </c>
      <c r="T19">
        <v>368.21139499999998</v>
      </c>
      <c r="U19">
        <v>371.38156099999998</v>
      </c>
      <c r="V19">
        <v>372.19873000000001</v>
      </c>
      <c r="W19">
        <v>373.74975599999999</v>
      </c>
      <c r="X19">
        <v>376.01159699999999</v>
      </c>
      <c r="Y19">
        <v>378.73046900000003</v>
      </c>
      <c r="Z19">
        <v>381.48400900000001</v>
      </c>
      <c r="AA19">
        <v>384.61077899999998</v>
      </c>
      <c r="AB19">
        <v>387.44223</v>
      </c>
      <c r="AC19">
        <v>389.94586199999998</v>
      </c>
      <c r="AD19">
        <v>392.03338600000001</v>
      </c>
      <c r="AE19">
        <v>394.14669800000001</v>
      </c>
      <c r="AF19">
        <v>397.24316399999998</v>
      </c>
      <c r="AG19" s="144">
        <v>1.4E-2</v>
      </c>
    </row>
    <row r="20" spans="1:33">
      <c r="A20" t="s">
        <v>355</v>
      </c>
      <c r="B20" t="s">
        <v>3621</v>
      </c>
      <c r="C20" t="s">
        <v>3620</v>
      </c>
      <c r="D20" t="s">
        <v>1815</v>
      </c>
      <c r="F20">
        <v>9.9655229999999992</v>
      </c>
      <c r="G20">
        <v>9.0828399999999991</v>
      </c>
      <c r="H20">
        <v>8.2020130000000009</v>
      </c>
      <c r="I20">
        <v>7.3214189999999997</v>
      </c>
      <c r="J20">
        <v>6.466685</v>
      </c>
      <c r="K20">
        <v>5.6556509999999998</v>
      </c>
      <c r="L20">
        <v>4.984686</v>
      </c>
      <c r="M20">
        <v>4.3517099999999997</v>
      </c>
      <c r="N20">
        <v>3.793523</v>
      </c>
      <c r="O20">
        <v>3.3131689999999998</v>
      </c>
      <c r="P20">
        <v>2.91656</v>
      </c>
      <c r="Q20">
        <v>2.58629</v>
      </c>
      <c r="R20">
        <v>2.3151820000000001</v>
      </c>
      <c r="S20">
        <v>2.1367910000000001</v>
      </c>
      <c r="T20">
        <v>1.984197</v>
      </c>
      <c r="U20">
        <v>1.8572599999999999</v>
      </c>
      <c r="V20">
        <v>1.7442409999999999</v>
      </c>
      <c r="W20">
        <v>1.6380980000000001</v>
      </c>
      <c r="X20">
        <v>1.5384150000000001</v>
      </c>
      <c r="Y20">
        <v>1.444798</v>
      </c>
      <c r="Z20">
        <v>1.356878</v>
      </c>
      <c r="AA20">
        <v>1.2743070000000001</v>
      </c>
      <c r="AB20">
        <v>1.1967620000000001</v>
      </c>
      <c r="AC20">
        <v>1.123936</v>
      </c>
      <c r="AD20">
        <v>1.0555410000000001</v>
      </c>
      <c r="AE20">
        <v>0.99130799999999997</v>
      </c>
      <c r="AF20">
        <v>0.93098400000000003</v>
      </c>
      <c r="AG20" s="144">
        <v>-8.6999999999999994E-2</v>
      </c>
    </row>
    <row r="21" spans="1:33">
      <c r="A21" t="s">
        <v>357</v>
      </c>
      <c r="B21" t="s">
        <v>3619</v>
      </c>
      <c r="C21" t="s">
        <v>3618</v>
      </c>
      <c r="D21" t="s">
        <v>1815</v>
      </c>
      <c r="F21">
        <v>0.23644499999999999</v>
      </c>
      <c r="G21">
        <v>0.222056</v>
      </c>
      <c r="H21">
        <v>0.20854400000000001</v>
      </c>
      <c r="I21">
        <v>0.195853</v>
      </c>
      <c r="J21">
        <v>0.18393499999999999</v>
      </c>
      <c r="K21">
        <v>0.17274200000000001</v>
      </c>
      <c r="L21">
        <v>0.16223000000000001</v>
      </c>
      <c r="M21">
        <v>0.15235799999999999</v>
      </c>
      <c r="N21">
        <v>0.14308599999999999</v>
      </c>
      <c r="O21">
        <v>0.134379</v>
      </c>
      <c r="P21">
        <v>0.12620200000000001</v>
      </c>
      <c r="Q21">
        <v>0.118522</v>
      </c>
      <c r="R21">
        <v>0.11131000000000001</v>
      </c>
      <c r="S21">
        <v>0.104536</v>
      </c>
      <c r="T21">
        <v>9.8174999999999998E-2</v>
      </c>
      <c r="U21">
        <v>9.2201000000000005E-2</v>
      </c>
      <c r="V21">
        <v>8.659E-2</v>
      </c>
      <c r="W21">
        <v>8.1321000000000004E-2</v>
      </c>
      <c r="X21">
        <v>7.6371999999999995E-2</v>
      </c>
      <c r="Y21">
        <v>7.1724999999999997E-2</v>
      </c>
      <c r="Z21">
        <v>6.7360000000000003E-2</v>
      </c>
      <c r="AA21">
        <v>6.3260999999999998E-2</v>
      </c>
      <c r="AB21">
        <v>5.9410999999999999E-2</v>
      </c>
      <c r="AC21">
        <v>5.5795999999999998E-2</v>
      </c>
      <c r="AD21">
        <v>5.2400000000000002E-2</v>
      </c>
      <c r="AE21">
        <v>4.9211999999999999E-2</v>
      </c>
      <c r="AF21">
        <v>4.6217000000000001E-2</v>
      </c>
      <c r="AG21" s="144">
        <v>-6.0999999999999999E-2</v>
      </c>
    </row>
    <row r="22" spans="1:33">
      <c r="A22" t="s">
        <v>359</v>
      </c>
      <c r="B22" t="s">
        <v>3617</v>
      </c>
      <c r="C22" t="s">
        <v>3616</v>
      </c>
      <c r="D22" t="s">
        <v>1815</v>
      </c>
      <c r="F22">
        <v>1.530565</v>
      </c>
      <c r="G22">
        <v>1.330983</v>
      </c>
      <c r="H22">
        <v>1.206502</v>
      </c>
      <c r="I22">
        <v>1.130379</v>
      </c>
      <c r="J22">
        <v>1.0615920000000001</v>
      </c>
      <c r="K22">
        <v>0.99699099999999996</v>
      </c>
      <c r="L22">
        <v>0.93632099999999996</v>
      </c>
      <c r="M22">
        <v>0.87934299999999999</v>
      </c>
      <c r="N22">
        <v>0.82583200000000001</v>
      </c>
      <c r="O22">
        <v>0.77557799999999999</v>
      </c>
      <c r="P22">
        <v>0.72838199999999997</v>
      </c>
      <c r="Q22">
        <v>0.68405800000000005</v>
      </c>
      <c r="R22">
        <v>0.64243099999999997</v>
      </c>
      <c r="S22">
        <v>0.60333700000000001</v>
      </c>
      <c r="T22">
        <v>0.56662199999999996</v>
      </c>
      <c r="U22">
        <v>0.53214099999999998</v>
      </c>
      <c r="V22">
        <v>0.49975900000000001</v>
      </c>
      <c r="W22">
        <v>0.46934700000000001</v>
      </c>
      <c r="X22">
        <v>0.44078600000000001</v>
      </c>
      <c r="Y22">
        <v>0.41396300000000003</v>
      </c>
      <c r="Z22">
        <v>0.38877200000000001</v>
      </c>
      <c r="AA22">
        <v>0.36511399999999999</v>
      </c>
      <c r="AB22">
        <v>0.34289599999999998</v>
      </c>
      <c r="AC22">
        <v>0.32202900000000001</v>
      </c>
      <c r="AD22">
        <v>0.30243300000000001</v>
      </c>
      <c r="AE22">
        <v>0.28402899999999998</v>
      </c>
      <c r="AF22">
        <v>0.26674500000000001</v>
      </c>
      <c r="AG22" s="144">
        <v>-6.5000000000000002E-2</v>
      </c>
    </row>
    <row r="23" spans="1:33">
      <c r="A23" t="s">
        <v>361</v>
      </c>
      <c r="B23" t="s">
        <v>3615</v>
      </c>
      <c r="C23" t="s">
        <v>3614</v>
      </c>
      <c r="D23" t="s">
        <v>1815</v>
      </c>
      <c r="F23">
        <v>2.9953539999999998</v>
      </c>
      <c r="G23">
        <v>2.585502</v>
      </c>
      <c r="H23">
        <v>2.3061020000000001</v>
      </c>
      <c r="I23">
        <v>2.1352929999999999</v>
      </c>
      <c r="J23">
        <v>1.990221</v>
      </c>
      <c r="K23">
        <v>1.86911</v>
      </c>
      <c r="L23">
        <v>1.755369</v>
      </c>
      <c r="M23">
        <v>1.64855</v>
      </c>
      <c r="N23">
        <v>1.54823</v>
      </c>
      <c r="O23">
        <v>1.454016</v>
      </c>
      <c r="P23">
        <v>1.3655349999999999</v>
      </c>
      <c r="Q23">
        <v>1.282438</v>
      </c>
      <c r="R23">
        <v>1.2043969999999999</v>
      </c>
      <c r="S23">
        <v>1.1311059999999999</v>
      </c>
      <c r="T23">
        <v>1.0622750000000001</v>
      </c>
      <c r="U23">
        <v>0.99763299999999999</v>
      </c>
      <c r="V23">
        <v>0.93692399999999998</v>
      </c>
      <c r="W23">
        <v>0.87990900000000005</v>
      </c>
      <c r="X23">
        <v>0.82636399999999999</v>
      </c>
      <c r="Y23">
        <v>0.77607700000000002</v>
      </c>
      <c r="Z23">
        <v>0.72885</v>
      </c>
      <c r="AA23">
        <v>0.68449800000000005</v>
      </c>
      <c r="AB23">
        <v>0.64284399999999997</v>
      </c>
      <c r="AC23">
        <v>0.60372499999999996</v>
      </c>
      <c r="AD23">
        <v>0.56698700000000002</v>
      </c>
      <c r="AE23">
        <v>0.53248399999999996</v>
      </c>
      <c r="AF23">
        <v>0.50007999999999997</v>
      </c>
      <c r="AG23" s="144">
        <v>-6.7000000000000004E-2</v>
      </c>
    </row>
    <row r="24" spans="1:33">
      <c r="A24" t="s">
        <v>363</v>
      </c>
      <c r="B24" t="s">
        <v>3613</v>
      </c>
      <c r="C24" t="s">
        <v>3612</v>
      </c>
      <c r="D24" t="s">
        <v>1815</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t="s">
        <v>1769</v>
      </c>
    </row>
    <row r="25" spans="1:33">
      <c r="A25" t="s">
        <v>365</v>
      </c>
      <c r="B25" t="s">
        <v>3611</v>
      </c>
      <c r="C25" t="s">
        <v>3610</v>
      </c>
      <c r="D25" t="s">
        <v>1815</v>
      </c>
      <c r="F25">
        <v>0.92445600000000006</v>
      </c>
      <c r="G25">
        <v>0.87777099999999997</v>
      </c>
      <c r="H25">
        <v>0.84600900000000001</v>
      </c>
      <c r="I25">
        <v>0.829878</v>
      </c>
      <c r="J25">
        <v>0.81545699999999999</v>
      </c>
      <c r="K25">
        <v>0.74329699999999999</v>
      </c>
      <c r="L25">
        <v>0.68915199999999999</v>
      </c>
      <c r="M25">
        <v>0.63259600000000005</v>
      </c>
      <c r="N25">
        <v>0.57752199999999998</v>
      </c>
      <c r="O25">
        <v>0.51954</v>
      </c>
      <c r="P25">
        <v>0.46768799999999999</v>
      </c>
      <c r="Q25">
        <v>0.42432799999999998</v>
      </c>
      <c r="R25">
        <v>0.38281500000000002</v>
      </c>
      <c r="S25">
        <v>0.34542499999999998</v>
      </c>
      <c r="T25">
        <v>0.31234699999999999</v>
      </c>
      <c r="U25">
        <v>0.283862</v>
      </c>
      <c r="V25">
        <v>0.26024999999999998</v>
      </c>
      <c r="W25">
        <v>0.241506</v>
      </c>
      <c r="X25">
        <v>0.22672100000000001</v>
      </c>
      <c r="Y25">
        <v>0.215305</v>
      </c>
      <c r="Z25">
        <v>0.205932</v>
      </c>
      <c r="AA25">
        <v>0.198986</v>
      </c>
      <c r="AB25">
        <v>0.19384899999999999</v>
      </c>
      <c r="AC25">
        <v>0.18962799999999999</v>
      </c>
      <c r="AD25">
        <v>0.186557</v>
      </c>
      <c r="AE25">
        <v>0.184422</v>
      </c>
      <c r="AF25">
        <v>0.18473300000000001</v>
      </c>
      <c r="AG25" s="144">
        <v>-0.06</v>
      </c>
    </row>
    <row r="26" spans="1:33">
      <c r="A26" t="s">
        <v>2946</v>
      </c>
      <c r="B26" t="s">
        <v>3609</v>
      </c>
      <c r="C26" t="s">
        <v>3608</v>
      </c>
      <c r="D26" t="s">
        <v>1815</v>
      </c>
      <c r="F26">
        <v>877.64880400000004</v>
      </c>
      <c r="G26">
        <v>995.76965299999995</v>
      </c>
      <c r="H26">
        <v>1156.0711670000001</v>
      </c>
      <c r="I26">
        <v>1321.6972659999999</v>
      </c>
      <c r="J26">
        <v>1434.8564449999999</v>
      </c>
      <c r="K26">
        <v>1508.434814</v>
      </c>
      <c r="L26">
        <v>1584.2299800000001</v>
      </c>
      <c r="M26">
        <v>1651.8316649999999</v>
      </c>
      <c r="N26">
        <v>1741.1104740000001</v>
      </c>
      <c r="O26">
        <v>1791.1733400000001</v>
      </c>
      <c r="P26">
        <v>1869.014404</v>
      </c>
      <c r="Q26">
        <v>1956.929932</v>
      </c>
      <c r="R26">
        <v>2031.770264</v>
      </c>
      <c r="S26">
        <v>2098.4482419999999</v>
      </c>
      <c r="T26">
        <v>2162.40625</v>
      </c>
      <c r="U26">
        <v>2234.813232</v>
      </c>
      <c r="V26">
        <v>2300.6538089999999</v>
      </c>
      <c r="W26">
        <v>2351.8620609999998</v>
      </c>
      <c r="X26">
        <v>2392.3718260000001</v>
      </c>
      <c r="Y26">
        <v>2428.1411130000001</v>
      </c>
      <c r="Z26">
        <v>2458.1535640000002</v>
      </c>
      <c r="AA26">
        <v>2487.2404790000001</v>
      </c>
      <c r="AB26">
        <v>2509.5961910000001</v>
      </c>
      <c r="AC26">
        <v>2525.9938959999999</v>
      </c>
      <c r="AD26">
        <v>2537.6640619999998</v>
      </c>
      <c r="AE26">
        <v>2546.881836</v>
      </c>
      <c r="AF26">
        <v>2562.586182</v>
      </c>
      <c r="AG26" s="144">
        <v>4.2000000000000003E-2</v>
      </c>
    </row>
    <row r="27" spans="1:33">
      <c r="A27" t="s">
        <v>708</v>
      </c>
      <c r="B27" t="s">
        <v>3607</v>
      </c>
      <c r="C27" t="s">
        <v>3606</v>
      </c>
      <c r="D27" t="s">
        <v>1815</v>
      </c>
      <c r="F27">
        <v>5968.9960940000001</v>
      </c>
      <c r="G27">
        <v>5834.6596680000002</v>
      </c>
      <c r="H27">
        <v>5707.8486329999996</v>
      </c>
      <c r="I27">
        <v>5561.0522460000002</v>
      </c>
      <c r="J27">
        <v>5381.4990230000003</v>
      </c>
      <c r="K27">
        <v>5226.8364259999998</v>
      </c>
      <c r="L27">
        <v>5103.0888670000004</v>
      </c>
      <c r="M27">
        <v>4984.2924800000001</v>
      </c>
      <c r="N27">
        <v>4872.9521480000003</v>
      </c>
      <c r="O27">
        <v>4773.7099609999996</v>
      </c>
      <c r="P27">
        <v>4733.6450199999999</v>
      </c>
      <c r="Q27">
        <v>4688.8828119999998</v>
      </c>
      <c r="R27">
        <v>4637.4931640000004</v>
      </c>
      <c r="S27">
        <v>4592.8701170000004</v>
      </c>
      <c r="T27">
        <v>4560.984375</v>
      </c>
      <c r="U27">
        <v>4539.1669920000004</v>
      </c>
      <c r="V27">
        <v>4511.5996089999999</v>
      </c>
      <c r="W27">
        <v>4479.7958980000003</v>
      </c>
      <c r="X27">
        <v>4446.857422</v>
      </c>
      <c r="Y27">
        <v>4416.7426759999998</v>
      </c>
      <c r="Z27">
        <v>4385.7280270000001</v>
      </c>
      <c r="AA27">
        <v>4359.7919920000004</v>
      </c>
      <c r="AB27">
        <v>4329.5219729999999</v>
      </c>
      <c r="AC27">
        <v>4295.9682620000003</v>
      </c>
      <c r="AD27">
        <v>4259.7856449999999</v>
      </c>
      <c r="AE27">
        <v>4224.0307620000003</v>
      </c>
      <c r="AF27">
        <v>4200.3164059999999</v>
      </c>
      <c r="AG27" s="144">
        <v>-1.2999999999999999E-2</v>
      </c>
    </row>
    <row r="28" spans="1:33">
      <c r="A28" t="s">
        <v>3496</v>
      </c>
    </row>
    <row r="29" spans="1:33">
      <c r="A29" t="s">
        <v>2939</v>
      </c>
    </row>
    <row r="30" spans="1:33">
      <c r="A30" t="s">
        <v>337</v>
      </c>
      <c r="B30" t="s">
        <v>3605</v>
      </c>
      <c r="C30" t="s">
        <v>3604</v>
      </c>
      <c r="D30" t="s">
        <v>1815</v>
      </c>
      <c r="F30">
        <v>8923.6708980000003</v>
      </c>
      <c r="G30">
        <v>8934.9296880000002</v>
      </c>
      <c r="H30">
        <v>8996.3759769999997</v>
      </c>
      <c r="I30">
        <v>9034.2822269999997</v>
      </c>
      <c r="J30">
        <v>9016.0234380000002</v>
      </c>
      <c r="K30">
        <v>8998.5683590000008</v>
      </c>
      <c r="L30">
        <v>8953.484375</v>
      </c>
      <c r="M30">
        <v>8875.3603519999997</v>
      </c>
      <c r="N30">
        <v>8791.2802730000003</v>
      </c>
      <c r="O30">
        <v>8767.2148440000001</v>
      </c>
      <c r="P30">
        <v>8699.2333980000003</v>
      </c>
      <c r="Q30">
        <v>8619.7167969999991</v>
      </c>
      <c r="R30">
        <v>8527.5742190000001</v>
      </c>
      <c r="S30">
        <v>8429.8212889999995</v>
      </c>
      <c r="T30">
        <v>8330.1591800000006</v>
      </c>
      <c r="U30">
        <v>8231.0175780000009</v>
      </c>
      <c r="V30">
        <v>8138.2236329999996</v>
      </c>
      <c r="W30">
        <v>8043.1137699999999</v>
      </c>
      <c r="X30">
        <v>7947.3481449999999</v>
      </c>
      <c r="Y30">
        <v>7847.076172</v>
      </c>
      <c r="Z30">
        <v>7751.6323240000002</v>
      </c>
      <c r="AA30">
        <v>7657.0732420000004</v>
      </c>
      <c r="AB30">
        <v>7565.3295900000003</v>
      </c>
      <c r="AC30">
        <v>7477.5024409999996</v>
      </c>
      <c r="AD30">
        <v>7385.466797</v>
      </c>
      <c r="AE30">
        <v>7292.4482420000004</v>
      </c>
      <c r="AF30">
        <v>7192.4799800000001</v>
      </c>
      <c r="AG30" s="144">
        <v>-8.0000000000000002E-3</v>
      </c>
    </row>
    <row r="31" spans="1:33">
      <c r="A31" t="s">
        <v>339</v>
      </c>
      <c r="B31" t="s">
        <v>3603</v>
      </c>
      <c r="C31" t="s">
        <v>3602</v>
      </c>
      <c r="D31" t="s">
        <v>1815</v>
      </c>
      <c r="F31">
        <v>137.90730300000001</v>
      </c>
      <c r="G31">
        <v>169.558716</v>
      </c>
      <c r="H31">
        <v>195.61637899999999</v>
      </c>
      <c r="I31">
        <v>215.700165</v>
      </c>
      <c r="J31">
        <v>232.51667800000001</v>
      </c>
      <c r="K31">
        <v>248.90654000000001</v>
      </c>
      <c r="L31">
        <v>252.898788</v>
      </c>
      <c r="M31">
        <v>256.48461900000001</v>
      </c>
      <c r="N31">
        <v>259.75921599999998</v>
      </c>
      <c r="O31">
        <v>265.14529399999998</v>
      </c>
      <c r="P31">
        <v>269.12326000000002</v>
      </c>
      <c r="Q31">
        <v>272.22946200000001</v>
      </c>
      <c r="R31">
        <v>274.67004400000002</v>
      </c>
      <c r="S31">
        <v>275.89349399999998</v>
      </c>
      <c r="T31">
        <v>276.39572099999998</v>
      </c>
      <c r="U31">
        <v>276.40319799999997</v>
      </c>
      <c r="V31">
        <v>276.028595</v>
      </c>
      <c r="W31">
        <v>275.10641500000003</v>
      </c>
      <c r="X31">
        <v>273.64254799999998</v>
      </c>
      <c r="Y31">
        <v>271.65329000000003</v>
      </c>
      <c r="Z31">
        <v>269.47427399999998</v>
      </c>
      <c r="AA31">
        <v>267.15741000000003</v>
      </c>
      <c r="AB31">
        <v>264.77932700000002</v>
      </c>
      <c r="AC31">
        <v>262.48089599999997</v>
      </c>
      <c r="AD31">
        <v>260.10845899999998</v>
      </c>
      <c r="AE31">
        <v>257.75994900000001</v>
      </c>
      <c r="AF31">
        <v>255.434586</v>
      </c>
      <c r="AG31" s="144">
        <v>2.4E-2</v>
      </c>
    </row>
    <row r="32" spans="1:33">
      <c r="A32" t="s">
        <v>2934</v>
      </c>
      <c r="B32" t="s">
        <v>3601</v>
      </c>
      <c r="C32" t="s">
        <v>3600</v>
      </c>
      <c r="D32" t="s">
        <v>1815</v>
      </c>
      <c r="F32">
        <v>9061.578125</v>
      </c>
      <c r="G32">
        <v>9104.4882809999999</v>
      </c>
      <c r="H32">
        <v>9191.9921880000002</v>
      </c>
      <c r="I32">
        <v>9249.9824219999991</v>
      </c>
      <c r="J32">
        <v>9248.5400389999995</v>
      </c>
      <c r="K32">
        <v>9247.4746090000008</v>
      </c>
      <c r="L32">
        <v>9206.3828119999998</v>
      </c>
      <c r="M32">
        <v>9131.8447269999997</v>
      </c>
      <c r="N32">
        <v>9051.0390619999998</v>
      </c>
      <c r="O32">
        <v>9032.3603519999997</v>
      </c>
      <c r="P32">
        <v>8968.3564449999994</v>
      </c>
      <c r="Q32">
        <v>8891.9462889999995</v>
      </c>
      <c r="R32">
        <v>8802.2441409999992</v>
      </c>
      <c r="S32">
        <v>8705.7148440000001</v>
      </c>
      <c r="T32">
        <v>8606.5546880000002</v>
      </c>
      <c r="U32">
        <v>8507.4208980000003</v>
      </c>
      <c r="V32">
        <v>8414.2519530000009</v>
      </c>
      <c r="W32">
        <v>8318.2197269999997</v>
      </c>
      <c r="X32">
        <v>8220.9902340000008</v>
      </c>
      <c r="Y32">
        <v>8118.7294920000004</v>
      </c>
      <c r="Z32">
        <v>8021.1064450000003</v>
      </c>
      <c r="AA32">
        <v>7924.2304690000001</v>
      </c>
      <c r="AB32">
        <v>7830.1088870000003</v>
      </c>
      <c r="AC32">
        <v>7739.9833980000003</v>
      </c>
      <c r="AD32">
        <v>7645.5751950000003</v>
      </c>
      <c r="AE32">
        <v>7550.2080079999996</v>
      </c>
      <c r="AF32">
        <v>7447.9145509999998</v>
      </c>
      <c r="AG32" s="144">
        <v>-8.0000000000000002E-3</v>
      </c>
    </row>
    <row r="33" spans="1:33">
      <c r="A33" t="s">
        <v>2931</v>
      </c>
    </row>
    <row r="34" spans="1:33">
      <c r="A34" t="s">
        <v>344</v>
      </c>
      <c r="B34" t="s">
        <v>3599</v>
      </c>
      <c r="C34" t="s">
        <v>3598</v>
      </c>
      <c r="D34" t="s">
        <v>1815</v>
      </c>
      <c r="F34">
        <v>1155.04126</v>
      </c>
      <c r="G34">
        <v>1046.2299800000001</v>
      </c>
      <c r="H34">
        <v>969.38226299999997</v>
      </c>
      <c r="I34">
        <v>895.04504399999996</v>
      </c>
      <c r="J34">
        <v>825.72241199999996</v>
      </c>
      <c r="K34">
        <v>761.86456299999998</v>
      </c>
      <c r="L34">
        <v>689.284851</v>
      </c>
      <c r="M34">
        <v>624.50824</v>
      </c>
      <c r="N34">
        <v>567.14739999999995</v>
      </c>
      <c r="O34">
        <v>519.63403300000004</v>
      </c>
      <c r="P34">
        <v>477.88128699999999</v>
      </c>
      <c r="Q34">
        <v>441.70361300000002</v>
      </c>
      <c r="R34">
        <v>410.44512900000001</v>
      </c>
      <c r="S34">
        <v>383.56692500000003</v>
      </c>
      <c r="T34">
        <v>360.60861199999999</v>
      </c>
      <c r="U34">
        <v>340.47805799999998</v>
      </c>
      <c r="V34">
        <v>322.67721599999999</v>
      </c>
      <c r="W34">
        <v>306.82074</v>
      </c>
      <c r="X34">
        <v>292.656677</v>
      </c>
      <c r="Y34">
        <v>279.93524200000002</v>
      </c>
      <c r="Z34">
        <v>268.63595600000002</v>
      </c>
      <c r="AA34">
        <v>258.403076</v>
      </c>
      <c r="AB34">
        <v>249.22020000000001</v>
      </c>
      <c r="AC34">
        <v>241.054306</v>
      </c>
      <c r="AD34">
        <v>233.569885</v>
      </c>
      <c r="AE34">
        <v>226.67430100000001</v>
      </c>
      <c r="AF34">
        <v>220.02392599999999</v>
      </c>
      <c r="AG34" s="144">
        <v>-6.2E-2</v>
      </c>
    </row>
    <row r="35" spans="1:33">
      <c r="A35" t="s">
        <v>2928</v>
      </c>
      <c r="B35" t="s">
        <v>3597</v>
      </c>
      <c r="C35" t="s">
        <v>3596</v>
      </c>
      <c r="D35" t="s">
        <v>1815</v>
      </c>
      <c r="F35">
        <v>0.304786</v>
      </c>
      <c r="G35">
        <v>0.26952100000000001</v>
      </c>
      <c r="H35">
        <v>0.24009</v>
      </c>
      <c r="I35">
        <v>0.21415899999999999</v>
      </c>
      <c r="J35">
        <v>0.19064700000000001</v>
      </c>
      <c r="K35">
        <v>0.169484</v>
      </c>
      <c r="L35">
        <v>0.15060999999999999</v>
      </c>
      <c r="M35">
        <v>0.13395099999999999</v>
      </c>
      <c r="N35">
        <v>0.11940099999999999</v>
      </c>
      <c r="O35">
        <v>0.106739</v>
      </c>
      <c r="P35">
        <v>9.5671999999999993E-2</v>
      </c>
      <c r="Q35">
        <v>8.6231000000000002E-2</v>
      </c>
      <c r="R35">
        <v>7.8274999999999997E-2</v>
      </c>
      <c r="S35">
        <v>7.1275000000000005E-2</v>
      </c>
      <c r="T35">
        <v>6.4934000000000006E-2</v>
      </c>
      <c r="U35">
        <v>5.9186999999999997E-2</v>
      </c>
      <c r="V35">
        <v>5.3976000000000003E-2</v>
      </c>
      <c r="W35">
        <v>4.9249000000000001E-2</v>
      </c>
      <c r="X35">
        <v>4.4957999999999998E-2</v>
      </c>
      <c r="Y35">
        <v>4.1061E-2</v>
      </c>
      <c r="Z35">
        <v>3.7520999999999999E-2</v>
      </c>
      <c r="AA35">
        <v>3.4303E-2</v>
      </c>
      <c r="AB35">
        <v>3.1376000000000001E-2</v>
      </c>
      <c r="AC35">
        <v>2.8712000000000001E-2</v>
      </c>
      <c r="AD35">
        <v>2.6287000000000001E-2</v>
      </c>
      <c r="AE35">
        <v>2.4077999999999999E-2</v>
      </c>
      <c r="AF35">
        <v>2.2065000000000001E-2</v>
      </c>
      <c r="AG35" s="144">
        <v>-9.6000000000000002E-2</v>
      </c>
    </row>
    <row r="36" spans="1:33">
      <c r="A36" t="s">
        <v>2925</v>
      </c>
      <c r="B36" t="s">
        <v>3595</v>
      </c>
      <c r="C36" t="s">
        <v>3594</v>
      </c>
      <c r="D36" t="s">
        <v>1815</v>
      </c>
      <c r="F36">
        <v>29.193622999999999</v>
      </c>
      <c r="G36">
        <v>46.883118000000003</v>
      </c>
      <c r="H36">
        <v>72.163596999999996</v>
      </c>
      <c r="I36">
        <v>105.34955600000001</v>
      </c>
      <c r="J36">
        <v>137.55737300000001</v>
      </c>
      <c r="K36">
        <v>161.12240600000001</v>
      </c>
      <c r="L36">
        <v>164.73718299999999</v>
      </c>
      <c r="M36">
        <v>171.40036000000001</v>
      </c>
      <c r="N36">
        <v>181.326065</v>
      </c>
      <c r="O36">
        <v>183.96523999999999</v>
      </c>
      <c r="P36">
        <v>189.50070199999999</v>
      </c>
      <c r="Q36">
        <v>197.57170099999999</v>
      </c>
      <c r="R36">
        <v>207.47743199999999</v>
      </c>
      <c r="S36">
        <v>218.45459</v>
      </c>
      <c r="T36">
        <v>230.42562899999999</v>
      </c>
      <c r="U36">
        <v>243.47865300000001</v>
      </c>
      <c r="V36">
        <v>256.976471</v>
      </c>
      <c r="W36">
        <v>270.49215700000002</v>
      </c>
      <c r="X36">
        <v>283.80999800000001</v>
      </c>
      <c r="Y36">
        <v>297.20404100000002</v>
      </c>
      <c r="Z36">
        <v>310.42214999999999</v>
      </c>
      <c r="AA36">
        <v>323.80087300000002</v>
      </c>
      <c r="AB36">
        <v>336.92816199999999</v>
      </c>
      <c r="AC36">
        <v>349.70022599999999</v>
      </c>
      <c r="AD36">
        <v>362.153931</v>
      </c>
      <c r="AE36">
        <v>374.337402</v>
      </c>
      <c r="AF36">
        <v>387.13504</v>
      </c>
      <c r="AG36" s="144">
        <v>0.105</v>
      </c>
    </row>
    <row r="37" spans="1:33">
      <c r="A37" t="s">
        <v>2922</v>
      </c>
      <c r="B37" t="s">
        <v>3593</v>
      </c>
      <c r="C37" t="s">
        <v>3592</v>
      </c>
      <c r="D37" t="s">
        <v>1815</v>
      </c>
      <c r="F37">
        <v>55.996479000000001</v>
      </c>
      <c r="G37">
        <v>101.541</v>
      </c>
      <c r="H37">
        <v>164.25482199999999</v>
      </c>
      <c r="I37">
        <v>242.84007299999999</v>
      </c>
      <c r="J37">
        <v>323.41137700000002</v>
      </c>
      <c r="K37">
        <v>390.88372800000002</v>
      </c>
      <c r="L37">
        <v>434.73364299999997</v>
      </c>
      <c r="M37">
        <v>480.23126200000002</v>
      </c>
      <c r="N37">
        <v>529.794128</v>
      </c>
      <c r="O37">
        <v>557.75793499999997</v>
      </c>
      <c r="P37">
        <v>590.23730499999999</v>
      </c>
      <c r="Q37">
        <v>627.13812299999995</v>
      </c>
      <c r="R37">
        <v>666.81011999999998</v>
      </c>
      <c r="S37">
        <v>707.13928199999998</v>
      </c>
      <c r="T37">
        <v>747.65612799999997</v>
      </c>
      <c r="U37">
        <v>788.294983</v>
      </c>
      <c r="V37">
        <v>827.68963599999995</v>
      </c>
      <c r="W37">
        <v>864.985229</v>
      </c>
      <c r="X37">
        <v>899.77923599999997</v>
      </c>
      <c r="Y37">
        <v>932.42382799999996</v>
      </c>
      <c r="Z37">
        <v>962.87609899999995</v>
      </c>
      <c r="AA37">
        <v>991.71551499999998</v>
      </c>
      <c r="AB37">
        <v>1018.316833</v>
      </c>
      <c r="AC37">
        <v>1042.7836910000001</v>
      </c>
      <c r="AD37">
        <v>1065.0063479999999</v>
      </c>
      <c r="AE37">
        <v>1085.4464109999999</v>
      </c>
      <c r="AF37">
        <v>1105.575928</v>
      </c>
      <c r="AG37" s="144">
        <v>0.122</v>
      </c>
    </row>
    <row r="38" spans="1:33">
      <c r="A38" t="s">
        <v>2919</v>
      </c>
      <c r="B38" t="s">
        <v>3591</v>
      </c>
      <c r="C38" t="s">
        <v>3590</v>
      </c>
      <c r="D38" t="s">
        <v>1815</v>
      </c>
      <c r="F38">
        <v>97.912818999999999</v>
      </c>
      <c r="G38">
        <v>134.01071200000001</v>
      </c>
      <c r="H38">
        <v>177.149429</v>
      </c>
      <c r="I38">
        <v>219.80748</v>
      </c>
      <c r="J38">
        <v>256.24221799999998</v>
      </c>
      <c r="K38">
        <v>276.30212399999999</v>
      </c>
      <c r="L38">
        <v>301.77990699999998</v>
      </c>
      <c r="M38">
        <v>325.33950800000002</v>
      </c>
      <c r="N38">
        <v>348.625</v>
      </c>
      <c r="O38">
        <v>359.59054600000002</v>
      </c>
      <c r="P38">
        <v>374.19546500000001</v>
      </c>
      <c r="Q38">
        <v>392.92120399999999</v>
      </c>
      <c r="R38">
        <v>409.413544</v>
      </c>
      <c r="S38">
        <v>425.30969199999998</v>
      </c>
      <c r="T38">
        <v>440.83248900000001</v>
      </c>
      <c r="U38">
        <v>456.33038299999998</v>
      </c>
      <c r="V38">
        <v>470.58193999999997</v>
      </c>
      <c r="W38">
        <v>483.10613999999998</v>
      </c>
      <c r="X38">
        <v>493.90570100000002</v>
      </c>
      <c r="Y38">
        <v>503.30599999999998</v>
      </c>
      <c r="Z38">
        <v>511.40454099999999</v>
      </c>
      <c r="AA38">
        <v>518.49438499999997</v>
      </c>
      <c r="AB38">
        <v>524.45532200000002</v>
      </c>
      <c r="AC38">
        <v>529.55364999999995</v>
      </c>
      <c r="AD38">
        <v>533.50720200000001</v>
      </c>
      <c r="AE38">
        <v>536.76220699999999</v>
      </c>
      <c r="AF38">
        <v>539.71234100000004</v>
      </c>
      <c r="AG38" s="144">
        <v>6.8000000000000005E-2</v>
      </c>
    </row>
    <row r="39" spans="1:33">
      <c r="A39" t="s">
        <v>2916</v>
      </c>
      <c r="B39" t="s">
        <v>3589</v>
      </c>
      <c r="C39" t="s">
        <v>3588</v>
      </c>
      <c r="D39" t="s">
        <v>1815</v>
      </c>
      <c r="F39">
        <v>11.816848</v>
      </c>
      <c r="G39">
        <v>50.810218999999996</v>
      </c>
      <c r="H39">
        <v>73.271743999999998</v>
      </c>
      <c r="I39">
        <v>117.075783</v>
      </c>
      <c r="J39">
        <v>153.87335200000001</v>
      </c>
      <c r="K39">
        <v>174.812759</v>
      </c>
      <c r="L39">
        <v>229.112289</v>
      </c>
      <c r="M39">
        <v>276.06066900000002</v>
      </c>
      <c r="N39">
        <v>319.51800500000002</v>
      </c>
      <c r="O39">
        <v>347.213348</v>
      </c>
      <c r="P39">
        <v>376.59454299999999</v>
      </c>
      <c r="Q39">
        <v>409.30499300000002</v>
      </c>
      <c r="R39">
        <v>453.83206200000001</v>
      </c>
      <c r="S39">
        <v>494.26196299999998</v>
      </c>
      <c r="T39">
        <v>531.905396</v>
      </c>
      <c r="U39">
        <v>567.30883800000004</v>
      </c>
      <c r="V39">
        <v>600.24633800000004</v>
      </c>
      <c r="W39">
        <v>630.32580600000006</v>
      </c>
      <c r="X39">
        <v>657.58557099999996</v>
      </c>
      <c r="Y39">
        <v>682.30548099999999</v>
      </c>
      <c r="Z39">
        <v>704.52813700000002</v>
      </c>
      <c r="AA39">
        <v>724.65411400000005</v>
      </c>
      <c r="AB39">
        <v>742.43994099999998</v>
      </c>
      <c r="AC39">
        <v>758.198486</v>
      </c>
      <c r="AD39">
        <v>771.72662400000002</v>
      </c>
      <c r="AE39">
        <v>783.55999799999995</v>
      </c>
      <c r="AF39">
        <v>794.37731900000006</v>
      </c>
      <c r="AG39" s="144">
        <v>0.17599999999999999</v>
      </c>
    </row>
    <row r="40" spans="1:33">
      <c r="A40" t="s">
        <v>351</v>
      </c>
      <c r="B40" t="s">
        <v>3587</v>
      </c>
      <c r="C40" t="s">
        <v>3586</v>
      </c>
      <c r="D40" t="s">
        <v>1815</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t="s">
        <v>1769</v>
      </c>
    </row>
    <row r="41" spans="1:33">
      <c r="A41" t="s">
        <v>353</v>
      </c>
      <c r="B41" t="s">
        <v>3585</v>
      </c>
      <c r="C41" t="s">
        <v>3584</v>
      </c>
      <c r="D41" t="s">
        <v>1815</v>
      </c>
      <c r="F41">
        <v>333.523438</v>
      </c>
      <c r="G41">
        <v>425.20144699999997</v>
      </c>
      <c r="H41">
        <v>504.40875199999999</v>
      </c>
      <c r="I41">
        <v>570.01074200000005</v>
      </c>
      <c r="J41">
        <v>625.60528599999998</v>
      </c>
      <c r="K41">
        <v>677.85968000000003</v>
      </c>
      <c r="L41">
        <v>738.84222399999999</v>
      </c>
      <c r="M41">
        <v>791.16101100000003</v>
      </c>
      <c r="N41">
        <v>838.12988299999995</v>
      </c>
      <c r="O41">
        <v>892.63708499999996</v>
      </c>
      <c r="P41">
        <v>938.61102300000005</v>
      </c>
      <c r="Q41">
        <v>981.43957499999999</v>
      </c>
      <c r="R41">
        <v>1021.3232420000001</v>
      </c>
      <c r="S41">
        <v>1057.832764</v>
      </c>
      <c r="T41">
        <v>1091.7021480000001</v>
      </c>
      <c r="U41">
        <v>1123.2170410000001</v>
      </c>
      <c r="V41">
        <v>1153.5466309999999</v>
      </c>
      <c r="W41">
        <v>1181.3538820000001</v>
      </c>
      <c r="X41">
        <v>1207.1405030000001</v>
      </c>
      <c r="Y41">
        <v>1230.2967530000001</v>
      </c>
      <c r="Z41">
        <v>1252.8519289999999</v>
      </c>
      <c r="AA41">
        <v>1274.3450929999999</v>
      </c>
      <c r="AB41">
        <v>1295.3204350000001</v>
      </c>
      <c r="AC41">
        <v>1316.1180420000001</v>
      </c>
      <c r="AD41">
        <v>1335.119995</v>
      </c>
      <c r="AE41">
        <v>1353.2185059999999</v>
      </c>
      <c r="AF41">
        <v>1369.207275</v>
      </c>
      <c r="AG41" s="144">
        <v>5.6000000000000001E-2</v>
      </c>
    </row>
    <row r="42" spans="1:33">
      <c r="A42" t="s">
        <v>355</v>
      </c>
      <c r="B42" t="s">
        <v>3583</v>
      </c>
      <c r="C42" t="s">
        <v>3582</v>
      </c>
      <c r="D42" t="s">
        <v>1815</v>
      </c>
      <c r="F42">
        <v>2.4554840000000002</v>
      </c>
      <c r="G42">
        <v>2.287175</v>
      </c>
      <c r="H42">
        <v>2.1252430000000002</v>
      </c>
      <c r="I42">
        <v>1.9716119999999999</v>
      </c>
      <c r="J42">
        <v>1.831831</v>
      </c>
      <c r="K42">
        <v>1.71017</v>
      </c>
      <c r="L42">
        <v>1.5955760000000001</v>
      </c>
      <c r="M42">
        <v>1.4848509999999999</v>
      </c>
      <c r="N42">
        <v>1.3787309999999999</v>
      </c>
      <c r="O42">
        <v>1.2786459999999999</v>
      </c>
      <c r="P42">
        <v>1.185225</v>
      </c>
      <c r="Q42">
        <v>1.098376</v>
      </c>
      <c r="R42">
        <v>1.02034</v>
      </c>
      <c r="S42">
        <v>0.95485399999999998</v>
      </c>
      <c r="T42">
        <v>0.89369699999999996</v>
      </c>
      <c r="U42">
        <v>0.83906000000000003</v>
      </c>
      <c r="V42">
        <v>0.78777399999999997</v>
      </c>
      <c r="W42">
        <v>0.73963400000000001</v>
      </c>
      <c r="X42">
        <v>0.69444700000000004</v>
      </c>
      <c r="Y42">
        <v>0.65202899999999997</v>
      </c>
      <c r="Z42">
        <v>0.61221199999999998</v>
      </c>
      <c r="AA42">
        <v>0.57483399999999996</v>
      </c>
      <c r="AB42">
        <v>0.53974699999999998</v>
      </c>
      <c r="AC42">
        <v>0.50680899999999995</v>
      </c>
      <c r="AD42">
        <v>0.47588799999999998</v>
      </c>
      <c r="AE42">
        <v>0.44685900000000001</v>
      </c>
      <c r="AF42">
        <v>0.41960799999999998</v>
      </c>
      <c r="AG42" s="144">
        <v>-6.6000000000000003E-2</v>
      </c>
    </row>
    <row r="43" spans="1:33">
      <c r="A43" t="s">
        <v>357</v>
      </c>
      <c r="B43" t="s">
        <v>3581</v>
      </c>
      <c r="C43" t="s">
        <v>3580</v>
      </c>
      <c r="D43" t="s">
        <v>1815</v>
      </c>
      <c r="F43">
        <v>1.8494280000000001</v>
      </c>
      <c r="G43">
        <v>1.7358819999999999</v>
      </c>
      <c r="H43">
        <v>1.6293310000000001</v>
      </c>
      <c r="I43">
        <v>1.529345</v>
      </c>
      <c r="J43">
        <v>1.435516</v>
      </c>
      <c r="K43">
        <v>1.347464</v>
      </c>
      <c r="L43">
        <v>1.2648330000000001</v>
      </c>
      <c r="M43">
        <v>1.187287</v>
      </c>
      <c r="N43">
        <v>1.1145119999999999</v>
      </c>
      <c r="O43">
        <v>1.046214</v>
      </c>
      <c r="P43">
        <v>0.98211599999999999</v>
      </c>
      <c r="Q43">
        <v>0.92195899999999997</v>
      </c>
      <c r="R43">
        <v>0.86550000000000005</v>
      </c>
      <c r="S43">
        <v>0.81251099999999998</v>
      </c>
      <c r="T43">
        <v>0.76277700000000004</v>
      </c>
      <c r="U43">
        <v>0.71609800000000001</v>
      </c>
      <c r="V43">
        <v>0.67228600000000005</v>
      </c>
      <c r="W43">
        <v>0.63116399999999995</v>
      </c>
      <c r="X43">
        <v>0.59256600000000004</v>
      </c>
      <c r="Y43">
        <v>0.55633699999999997</v>
      </c>
      <c r="Z43">
        <v>0.52233099999999999</v>
      </c>
      <c r="AA43">
        <v>0.49041000000000001</v>
      </c>
      <c r="AB43">
        <v>0.460447</v>
      </c>
      <c r="AC43">
        <v>0.43232199999999998</v>
      </c>
      <c r="AD43">
        <v>0.40592</v>
      </c>
      <c r="AE43">
        <v>0.38113599999999997</v>
      </c>
      <c r="AF43">
        <v>0.35787099999999999</v>
      </c>
      <c r="AG43" s="144">
        <v>-6.0999999999999999E-2</v>
      </c>
    </row>
    <row r="44" spans="1:33">
      <c r="A44" t="s">
        <v>359</v>
      </c>
      <c r="B44" t="s">
        <v>3579</v>
      </c>
      <c r="C44" t="s">
        <v>3578</v>
      </c>
      <c r="D44" t="s">
        <v>1815</v>
      </c>
      <c r="F44">
        <v>4.6614789999999999</v>
      </c>
      <c r="G44">
        <v>4.2481010000000001</v>
      </c>
      <c r="H44">
        <v>3.9314930000000001</v>
      </c>
      <c r="I44">
        <v>3.6802589999999999</v>
      </c>
      <c r="J44">
        <v>3.4544060000000001</v>
      </c>
      <c r="K44">
        <v>3.2424620000000002</v>
      </c>
      <c r="L44">
        <v>3.0435690000000002</v>
      </c>
      <c r="M44">
        <v>2.8569200000000001</v>
      </c>
      <c r="N44">
        <v>2.681759</v>
      </c>
      <c r="O44">
        <v>2.5173749999999999</v>
      </c>
      <c r="P44">
        <v>2.363102</v>
      </c>
      <c r="Q44">
        <v>2.218318</v>
      </c>
      <c r="R44">
        <v>2.0824370000000001</v>
      </c>
      <c r="S44">
        <v>1.9549080000000001</v>
      </c>
      <c r="T44">
        <v>1.8352170000000001</v>
      </c>
      <c r="U44">
        <v>1.72288</v>
      </c>
      <c r="V44">
        <v>1.617443</v>
      </c>
      <c r="W44">
        <v>1.5184820000000001</v>
      </c>
      <c r="X44">
        <v>1.425597</v>
      </c>
      <c r="Y44">
        <v>1.338414</v>
      </c>
      <c r="Z44">
        <v>1.2565820000000001</v>
      </c>
      <c r="AA44">
        <v>1.17977</v>
      </c>
      <c r="AB44">
        <v>1.1076699999999999</v>
      </c>
      <c r="AC44">
        <v>1.039992</v>
      </c>
      <c r="AD44">
        <v>0.97646299999999997</v>
      </c>
      <c r="AE44">
        <v>0.91682900000000001</v>
      </c>
      <c r="AF44">
        <v>0.86084899999999998</v>
      </c>
      <c r="AG44" s="144">
        <v>-6.3E-2</v>
      </c>
    </row>
    <row r="45" spans="1:33">
      <c r="A45" t="s">
        <v>361</v>
      </c>
      <c r="B45" t="s">
        <v>3577</v>
      </c>
      <c r="C45" t="s">
        <v>3576</v>
      </c>
      <c r="D45" t="s">
        <v>1815</v>
      </c>
      <c r="F45">
        <v>4.3379099999999999</v>
      </c>
      <c r="G45">
        <v>4.0715789999999998</v>
      </c>
      <c r="H45">
        <v>3.8216589999999999</v>
      </c>
      <c r="I45">
        <v>3.5871339999999998</v>
      </c>
      <c r="J45">
        <v>3.3670529999999999</v>
      </c>
      <c r="K45">
        <v>3.160523</v>
      </c>
      <c r="L45">
        <v>2.966707</v>
      </c>
      <c r="M45">
        <v>2.784818</v>
      </c>
      <c r="N45">
        <v>2.6141209999999999</v>
      </c>
      <c r="O45">
        <v>2.4539240000000002</v>
      </c>
      <c r="P45">
        <v>2.303579</v>
      </c>
      <c r="Q45">
        <v>2.1624780000000001</v>
      </c>
      <c r="R45">
        <v>2.0300509999999998</v>
      </c>
      <c r="S45">
        <v>1.905762</v>
      </c>
      <c r="T45">
        <v>1.78911</v>
      </c>
      <c r="U45">
        <v>1.6796230000000001</v>
      </c>
      <c r="V45">
        <v>1.5768599999999999</v>
      </c>
      <c r="W45">
        <v>1.480407</v>
      </c>
      <c r="X45">
        <v>1.3898740000000001</v>
      </c>
      <c r="Y45">
        <v>1.304897</v>
      </c>
      <c r="Z45">
        <v>1.2251339999999999</v>
      </c>
      <c r="AA45">
        <v>1.150264</v>
      </c>
      <c r="AB45">
        <v>1.079985</v>
      </c>
      <c r="AC45">
        <v>1.0140150000000001</v>
      </c>
      <c r="AD45">
        <v>0.95208899999999996</v>
      </c>
      <c r="AE45">
        <v>0.893957</v>
      </c>
      <c r="AF45">
        <v>0.83938800000000002</v>
      </c>
      <c r="AG45" s="144">
        <v>-6.0999999999999999E-2</v>
      </c>
    </row>
    <row r="46" spans="1:33">
      <c r="A46" t="s">
        <v>363</v>
      </c>
      <c r="B46" t="s">
        <v>3575</v>
      </c>
      <c r="C46" t="s">
        <v>3574</v>
      </c>
      <c r="D46" t="s">
        <v>1815</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1769</v>
      </c>
    </row>
    <row r="47" spans="1:33">
      <c r="A47" t="s">
        <v>365</v>
      </c>
      <c r="B47" t="s">
        <v>3573</v>
      </c>
      <c r="C47" t="s">
        <v>3572</v>
      </c>
      <c r="D47" t="s">
        <v>1815</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1769</v>
      </c>
    </row>
    <row r="48" spans="1:33">
      <c r="A48" t="s">
        <v>2897</v>
      </c>
      <c r="B48" t="s">
        <v>3571</v>
      </c>
      <c r="C48" t="s">
        <v>3570</v>
      </c>
      <c r="D48" t="s">
        <v>1815</v>
      </c>
      <c r="F48">
        <v>1697.0936280000001</v>
      </c>
      <c r="G48">
        <v>1817.2886960000001</v>
      </c>
      <c r="H48">
        <v>1972.378418</v>
      </c>
      <c r="I48">
        <v>2161.1110840000001</v>
      </c>
      <c r="J48">
        <v>2332.6914059999999</v>
      </c>
      <c r="K48">
        <v>2452.475586</v>
      </c>
      <c r="L48">
        <v>2567.5112300000001</v>
      </c>
      <c r="M48">
        <v>2677.1489259999998</v>
      </c>
      <c r="N48">
        <v>2792.4487300000001</v>
      </c>
      <c r="O48">
        <v>2868.2006839999999</v>
      </c>
      <c r="P48">
        <v>2953.9499510000001</v>
      </c>
      <c r="Q48">
        <v>3056.5666500000002</v>
      </c>
      <c r="R48">
        <v>3175.3781739999999</v>
      </c>
      <c r="S48">
        <v>3292.2641600000002</v>
      </c>
      <c r="T48">
        <v>3408.4760740000002</v>
      </c>
      <c r="U48">
        <v>3524.1247560000002</v>
      </c>
      <c r="V48">
        <v>3636.4267580000001</v>
      </c>
      <c r="W48">
        <v>3741.5029300000001</v>
      </c>
      <c r="X48">
        <v>3839.0251459999999</v>
      </c>
      <c r="Y48">
        <v>3929.3642580000001</v>
      </c>
      <c r="Z48">
        <v>4014.3725589999999</v>
      </c>
      <c r="AA48">
        <v>4094.8427729999999</v>
      </c>
      <c r="AB48">
        <v>4169.9003910000001</v>
      </c>
      <c r="AC48">
        <v>4240.4301759999998</v>
      </c>
      <c r="AD48">
        <v>4303.9208980000003</v>
      </c>
      <c r="AE48">
        <v>4362.6616210000002</v>
      </c>
      <c r="AF48">
        <v>4418.5317379999997</v>
      </c>
      <c r="AG48" s="144">
        <v>3.6999999999999998E-2</v>
      </c>
    </row>
    <row r="49" spans="1:33">
      <c r="A49" t="s">
        <v>731</v>
      </c>
      <c r="B49" t="s">
        <v>3569</v>
      </c>
      <c r="C49" t="s">
        <v>3568</v>
      </c>
      <c r="D49" t="s">
        <v>1815</v>
      </c>
      <c r="F49">
        <v>10758.671875</v>
      </c>
      <c r="G49">
        <v>10921.777344</v>
      </c>
      <c r="H49">
        <v>11164.371094</v>
      </c>
      <c r="I49">
        <v>11411.09375</v>
      </c>
      <c r="J49">
        <v>11581.231444999999</v>
      </c>
      <c r="K49">
        <v>11699.950194999999</v>
      </c>
      <c r="L49">
        <v>11773.894531</v>
      </c>
      <c r="M49">
        <v>11808.994140999999</v>
      </c>
      <c r="N49">
        <v>11843.488281</v>
      </c>
      <c r="O49">
        <v>11900.560546999999</v>
      </c>
      <c r="P49">
        <v>11922.306640999999</v>
      </c>
      <c r="Q49">
        <v>11948.512694999999</v>
      </c>
      <c r="R49">
        <v>11977.622069999999</v>
      </c>
      <c r="S49">
        <v>11997.978515999999</v>
      </c>
      <c r="T49">
        <v>12015.03125</v>
      </c>
      <c r="U49">
        <v>12031.545898</v>
      </c>
      <c r="V49">
        <v>12050.678711</v>
      </c>
      <c r="W49">
        <v>12059.722656</v>
      </c>
      <c r="X49">
        <v>12060.015625</v>
      </c>
      <c r="Y49">
        <v>12048.09375</v>
      </c>
      <c r="Z49">
        <v>12035.478515999999</v>
      </c>
      <c r="AA49">
        <v>12019.073242</v>
      </c>
      <c r="AB49">
        <v>12000.009765999999</v>
      </c>
      <c r="AC49">
        <v>11980.414062</v>
      </c>
      <c r="AD49">
        <v>11949.496094</v>
      </c>
      <c r="AE49">
        <v>11912.869140999999</v>
      </c>
      <c r="AF49">
        <v>11866.446289</v>
      </c>
      <c r="AG49" s="144">
        <v>4.0000000000000001E-3</v>
      </c>
    </row>
    <row r="50" spans="1:33">
      <c r="A50" t="s">
        <v>393</v>
      </c>
      <c r="B50" t="s">
        <v>3567</v>
      </c>
      <c r="C50" t="s">
        <v>3566</v>
      </c>
      <c r="D50" t="s">
        <v>1815</v>
      </c>
      <c r="F50">
        <v>16727.667968999998</v>
      </c>
      <c r="G50">
        <v>16756.4375</v>
      </c>
      <c r="H50">
        <v>16872.21875</v>
      </c>
      <c r="I50">
        <v>16972.146484000001</v>
      </c>
      <c r="J50">
        <v>16962.730468999998</v>
      </c>
      <c r="K50">
        <v>16926.787109000001</v>
      </c>
      <c r="L50">
        <v>16876.984375</v>
      </c>
      <c r="M50">
        <v>16793.287109000001</v>
      </c>
      <c r="N50">
        <v>16716.441406000002</v>
      </c>
      <c r="O50">
        <v>16674.269531000002</v>
      </c>
      <c r="P50">
        <v>16655.951172000001</v>
      </c>
      <c r="Q50">
        <v>16637.394531000002</v>
      </c>
      <c r="R50">
        <v>16615.115234000001</v>
      </c>
      <c r="S50">
        <v>16590.847656000002</v>
      </c>
      <c r="T50">
        <v>16576.015625</v>
      </c>
      <c r="U50">
        <v>16570.712890999999</v>
      </c>
      <c r="V50">
        <v>16562.277343999998</v>
      </c>
      <c r="W50">
        <v>16539.519531000002</v>
      </c>
      <c r="X50">
        <v>16506.873047000001</v>
      </c>
      <c r="Y50">
        <v>16464.835938</v>
      </c>
      <c r="Z50">
        <v>16421.207031000002</v>
      </c>
      <c r="AA50">
        <v>16378.865234000001</v>
      </c>
      <c r="AB50">
        <v>16329.53125</v>
      </c>
      <c r="AC50">
        <v>16276.382812</v>
      </c>
      <c r="AD50">
        <v>16209.28125</v>
      </c>
      <c r="AE50">
        <v>16136.900390999999</v>
      </c>
      <c r="AF50">
        <v>16066.762694999999</v>
      </c>
      <c r="AG50" s="144">
        <v>-2E-3</v>
      </c>
    </row>
    <row r="51" spans="1:33">
      <c r="A51" t="s">
        <v>202</v>
      </c>
      <c r="B51" t="s">
        <v>3565</v>
      </c>
      <c r="C51" t="s">
        <v>3564</v>
      </c>
      <c r="D51" t="s">
        <v>1815</v>
      </c>
      <c r="F51">
        <v>7855.1132809999999</v>
      </c>
      <c r="G51">
        <v>7665.2778319999998</v>
      </c>
      <c r="H51">
        <v>7542.0371089999999</v>
      </c>
      <c r="I51">
        <v>7458.8955079999996</v>
      </c>
      <c r="J51">
        <v>7381.9428710000002</v>
      </c>
      <c r="K51">
        <v>7305.078125</v>
      </c>
      <c r="L51">
        <v>7231.6528319999998</v>
      </c>
      <c r="M51">
        <v>7145.1933589999999</v>
      </c>
      <c r="N51">
        <v>7057.2055659999996</v>
      </c>
      <c r="O51">
        <v>6962.4838870000003</v>
      </c>
      <c r="P51">
        <v>6857.5385740000002</v>
      </c>
      <c r="Q51">
        <v>6737.0883789999998</v>
      </c>
      <c r="R51">
        <v>6609.517578</v>
      </c>
      <c r="S51">
        <v>6471.2866210000002</v>
      </c>
      <c r="T51">
        <v>6324.4775390000004</v>
      </c>
      <c r="U51">
        <v>6176.3608400000003</v>
      </c>
      <c r="V51">
        <v>6024.8154299999997</v>
      </c>
      <c r="W51">
        <v>5867.7143550000001</v>
      </c>
      <c r="X51">
        <v>5707.9418949999999</v>
      </c>
      <c r="Y51">
        <v>5552.0722660000001</v>
      </c>
      <c r="Z51">
        <v>5403.2841799999997</v>
      </c>
      <c r="AA51">
        <v>5252.5429690000001</v>
      </c>
      <c r="AB51">
        <v>5096.5878910000001</v>
      </c>
      <c r="AC51">
        <v>4938.9458009999998</v>
      </c>
      <c r="AD51">
        <v>4781.4506840000004</v>
      </c>
      <c r="AE51">
        <v>4618.0205079999996</v>
      </c>
      <c r="AF51">
        <v>4445.1220700000003</v>
      </c>
      <c r="AG51" s="144">
        <v>-2.1999999999999999E-2</v>
      </c>
    </row>
    <row r="52" spans="1:33">
      <c r="A52" t="s">
        <v>201</v>
      </c>
      <c r="B52" t="s">
        <v>3563</v>
      </c>
      <c r="C52" t="s">
        <v>3562</v>
      </c>
      <c r="D52" t="s">
        <v>1815</v>
      </c>
      <c r="F52">
        <v>5019.189453</v>
      </c>
      <c r="G52">
        <v>4921.7592770000001</v>
      </c>
      <c r="H52">
        <v>4824.1694340000004</v>
      </c>
      <c r="I52">
        <v>4722.1992190000001</v>
      </c>
      <c r="J52">
        <v>4612.9482420000004</v>
      </c>
      <c r="K52">
        <v>4494.3481449999999</v>
      </c>
      <c r="L52">
        <v>4367.1333009999998</v>
      </c>
      <c r="M52">
        <v>4225.6899409999996</v>
      </c>
      <c r="N52">
        <v>4089.4565429999998</v>
      </c>
      <c r="O52">
        <v>3940.4841310000002</v>
      </c>
      <c r="P52">
        <v>3786.7536620000001</v>
      </c>
      <c r="Q52">
        <v>3621.6906739999999</v>
      </c>
      <c r="R52">
        <v>3452.0083009999998</v>
      </c>
      <c r="S52">
        <v>3278.1594239999999</v>
      </c>
      <c r="T52">
        <v>3098.8549800000001</v>
      </c>
      <c r="U52">
        <v>2921.928711</v>
      </c>
      <c r="V52">
        <v>2743.2478030000002</v>
      </c>
      <c r="W52">
        <v>2576.4331050000001</v>
      </c>
      <c r="X52">
        <v>2419.2429200000001</v>
      </c>
      <c r="Y52">
        <v>2284.141357</v>
      </c>
      <c r="Z52">
        <v>2165.0585940000001</v>
      </c>
      <c r="AA52">
        <v>2049.0903320000002</v>
      </c>
      <c r="AB52">
        <v>1935.6875</v>
      </c>
      <c r="AC52">
        <v>1827.8242190000001</v>
      </c>
      <c r="AD52">
        <v>1724.5014650000001</v>
      </c>
      <c r="AE52">
        <v>1614.953125</v>
      </c>
      <c r="AF52">
        <v>1504.0860600000001</v>
      </c>
      <c r="AG52" s="144">
        <v>-4.4999999999999998E-2</v>
      </c>
    </row>
    <row r="53" spans="1:33">
      <c r="A53" t="s">
        <v>203</v>
      </c>
      <c r="B53" t="s">
        <v>3561</v>
      </c>
      <c r="C53" t="s">
        <v>3560</v>
      </c>
      <c r="D53" t="s">
        <v>1815</v>
      </c>
      <c r="F53">
        <v>2.9177000000000002E-2</v>
      </c>
      <c r="G53">
        <v>2.7893999999999999E-2</v>
      </c>
      <c r="H53">
        <v>2.8336E-2</v>
      </c>
      <c r="I53">
        <v>3.0077E-2</v>
      </c>
      <c r="J53">
        <v>3.2547E-2</v>
      </c>
      <c r="K53">
        <v>3.5536999999999999E-2</v>
      </c>
      <c r="L53">
        <v>3.8737000000000001E-2</v>
      </c>
      <c r="M53">
        <v>4.2036999999999998E-2</v>
      </c>
      <c r="N53">
        <v>4.5574000000000003E-2</v>
      </c>
      <c r="O53">
        <v>4.9294999999999999E-2</v>
      </c>
      <c r="P53">
        <v>5.287E-2</v>
      </c>
      <c r="Q53">
        <v>5.6437000000000001E-2</v>
      </c>
      <c r="R53">
        <v>6.0086000000000001E-2</v>
      </c>
      <c r="S53">
        <v>6.3736000000000001E-2</v>
      </c>
      <c r="T53">
        <v>6.7337999999999995E-2</v>
      </c>
      <c r="U53">
        <v>7.0847999999999994E-2</v>
      </c>
      <c r="V53">
        <v>7.4158000000000002E-2</v>
      </c>
      <c r="W53">
        <v>7.7238000000000001E-2</v>
      </c>
      <c r="X53">
        <v>8.0093999999999999E-2</v>
      </c>
      <c r="Y53">
        <v>8.2702999999999999E-2</v>
      </c>
      <c r="Z53">
        <v>8.5087999999999997E-2</v>
      </c>
      <c r="AA53">
        <v>8.7237999999999996E-2</v>
      </c>
      <c r="AB53">
        <v>8.9149999999999993E-2</v>
      </c>
      <c r="AC53">
        <v>9.0864E-2</v>
      </c>
      <c r="AD53">
        <v>9.2346999999999999E-2</v>
      </c>
      <c r="AE53">
        <v>9.3637999999999999E-2</v>
      </c>
      <c r="AF53">
        <v>9.4775999999999999E-2</v>
      </c>
      <c r="AG53" s="144">
        <v>4.5999999999999999E-2</v>
      </c>
    </row>
    <row r="54" spans="1:33">
      <c r="A54" t="s">
        <v>204</v>
      </c>
      <c r="B54" t="s">
        <v>3559</v>
      </c>
      <c r="C54" t="s">
        <v>3558</v>
      </c>
      <c r="D54" t="s">
        <v>1815</v>
      </c>
      <c r="F54">
        <v>14.902305999999999</v>
      </c>
      <c r="G54">
        <v>17.576094000000001</v>
      </c>
      <c r="H54">
        <v>20.585961999999999</v>
      </c>
      <c r="I54">
        <v>23.665554</v>
      </c>
      <c r="J54">
        <v>26.919802000000001</v>
      </c>
      <c r="K54">
        <v>30.452202</v>
      </c>
      <c r="L54">
        <v>34.228214000000001</v>
      </c>
      <c r="M54">
        <v>38.143214999999998</v>
      </c>
      <c r="N54">
        <v>42.358657999999998</v>
      </c>
      <c r="O54">
        <v>46.960566999999998</v>
      </c>
      <c r="P54">
        <v>52.145308999999997</v>
      </c>
      <c r="Q54">
        <v>57.921512999999997</v>
      </c>
      <c r="R54">
        <v>64.438721000000001</v>
      </c>
      <c r="S54">
        <v>71.862915000000001</v>
      </c>
      <c r="T54">
        <v>80.503356999999994</v>
      </c>
      <c r="U54">
        <v>90.419799999999995</v>
      </c>
      <c r="V54">
        <v>101.53952</v>
      </c>
      <c r="W54">
        <v>113.773949</v>
      </c>
      <c r="X54">
        <v>126.754311</v>
      </c>
      <c r="Y54">
        <v>140.46791099999999</v>
      </c>
      <c r="Z54">
        <v>154.83050499999999</v>
      </c>
      <c r="AA54">
        <v>169.555542</v>
      </c>
      <c r="AB54">
        <v>184.507767</v>
      </c>
      <c r="AC54">
        <v>199.626755</v>
      </c>
      <c r="AD54">
        <v>214.75408899999999</v>
      </c>
      <c r="AE54">
        <v>229.751678</v>
      </c>
      <c r="AF54">
        <v>244.68684400000001</v>
      </c>
      <c r="AG54" s="144">
        <v>0.114</v>
      </c>
    </row>
    <row r="55" spans="1:33">
      <c r="A55" t="s">
        <v>205</v>
      </c>
      <c r="B55" t="s">
        <v>3557</v>
      </c>
      <c r="C55" t="s">
        <v>3556</v>
      </c>
      <c r="D55" t="s">
        <v>1815</v>
      </c>
      <c r="F55">
        <v>1675.231567</v>
      </c>
      <c r="G55">
        <v>1730.6750489999999</v>
      </c>
      <c r="H55">
        <v>1783.8242190000001</v>
      </c>
      <c r="I55">
        <v>1831.4544679999999</v>
      </c>
      <c r="J55">
        <v>1871.336914</v>
      </c>
      <c r="K55">
        <v>1903.2607419999999</v>
      </c>
      <c r="L55">
        <v>1927.773682</v>
      </c>
      <c r="M55">
        <v>1944.653198</v>
      </c>
      <c r="N55">
        <v>1955.0585940000001</v>
      </c>
      <c r="O55">
        <v>1961.609741</v>
      </c>
      <c r="P55">
        <v>1964.1290280000001</v>
      </c>
      <c r="Q55">
        <v>1963.711914</v>
      </c>
      <c r="R55">
        <v>1961.604736</v>
      </c>
      <c r="S55">
        <v>1957.994751</v>
      </c>
      <c r="T55">
        <v>1953.357422</v>
      </c>
      <c r="U55">
        <v>1948.336914</v>
      </c>
      <c r="V55">
        <v>1942.3992920000001</v>
      </c>
      <c r="W55">
        <v>1935.624268</v>
      </c>
      <c r="X55">
        <v>1928.533081</v>
      </c>
      <c r="Y55">
        <v>1920.6376949999999</v>
      </c>
      <c r="Z55">
        <v>1908.769775</v>
      </c>
      <c r="AA55">
        <v>1892.4993899999999</v>
      </c>
      <c r="AB55">
        <v>1874.248047</v>
      </c>
      <c r="AC55">
        <v>1852.163086</v>
      </c>
      <c r="AD55">
        <v>1827.4487300000001</v>
      </c>
      <c r="AE55">
        <v>1796.4149170000001</v>
      </c>
      <c r="AF55">
        <v>1764.8702390000001</v>
      </c>
      <c r="AG55" s="144">
        <v>2E-3</v>
      </c>
    </row>
    <row r="56" spans="1:33">
      <c r="A56" t="s">
        <v>206</v>
      </c>
      <c r="B56" t="s">
        <v>3555</v>
      </c>
      <c r="C56" t="s">
        <v>3554</v>
      </c>
      <c r="D56" t="s">
        <v>1815</v>
      </c>
      <c r="F56">
        <v>39.214866999999998</v>
      </c>
      <c r="G56">
        <v>55.817169</v>
      </c>
      <c r="H56">
        <v>73.137619000000001</v>
      </c>
      <c r="I56">
        <v>90.519867000000005</v>
      </c>
      <c r="J56">
        <v>107.33844000000001</v>
      </c>
      <c r="K56">
        <v>123.803017</v>
      </c>
      <c r="L56">
        <v>139.94560200000001</v>
      </c>
      <c r="M56">
        <v>159.49374399999999</v>
      </c>
      <c r="N56">
        <v>182.792282</v>
      </c>
      <c r="O56">
        <v>208.52500900000001</v>
      </c>
      <c r="P56">
        <v>238.42692600000001</v>
      </c>
      <c r="Q56">
        <v>274.92523199999999</v>
      </c>
      <c r="R56">
        <v>317.51724200000001</v>
      </c>
      <c r="S56">
        <v>365.99771099999998</v>
      </c>
      <c r="T56">
        <v>419.79144300000002</v>
      </c>
      <c r="U56">
        <v>478.25216699999999</v>
      </c>
      <c r="V56">
        <v>539.66424600000005</v>
      </c>
      <c r="W56">
        <v>605.26666299999999</v>
      </c>
      <c r="X56">
        <v>673.98651099999995</v>
      </c>
      <c r="Y56">
        <v>745.78527799999995</v>
      </c>
      <c r="Z56">
        <v>819.63543700000002</v>
      </c>
      <c r="AA56">
        <v>893.70117200000004</v>
      </c>
      <c r="AB56">
        <v>967.68975799999998</v>
      </c>
      <c r="AC56">
        <v>1040.8363039999999</v>
      </c>
      <c r="AD56">
        <v>1111.6138920000001</v>
      </c>
      <c r="AE56">
        <v>1180.5131839999999</v>
      </c>
      <c r="AF56">
        <v>1248.1435550000001</v>
      </c>
      <c r="AG56" s="144">
        <v>0.14199999999999999</v>
      </c>
    </row>
    <row r="57" spans="1:33">
      <c r="A57" t="s">
        <v>208</v>
      </c>
      <c r="B57" t="s">
        <v>3553</v>
      </c>
      <c r="C57" t="s">
        <v>3552</v>
      </c>
      <c r="D57" t="s">
        <v>1815</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t="s">
        <v>1769</v>
      </c>
    </row>
    <row r="58" spans="1:33">
      <c r="A58" t="s">
        <v>207</v>
      </c>
      <c r="B58" t="s">
        <v>3551</v>
      </c>
      <c r="C58" t="s">
        <v>3550</v>
      </c>
      <c r="D58" t="s">
        <v>1815</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v>0</v>
      </c>
      <c r="AG58" t="s">
        <v>1769</v>
      </c>
    </row>
    <row r="59" spans="1:33">
      <c r="A59" t="s">
        <v>209</v>
      </c>
      <c r="B59" t="s">
        <v>3549</v>
      </c>
      <c r="C59" t="s">
        <v>3548</v>
      </c>
      <c r="D59" t="s">
        <v>1815</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t="s">
        <v>1769</v>
      </c>
    </row>
    <row r="60" spans="1:33">
      <c r="A60" t="s">
        <v>1830</v>
      </c>
      <c r="B60" t="s">
        <v>3547</v>
      </c>
      <c r="C60" t="s">
        <v>3546</v>
      </c>
      <c r="D60" t="s">
        <v>1815</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t="s">
        <v>1769</v>
      </c>
    </row>
    <row r="61" spans="1:33">
      <c r="A61" t="s">
        <v>1827</v>
      </c>
      <c r="B61" t="s">
        <v>3545</v>
      </c>
      <c r="C61" t="s">
        <v>3544</v>
      </c>
      <c r="D61" t="s">
        <v>1815</v>
      </c>
      <c r="F61">
        <v>0</v>
      </c>
      <c r="G61">
        <v>1.8639939999999999</v>
      </c>
      <c r="H61">
        <v>4.4663040000000001</v>
      </c>
      <c r="I61">
        <v>8.0814699999999995</v>
      </c>
      <c r="J61">
        <v>22.056372</v>
      </c>
      <c r="K61">
        <v>48.933228</v>
      </c>
      <c r="L61">
        <v>87.077995000000001</v>
      </c>
      <c r="M61">
        <v>138.116333</v>
      </c>
      <c r="N61">
        <v>199.388733</v>
      </c>
      <c r="O61">
        <v>268.62094100000002</v>
      </c>
      <c r="P61">
        <v>344.759705</v>
      </c>
      <c r="Q61">
        <v>431.41665599999999</v>
      </c>
      <c r="R61">
        <v>522.13275099999998</v>
      </c>
      <c r="S61">
        <v>615.81591800000001</v>
      </c>
      <c r="T61">
        <v>715.17797900000005</v>
      </c>
      <c r="U61">
        <v>819.816101</v>
      </c>
      <c r="V61">
        <v>929.444885</v>
      </c>
      <c r="W61">
        <v>1047.6220699999999</v>
      </c>
      <c r="X61">
        <v>1170.4960940000001</v>
      </c>
      <c r="Y61">
        <v>1294.7873540000001</v>
      </c>
      <c r="Z61">
        <v>1421.6793210000001</v>
      </c>
      <c r="AA61">
        <v>1552.3092039999999</v>
      </c>
      <c r="AB61">
        <v>1686.1538089999999</v>
      </c>
      <c r="AC61">
        <v>1823.432495</v>
      </c>
      <c r="AD61">
        <v>1960.1687010000001</v>
      </c>
      <c r="AE61">
        <v>2097.6840820000002</v>
      </c>
      <c r="AF61">
        <v>2239.413086</v>
      </c>
      <c r="AG61" t="s">
        <v>1769</v>
      </c>
    </row>
    <row r="62" spans="1:33">
      <c r="A62" t="s">
        <v>1824</v>
      </c>
      <c r="B62" t="s">
        <v>3543</v>
      </c>
      <c r="C62" t="s">
        <v>3542</v>
      </c>
      <c r="D62" t="s">
        <v>1815</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1769</v>
      </c>
    </row>
    <row r="63" spans="1:33" s="260" customFormat="1">
      <c r="A63" s="260" t="s">
        <v>3541</v>
      </c>
      <c r="B63" s="260" t="s">
        <v>3540</v>
      </c>
      <c r="C63" s="260" t="s">
        <v>3539</v>
      </c>
      <c r="D63" s="260" t="s">
        <v>1815</v>
      </c>
      <c r="F63" s="260">
        <v>14603.680664</v>
      </c>
      <c r="G63" s="260">
        <v>14392.998046999999</v>
      </c>
      <c r="H63" s="260">
        <v>14248.249023</v>
      </c>
      <c r="I63" s="260">
        <v>14134.845703000001</v>
      </c>
      <c r="J63" s="260">
        <v>14022.575194999999</v>
      </c>
      <c r="K63" s="260">
        <v>13905.910156</v>
      </c>
      <c r="L63" s="260">
        <v>13787.850586</v>
      </c>
      <c r="M63" s="260">
        <v>13651.332031</v>
      </c>
      <c r="N63" s="260">
        <v>13526.305664</v>
      </c>
      <c r="O63" s="260">
        <v>13388.733398</v>
      </c>
      <c r="P63" s="260">
        <v>13243.805664</v>
      </c>
      <c r="Q63" s="260">
        <v>13086.811523</v>
      </c>
      <c r="R63" s="260">
        <v>12927.279296999999</v>
      </c>
      <c r="S63" s="260">
        <v>12761.181640999999</v>
      </c>
      <c r="T63" s="260">
        <v>12592.228515999999</v>
      </c>
      <c r="U63" s="260">
        <v>12435.185546999999</v>
      </c>
      <c r="V63" s="260">
        <v>12281.185546999999</v>
      </c>
      <c r="W63" s="260">
        <v>12146.511719</v>
      </c>
      <c r="X63" s="260">
        <v>12027.034180000001</v>
      </c>
      <c r="Y63" s="260">
        <v>11937.974609000001</v>
      </c>
      <c r="Z63" s="260">
        <v>11873.34375</v>
      </c>
      <c r="AA63" s="260">
        <v>11809.786133</v>
      </c>
      <c r="AB63" s="260">
        <v>11744.964844</v>
      </c>
      <c r="AC63" s="260">
        <v>11682.918944999999</v>
      </c>
      <c r="AD63" s="260">
        <v>11620.030273</v>
      </c>
      <c r="AE63" s="260">
        <v>11537.429688</v>
      </c>
      <c r="AF63" s="260">
        <v>11446.416992</v>
      </c>
      <c r="AG63" s="261">
        <v>-8.9999999999999993E-3</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E4E4AB-3E78-4D8B-94C8-9F4865C25CC1}">
  <dimension ref="A1:AG63"/>
  <sheetViews>
    <sheetView workbookViewId="0"/>
    <sheetView workbookViewId="1"/>
  </sheetViews>
  <sheetFormatPr defaultRowHeight="14.75"/>
  <sheetData>
    <row r="1" spans="1:33">
      <c r="A1" t="s">
        <v>2987</v>
      </c>
    </row>
    <row r="2" spans="1:33">
      <c r="A2" t="s">
        <v>2986</v>
      </c>
    </row>
    <row r="3" spans="1:33">
      <c r="A3" t="s">
        <v>2985</v>
      </c>
    </row>
    <row r="4" spans="1:33">
      <c r="A4" t="s">
        <v>2352</v>
      </c>
    </row>
    <row r="5" spans="1:33">
      <c r="B5" t="s">
        <v>2351</v>
      </c>
      <c r="C5" t="s">
        <v>2350</v>
      </c>
      <c r="D5" t="s">
        <v>2349</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2348</v>
      </c>
    </row>
    <row r="6" spans="1:33">
      <c r="A6" t="s">
        <v>2984</v>
      </c>
    </row>
    <row r="7" spans="1:33">
      <c r="A7" t="s">
        <v>2983</v>
      </c>
    </row>
    <row r="8" spans="1:33">
      <c r="A8" t="s">
        <v>337</v>
      </c>
      <c r="B8" t="s">
        <v>2982</v>
      </c>
      <c r="C8" t="s">
        <v>2981</v>
      </c>
      <c r="D8" t="s">
        <v>2264</v>
      </c>
      <c r="F8">
        <v>50.638137999999998</v>
      </c>
      <c r="G8">
        <v>48.885429000000002</v>
      </c>
      <c r="H8">
        <v>46.748302000000002</v>
      </c>
      <c r="I8">
        <v>44.010258</v>
      </c>
      <c r="J8">
        <v>41.474693000000002</v>
      </c>
      <c r="K8">
        <v>39.650063000000003</v>
      </c>
      <c r="L8">
        <v>38.069546000000003</v>
      </c>
      <c r="M8">
        <v>36.528156000000003</v>
      </c>
      <c r="N8">
        <v>34.710064000000003</v>
      </c>
      <c r="O8">
        <v>33.442504999999997</v>
      </c>
      <c r="P8">
        <v>32.505721999999999</v>
      </c>
      <c r="Q8">
        <v>31.332032999999999</v>
      </c>
      <c r="R8">
        <v>30.183112999999999</v>
      </c>
      <c r="S8">
        <v>29.184698000000001</v>
      </c>
      <c r="T8">
        <v>28.347183000000001</v>
      </c>
      <c r="U8">
        <v>27.496824</v>
      </c>
      <c r="V8">
        <v>26.624618999999999</v>
      </c>
      <c r="W8">
        <v>25.859490999999998</v>
      </c>
      <c r="X8">
        <v>25.193740999999999</v>
      </c>
      <c r="Y8">
        <v>24.602195999999999</v>
      </c>
      <c r="Z8">
        <v>24.052531999999999</v>
      </c>
      <c r="AA8">
        <v>23.561592000000001</v>
      </c>
      <c r="AB8">
        <v>23.087154000000002</v>
      </c>
      <c r="AC8">
        <v>22.633206999999999</v>
      </c>
      <c r="AD8">
        <v>22.193701000000001</v>
      </c>
      <c r="AE8">
        <v>21.778998999999999</v>
      </c>
      <c r="AF8">
        <v>21.422250999999999</v>
      </c>
      <c r="AG8" s="144">
        <v>-3.3000000000000002E-2</v>
      </c>
    </row>
    <row r="9" spans="1:33">
      <c r="A9" t="s">
        <v>339</v>
      </c>
      <c r="B9" t="s">
        <v>2980</v>
      </c>
      <c r="C9" t="s">
        <v>2979</v>
      </c>
      <c r="D9" t="s">
        <v>2264</v>
      </c>
      <c r="F9">
        <v>0.105861</v>
      </c>
      <c r="G9">
        <v>9.2277999999999999E-2</v>
      </c>
      <c r="H9">
        <v>8.0051999999999998E-2</v>
      </c>
      <c r="I9">
        <v>6.9001999999999994E-2</v>
      </c>
      <c r="J9">
        <v>5.8966999999999999E-2</v>
      </c>
      <c r="K9">
        <v>4.9986000000000003E-2</v>
      </c>
      <c r="L9">
        <v>4.2127999999999999E-2</v>
      </c>
      <c r="M9">
        <v>3.5327999999999998E-2</v>
      </c>
      <c r="N9">
        <v>2.9527999999999999E-2</v>
      </c>
      <c r="O9">
        <v>2.4714E-2</v>
      </c>
      <c r="P9">
        <v>2.0797E-2</v>
      </c>
      <c r="Q9">
        <v>1.7670000000000002E-2</v>
      </c>
      <c r="R9">
        <v>1.5205E-2</v>
      </c>
      <c r="S9">
        <v>1.3269E-2</v>
      </c>
      <c r="T9">
        <v>1.1756000000000001E-2</v>
      </c>
      <c r="U9">
        <v>1.0555E-2</v>
      </c>
      <c r="V9">
        <v>9.5420000000000001E-3</v>
      </c>
      <c r="W9">
        <v>8.6499999999999997E-3</v>
      </c>
      <c r="X9">
        <v>7.8600000000000007E-3</v>
      </c>
      <c r="Y9">
        <v>7.1549999999999999E-3</v>
      </c>
      <c r="Z9">
        <v>6.5180000000000004E-3</v>
      </c>
      <c r="AA9">
        <v>5.94E-3</v>
      </c>
      <c r="AB9">
        <v>5.4159999999999998E-3</v>
      </c>
      <c r="AC9">
        <v>4.9399999999999999E-3</v>
      </c>
      <c r="AD9">
        <v>4.5069999999999997E-3</v>
      </c>
      <c r="AE9">
        <v>4.1149999999999997E-3</v>
      </c>
      <c r="AF9">
        <v>3.7580000000000001E-3</v>
      </c>
      <c r="AG9" s="144">
        <v>-0.12</v>
      </c>
    </row>
    <row r="10" spans="1:33">
      <c r="A10" t="s">
        <v>2978</v>
      </c>
      <c r="B10" t="s">
        <v>2977</v>
      </c>
      <c r="C10" t="s">
        <v>2976</v>
      </c>
      <c r="D10" t="s">
        <v>2264</v>
      </c>
      <c r="F10">
        <v>50.743999000000002</v>
      </c>
      <c r="G10">
        <v>48.977707000000002</v>
      </c>
      <c r="H10">
        <v>46.828353999999997</v>
      </c>
      <c r="I10">
        <v>44.079262</v>
      </c>
      <c r="J10">
        <v>41.533661000000002</v>
      </c>
      <c r="K10">
        <v>39.700049999999997</v>
      </c>
      <c r="L10">
        <v>38.111674999999998</v>
      </c>
      <c r="M10">
        <v>36.563484000000003</v>
      </c>
      <c r="N10">
        <v>34.739593999999997</v>
      </c>
      <c r="O10">
        <v>33.467219999999998</v>
      </c>
      <c r="P10">
        <v>32.526519999999998</v>
      </c>
      <c r="Q10">
        <v>31.349703000000002</v>
      </c>
      <c r="R10">
        <v>30.198318</v>
      </c>
      <c r="S10">
        <v>29.197967999999999</v>
      </c>
      <c r="T10">
        <v>28.358937999999998</v>
      </c>
      <c r="U10">
        <v>27.507380000000001</v>
      </c>
      <c r="V10">
        <v>26.634160999999999</v>
      </c>
      <c r="W10">
        <v>25.868141000000001</v>
      </c>
      <c r="X10">
        <v>25.201601</v>
      </c>
      <c r="Y10">
        <v>24.609349999999999</v>
      </c>
      <c r="Z10">
        <v>24.059049999999999</v>
      </c>
      <c r="AA10">
        <v>23.567532</v>
      </c>
      <c r="AB10">
        <v>23.092569000000001</v>
      </c>
      <c r="AC10">
        <v>22.638147</v>
      </c>
      <c r="AD10">
        <v>22.198208000000001</v>
      </c>
      <c r="AE10">
        <v>21.783113</v>
      </c>
      <c r="AF10">
        <v>21.426007999999999</v>
      </c>
      <c r="AG10" s="144">
        <v>-3.3000000000000002E-2</v>
      </c>
    </row>
    <row r="11" spans="1:33">
      <c r="A11" t="s">
        <v>2975</v>
      </c>
    </row>
    <row r="12" spans="1:33">
      <c r="A12" t="s">
        <v>344</v>
      </c>
      <c r="B12" t="s">
        <v>2974</v>
      </c>
      <c r="C12" t="s">
        <v>2973</v>
      </c>
      <c r="D12" t="s">
        <v>2264</v>
      </c>
      <c r="F12">
        <v>1.60873</v>
      </c>
      <c r="G12">
        <v>1.349367</v>
      </c>
      <c r="H12">
        <v>1.148253</v>
      </c>
      <c r="I12">
        <v>0.97852499999999998</v>
      </c>
      <c r="J12">
        <v>0.83490799999999998</v>
      </c>
      <c r="K12">
        <v>0.71350599999999997</v>
      </c>
      <c r="L12">
        <v>0.61164200000000002</v>
      </c>
      <c r="M12">
        <v>0.52731499999999998</v>
      </c>
      <c r="N12">
        <v>0.45874700000000002</v>
      </c>
      <c r="O12">
        <v>0.40613199999999999</v>
      </c>
      <c r="P12">
        <v>0.36515700000000001</v>
      </c>
      <c r="Q12">
        <v>0.33379399999999998</v>
      </c>
      <c r="R12">
        <v>0.31039299999999997</v>
      </c>
      <c r="S12">
        <v>0.29211300000000001</v>
      </c>
      <c r="T12">
        <v>0.277586</v>
      </c>
      <c r="U12">
        <v>0.26606400000000002</v>
      </c>
      <c r="V12">
        <v>0.25656099999999998</v>
      </c>
      <c r="W12">
        <v>0.24847</v>
      </c>
      <c r="X12">
        <v>0.24144099999999999</v>
      </c>
      <c r="Y12">
        <v>0.23524500000000001</v>
      </c>
      <c r="Z12">
        <v>0.22976199999999999</v>
      </c>
      <c r="AA12">
        <v>0.22478000000000001</v>
      </c>
      <c r="AB12">
        <v>0.22017800000000001</v>
      </c>
      <c r="AC12">
        <v>0.21592700000000001</v>
      </c>
      <c r="AD12">
        <v>0.21198400000000001</v>
      </c>
      <c r="AE12">
        <v>0.20832899999999999</v>
      </c>
      <c r="AF12">
        <v>0.20491699999999999</v>
      </c>
      <c r="AG12" s="144">
        <v>-7.5999999999999998E-2</v>
      </c>
    </row>
    <row r="13" spans="1:33">
      <c r="A13" t="s">
        <v>2928</v>
      </c>
      <c r="B13" t="s">
        <v>2972</v>
      </c>
      <c r="C13" t="s">
        <v>2971</v>
      </c>
      <c r="D13" t="s">
        <v>2264</v>
      </c>
      <c r="F13">
        <v>9.1476000000000002E-2</v>
      </c>
      <c r="G13">
        <v>0.103355</v>
      </c>
      <c r="H13">
        <v>0.104404</v>
      </c>
      <c r="I13">
        <v>9.9453E-2</v>
      </c>
      <c r="J13">
        <v>9.2523999999999995E-2</v>
      </c>
      <c r="K13">
        <v>8.7859000000000007E-2</v>
      </c>
      <c r="L13">
        <v>8.6116999999999999E-2</v>
      </c>
      <c r="M13">
        <v>8.5204000000000002E-2</v>
      </c>
      <c r="N13">
        <v>8.4945999999999994E-2</v>
      </c>
      <c r="O13">
        <v>8.0046000000000006E-2</v>
      </c>
      <c r="P13">
        <v>7.7998999999999999E-2</v>
      </c>
      <c r="Q13">
        <v>7.7561000000000005E-2</v>
      </c>
      <c r="R13">
        <v>7.8149999999999997E-2</v>
      </c>
      <c r="S13">
        <v>7.9242000000000007E-2</v>
      </c>
      <c r="T13">
        <v>8.0854999999999996E-2</v>
      </c>
      <c r="U13">
        <v>8.2913000000000001E-2</v>
      </c>
      <c r="V13">
        <v>8.3385000000000001E-2</v>
      </c>
      <c r="W13">
        <v>8.4219000000000002E-2</v>
      </c>
      <c r="X13">
        <v>8.5323999999999997E-2</v>
      </c>
      <c r="Y13">
        <v>8.6754999999999999E-2</v>
      </c>
      <c r="Z13">
        <v>8.7946999999999997E-2</v>
      </c>
      <c r="AA13">
        <v>8.9177000000000006E-2</v>
      </c>
      <c r="AB13">
        <v>9.0092000000000005E-2</v>
      </c>
      <c r="AC13">
        <v>9.0739E-2</v>
      </c>
      <c r="AD13">
        <v>9.1296000000000002E-2</v>
      </c>
      <c r="AE13">
        <v>9.1797000000000004E-2</v>
      </c>
      <c r="AF13">
        <v>9.2785999999999993E-2</v>
      </c>
      <c r="AG13" s="144">
        <v>1E-3</v>
      </c>
    </row>
    <row r="14" spans="1:33">
      <c r="A14" t="s">
        <v>2925</v>
      </c>
      <c r="B14" t="s">
        <v>2970</v>
      </c>
      <c r="C14" t="s">
        <v>2969</v>
      </c>
      <c r="D14" t="s">
        <v>2264</v>
      </c>
      <c r="F14">
        <v>0.69233999999999996</v>
      </c>
      <c r="G14">
        <v>0.907057</v>
      </c>
      <c r="H14">
        <v>1.1195539999999999</v>
      </c>
      <c r="I14">
        <v>1.357645</v>
      </c>
      <c r="J14">
        <v>1.514705</v>
      </c>
      <c r="K14">
        <v>1.616379</v>
      </c>
      <c r="L14">
        <v>1.770032</v>
      </c>
      <c r="M14">
        <v>1.928347</v>
      </c>
      <c r="N14">
        <v>2.5976219999999999</v>
      </c>
      <c r="O14">
        <v>3.198941</v>
      </c>
      <c r="P14">
        <v>3.726064</v>
      </c>
      <c r="Q14">
        <v>4.3920599999999999</v>
      </c>
      <c r="R14">
        <v>4.8904180000000004</v>
      </c>
      <c r="S14">
        <v>5.2890930000000003</v>
      </c>
      <c r="T14">
        <v>5.6434220000000002</v>
      </c>
      <c r="U14">
        <v>6.1824019999999997</v>
      </c>
      <c r="V14">
        <v>6.5860190000000003</v>
      </c>
      <c r="W14">
        <v>6.8923209999999999</v>
      </c>
      <c r="X14">
        <v>7.1280409999999996</v>
      </c>
      <c r="Y14">
        <v>7.3587980000000002</v>
      </c>
      <c r="Z14">
        <v>7.548114</v>
      </c>
      <c r="AA14">
        <v>7.7391969999999999</v>
      </c>
      <c r="AB14">
        <v>7.8809060000000004</v>
      </c>
      <c r="AC14">
        <v>7.9886850000000003</v>
      </c>
      <c r="AD14">
        <v>8.0824700000000007</v>
      </c>
      <c r="AE14">
        <v>8.163729</v>
      </c>
      <c r="AF14">
        <v>8.2948229999999992</v>
      </c>
      <c r="AG14" s="144">
        <v>0.1</v>
      </c>
    </row>
    <row r="15" spans="1:33">
      <c r="A15" t="s">
        <v>2922</v>
      </c>
      <c r="B15" t="s">
        <v>2968</v>
      </c>
      <c r="C15" t="s">
        <v>2967</v>
      </c>
      <c r="D15" t="s">
        <v>2264</v>
      </c>
      <c r="F15">
        <v>2.689883</v>
      </c>
      <c r="G15">
        <v>3.5916250000000001</v>
      </c>
      <c r="H15">
        <v>5.1927519999999996</v>
      </c>
      <c r="I15">
        <v>6.8535830000000004</v>
      </c>
      <c r="J15">
        <v>8.0837140000000005</v>
      </c>
      <c r="K15">
        <v>8.8788940000000007</v>
      </c>
      <c r="L15">
        <v>9.6231860000000005</v>
      </c>
      <c r="M15">
        <v>10.23752</v>
      </c>
      <c r="N15">
        <v>10.690363</v>
      </c>
      <c r="O15">
        <v>10.662129</v>
      </c>
      <c r="P15">
        <v>10.907314</v>
      </c>
      <c r="Q15">
        <v>11.172157</v>
      </c>
      <c r="R15">
        <v>11.436102</v>
      </c>
      <c r="S15">
        <v>11.673954</v>
      </c>
      <c r="T15">
        <v>11.908784000000001</v>
      </c>
      <c r="U15">
        <v>12.099163000000001</v>
      </c>
      <c r="V15">
        <v>12.386236999999999</v>
      </c>
      <c r="W15">
        <v>12.585106</v>
      </c>
      <c r="X15">
        <v>12.720762000000001</v>
      </c>
      <c r="Y15">
        <v>12.807727</v>
      </c>
      <c r="Z15">
        <v>12.878695</v>
      </c>
      <c r="AA15">
        <v>12.938056</v>
      </c>
      <c r="AB15">
        <v>12.977658999999999</v>
      </c>
      <c r="AC15">
        <v>12.990112999999999</v>
      </c>
      <c r="AD15">
        <v>12.971123</v>
      </c>
      <c r="AE15">
        <v>12.942655</v>
      </c>
      <c r="AF15">
        <v>12.932833</v>
      </c>
      <c r="AG15" s="144">
        <v>6.2E-2</v>
      </c>
    </row>
    <row r="16" spans="1:33">
      <c r="A16" t="s">
        <v>2919</v>
      </c>
      <c r="B16" t="s">
        <v>2966</v>
      </c>
      <c r="C16" t="s">
        <v>2965</v>
      </c>
      <c r="D16" t="s">
        <v>2264</v>
      </c>
      <c r="F16">
        <v>0.186914</v>
      </c>
      <c r="G16">
        <v>0.23035800000000001</v>
      </c>
      <c r="H16">
        <v>0.27477800000000002</v>
      </c>
      <c r="I16">
        <v>0.31699100000000002</v>
      </c>
      <c r="J16">
        <v>0.34990700000000002</v>
      </c>
      <c r="K16">
        <v>0.36466999999999999</v>
      </c>
      <c r="L16">
        <v>0.37565900000000002</v>
      </c>
      <c r="M16">
        <v>0.38463700000000001</v>
      </c>
      <c r="N16">
        <v>0.37951200000000002</v>
      </c>
      <c r="O16">
        <v>0.36410500000000001</v>
      </c>
      <c r="P16">
        <v>0.35984500000000003</v>
      </c>
      <c r="Q16">
        <v>0.35496499999999997</v>
      </c>
      <c r="R16">
        <v>0.35196499999999997</v>
      </c>
      <c r="S16">
        <v>0.350024</v>
      </c>
      <c r="T16">
        <v>0.34971000000000002</v>
      </c>
      <c r="U16">
        <v>0.34740900000000002</v>
      </c>
      <c r="V16">
        <v>0.34548099999999998</v>
      </c>
      <c r="W16">
        <v>0.34423500000000001</v>
      </c>
      <c r="X16">
        <v>0.34338600000000002</v>
      </c>
      <c r="Y16">
        <v>0.343194</v>
      </c>
      <c r="Z16">
        <v>0.34214499999999998</v>
      </c>
      <c r="AA16">
        <v>0.34149499999999999</v>
      </c>
      <c r="AB16">
        <v>0.33986100000000002</v>
      </c>
      <c r="AC16">
        <v>0.33780500000000002</v>
      </c>
      <c r="AD16">
        <v>0.33586100000000002</v>
      </c>
      <c r="AE16">
        <v>0.333926</v>
      </c>
      <c r="AF16">
        <v>0.33367000000000002</v>
      </c>
      <c r="AG16" s="144">
        <v>2.3E-2</v>
      </c>
    </row>
    <row r="17" spans="1:33">
      <c r="A17" t="s">
        <v>2916</v>
      </c>
      <c r="B17" t="s">
        <v>2964</v>
      </c>
      <c r="C17" t="s">
        <v>2963</v>
      </c>
      <c r="D17" t="s">
        <v>2264</v>
      </c>
      <c r="F17">
        <v>0.129778</v>
      </c>
      <c r="G17">
        <v>0.16594</v>
      </c>
      <c r="H17">
        <v>0.26083299999999998</v>
      </c>
      <c r="I17">
        <v>0.34348400000000001</v>
      </c>
      <c r="J17">
        <v>0.40930299999999997</v>
      </c>
      <c r="K17">
        <v>0.44777899999999998</v>
      </c>
      <c r="L17">
        <v>0.47846499999999997</v>
      </c>
      <c r="M17">
        <v>0.50584300000000004</v>
      </c>
      <c r="N17">
        <v>0.49767099999999997</v>
      </c>
      <c r="O17">
        <v>0.46661399999999997</v>
      </c>
      <c r="P17">
        <v>0.45825100000000002</v>
      </c>
      <c r="Q17">
        <v>0.444216</v>
      </c>
      <c r="R17">
        <v>0.436475</v>
      </c>
      <c r="S17">
        <v>0.43141600000000002</v>
      </c>
      <c r="T17">
        <v>0.42926199999999998</v>
      </c>
      <c r="U17">
        <v>0.416043</v>
      </c>
      <c r="V17">
        <v>0.40549400000000002</v>
      </c>
      <c r="W17">
        <v>0.39758599999999999</v>
      </c>
      <c r="X17">
        <v>0.391592</v>
      </c>
      <c r="Y17">
        <v>0.38659700000000002</v>
      </c>
      <c r="Z17">
        <v>0.38094099999999997</v>
      </c>
      <c r="AA17">
        <v>0.37582399999999999</v>
      </c>
      <c r="AB17">
        <v>0.37006</v>
      </c>
      <c r="AC17">
        <v>0.36420000000000002</v>
      </c>
      <c r="AD17">
        <v>0.358657</v>
      </c>
      <c r="AE17">
        <v>0.35341400000000001</v>
      </c>
      <c r="AF17">
        <v>0.34999400000000003</v>
      </c>
      <c r="AG17" s="144">
        <v>3.9E-2</v>
      </c>
    </row>
    <row r="18" spans="1:33">
      <c r="A18" t="s">
        <v>351</v>
      </c>
      <c r="B18" t="s">
        <v>2962</v>
      </c>
      <c r="C18" t="s">
        <v>2961</v>
      </c>
      <c r="D18" t="s">
        <v>2264</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1769</v>
      </c>
    </row>
    <row r="19" spans="1:33">
      <c r="A19" t="s">
        <v>353</v>
      </c>
      <c r="B19" t="s">
        <v>2960</v>
      </c>
      <c r="C19" t="s">
        <v>2959</v>
      </c>
      <c r="D19" t="s">
        <v>2264</v>
      </c>
      <c r="F19">
        <v>2.719198</v>
      </c>
      <c r="G19">
        <v>3.198261</v>
      </c>
      <c r="H19">
        <v>3.4401540000000002</v>
      </c>
      <c r="I19">
        <v>3.633343</v>
      </c>
      <c r="J19">
        <v>3.6965560000000002</v>
      </c>
      <c r="K19">
        <v>3.777752</v>
      </c>
      <c r="L19">
        <v>3.8531740000000001</v>
      </c>
      <c r="M19">
        <v>3.9225120000000002</v>
      </c>
      <c r="N19">
        <v>3.8995739999999999</v>
      </c>
      <c r="O19">
        <v>3.9320469999999998</v>
      </c>
      <c r="P19">
        <v>4.0155849999999997</v>
      </c>
      <c r="Q19">
        <v>4.045547</v>
      </c>
      <c r="R19">
        <v>4.0633889999999999</v>
      </c>
      <c r="S19">
        <v>4.0925390000000004</v>
      </c>
      <c r="T19">
        <v>4.1382899999999996</v>
      </c>
      <c r="U19">
        <v>4.1715249999999999</v>
      </c>
      <c r="V19">
        <v>4.1756779999999996</v>
      </c>
      <c r="W19">
        <v>4.190537</v>
      </c>
      <c r="X19">
        <v>4.2157879999999999</v>
      </c>
      <c r="Y19">
        <v>4.24763</v>
      </c>
      <c r="Z19">
        <v>4.2800010000000004</v>
      </c>
      <c r="AA19">
        <v>4.3174409999999996</v>
      </c>
      <c r="AB19">
        <v>4.351369</v>
      </c>
      <c r="AC19">
        <v>4.3813610000000001</v>
      </c>
      <c r="AD19">
        <v>4.4064550000000002</v>
      </c>
      <c r="AE19">
        <v>4.4319420000000003</v>
      </c>
      <c r="AF19">
        <v>4.469773</v>
      </c>
      <c r="AG19" s="144">
        <v>1.9E-2</v>
      </c>
    </row>
    <row r="20" spans="1:33">
      <c r="A20" t="s">
        <v>355</v>
      </c>
      <c r="B20" t="s">
        <v>2958</v>
      </c>
      <c r="C20" t="s">
        <v>2957</v>
      </c>
      <c r="D20" t="s">
        <v>2264</v>
      </c>
      <c r="F20">
        <v>7.0349999999999996E-2</v>
      </c>
      <c r="G20">
        <v>6.4102999999999993E-2</v>
      </c>
      <c r="H20">
        <v>5.7872E-2</v>
      </c>
      <c r="I20">
        <v>5.1645000000000003E-2</v>
      </c>
      <c r="J20">
        <v>4.5603999999999999E-2</v>
      </c>
      <c r="K20">
        <v>3.9872999999999999E-2</v>
      </c>
      <c r="L20">
        <v>3.5135E-2</v>
      </c>
      <c r="M20">
        <v>3.0665999999999999E-2</v>
      </c>
      <c r="N20">
        <v>2.6724999999999999E-2</v>
      </c>
      <c r="O20">
        <v>2.3335999999999999E-2</v>
      </c>
      <c r="P20">
        <v>2.0537E-2</v>
      </c>
      <c r="Q20">
        <v>1.8207999999999998E-2</v>
      </c>
      <c r="R20">
        <v>1.6296000000000001E-2</v>
      </c>
      <c r="S20">
        <v>1.5039E-2</v>
      </c>
      <c r="T20">
        <v>1.3965E-2</v>
      </c>
      <c r="U20">
        <v>1.3070999999999999E-2</v>
      </c>
      <c r="V20">
        <v>1.2276E-2</v>
      </c>
      <c r="W20">
        <v>1.1528999999999999E-2</v>
      </c>
      <c r="X20">
        <v>1.0827E-2</v>
      </c>
      <c r="Y20">
        <v>1.0168999999999999E-2</v>
      </c>
      <c r="Z20">
        <v>9.5499999999999995E-3</v>
      </c>
      <c r="AA20">
        <v>8.9689999999999995E-3</v>
      </c>
      <c r="AB20">
        <v>8.4229999999999999E-3</v>
      </c>
      <c r="AC20">
        <v>7.9100000000000004E-3</v>
      </c>
      <c r="AD20">
        <v>7.4289999999999998E-3</v>
      </c>
      <c r="AE20">
        <v>6.9769999999999997E-3</v>
      </c>
      <c r="AF20">
        <v>6.5519999999999997E-3</v>
      </c>
      <c r="AG20" s="144">
        <v>-8.6999999999999994E-2</v>
      </c>
    </row>
    <row r="21" spans="1:33">
      <c r="A21" t="s">
        <v>357</v>
      </c>
      <c r="B21" t="s">
        <v>2956</v>
      </c>
      <c r="C21" t="s">
        <v>2955</v>
      </c>
      <c r="D21" t="s">
        <v>2264</v>
      </c>
      <c r="F21">
        <v>1.6720000000000001E-3</v>
      </c>
      <c r="G21">
        <v>1.57E-3</v>
      </c>
      <c r="H21">
        <v>1.475E-3</v>
      </c>
      <c r="I21">
        <v>1.3849999999999999E-3</v>
      </c>
      <c r="J21">
        <v>1.3010000000000001E-3</v>
      </c>
      <c r="K21">
        <v>1.2210000000000001E-3</v>
      </c>
      <c r="L21">
        <v>1.147E-3</v>
      </c>
      <c r="M21">
        <v>1.077E-3</v>
      </c>
      <c r="N21">
        <v>1.0120000000000001E-3</v>
      </c>
      <c r="O21">
        <v>9.5E-4</v>
      </c>
      <c r="P21">
        <v>8.92E-4</v>
      </c>
      <c r="Q21">
        <v>8.3799999999999999E-4</v>
      </c>
      <c r="R21">
        <v>7.8700000000000005E-4</v>
      </c>
      <c r="S21">
        <v>7.3899999999999997E-4</v>
      </c>
      <c r="T21">
        <v>6.9399999999999996E-4</v>
      </c>
      <c r="U21">
        <v>6.5200000000000002E-4</v>
      </c>
      <c r="V21">
        <v>6.1200000000000002E-4</v>
      </c>
      <c r="W21">
        <v>5.7499999999999999E-4</v>
      </c>
      <c r="X21">
        <v>5.4000000000000001E-4</v>
      </c>
      <c r="Y21">
        <v>5.0699999999999996E-4</v>
      </c>
      <c r="Z21">
        <v>4.7600000000000002E-4</v>
      </c>
      <c r="AA21">
        <v>4.4700000000000002E-4</v>
      </c>
      <c r="AB21">
        <v>4.2000000000000002E-4</v>
      </c>
      <c r="AC21">
        <v>3.9500000000000001E-4</v>
      </c>
      <c r="AD21">
        <v>3.7100000000000002E-4</v>
      </c>
      <c r="AE21">
        <v>3.48E-4</v>
      </c>
      <c r="AF21">
        <v>3.2699999999999998E-4</v>
      </c>
      <c r="AG21" s="144">
        <v>-6.0999999999999999E-2</v>
      </c>
    </row>
    <row r="22" spans="1:33">
      <c r="A22" t="s">
        <v>359</v>
      </c>
      <c r="B22" t="s">
        <v>2954</v>
      </c>
      <c r="C22" t="s">
        <v>2953</v>
      </c>
      <c r="D22" t="s">
        <v>2264</v>
      </c>
      <c r="F22">
        <v>1.0722000000000001E-2</v>
      </c>
      <c r="G22">
        <v>9.3189999999999992E-3</v>
      </c>
      <c r="H22">
        <v>8.4430000000000009E-3</v>
      </c>
      <c r="I22">
        <v>7.9100000000000004E-3</v>
      </c>
      <c r="J22">
        <v>7.4289999999999998E-3</v>
      </c>
      <c r="K22">
        <v>6.9769999999999997E-3</v>
      </c>
      <c r="L22">
        <v>6.5519999999999997E-3</v>
      </c>
      <c r="M22">
        <v>6.1539999999999997E-3</v>
      </c>
      <c r="N22">
        <v>5.7790000000000003E-3</v>
      </c>
      <c r="O22">
        <v>5.4279999999999997E-3</v>
      </c>
      <c r="P22">
        <v>5.097E-3</v>
      </c>
      <c r="Q22">
        <v>4.7869999999999996E-3</v>
      </c>
      <c r="R22">
        <v>4.496E-3</v>
      </c>
      <c r="S22">
        <v>4.2220000000000001E-3</v>
      </c>
      <c r="T22">
        <v>3.9649999999999998E-3</v>
      </c>
      <c r="U22">
        <v>3.7239999999999999E-3</v>
      </c>
      <c r="V22">
        <v>3.4970000000000001E-3</v>
      </c>
      <c r="W22">
        <v>3.2850000000000002E-3</v>
      </c>
      <c r="X22">
        <v>3.0850000000000001E-3</v>
      </c>
      <c r="Y22">
        <v>2.8969999999999998E-3</v>
      </c>
      <c r="Z22">
        <v>2.7209999999999999E-3</v>
      </c>
      <c r="AA22">
        <v>2.555E-3</v>
      </c>
      <c r="AB22">
        <v>2.3999999999999998E-3</v>
      </c>
      <c r="AC22">
        <v>2.2539999999999999E-3</v>
      </c>
      <c r="AD22">
        <v>2.1159999999999998E-3</v>
      </c>
      <c r="AE22">
        <v>1.9880000000000002E-3</v>
      </c>
      <c r="AF22">
        <v>1.867E-3</v>
      </c>
      <c r="AG22" s="144">
        <v>-6.5000000000000002E-2</v>
      </c>
    </row>
    <row r="23" spans="1:33">
      <c r="A23" t="s">
        <v>361</v>
      </c>
      <c r="B23" t="s">
        <v>2952</v>
      </c>
      <c r="C23" t="s">
        <v>2951</v>
      </c>
      <c r="D23" t="s">
        <v>2264</v>
      </c>
      <c r="F23">
        <v>2.1011999999999999E-2</v>
      </c>
      <c r="G23">
        <v>1.8134999999999998E-2</v>
      </c>
      <c r="H23">
        <v>1.6174000000000001E-2</v>
      </c>
      <c r="I23">
        <v>1.4973999999999999E-2</v>
      </c>
      <c r="J23">
        <v>1.3956E-2</v>
      </c>
      <c r="K23">
        <v>1.3107000000000001E-2</v>
      </c>
      <c r="L23">
        <v>1.2309E-2</v>
      </c>
      <c r="M23">
        <v>1.1560000000000001E-2</v>
      </c>
      <c r="N23">
        <v>1.0857E-2</v>
      </c>
      <c r="O23">
        <v>1.0196E-2</v>
      </c>
      <c r="P23">
        <v>9.5759999999999994E-3</v>
      </c>
      <c r="Q23">
        <v>8.9929999999999993E-3</v>
      </c>
      <c r="R23">
        <v>8.4460000000000004E-3</v>
      </c>
      <c r="S23">
        <v>7.9319999999999998E-3</v>
      </c>
      <c r="T23">
        <v>7.4489999999999999E-3</v>
      </c>
      <c r="U23">
        <v>6.9959999999999996E-3</v>
      </c>
      <c r="V23">
        <v>6.5700000000000003E-3</v>
      </c>
      <c r="W23">
        <v>6.1700000000000001E-3</v>
      </c>
      <c r="X23">
        <v>5.7949999999999998E-3</v>
      </c>
      <c r="Y23">
        <v>5.4419999999999998E-3</v>
      </c>
      <c r="Z23">
        <v>5.1110000000000001E-3</v>
      </c>
      <c r="AA23">
        <v>4.7999999999999996E-3</v>
      </c>
      <c r="AB23">
        <v>4.5079999999999999E-3</v>
      </c>
      <c r="AC23">
        <v>4.2339999999999999E-3</v>
      </c>
      <c r="AD23">
        <v>3.9760000000000004E-3</v>
      </c>
      <c r="AE23">
        <v>3.7339999999999999E-3</v>
      </c>
      <c r="AF23">
        <v>3.5070000000000001E-3</v>
      </c>
      <c r="AG23" s="144">
        <v>-6.7000000000000004E-2</v>
      </c>
    </row>
    <row r="24" spans="1:33">
      <c r="A24" t="s">
        <v>363</v>
      </c>
      <c r="B24" t="s">
        <v>2950</v>
      </c>
      <c r="C24" t="s">
        <v>2949</v>
      </c>
      <c r="D24" t="s">
        <v>2264</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t="s">
        <v>1769</v>
      </c>
    </row>
    <row r="25" spans="1:33">
      <c r="A25" t="s">
        <v>365</v>
      </c>
      <c r="B25" t="s">
        <v>2948</v>
      </c>
      <c r="C25" t="s">
        <v>2947</v>
      </c>
      <c r="D25" t="s">
        <v>2264</v>
      </c>
      <c r="F25">
        <v>6.3569999999999998E-3</v>
      </c>
      <c r="G25">
        <v>6.2129999999999998E-3</v>
      </c>
      <c r="H25">
        <v>6.1710000000000003E-3</v>
      </c>
      <c r="I25">
        <v>6.2329999999999998E-3</v>
      </c>
      <c r="J25">
        <v>6.3090000000000004E-3</v>
      </c>
      <c r="K25">
        <v>5.8409999999999998E-3</v>
      </c>
      <c r="L25">
        <v>5.5059999999999996E-3</v>
      </c>
      <c r="M25">
        <v>5.1269999999999996E-3</v>
      </c>
      <c r="N25">
        <v>4.7260000000000002E-3</v>
      </c>
      <c r="O25">
        <v>4.261E-3</v>
      </c>
      <c r="P25">
        <v>3.8340000000000002E-3</v>
      </c>
      <c r="Q25">
        <v>3.4770000000000001E-3</v>
      </c>
      <c r="R25">
        <v>3.1380000000000002E-3</v>
      </c>
      <c r="S25">
        <v>2.8389999999999999E-3</v>
      </c>
      <c r="T25">
        <v>2.5820000000000001E-3</v>
      </c>
      <c r="U25">
        <v>2.3670000000000002E-3</v>
      </c>
      <c r="V25">
        <v>2.1940000000000002E-3</v>
      </c>
      <c r="W25">
        <v>2.0590000000000001E-3</v>
      </c>
      <c r="X25">
        <v>1.954E-3</v>
      </c>
      <c r="Y25">
        <v>1.8749999999999999E-3</v>
      </c>
      <c r="Z25">
        <v>1.81E-3</v>
      </c>
      <c r="AA25">
        <v>1.7650000000000001E-3</v>
      </c>
      <c r="AB25">
        <v>1.7329999999999999E-3</v>
      </c>
      <c r="AC25">
        <v>1.707E-3</v>
      </c>
      <c r="AD25">
        <v>1.689E-3</v>
      </c>
      <c r="AE25">
        <v>1.6789999999999999E-3</v>
      </c>
      <c r="AF25">
        <v>1.6900000000000001E-3</v>
      </c>
      <c r="AG25" s="144">
        <v>-0.05</v>
      </c>
    </row>
    <row r="26" spans="1:33">
      <c r="A26" t="s">
        <v>2946</v>
      </c>
      <c r="B26" t="s">
        <v>2945</v>
      </c>
      <c r="C26" t="s">
        <v>2944</v>
      </c>
      <c r="D26" t="s">
        <v>2264</v>
      </c>
      <c r="F26">
        <v>8.2284319999999997</v>
      </c>
      <c r="G26">
        <v>9.6453039999999994</v>
      </c>
      <c r="H26">
        <v>11.630860999999999</v>
      </c>
      <c r="I26">
        <v>13.665171000000001</v>
      </c>
      <c r="J26">
        <v>15.056215</v>
      </c>
      <c r="K26">
        <v>15.953856999999999</v>
      </c>
      <c r="L26">
        <v>16.858924999999999</v>
      </c>
      <c r="M26">
        <v>17.645962000000001</v>
      </c>
      <c r="N26">
        <v>18.657536</v>
      </c>
      <c r="O26">
        <v>19.154181999999999</v>
      </c>
      <c r="P26">
        <v>19.950153</v>
      </c>
      <c r="Q26">
        <v>20.856604000000001</v>
      </c>
      <c r="R26">
        <v>21.600054</v>
      </c>
      <c r="S26">
        <v>22.239153000000002</v>
      </c>
      <c r="T26">
        <v>22.856566999999998</v>
      </c>
      <c r="U26">
        <v>23.592328999999999</v>
      </c>
      <c r="V26">
        <v>24.264004</v>
      </c>
      <c r="W26">
        <v>24.766089999999998</v>
      </c>
      <c r="X26">
        <v>25.148533</v>
      </c>
      <c r="Y26">
        <v>25.486834000000002</v>
      </c>
      <c r="Z26">
        <v>25.767271000000001</v>
      </c>
      <c r="AA26">
        <v>26.044504</v>
      </c>
      <c r="AB26">
        <v>26.247608</v>
      </c>
      <c r="AC26">
        <v>26.38533</v>
      </c>
      <c r="AD26">
        <v>26.473428999999999</v>
      </c>
      <c r="AE26">
        <v>26.540516</v>
      </c>
      <c r="AF26">
        <v>26.692737999999999</v>
      </c>
      <c r="AG26" s="144">
        <v>4.5999999999999999E-2</v>
      </c>
    </row>
    <row r="27" spans="1:33">
      <c r="A27" t="s">
        <v>2943</v>
      </c>
      <c r="B27" t="s">
        <v>2942</v>
      </c>
      <c r="C27" t="s">
        <v>2941</v>
      </c>
      <c r="D27" t="s">
        <v>2264</v>
      </c>
      <c r="F27">
        <v>58.972431</v>
      </c>
      <c r="G27">
        <v>58.623009000000003</v>
      </c>
      <c r="H27">
        <v>58.459212999999998</v>
      </c>
      <c r="I27">
        <v>57.744430999999999</v>
      </c>
      <c r="J27">
        <v>56.589874000000002</v>
      </c>
      <c r="K27">
        <v>55.653908000000001</v>
      </c>
      <c r="L27">
        <v>54.970599999999997</v>
      </c>
      <c r="M27">
        <v>54.209446</v>
      </c>
      <c r="N27">
        <v>53.397129</v>
      </c>
      <c r="O27">
        <v>52.621403000000001</v>
      </c>
      <c r="P27">
        <v>52.476672999999998</v>
      </c>
      <c r="Q27">
        <v>52.206305999999998</v>
      </c>
      <c r="R27">
        <v>51.798369999999998</v>
      </c>
      <c r="S27">
        <v>51.437119000000003</v>
      </c>
      <c r="T27">
        <v>51.215508</v>
      </c>
      <c r="U27">
        <v>51.099708999999997</v>
      </c>
      <c r="V27">
        <v>50.898162999999997</v>
      </c>
      <c r="W27">
        <v>50.634231999999997</v>
      </c>
      <c r="X27">
        <v>50.350135999999999</v>
      </c>
      <c r="Y27">
        <v>50.096184000000001</v>
      </c>
      <c r="Z27">
        <v>49.826321</v>
      </c>
      <c r="AA27">
        <v>49.612037999999998</v>
      </c>
      <c r="AB27">
        <v>49.340178999999999</v>
      </c>
      <c r="AC27">
        <v>49.023476000000002</v>
      </c>
      <c r="AD27">
        <v>48.671638000000002</v>
      </c>
      <c r="AE27">
        <v>48.323630999999999</v>
      </c>
      <c r="AF27">
        <v>48.118744</v>
      </c>
      <c r="AG27" s="144">
        <v>-8.0000000000000002E-3</v>
      </c>
    </row>
    <row r="28" spans="1:33">
      <c r="A28" t="s">
        <v>2940</v>
      </c>
    </row>
    <row r="29" spans="1:33">
      <c r="A29" t="s">
        <v>2939</v>
      </c>
    </row>
    <row r="30" spans="1:33">
      <c r="A30" t="s">
        <v>337</v>
      </c>
      <c r="B30" t="s">
        <v>2938</v>
      </c>
      <c r="C30" t="s">
        <v>2937</v>
      </c>
      <c r="D30" t="s">
        <v>2264</v>
      </c>
      <c r="F30">
        <v>102.302567</v>
      </c>
      <c r="G30">
        <v>102.95161400000001</v>
      </c>
      <c r="H30">
        <v>104.194405</v>
      </c>
      <c r="I30">
        <v>104.787285</v>
      </c>
      <c r="J30">
        <v>104.69175</v>
      </c>
      <c r="K30">
        <v>104.503197</v>
      </c>
      <c r="L30">
        <v>103.919022</v>
      </c>
      <c r="M30">
        <v>102.892014</v>
      </c>
      <c r="N30">
        <v>101.796288</v>
      </c>
      <c r="O30">
        <v>101.479591</v>
      </c>
      <c r="P30">
        <v>100.64827</v>
      </c>
      <c r="Q30">
        <v>99.700119000000001</v>
      </c>
      <c r="R30">
        <v>98.631934999999999</v>
      </c>
      <c r="S30">
        <v>97.535667000000004</v>
      </c>
      <c r="T30">
        <v>96.443091999999993</v>
      </c>
      <c r="U30">
        <v>95.375632999999993</v>
      </c>
      <c r="V30">
        <v>94.396254999999996</v>
      </c>
      <c r="W30">
        <v>93.389617999999999</v>
      </c>
      <c r="X30">
        <v>92.375191000000001</v>
      </c>
      <c r="Y30">
        <v>91.304207000000005</v>
      </c>
      <c r="Z30">
        <v>90.293655000000001</v>
      </c>
      <c r="AA30">
        <v>89.291634000000002</v>
      </c>
      <c r="AB30">
        <v>88.319000000000003</v>
      </c>
      <c r="AC30">
        <v>87.386520000000004</v>
      </c>
      <c r="AD30">
        <v>86.393737999999999</v>
      </c>
      <c r="AE30">
        <v>85.382880999999998</v>
      </c>
      <c r="AF30">
        <v>84.28228</v>
      </c>
      <c r="AG30" s="144">
        <v>-7.0000000000000001E-3</v>
      </c>
    </row>
    <row r="31" spans="1:33">
      <c r="A31" t="s">
        <v>339</v>
      </c>
      <c r="B31" t="s">
        <v>2936</v>
      </c>
      <c r="C31" t="s">
        <v>2935</v>
      </c>
      <c r="D31" t="s">
        <v>2264</v>
      </c>
      <c r="F31">
        <v>1.359491</v>
      </c>
      <c r="G31">
        <v>1.7591760000000001</v>
      </c>
      <c r="H31">
        <v>2.0902980000000002</v>
      </c>
      <c r="I31">
        <v>2.344992</v>
      </c>
      <c r="J31">
        <v>2.5653009999999998</v>
      </c>
      <c r="K31">
        <v>2.77746</v>
      </c>
      <c r="L31">
        <v>2.8368449999999998</v>
      </c>
      <c r="M31">
        <v>2.8804449999999999</v>
      </c>
      <c r="N31">
        <v>2.910164</v>
      </c>
      <c r="O31">
        <v>2.9569549999999998</v>
      </c>
      <c r="P31">
        <v>2.9819800000000001</v>
      </c>
      <c r="Q31">
        <v>2.996848</v>
      </c>
      <c r="R31">
        <v>3.0073249999999998</v>
      </c>
      <c r="S31">
        <v>3.0085500000000001</v>
      </c>
      <c r="T31">
        <v>3.0063330000000001</v>
      </c>
      <c r="U31">
        <v>3.002885</v>
      </c>
      <c r="V31">
        <v>2.9980470000000001</v>
      </c>
      <c r="W31">
        <v>2.9885489999999999</v>
      </c>
      <c r="X31">
        <v>2.9737459999999998</v>
      </c>
      <c r="Y31">
        <v>2.9533740000000002</v>
      </c>
      <c r="Z31">
        <v>2.9311419999999999</v>
      </c>
      <c r="AA31">
        <v>2.9072070000000001</v>
      </c>
      <c r="AB31">
        <v>2.8822670000000001</v>
      </c>
      <c r="AC31">
        <v>2.8579620000000001</v>
      </c>
      <c r="AD31">
        <v>2.8323399999999999</v>
      </c>
      <c r="AE31">
        <v>2.806638</v>
      </c>
      <c r="AF31">
        <v>2.7810350000000001</v>
      </c>
      <c r="AG31" s="144">
        <v>2.8000000000000001E-2</v>
      </c>
    </row>
    <row r="32" spans="1:33">
      <c r="A32" t="s">
        <v>2934</v>
      </c>
      <c r="B32" t="s">
        <v>2933</v>
      </c>
      <c r="C32" t="s">
        <v>2932</v>
      </c>
      <c r="D32" t="s">
        <v>2264</v>
      </c>
      <c r="F32">
        <v>103.66205600000001</v>
      </c>
      <c r="G32">
        <v>104.710793</v>
      </c>
      <c r="H32">
        <v>106.28469800000001</v>
      </c>
      <c r="I32">
        <v>107.132278</v>
      </c>
      <c r="J32">
        <v>107.25705000000001</v>
      </c>
      <c r="K32">
        <v>107.280655</v>
      </c>
      <c r="L32">
        <v>106.75586699999999</v>
      </c>
      <c r="M32">
        <v>105.77246100000001</v>
      </c>
      <c r="N32">
        <v>104.706451</v>
      </c>
      <c r="O32">
        <v>104.43654600000001</v>
      </c>
      <c r="P32">
        <v>103.63024900000001</v>
      </c>
      <c r="Q32">
        <v>102.696968</v>
      </c>
      <c r="R32">
        <v>101.639259</v>
      </c>
      <c r="S32">
        <v>100.54422</v>
      </c>
      <c r="T32">
        <v>99.449425000000005</v>
      </c>
      <c r="U32">
        <v>98.378517000000002</v>
      </c>
      <c r="V32">
        <v>97.394301999999996</v>
      </c>
      <c r="W32">
        <v>96.378165999999993</v>
      </c>
      <c r="X32">
        <v>95.348938000000004</v>
      </c>
      <c r="Y32">
        <v>94.257583999999994</v>
      </c>
      <c r="Z32">
        <v>93.224800000000002</v>
      </c>
      <c r="AA32">
        <v>92.198836999999997</v>
      </c>
      <c r="AB32">
        <v>91.201262999999997</v>
      </c>
      <c r="AC32">
        <v>90.244484</v>
      </c>
      <c r="AD32">
        <v>89.226082000000005</v>
      </c>
      <c r="AE32">
        <v>88.189521999999997</v>
      </c>
      <c r="AF32">
        <v>87.063316</v>
      </c>
      <c r="AG32" s="144">
        <v>-7.0000000000000001E-3</v>
      </c>
    </row>
    <row r="33" spans="1:33">
      <c r="A33" t="s">
        <v>2931</v>
      </c>
    </row>
    <row r="34" spans="1:33">
      <c r="A34" t="s">
        <v>344</v>
      </c>
      <c r="B34" t="s">
        <v>2930</v>
      </c>
      <c r="C34" t="s">
        <v>2929</v>
      </c>
      <c r="D34" t="s">
        <v>2264</v>
      </c>
      <c r="F34">
        <v>12.549168999999999</v>
      </c>
      <c r="G34">
        <v>11.123139999999999</v>
      </c>
      <c r="H34">
        <v>10.291789</v>
      </c>
      <c r="I34">
        <v>9.5159450000000003</v>
      </c>
      <c r="J34">
        <v>8.8311440000000001</v>
      </c>
      <c r="K34">
        <v>8.2167960000000004</v>
      </c>
      <c r="L34">
        <v>7.4919269999999996</v>
      </c>
      <c r="M34">
        <v>6.8450810000000004</v>
      </c>
      <c r="N34">
        <v>6.273898</v>
      </c>
      <c r="O34">
        <v>5.8061920000000002</v>
      </c>
      <c r="P34">
        <v>5.3933869999999997</v>
      </c>
      <c r="Q34">
        <v>5.0355230000000004</v>
      </c>
      <c r="R34">
        <v>4.7278669999999998</v>
      </c>
      <c r="S34">
        <v>4.4661549999999997</v>
      </c>
      <c r="T34">
        <v>4.2458489999999998</v>
      </c>
      <c r="U34">
        <v>4.0551969999999997</v>
      </c>
      <c r="V34">
        <v>3.8881600000000001</v>
      </c>
      <c r="W34">
        <v>3.7395999999999998</v>
      </c>
      <c r="X34">
        <v>3.6066370000000001</v>
      </c>
      <c r="Y34">
        <v>3.4864190000000002</v>
      </c>
      <c r="Z34">
        <v>3.3793380000000002</v>
      </c>
      <c r="AA34">
        <v>3.2817249999999998</v>
      </c>
      <c r="AB34">
        <v>3.193632</v>
      </c>
      <c r="AC34">
        <v>3.1148790000000002</v>
      </c>
      <c r="AD34">
        <v>3.041973</v>
      </c>
      <c r="AE34">
        <v>2.9742280000000001</v>
      </c>
      <c r="AF34">
        <v>2.907924</v>
      </c>
      <c r="AG34" s="144">
        <v>-5.5E-2</v>
      </c>
    </row>
    <row r="35" spans="1:33">
      <c r="A35" t="s">
        <v>2928</v>
      </c>
      <c r="B35" t="s">
        <v>2927</v>
      </c>
      <c r="C35" t="s">
        <v>2926</v>
      </c>
      <c r="D35" t="s">
        <v>2264</v>
      </c>
      <c r="F35">
        <v>2.8639999999999998E-3</v>
      </c>
      <c r="G35">
        <v>2.5400000000000002E-3</v>
      </c>
      <c r="H35">
        <v>2.2699999999999999E-3</v>
      </c>
      <c r="I35">
        <v>2.0330000000000001E-3</v>
      </c>
      <c r="J35">
        <v>1.817E-3</v>
      </c>
      <c r="K35">
        <v>1.6230000000000001E-3</v>
      </c>
      <c r="L35">
        <v>1.449E-3</v>
      </c>
      <c r="M35">
        <v>1.2949999999999999E-3</v>
      </c>
      <c r="N35">
        <v>1.16E-3</v>
      </c>
      <c r="O35">
        <v>1.042E-3</v>
      </c>
      <c r="P35">
        <v>9.3800000000000003E-4</v>
      </c>
      <c r="Q35">
        <v>8.4900000000000004E-4</v>
      </c>
      <c r="R35">
        <v>7.7300000000000003E-4</v>
      </c>
      <c r="S35">
        <v>7.0600000000000003E-4</v>
      </c>
      <c r="T35">
        <v>6.4499999999999996E-4</v>
      </c>
      <c r="U35">
        <v>5.9000000000000003E-4</v>
      </c>
      <c r="V35">
        <v>5.4000000000000001E-4</v>
      </c>
      <c r="W35">
        <v>4.9399999999999997E-4</v>
      </c>
      <c r="X35">
        <v>4.5199999999999998E-4</v>
      </c>
      <c r="Y35">
        <v>4.1399999999999998E-4</v>
      </c>
      <c r="Z35">
        <v>3.79E-4</v>
      </c>
      <c r="AA35">
        <v>3.48E-4</v>
      </c>
      <c r="AB35">
        <v>3.19E-4</v>
      </c>
      <c r="AC35">
        <v>2.9300000000000002E-4</v>
      </c>
      <c r="AD35">
        <v>2.6899999999999998E-4</v>
      </c>
      <c r="AE35">
        <v>2.4699999999999999E-4</v>
      </c>
      <c r="AF35">
        <v>2.2699999999999999E-4</v>
      </c>
      <c r="AG35" s="144">
        <v>-9.2999999999999999E-2</v>
      </c>
    </row>
    <row r="36" spans="1:33">
      <c r="A36" t="s">
        <v>2925</v>
      </c>
      <c r="B36" t="s">
        <v>2924</v>
      </c>
      <c r="C36" t="s">
        <v>2923</v>
      </c>
      <c r="D36" t="s">
        <v>2264</v>
      </c>
      <c r="F36">
        <v>0.29653000000000002</v>
      </c>
      <c r="G36">
        <v>0.50309899999999996</v>
      </c>
      <c r="H36">
        <v>0.80167200000000005</v>
      </c>
      <c r="I36">
        <v>1.1923760000000001</v>
      </c>
      <c r="J36">
        <v>1.572093</v>
      </c>
      <c r="K36">
        <v>1.8523419999999999</v>
      </c>
      <c r="L36">
        <v>1.9041239999999999</v>
      </c>
      <c r="M36">
        <v>1.9869030000000001</v>
      </c>
      <c r="N36">
        <v>2.1009099999999998</v>
      </c>
      <c r="O36">
        <v>2.1164010000000002</v>
      </c>
      <c r="P36">
        <v>2.1557840000000001</v>
      </c>
      <c r="Q36">
        <v>2.2217880000000001</v>
      </c>
      <c r="R36">
        <v>2.310524</v>
      </c>
      <c r="S36">
        <v>2.415476</v>
      </c>
      <c r="T36">
        <v>2.5384030000000002</v>
      </c>
      <c r="U36">
        <v>2.6802030000000001</v>
      </c>
      <c r="V36">
        <v>2.8318940000000001</v>
      </c>
      <c r="W36">
        <v>2.9868579999999998</v>
      </c>
      <c r="X36">
        <v>3.140987</v>
      </c>
      <c r="Y36">
        <v>3.2961130000000001</v>
      </c>
      <c r="Z36">
        <v>3.4481570000000001</v>
      </c>
      <c r="AA36">
        <v>3.60026</v>
      </c>
      <c r="AB36">
        <v>3.7473079999999999</v>
      </c>
      <c r="AC36">
        <v>3.8881770000000002</v>
      </c>
      <c r="AD36">
        <v>4.0235529999999997</v>
      </c>
      <c r="AE36">
        <v>4.154433</v>
      </c>
      <c r="AF36">
        <v>4.2916290000000004</v>
      </c>
      <c r="AG36" s="144">
        <v>0.108</v>
      </c>
    </row>
    <row r="37" spans="1:33">
      <c r="A37" t="s">
        <v>2922</v>
      </c>
      <c r="B37" t="s">
        <v>2921</v>
      </c>
      <c r="C37" t="s">
        <v>2920</v>
      </c>
      <c r="D37" t="s">
        <v>2264</v>
      </c>
      <c r="F37">
        <v>0.56253200000000003</v>
      </c>
      <c r="G37">
        <v>1.146296</v>
      </c>
      <c r="H37">
        <v>1.929759</v>
      </c>
      <c r="I37">
        <v>2.8751159999999998</v>
      </c>
      <c r="J37">
        <v>3.82409</v>
      </c>
      <c r="K37">
        <v>4.6343069999999997</v>
      </c>
      <c r="L37">
        <v>5.14358</v>
      </c>
      <c r="M37">
        <v>5.6595240000000002</v>
      </c>
      <c r="N37">
        <v>6.2024869999999996</v>
      </c>
      <c r="O37">
        <v>6.4669239999999997</v>
      </c>
      <c r="P37">
        <v>6.7624469999999999</v>
      </c>
      <c r="Q37">
        <v>7.1013479999999998</v>
      </c>
      <c r="R37">
        <v>7.4724959999999996</v>
      </c>
      <c r="S37">
        <v>7.855645</v>
      </c>
      <c r="T37">
        <v>8.2521819999999995</v>
      </c>
      <c r="U37">
        <v>8.6630739999999999</v>
      </c>
      <c r="V37">
        <v>9.0715109999999992</v>
      </c>
      <c r="W37">
        <v>9.4653989999999997</v>
      </c>
      <c r="X37">
        <v>9.8370650000000008</v>
      </c>
      <c r="Y37">
        <v>10.187685</v>
      </c>
      <c r="Z37">
        <v>10.514441</v>
      </c>
      <c r="AA37">
        <v>10.822343999999999</v>
      </c>
      <c r="AB37">
        <v>11.103389999999999</v>
      </c>
      <c r="AC37">
        <v>11.358796</v>
      </c>
      <c r="AD37">
        <v>11.587569999999999</v>
      </c>
      <c r="AE37">
        <v>11.795612999999999</v>
      </c>
      <c r="AF37">
        <v>12.000555</v>
      </c>
      <c r="AG37" s="144">
        <v>0.125</v>
      </c>
    </row>
    <row r="38" spans="1:33">
      <c r="A38" t="s">
        <v>2919</v>
      </c>
      <c r="B38" t="s">
        <v>2918</v>
      </c>
      <c r="C38" t="s">
        <v>2917</v>
      </c>
      <c r="D38" t="s">
        <v>2264</v>
      </c>
      <c r="F38">
        <v>1.1850689999999999</v>
      </c>
      <c r="G38">
        <v>1.638773</v>
      </c>
      <c r="H38">
        <v>2.1736179999999998</v>
      </c>
      <c r="I38">
        <v>2.6979389999999999</v>
      </c>
      <c r="J38">
        <v>3.1381260000000002</v>
      </c>
      <c r="K38">
        <v>3.370377</v>
      </c>
      <c r="L38">
        <v>3.6680039999999998</v>
      </c>
      <c r="M38">
        <v>3.9408129999999999</v>
      </c>
      <c r="N38">
        <v>4.2051660000000002</v>
      </c>
      <c r="O38">
        <v>4.3040630000000002</v>
      </c>
      <c r="P38">
        <v>4.4485570000000001</v>
      </c>
      <c r="Q38">
        <v>4.645327</v>
      </c>
      <c r="R38">
        <v>4.8150120000000003</v>
      </c>
      <c r="S38">
        <v>4.9758199999999997</v>
      </c>
      <c r="T38">
        <v>5.1337900000000003</v>
      </c>
      <c r="U38">
        <v>5.2950059999999999</v>
      </c>
      <c r="V38">
        <v>5.4441610000000003</v>
      </c>
      <c r="W38">
        <v>5.5754049999999999</v>
      </c>
      <c r="X38">
        <v>5.6888920000000001</v>
      </c>
      <c r="Y38">
        <v>5.7883180000000003</v>
      </c>
      <c r="Z38">
        <v>5.874136</v>
      </c>
      <c r="AA38">
        <v>5.9492469999999997</v>
      </c>
      <c r="AB38">
        <v>6.0113070000000004</v>
      </c>
      <c r="AC38">
        <v>6.0633590000000002</v>
      </c>
      <c r="AD38">
        <v>6.101553</v>
      </c>
      <c r="AE38">
        <v>6.1316829999999998</v>
      </c>
      <c r="AF38">
        <v>6.1589999999999998</v>
      </c>
      <c r="AG38" s="144">
        <v>6.5000000000000002E-2</v>
      </c>
    </row>
    <row r="39" spans="1:33">
      <c r="A39" t="s">
        <v>2916</v>
      </c>
      <c r="B39" t="s">
        <v>2915</v>
      </c>
      <c r="C39" t="s">
        <v>2914</v>
      </c>
      <c r="D39" t="s">
        <v>2264</v>
      </c>
      <c r="F39">
        <v>0.12364600000000001</v>
      </c>
      <c r="G39">
        <v>0.60058800000000001</v>
      </c>
      <c r="H39">
        <v>0.87236199999999997</v>
      </c>
      <c r="I39">
        <v>1.4231579999999999</v>
      </c>
      <c r="J39">
        <v>1.8791610000000001</v>
      </c>
      <c r="K39">
        <v>2.13104</v>
      </c>
      <c r="L39">
        <v>2.7829130000000002</v>
      </c>
      <c r="M39">
        <v>3.344786</v>
      </c>
      <c r="N39">
        <v>3.8575400000000002</v>
      </c>
      <c r="O39">
        <v>4.1657469999999996</v>
      </c>
      <c r="P39">
        <v>4.498634</v>
      </c>
      <c r="Q39">
        <v>4.8714069999999996</v>
      </c>
      <c r="R39">
        <v>5.3828449999999997</v>
      </c>
      <c r="S39">
        <v>5.8346390000000001</v>
      </c>
      <c r="T39">
        <v>6.2449089999999998</v>
      </c>
      <c r="U39">
        <v>6.626042</v>
      </c>
      <c r="V39">
        <v>6.9799410000000002</v>
      </c>
      <c r="W39">
        <v>7.3014549999999998</v>
      </c>
      <c r="X39">
        <v>7.5906399999999996</v>
      </c>
      <c r="Y39">
        <v>7.8502799999999997</v>
      </c>
      <c r="Z39">
        <v>8.0800599999999996</v>
      </c>
      <c r="AA39">
        <v>8.2855609999999995</v>
      </c>
      <c r="AB39">
        <v>8.4643359999999994</v>
      </c>
      <c r="AC39">
        <v>8.6208120000000008</v>
      </c>
      <c r="AD39">
        <v>8.7529179999999993</v>
      </c>
      <c r="AE39">
        <v>8.8674280000000003</v>
      </c>
      <c r="AF39">
        <v>8.9730299999999996</v>
      </c>
      <c r="AG39" s="144">
        <v>0.17899999999999999</v>
      </c>
    </row>
    <row r="40" spans="1:33">
      <c r="A40" t="s">
        <v>351</v>
      </c>
      <c r="B40" t="s">
        <v>2913</v>
      </c>
      <c r="C40" t="s">
        <v>2912</v>
      </c>
      <c r="D40" t="s">
        <v>2264</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t="s">
        <v>1769</v>
      </c>
    </row>
    <row r="41" spans="1:33">
      <c r="A41" t="s">
        <v>353</v>
      </c>
      <c r="B41" t="s">
        <v>2911</v>
      </c>
      <c r="C41" t="s">
        <v>2910</v>
      </c>
      <c r="D41" t="s">
        <v>2264</v>
      </c>
      <c r="F41">
        <v>3.90082</v>
      </c>
      <c r="G41">
        <v>5.0628010000000003</v>
      </c>
      <c r="H41">
        <v>6.1163509999999999</v>
      </c>
      <c r="I41">
        <v>6.9105600000000003</v>
      </c>
      <c r="J41">
        <v>7.5667150000000003</v>
      </c>
      <c r="K41">
        <v>8.163843</v>
      </c>
      <c r="L41">
        <v>8.8358699999999999</v>
      </c>
      <c r="M41">
        <v>9.387321</v>
      </c>
      <c r="N41">
        <v>9.8616050000000008</v>
      </c>
      <c r="O41">
        <v>10.421856</v>
      </c>
      <c r="P41">
        <v>10.881164</v>
      </c>
      <c r="Q41">
        <v>11.30842</v>
      </c>
      <c r="R41">
        <v>11.709387</v>
      </c>
      <c r="S41">
        <v>12.07926</v>
      </c>
      <c r="T41">
        <v>12.424689000000001</v>
      </c>
      <c r="U41">
        <v>12.748823</v>
      </c>
      <c r="V41">
        <v>13.065034000000001</v>
      </c>
      <c r="W41">
        <v>13.356116999999999</v>
      </c>
      <c r="X41">
        <v>13.627514</v>
      </c>
      <c r="Y41">
        <v>13.871776000000001</v>
      </c>
      <c r="Z41">
        <v>14.11332</v>
      </c>
      <c r="AA41">
        <v>14.345656999999999</v>
      </c>
      <c r="AB41">
        <v>14.574265</v>
      </c>
      <c r="AC41">
        <v>14.802521</v>
      </c>
      <c r="AD41">
        <v>15.010236000000001</v>
      </c>
      <c r="AE41">
        <v>15.208282000000001</v>
      </c>
      <c r="AF41">
        <v>15.382315999999999</v>
      </c>
      <c r="AG41" s="144">
        <v>5.3999999999999999E-2</v>
      </c>
    </row>
    <row r="42" spans="1:33">
      <c r="A42" t="s">
        <v>355</v>
      </c>
      <c r="B42" t="s">
        <v>2909</v>
      </c>
      <c r="C42" t="s">
        <v>2908</v>
      </c>
      <c r="D42" t="s">
        <v>2264</v>
      </c>
      <c r="F42">
        <v>2.3479E-2</v>
      </c>
      <c r="G42">
        <v>2.1859E-2</v>
      </c>
      <c r="H42">
        <v>2.0301E-2</v>
      </c>
      <c r="I42">
        <v>1.8825000000000001E-2</v>
      </c>
      <c r="J42">
        <v>1.7481E-2</v>
      </c>
      <c r="K42">
        <v>1.6312E-2</v>
      </c>
      <c r="L42">
        <v>1.5211000000000001E-2</v>
      </c>
      <c r="M42">
        <v>1.4148000000000001E-2</v>
      </c>
      <c r="N42">
        <v>1.3129999999999999E-2</v>
      </c>
      <c r="O42">
        <v>1.217E-2</v>
      </c>
      <c r="P42">
        <v>1.1275E-2</v>
      </c>
      <c r="Q42">
        <v>1.0444E-2</v>
      </c>
      <c r="R42">
        <v>9.6970000000000008E-3</v>
      </c>
      <c r="S42">
        <v>9.0699999999999999E-3</v>
      </c>
      <c r="T42">
        <v>8.4840000000000002E-3</v>
      </c>
      <c r="U42">
        <v>7.9609999999999993E-3</v>
      </c>
      <c r="V42">
        <v>7.4710000000000002E-3</v>
      </c>
      <c r="W42">
        <v>7.0109999999999999E-3</v>
      </c>
      <c r="X42">
        <v>6.5789999999999998E-3</v>
      </c>
      <c r="Y42">
        <v>6.1739999999999998E-3</v>
      </c>
      <c r="Z42">
        <v>5.7939999999999997E-3</v>
      </c>
      <c r="AA42">
        <v>5.437E-3</v>
      </c>
      <c r="AB42">
        <v>5.1029999999999999E-3</v>
      </c>
      <c r="AC42">
        <v>4.7889999999999999E-3</v>
      </c>
      <c r="AD42">
        <v>4.4939999999999997E-3</v>
      </c>
      <c r="AE42">
        <v>4.2180000000000004E-3</v>
      </c>
      <c r="AF42">
        <v>3.9589999999999998E-3</v>
      </c>
      <c r="AG42" s="144">
        <v>-6.6000000000000003E-2</v>
      </c>
    </row>
    <row r="43" spans="1:33">
      <c r="A43" t="s">
        <v>357</v>
      </c>
      <c r="B43" t="s">
        <v>2907</v>
      </c>
      <c r="C43" t="s">
        <v>2906</v>
      </c>
      <c r="D43" t="s">
        <v>2264</v>
      </c>
      <c r="F43">
        <v>1.7728000000000001E-2</v>
      </c>
      <c r="G43">
        <v>1.6631E-2</v>
      </c>
      <c r="H43">
        <v>1.5601E-2</v>
      </c>
      <c r="I43">
        <v>1.4636E-2</v>
      </c>
      <c r="J43">
        <v>1.3731E-2</v>
      </c>
      <c r="K43">
        <v>1.2881999999999999E-2</v>
      </c>
      <c r="L43">
        <v>1.2085E-2</v>
      </c>
      <c r="M43">
        <v>1.1338000000000001E-2</v>
      </c>
      <c r="N43">
        <v>1.0638E-2</v>
      </c>
      <c r="O43">
        <v>9.9810000000000003E-3</v>
      </c>
      <c r="P43">
        <v>9.3640000000000008E-3</v>
      </c>
      <c r="Q43">
        <v>8.7860000000000004E-3</v>
      </c>
      <c r="R43">
        <v>8.2439999999999996E-3</v>
      </c>
      <c r="S43">
        <v>7.7349999999999997E-3</v>
      </c>
      <c r="T43">
        <v>7.2579999999999997E-3</v>
      </c>
      <c r="U43">
        <v>6.8100000000000001E-3</v>
      </c>
      <c r="V43">
        <v>6.3899999999999998E-3</v>
      </c>
      <c r="W43">
        <v>5.9959999999999996E-3</v>
      </c>
      <c r="X43">
        <v>5.6259999999999999E-3</v>
      </c>
      <c r="Y43">
        <v>5.2789999999999998E-3</v>
      </c>
      <c r="Z43">
        <v>4.9540000000000001E-3</v>
      </c>
      <c r="AA43">
        <v>4.6490000000000004E-3</v>
      </c>
      <c r="AB43">
        <v>4.3629999999999997E-3</v>
      </c>
      <c r="AC43">
        <v>4.0940000000000004E-3</v>
      </c>
      <c r="AD43">
        <v>3.8419999999999999E-3</v>
      </c>
      <c r="AE43">
        <v>3.6059999999999998E-3</v>
      </c>
      <c r="AF43">
        <v>3.3839999999999999E-3</v>
      </c>
      <c r="AG43" s="144">
        <v>-6.2E-2</v>
      </c>
    </row>
    <row r="44" spans="1:33">
      <c r="A44" t="s">
        <v>359</v>
      </c>
      <c r="B44" t="s">
        <v>2905</v>
      </c>
      <c r="C44" t="s">
        <v>2904</v>
      </c>
      <c r="D44" t="s">
        <v>2264</v>
      </c>
      <c r="F44">
        <v>4.4714999999999998E-2</v>
      </c>
      <c r="G44">
        <v>4.0724999999999997E-2</v>
      </c>
      <c r="H44">
        <v>3.7668E-2</v>
      </c>
      <c r="I44">
        <v>3.5242999999999997E-2</v>
      </c>
      <c r="J44">
        <v>3.3062000000000001E-2</v>
      </c>
      <c r="K44">
        <v>3.1016999999999999E-2</v>
      </c>
      <c r="L44">
        <v>2.9099E-2</v>
      </c>
      <c r="M44">
        <v>2.7300000000000001E-2</v>
      </c>
      <c r="N44">
        <v>2.5613E-2</v>
      </c>
      <c r="O44">
        <v>2.4029999999999999E-2</v>
      </c>
      <c r="P44">
        <v>2.2544999999999999E-2</v>
      </c>
      <c r="Q44">
        <v>2.1153000000000002E-2</v>
      </c>
      <c r="R44">
        <v>1.9845999999999999E-2</v>
      </c>
      <c r="S44">
        <v>1.8620999999999999E-2</v>
      </c>
      <c r="T44">
        <v>1.7472000000000001E-2</v>
      </c>
      <c r="U44">
        <v>1.6393999999999999E-2</v>
      </c>
      <c r="V44">
        <v>1.5382E-2</v>
      </c>
      <c r="W44">
        <v>1.4434000000000001E-2</v>
      </c>
      <c r="X44">
        <v>1.3544E-2</v>
      </c>
      <c r="Y44">
        <v>1.2709E-2</v>
      </c>
      <c r="Z44">
        <v>1.1925E-2</v>
      </c>
      <c r="AA44">
        <v>1.1191E-2</v>
      </c>
      <c r="AB44">
        <v>1.0501E-2</v>
      </c>
      <c r="AC44">
        <v>9.8539999999999999E-3</v>
      </c>
      <c r="AD44">
        <v>9.2479999999999993E-3</v>
      </c>
      <c r="AE44">
        <v>8.6779999999999999E-3</v>
      </c>
      <c r="AF44">
        <v>8.1440000000000002E-3</v>
      </c>
      <c r="AG44" s="144">
        <v>-6.3E-2</v>
      </c>
    </row>
    <row r="45" spans="1:33">
      <c r="A45" t="s">
        <v>361</v>
      </c>
      <c r="B45" t="s">
        <v>2903</v>
      </c>
      <c r="C45" t="s">
        <v>2902</v>
      </c>
      <c r="D45" t="s">
        <v>2264</v>
      </c>
      <c r="F45">
        <v>4.1583000000000002E-2</v>
      </c>
      <c r="G45">
        <v>3.9009000000000002E-2</v>
      </c>
      <c r="H45">
        <v>3.6595000000000003E-2</v>
      </c>
      <c r="I45">
        <v>3.4331E-2</v>
      </c>
      <c r="J45">
        <v>3.2207E-2</v>
      </c>
      <c r="K45">
        <v>3.0214999999999999E-2</v>
      </c>
      <c r="L45">
        <v>2.8347000000000001E-2</v>
      </c>
      <c r="M45">
        <v>2.6595000000000001E-2</v>
      </c>
      <c r="N45">
        <v>2.4951999999999998E-2</v>
      </c>
      <c r="O45">
        <v>2.341E-2</v>
      </c>
      <c r="P45">
        <v>2.1964000000000001E-2</v>
      </c>
      <c r="Q45">
        <v>2.0608000000000001E-2</v>
      </c>
      <c r="R45">
        <v>1.9335999999999999E-2</v>
      </c>
      <c r="S45">
        <v>1.8141999999999998E-2</v>
      </c>
      <c r="T45">
        <v>1.7023E-2</v>
      </c>
      <c r="U45">
        <v>1.5973000000000001E-2</v>
      </c>
      <c r="V45">
        <v>1.4988E-2</v>
      </c>
      <c r="W45">
        <v>1.4064E-2</v>
      </c>
      <c r="X45">
        <v>1.3197E-2</v>
      </c>
      <c r="Y45">
        <v>1.2383E-2</v>
      </c>
      <c r="Z45">
        <v>1.162E-2</v>
      </c>
      <c r="AA45">
        <v>1.0904E-2</v>
      </c>
      <c r="AB45">
        <v>1.0233000000000001E-2</v>
      </c>
      <c r="AC45">
        <v>9.6030000000000004E-3</v>
      </c>
      <c r="AD45">
        <v>9.0119999999999992E-3</v>
      </c>
      <c r="AE45">
        <v>8.4569999999999992E-3</v>
      </c>
      <c r="AF45">
        <v>7.9369999999999996E-3</v>
      </c>
      <c r="AG45" s="144">
        <v>-6.2E-2</v>
      </c>
    </row>
    <row r="46" spans="1:33">
      <c r="A46" t="s">
        <v>363</v>
      </c>
      <c r="B46" t="s">
        <v>2901</v>
      </c>
      <c r="C46" t="s">
        <v>2900</v>
      </c>
      <c r="D46" t="s">
        <v>2264</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1769</v>
      </c>
    </row>
    <row r="47" spans="1:33">
      <c r="A47" t="s">
        <v>365</v>
      </c>
      <c r="B47" t="s">
        <v>2899</v>
      </c>
      <c r="C47" t="s">
        <v>2898</v>
      </c>
      <c r="D47" t="s">
        <v>2264</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1769</v>
      </c>
    </row>
    <row r="48" spans="1:33">
      <c r="A48" t="s">
        <v>2897</v>
      </c>
      <c r="B48" t="s">
        <v>2896</v>
      </c>
      <c r="C48" t="s">
        <v>2895</v>
      </c>
      <c r="D48" t="s">
        <v>2264</v>
      </c>
      <c r="F48">
        <v>18.748137</v>
      </c>
      <c r="G48">
        <v>20.195459</v>
      </c>
      <c r="H48">
        <v>22.297986999999999</v>
      </c>
      <c r="I48">
        <v>24.720162999999999</v>
      </c>
      <c r="J48">
        <v>26.90963</v>
      </c>
      <c r="K48">
        <v>28.460754000000001</v>
      </c>
      <c r="L48">
        <v>29.912609</v>
      </c>
      <c r="M48">
        <v>31.245107999999998</v>
      </c>
      <c r="N48">
        <v>32.577095</v>
      </c>
      <c r="O48">
        <v>33.351818000000002</v>
      </c>
      <c r="P48">
        <v>34.206062000000003</v>
      </c>
      <c r="Q48">
        <v>35.245651000000002</v>
      </c>
      <c r="R48">
        <v>36.476027999999999</v>
      </c>
      <c r="S48">
        <v>37.681266999999998</v>
      </c>
      <c r="T48">
        <v>38.890701</v>
      </c>
      <c r="U48">
        <v>40.116073999999998</v>
      </c>
      <c r="V48">
        <v>41.325465999999999</v>
      </c>
      <c r="W48">
        <v>42.466835000000003</v>
      </c>
      <c r="X48">
        <v>43.531128000000002</v>
      </c>
      <c r="Y48">
        <v>44.517547999999998</v>
      </c>
      <c r="Z48">
        <v>45.444122</v>
      </c>
      <c r="AA48">
        <v>46.317329000000001</v>
      </c>
      <c r="AB48">
        <v>47.124755999999998</v>
      </c>
      <c r="AC48">
        <v>47.877170999999997</v>
      </c>
      <c r="AD48">
        <v>48.544662000000002</v>
      </c>
      <c r="AE48">
        <v>49.156872</v>
      </c>
      <c r="AF48">
        <v>49.738106000000002</v>
      </c>
      <c r="AG48" s="144">
        <v>3.7999999999999999E-2</v>
      </c>
    </row>
    <row r="49" spans="1:33">
      <c r="A49" t="s">
        <v>2894</v>
      </c>
      <c r="B49" t="s">
        <v>2893</v>
      </c>
      <c r="C49" t="s">
        <v>2892</v>
      </c>
      <c r="D49" t="s">
        <v>2264</v>
      </c>
      <c r="F49">
        <v>122.410194</v>
      </c>
      <c r="G49">
        <v>124.90625</v>
      </c>
      <c r="H49">
        <v>128.58268699999999</v>
      </c>
      <c r="I49">
        <v>131.85244800000001</v>
      </c>
      <c r="J49">
        <v>134.166687</v>
      </c>
      <c r="K49">
        <v>135.741409</v>
      </c>
      <c r="L49">
        <v>136.66847200000001</v>
      </c>
      <c r="M49">
        <v>137.017563</v>
      </c>
      <c r="N49">
        <v>137.28353899999999</v>
      </c>
      <c r="O49">
        <v>137.78836100000001</v>
      </c>
      <c r="P49">
        <v>137.83630400000001</v>
      </c>
      <c r="Q49">
        <v>137.94262699999999</v>
      </c>
      <c r="R49">
        <v>138.115295</v>
      </c>
      <c r="S49">
        <v>138.225494</v>
      </c>
      <c r="T49">
        <v>138.34011799999999</v>
      </c>
      <c r="U49">
        <v>138.494598</v>
      </c>
      <c r="V49">
        <v>138.71977200000001</v>
      </c>
      <c r="W49">
        <v>138.845001</v>
      </c>
      <c r="X49">
        <v>138.880066</v>
      </c>
      <c r="Y49">
        <v>138.77513099999999</v>
      </c>
      <c r="Z49">
        <v>138.668915</v>
      </c>
      <c r="AA49">
        <v>138.51617400000001</v>
      </c>
      <c r="AB49">
        <v>138.326019</v>
      </c>
      <c r="AC49">
        <v>138.121658</v>
      </c>
      <c r="AD49">
        <v>137.77075199999999</v>
      </c>
      <c r="AE49">
        <v>137.34639000000001</v>
      </c>
      <c r="AF49">
        <v>136.801422</v>
      </c>
      <c r="AG49" s="144">
        <v>4.0000000000000001E-3</v>
      </c>
    </row>
    <row r="50" spans="1:33">
      <c r="A50" t="s">
        <v>393</v>
      </c>
      <c r="B50" t="s">
        <v>2891</v>
      </c>
      <c r="C50" t="s">
        <v>2890</v>
      </c>
      <c r="D50" t="s">
        <v>2264</v>
      </c>
      <c r="F50">
        <v>181.38262900000001</v>
      </c>
      <c r="G50">
        <v>183.52926600000001</v>
      </c>
      <c r="H50">
        <v>187.041901</v>
      </c>
      <c r="I50">
        <v>189.596878</v>
      </c>
      <c r="J50">
        <v>190.756561</v>
      </c>
      <c r="K50">
        <v>191.39532500000001</v>
      </c>
      <c r="L50">
        <v>191.63906900000001</v>
      </c>
      <c r="M50">
        <v>191.22700499999999</v>
      </c>
      <c r="N50">
        <v>190.68066400000001</v>
      </c>
      <c r="O50">
        <v>190.40976000000001</v>
      </c>
      <c r="P50">
        <v>190.312973</v>
      </c>
      <c r="Q50">
        <v>190.14892599999999</v>
      </c>
      <c r="R50">
        <v>189.91366600000001</v>
      </c>
      <c r="S50">
        <v>189.66261299999999</v>
      </c>
      <c r="T50">
        <v>189.555634</v>
      </c>
      <c r="U50">
        <v>189.59429900000001</v>
      </c>
      <c r="V50">
        <v>189.61793499999999</v>
      </c>
      <c r="W50">
        <v>189.47923299999999</v>
      </c>
      <c r="X50">
        <v>189.23019400000001</v>
      </c>
      <c r="Y50">
        <v>188.871307</v>
      </c>
      <c r="Z50">
        <v>188.495239</v>
      </c>
      <c r="AA50">
        <v>188.12820400000001</v>
      </c>
      <c r="AB50">
        <v>187.66619900000001</v>
      </c>
      <c r="AC50">
        <v>187.14514199999999</v>
      </c>
      <c r="AD50">
        <v>186.44238300000001</v>
      </c>
      <c r="AE50">
        <v>185.67001300000001</v>
      </c>
      <c r="AF50">
        <v>184.92016599999999</v>
      </c>
      <c r="AG50" s="144">
        <v>1E-3</v>
      </c>
    </row>
    <row r="51" spans="1:33">
      <c r="A51" t="s">
        <v>202</v>
      </c>
      <c r="B51" t="s">
        <v>2889</v>
      </c>
      <c r="C51" t="s">
        <v>2888</v>
      </c>
      <c r="D51" t="s">
        <v>2264</v>
      </c>
      <c r="F51">
        <v>48.625701999999997</v>
      </c>
      <c r="G51">
        <v>48.193686999999997</v>
      </c>
      <c r="H51">
        <v>48.078758000000001</v>
      </c>
      <c r="I51">
        <v>48.138134000000001</v>
      </c>
      <c r="J51">
        <v>48.120185999999997</v>
      </c>
      <c r="K51">
        <v>48.007373999999999</v>
      </c>
      <c r="L51">
        <v>47.782375000000002</v>
      </c>
      <c r="M51">
        <v>47.378162000000003</v>
      </c>
      <c r="N51">
        <v>46.818668000000002</v>
      </c>
      <c r="O51">
        <v>46.128166</v>
      </c>
      <c r="P51">
        <v>45.328541000000001</v>
      </c>
      <c r="Q51">
        <v>44.387264000000002</v>
      </c>
      <c r="R51">
        <v>43.341335000000001</v>
      </c>
      <c r="S51">
        <v>42.205460000000002</v>
      </c>
      <c r="T51">
        <v>40.974620999999999</v>
      </c>
      <c r="U51">
        <v>39.680934999999998</v>
      </c>
      <c r="V51">
        <v>38.330078</v>
      </c>
      <c r="W51">
        <v>36.894835999999998</v>
      </c>
      <c r="X51">
        <v>35.427394999999997</v>
      </c>
      <c r="Y51">
        <v>33.948070999999999</v>
      </c>
      <c r="Z51">
        <v>32.468719</v>
      </c>
      <c r="AA51">
        <v>30.997243999999998</v>
      </c>
      <c r="AB51">
        <v>29.535336000000001</v>
      </c>
      <c r="AC51">
        <v>28.095950999999999</v>
      </c>
      <c r="AD51">
        <v>26.691462999999999</v>
      </c>
      <c r="AE51">
        <v>25.318232999999999</v>
      </c>
      <c r="AF51">
        <v>23.955310999999998</v>
      </c>
      <c r="AG51" s="144">
        <v>-2.7E-2</v>
      </c>
    </row>
    <row r="52" spans="1:33">
      <c r="A52" t="s">
        <v>201</v>
      </c>
      <c r="B52" t="s">
        <v>2887</v>
      </c>
      <c r="C52" t="s">
        <v>2886</v>
      </c>
      <c r="D52" t="s">
        <v>2264</v>
      </c>
      <c r="F52">
        <v>27.953878</v>
      </c>
      <c r="G52">
        <v>26.656334000000001</v>
      </c>
      <c r="H52">
        <v>25.340388999999998</v>
      </c>
      <c r="I52">
        <v>24.262241</v>
      </c>
      <c r="J52">
        <v>23.059394999999999</v>
      </c>
      <c r="K52">
        <v>21.850712000000001</v>
      </c>
      <c r="L52">
        <v>20.794620999999999</v>
      </c>
      <c r="M52">
        <v>19.689993000000001</v>
      </c>
      <c r="N52">
        <v>18.581824999999998</v>
      </c>
      <c r="O52">
        <v>17.529572000000002</v>
      </c>
      <c r="P52">
        <v>16.470074</v>
      </c>
      <c r="Q52">
        <v>15.438552</v>
      </c>
      <c r="R52">
        <v>14.441746</v>
      </c>
      <c r="S52">
        <v>13.511393999999999</v>
      </c>
      <c r="T52">
        <v>12.624192000000001</v>
      </c>
      <c r="U52">
        <v>11.791506999999999</v>
      </c>
      <c r="V52">
        <v>11.019337</v>
      </c>
      <c r="W52">
        <v>10.284483</v>
      </c>
      <c r="X52">
        <v>9.6188059999999993</v>
      </c>
      <c r="Y52">
        <v>8.9883190000000006</v>
      </c>
      <c r="Z52">
        <v>8.4127360000000007</v>
      </c>
      <c r="AA52">
        <v>7.8475239999999999</v>
      </c>
      <c r="AB52">
        <v>7.3246250000000002</v>
      </c>
      <c r="AC52">
        <v>6.8060299999999998</v>
      </c>
      <c r="AD52">
        <v>6.3243</v>
      </c>
      <c r="AE52">
        <v>5.8637930000000003</v>
      </c>
      <c r="AF52">
        <v>5.4058599999999997</v>
      </c>
      <c r="AG52" s="144">
        <v>-6.0999999999999999E-2</v>
      </c>
    </row>
    <row r="53" spans="1:33">
      <c r="A53" t="s">
        <v>203</v>
      </c>
      <c r="B53" t="s">
        <v>2885</v>
      </c>
      <c r="C53" t="s">
        <v>2884</v>
      </c>
      <c r="D53" t="s">
        <v>2264</v>
      </c>
      <c r="F53">
        <v>9.6000000000000002E-5</v>
      </c>
      <c r="G53">
        <v>1.2799999999999999E-4</v>
      </c>
      <c r="H53">
        <v>1.64E-4</v>
      </c>
      <c r="I53">
        <v>2.05E-4</v>
      </c>
      <c r="J53">
        <v>2.4699999999999999E-4</v>
      </c>
      <c r="K53">
        <v>2.9E-4</v>
      </c>
      <c r="L53">
        <v>3.3300000000000002E-4</v>
      </c>
      <c r="M53">
        <v>3.6600000000000001E-4</v>
      </c>
      <c r="N53">
        <v>4.0000000000000002E-4</v>
      </c>
      <c r="O53">
        <v>4.2900000000000002E-4</v>
      </c>
      <c r="P53">
        <v>4.5600000000000003E-4</v>
      </c>
      <c r="Q53">
        <v>4.8099999999999998E-4</v>
      </c>
      <c r="R53">
        <v>5.0500000000000002E-4</v>
      </c>
      <c r="S53">
        <v>5.2700000000000002E-4</v>
      </c>
      <c r="T53">
        <v>5.4699999999999996E-4</v>
      </c>
      <c r="U53">
        <v>5.6499999999999996E-4</v>
      </c>
      <c r="V53">
        <v>5.8100000000000003E-4</v>
      </c>
      <c r="W53">
        <v>5.9500000000000004E-4</v>
      </c>
      <c r="X53">
        <v>6.0700000000000001E-4</v>
      </c>
      <c r="Y53">
        <v>6.1600000000000001E-4</v>
      </c>
      <c r="Z53">
        <v>6.2399999999999999E-4</v>
      </c>
      <c r="AA53">
        <v>6.3000000000000003E-4</v>
      </c>
      <c r="AB53">
        <v>6.3500000000000004E-4</v>
      </c>
      <c r="AC53">
        <v>6.3900000000000003E-4</v>
      </c>
      <c r="AD53">
        <v>6.4099999999999997E-4</v>
      </c>
      <c r="AE53">
        <v>6.4199999999999999E-4</v>
      </c>
      <c r="AF53">
        <v>6.4300000000000002E-4</v>
      </c>
      <c r="AG53" s="144">
        <v>7.5999999999999998E-2</v>
      </c>
    </row>
    <row r="54" spans="1:33">
      <c r="A54" t="s">
        <v>204</v>
      </c>
      <c r="B54" t="s">
        <v>2883</v>
      </c>
      <c r="C54" t="s">
        <v>2882</v>
      </c>
      <c r="D54" t="s">
        <v>2264</v>
      </c>
      <c r="F54">
        <v>0.114205</v>
      </c>
      <c r="G54">
        <v>0.14885599999999999</v>
      </c>
      <c r="H54">
        <v>0.190802</v>
      </c>
      <c r="I54">
        <v>0.23517199999999999</v>
      </c>
      <c r="J54">
        <v>0.28444900000000001</v>
      </c>
      <c r="K54">
        <v>0.341472</v>
      </c>
      <c r="L54">
        <v>0.40223100000000001</v>
      </c>
      <c r="M54">
        <v>0.45658399999999999</v>
      </c>
      <c r="N54">
        <v>0.51463199999999998</v>
      </c>
      <c r="O54">
        <v>0.57250500000000004</v>
      </c>
      <c r="P54">
        <v>0.63237699999999997</v>
      </c>
      <c r="Q54">
        <v>0.69063600000000003</v>
      </c>
      <c r="R54">
        <v>0.74982000000000004</v>
      </c>
      <c r="S54">
        <v>0.812388</v>
      </c>
      <c r="T54">
        <v>0.88426300000000002</v>
      </c>
      <c r="U54">
        <v>0.96602200000000005</v>
      </c>
      <c r="V54">
        <v>1.0575110000000001</v>
      </c>
      <c r="W54">
        <v>1.1574739999999999</v>
      </c>
      <c r="X54">
        <v>1.260321</v>
      </c>
      <c r="Y54">
        <v>1.3653519999999999</v>
      </c>
      <c r="Z54">
        <v>1.474288</v>
      </c>
      <c r="AA54">
        <v>1.5826629999999999</v>
      </c>
      <c r="AB54">
        <v>1.6900949999999999</v>
      </c>
      <c r="AC54">
        <v>1.798157</v>
      </c>
      <c r="AD54">
        <v>1.9034610000000001</v>
      </c>
      <c r="AE54">
        <v>2.0066299999999999</v>
      </c>
      <c r="AF54">
        <v>2.1048879999999999</v>
      </c>
      <c r="AG54" s="144">
        <v>0.11899999999999999</v>
      </c>
    </row>
    <row r="55" spans="1:33">
      <c r="A55" t="s">
        <v>205</v>
      </c>
      <c r="B55" t="s">
        <v>2881</v>
      </c>
      <c r="C55" t="s">
        <v>2880</v>
      </c>
      <c r="D55" t="s">
        <v>2264</v>
      </c>
      <c r="F55">
        <v>13.189996000000001</v>
      </c>
      <c r="G55">
        <v>13.193671</v>
      </c>
      <c r="H55">
        <v>13.121983</v>
      </c>
      <c r="I55">
        <v>13.173780000000001</v>
      </c>
      <c r="J55">
        <v>13.154180999999999</v>
      </c>
      <c r="K55">
        <v>13.184875999999999</v>
      </c>
      <c r="L55">
        <v>13.128769</v>
      </c>
      <c r="M55">
        <v>13.043101</v>
      </c>
      <c r="N55">
        <v>12.913555000000001</v>
      </c>
      <c r="O55">
        <v>12.779474</v>
      </c>
      <c r="P55">
        <v>12.625202</v>
      </c>
      <c r="Q55">
        <v>12.481719999999999</v>
      </c>
      <c r="R55">
        <v>12.34839</v>
      </c>
      <c r="S55">
        <v>12.232132999999999</v>
      </c>
      <c r="T55">
        <v>12.129588999999999</v>
      </c>
      <c r="U55">
        <v>12.031537</v>
      </c>
      <c r="V55">
        <v>11.944037</v>
      </c>
      <c r="W55">
        <v>11.839661</v>
      </c>
      <c r="X55">
        <v>11.745772000000001</v>
      </c>
      <c r="Y55">
        <v>11.627108</v>
      </c>
      <c r="Z55">
        <v>11.513197999999999</v>
      </c>
      <c r="AA55">
        <v>11.378852</v>
      </c>
      <c r="AB55">
        <v>11.251727000000001</v>
      </c>
      <c r="AC55">
        <v>11.107530000000001</v>
      </c>
      <c r="AD55">
        <v>10.963563000000001</v>
      </c>
      <c r="AE55">
        <v>10.807909</v>
      </c>
      <c r="AF55">
        <v>10.659618</v>
      </c>
      <c r="AG55" s="144">
        <v>-8.0000000000000002E-3</v>
      </c>
    </row>
    <row r="56" spans="1:33">
      <c r="A56" t="s">
        <v>206</v>
      </c>
      <c r="B56" t="s">
        <v>2879</v>
      </c>
      <c r="C56" t="s">
        <v>2878</v>
      </c>
      <c r="D56" t="s">
        <v>2264</v>
      </c>
      <c r="F56">
        <v>0.35078199999999998</v>
      </c>
      <c r="G56">
        <v>0.50695299999999999</v>
      </c>
      <c r="H56">
        <v>0.67313500000000004</v>
      </c>
      <c r="I56">
        <v>0.84549700000000005</v>
      </c>
      <c r="J56">
        <v>1.012219</v>
      </c>
      <c r="K56">
        <v>1.159367</v>
      </c>
      <c r="L56">
        <v>1.2972900000000001</v>
      </c>
      <c r="M56">
        <v>1.4414720000000001</v>
      </c>
      <c r="N56">
        <v>1.6012660000000001</v>
      </c>
      <c r="O56">
        <v>1.7668109999999999</v>
      </c>
      <c r="P56">
        <v>1.9549240000000001</v>
      </c>
      <c r="Q56">
        <v>2.1818979999999999</v>
      </c>
      <c r="R56">
        <v>2.4460639999999998</v>
      </c>
      <c r="S56">
        <v>2.7462550000000001</v>
      </c>
      <c r="T56">
        <v>3.0776810000000001</v>
      </c>
      <c r="U56">
        <v>3.4361959999999998</v>
      </c>
      <c r="V56">
        <v>3.81223</v>
      </c>
      <c r="W56">
        <v>4.2114960000000004</v>
      </c>
      <c r="X56">
        <v>4.6245310000000002</v>
      </c>
      <c r="Y56">
        <v>5.0524800000000001</v>
      </c>
      <c r="Z56">
        <v>5.4871999999999996</v>
      </c>
      <c r="AA56">
        <v>5.9153919999999998</v>
      </c>
      <c r="AB56">
        <v>6.3353549999999998</v>
      </c>
      <c r="AC56">
        <v>6.7447650000000001</v>
      </c>
      <c r="AD56">
        <v>7.1302919999999999</v>
      </c>
      <c r="AE56">
        <v>7.4968009999999996</v>
      </c>
      <c r="AF56">
        <v>7.8447820000000004</v>
      </c>
      <c r="AG56" s="144">
        <v>0.127</v>
      </c>
    </row>
    <row r="57" spans="1:33">
      <c r="A57" t="s">
        <v>208</v>
      </c>
      <c r="B57" t="s">
        <v>2877</v>
      </c>
      <c r="C57" t="s">
        <v>2876</v>
      </c>
      <c r="D57" t="s">
        <v>2264</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t="s">
        <v>1769</v>
      </c>
    </row>
    <row r="58" spans="1:33">
      <c r="A58" t="s">
        <v>207</v>
      </c>
      <c r="B58" t="s">
        <v>2875</v>
      </c>
      <c r="C58" t="s">
        <v>2874</v>
      </c>
      <c r="D58" t="s">
        <v>2264</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v>0</v>
      </c>
      <c r="AG58" t="s">
        <v>1769</v>
      </c>
    </row>
    <row r="59" spans="1:33">
      <c r="A59" t="s">
        <v>209</v>
      </c>
      <c r="B59" t="s">
        <v>2873</v>
      </c>
      <c r="C59" t="s">
        <v>2872</v>
      </c>
      <c r="D59" t="s">
        <v>2264</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t="s">
        <v>1769</v>
      </c>
    </row>
    <row r="60" spans="1:33">
      <c r="A60" t="s">
        <v>1830</v>
      </c>
      <c r="B60" t="s">
        <v>2871</v>
      </c>
      <c r="C60" t="s">
        <v>2870</v>
      </c>
      <c r="D60" t="s">
        <v>2264</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t="s">
        <v>1769</v>
      </c>
    </row>
    <row r="61" spans="1:33">
      <c r="A61" t="s">
        <v>1827</v>
      </c>
      <c r="B61" t="s">
        <v>2869</v>
      </c>
      <c r="C61" t="s">
        <v>2868</v>
      </c>
      <c r="D61" t="s">
        <v>2264</v>
      </c>
      <c r="F61">
        <v>0</v>
      </c>
      <c r="G61">
        <v>4.6420000000000003E-2</v>
      </c>
      <c r="H61">
        <v>0.11969299999999999</v>
      </c>
      <c r="I61">
        <v>0.22437000000000001</v>
      </c>
      <c r="J61">
        <v>0.51544800000000002</v>
      </c>
      <c r="K61">
        <v>1.0073209999999999</v>
      </c>
      <c r="L61">
        <v>1.682852</v>
      </c>
      <c r="M61">
        <v>2.5461689999999999</v>
      </c>
      <c r="N61">
        <v>3.5828609999999999</v>
      </c>
      <c r="O61">
        <v>4.7656989999999997</v>
      </c>
      <c r="P61">
        <v>6.0314360000000002</v>
      </c>
      <c r="Q61">
        <v>7.3575619999999997</v>
      </c>
      <c r="R61">
        <v>8.6860540000000004</v>
      </c>
      <c r="S61">
        <v>9.9915140000000005</v>
      </c>
      <c r="T61">
        <v>11.285845</v>
      </c>
      <c r="U61">
        <v>12.553039999999999</v>
      </c>
      <c r="V61">
        <v>13.790806</v>
      </c>
      <c r="W61">
        <v>15.021570000000001</v>
      </c>
      <c r="X61">
        <v>16.206757</v>
      </c>
      <c r="Y61">
        <v>17.344571999999999</v>
      </c>
      <c r="Z61">
        <v>18.450102000000001</v>
      </c>
      <c r="AA61">
        <v>19.517130000000002</v>
      </c>
      <c r="AB61">
        <v>20.542418000000001</v>
      </c>
      <c r="AC61">
        <v>21.528130999999998</v>
      </c>
      <c r="AD61">
        <v>22.438058999999999</v>
      </c>
      <c r="AE61">
        <v>23.298126</v>
      </c>
      <c r="AF61">
        <v>24.146671000000001</v>
      </c>
      <c r="AG61" t="s">
        <v>1769</v>
      </c>
    </row>
    <row r="62" spans="1:33">
      <c r="A62" t="s">
        <v>1824</v>
      </c>
      <c r="B62" t="s">
        <v>2867</v>
      </c>
      <c r="C62" t="s">
        <v>2866</v>
      </c>
      <c r="D62" t="s">
        <v>2264</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1769</v>
      </c>
    </row>
    <row r="63" spans="1:33">
      <c r="A63" t="s">
        <v>405</v>
      </c>
      <c r="B63" t="s">
        <v>2865</v>
      </c>
      <c r="C63" t="s">
        <v>2864</v>
      </c>
      <c r="D63" t="s">
        <v>2264</v>
      </c>
      <c r="F63">
        <v>90.234665000000007</v>
      </c>
      <c r="G63">
        <v>88.746048000000002</v>
      </c>
      <c r="H63">
        <v>87.524910000000006</v>
      </c>
      <c r="I63">
        <v>86.879401999999999</v>
      </c>
      <c r="J63">
        <v>86.146125999999995</v>
      </c>
      <c r="K63">
        <v>85.551413999999994</v>
      </c>
      <c r="L63">
        <v>85.088470000000001</v>
      </c>
      <c r="M63">
        <v>84.555840000000003</v>
      </c>
      <c r="N63">
        <v>84.013214000000005</v>
      </c>
      <c r="O63">
        <v>83.542648</v>
      </c>
      <c r="P63">
        <v>83.043014999999997</v>
      </c>
      <c r="Q63">
        <v>82.538116000000002</v>
      </c>
      <c r="R63">
        <v>82.013915999999995</v>
      </c>
      <c r="S63">
        <v>81.499672000000004</v>
      </c>
      <c r="T63">
        <v>80.976730000000003</v>
      </c>
      <c r="U63">
        <v>80.459800999999999</v>
      </c>
      <c r="V63">
        <v>79.954575000000006</v>
      </c>
      <c r="W63">
        <v>79.410117999999997</v>
      </c>
      <c r="X63">
        <v>78.884186</v>
      </c>
      <c r="Y63">
        <v>78.326515000000001</v>
      </c>
      <c r="Z63">
        <v>77.806870000000004</v>
      </c>
      <c r="AA63">
        <v>77.239440999999999</v>
      </c>
      <c r="AB63">
        <v>76.680183</v>
      </c>
      <c r="AC63">
        <v>76.081199999999995</v>
      </c>
      <c r="AD63">
        <v>75.451774999999998</v>
      </c>
      <c r="AE63">
        <v>74.79213</v>
      </c>
      <c r="AF63">
        <v>74.117767000000001</v>
      </c>
      <c r="AG63" s="144">
        <v>-8.0000000000000002E-3</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DCF43F-F861-4842-A269-E00B5AA865BE}">
  <dimension ref="A1:AH256"/>
  <sheetViews>
    <sheetView topLeftCell="A34" workbookViewId="0">
      <selection activeCell="F68" sqref="F68"/>
    </sheetView>
    <sheetView workbookViewId="1"/>
  </sheetViews>
  <sheetFormatPr defaultRowHeight="14.75"/>
  <cols>
    <col min="1" max="1" width="25.7265625" customWidth="1"/>
    <col min="2" max="2" width="31.40625" customWidth="1"/>
    <col min="3" max="5" width="0" hidden="1" customWidth="1"/>
  </cols>
  <sheetData>
    <row r="1" spans="1:33">
      <c r="A1" t="s">
        <v>2863</v>
      </c>
    </row>
    <row r="2" spans="1:33">
      <c r="A2" t="s">
        <v>2862</v>
      </c>
    </row>
    <row r="3" spans="1:33">
      <c r="A3" t="s">
        <v>2861</v>
      </c>
    </row>
    <row r="4" spans="1:33">
      <c r="A4" t="s">
        <v>2352</v>
      </c>
    </row>
    <row r="5" spans="1:33">
      <c r="B5" t="s">
        <v>2351</v>
      </c>
      <c r="C5" t="s">
        <v>2350</v>
      </c>
      <c r="D5" t="s">
        <v>2349</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2348</v>
      </c>
    </row>
    <row r="6" spans="1:33">
      <c r="A6" t="s">
        <v>2860</v>
      </c>
      <c r="B6" t="s">
        <v>2859</v>
      </c>
      <c r="C6" t="s">
        <v>2858</v>
      </c>
      <c r="D6" t="s">
        <v>2857</v>
      </c>
      <c r="F6">
        <v>7.4910649999999999</v>
      </c>
      <c r="G6">
        <v>6.9627840000000001</v>
      </c>
      <c r="H6">
        <v>6.8976420000000003</v>
      </c>
      <c r="I6">
        <v>7.0512800000000002</v>
      </c>
      <c r="J6">
        <v>7.2985139999999999</v>
      </c>
      <c r="K6">
        <v>7.594258</v>
      </c>
      <c r="L6">
        <v>7.8936859999999998</v>
      </c>
      <c r="M6">
        <v>8.0429499999999994</v>
      </c>
      <c r="N6">
        <v>7.9935489999999998</v>
      </c>
      <c r="O6">
        <v>8.0496719999999993</v>
      </c>
      <c r="P6">
        <v>8.2171109999999992</v>
      </c>
      <c r="Q6">
        <v>8.2853929999999991</v>
      </c>
      <c r="R6">
        <v>8.2681719999999999</v>
      </c>
      <c r="S6">
        <v>8.371435</v>
      </c>
      <c r="T6">
        <v>8.4479150000000001</v>
      </c>
      <c r="U6">
        <v>8.5338659999999997</v>
      </c>
      <c r="V6">
        <v>8.5994890000000002</v>
      </c>
      <c r="W6">
        <v>8.6396069999999998</v>
      </c>
      <c r="X6">
        <v>8.6545310000000004</v>
      </c>
      <c r="Y6">
        <v>8.7485309999999998</v>
      </c>
      <c r="Z6">
        <v>8.8131389999999996</v>
      </c>
      <c r="AA6">
        <v>8.9598329999999997</v>
      </c>
      <c r="AB6">
        <v>9.0501860000000001</v>
      </c>
      <c r="AC6">
        <v>9.0539819999999995</v>
      </c>
      <c r="AD6">
        <v>9.1013739999999999</v>
      </c>
      <c r="AE6">
        <v>9.1853750000000005</v>
      </c>
      <c r="AF6">
        <v>9.3021440000000002</v>
      </c>
      <c r="AG6" s="144">
        <v>8.0000000000000002E-3</v>
      </c>
    </row>
    <row r="7" spans="1:33">
      <c r="A7" t="s">
        <v>149</v>
      </c>
    </row>
    <row r="8" spans="1:33">
      <c r="A8" t="s">
        <v>2856</v>
      </c>
      <c r="B8" t="s">
        <v>2855</v>
      </c>
      <c r="C8" t="s">
        <v>2854</v>
      </c>
      <c r="D8" t="s">
        <v>2850</v>
      </c>
      <c r="F8">
        <v>0.85</v>
      </c>
      <c r="G8">
        <v>0.85897999999999997</v>
      </c>
      <c r="H8">
        <v>0.85993299999999995</v>
      </c>
      <c r="I8">
        <v>0.86078399999999999</v>
      </c>
      <c r="J8">
        <v>0.86154600000000003</v>
      </c>
      <c r="K8">
        <v>0.86222799999999999</v>
      </c>
      <c r="L8">
        <v>0.862842</v>
      </c>
      <c r="M8">
        <v>0.86339399999999999</v>
      </c>
      <c r="N8">
        <v>0.86389400000000005</v>
      </c>
      <c r="O8">
        <v>0.86434800000000001</v>
      </c>
      <c r="P8">
        <v>0.86476200000000003</v>
      </c>
      <c r="Q8">
        <v>0.86514000000000002</v>
      </c>
      <c r="R8">
        <v>0.86548800000000004</v>
      </c>
      <c r="S8">
        <v>0.86580800000000002</v>
      </c>
      <c r="T8">
        <v>0.86610299999999996</v>
      </c>
      <c r="U8">
        <v>0.86637600000000003</v>
      </c>
      <c r="V8">
        <v>0.866672</v>
      </c>
      <c r="W8">
        <v>0.86696700000000004</v>
      </c>
      <c r="X8">
        <v>0.86726300000000001</v>
      </c>
      <c r="Y8">
        <v>0.86755899999999997</v>
      </c>
      <c r="Z8">
        <v>0.86785500000000004</v>
      </c>
      <c r="AA8">
        <v>0.86815100000000001</v>
      </c>
      <c r="AB8">
        <v>0.86844699999999997</v>
      </c>
      <c r="AC8">
        <v>0.86874300000000004</v>
      </c>
      <c r="AD8">
        <v>0.86903900000000001</v>
      </c>
      <c r="AE8">
        <v>0.869336</v>
      </c>
      <c r="AF8">
        <v>0.86963199999999996</v>
      </c>
      <c r="AG8" s="144">
        <v>1E-3</v>
      </c>
    </row>
    <row r="9" spans="1:33">
      <c r="A9" t="s">
        <v>2853</v>
      </c>
      <c r="B9" t="s">
        <v>2852</v>
      </c>
      <c r="C9" t="s">
        <v>2851</v>
      </c>
      <c r="D9" t="s">
        <v>2850</v>
      </c>
      <c r="F9">
        <v>0.84599999999999997</v>
      </c>
      <c r="G9">
        <v>0.85931999999999997</v>
      </c>
      <c r="H9">
        <v>0.86017900000000003</v>
      </c>
      <c r="I9">
        <v>0.86104000000000003</v>
      </c>
      <c r="J9">
        <v>0.86190100000000003</v>
      </c>
      <c r="K9">
        <v>0.86276200000000003</v>
      </c>
      <c r="L9">
        <v>0.86362499999999998</v>
      </c>
      <c r="M9">
        <v>0.86448899999999995</v>
      </c>
      <c r="N9">
        <v>0.86535300000000004</v>
      </c>
      <c r="O9">
        <v>0.86621899999999996</v>
      </c>
      <c r="P9">
        <v>0.86708499999999999</v>
      </c>
      <c r="Q9">
        <v>0.86795199999999995</v>
      </c>
      <c r="R9">
        <v>0.86882000000000004</v>
      </c>
      <c r="S9">
        <v>0.86968900000000005</v>
      </c>
      <c r="T9">
        <v>0.87055800000000005</v>
      </c>
      <c r="U9">
        <v>0.87142900000000001</v>
      </c>
      <c r="V9">
        <v>0.87229999999999996</v>
      </c>
      <c r="W9">
        <v>0.87317299999999998</v>
      </c>
      <c r="X9">
        <v>0.87404599999999999</v>
      </c>
      <c r="Y9">
        <v>0.87492000000000003</v>
      </c>
      <c r="Z9">
        <v>0.87579499999999999</v>
      </c>
      <c r="AA9">
        <v>0.87667099999999998</v>
      </c>
      <c r="AB9">
        <v>0.87754699999999997</v>
      </c>
      <c r="AC9">
        <v>0.87842500000000001</v>
      </c>
      <c r="AD9">
        <v>0.87930299999999995</v>
      </c>
      <c r="AE9">
        <v>0.88018300000000005</v>
      </c>
      <c r="AF9">
        <v>0.88106300000000004</v>
      </c>
      <c r="AG9" s="144">
        <v>2E-3</v>
      </c>
    </row>
    <row r="10" spans="1:33">
      <c r="A10" t="s">
        <v>150</v>
      </c>
    </row>
    <row r="11" spans="1:33">
      <c r="A11" t="s">
        <v>2849</v>
      </c>
    </row>
    <row r="12" spans="1:33">
      <c r="A12" t="s">
        <v>195</v>
      </c>
      <c r="B12" t="s">
        <v>2848</v>
      </c>
      <c r="C12" t="s">
        <v>2847</v>
      </c>
      <c r="D12" t="s">
        <v>1995</v>
      </c>
      <c r="F12">
        <v>342.00198399999999</v>
      </c>
      <c r="G12">
        <v>344.85076900000001</v>
      </c>
      <c r="H12">
        <v>346.96423299999998</v>
      </c>
      <c r="I12">
        <v>348.437408</v>
      </c>
      <c r="J12">
        <v>349.87805200000003</v>
      </c>
      <c r="K12">
        <v>351.28118899999998</v>
      </c>
      <c r="L12">
        <v>352.64178500000003</v>
      </c>
      <c r="M12">
        <v>353.95739700000001</v>
      </c>
      <c r="N12">
        <v>355.23046900000003</v>
      </c>
      <c r="O12">
        <v>356.458527</v>
      </c>
      <c r="P12">
        <v>357.63406400000002</v>
      </c>
      <c r="Q12">
        <v>358.73593099999999</v>
      </c>
      <c r="R12">
        <v>359.77282700000001</v>
      </c>
      <c r="S12">
        <v>360.75125100000002</v>
      </c>
      <c r="T12">
        <v>361.67263800000001</v>
      </c>
      <c r="U12">
        <v>362.53564499999999</v>
      </c>
      <c r="V12">
        <v>363.34353599999997</v>
      </c>
      <c r="W12">
        <v>364.09573399999999</v>
      </c>
      <c r="X12">
        <v>364.79132099999998</v>
      </c>
      <c r="Y12">
        <v>365.436127</v>
      </c>
      <c r="Z12">
        <v>366.03445399999998</v>
      </c>
      <c r="AA12">
        <v>366.59066799999999</v>
      </c>
      <c r="AB12">
        <v>367.10647599999999</v>
      </c>
      <c r="AC12">
        <v>367.58792099999999</v>
      </c>
      <c r="AD12">
        <v>368.03945900000002</v>
      </c>
      <c r="AE12">
        <v>368.46582000000001</v>
      </c>
      <c r="AF12">
        <v>368.87057499999997</v>
      </c>
      <c r="AG12" s="144">
        <v>3.0000000000000001E-3</v>
      </c>
    </row>
    <row r="13" spans="1:33">
      <c r="A13" t="s">
        <v>196</v>
      </c>
      <c r="B13" t="s">
        <v>2846</v>
      </c>
      <c r="C13" t="s">
        <v>2845</v>
      </c>
      <c r="D13" t="s">
        <v>1995</v>
      </c>
      <c r="F13">
        <v>41.115540000000003</v>
      </c>
      <c r="G13">
        <v>41.536887999999998</v>
      </c>
      <c r="H13">
        <v>41.874549999999999</v>
      </c>
      <c r="I13">
        <v>42.188862</v>
      </c>
      <c r="J13">
        <v>42.649399000000003</v>
      </c>
      <c r="K13">
        <v>43.106659000000001</v>
      </c>
      <c r="L13">
        <v>43.563068000000001</v>
      </c>
      <c r="M13">
        <v>44.018310999999997</v>
      </c>
      <c r="N13">
        <v>44.470509</v>
      </c>
      <c r="O13">
        <v>44.918892</v>
      </c>
      <c r="P13">
        <v>45.363788999999997</v>
      </c>
      <c r="Q13">
        <v>45.805728999999999</v>
      </c>
      <c r="R13">
        <v>46.244751000000001</v>
      </c>
      <c r="S13">
        <v>46.679371000000003</v>
      </c>
      <c r="T13">
        <v>47.1096</v>
      </c>
      <c r="U13">
        <v>47.535721000000002</v>
      </c>
      <c r="V13">
        <v>47.958038000000002</v>
      </c>
      <c r="W13">
        <v>48.377231999999999</v>
      </c>
      <c r="X13">
        <v>48.793658999999998</v>
      </c>
      <c r="Y13">
        <v>49.207779000000002</v>
      </c>
      <c r="Z13">
        <v>49.619548999999999</v>
      </c>
      <c r="AA13">
        <v>50.028412000000003</v>
      </c>
      <c r="AB13">
        <v>50.434638999999997</v>
      </c>
      <c r="AC13">
        <v>50.839610999999998</v>
      </c>
      <c r="AD13">
        <v>51.243679</v>
      </c>
      <c r="AE13">
        <v>51.646777999999998</v>
      </c>
      <c r="AF13">
        <v>52.048400999999998</v>
      </c>
      <c r="AG13" s="144">
        <v>8.9999999999999993E-3</v>
      </c>
    </row>
    <row r="14" spans="1:33">
      <c r="A14" t="s">
        <v>2403</v>
      </c>
      <c r="B14" t="s">
        <v>2844</v>
      </c>
      <c r="C14" t="s">
        <v>2843</v>
      </c>
      <c r="D14" t="s">
        <v>1995</v>
      </c>
      <c r="F14">
        <v>130.86099200000001</v>
      </c>
      <c r="G14">
        <v>131.946899</v>
      </c>
      <c r="H14">
        <v>132.99769599999999</v>
      </c>
      <c r="I14">
        <v>134.01769999999999</v>
      </c>
      <c r="J14">
        <v>135.00869800000001</v>
      </c>
      <c r="K14">
        <v>135.970901</v>
      </c>
      <c r="L14">
        <v>136.90479999999999</v>
      </c>
      <c r="M14">
        <v>137.81109599999999</v>
      </c>
      <c r="N14">
        <v>138.690201</v>
      </c>
      <c r="O14">
        <v>139.54209900000001</v>
      </c>
      <c r="P14">
        <v>140.36199999999999</v>
      </c>
      <c r="Q14">
        <v>141.150803</v>
      </c>
      <c r="R14">
        <v>141.90919500000001</v>
      </c>
      <c r="S14">
        <v>142.637497</v>
      </c>
      <c r="T14">
        <v>143.33630400000001</v>
      </c>
      <c r="U14">
        <v>143.99830600000001</v>
      </c>
      <c r="V14">
        <v>144.62429800000001</v>
      </c>
      <c r="W14">
        <v>145.217804</v>
      </c>
      <c r="X14">
        <v>145.77749600000001</v>
      </c>
      <c r="Y14">
        <v>146.300003</v>
      </c>
      <c r="Z14">
        <v>146.78770399999999</v>
      </c>
      <c r="AA14">
        <v>147.24009699999999</v>
      </c>
      <c r="AB14">
        <v>147.65420499999999</v>
      </c>
      <c r="AC14">
        <v>148.03019699999999</v>
      </c>
      <c r="AD14">
        <v>148.37219200000001</v>
      </c>
      <c r="AE14">
        <v>148.67790199999999</v>
      </c>
      <c r="AF14">
        <v>148.946304</v>
      </c>
      <c r="AG14" s="144">
        <v>5.0000000000000001E-3</v>
      </c>
    </row>
    <row r="15" spans="1:33">
      <c r="A15" t="s">
        <v>2400</v>
      </c>
      <c r="B15" t="s">
        <v>2842</v>
      </c>
      <c r="C15" t="s">
        <v>2841</v>
      </c>
      <c r="D15" t="s">
        <v>1995</v>
      </c>
      <c r="F15">
        <v>638.29211399999997</v>
      </c>
      <c r="G15">
        <v>638.94360400000005</v>
      </c>
      <c r="H15">
        <v>639.36071800000002</v>
      </c>
      <c r="I15">
        <v>639.66699200000005</v>
      </c>
      <c r="J15">
        <v>639.91583300000002</v>
      </c>
      <c r="K15">
        <v>640.17175299999997</v>
      </c>
      <c r="L15">
        <v>640.43731700000001</v>
      </c>
      <c r="M15">
        <v>640.70172100000002</v>
      </c>
      <c r="N15">
        <v>640.95202600000005</v>
      </c>
      <c r="O15">
        <v>641.18212900000003</v>
      </c>
      <c r="P15">
        <v>641.40844700000002</v>
      </c>
      <c r="Q15">
        <v>641.61480700000004</v>
      </c>
      <c r="R15">
        <v>641.79180899999994</v>
      </c>
      <c r="S15">
        <v>641.93884300000002</v>
      </c>
      <c r="T15">
        <v>642.04028300000004</v>
      </c>
      <c r="U15">
        <v>642.09295699999996</v>
      </c>
      <c r="V15">
        <v>642.09368900000004</v>
      </c>
      <c r="W15">
        <v>642.03826900000001</v>
      </c>
      <c r="X15">
        <v>641.92571999999996</v>
      </c>
      <c r="Y15">
        <v>641.74835199999995</v>
      </c>
      <c r="Z15">
        <v>641.50354000000004</v>
      </c>
      <c r="AA15">
        <v>641.18670699999996</v>
      </c>
      <c r="AB15">
        <v>640.79913299999998</v>
      </c>
      <c r="AC15">
        <v>640.33795199999997</v>
      </c>
      <c r="AD15">
        <v>639.78851299999997</v>
      </c>
      <c r="AE15">
        <v>639.14599599999997</v>
      </c>
      <c r="AF15">
        <v>638.40759300000002</v>
      </c>
      <c r="AG15" s="144">
        <v>0</v>
      </c>
    </row>
    <row r="16" spans="1:33">
      <c r="A16" t="s">
        <v>2397</v>
      </c>
      <c r="B16" t="s">
        <v>2840</v>
      </c>
      <c r="C16" t="s">
        <v>2839</v>
      </c>
      <c r="D16" t="s">
        <v>1995</v>
      </c>
      <c r="F16">
        <v>123.75299800000001</v>
      </c>
      <c r="G16">
        <v>123.1035</v>
      </c>
      <c r="H16">
        <v>122.427803</v>
      </c>
      <c r="I16">
        <v>121.732399</v>
      </c>
      <c r="J16">
        <v>121.0243</v>
      </c>
      <c r="K16">
        <v>120.308098</v>
      </c>
      <c r="L16">
        <v>119.584198</v>
      </c>
      <c r="M16">
        <v>118.852097</v>
      </c>
      <c r="N16">
        <v>118.114098</v>
      </c>
      <c r="O16">
        <v>117.37249799999999</v>
      </c>
      <c r="P16">
        <v>116.626801</v>
      </c>
      <c r="Q16">
        <v>115.876099</v>
      </c>
      <c r="R16">
        <v>115.12550400000001</v>
      </c>
      <c r="S16">
        <v>114.377403</v>
      </c>
      <c r="T16">
        <v>113.63359800000001</v>
      </c>
      <c r="U16">
        <v>112.89450100000001</v>
      </c>
      <c r="V16">
        <v>112.15830200000001</v>
      </c>
      <c r="W16">
        <v>111.422501</v>
      </c>
      <c r="X16">
        <v>110.69229900000001</v>
      </c>
      <c r="Y16">
        <v>109.972397</v>
      </c>
      <c r="Z16">
        <v>109.25949900000001</v>
      </c>
      <c r="AA16">
        <v>108.552002</v>
      </c>
      <c r="AB16">
        <v>107.850601</v>
      </c>
      <c r="AC16">
        <v>107.15799699999999</v>
      </c>
      <c r="AD16">
        <v>106.47429700000001</v>
      </c>
      <c r="AE16">
        <v>105.796898</v>
      </c>
      <c r="AF16">
        <v>105.12309999999999</v>
      </c>
      <c r="AG16" s="144">
        <v>-6.0000000000000001E-3</v>
      </c>
    </row>
    <row r="17" spans="1:33">
      <c r="A17" t="s">
        <v>2394</v>
      </c>
      <c r="B17" t="s">
        <v>2838</v>
      </c>
      <c r="C17" t="s">
        <v>2837</v>
      </c>
      <c r="D17" t="s">
        <v>1995</v>
      </c>
      <c r="F17">
        <v>32.572749999999999</v>
      </c>
      <c r="G17">
        <v>32.958987999999998</v>
      </c>
      <c r="H17">
        <v>33.324001000000003</v>
      </c>
      <c r="I17">
        <v>33.701228999999998</v>
      </c>
      <c r="J17">
        <v>34.101439999999997</v>
      </c>
      <c r="K17">
        <v>34.498111999999999</v>
      </c>
      <c r="L17">
        <v>34.888981000000001</v>
      </c>
      <c r="M17">
        <v>35.273868999999998</v>
      </c>
      <c r="N17">
        <v>35.652161</v>
      </c>
      <c r="O17">
        <v>36.023972000000001</v>
      </c>
      <c r="P17">
        <v>36.389420000000001</v>
      </c>
      <c r="Q17">
        <v>36.748821</v>
      </c>
      <c r="R17">
        <v>37.102631000000002</v>
      </c>
      <c r="S17">
        <v>37.450699</v>
      </c>
      <c r="T17">
        <v>37.793529999999997</v>
      </c>
      <c r="U17">
        <v>38.131568999999999</v>
      </c>
      <c r="V17">
        <v>38.464809000000002</v>
      </c>
      <c r="W17">
        <v>38.793441999999999</v>
      </c>
      <c r="X17">
        <v>39.117519000000001</v>
      </c>
      <c r="Y17">
        <v>39.437038000000001</v>
      </c>
      <c r="Z17">
        <v>39.751868999999999</v>
      </c>
      <c r="AA17">
        <v>40.061821000000002</v>
      </c>
      <c r="AB17">
        <v>40.366779000000001</v>
      </c>
      <c r="AC17">
        <v>40.666438999999997</v>
      </c>
      <c r="AD17">
        <v>40.960799999999999</v>
      </c>
      <c r="AE17">
        <v>41.249820999999997</v>
      </c>
      <c r="AF17">
        <v>41.533428000000001</v>
      </c>
      <c r="AG17" s="144">
        <v>8.9999999999999993E-3</v>
      </c>
    </row>
    <row r="18" spans="1:33">
      <c r="A18" t="s">
        <v>2391</v>
      </c>
      <c r="B18" t="s">
        <v>2836</v>
      </c>
      <c r="C18" t="s">
        <v>2835</v>
      </c>
      <c r="D18" t="s">
        <v>1995</v>
      </c>
      <c r="F18">
        <v>51.717590000000001</v>
      </c>
      <c r="G18">
        <v>51.667029999999997</v>
      </c>
      <c r="H18">
        <v>51.600391000000002</v>
      </c>
      <c r="I18">
        <v>51.518847999999998</v>
      </c>
      <c r="J18">
        <v>51.423431000000001</v>
      </c>
      <c r="K18">
        <v>51.314017999999997</v>
      </c>
      <c r="L18">
        <v>51.188580000000002</v>
      </c>
      <c r="M18">
        <v>51.048180000000002</v>
      </c>
      <c r="N18">
        <v>50.891289</v>
      </c>
      <c r="O18">
        <v>50.714297999999999</v>
      </c>
      <c r="P18">
        <v>50.516810999999997</v>
      </c>
      <c r="Q18">
        <v>50.300732000000004</v>
      </c>
      <c r="R18">
        <v>50.066540000000003</v>
      </c>
      <c r="S18">
        <v>49.813431000000001</v>
      </c>
      <c r="T18">
        <v>49.541161000000002</v>
      </c>
      <c r="U18">
        <v>49.251888000000001</v>
      </c>
      <c r="V18">
        <v>48.948681000000001</v>
      </c>
      <c r="W18">
        <v>48.630428000000002</v>
      </c>
      <c r="X18">
        <v>48.29974</v>
      </c>
      <c r="Y18">
        <v>47.959041999999997</v>
      </c>
      <c r="Z18">
        <v>47.603371000000003</v>
      </c>
      <c r="AA18">
        <v>47.232948</v>
      </c>
      <c r="AB18">
        <v>46.850898999999998</v>
      </c>
      <c r="AC18">
        <v>46.452061</v>
      </c>
      <c r="AD18">
        <v>46.033797999999997</v>
      </c>
      <c r="AE18">
        <v>45.597301000000002</v>
      </c>
      <c r="AF18">
        <v>45.143130999999997</v>
      </c>
      <c r="AG18" s="144">
        <v>-5.0000000000000001E-3</v>
      </c>
    </row>
    <row r="19" spans="1:33">
      <c r="A19" t="s">
        <v>2388</v>
      </c>
      <c r="B19" t="s">
        <v>2834</v>
      </c>
      <c r="C19" t="s">
        <v>2833</v>
      </c>
      <c r="D19" t="s">
        <v>1995</v>
      </c>
      <c r="F19">
        <v>144.820404</v>
      </c>
      <c r="G19">
        <v>143.99740600000001</v>
      </c>
      <c r="H19">
        <v>143.39439400000001</v>
      </c>
      <c r="I19">
        <v>143.04409799999999</v>
      </c>
      <c r="J19">
        <v>142.66980000000001</v>
      </c>
      <c r="K19">
        <v>142.28509500000001</v>
      </c>
      <c r="L19">
        <v>141.88940400000001</v>
      </c>
      <c r="M19">
        <v>141.475494</v>
      </c>
      <c r="N19">
        <v>141.060394</v>
      </c>
      <c r="O19">
        <v>140.66459699999999</v>
      </c>
      <c r="P19">
        <v>140.28080700000001</v>
      </c>
      <c r="Q19">
        <v>139.90969799999999</v>
      </c>
      <c r="R19">
        <v>139.55149800000001</v>
      </c>
      <c r="S19">
        <v>139.20489499999999</v>
      </c>
      <c r="T19">
        <v>138.876801</v>
      </c>
      <c r="U19">
        <v>138.567398</v>
      </c>
      <c r="V19">
        <v>138.28179900000001</v>
      </c>
      <c r="W19">
        <v>138.021805</v>
      </c>
      <c r="X19">
        <v>137.78280599999999</v>
      </c>
      <c r="Y19">
        <v>137.557907</v>
      </c>
      <c r="Z19">
        <v>137.345001</v>
      </c>
      <c r="AA19">
        <v>137.15220600000001</v>
      </c>
      <c r="AB19">
        <v>136.97369399999999</v>
      </c>
      <c r="AC19">
        <v>136.78939800000001</v>
      </c>
      <c r="AD19">
        <v>136.58599899999999</v>
      </c>
      <c r="AE19">
        <v>136.368393</v>
      </c>
      <c r="AF19">
        <v>136.13279700000001</v>
      </c>
      <c r="AG19" s="144">
        <v>-2E-3</v>
      </c>
    </row>
    <row r="20" spans="1:33">
      <c r="A20" t="s">
        <v>2385</v>
      </c>
      <c r="B20" t="s">
        <v>2832</v>
      </c>
      <c r="C20" t="s">
        <v>2831</v>
      </c>
      <c r="D20" t="s">
        <v>1995</v>
      </c>
      <c r="F20">
        <v>149.552032</v>
      </c>
      <c r="G20">
        <v>151.90119899999999</v>
      </c>
      <c r="H20">
        <v>153.64238</v>
      </c>
      <c r="I20">
        <v>154.55900600000001</v>
      </c>
      <c r="J20">
        <v>155.43940699999999</v>
      </c>
      <c r="K20">
        <v>156.31045499999999</v>
      </c>
      <c r="L20">
        <v>157.196426</v>
      </c>
      <c r="M20">
        <v>158.051254</v>
      </c>
      <c r="N20">
        <v>158.90606700000001</v>
      </c>
      <c r="O20">
        <v>159.74928299999999</v>
      </c>
      <c r="P20">
        <v>160.57231100000001</v>
      </c>
      <c r="Q20">
        <v>161.38737499999999</v>
      </c>
      <c r="R20">
        <v>162.21719400000001</v>
      </c>
      <c r="S20">
        <v>163.06295800000001</v>
      </c>
      <c r="T20">
        <v>163.904617</v>
      </c>
      <c r="U20">
        <v>164.750259</v>
      </c>
      <c r="V20">
        <v>165.596237</v>
      </c>
      <c r="W20">
        <v>166.43772899999999</v>
      </c>
      <c r="X20">
        <v>167.28590399999999</v>
      </c>
      <c r="Y20">
        <v>168.131821</v>
      </c>
      <c r="Z20">
        <v>168.966736</v>
      </c>
      <c r="AA20">
        <v>169.784775</v>
      </c>
      <c r="AB20">
        <v>170.56317100000001</v>
      </c>
      <c r="AC20">
        <v>171.308044</v>
      </c>
      <c r="AD20">
        <v>172.02151499999999</v>
      </c>
      <c r="AE20">
        <v>172.71736100000001</v>
      </c>
      <c r="AF20">
        <v>173.40846300000001</v>
      </c>
      <c r="AG20" s="144">
        <v>6.0000000000000001E-3</v>
      </c>
    </row>
    <row r="21" spans="1:33">
      <c r="A21" t="s">
        <v>198</v>
      </c>
      <c r="B21" t="s">
        <v>2830</v>
      </c>
      <c r="C21" t="s">
        <v>2829</v>
      </c>
      <c r="D21" t="s">
        <v>1995</v>
      </c>
      <c r="F21">
        <v>1419.3210449999999</v>
      </c>
      <c r="G21">
        <v>1416.095947</v>
      </c>
      <c r="H21">
        <v>1412.9139399999999</v>
      </c>
      <c r="I21">
        <v>1409.6789550000001</v>
      </c>
      <c r="J21">
        <v>1406.1369629999999</v>
      </c>
      <c r="K21">
        <v>1402.2829589999999</v>
      </c>
      <c r="L21">
        <v>1398.154053</v>
      </c>
      <c r="M21">
        <v>1393.7490230000001</v>
      </c>
      <c r="N21">
        <v>1389.0600589999999</v>
      </c>
      <c r="O21">
        <v>1384.0970460000001</v>
      </c>
      <c r="P21">
        <v>1378.876953</v>
      </c>
      <c r="Q21">
        <v>1373.4279790000001</v>
      </c>
      <c r="R21">
        <v>1367.7430420000001</v>
      </c>
      <c r="S21">
        <v>1361.829956</v>
      </c>
      <c r="T21">
        <v>1355.7230219999999</v>
      </c>
      <c r="U21">
        <v>1349.3950199999999</v>
      </c>
      <c r="V21">
        <v>1342.8170170000001</v>
      </c>
      <c r="W21">
        <v>1335.98999</v>
      </c>
      <c r="X21">
        <v>1328.909058</v>
      </c>
      <c r="Y21">
        <v>1321.590942</v>
      </c>
      <c r="Z21">
        <v>1314.015991</v>
      </c>
      <c r="AA21">
        <v>1306.114014</v>
      </c>
      <c r="AB21">
        <v>1297.8179929999999</v>
      </c>
      <c r="AC21">
        <v>1289.119995</v>
      </c>
      <c r="AD21">
        <v>1279.9930420000001</v>
      </c>
      <c r="AE21">
        <v>1270.380981</v>
      </c>
      <c r="AF21">
        <v>1260.2889399999999</v>
      </c>
      <c r="AG21" s="144">
        <v>-5.0000000000000001E-3</v>
      </c>
    </row>
    <row r="22" spans="1:33">
      <c r="A22" t="s">
        <v>2380</v>
      </c>
      <c r="B22" t="s">
        <v>2828</v>
      </c>
      <c r="C22" t="s">
        <v>2827</v>
      </c>
      <c r="D22" t="s">
        <v>1995</v>
      </c>
      <c r="F22">
        <v>1450.9360349999999</v>
      </c>
      <c r="G22">
        <v>1463.865967</v>
      </c>
      <c r="H22">
        <v>1476.6259769999999</v>
      </c>
      <c r="I22">
        <v>1489.165039</v>
      </c>
      <c r="J22">
        <v>1501.4329829999999</v>
      </c>
      <c r="K22">
        <v>1513.4239500000001</v>
      </c>
      <c r="L22">
        <v>1525.139038</v>
      </c>
      <c r="M22">
        <v>1536.5410159999999</v>
      </c>
      <c r="N22">
        <v>1547.6070560000001</v>
      </c>
      <c r="O22">
        <v>1558.323975</v>
      </c>
      <c r="P22">
        <v>1568.6879879999999</v>
      </c>
      <c r="Q22">
        <v>1578.6949460000001</v>
      </c>
      <c r="R22">
        <v>1588.3249510000001</v>
      </c>
      <c r="S22">
        <v>1597.536987</v>
      </c>
      <c r="T22">
        <v>1606.301025</v>
      </c>
      <c r="U22">
        <v>1614.639038</v>
      </c>
      <c r="V22">
        <v>1622.579956</v>
      </c>
      <c r="W22">
        <v>1630.119019</v>
      </c>
      <c r="X22">
        <v>1637.2349850000001</v>
      </c>
      <c r="Y22">
        <v>1643.915039</v>
      </c>
      <c r="Z22">
        <v>1650.1870120000001</v>
      </c>
      <c r="AA22">
        <v>1656.0679929999999</v>
      </c>
      <c r="AB22">
        <v>1661.5479740000001</v>
      </c>
      <c r="AC22">
        <v>1666.628052</v>
      </c>
      <c r="AD22">
        <v>1671.3100589999999</v>
      </c>
      <c r="AE22">
        <v>1675.619995</v>
      </c>
      <c r="AF22">
        <v>1679.5889890000001</v>
      </c>
      <c r="AG22" s="144">
        <v>6.0000000000000001E-3</v>
      </c>
    </row>
    <row r="23" spans="1:33">
      <c r="A23" t="s">
        <v>2377</v>
      </c>
      <c r="B23" t="s">
        <v>2826</v>
      </c>
      <c r="C23" t="s">
        <v>2825</v>
      </c>
      <c r="D23" t="s">
        <v>1995</v>
      </c>
      <c r="F23">
        <v>1291.4582519999999</v>
      </c>
      <c r="G23">
        <v>1304.057495</v>
      </c>
      <c r="H23">
        <v>1316.5952150000001</v>
      </c>
      <c r="I23">
        <v>1329.1712649999999</v>
      </c>
      <c r="J23">
        <v>1341.830688</v>
      </c>
      <c r="K23">
        <v>1354.47876</v>
      </c>
      <c r="L23">
        <v>1367.0858149999999</v>
      </c>
      <c r="M23">
        <v>1379.6104740000001</v>
      </c>
      <c r="N23">
        <v>1391.974487</v>
      </c>
      <c r="O23">
        <v>1404.189087</v>
      </c>
      <c r="P23">
        <v>1416.1998289999999</v>
      </c>
      <c r="Q23">
        <v>1427.9586179999999</v>
      </c>
      <c r="R23">
        <v>1439.5329589999999</v>
      </c>
      <c r="S23">
        <v>1450.9320070000001</v>
      </c>
      <c r="T23">
        <v>1462.1069339999999</v>
      </c>
      <c r="U23">
        <v>1473.0660399999999</v>
      </c>
      <c r="V23">
        <v>1483.7818600000001</v>
      </c>
      <c r="W23">
        <v>1494.213379</v>
      </c>
      <c r="X23">
        <v>1504.338135</v>
      </c>
      <c r="Y23">
        <v>1514.190552</v>
      </c>
      <c r="Z23">
        <v>1523.778198</v>
      </c>
      <c r="AA23">
        <v>1533.075562</v>
      </c>
      <c r="AB23">
        <v>1542.126953</v>
      </c>
      <c r="AC23">
        <v>1550.833374</v>
      </c>
      <c r="AD23">
        <v>1559.1789550000001</v>
      </c>
      <c r="AE23">
        <v>1567.2680660000001</v>
      </c>
      <c r="AF23">
        <v>1575.033203</v>
      </c>
      <c r="AG23" s="144">
        <v>8.0000000000000002E-3</v>
      </c>
    </row>
    <row r="24" spans="1:33">
      <c r="A24" t="s">
        <v>2374</v>
      </c>
      <c r="B24" t="s">
        <v>2824</v>
      </c>
      <c r="C24" t="s">
        <v>2823</v>
      </c>
      <c r="D24" t="s">
        <v>1995</v>
      </c>
      <c r="F24">
        <v>295.15145899999999</v>
      </c>
      <c r="G24">
        <v>300.688446</v>
      </c>
      <c r="H24">
        <v>305.99115</v>
      </c>
      <c r="I24">
        <v>311.19366500000001</v>
      </c>
      <c r="J24">
        <v>316.17593399999998</v>
      </c>
      <c r="K24">
        <v>321.01004</v>
      </c>
      <c r="L24">
        <v>325.70974699999999</v>
      </c>
      <c r="M24">
        <v>330.31262199999998</v>
      </c>
      <c r="N24">
        <v>334.88299599999999</v>
      </c>
      <c r="O24">
        <v>339.41720600000002</v>
      </c>
      <c r="P24">
        <v>343.917236</v>
      </c>
      <c r="Q24">
        <v>348.38241599999998</v>
      </c>
      <c r="R24">
        <v>352.82318099999998</v>
      </c>
      <c r="S24">
        <v>357.24234000000001</v>
      </c>
      <c r="T24">
        <v>361.63189699999998</v>
      </c>
      <c r="U24">
        <v>366.00564600000001</v>
      </c>
      <c r="V24">
        <v>370.367615</v>
      </c>
      <c r="W24">
        <v>374.68313599999999</v>
      </c>
      <c r="X24">
        <v>378.94271900000001</v>
      </c>
      <c r="Y24">
        <v>383.14639299999999</v>
      </c>
      <c r="Z24">
        <v>387.300995</v>
      </c>
      <c r="AA24">
        <v>391.42379799999998</v>
      </c>
      <c r="AB24">
        <v>395.485229</v>
      </c>
      <c r="AC24">
        <v>399.48791499999999</v>
      </c>
      <c r="AD24">
        <v>403.45910600000002</v>
      </c>
      <c r="AE24">
        <v>407.399292</v>
      </c>
      <c r="AF24">
        <v>411.28701799999999</v>
      </c>
      <c r="AG24" s="144">
        <v>1.2999999999999999E-2</v>
      </c>
    </row>
    <row r="25" spans="1:33">
      <c r="A25" t="s">
        <v>197</v>
      </c>
      <c r="B25" t="s">
        <v>2822</v>
      </c>
      <c r="C25" t="s">
        <v>2821</v>
      </c>
      <c r="D25" t="s">
        <v>1995</v>
      </c>
      <c r="F25">
        <v>1514.0701899999999</v>
      </c>
      <c r="G25">
        <v>1548.7773440000001</v>
      </c>
      <c r="H25">
        <v>1583.8764650000001</v>
      </c>
      <c r="I25">
        <v>1619.131836</v>
      </c>
      <c r="J25">
        <v>1654.525513</v>
      </c>
      <c r="K25">
        <v>1690.149658</v>
      </c>
      <c r="L25">
        <v>1726.0095209999999</v>
      </c>
      <c r="M25">
        <v>1762.118408</v>
      </c>
      <c r="N25">
        <v>1798.439453</v>
      </c>
      <c r="O25">
        <v>1834.9061280000001</v>
      </c>
      <c r="P25">
        <v>1871.5656739999999</v>
      </c>
      <c r="Q25">
        <v>1908.4392089999999</v>
      </c>
      <c r="R25">
        <v>1945.450073</v>
      </c>
      <c r="S25">
        <v>1982.5341800000001</v>
      </c>
      <c r="T25">
        <v>2019.6979980000001</v>
      </c>
      <c r="U25">
        <v>2056.9470209999999</v>
      </c>
      <c r="V25">
        <v>2094.264404</v>
      </c>
      <c r="W25">
        <v>2131.6120609999998</v>
      </c>
      <c r="X25">
        <v>2168.9555660000001</v>
      </c>
      <c r="Y25">
        <v>2206.2993160000001</v>
      </c>
      <c r="Z25">
        <v>2243.6000979999999</v>
      </c>
      <c r="AA25">
        <v>2280.7885740000002</v>
      </c>
      <c r="AB25">
        <v>2317.8676759999998</v>
      </c>
      <c r="AC25">
        <v>2354.8833009999998</v>
      </c>
      <c r="AD25">
        <v>2391.8115229999999</v>
      </c>
      <c r="AE25">
        <v>2428.5688479999999</v>
      </c>
      <c r="AF25">
        <v>2465.1376949999999</v>
      </c>
      <c r="AG25" s="144">
        <v>1.9E-2</v>
      </c>
    </row>
    <row r="26" spans="1:33">
      <c r="A26" t="s">
        <v>2369</v>
      </c>
      <c r="B26" t="s">
        <v>2820</v>
      </c>
      <c r="C26" t="s">
        <v>2819</v>
      </c>
      <c r="D26" t="s">
        <v>1995</v>
      </c>
      <c r="F26">
        <v>211.99859599999999</v>
      </c>
      <c r="G26">
        <v>212.81239299999999</v>
      </c>
      <c r="H26">
        <v>213.56269800000001</v>
      </c>
      <c r="I26">
        <v>214.26100199999999</v>
      </c>
      <c r="J26">
        <v>214.911407</v>
      </c>
      <c r="K26">
        <v>215.515198</v>
      </c>
      <c r="L26">
        <v>216.07440199999999</v>
      </c>
      <c r="M26">
        <v>216.58729600000001</v>
      </c>
      <c r="N26">
        <v>217.05540500000001</v>
      </c>
      <c r="O26">
        <v>217.479401</v>
      </c>
      <c r="P26">
        <v>217.86090100000001</v>
      </c>
      <c r="Q26">
        <v>218.19970699999999</v>
      </c>
      <c r="R26">
        <v>218.495193</v>
      </c>
      <c r="S26">
        <v>218.74719200000001</v>
      </c>
      <c r="T26">
        <v>218.95559700000001</v>
      </c>
      <c r="U26">
        <v>219.118301</v>
      </c>
      <c r="V26">
        <v>219.23710600000001</v>
      </c>
      <c r="W26">
        <v>219.30720500000001</v>
      </c>
      <c r="X26">
        <v>219.31970200000001</v>
      </c>
      <c r="Y26">
        <v>219.27650499999999</v>
      </c>
      <c r="Z26">
        <v>219.179001</v>
      </c>
      <c r="AA26">
        <v>219.02619899999999</v>
      </c>
      <c r="AB26">
        <v>218.82110599999999</v>
      </c>
      <c r="AC26">
        <v>218.56539900000001</v>
      </c>
      <c r="AD26">
        <v>218.258194</v>
      </c>
      <c r="AE26">
        <v>217.897797</v>
      </c>
      <c r="AF26">
        <v>217.489304</v>
      </c>
      <c r="AG26" s="144">
        <v>1E-3</v>
      </c>
    </row>
    <row r="27" spans="1:33">
      <c r="A27" t="s">
        <v>2366</v>
      </c>
      <c r="B27" t="s">
        <v>2818</v>
      </c>
      <c r="C27" t="s">
        <v>2817</v>
      </c>
      <c r="D27" t="s">
        <v>1995</v>
      </c>
      <c r="F27">
        <v>320.53472900000003</v>
      </c>
      <c r="G27">
        <v>323.07989500000002</v>
      </c>
      <c r="H27">
        <v>325.552795</v>
      </c>
      <c r="I27">
        <v>327.968414</v>
      </c>
      <c r="J27">
        <v>330.324005</v>
      </c>
      <c r="K27">
        <v>332.61663800000002</v>
      </c>
      <c r="L27">
        <v>334.85278299999999</v>
      </c>
      <c r="M27">
        <v>337.03164700000002</v>
      </c>
      <c r="N27">
        <v>339.14974999999998</v>
      </c>
      <c r="O27">
        <v>341.20330799999999</v>
      </c>
      <c r="P27">
        <v>343.19653299999999</v>
      </c>
      <c r="Q27">
        <v>345.12197900000001</v>
      </c>
      <c r="R27">
        <v>346.96935999999999</v>
      </c>
      <c r="S27">
        <v>348.73593099999999</v>
      </c>
      <c r="T27">
        <v>350.42746</v>
      </c>
      <c r="U27">
        <v>352.04385400000001</v>
      </c>
      <c r="V27">
        <v>353.57598899999999</v>
      </c>
      <c r="W27">
        <v>355.021545</v>
      </c>
      <c r="X27">
        <v>356.38485700000001</v>
      </c>
      <c r="Y27">
        <v>357.66561899999999</v>
      </c>
      <c r="Z27">
        <v>358.86309799999998</v>
      </c>
      <c r="AA27">
        <v>359.98111</v>
      </c>
      <c r="AB27">
        <v>361.01959199999999</v>
      </c>
      <c r="AC27">
        <v>361.98382600000002</v>
      </c>
      <c r="AD27">
        <v>362.87286399999999</v>
      </c>
      <c r="AE27">
        <v>363.681061</v>
      </c>
      <c r="AF27">
        <v>364.41592400000002</v>
      </c>
      <c r="AG27" s="144">
        <v>5.0000000000000001E-3</v>
      </c>
    </row>
    <row r="28" spans="1:33">
      <c r="A28" t="s">
        <v>151</v>
      </c>
    </row>
    <row r="29" spans="1:33">
      <c r="A29" t="s">
        <v>2816</v>
      </c>
    </row>
    <row r="30" spans="1:33">
      <c r="A30" t="s">
        <v>2815</v>
      </c>
    </row>
    <row r="31" spans="1:33" s="248" customFormat="1">
      <c r="A31" s="248" t="s">
        <v>195</v>
      </c>
      <c r="B31" s="248" t="s">
        <v>2814</v>
      </c>
      <c r="C31" s="248" t="s">
        <v>2813</v>
      </c>
      <c r="D31" s="248" t="s">
        <v>2264</v>
      </c>
      <c r="F31" s="248">
        <v>769.07440199999996</v>
      </c>
      <c r="G31" s="248">
        <v>784.82141100000001</v>
      </c>
      <c r="H31" s="248">
        <v>804.30224599999997</v>
      </c>
      <c r="I31" s="248">
        <v>822.31329300000004</v>
      </c>
      <c r="J31" s="248">
        <v>836.94464100000005</v>
      </c>
      <c r="K31" s="248">
        <v>852.79473900000005</v>
      </c>
      <c r="L31" s="248">
        <v>867.11852999999996</v>
      </c>
      <c r="M31" s="248">
        <v>878.67956500000003</v>
      </c>
      <c r="N31" s="248">
        <v>892.21368399999994</v>
      </c>
      <c r="O31" s="248">
        <v>906.72900400000003</v>
      </c>
      <c r="P31" s="248">
        <v>920.58386199999995</v>
      </c>
      <c r="Q31" s="248">
        <v>935.94891399999995</v>
      </c>
      <c r="R31" s="248">
        <v>951.57720900000004</v>
      </c>
      <c r="S31" s="248">
        <v>968.24322500000005</v>
      </c>
      <c r="T31" s="248">
        <v>986.23107900000002</v>
      </c>
      <c r="U31" s="248">
        <v>1004.200562</v>
      </c>
      <c r="V31" s="248">
        <v>1022.167603</v>
      </c>
      <c r="W31" s="248">
        <v>1039.7504879999999</v>
      </c>
      <c r="X31" s="248">
        <v>1058.9343260000001</v>
      </c>
      <c r="Y31" s="248">
        <v>1077.6267089999999</v>
      </c>
      <c r="Z31" s="248">
        <v>1094.8948969999999</v>
      </c>
      <c r="AA31" s="248">
        <v>1111.753052</v>
      </c>
      <c r="AB31" s="248">
        <v>1128.2475589999999</v>
      </c>
      <c r="AC31" s="248">
        <v>1147.9022219999999</v>
      </c>
      <c r="AD31" s="248">
        <v>1168.965942</v>
      </c>
      <c r="AE31" s="248">
        <v>1189.009399</v>
      </c>
      <c r="AF31" s="248">
        <v>1208.700439</v>
      </c>
      <c r="AG31" s="249">
        <v>1.7999999999999999E-2</v>
      </c>
    </row>
    <row r="32" spans="1:33">
      <c r="A32" t="s">
        <v>196</v>
      </c>
      <c r="B32" t="s">
        <v>2812</v>
      </c>
      <c r="C32" t="s">
        <v>2811</v>
      </c>
      <c r="D32" t="s">
        <v>2264</v>
      </c>
      <c r="F32">
        <v>37.600501999999999</v>
      </c>
      <c r="G32">
        <v>38.178328999999998</v>
      </c>
      <c r="H32">
        <v>38.814650999999998</v>
      </c>
      <c r="I32">
        <v>39.453270000000003</v>
      </c>
      <c r="J32">
        <v>40.180599000000001</v>
      </c>
      <c r="K32">
        <v>40.914700000000003</v>
      </c>
      <c r="L32">
        <v>41.655926000000001</v>
      </c>
      <c r="M32">
        <v>42.395454000000001</v>
      </c>
      <c r="N32">
        <v>43.133369000000002</v>
      </c>
      <c r="O32">
        <v>43.880180000000003</v>
      </c>
      <c r="P32">
        <v>44.634605000000001</v>
      </c>
      <c r="Q32">
        <v>45.395569000000002</v>
      </c>
      <c r="R32">
        <v>46.160697999999996</v>
      </c>
      <c r="S32">
        <v>46.930233000000001</v>
      </c>
      <c r="T32">
        <v>47.703876000000001</v>
      </c>
      <c r="U32">
        <v>48.486117999999998</v>
      </c>
      <c r="V32">
        <v>49.276463</v>
      </c>
      <c r="W32">
        <v>50.077091000000003</v>
      </c>
      <c r="X32">
        <v>50.886642000000002</v>
      </c>
      <c r="Y32">
        <v>51.703285000000001</v>
      </c>
      <c r="Z32">
        <v>52.524177999999999</v>
      </c>
      <c r="AA32">
        <v>53.346606999999999</v>
      </c>
      <c r="AB32">
        <v>54.175564000000001</v>
      </c>
      <c r="AC32">
        <v>55.012206999999997</v>
      </c>
      <c r="AD32">
        <v>55.854134000000002</v>
      </c>
      <c r="AE32">
        <v>56.703068000000002</v>
      </c>
      <c r="AF32">
        <v>57.554737000000003</v>
      </c>
      <c r="AG32" s="144">
        <v>1.7000000000000001E-2</v>
      </c>
    </row>
    <row r="33" spans="1:33">
      <c r="A33" t="s">
        <v>2403</v>
      </c>
      <c r="B33" t="s">
        <v>2810</v>
      </c>
      <c r="C33" t="s">
        <v>2809</v>
      </c>
      <c r="D33" t="s">
        <v>2264</v>
      </c>
      <c r="F33">
        <v>44.937325000000001</v>
      </c>
      <c r="G33">
        <v>46.664017000000001</v>
      </c>
      <c r="H33">
        <v>48.526760000000003</v>
      </c>
      <c r="I33">
        <v>50.424767000000003</v>
      </c>
      <c r="J33">
        <v>52.343803000000001</v>
      </c>
      <c r="K33">
        <v>54.306579999999997</v>
      </c>
      <c r="L33">
        <v>56.32291</v>
      </c>
      <c r="M33">
        <v>58.395287000000003</v>
      </c>
      <c r="N33">
        <v>60.529983999999999</v>
      </c>
      <c r="O33">
        <v>62.730732000000003</v>
      </c>
      <c r="P33">
        <v>64.997901999999996</v>
      </c>
      <c r="Q33">
        <v>67.333365999999998</v>
      </c>
      <c r="R33">
        <v>69.738975999999994</v>
      </c>
      <c r="S33">
        <v>72.216544999999996</v>
      </c>
      <c r="T33">
        <v>74.767998000000006</v>
      </c>
      <c r="U33">
        <v>77.392760999999993</v>
      </c>
      <c r="V33">
        <v>80.092697000000001</v>
      </c>
      <c r="W33">
        <v>82.870613000000006</v>
      </c>
      <c r="X33">
        <v>85.727813999999995</v>
      </c>
      <c r="Y33">
        <v>88.664771999999999</v>
      </c>
      <c r="Z33">
        <v>91.684021000000001</v>
      </c>
      <c r="AA33">
        <v>94.787086000000002</v>
      </c>
      <c r="AB33">
        <v>97.974486999999996</v>
      </c>
      <c r="AC33">
        <v>101.24791</v>
      </c>
      <c r="AD33">
        <v>104.610649</v>
      </c>
      <c r="AE33">
        <v>108.063469</v>
      </c>
      <c r="AF33">
        <v>111.60762800000001</v>
      </c>
      <c r="AG33" s="144">
        <v>3.5999999999999997E-2</v>
      </c>
    </row>
    <row r="34" spans="1:33">
      <c r="A34" t="s">
        <v>2400</v>
      </c>
      <c r="B34" t="s">
        <v>2808</v>
      </c>
      <c r="C34" t="s">
        <v>2807</v>
      </c>
      <c r="D34" t="s">
        <v>2264</v>
      </c>
      <c r="F34">
        <v>695.70849599999997</v>
      </c>
      <c r="G34">
        <v>711.49200399999995</v>
      </c>
      <c r="H34">
        <v>727.84600799999998</v>
      </c>
      <c r="I34">
        <v>744.40210000000002</v>
      </c>
      <c r="J34">
        <v>761.14691200000004</v>
      </c>
      <c r="K34">
        <v>778.06951900000001</v>
      </c>
      <c r="L34">
        <v>795.17675799999995</v>
      </c>
      <c r="M34">
        <v>812.43670699999996</v>
      </c>
      <c r="N34">
        <v>829.91644299999996</v>
      </c>
      <c r="O34">
        <v>847.72448699999995</v>
      </c>
      <c r="P34">
        <v>865.89209000000005</v>
      </c>
      <c r="Q34">
        <v>884.39624000000003</v>
      </c>
      <c r="R34">
        <v>903.27612299999998</v>
      </c>
      <c r="S34">
        <v>922.48925799999995</v>
      </c>
      <c r="T34">
        <v>942.004456</v>
      </c>
      <c r="U34">
        <v>961.84661900000003</v>
      </c>
      <c r="V34">
        <v>982.01568599999996</v>
      </c>
      <c r="W34">
        <v>1002.504089</v>
      </c>
      <c r="X34">
        <v>1023.338135</v>
      </c>
      <c r="Y34">
        <v>1044.50647</v>
      </c>
      <c r="Z34">
        <v>1065.988159</v>
      </c>
      <c r="AA34">
        <v>1087.7701420000001</v>
      </c>
      <c r="AB34">
        <v>1109.876221</v>
      </c>
      <c r="AC34">
        <v>1132.304932</v>
      </c>
      <c r="AD34">
        <v>1155.0435789999999</v>
      </c>
      <c r="AE34">
        <v>1178.108643</v>
      </c>
      <c r="AF34">
        <v>1201.5139160000001</v>
      </c>
      <c r="AG34" s="144">
        <v>2.1000000000000001E-2</v>
      </c>
    </row>
    <row r="35" spans="1:33">
      <c r="A35" t="s">
        <v>2397</v>
      </c>
      <c r="B35" t="s">
        <v>2806</v>
      </c>
      <c r="C35" t="s">
        <v>2805</v>
      </c>
      <c r="D35" t="s">
        <v>2264</v>
      </c>
      <c r="F35">
        <v>61.775593000000001</v>
      </c>
      <c r="G35">
        <v>62.381695000000001</v>
      </c>
      <c r="H35">
        <v>62.855656000000003</v>
      </c>
      <c r="I35">
        <v>63.321266000000001</v>
      </c>
      <c r="J35">
        <v>63.739643000000001</v>
      </c>
      <c r="K35">
        <v>64.132576</v>
      </c>
      <c r="L35">
        <v>64.504501000000005</v>
      </c>
      <c r="M35">
        <v>64.848395999999994</v>
      </c>
      <c r="N35">
        <v>65.182807999999994</v>
      </c>
      <c r="O35">
        <v>65.504845000000003</v>
      </c>
      <c r="P35">
        <v>65.807434000000001</v>
      </c>
      <c r="Q35">
        <v>66.092277999999993</v>
      </c>
      <c r="R35">
        <v>66.364036999999996</v>
      </c>
      <c r="S35">
        <v>66.631621999999993</v>
      </c>
      <c r="T35">
        <v>66.895629999999997</v>
      </c>
      <c r="U35">
        <v>67.155265999999997</v>
      </c>
      <c r="V35">
        <v>67.418846000000002</v>
      </c>
      <c r="W35">
        <v>67.688338999999999</v>
      </c>
      <c r="X35">
        <v>67.966217</v>
      </c>
      <c r="Y35">
        <v>68.255568999999994</v>
      </c>
      <c r="Z35">
        <v>68.556663999999998</v>
      </c>
      <c r="AA35">
        <v>68.875145000000003</v>
      </c>
      <c r="AB35">
        <v>69.210425999999998</v>
      </c>
      <c r="AC35">
        <v>69.559623999999999</v>
      </c>
      <c r="AD35">
        <v>69.918800000000005</v>
      </c>
      <c r="AE35">
        <v>70.284041999999999</v>
      </c>
      <c r="AF35">
        <v>70.661758000000006</v>
      </c>
      <c r="AG35" s="144">
        <v>5.0000000000000001E-3</v>
      </c>
    </row>
    <row r="36" spans="1:33">
      <c r="A36" t="s">
        <v>2394</v>
      </c>
      <c r="B36" t="s">
        <v>2804</v>
      </c>
      <c r="C36" t="s">
        <v>2803</v>
      </c>
      <c r="D36" t="s">
        <v>2264</v>
      </c>
      <c r="F36">
        <v>59.104053</v>
      </c>
      <c r="G36">
        <v>60.491244999999999</v>
      </c>
      <c r="H36">
        <v>62.268039999999999</v>
      </c>
      <c r="I36">
        <v>64.084372999999999</v>
      </c>
      <c r="J36">
        <v>65.934128000000001</v>
      </c>
      <c r="K36">
        <v>67.765548999999993</v>
      </c>
      <c r="L36">
        <v>69.591826999999995</v>
      </c>
      <c r="M36">
        <v>71.438934000000003</v>
      </c>
      <c r="N36">
        <v>73.293075999999999</v>
      </c>
      <c r="O36">
        <v>75.149169999999998</v>
      </c>
      <c r="P36">
        <v>77.013267999999997</v>
      </c>
      <c r="Q36">
        <v>78.860534999999999</v>
      </c>
      <c r="R36">
        <v>80.713531000000003</v>
      </c>
      <c r="S36">
        <v>82.578789</v>
      </c>
      <c r="T36">
        <v>84.400665000000004</v>
      </c>
      <c r="U36">
        <v>86.218665999999999</v>
      </c>
      <c r="V36">
        <v>88.039467000000002</v>
      </c>
      <c r="W36">
        <v>89.874640999999997</v>
      </c>
      <c r="X36">
        <v>91.723427000000001</v>
      </c>
      <c r="Y36">
        <v>93.586189000000005</v>
      </c>
      <c r="Z36">
        <v>95.459198000000001</v>
      </c>
      <c r="AA36">
        <v>97.339409000000003</v>
      </c>
      <c r="AB36">
        <v>99.226044000000002</v>
      </c>
      <c r="AC36">
        <v>101.119347</v>
      </c>
      <c r="AD36">
        <v>103.02018</v>
      </c>
      <c r="AE36">
        <v>104.928955</v>
      </c>
      <c r="AF36">
        <v>106.846298</v>
      </c>
      <c r="AG36" s="144">
        <v>2.3E-2</v>
      </c>
    </row>
    <row r="37" spans="1:33">
      <c r="A37" t="s">
        <v>2391</v>
      </c>
      <c r="B37" t="s">
        <v>2802</v>
      </c>
      <c r="C37" t="s">
        <v>2801</v>
      </c>
      <c r="D37" t="s">
        <v>2264</v>
      </c>
      <c r="F37">
        <v>8.8967510000000001</v>
      </c>
      <c r="G37">
        <v>9.059666</v>
      </c>
      <c r="H37">
        <v>9.2544029999999999</v>
      </c>
      <c r="I37">
        <v>9.4391470000000002</v>
      </c>
      <c r="J37">
        <v>9.6164670000000001</v>
      </c>
      <c r="K37">
        <v>9.7888599999999997</v>
      </c>
      <c r="L37">
        <v>9.9580110000000008</v>
      </c>
      <c r="M37">
        <v>10.118226999999999</v>
      </c>
      <c r="N37">
        <v>10.269076999999999</v>
      </c>
      <c r="O37">
        <v>10.411737</v>
      </c>
      <c r="P37">
        <v>10.545367000000001</v>
      </c>
      <c r="Q37">
        <v>10.670194</v>
      </c>
      <c r="R37">
        <v>10.79082</v>
      </c>
      <c r="S37">
        <v>10.900812999999999</v>
      </c>
      <c r="T37">
        <v>11.004025</v>
      </c>
      <c r="U37">
        <v>11.099137000000001</v>
      </c>
      <c r="V37">
        <v>11.190951999999999</v>
      </c>
      <c r="W37">
        <v>11.280606000000001</v>
      </c>
      <c r="X37">
        <v>11.364058999999999</v>
      </c>
      <c r="Y37">
        <v>11.438848</v>
      </c>
      <c r="Z37">
        <v>11.500484999999999</v>
      </c>
      <c r="AA37">
        <v>11.546016</v>
      </c>
      <c r="AB37">
        <v>11.579746999999999</v>
      </c>
      <c r="AC37">
        <v>11.604858999999999</v>
      </c>
      <c r="AD37">
        <v>11.625552000000001</v>
      </c>
      <c r="AE37">
        <v>11.645999</v>
      </c>
      <c r="AF37">
        <v>11.664306</v>
      </c>
      <c r="AG37" s="144">
        <v>0.01</v>
      </c>
    </row>
    <row r="38" spans="1:33">
      <c r="A38" t="s">
        <v>2388</v>
      </c>
      <c r="B38" t="s">
        <v>2800</v>
      </c>
      <c r="C38" t="s">
        <v>2799</v>
      </c>
      <c r="D38" t="s">
        <v>2264</v>
      </c>
      <c r="F38">
        <v>79.585273999999998</v>
      </c>
      <c r="G38">
        <v>80.866996999999998</v>
      </c>
      <c r="H38">
        <v>81.715607000000006</v>
      </c>
      <c r="I38">
        <v>82.199477999999999</v>
      </c>
      <c r="J38">
        <v>83.152343999999999</v>
      </c>
      <c r="K38">
        <v>84.156509</v>
      </c>
      <c r="L38">
        <v>85.166290000000004</v>
      </c>
      <c r="M38">
        <v>86.182060000000007</v>
      </c>
      <c r="N38">
        <v>87.230773999999997</v>
      </c>
      <c r="O38">
        <v>88.321006999999994</v>
      </c>
      <c r="P38">
        <v>89.456703000000005</v>
      </c>
      <c r="Q38">
        <v>90.623169000000004</v>
      </c>
      <c r="R38">
        <v>91.766723999999996</v>
      </c>
      <c r="S38">
        <v>92.878967000000003</v>
      </c>
      <c r="T38">
        <v>93.975448999999998</v>
      </c>
      <c r="U38">
        <v>95.062118999999996</v>
      </c>
      <c r="V38">
        <v>96.155242999999999</v>
      </c>
      <c r="W38">
        <v>97.370361000000003</v>
      </c>
      <c r="X38">
        <v>98.666923999999995</v>
      </c>
      <c r="Y38">
        <v>99.982994000000005</v>
      </c>
      <c r="Z38">
        <v>101.31059999999999</v>
      </c>
      <c r="AA38">
        <v>102.642517</v>
      </c>
      <c r="AB38">
        <v>104.006531</v>
      </c>
      <c r="AC38">
        <v>105.415451</v>
      </c>
      <c r="AD38">
        <v>106.801079</v>
      </c>
      <c r="AE38">
        <v>108.164368</v>
      </c>
      <c r="AF38">
        <v>109.533089</v>
      </c>
      <c r="AG38" s="144">
        <v>1.2E-2</v>
      </c>
    </row>
    <row r="39" spans="1:33">
      <c r="A39" t="s">
        <v>2385</v>
      </c>
      <c r="B39" t="s">
        <v>2798</v>
      </c>
      <c r="C39" t="s">
        <v>2797</v>
      </c>
      <c r="D39" t="s">
        <v>2264</v>
      </c>
      <c r="F39">
        <v>10.941443</v>
      </c>
      <c r="G39">
        <v>11.379101</v>
      </c>
      <c r="H39">
        <v>11.839905999999999</v>
      </c>
      <c r="I39">
        <v>12.262307</v>
      </c>
      <c r="J39">
        <v>12.709543</v>
      </c>
      <c r="K39">
        <v>13.170254</v>
      </c>
      <c r="L39">
        <v>13.621606</v>
      </c>
      <c r="M39">
        <v>14.066698000000001</v>
      </c>
      <c r="N39">
        <v>14.516427</v>
      </c>
      <c r="O39">
        <v>14.975104</v>
      </c>
      <c r="P39">
        <v>15.443626999999999</v>
      </c>
      <c r="Q39">
        <v>15.927789000000001</v>
      </c>
      <c r="R39">
        <v>16.429544</v>
      </c>
      <c r="S39">
        <v>16.944839000000002</v>
      </c>
      <c r="T39">
        <v>17.472024999999999</v>
      </c>
      <c r="U39">
        <v>18.011406000000001</v>
      </c>
      <c r="V39">
        <v>18.559581999999999</v>
      </c>
      <c r="W39">
        <v>19.116617000000002</v>
      </c>
      <c r="X39">
        <v>19.688261000000001</v>
      </c>
      <c r="Y39">
        <v>20.275386999999998</v>
      </c>
      <c r="Z39">
        <v>20.877848</v>
      </c>
      <c r="AA39">
        <v>21.496079999999999</v>
      </c>
      <c r="AB39">
        <v>22.125900000000001</v>
      </c>
      <c r="AC39">
        <v>22.769482</v>
      </c>
      <c r="AD39">
        <v>23.426698999999999</v>
      </c>
      <c r="AE39">
        <v>24.098751</v>
      </c>
      <c r="AF39">
        <v>24.786325000000001</v>
      </c>
      <c r="AG39" s="144">
        <v>3.2000000000000001E-2</v>
      </c>
    </row>
    <row r="40" spans="1:33">
      <c r="A40" t="s">
        <v>198</v>
      </c>
      <c r="B40" t="s">
        <v>2796</v>
      </c>
      <c r="C40" t="s">
        <v>2795</v>
      </c>
      <c r="D40" t="s">
        <v>2264</v>
      </c>
      <c r="F40">
        <v>559.27313200000003</v>
      </c>
      <c r="G40">
        <v>594.13140899999996</v>
      </c>
      <c r="H40">
        <v>627.76330600000006</v>
      </c>
      <c r="I40">
        <v>661.17810099999997</v>
      </c>
      <c r="J40">
        <v>695.78857400000004</v>
      </c>
      <c r="K40">
        <v>731.95825200000002</v>
      </c>
      <c r="L40">
        <v>769.54247999999995</v>
      </c>
      <c r="M40">
        <v>808.29693599999996</v>
      </c>
      <c r="N40">
        <v>848.34277299999997</v>
      </c>
      <c r="O40">
        <v>889.39392099999998</v>
      </c>
      <c r="P40">
        <v>931.40570100000002</v>
      </c>
      <c r="Q40">
        <v>974.317993</v>
      </c>
      <c r="R40">
        <v>1017.733276</v>
      </c>
      <c r="S40">
        <v>1061.8748780000001</v>
      </c>
      <c r="T40">
        <v>1106.9210210000001</v>
      </c>
      <c r="U40">
        <v>1152.8358149999999</v>
      </c>
      <c r="V40">
        <v>1199.5791019999999</v>
      </c>
      <c r="W40">
        <v>1247.1011960000001</v>
      </c>
      <c r="X40">
        <v>1295.3479</v>
      </c>
      <c r="Y40">
        <v>1344.256592</v>
      </c>
      <c r="Z40">
        <v>1393.769043</v>
      </c>
      <c r="AA40">
        <v>1443.8480219999999</v>
      </c>
      <c r="AB40">
        <v>1494.452759</v>
      </c>
      <c r="AC40">
        <v>1545.523682</v>
      </c>
      <c r="AD40">
        <v>1596.999268</v>
      </c>
      <c r="AE40">
        <v>1648.838013</v>
      </c>
      <c r="AF40">
        <v>1700.9682620000001</v>
      </c>
      <c r="AG40" s="144">
        <v>4.3999999999999997E-2</v>
      </c>
    </row>
    <row r="41" spans="1:33">
      <c r="A41" t="s">
        <v>2380</v>
      </c>
      <c r="B41" t="s">
        <v>2794</v>
      </c>
      <c r="C41" t="s">
        <v>2793</v>
      </c>
      <c r="D41" t="s">
        <v>2264</v>
      </c>
      <c r="F41">
        <v>92.931549000000004</v>
      </c>
      <c r="G41">
        <v>101.376099</v>
      </c>
      <c r="H41">
        <v>110.33313</v>
      </c>
      <c r="I41">
        <v>120.11642500000001</v>
      </c>
      <c r="J41">
        <v>130.41546600000001</v>
      </c>
      <c r="K41">
        <v>141.295288</v>
      </c>
      <c r="L41">
        <v>152.72457900000001</v>
      </c>
      <c r="M41">
        <v>164.62188699999999</v>
      </c>
      <c r="N41">
        <v>176.903763</v>
      </c>
      <c r="O41">
        <v>189.48220800000001</v>
      </c>
      <c r="P41">
        <v>202.315201</v>
      </c>
      <c r="Q41">
        <v>215.34852599999999</v>
      </c>
      <c r="R41">
        <v>228.498154</v>
      </c>
      <c r="S41">
        <v>241.86232000000001</v>
      </c>
      <c r="T41">
        <v>255.350876</v>
      </c>
      <c r="U41">
        <v>269.00149499999998</v>
      </c>
      <c r="V41">
        <v>282.92517099999998</v>
      </c>
      <c r="W41">
        <v>297.09121699999997</v>
      </c>
      <c r="X41">
        <v>311.47659299999998</v>
      </c>
      <c r="Y41">
        <v>326.04113799999999</v>
      </c>
      <c r="Z41">
        <v>340.754211</v>
      </c>
      <c r="AA41">
        <v>355.61544800000001</v>
      </c>
      <c r="AB41">
        <v>370.64233400000001</v>
      </c>
      <c r="AC41">
        <v>385.80407700000001</v>
      </c>
      <c r="AD41">
        <v>401.073059</v>
      </c>
      <c r="AE41">
        <v>416.421783</v>
      </c>
      <c r="AF41">
        <v>431.81970200000001</v>
      </c>
      <c r="AG41" s="144">
        <v>6.0999999999999999E-2</v>
      </c>
    </row>
    <row r="42" spans="1:33">
      <c r="A42" t="s">
        <v>2377</v>
      </c>
      <c r="B42" t="s">
        <v>2792</v>
      </c>
      <c r="C42" t="s">
        <v>2791</v>
      </c>
      <c r="D42" t="s">
        <v>2264</v>
      </c>
      <c r="F42">
        <v>207.688568</v>
      </c>
      <c r="G42">
        <v>218.51014699999999</v>
      </c>
      <c r="H42">
        <v>230.73056</v>
      </c>
      <c r="I42">
        <v>243.18684400000001</v>
      </c>
      <c r="J42">
        <v>255.80749499999999</v>
      </c>
      <c r="K42">
        <v>268.62222300000002</v>
      </c>
      <c r="L42">
        <v>281.779968</v>
      </c>
      <c r="M42">
        <v>295.357147</v>
      </c>
      <c r="N42">
        <v>309.34939600000001</v>
      </c>
      <c r="O42">
        <v>323.70144699999997</v>
      </c>
      <c r="P42">
        <v>338.35299700000002</v>
      </c>
      <c r="Q42">
        <v>353.25491299999999</v>
      </c>
      <c r="R42">
        <v>368.41958599999998</v>
      </c>
      <c r="S42">
        <v>383.78338600000001</v>
      </c>
      <c r="T42">
        <v>399.58883700000001</v>
      </c>
      <c r="U42">
        <v>415.85287499999998</v>
      </c>
      <c r="V42">
        <v>432.55575599999997</v>
      </c>
      <c r="W42">
        <v>449.64736900000003</v>
      </c>
      <c r="X42">
        <v>467.163971</v>
      </c>
      <c r="Y42">
        <v>485.09390300000001</v>
      </c>
      <c r="Z42">
        <v>503.41665599999999</v>
      </c>
      <c r="AA42">
        <v>522.11938499999997</v>
      </c>
      <c r="AB42">
        <v>541.16510000000005</v>
      </c>
      <c r="AC42">
        <v>560.50476100000003</v>
      </c>
      <c r="AD42">
        <v>580.16613800000005</v>
      </c>
      <c r="AE42">
        <v>600.20391800000004</v>
      </c>
      <c r="AF42">
        <v>620.71032700000001</v>
      </c>
      <c r="AG42" s="144">
        <v>4.2999999999999997E-2</v>
      </c>
    </row>
    <row r="43" spans="1:33">
      <c r="A43" t="s">
        <v>2374</v>
      </c>
      <c r="B43" t="s">
        <v>2790</v>
      </c>
      <c r="C43" t="s">
        <v>2789</v>
      </c>
      <c r="D43" t="s">
        <v>2264</v>
      </c>
      <c r="F43">
        <v>52.293925999999999</v>
      </c>
      <c r="G43">
        <v>55.527695000000001</v>
      </c>
      <c r="H43">
        <v>59.423507999999998</v>
      </c>
      <c r="I43">
        <v>62.471226000000001</v>
      </c>
      <c r="J43">
        <v>65.314445000000006</v>
      </c>
      <c r="K43">
        <v>68.112945999999994</v>
      </c>
      <c r="L43">
        <v>70.856682000000006</v>
      </c>
      <c r="M43">
        <v>73.630202999999995</v>
      </c>
      <c r="N43">
        <v>76.374008000000003</v>
      </c>
      <c r="O43">
        <v>79.105887999999993</v>
      </c>
      <c r="P43">
        <v>81.837151000000006</v>
      </c>
      <c r="Q43">
        <v>84.605216999999996</v>
      </c>
      <c r="R43">
        <v>87.417525999999995</v>
      </c>
      <c r="S43">
        <v>90.280349999999999</v>
      </c>
      <c r="T43">
        <v>93.188598999999996</v>
      </c>
      <c r="U43">
        <v>96.128867999999997</v>
      </c>
      <c r="V43">
        <v>99.122748999999999</v>
      </c>
      <c r="W43">
        <v>102.184128</v>
      </c>
      <c r="X43">
        <v>105.328018</v>
      </c>
      <c r="Y43">
        <v>108.554405</v>
      </c>
      <c r="Z43">
        <v>111.856697</v>
      </c>
      <c r="AA43">
        <v>115.229568</v>
      </c>
      <c r="AB43">
        <v>118.6726</v>
      </c>
      <c r="AC43">
        <v>122.205879</v>
      </c>
      <c r="AD43">
        <v>125.828262</v>
      </c>
      <c r="AE43">
        <v>129.54611199999999</v>
      </c>
      <c r="AF43">
        <v>133.370148</v>
      </c>
      <c r="AG43" s="144">
        <v>3.6999999999999998E-2</v>
      </c>
    </row>
    <row r="44" spans="1:33">
      <c r="A44" t="s">
        <v>197</v>
      </c>
      <c r="B44" t="s">
        <v>2788</v>
      </c>
      <c r="C44" t="s">
        <v>2787</v>
      </c>
      <c r="D44" t="s">
        <v>2264</v>
      </c>
      <c r="F44">
        <v>51.401802000000004</v>
      </c>
      <c r="G44">
        <v>53.958652000000001</v>
      </c>
      <c r="H44">
        <v>56.834739999999996</v>
      </c>
      <c r="I44">
        <v>59.638817000000003</v>
      </c>
      <c r="J44">
        <v>62.509655000000002</v>
      </c>
      <c r="K44">
        <v>65.462119999999999</v>
      </c>
      <c r="L44">
        <v>68.523330999999999</v>
      </c>
      <c r="M44">
        <v>71.703643999999997</v>
      </c>
      <c r="N44">
        <v>74.980605999999995</v>
      </c>
      <c r="O44">
        <v>78.358795000000001</v>
      </c>
      <c r="P44">
        <v>81.850037</v>
      </c>
      <c r="Q44">
        <v>85.460082999999997</v>
      </c>
      <c r="R44">
        <v>89.196738999999994</v>
      </c>
      <c r="S44">
        <v>93.059334000000007</v>
      </c>
      <c r="T44">
        <v>97.047439999999995</v>
      </c>
      <c r="U44">
        <v>101.164536</v>
      </c>
      <c r="V44">
        <v>105.41378</v>
      </c>
      <c r="W44">
        <v>109.79946099999999</v>
      </c>
      <c r="X44">
        <v>114.322487</v>
      </c>
      <c r="Y44">
        <v>118.98719</v>
      </c>
      <c r="Z44">
        <v>123.798294</v>
      </c>
      <c r="AA44">
        <v>128.75836200000001</v>
      </c>
      <c r="AB44">
        <v>133.86999499999999</v>
      </c>
      <c r="AC44">
        <v>139.13587999999999</v>
      </c>
      <c r="AD44">
        <v>144.55818199999999</v>
      </c>
      <c r="AE44">
        <v>150.138229</v>
      </c>
      <c r="AF44">
        <v>155.87857099999999</v>
      </c>
      <c r="AG44" s="144">
        <v>4.3999999999999997E-2</v>
      </c>
    </row>
    <row r="45" spans="1:33">
      <c r="A45" t="s">
        <v>2369</v>
      </c>
      <c r="B45" t="s">
        <v>2786</v>
      </c>
      <c r="C45" t="s">
        <v>2785</v>
      </c>
      <c r="D45" t="s">
        <v>2264</v>
      </c>
      <c r="F45">
        <v>61.339916000000002</v>
      </c>
      <c r="G45">
        <v>62.648139999999998</v>
      </c>
      <c r="H45">
        <v>63.725257999999997</v>
      </c>
      <c r="I45">
        <v>65.076667999999998</v>
      </c>
      <c r="J45">
        <v>66.536216999999994</v>
      </c>
      <c r="K45">
        <v>67.969161999999997</v>
      </c>
      <c r="L45">
        <v>69.375443000000004</v>
      </c>
      <c r="M45">
        <v>70.760773</v>
      </c>
      <c r="N45">
        <v>72.128783999999996</v>
      </c>
      <c r="O45">
        <v>73.480614000000003</v>
      </c>
      <c r="P45">
        <v>74.815453000000005</v>
      </c>
      <c r="Q45">
        <v>76.132239999999996</v>
      </c>
      <c r="R45">
        <v>77.430222000000001</v>
      </c>
      <c r="S45">
        <v>78.708809000000002</v>
      </c>
      <c r="T45">
        <v>79.966881000000001</v>
      </c>
      <c r="U45">
        <v>81.202849999999998</v>
      </c>
      <c r="V45">
        <v>82.415374999999997</v>
      </c>
      <c r="W45">
        <v>83.602806000000001</v>
      </c>
      <c r="X45">
        <v>84.763367000000002</v>
      </c>
      <c r="Y45">
        <v>85.895576000000005</v>
      </c>
      <c r="Z45">
        <v>86.997992999999994</v>
      </c>
      <c r="AA45">
        <v>88.069030999999995</v>
      </c>
      <c r="AB45">
        <v>89.107414000000006</v>
      </c>
      <c r="AC45">
        <v>90.111655999999996</v>
      </c>
      <c r="AD45">
        <v>91.080359999999999</v>
      </c>
      <c r="AE45">
        <v>92.012069999999994</v>
      </c>
      <c r="AF45">
        <v>92.905731000000003</v>
      </c>
      <c r="AG45" s="144">
        <v>1.6E-2</v>
      </c>
    </row>
    <row r="46" spans="1:33">
      <c r="A46" t="s">
        <v>2366</v>
      </c>
      <c r="B46" t="s">
        <v>2784</v>
      </c>
      <c r="C46" t="s">
        <v>2783</v>
      </c>
      <c r="D46" t="s">
        <v>2264</v>
      </c>
      <c r="F46">
        <v>69.394988999999995</v>
      </c>
      <c r="G46">
        <v>71.553061999999997</v>
      </c>
      <c r="H46">
        <v>73.830887000000004</v>
      </c>
      <c r="I46">
        <v>76.054976999999994</v>
      </c>
      <c r="J46">
        <v>78.210655000000003</v>
      </c>
      <c r="K46">
        <v>80.359641999999994</v>
      </c>
      <c r="L46">
        <v>82.524390999999994</v>
      </c>
      <c r="M46">
        <v>84.710280999999995</v>
      </c>
      <c r="N46">
        <v>86.920876000000007</v>
      </c>
      <c r="O46">
        <v>89.155333999999996</v>
      </c>
      <c r="P46">
        <v>91.410995</v>
      </c>
      <c r="Q46">
        <v>93.683670000000006</v>
      </c>
      <c r="R46">
        <v>95.972763</v>
      </c>
      <c r="S46">
        <v>98.285042000000004</v>
      </c>
      <c r="T46">
        <v>100.623085</v>
      </c>
      <c r="U46">
        <v>102.989632</v>
      </c>
      <c r="V46">
        <v>105.38149300000001</v>
      </c>
      <c r="W46">
        <v>107.796898</v>
      </c>
      <c r="X46">
        <v>110.235725</v>
      </c>
      <c r="Y46">
        <v>112.699051</v>
      </c>
      <c r="Z46">
        <v>115.18602799999999</v>
      </c>
      <c r="AA46">
        <v>117.69615899999999</v>
      </c>
      <c r="AB46">
        <v>120.228554</v>
      </c>
      <c r="AC46">
        <v>122.780357</v>
      </c>
      <c r="AD46">
        <v>125.350594</v>
      </c>
      <c r="AE46">
        <v>127.940399</v>
      </c>
      <c r="AF46">
        <v>130.55209400000001</v>
      </c>
      <c r="AG46" s="144">
        <v>2.5000000000000001E-2</v>
      </c>
    </row>
    <row r="47" spans="1:33">
      <c r="A47" t="s">
        <v>2711</v>
      </c>
      <c r="B47" t="s">
        <v>2782</v>
      </c>
      <c r="C47" t="s">
        <v>2781</v>
      </c>
      <c r="D47" t="s">
        <v>2264</v>
      </c>
      <c r="F47">
        <v>2861.9477539999998</v>
      </c>
      <c r="G47">
        <v>2963.040039</v>
      </c>
      <c r="H47">
        <v>3070.0646969999998</v>
      </c>
      <c r="I47">
        <v>3175.623047</v>
      </c>
      <c r="J47">
        <v>3280.3510740000002</v>
      </c>
      <c r="K47">
        <v>3388.8789059999999</v>
      </c>
      <c r="L47">
        <v>3498.4436040000001</v>
      </c>
      <c r="M47">
        <v>3607.642578</v>
      </c>
      <c r="N47">
        <v>3721.2858890000002</v>
      </c>
      <c r="O47">
        <v>3838.1044919999999</v>
      </c>
      <c r="P47">
        <v>3956.3627929999998</v>
      </c>
      <c r="Q47">
        <v>4078.0507809999999</v>
      </c>
      <c r="R47">
        <v>4201.4858400000003</v>
      </c>
      <c r="S47">
        <v>4327.6679690000001</v>
      </c>
      <c r="T47">
        <v>4457.1420900000003</v>
      </c>
      <c r="U47">
        <v>4588.6489259999998</v>
      </c>
      <c r="V47">
        <v>4722.3100590000004</v>
      </c>
      <c r="W47">
        <v>4857.7558589999999</v>
      </c>
      <c r="X47">
        <v>4996.9340819999998</v>
      </c>
      <c r="Y47">
        <v>5137.5678710000002</v>
      </c>
      <c r="Z47">
        <v>5278.5747069999998</v>
      </c>
      <c r="AA47">
        <v>5420.8920900000003</v>
      </c>
      <c r="AB47">
        <v>5564.5610349999997</v>
      </c>
      <c r="AC47">
        <v>5713.001953</v>
      </c>
      <c r="AD47">
        <v>5864.3222660000001</v>
      </c>
      <c r="AE47">
        <v>6016.1069340000004</v>
      </c>
      <c r="AF47">
        <v>6169.0722660000001</v>
      </c>
      <c r="AG47" s="144">
        <v>0.03</v>
      </c>
    </row>
    <row r="48" spans="1:33">
      <c r="A48" t="s">
        <v>2780</v>
      </c>
    </row>
    <row r="49" spans="1:33" s="248" customFormat="1">
      <c r="A49" s="248" t="s">
        <v>195</v>
      </c>
      <c r="B49" s="248" t="s">
        <v>2779</v>
      </c>
      <c r="C49" s="248" t="s">
        <v>2778</v>
      </c>
      <c r="D49" s="248" t="s">
        <v>2264</v>
      </c>
      <c r="F49" s="248">
        <v>430.05841099999998</v>
      </c>
      <c r="G49" s="248">
        <v>440.68881199999998</v>
      </c>
      <c r="H49" s="248">
        <v>452.96109000000001</v>
      </c>
      <c r="I49" s="248">
        <v>464.51516700000002</v>
      </c>
      <c r="J49" s="248">
        <v>474.60986300000002</v>
      </c>
      <c r="K49" s="248">
        <v>485.356537</v>
      </c>
      <c r="L49" s="248">
        <v>495.48510700000003</v>
      </c>
      <c r="M49" s="248">
        <v>504.40972900000003</v>
      </c>
      <c r="N49" s="248">
        <v>514.33551</v>
      </c>
      <c r="O49" s="248">
        <v>524.80676300000005</v>
      </c>
      <c r="P49" s="248">
        <v>535.051514</v>
      </c>
      <c r="Q49" s="248">
        <v>546.09051499999998</v>
      </c>
      <c r="R49" s="248">
        <v>557.34069799999997</v>
      </c>
      <c r="S49" s="248">
        <v>569.17608600000005</v>
      </c>
      <c r="T49" s="248">
        <v>581.73895300000004</v>
      </c>
      <c r="U49" s="248">
        <v>594.39086899999995</v>
      </c>
      <c r="V49" s="248">
        <v>607.14080799999999</v>
      </c>
      <c r="W49" s="248">
        <v>619.80383300000005</v>
      </c>
      <c r="X49" s="248">
        <v>633.34387200000003</v>
      </c>
      <c r="Y49" s="248">
        <v>646.74987799999997</v>
      </c>
      <c r="Z49" s="248">
        <v>659.56420900000001</v>
      </c>
      <c r="AA49" s="248">
        <v>672.27984600000002</v>
      </c>
      <c r="AB49" s="248">
        <v>684.91857900000002</v>
      </c>
      <c r="AC49" s="248">
        <v>699.22735599999999</v>
      </c>
      <c r="AD49" s="248">
        <v>714.35424799999998</v>
      </c>
      <c r="AE49" s="248">
        <v>729.09729000000004</v>
      </c>
      <c r="AF49" s="248">
        <v>743.78802499999995</v>
      </c>
      <c r="AG49" s="249">
        <v>2.1000000000000001E-2</v>
      </c>
    </row>
    <row r="50" spans="1:33">
      <c r="A50" t="s">
        <v>196</v>
      </c>
      <c r="B50" t="s">
        <v>2777</v>
      </c>
      <c r="C50" t="s">
        <v>2776</v>
      </c>
      <c r="D50" t="s">
        <v>2264</v>
      </c>
      <c r="F50">
        <v>91.476264999999998</v>
      </c>
      <c r="G50">
        <v>93.832831999999996</v>
      </c>
      <c r="H50">
        <v>96.111671000000001</v>
      </c>
      <c r="I50">
        <v>98.392844999999994</v>
      </c>
      <c r="J50">
        <v>101.040825</v>
      </c>
      <c r="K50">
        <v>103.740707</v>
      </c>
      <c r="L50">
        <v>106.49829099999999</v>
      </c>
      <c r="M50">
        <v>109.309555</v>
      </c>
      <c r="N50">
        <v>112.171707</v>
      </c>
      <c r="O50">
        <v>115.08934000000001</v>
      </c>
      <c r="P50">
        <v>118.063339</v>
      </c>
      <c r="Q50">
        <v>121.09517700000001</v>
      </c>
      <c r="R50">
        <v>124.184647</v>
      </c>
      <c r="S50">
        <v>127.32952899999999</v>
      </c>
      <c r="T50">
        <v>130.53048699999999</v>
      </c>
      <c r="U50">
        <v>133.79141200000001</v>
      </c>
      <c r="V50">
        <v>137.113586</v>
      </c>
      <c r="W50">
        <v>140.500778</v>
      </c>
      <c r="X50">
        <v>143.95413199999999</v>
      </c>
      <c r="Y50">
        <v>147.47479200000001</v>
      </c>
      <c r="Z50">
        <v>151.06225599999999</v>
      </c>
      <c r="AA50">
        <v>154.71464499999999</v>
      </c>
      <c r="AB50">
        <v>158.436508</v>
      </c>
      <c r="AC50">
        <v>162.23324600000001</v>
      </c>
      <c r="AD50">
        <v>166.10569799999999</v>
      </c>
      <c r="AE50">
        <v>170.056061</v>
      </c>
      <c r="AF50">
        <v>174.081863</v>
      </c>
      <c r="AG50" s="144">
        <v>2.5000000000000001E-2</v>
      </c>
    </row>
    <row r="51" spans="1:33">
      <c r="A51" t="s">
        <v>2403</v>
      </c>
      <c r="B51" t="s">
        <v>2775</v>
      </c>
      <c r="C51" t="s">
        <v>2774</v>
      </c>
      <c r="D51" t="s">
        <v>2264</v>
      </c>
      <c r="F51">
        <v>53.703476000000002</v>
      </c>
      <c r="G51">
        <v>55.506596000000002</v>
      </c>
      <c r="H51">
        <v>57.397350000000003</v>
      </c>
      <c r="I51">
        <v>59.322150999999998</v>
      </c>
      <c r="J51">
        <v>61.274090000000001</v>
      </c>
      <c r="K51">
        <v>63.265579000000002</v>
      </c>
      <c r="L51">
        <v>65.302077999999995</v>
      </c>
      <c r="M51">
        <v>67.385193000000001</v>
      </c>
      <c r="N51">
        <v>69.518416999999999</v>
      </c>
      <c r="O51">
        <v>71.703734999999995</v>
      </c>
      <c r="P51">
        <v>73.940025000000006</v>
      </c>
      <c r="Q51">
        <v>76.228470000000002</v>
      </c>
      <c r="R51">
        <v>78.570160000000001</v>
      </c>
      <c r="S51">
        <v>80.966080000000005</v>
      </c>
      <c r="T51">
        <v>83.417336000000006</v>
      </c>
      <c r="U51">
        <v>85.921218999999994</v>
      </c>
      <c r="V51">
        <v>88.478690999999998</v>
      </c>
      <c r="W51">
        <v>91.092147999999995</v>
      </c>
      <c r="X51">
        <v>93.761596999999995</v>
      </c>
      <c r="Y51">
        <v>96.485855000000001</v>
      </c>
      <c r="Z51">
        <v>99.266707999999994</v>
      </c>
      <c r="AA51">
        <v>102.104439</v>
      </c>
      <c r="AB51">
        <v>104.997818</v>
      </c>
      <c r="AC51">
        <v>107.94731899999999</v>
      </c>
      <c r="AD51">
        <v>110.955742</v>
      </c>
      <c r="AE51">
        <v>114.022141</v>
      </c>
      <c r="AF51">
        <v>117.146202</v>
      </c>
      <c r="AG51" s="144">
        <v>0.03</v>
      </c>
    </row>
    <row r="52" spans="1:33">
      <c r="A52" t="s">
        <v>2400</v>
      </c>
      <c r="B52" t="s">
        <v>2773</v>
      </c>
      <c r="C52" t="s">
        <v>2772</v>
      </c>
      <c r="D52" t="s">
        <v>2264</v>
      </c>
      <c r="F52">
        <v>654.94726600000001</v>
      </c>
      <c r="G52">
        <v>668.00811799999997</v>
      </c>
      <c r="H52">
        <v>681.23877000000005</v>
      </c>
      <c r="I52">
        <v>694.59606900000006</v>
      </c>
      <c r="J52">
        <v>708.11199999999997</v>
      </c>
      <c r="K52">
        <v>721.83044400000006</v>
      </c>
      <c r="L52">
        <v>735.75872800000002</v>
      </c>
      <c r="M52">
        <v>749.88165300000003</v>
      </c>
      <c r="N52">
        <v>764.21392800000001</v>
      </c>
      <c r="O52">
        <v>778.78875700000003</v>
      </c>
      <c r="P52">
        <v>793.63091999999995</v>
      </c>
      <c r="Q52">
        <v>808.722534</v>
      </c>
      <c r="R52">
        <v>824.07049600000005</v>
      </c>
      <c r="S52">
        <v>839.66180399999996</v>
      </c>
      <c r="T52">
        <v>855.47448699999995</v>
      </c>
      <c r="U52">
        <v>871.51464799999997</v>
      </c>
      <c r="V52">
        <v>887.77990699999998</v>
      </c>
      <c r="W52">
        <v>904.264771</v>
      </c>
      <c r="X52">
        <v>920.97662400000002</v>
      </c>
      <c r="Y52">
        <v>937.90460199999995</v>
      </c>
      <c r="Z52">
        <v>955.03942900000004</v>
      </c>
      <c r="AA52">
        <v>972.37188700000002</v>
      </c>
      <c r="AB52">
        <v>989.90979000000004</v>
      </c>
      <c r="AC52">
        <v>1007.649109</v>
      </c>
      <c r="AD52">
        <v>1025.569702</v>
      </c>
      <c r="AE52">
        <v>1043.6695560000001</v>
      </c>
      <c r="AF52">
        <v>1061.947388</v>
      </c>
      <c r="AG52" s="144">
        <v>1.9E-2</v>
      </c>
    </row>
    <row r="53" spans="1:33">
      <c r="A53" t="s">
        <v>2397</v>
      </c>
      <c r="B53" t="s">
        <v>2771</v>
      </c>
      <c r="C53" t="s">
        <v>2770</v>
      </c>
      <c r="D53" t="s">
        <v>2264</v>
      </c>
      <c r="F53">
        <v>111.20050000000001</v>
      </c>
      <c r="G53">
        <v>113.247787</v>
      </c>
      <c r="H53">
        <v>114.312172</v>
      </c>
      <c r="I53">
        <v>115.366173</v>
      </c>
      <c r="J53">
        <v>116.07556200000001</v>
      </c>
      <c r="K53">
        <v>116.602715</v>
      </c>
      <c r="L53">
        <v>116.983994</v>
      </c>
      <c r="M53">
        <v>117.16745</v>
      </c>
      <c r="N53">
        <v>117.296249</v>
      </c>
      <c r="O53">
        <v>117.341461</v>
      </c>
      <c r="P53">
        <v>117.250839</v>
      </c>
      <c r="Q53">
        <v>117.043808</v>
      </c>
      <c r="R53">
        <v>116.742012</v>
      </c>
      <c r="S53">
        <v>116.40830200000001</v>
      </c>
      <c r="T53">
        <v>116.041786</v>
      </c>
      <c r="U53">
        <v>115.635536</v>
      </c>
      <c r="V53">
        <v>115.259636</v>
      </c>
      <c r="W53">
        <v>114.937286</v>
      </c>
      <c r="X53">
        <v>114.66767900000001</v>
      </c>
      <c r="Y53">
        <v>114.455704</v>
      </c>
      <c r="Z53">
        <v>114.31337000000001</v>
      </c>
      <c r="AA53">
        <v>114.286362</v>
      </c>
      <c r="AB53">
        <v>114.365967</v>
      </c>
      <c r="AC53">
        <v>114.519463</v>
      </c>
      <c r="AD53">
        <v>114.716476</v>
      </c>
      <c r="AE53">
        <v>114.93707999999999</v>
      </c>
      <c r="AF53">
        <v>115.23711400000001</v>
      </c>
      <c r="AG53" s="144">
        <v>1E-3</v>
      </c>
    </row>
    <row r="54" spans="1:33">
      <c r="A54" t="s">
        <v>2394</v>
      </c>
      <c r="B54" t="s">
        <v>2769</v>
      </c>
      <c r="C54" t="s">
        <v>2768</v>
      </c>
      <c r="D54" t="s">
        <v>2264</v>
      </c>
      <c r="F54">
        <v>93.077072000000001</v>
      </c>
      <c r="G54">
        <v>97.347054</v>
      </c>
      <c r="H54">
        <v>100.346962</v>
      </c>
      <c r="I54">
        <v>103.454514</v>
      </c>
      <c r="J54">
        <v>106.697205</v>
      </c>
      <c r="K54">
        <v>109.99550600000001</v>
      </c>
      <c r="L54">
        <v>113.349457</v>
      </c>
      <c r="M54">
        <v>116.768585</v>
      </c>
      <c r="N54">
        <v>120.247253</v>
      </c>
      <c r="O54">
        <v>123.784676</v>
      </c>
      <c r="P54">
        <v>127.38407100000001</v>
      </c>
      <c r="Q54">
        <v>131.03810100000001</v>
      </c>
      <c r="R54">
        <v>134.756958</v>
      </c>
      <c r="S54">
        <v>138.54345699999999</v>
      </c>
      <c r="T54">
        <v>142.37951699999999</v>
      </c>
      <c r="U54">
        <v>146.28173799999999</v>
      </c>
      <c r="V54">
        <v>150.253479</v>
      </c>
      <c r="W54">
        <v>154.300659</v>
      </c>
      <c r="X54">
        <v>158.424271</v>
      </c>
      <c r="Y54">
        <v>162.625519</v>
      </c>
      <c r="Z54">
        <v>166.90373199999999</v>
      </c>
      <c r="AA54">
        <v>171.258194</v>
      </c>
      <c r="AB54">
        <v>175.689178</v>
      </c>
      <c r="AC54">
        <v>180.19679300000001</v>
      </c>
      <c r="AD54">
        <v>184.78239400000001</v>
      </c>
      <c r="AE54">
        <v>189.44686899999999</v>
      </c>
      <c r="AF54">
        <v>194.19125399999999</v>
      </c>
      <c r="AG54" s="144">
        <v>2.9000000000000001E-2</v>
      </c>
    </row>
    <row r="55" spans="1:33">
      <c r="A55" t="s">
        <v>2391</v>
      </c>
      <c r="B55" t="s">
        <v>2767</v>
      </c>
      <c r="C55" t="s">
        <v>2766</v>
      </c>
      <c r="D55" t="s">
        <v>2264</v>
      </c>
      <c r="F55">
        <v>84.734618999999995</v>
      </c>
      <c r="G55">
        <v>87.851676999999995</v>
      </c>
      <c r="H55">
        <v>93.000404000000003</v>
      </c>
      <c r="I55">
        <v>98.037666000000002</v>
      </c>
      <c r="J55">
        <v>103.024979</v>
      </c>
      <c r="K55">
        <v>108.037781</v>
      </c>
      <c r="L55">
        <v>113.14192199999999</v>
      </c>
      <c r="M55">
        <v>118.117958</v>
      </c>
      <c r="N55">
        <v>122.94111599999999</v>
      </c>
      <c r="O55">
        <v>127.66269699999999</v>
      </c>
      <c r="P55">
        <v>132.24221800000001</v>
      </c>
      <c r="Q55">
        <v>136.66746499999999</v>
      </c>
      <c r="R55">
        <v>141.12051400000001</v>
      </c>
      <c r="S55">
        <v>145.33145099999999</v>
      </c>
      <c r="T55">
        <v>149.458527</v>
      </c>
      <c r="U55">
        <v>153.42553699999999</v>
      </c>
      <c r="V55">
        <v>157.42263800000001</v>
      </c>
      <c r="W55">
        <v>161.51423600000001</v>
      </c>
      <c r="X55">
        <v>165.497131</v>
      </c>
      <c r="Y55">
        <v>169.230515</v>
      </c>
      <c r="Z55">
        <v>172.52616900000001</v>
      </c>
      <c r="AA55">
        <v>175.22241199999999</v>
      </c>
      <c r="AB55">
        <v>177.489273</v>
      </c>
      <c r="AC55">
        <v>179.520782</v>
      </c>
      <c r="AD55">
        <v>181.55062899999999</v>
      </c>
      <c r="AE55">
        <v>183.78713999999999</v>
      </c>
      <c r="AF55">
        <v>186.13983200000001</v>
      </c>
      <c r="AG55" s="144">
        <v>3.1E-2</v>
      </c>
    </row>
    <row r="56" spans="1:33">
      <c r="A56" t="s">
        <v>2388</v>
      </c>
      <c r="B56" t="s">
        <v>2765</v>
      </c>
      <c r="C56" t="s">
        <v>2764</v>
      </c>
      <c r="D56" t="s">
        <v>2264</v>
      </c>
      <c r="F56">
        <v>34.823203999999997</v>
      </c>
      <c r="G56">
        <v>53.199150000000003</v>
      </c>
      <c r="H56">
        <v>68.602608000000004</v>
      </c>
      <c r="I56">
        <v>77.888137999999998</v>
      </c>
      <c r="J56">
        <v>83.273750000000007</v>
      </c>
      <c r="K56">
        <v>84.848167000000004</v>
      </c>
      <c r="L56">
        <v>86.445426999999995</v>
      </c>
      <c r="M56">
        <v>88.064010999999994</v>
      </c>
      <c r="N56">
        <v>89.724434000000002</v>
      </c>
      <c r="O56">
        <v>91.438202000000004</v>
      </c>
      <c r="P56">
        <v>93.206688</v>
      </c>
      <c r="Q56">
        <v>95.022446000000002</v>
      </c>
      <c r="R56">
        <v>96.854218000000003</v>
      </c>
      <c r="S56">
        <v>98.696892000000005</v>
      </c>
      <c r="T56">
        <v>100.56231699999999</v>
      </c>
      <c r="U56">
        <v>102.454742</v>
      </c>
      <c r="V56">
        <v>104.386505</v>
      </c>
      <c r="W56">
        <v>106.431129</v>
      </c>
      <c r="X56">
        <v>108.56416299999999</v>
      </c>
      <c r="Y56">
        <v>110.746101</v>
      </c>
      <c r="Z56">
        <v>112.97219800000001</v>
      </c>
      <c r="AA56">
        <v>115.241676</v>
      </c>
      <c r="AB56">
        <v>117.571327</v>
      </c>
      <c r="AC56">
        <v>119.963142</v>
      </c>
      <c r="AD56">
        <v>122.368515</v>
      </c>
      <c r="AE56">
        <v>124.78976400000001</v>
      </c>
      <c r="AF56">
        <v>127.243607</v>
      </c>
      <c r="AG56" s="144">
        <v>5.0999999999999997E-2</v>
      </c>
    </row>
    <row r="57" spans="1:33">
      <c r="A57" t="s">
        <v>2385</v>
      </c>
      <c r="B57" t="s">
        <v>2763</v>
      </c>
      <c r="C57" t="s">
        <v>2762</v>
      </c>
      <c r="D57" t="s">
        <v>2264</v>
      </c>
      <c r="F57">
        <v>38.294426000000001</v>
      </c>
      <c r="G57">
        <v>40.916958000000001</v>
      </c>
      <c r="H57">
        <v>43.039192</v>
      </c>
      <c r="I57">
        <v>44.641739000000001</v>
      </c>
      <c r="J57">
        <v>47.114615999999998</v>
      </c>
      <c r="K57">
        <v>48.803108000000002</v>
      </c>
      <c r="L57">
        <v>50.489058999999997</v>
      </c>
      <c r="M57">
        <v>52.175716000000001</v>
      </c>
      <c r="N57">
        <v>53.893760999999998</v>
      </c>
      <c r="O57">
        <v>55.653084</v>
      </c>
      <c r="P57">
        <v>57.455379000000001</v>
      </c>
      <c r="Q57">
        <v>59.316958999999997</v>
      </c>
      <c r="R57">
        <v>61.246197000000002</v>
      </c>
      <c r="S57">
        <v>63.234070000000003</v>
      </c>
      <c r="T57">
        <v>65.274733999999995</v>
      </c>
      <c r="U57">
        <v>67.370750000000001</v>
      </c>
      <c r="V57">
        <v>69.513953999999998</v>
      </c>
      <c r="W57">
        <v>71.704566999999997</v>
      </c>
      <c r="X57">
        <v>73.959311999999997</v>
      </c>
      <c r="Y57">
        <v>76.279921999999999</v>
      </c>
      <c r="Z57">
        <v>78.665512000000007</v>
      </c>
      <c r="AA57">
        <v>81.116996999999998</v>
      </c>
      <c r="AB57">
        <v>83.620841999999996</v>
      </c>
      <c r="AC57">
        <v>86.183914000000001</v>
      </c>
      <c r="AD57">
        <v>88.806725</v>
      </c>
      <c r="AE57">
        <v>91.495270000000005</v>
      </c>
      <c r="AF57">
        <v>94.254333000000003</v>
      </c>
      <c r="AG57" s="144">
        <v>3.5000000000000003E-2</v>
      </c>
    </row>
    <row r="58" spans="1:33">
      <c r="A58" t="s">
        <v>198</v>
      </c>
      <c r="B58" t="s">
        <v>2761</v>
      </c>
      <c r="C58" t="s">
        <v>2760</v>
      </c>
      <c r="D58" t="s">
        <v>2264</v>
      </c>
      <c r="F58">
        <v>172.03894</v>
      </c>
      <c r="G58">
        <v>181.23951700000001</v>
      </c>
      <c r="H58">
        <v>190.71087600000001</v>
      </c>
      <c r="I58">
        <v>200.331863</v>
      </c>
      <c r="J58">
        <v>210.32255599999999</v>
      </c>
      <c r="K58">
        <v>220.74735999999999</v>
      </c>
      <c r="L58">
        <v>231.59222399999999</v>
      </c>
      <c r="M58">
        <v>242.825073</v>
      </c>
      <c r="N58">
        <v>254.47190900000001</v>
      </c>
      <c r="O58">
        <v>266.495361</v>
      </c>
      <c r="P58">
        <v>278.89770499999997</v>
      </c>
      <c r="Q58">
        <v>291.68002300000001</v>
      </c>
      <c r="R58">
        <v>304.78671300000002</v>
      </c>
      <c r="S58">
        <v>318.26238999999998</v>
      </c>
      <c r="T58">
        <v>332.14761399999998</v>
      </c>
      <c r="U58">
        <v>346.44232199999999</v>
      </c>
      <c r="V58">
        <v>361.14477499999998</v>
      </c>
      <c r="W58">
        <v>376.255157</v>
      </c>
      <c r="X58">
        <v>391.77179000000001</v>
      </c>
      <c r="Y58">
        <v>407.69442700000002</v>
      </c>
      <c r="Z58">
        <v>424.018372</v>
      </c>
      <c r="AA58">
        <v>440.73339800000002</v>
      </c>
      <c r="AB58">
        <v>457.82699600000001</v>
      </c>
      <c r="AC58">
        <v>475.29129</v>
      </c>
      <c r="AD58">
        <v>493.113831</v>
      </c>
      <c r="AE58">
        <v>511.278412</v>
      </c>
      <c r="AF58">
        <v>529.77307099999996</v>
      </c>
      <c r="AG58" s="144">
        <v>4.3999999999999997E-2</v>
      </c>
    </row>
    <row r="59" spans="1:33">
      <c r="A59" t="s">
        <v>2380</v>
      </c>
      <c r="B59" t="s">
        <v>2759</v>
      </c>
      <c r="C59" t="s">
        <v>2758</v>
      </c>
      <c r="D59" t="s">
        <v>2264</v>
      </c>
      <c r="F59">
        <v>86.520072999999996</v>
      </c>
      <c r="G59">
        <v>93.157523999999995</v>
      </c>
      <c r="H59">
        <v>100.125305</v>
      </c>
      <c r="I59">
        <v>107.631851</v>
      </c>
      <c r="J59">
        <v>115.459602</v>
      </c>
      <c r="K59">
        <v>123.649925</v>
      </c>
      <c r="L59">
        <v>132.179947</v>
      </c>
      <c r="M59">
        <v>140.99498</v>
      </c>
      <c r="N59">
        <v>150.041687</v>
      </c>
      <c r="O59">
        <v>159.266006</v>
      </c>
      <c r="P59">
        <v>168.64465300000001</v>
      </c>
      <c r="Q59">
        <v>178.14730800000001</v>
      </c>
      <c r="R59">
        <v>187.72532699999999</v>
      </c>
      <c r="S59">
        <v>197.442184</v>
      </c>
      <c r="T59">
        <v>207.244553</v>
      </c>
      <c r="U59">
        <v>217.159164</v>
      </c>
      <c r="V59">
        <v>227.25672900000001</v>
      </c>
      <c r="W59">
        <v>237.520096</v>
      </c>
      <c r="X59">
        <v>247.936218</v>
      </c>
      <c r="Y59">
        <v>258.48223899999999</v>
      </c>
      <c r="Z59">
        <v>269.14267000000001</v>
      </c>
      <c r="AA59">
        <v>279.91980000000001</v>
      </c>
      <c r="AB59">
        <v>290.825287</v>
      </c>
      <c r="AC59">
        <v>301.84231599999998</v>
      </c>
      <c r="AD59">
        <v>312.956299</v>
      </c>
      <c r="AE59">
        <v>324.15368699999999</v>
      </c>
      <c r="AF59">
        <v>335.41961700000002</v>
      </c>
      <c r="AG59" s="144">
        <v>5.2999999999999999E-2</v>
      </c>
    </row>
    <row r="60" spans="1:33">
      <c r="A60" t="s">
        <v>2377</v>
      </c>
      <c r="B60" t="s">
        <v>2757</v>
      </c>
      <c r="C60" t="s">
        <v>2756</v>
      </c>
      <c r="D60" t="s">
        <v>2264</v>
      </c>
      <c r="F60">
        <v>325.84808299999997</v>
      </c>
      <c r="G60">
        <v>361.85305799999998</v>
      </c>
      <c r="H60">
        <v>377.535889</v>
      </c>
      <c r="I60">
        <v>393.58837899999997</v>
      </c>
      <c r="J60">
        <v>409.98452800000001</v>
      </c>
      <c r="K60">
        <v>426.74026500000002</v>
      </c>
      <c r="L60">
        <v>443.95779399999998</v>
      </c>
      <c r="M60">
        <v>461.68679800000001</v>
      </c>
      <c r="N60">
        <v>479.91616800000003</v>
      </c>
      <c r="O60">
        <v>498.62008700000001</v>
      </c>
      <c r="P60">
        <v>517.75683600000002</v>
      </c>
      <c r="Q60">
        <v>537.29278599999998</v>
      </c>
      <c r="R60">
        <v>557.25830099999996</v>
      </c>
      <c r="S60">
        <v>577.62469499999997</v>
      </c>
      <c r="T60">
        <v>598.53753700000004</v>
      </c>
      <c r="U60">
        <v>620.01531999999997</v>
      </c>
      <c r="V60">
        <v>642.04522699999995</v>
      </c>
      <c r="W60">
        <v>664.59234600000002</v>
      </c>
      <c r="X60">
        <v>687.67797900000005</v>
      </c>
      <c r="Y60">
        <v>711.309753</v>
      </c>
      <c r="Z60">
        <v>735.48333700000001</v>
      </c>
      <c r="AA60">
        <v>760.19000200000005</v>
      </c>
      <c r="AB60">
        <v>785.42694100000006</v>
      </c>
      <c r="AC60">
        <v>811.141479</v>
      </c>
      <c r="AD60">
        <v>837.35015899999996</v>
      </c>
      <c r="AE60">
        <v>864.12316899999996</v>
      </c>
      <c r="AF60">
        <v>891.49847399999999</v>
      </c>
      <c r="AG60" s="144">
        <v>3.9E-2</v>
      </c>
    </row>
    <row r="61" spans="1:33">
      <c r="A61" t="s">
        <v>2374</v>
      </c>
      <c r="B61" t="s">
        <v>2755</v>
      </c>
      <c r="C61" t="s">
        <v>2754</v>
      </c>
      <c r="D61" t="s">
        <v>2264</v>
      </c>
      <c r="F61">
        <v>287.55706800000002</v>
      </c>
      <c r="G61">
        <v>300.99618500000003</v>
      </c>
      <c r="H61">
        <v>314.738586</v>
      </c>
      <c r="I61">
        <v>328.85745200000002</v>
      </c>
      <c r="J61">
        <v>343.26168799999999</v>
      </c>
      <c r="K61">
        <v>358.037262</v>
      </c>
      <c r="L61">
        <v>373.20459</v>
      </c>
      <c r="M61">
        <v>388.817566</v>
      </c>
      <c r="N61">
        <v>404.96075400000001</v>
      </c>
      <c r="O61">
        <v>421.64666699999998</v>
      </c>
      <c r="P61">
        <v>438.89480600000002</v>
      </c>
      <c r="Q61">
        <v>456.72311400000001</v>
      </c>
      <c r="R61">
        <v>475.16336100000001</v>
      </c>
      <c r="S61">
        <v>494.23895299999998</v>
      </c>
      <c r="T61">
        <v>513.95831299999998</v>
      </c>
      <c r="U61">
        <v>534.36059599999999</v>
      </c>
      <c r="V61">
        <v>555.47491500000001</v>
      </c>
      <c r="W61">
        <v>577.27185099999997</v>
      </c>
      <c r="X61">
        <v>599.75683600000002</v>
      </c>
      <c r="Y61">
        <v>622.948669</v>
      </c>
      <c r="Z61">
        <v>646.877747</v>
      </c>
      <c r="AA61">
        <v>671.59381099999996</v>
      </c>
      <c r="AB61">
        <v>697.06860400000005</v>
      </c>
      <c r="AC61">
        <v>723.32800299999997</v>
      </c>
      <c r="AD61">
        <v>750.442993</v>
      </c>
      <c r="AE61">
        <v>778.44030799999996</v>
      </c>
      <c r="AF61">
        <v>807.30480999999997</v>
      </c>
      <c r="AG61" s="144">
        <v>4.1000000000000002E-2</v>
      </c>
    </row>
    <row r="62" spans="1:33">
      <c r="A62" t="s">
        <v>197</v>
      </c>
      <c r="B62" t="s">
        <v>2753</v>
      </c>
      <c r="C62" t="s">
        <v>2752</v>
      </c>
      <c r="D62" t="s">
        <v>2264</v>
      </c>
      <c r="F62">
        <v>115.48080400000001</v>
      </c>
      <c r="G62">
        <v>120.811089</v>
      </c>
      <c r="H62">
        <v>126.92974100000001</v>
      </c>
      <c r="I62">
        <v>132.74588</v>
      </c>
      <c r="J62">
        <v>138.643936</v>
      </c>
      <c r="K62">
        <v>144.65969799999999</v>
      </c>
      <c r="L62">
        <v>150.863663</v>
      </c>
      <c r="M62">
        <v>157.27917500000001</v>
      </c>
      <c r="N62">
        <v>163.84094200000001</v>
      </c>
      <c r="O62">
        <v>170.55853300000001</v>
      </c>
      <c r="P62">
        <v>177.45858799999999</v>
      </c>
      <c r="Q62">
        <v>184.551254</v>
      </c>
      <c r="R62">
        <v>191.85424800000001</v>
      </c>
      <c r="S62">
        <v>199.36219800000001</v>
      </c>
      <c r="T62">
        <v>207.06878699999999</v>
      </c>
      <c r="U62">
        <v>214.977982</v>
      </c>
      <c r="V62">
        <v>223.09335300000001</v>
      </c>
      <c r="W62">
        <v>231.42195100000001</v>
      </c>
      <c r="X62">
        <v>239.96167</v>
      </c>
      <c r="Y62">
        <v>248.718445</v>
      </c>
      <c r="Z62">
        <v>257.70016500000003</v>
      </c>
      <c r="AA62">
        <v>266.909943</v>
      </c>
      <c r="AB62">
        <v>276.34884599999998</v>
      </c>
      <c r="AC62">
        <v>286.01666299999999</v>
      </c>
      <c r="AD62">
        <v>295.91403200000002</v>
      </c>
      <c r="AE62">
        <v>306.04107699999997</v>
      </c>
      <c r="AF62">
        <v>316.39913899999999</v>
      </c>
      <c r="AG62" s="144">
        <v>0.04</v>
      </c>
    </row>
    <row r="63" spans="1:33">
      <c r="A63" t="s">
        <v>2369</v>
      </c>
      <c r="B63" t="s">
        <v>2751</v>
      </c>
      <c r="C63" t="s">
        <v>2750</v>
      </c>
      <c r="D63" t="s">
        <v>2264</v>
      </c>
      <c r="F63">
        <v>46.115017000000002</v>
      </c>
      <c r="G63">
        <v>47.310741</v>
      </c>
      <c r="H63">
        <v>48.229725000000002</v>
      </c>
      <c r="I63">
        <v>49.488112999999998</v>
      </c>
      <c r="J63">
        <v>50.884785000000001</v>
      </c>
      <c r="K63">
        <v>52.25441</v>
      </c>
      <c r="L63">
        <v>53.596169000000003</v>
      </c>
      <c r="M63">
        <v>54.917076000000002</v>
      </c>
      <c r="N63">
        <v>56.221229999999998</v>
      </c>
      <c r="O63">
        <v>57.509799999999998</v>
      </c>
      <c r="P63">
        <v>58.781368000000001</v>
      </c>
      <c r="Q63">
        <v>60.034503999999998</v>
      </c>
      <c r="R63">
        <v>61.268256999999998</v>
      </c>
      <c r="S63">
        <v>62.481833999999999</v>
      </c>
      <c r="T63">
        <v>63.673732999999999</v>
      </c>
      <c r="U63">
        <v>64.842285000000004</v>
      </c>
      <c r="V63">
        <v>65.985412999999994</v>
      </c>
      <c r="W63">
        <v>67.101867999999996</v>
      </c>
      <c r="X63">
        <v>68.191078000000005</v>
      </c>
      <c r="Y63">
        <v>69.250877000000003</v>
      </c>
      <c r="Z63">
        <v>70.279235999999997</v>
      </c>
      <c r="AA63">
        <v>71.274451999999997</v>
      </c>
      <c r="AB63">
        <v>72.234375</v>
      </c>
      <c r="AC63">
        <v>73.156852999999998</v>
      </c>
      <c r="AD63">
        <v>74.040374999999997</v>
      </c>
      <c r="AE63">
        <v>74.883574999999993</v>
      </c>
      <c r="AF63">
        <v>75.684203999999994</v>
      </c>
      <c r="AG63" s="144">
        <v>1.9E-2</v>
      </c>
    </row>
    <row r="64" spans="1:33">
      <c r="A64" t="s">
        <v>2366</v>
      </c>
      <c r="B64" t="s">
        <v>2749</v>
      </c>
      <c r="C64" t="s">
        <v>2748</v>
      </c>
      <c r="D64" t="s">
        <v>2264</v>
      </c>
      <c r="F64">
        <v>111.142937</v>
      </c>
      <c r="G64">
        <v>114.97421300000001</v>
      </c>
      <c r="H64">
        <v>118.941704</v>
      </c>
      <c r="I64">
        <v>122.961449</v>
      </c>
      <c r="J64">
        <v>127.026382</v>
      </c>
      <c r="K64">
        <v>131.168915</v>
      </c>
      <c r="L64">
        <v>135.40394599999999</v>
      </c>
      <c r="M64">
        <v>139.73571799999999</v>
      </c>
      <c r="N64">
        <v>144.16679400000001</v>
      </c>
      <c r="O64">
        <v>148.69725</v>
      </c>
      <c r="P64">
        <v>153.328552</v>
      </c>
      <c r="Q64">
        <v>158.05772400000001</v>
      </c>
      <c r="R64">
        <v>162.88265999999999</v>
      </c>
      <c r="S64">
        <v>167.807312</v>
      </c>
      <c r="T64">
        <v>172.83622700000001</v>
      </c>
      <c r="U64">
        <v>177.97219799999999</v>
      </c>
      <c r="V64">
        <v>183.21159399999999</v>
      </c>
      <c r="W64">
        <v>188.55363500000001</v>
      </c>
      <c r="X64">
        <v>194.00083900000001</v>
      </c>
      <c r="Y64">
        <v>199.554733</v>
      </c>
      <c r="Z64">
        <v>205.21554599999999</v>
      </c>
      <c r="AA64">
        <v>210.98547400000001</v>
      </c>
      <c r="AB64">
        <v>216.865005</v>
      </c>
      <c r="AC64">
        <v>222.85565199999999</v>
      </c>
      <c r="AD64">
        <v>228.957581</v>
      </c>
      <c r="AE64">
        <v>235.16992200000001</v>
      </c>
      <c r="AF64">
        <v>241.498276</v>
      </c>
      <c r="AG64" s="144">
        <v>0.03</v>
      </c>
    </row>
    <row r="65" spans="1:33">
      <c r="A65" t="s">
        <v>2709</v>
      </c>
      <c r="B65" t="s">
        <v>2747</v>
      </c>
      <c r="C65" t="s">
        <v>2745</v>
      </c>
      <c r="D65" t="s">
        <v>2264</v>
      </c>
      <c r="F65">
        <v>2737.0183109999998</v>
      </c>
      <c r="G65">
        <v>2870.9411620000001</v>
      </c>
      <c r="H65">
        <v>2984.2219239999999</v>
      </c>
      <c r="I65">
        <v>3091.8195799999999</v>
      </c>
      <c r="J65">
        <v>3196.8063959999999</v>
      </c>
      <c r="K65">
        <v>3299.7385250000002</v>
      </c>
      <c r="L65">
        <v>3404.2524410000001</v>
      </c>
      <c r="M65">
        <v>3509.5361330000001</v>
      </c>
      <c r="N65">
        <v>3617.9621579999998</v>
      </c>
      <c r="O65">
        <v>3729.0625</v>
      </c>
      <c r="P65">
        <v>3841.9873050000001</v>
      </c>
      <c r="Q65">
        <v>3957.7124020000001</v>
      </c>
      <c r="R65">
        <v>4075.8247070000002</v>
      </c>
      <c r="S65">
        <v>4196.5673829999996</v>
      </c>
      <c r="T65">
        <v>4320.3447269999997</v>
      </c>
      <c r="U65">
        <v>4446.5566410000001</v>
      </c>
      <c r="V65">
        <v>4575.5615230000003</v>
      </c>
      <c r="W65">
        <v>4707.2666019999997</v>
      </c>
      <c r="X65">
        <v>4842.4448240000002</v>
      </c>
      <c r="Y65">
        <v>4979.9121089999999</v>
      </c>
      <c r="Z65">
        <v>5119.0302730000003</v>
      </c>
      <c r="AA65">
        <v>5260.2036129999997</v>
      </c>
      <c r="AB65">
        <v>5403.595703</v>
      </c>
      <c r="AC65">
        <v>5551.0732420000004</v>
      </c>
      <c r="AD65">
        <v>5701.9853519999997</v>
      </c>
      <c r="AE65">
        <v>5855.3916019999997</v>
      </c>
      <c r="AF65">
        <v>6011.6069340000004</v>
      </c>
      <c r="AG65" s="144">
        <v>3.1E-2</v>
      </c>
    </row>
    <row r="66" spans="1:33">
      <c r="A66" t="s">
        <v>153</v>
      </c>
      <c r="B66" t="s">
        <v>2746</v>
      </c>
      <c r="C66" t="s">
        <v>2745</v>
      </c>
      <c r="D66" t="s">
        <v>2264</v>
      </c>
      <c r="F66">
        <v>5598.9658200000003</v>
      </c>
      <c r="G66">
        <v>5833.9799800000001</v>
      </c>
      <c r="H66">
        <v>6054.2861329999996</v>
      </c>
      <c r="I66">
        <v>6267.4423829999996</v>
      </c>
      <c r="J66">
        <v>6477.1572269999997</v>
      </c>
      <c r="K66">
        <v>6688.6171880000002</v>
      </c>
      <c r="L66">
        <v>6902.6953119999998</v>
      </c>
      <c r="M66">
        <v>7117.1782229999999</v>
      </c>
      <c r="N66">
        <v>7339.248047</v>
      </c>
      <c r="O66">
        <v>7567.1660160000001</v>
      </c>
      <c r="P66">
        <v>7798.3500979999999</v>
      </c>
      <c r="Q66">
        <v>8035.7631840000004</v>
      </c>
      <c r="R66">
        <v>8277.3095699999994</v>
      </c>
      <c r="S66">
        <v>8524.2353519999997</v>
      </c>
      <c r="T66">
        <v>8777.4873050000006</v>
      </c>
      <c r="U66">
        <v>9035.2050780000009</v>
      </c>
      <c r="V66">
        <v>9297.8710940000001</v>
      </c>
      <c r="W66">
        <v>9565.0234380000002</v>
      </c>
      <c r="X66">
        <v>9839.3789059999999</v>
      </c>
      <c r="Y66">
        <v>10117.480469</v>
      </c>
      <c r="Z66">
        <v>10397.605469</v>
      </c>
      <c r="AA66">
        <v>10681.094727</v>
      </c>
      <c r="AB66">
        <v>10968.157227</v>
      </c>
      <c r="AC66">
        <v>11264.076171999999</v>
      </c>
      <c r="AD66">
        <v>11566.307617</v>
      </c>
      <c r="AE66">
        <v>11871.498046999999</v>
      </c>
      <c r="AF66">
        <v>12180.679688</v>
      </c>
      <c r="AG66" s="144">
        <v>0.03</v>
      </c>
    </row>
    <row r="67" spans="1:33">
      <c r="A67" t="s">
        <v>2744</v>
      </c>
    </row>
    <row r="68" spans="1:33" s="285" customFormat="1">
      <c r="A68" s="285" t="s">
        <v>195</v>
      </c>
      <c r="B68" s="285" t="s">
        <v>2743</v>
      </c>
      <c r="C68" s="285" t="s">
        <v>2742</v>
      </c>
      <c r="D68" s="285" t="s">
        <v>2264</v>
      </c>
      <c r="F68" s="285">
        <v>51.452095</v>
      </c>
      <c r="G68" s="285">
        <v>52.590789999999998</v>
      </c>
      <c r="H68" s="285">
        <v>53.859558</v>
      </c>
      <c r="I68" s="285">
        <v>55.048133999999997</v>
      </c>
      <c r="J68" s="285">
        <v>56.123325000000001</v>
      </c>
      <c r="K68" s="285">
        <v>57.271408000000001</v>
      </c>
      <c r="L68" s="285">
        <v>58.376846</v>
      </c>
      <c r="M68" s="285">
        <v>59.385468000000003</v>
      </c>
      <c r="N68" s="285">
        <v>60.493416000000003</v>
      </c>
      <c r="O68" s="285">
        <v>61.658783</v>
      </c>
      <c r="P68" s="285">
        <v>62.810963000000001</v>
      </c>
      <c r="Q68" s="285">
        <v>64.039214999999999</v>
      </c>
      <c r="R68" s="285">
        <v>65.291115000000005</v>
      </c>
      <c r="S68" s="285">
        <v>66.600005999999993</v>
      </c>
      <c r="T68" s="285">
        <v>67.978249000000005</v>
      </c>
      <c r="U68" s="285">
        <v>69.367919999999998</v>
      </c>
      <c r="V68" s="285">
        <v>70.769645999999995</v>
      </c>
      <c r="W68" s="285">
        <v>72.166388999999995</v>
      </c>
      <c r="X68" s="285">
        <v>73.644210999999999</v>
      </c>
      <c r="Y68" s="285">
        <v>75.112540999999993</v>
      </c>
      <c r="Z68" s="285">
        <v>76.530411000000001</v>
      </c>
      <c r="AA68" s="285">
        <v>77.9422</v>
      </c>
      <c r="AB68" s="285">
        <v>79.349777000000003</v>
      </c>
      <c r="AC68" s="285">
        <v>80.910233000000005</v>
      </c>
      <c r="AD68" s="285">
        <v>82.547386000000003</v>
      </c>
      <c r="AE68" s="285">
        <v>84.153701999999996</v>
      </c>
      <c r="AF68" s="285">
        <v>85.759247000000002</v>
      </c>
      <c r="AG68" s="286">
        <v>0.02</v>
      </c>
    </row>
    <row r="69" spans="1:33">
      <c r="A69" t="s">
        <v>196</v>
      </c>
      <c r="B69" t="s">
        <v>2741</v>
      </c>
      <c r="C69" t="s">
        <v>2740</v>
      </c>
      <c r="D69" t="s">
        <v>2264</v>
      </c>
      <c r="F69">
        <v>1.682606</v>
      </c>
      <c r="G69">
        <v>1.6933849999999999</v>
      </c>
      <c r="H69">
        <v>1.70486</v>
      </c>
      <c r="I69">
        <v>1.715508</v>
      </c>
      <c r="J69">
        <v>1.7250989999999999</v>
      </c>
      <c r="K69">
        <v>1.73397</v>
      </c>
      <c r="L69">
        <v>1.7422089999999999</v>
      </c>
      <c r="M69">
        <v>1.749763</v>
      </c>
      <c r="N69">
        <v>1.7567390000000001</v>
      </c>
      <c r="O69">
        <v>1.763382</v>
      </c>
      <c r="P69">
        <v>1.769722</v>
      </c>
      <c r="Q69">
        <v>1.7757849999999999</v>
      </c>
      <c r="R69">
        <v>1.7815719999999999</v>
      </c>
      <c r="S69">
        <v>1.787139</v>
      </c>
      <c r="T69">
        <v>1.79251</v>
      </c>
      <c r="U69">
        <v>1.7977749999999999</v>
      </c>
      <c r="V69">
        <v>1.802943</v>
      </c>
      <c r="W69">
        <v>1.8080540000000001</v>
      </c>
      <c r="X69">
        <v>1.813099</v>
      </c>
      <c r="Y69">
        <v>1.8180590000000001</v>
      </c>
      <c r="Z69">
        <v>1.8229059999999999</v>
      </c>
      <c r="AA69">
        <v>1.8276190000000001</v>
      </c>
      <c r="AB69">
        <v>1.832273</v>
      </c>
      <c r="AC69">
        <v>1.8368770000000001</v>
      </c>
      <c r="AD69">
        <v>1.8414010000000001</v>
      </c>
      <c r="AE69">
        <v>1.8458730000000001</v>
      </c>
      <c r="AF69">
        <v>1.850249</v>
      </c>
      <c r="AG69" s="144">
        <v>4.0000000000000001E-3</v>
      </c>
    </row>
    <row r="70" spans="1:33">
      <c r="A70" t="s">
        <v>2403</v>
      </c>
      <c r="B70" t="s">
        <v>2739</v>
      </c>
      <c r="C70" t="s">
        <v>2738</v>
      </c>
      <c r="D70" t="s">
        <v>2264</v>
      </c>
      <c r="F70">
        <v>1.40537</v>
      </c>
      <c r="G70">
        <v>1.4749380000000001</v>
      </c>
      <c r="H70">
        <v>1.548783</v>
      </c>
      <c r="I70">
        <v>1.616765</v>
      </c>
      <c r="J70">
        <v>1.677943</v>
      </c>
      <c r="K70">
        <v>1.7351080000000001</v>
      </c>
      <c r="L70">
        <v>1.7895829999999999</v>
      </c>
      <c r="M70">
        <v>1.841855</v>
      </c>
      <c r="N70">
        <v>1.8927179999999999</v>
      </c>
      <c r="O70">
        <v>1.9426559999999999</v>
      </c>
      <c r="P70">
        <v>1.9919089999999999</v>
      </c>
      <c r="Q70">
        <v>2.04068</v>
      </c>
      <c r="R70">
        <v>2.089143</v>
      </c>
      <c r="S70">
        <v>2.1374460000000002</v>
      </c>
      <c r="T70">
        <v>2.1857169999999999</v>
      </c>
      <c r="U70">
        <v>2.2340610000000001</v>
      </c>
      <c r="V70">
        <v>2.2825709999999999</v>
      </c>
      <c r="W70">
        <v>2.3313269999999999</v>
      </c>
      <c r="X70">
        <v>2.380395</v>
      </c>
      <c r="Y70">
        <v>2.4298310000000001</v>
      </c>
      <c r="Z70">
        <v>2.4796860000000001</v>
      </c>
      <c r="AA70">
        <v>2.5300009999999999</v>
      </c>
      <c r="AB70">
        <v>2.58081</v>
      </c>
      <c r="AC70">
        <v>2.632145</v>
      </c>
      <c r="AD70">
        <v>2.6840310000000001</v>
      </c>
      <c r="AE70">
        <v>2.7364890000000002</v>
      </c>
      <c r="AF70">
        <v>2.7895370000000002</v>
      </c>
      <c r="AG70" s="144">
        <v>2.7E-2</v>
      </c>
    </row>
    <row r="71" spans="1:33">
      <c r="A71" t="s">
        <v>2400</v>
      </c>
      <c r="B71" t="s">
        <v>2737</v>
      </c>
      <c r="C71" t="s">
        <v>2736</v>
      </c>
      <c r="D71" t="s">
        <v>2264</v>
      </c>
      <c r="F71">
        <v>37.819381999999997</v>
      </c>
      <c r="G71">
        <v>39.829979000000002</v>
      </c>
      <c r="H71">
        <v>41.962401999999997</v>
      </c>
      <c r="I71">
        <v>44.017982000000003</v>
      </c>
      <c r="J71">
        <v>45.981029999999997</v>
      </c>
      <c r="K71">
        <v>47.827193999999999</v>
      </c>
      <c r="L71">
        <v>49.563662999999998</v>
      </c>
      <c r="M71">
        <v>51.183768999999998</v>
      </c>
      <c r="N71">
        <v>52.729202000000001</v>
      </c>
      <c r="O71">
        <v>54.258862000000001</v>
      </c>
      <c r="P71">
        <v>55.782490000000003</v>
      </c>
      <c r="Q71">
        <v>57.298400999999998</v>
      </c>
      <c r="R71">
        <v>58.831843999999997</v>
      </c>
      <c r="S71">
        <v>60.363056</v>
      </c>
      <c r="T71">
        <v>61.885325999999999</v>
      </c>
      <c r="U71">
        <v>63.413066999999998</v>
      </c>
      <c r="V71">
        <v>64.948074000000005</v>
      </c>
      <c r="W71">
        <v>66.489029000000002</v>
      </c>
      <c r="X71">
        <v>68.049408</v>
      </c>
      <c r="Y71">
        <v>69.627876000000001</v>
      </c>
      <c r="Z71">
        <v>71.215384999999998</v>
      </c>
      <c r="AA71">
        <v>72.808066999999994</v>
      </c>
      <c r="AB71">
        <v>74.416756000000007</v>
      </c>
      <c r="AC71">
        <v>76.042304999999999</v>
      </c>
      <c r="AD71">
        <v>77.688286000000005</v>
      </c>
      <c r="AE71">
        <v>79.366530999999995</v>
      </c>
      <c r="AF71">
        <v>81.086922000000001</v>
      </c>
      <c r="AG71" s="144">
        <v>0.03</v>
      </c>
    </row>
    <row r="72" spans="1:33">
      <c r="A72" t="s">
        <v>2397</v>
      </c>
      <c r="B72" t="s">
        <v>2735</v>
      </c>
      <c r="C72" t="s">
        <v>2734</v>
      </c>
      <c r="D72" t="s">
        <v>2264</v>
      </c>
      <c r="F72">
        <v>7.0531600000000001</v>
      </c>
      <c r="G72">
        <v>7.1328019999999999</v>
      </c>
      <c r="H72">
        <v>7.1936109999999998</v>
      </c>
      <c r="I72">
        <v>7.2466419999999996</v>
      </c>
      <c r="J72">
        <v>7.2896599999999996</v>
      </c>
      <c r="K72">
        <v>7.3252819999999996</v>
      </c>
      <c r="L72">
        <v>7.354692</v>
      </c>
      <c r="M72">
        <v>7.3780530000000004</v>
      </c>
      <c r="N72">
        <v>7.3974289999999998</v>
      </c>
      <c r="O72">
        <v>7.4130450000000003</v>
      </c>
      <c r="P72">
        <v>7.4247990000000001</v>
      </c>
      <c r="Q72">
        <v>7.4332549999999999</v>
      </c>
      <c r="R72">
        <v>7.4389779999999996</v>
      </c>
      <c r="S72">
        <v>7.4428890000000001</v>
      </c>
      <c r="T72">
        <v>7.4452150000000001</v>
      </c>
      <c r="U72">
        <v>7.4460839999999999</v>
      </c>
      <c r="V72">
        <v>7.4463499999999998</v>
      </c>
      <c r="W72">
        <v>7.4463609999999996</v>
      </c>
      <c r="X72">
        <v>7.4462549999999998</v>
      </c>
      <c r="Y72">
        <v>7.4462010000000003</v>
      </c>
      <c r="Z72">
        <v>7.4463800000000004</v>
      </c>
      <c r="AA72">
        <v>7.4472959999999997</v>
      </c>
      <c r="AB72">
        <v>7.448925</v>
      </c>
      <c r="AC72">
        <v>7.451009</v>
      </c>
      <c r="AD72">
        <v>7.4532949999999998</v>
      </c>
      <c r="AE72">
        <v>7.4556100000000001</v>
      </c>
      <c r="AF72">
        <v>7.4585160000000004</v>
      </c>
      <c r="AG72" s="144">
        <v>2E-3</v>
      </c>
    </row>
    <row r="73" spans="1:33">
      <c r="A73" t="s">
        <v>2394</v>
      </c>
      <c r="B73" t="s">
        <v>2733</v>
      </c>
      <c r="C73" t="s">
        <v>2732</v>
      </c>
      <c r="D73" t="s">
        <v>2264</v>
      </c>
      <c r="F73">
        <v>2.191592</v>
      </c>
      <c r="G73">
        <v>2.2791100000000002</v>
      </c>
      <c r="H73">
        <v>2.367953</v>
      </c>
      <c r="I73">
        <v>2.4495230000000001</v>
      </c>
      <c r="J73">
        <v>2.5246960000000001</v>
      </c>
      <c r="K73">
        <v>2.5932629999999999</v>
      </c>
      <c r="L73">
        <v>2.6564390000000002</v>
      </c>
      <c r="M73">
        <v>2.7156150000000001</v>
      </c>
      <c r="N73">
        <v>2.7710360000000001</v>
      </c>
      <c r="O73">
        <v>2.823086</v>
      </c>
      <c r="P73">
        <v>2.8723580000000002</v>
      </c>
      <c r="Q73">
        <v>2.9186009999999998</v>
      </c>
      <c r="R73">
        <v>2.9627050000000001</v>
      </c>
      <c r="S73">
        <v>3.0051019999999999</v>
      </c>
      <c r="T73">
        <v>3.0446620000000002</v>
      </c>
      <c r="U73">
        <v>3.0825629999999999</v>
      </c>
      <c r="V73">
        <v>3.1191409999999999</v>
      </c>
      <c r="W73">
        <v>3.1548120000000002</v>
      </c>
      <c r="X73">
        <v>3.1896770000000001</v>
      </c>
      <c r="Y73">
        <v>3.2238449999999998</v>
      </c>
      <c r="Z73">
        <v>3.2573150000000002</v>
      </c>
      <c r="AA73">
        <v>3.290095</v>
      </c>
      <c r="AB73">
        <v>3.3222330000000002</v>
      </c>
      <c r="AC73">
        <v>3.3537949999999999</v>
      </c>
      <c r="AD73">
        <v>3.3848479999999999</v>
      </c>
      <c r="AE73">
        <v>3.4154439999999999</v>
      </c>
      <c r="AF73">
        <v>3.4456340000000001</v>
      </c>
      <c r="AG73" s="144">
        <v>1.7999999999999999E-2</v>
      </c>
    </row>
    <row r="74" spans="1:33">
      <c r="A74" t="s">
        <v>2391</v>
      </c>
      <c r="B74" t="s">
        <v>2731</v>
      </c>
      <c r="C74" t="s">
        <v>2730</v>
      </c>
      <c r="D74" t="s">
        <v>2264</v>
      </c>
      <c r="F74">
        <v>8.4099559999999993</v>
      </c>
      <c r="G74">
        <v>8.6271509999999996</v>
      </c>
      <c r="H74">
        <v>8.8739120000000007</v>
      </c>
      <c r="I74">
        <v>9.1088179999999994</v>
      </c>
      <c r="J74">
        <v>9.3348060000000004</v>
      </c>
      <c r="K74">
        <v>9.5546989999999994</v>
      </c>
      <c r="L74">
        <v>9.7704109999999993</v>
      </c>
      <c r="M74">
        <v>9.9763179999999991</v>
      </c>
      <c r="N74">
        <v>10.172041999999999</v>
      </c>
      <c r="O74">
        <v>10.358764000000001</v>
      </c>
      <c r="P74">
        <v>10.535639</v>
      </c>
      <c r="Q74">
        <v>10.702966999999999</v>
      </c>
      <c r="R74">
        <v>10.865589999999999</v>
      </c>
      <c r="S74">
        <v>11.016742000000001</v>
      </c>
      <c r="T74">
        <v>11.160425</v>
      </c>
      <c r="U74">
        <v>11.295287</v>
      </c>
      <c r="V74">
        <v>11.42648</v>
      </c>
      <c r="W74">
        <v>11.555186000000001</v>
      </c>
      <c r="X74">
        <v>11.677161999999999</v>
      </c>
      <c r="Y74">
        <v>11.789802999999999</v>
      </c>
      <c r="Z74">
        <v>11.888045</v>
      </c>
      <c r="AA74">
        <v>11.968591999999999</v>
      </c>
      <c r="AB74">
        <v>12.036063</v>
      </c>
      <c r="AC74">
        <v>12.093634</v>
      </c>
      <c r="AD74">
        <v>12.145685</v>
      </c>
      <c r="AE74">
        <v>12.196770000000001</v>
      </c>
      <c r="AF74">
        <v>12.244811</v>
      </c>
      <c r="AG74" s="144">
        <v>1.4999999999999999E-2</v>
      </c>
    </row>
    <row r="75" spans="1:33">
      <c r="A75" t="s">
        <v>2388</v>
      </c>
      <c r="B75" t="s">
        <v>2729</v>
      </c>
      <c r="C75" t="s">
        <v>2728</v>
      </c>
      <c r="D75" t="s">
        <v>2264</v>
      </c>
      <c r="F75">
        <v>0.60352700000000004</v>
      </c>
      <c r="G75">
        <v>0.64750799999999997</v>
      </c>
      <c r="H75">
        <v>0.67507600000000001</v>
      </c>
      <c r="I75">
        <v>0.688334</v>
      </c>
      <c r="J75">
        <v>0.70993300000000004</v>
      </c>
      <c r="K75">
        <v>0.73007599999999995</v>
      </c>
      <c r="L75">
        <v>0.74805299999999997</v>
      </c>
      <c r="M75">
        <v>0.76425100000000001</v>
      </c>
      <c r="N75">
        <v>0.77945399999999998</v>
      </c>
      <c r="O75">
        <v>0.79393400000000003</v>
      </c>
      <c r="P75">
        <v>0.80802600000000002</v>
      </c>
      <c r="Q75">
        <v>0.82153600000000004</v>
      </c>
      <c r="R75">
        <v>0.83333999999999997</v>
      </c>
      <c r="S75">
        <v>0.84337399999999996</v>
      </c>
      <c r="T75">
        <v>0.85204999999999997</v>
      </c>
      <c r="U75">
        <v>0.85959300000000005</v>
      </c>
      <c r="V75">
        <v>0.86641100000000004</v>
      </c>
      <c r="W75">
        <v>0.87519000000000002</v>
      </c>
      <c r="X75">
        <v>0.88506099999999999</v>
      </c>
      <c r="Y75">
        <v>0.89469500000000002</v>
      </c>
      <c r="Z75">
        <v>0.90395899999999996</v>
      </c>
      <c r="AA75">
        <v>0.91264400000000001</v>
      </c>
      <c r="AB75">
        <v>0.92145100000000002</v>
      </c>
      <c r="AC75">
        <v>0.93086199999999997</v>
      </c>
      <c r="AD75">
        <v>0.93947800000000004</v>
      </c>
      <c r="AE75">
        <v>0.94730300000000001</v>
      </c>
      <c r="AF75">
        <v>0.95501599999999998</v>
      </c>
      <c r="AG75" s="144">
        <v>1.7999999999999999E-2</v>
      </c>
    </row>
    <row r="76" spans="1:33">
      <c r="A76" t="s">
        <v>2385</v>
      </c>
      <c r="B76" t="s">
        <v>2727</v>
      </c>
      <c r="C76" t="s">
        <v>2726</v>
      </c>
      <c r="D76" t="s">
        <v>2264</v>
      </c>
      <c r="F76">
        <v>0.53995300000000002</v>
      </c>
      <c r="G76">
        <v>0.47585699999999997</v>
      </c>
      <c r="H76">
        <v>0.42205700000000002</v>
      </c>
      <c r="I76">
        <v>0.37659399999999998</v>
      </c>
      <c r="J76">
        <v>0.338501</v>
      </c>
      <c r="K76">
        <v>0.306585</v>
      </c>
      <c r="L76">
        <v>0.27970899999999999</v>
      </c>
      <c r="M76">
        <v>0.25713900000000001</v>
      </c>
      <c r="N76">
        <v>0.23830200000000001</v>
      </c>
      <c r="O76">
        <v>0.22267799999999999</v>
      </c>
      <c r="P76">
        <v>0.20979900000000001</v>
      </c>
      <c r="Q76">
        <v>0.19930700000000001</v>
      </c>
      <c r="R76">
        <v>0.190861</v>
      </c>
      <c r="S76">
        <v>0.18412600000000001</v>
      </c>
      <c r="T76">
        <v>0.17884700000000001</v>
      </c>
      <c r="U76">
        <v>0.17480699999999999</v>
      </c>
      <c r="V76">
        <v>0.171795</v>
      </c>
      <c r="W76">
        <v>0.16966000000000001</v>
      </c>
      <c r="X76">
        <v>0.16831499999999999</v>
      </c>
      <c r="Y76">
        <v>0.167659</v>
      </c>
      <c r="Z76">
        <v>0.1676</v>
      </c>
      <c r="AA76">
        <v>0.16806199999999999</v>
      </c>
      <c r="AB76">
        <v>0.16895399999999999</v>
      </c>
      <c r="AC76">
        <v>0.17022999999999999</v>
      </c>
      <c r="AD76">
        <v>0.17183999999999999</v>
      </c>
      <c r="AE76">
        <v>0.17374100000000001</v>
      </c>
      <c r="AF76">
        <v>0.175895</v>
      </c>
      <c r="AG76" s="144">
        <v>-4.2000000000000003E-2</v>
      </c>
    </row>
    <row r="77" spans="1:33">
      <c r="A77" t="s">
        <v>198</v>
      </c>
      <c r="B77" t="s">
        <v>2725</v>
      </c>
      <c r="C77" t="s">
        <v>2724</v>
      </c>
      <c r="D77" t="s">
        <v>2264</v>
      </c>
      <c r="F77">
        <v>16.529194</v>
      </c>
      <c r="G77">
        <v>17.362121999999999</v>
      </c>
      <c r="H77">
        <v>18.120519999999999</v>
      </c>
      <c r="I77">
        <v>18.829101999999999</v>
      </c>
      <c r="J77">
        <v>19.515839</v>
      </c>
      <c r="K77">
        <v>20.189909</v>
      </c>
      <c r="L77">
        <v>20.851711000000002</v>
      </c>
      <c r="M77">
        <v>21.499815000000002</v>
      </c>
      <c r="N77">
        <v>22.138054</v>
      </c>
      <c r="O77">
        <v>22.763999999999999</v>
      </c>
      <c r="P77">
        <v>23.378685000000001</v>
      </c>
      <c r="Q77">
        <v>23.982783999999999</v>
      </c>
      <c r="R77">
        <v>24.57217</v>
      </c>
      <c r="S77">
        <v>25.151173</v>
      </c>
      <c r="T77">
        <v>25.723199999999999</v>
      </c>
      <c r="U77">
        <v>26.288422000000001</v>
      </c>
      <c r="V77">
        <v>26.846848000000001</v>
      </c>
      <c r="W77">
        <v>27.398415</v>
      </c>
      <c r="X77">
        <v>27.942936</v>
      </c>
      <c r="Y77">
        <v>28.480183</v>
      </c>
      <c r="Z77">
        <v>29.009817000000002</v>
      </c>
      <c r="AA77">
        <v>29.531483000000001</v>
      </c>
      <c r="AB77">
        <v>30.044754000000001</v>
      </c>
      <c r="AC77">
        <v>30.549208</v>
      </c>
      <c r="AD77">
        <v>31.044312999999999</v>
      </c>
      <c r="AE77">
        <v>31.529593999999999</v>
      </c>
      <c r="AF77">
        <v>32.004528000000001</v>
      </c>
      <c r="AG77" s="144">
        <v>2.5999999999999999E-2</v>
      </c>
    </row>
    <row r="78" spans="1:33">
      <c r="A78" t="s">
        <v>2380</v>
      </c>
      <c r="B78" t="s">
        <v>2723</v>
      </c>
      <c r="C78" t="s">
        <v>2722</v>
      </c>
      <c r="D78" t="s">
        <v>2264</v>
      </c>
      <c r="F78">
        <v>3.233301</v>
      </c>
      <c r="G78">
        <v>3.423184</v>
      </c>
      <c r="H78">
        <v>3.6107589999999998</v>
      </c>
      <c r="I78">
        <v>3.800875</v>
      </c>
      <c r="J78">
        <v>3.9895149999999999</v>
      </c>
      <c r="K78">
        <v>4.1779780000000004</v>
      </c>
      <c r="L78">
        <v>4.3662179999999999</v>
      </c>
      <c r="M78">
        <v>4.5535839999999999</v>
      </c>
      <c r="N78">
        <v>4.7394860000000003</v>
      </c>
      <c r="O78">
        <v>4.9233599999999997</v>
      </c>
      <c r="P78">
        <v>5.1051849999999996</v>
      </c>
      <c r="Q78">
        <v>5.2848030000000001</v>
      </c>
      <c r="R78">
        <v>5.4617459999999998</v>
      </c>
      <c r="S78">
        <v>5.6373300000000004</v>
      </c>
      <c r="T78">
        <v>5.8109390000000003</v>
      </c>
      <c r="U78">
        <v>5.9832280000000004</v>
      </c>
      <c r="V78">
        <v>6.1554589999999996</v>
      </c>
      <c r="W78">
        <v>6.3274910000000002</v>
      </c>
      <c r="X78">
        <v>6.499231</v>
      </c>
      <c r="Y78">
        <v>6.6704470000000002</v>
      </c>
      <c r="Z78">
        <v>6.8410330000000004</v>
      </c>
      <c r="AA78">
        <v>7.0111270000000001</v>
      </c>
      <c r="AB78">
        <v>7.1809719999999997</v>
      </c>
      <c r="AC78">
        <v>7.3504069999999997</v>
      </c>
      <c r="AD78">
        <v>7.5193079999999997</v>
      </c>
      <c r="AE78">
        <v>7.6875739999999997</v>
      </c>
      <c r="AF78">
        <v>7.8550940000000002</v>
      </c>
      <c r="AG78" s="144">
        <v>3.5000000000000003E-2</v>
      </c>
    </row>
    <row r="79" spans="1:33">
      <c r="A79" t="s">
        <v>2377</v>
      </c>
      <c r="B79" t="s">
        <v>2721</v>
      </c>
      <c r="C79" t="s">
        <v>2720</v>
      </c>
      <c r="D79" t="s">
        <v>2264</v>
      </c>
      <c r="F79">
        <v>18.962054999999999</v>
      </c>
      <c r="G79">
        <v>19.803460999999999</v>
      </c>
      <c r="H79">
        <v>20.548679</v>
      </c>
      <c r="I79">
        <v>21.198917000000002</v>
      </c>
      <c r="J79">
        <v>21.767309000000001</v>
      </c>
      <c r="K79">
        <v>22.266064</v>
      </c>
      <c r="L79">
        <v>22.706779000000001</v>
      </c>
      <c r="M79">
        <v>23.098610000000001</v>
      </c>
      <c r="N79">
        <v>23.448578000000001</v>
      </c>
      <c r="O79">
        <v>23.762236000000001</v>
      </c>
      <c r="P79">
        <v>24.044249000000001</v>
      </c>
      <c r="Q79">
        <v>24.298673999999998</v>
      </c>
      <c r="R79">
        <v>24.529485999999999</v>
      </c>
      <c r="S79">
        <v>24.739484999999998</v>
      </c>
      <c r="T79">
        <v>24.933277</v>
      </c>
      <c r="U79">
        <v>25.113233999999999</v>
      </c>
      <c r="V79">
        <v>25.281115</v>
      </c>
      <c r="W79">
        <v>25.438202</v>
      </c>
      <c r="X79">
        <v>25.586137999999998</v>
      </c>
      <c r="Y79">
        <v>25.726053</v>
      </c>
      <c r="Z79">
        <v>25.858837000000001</v>
      </c>
      <c r="AA79">
        <v>25.985292000000001</v>
      </c>
      <c r="AB79">
        <v>26.105982000000001</v>
      </c>
      <c r="AC79">
        <v>26.221277000000001</v>
      </c>
      <c r="AD79">
        <v>26.331917000000001</v>
      </c>
      <c r="AE79">
        <v>26.438707000000001</v>
      </c>
      <c r="AF79">
        <v>26.542497999999998</v>
      </c>
      <c r="AG79" s="144">
        <v>1.2999999999999999E-2</v>
      </c>
    </row>
    <row r="80" spans="1:33">
      <c r="A80" t="s">
        <v>2374</v>
      </c>
      <c r="B80" t="s">
        <v>2719</v>
      </c>
      <c r="C80" t="s">
        <v>2718</v>
      </c>
      <c r="D80" t="s">
        <v>2264</v>
      </c>
      <c r="F80">
        <v>9.4425450000000009</v>
      </c>
      <c r="G80">
        <v>8.8007729999999995</v>
      </c>
      <c r="H80">
        <v>8.2775940000000006</v>
      </c>
      <c r="I80">
        <v>7.8187040000000003</v>
      </c>
      <c r="J80">
        <v>7.4284780000000001</v>
      </c>
      <c r="K80">
        <v>7.099774</v>
      </c>
      <c r="L80">
        <v>6.8228790000000004</v>
      </c>
      <c r="M80">
        <v>6.5915549999999996</v>
      </c>
      <c r="N80">
        <v>6.3975970000000002</v>
      </c>
      <c r="O80">
        <v>6.2355359999999997</v>
      </c>
      <c r="P80">
        <v>6.1006159999999996</v>
      </c>
      <c r="Q80">
        <v>5.989312</v>
      </c>
      <c r="R80">
        <v>5.8981070000000004</v>
      </c>
      <c r="S80">
        <v>5.8240030000000003</v>
      </c>
      <c r="T80">
        <v>5.7642559999999996</v>
      </c>
      <c r="U80">
        <v>5.7163940000000002</v>
      </c>
      <c r="V80">
        <v>5.6788850000000002</v>
      </c>
      <c r="W80">
        <v>5.6503160000000001</v>
      </c>
      <c r="X80">
        <v>5.6295210000000004</v>
      </c>
      <c r="Y80">
        <v>5.6152870000000004</v>
      </c>
      <c r="Z80">
        <v>5.6064870000000004</v>
      </c>
      <c r="AA80">
        <v>5.602176</v>
      </c>
      <c r="AB80">
        <v>5.6016069999999996</v>
      </c>
      <c r="AC80">
        <v>5.6044340000000004</v>
      </c>
      <c r="AD80">
        <v>5.6100950000000003</v>
      </c>
      <c r="AE80">
        <v>5.6182040000000004</v>
      </c>
      <c r="AF80">
        <v>5.6284879999999999</v>
      </c>
      <c r="AG80" s="144">
        <v>-0.02</v>
      </c>
    </row>
    <row r="81" spans="1:33">
      <c r="A81" t="s">
        <v>197</v>
      </c>
      <c r="B81" t="s">
        <v>2717</v>
      </c>
      <c r="C81" t="s">
        <v>2716</v>
      </c>
      <c r="D81" t="s">
        <v>2264</v>
      </c>
      <c r="F81">
        <v>4.7045709999999996</v>
      </c>
      <c r="G81">
        <v>4.9472129999999996</v>
      </c>
      <c r="H81">
        <v>5.223986</v>
      </c>
      <c r="I81">
        <v>5.4771619999999999</v>
      </c>
      <c r="J81">
        <v>5.7276360000000004</v>
      </c>
      <c r="K81">
        <v>5.9776239999999996</v>
      </c>
      <c r="L81">
        <v>6.2310739999999996</v>
      </c>
      <c r="M81">
        <v>6.4893640000000001</v>
      </c>
      <c r="N81">
        <v>6.7491490000000001</v>
      </c>
      <c r="O81">
        <v>7.0109979999999998</v>
      </c>
      <c r="P81">
        <v>7.2763289999999996</v>
      </c>
      <c r="Q81">
        <v>7.5456599999999998</v>
      </c>
      <c r="R81">
        <v>7.8198550000000004</v>
      </c>
      <c r="S81">
        <v>8.0985530000000008</v>
      </c>
      <c r="T81">
        <v>8.3813300000000002</v>
      </c>
      <c r="U81">
        <v>8.6682930000000002</v>
      </c>
      <c r="V81">
        <v>8.9594919999999991</v>
      </c>
      <c r="W81">
        <v>9.2551480000000002</v>
      </c>
      <c r="X81">
        <v>9.5549970000000002</v>
      </c>
      <c r="Y81">
        <v>9.8591770000000007</v>
      </c>
      <c r="Z81">
        <v>10.167911999999999</v>
      </c>
      <c r="AA81">
        <v>10.481163</v>
      </c>
      <c r="AB81">
        <v>10.798802</v>
      </c>
      <c r="AC81">
        <v>11.120630999999999</v>
      </c>
      <c r="AD81">
        <v>11.446486</v>
      </c>
      <c r="AE81">
        <v>11.776161999999999</v>
      </c>
      <c r="AF81">
        <v>12.109522999999999</v>
      </c>
      <c r="AG81" s="144">
        <v>3.6999999999999998E-2</v>
      </c>
    </row>
    <row r="82" spans="1:33">
      <c r="A82" t="s">
        <v>2369</v>
      </c>
      <c r="B82" t="s">
        <v>2715</v>
      </c>
      <c r="C82" t="s">
        <v>2714</v>
      </c>
      <c r="D82" t="s">
        <v>2264</v>
      </c>
      <c r="F82">
        <v>2.27536</v>
      </c>
      <c r="G82">
        <v>2.285974</v>
      </c>
      <c r="H82">
        <v>2.2924950000000002</v>
      </c>
      <c r="I82">
        <v>2.3104360000000002</v>
      </c>
      <c r="J82">
        <v>2.3340070000000002</v>
      </c>
      <c r="K82">
        <v>2.3585750000000001</v>
      </c>
      <c r="L82">
        <v>2.383829</v>
      </c>
      <c r="M82">
        <v>2.409691</v>
      </c>
      <c r="N82">
        <v>2.436051</v>
      </c>
      <c r="O82">
        <v>2.4627569999999999</v>
      </c>
      <c r="P82">
        <v>2.4896259999999999</v>
      </c>
      <c r="Q82">
        <v>2.5164930000000001</v>
      </c>
      <c r="R82">
        <v>2.5432260000000002</v>
      </c>
      <c r="S82">
        <v>2.569715</v>
      </c>
      <c r="T82">
        <v>2.59585</v>
      </c>
      <c r="U82">
        <v>2.6215229999999998</v>
      </c>
      <c r="V82">
        <v>2.6466409999999998</v>
      </c>
      <c r="W82">
        <v>2.671119</v>
      </c>
      <c r="X82">
        <v>2.6948780000000001</v>
      </c>
      <c r="Y82">
        <v>2.717848</v>
      </c>
      <c r="Z82">
        <v>2.739967</v>
      </c>
      <c r="AA82">
        <v>2.7611750000000002</v>
      </c>
      <c r="AB82">
        <v>2.7814230000000002</v>
      </c>
      <c r="AC82">
        <v>2.8006600000000001</v>
      </c>
      <c r="AD82">
        <v>2.8188439999999999</v>
      </c>
      <c r="AE82">
        <v>2.8359350000000001</v>
      </c>
      <c r="AF82">
        <v>2.8519019999999999</v>
      </c>
      <c r="AG82" s="144">
        <v>8.9999999999999993E-3</v>
      </c>
    </row>
    <row r="83" spans="1:33">
      <c r="A83" t="s">
        <v>2366</v>
      </c>
      <c r="B83" t="s">
        <v>2713</v>
      </c>
      <c r="C83" t="s">
        <v>2712</v>
      </c>
      <c r="D83" t="s">
        <v>2264</v>
      </c>
      <c r="F83">
        <v>4.5103299999999997</v>
      </c>
      <c r="G83">
        <v>4.7625849999999996</v>
      </c>
      <c r="H83">
        <v>5.0333829999999997</v>
      </c>
      <c r="I83">
        <v>5.2902170000000002</v>
      </c>
      <c r="J83">
        <v>5.5300209999999996</v>
      </c>
      <c r="K83">
        <v>5.7648190000000001</v>
      </c>
      <c r="L83">
        <v>5.9990959999999998</v>
      </c>
      <c r="M83">
        <v>6.2341699999999998</v>
      </c>
      <c r="N83">
        <v>6.4710650000000003</v>
      </c>
      <c r="O83">
        <v>6.7098880000000003</v>
      </c>
      <c r="P83">
        <v>6.9501379999999999</v>
      </c>
      <c r="Q83">
        <v>7.1912399999999996</v>
      </c>
      <c r="R83">
        <v>7.4334350000000002</v>
      </c>
      <c r="S83">
        <v>7.6783279999999996</v>
      </c>
      <c r="T83">
        <v>7.9264169999999998</v>
      </c>
      <c r="U83">
        <v>8.1783940000000008</v>
      </c>
      <c r="V83">
        <v>8.4339440000000003</v>
      </c>
      <c r="W83">
        <v>8.6928350000000005</v>
      </c>
      <c r="X83">
        <v>8.9549970000000005</v>
      </c>
      <c r="Y83">
        <v>9.2207469999999994</v>
      </c>
      <c r="Z83">
        <v>9.4899920000000009</v>
      </c>
      <c r="AA83">
        <v>9.7625550000000008</v>
      </c>
      <c r="AB83">
        <v>10.038292999999999</v>
      </c>
      <c r="AC83">
        <v>10.316409999999999</v>
      </c>
      <c r="AD83">
        <v>10.596745</v>
      </c>
      <c r="AE83">
        <v>10.879801</v>
      </c>
      <c r="AF83">
        <v>11.165881000000001</v>
      </c>
      <c r="AG83" s="144">
        <v>3.5000000000000003E-2</v>
      </c>
    </row>
    <row r="84" spans="1:33">
      <c r="A84" t="s">
        <v>2711</v>
      </c>
      <c r="B84" t="s">
        <v>2710</v>
      </c>
      <c r="C84" t="s">
        <v>2706</v>
      </c>
      <c r="D84" t="s">
        <v>2264</v>
      </c>
      <c r="F84">
        <v>35.567261000000002</v>
      </c>
      <c r="G84">
        <v>36.249363000000002</v>
      </c>
      <c r="H84">
        <v>36.966208999999999</v>
      </c>
      <c r="I84">
        <v>37.640391999999999</v>
      </c>
      <c r="J84">
        <v>38.282325999999998</v>
      </c>
      <c r="K84">
        <v>38.943832</v>
      </c>
      <c r="L84">
        <v>39.592078999999998</v>
      </c>
      <c r="M84">
        <v>40.211585999999997</v>
      </c>
      <c r="N84">
        <v>40.857680999999999</v>
      </c>
      <c r="O84">
        <v>41.518245999999998</v>
      </c>
      <c r="P84">
        <v>42.174179000000002</v>
      </c>
      <c r="Q84">
        <v>42.849598</v>
      </c>
      <c r="R84">
        <v>43.528122000000003</v>
      </c>
      <c r="S84">
        <v>44.219456000000001</v>
      </c>
      <c r="T84">
        <v>44.927284</v>
      </c>
      <c r="U84">
        <v>45.636302999999998</v>
      </c>
      <c r="V84">
        <v>46.346553999999998</v>
      </c>
      <c r="W84">
        <v>47.054188000000003</v>
      </c>
      <c r="X84">
        <v>47.781376000000002</v>
      </c>
      <c r="Y84">
        <v>48.503410000000002</v>
      </c>
      <c r="Z84">
        <v>49.209381</v>
      </c>
      <c r="AA84">
        <v>49.910355000000003</v>
      </c>
      <c r="AB84">
        <v>50.607216000000001</v>
      </c>
      <c r="AC84">
        <v>51.339931</v>
      </c>
      <c r="AD84">
        <v>52.088051</v>
      </c>
      <c r="AE84">
        <v>52.824531999999998</v>
      </c>
      <c r="AF84">
        <v>53.556854000000001</v>
      </c>
      <c r="AG84" s="144">
        <v>1.6E-2</v>
      </c>
    </row>
    <row r="85" spans="1:33">
      <c r="A85" t="s">
        <v>2709</v>
      </c>
      <c r="B85" t="s">
        <v>2708</v>
      </c>
      <c r="C85" t="s">
        <v>2706</v>
      </c>
      <c r="D85" t="s">
        <v>2264</v>
      </c>
      <c r="F85">
        <v>135.24774199999999</v>
      </c>
      <c r="G85">
        <v>139.887451</v>
      </c>
      <c r="H85">
        <v>144.74943500000001</v>
      </c>
      <c r="I85">
        <v>149.35334800000001</v>
      </c>
      <c r="J85">
        <v>153.71546900000001</v>
      </c>
      <c r="K85">
        <v>157.96852100000001</v>
      </c>
      <c r="L85">
        <v>162.051117</v>
      </c>
      <c r="M85">
        <v>165.91743500000001</v>
      </c>
      <c r="N85">
        <v>169.752655</v>
      </c>
      <c r="O85">
        <v>173.585724</v>
      </c>
      <c r="P85">
        <v>177.37635800000001</v>
      </c>
      <c r="Q85">
        <v>181.18914799999999</v>
      </c>
      <c r="R85">
        <v>185.01506000000001</v>
      </c>
      <c r="S85">
        <v>188.85900899999999</v>
      </c>
      <c r="T85">
        <v>192.730988</v>
      </c>
      <c r="U85">
        <v>196.60434000000001</v>
      </c>
      <c r="V85">
        <v>200.48928799999999</v>
      </c>
      <c r="W85">
        <v>204.37535099999999</v>
      </c>
      <c r="X85">
        <v>208.33488500000001</v>
      </c>
      <c r="Y85">
        <v>212.29684399999999</v>
      </c>
      <c r="Z85">
        <v>216.21632399999999</v>
      </c>
      <c r="AA85">
        <v>220.11917099999999</v>
      </c>
      <c r="AB85">
        <v>224.02186599999999</v>
      </c>
      <c r="AC85">
        <v>228.04422</v>
      </c>
      <c r="AD85">
        <v>232.135895</v>
      </c>
      <c r="AE85">
        <v>236.23289500000001</v>
      </c>
      <c r="AF85">
        <v>240.36685199999999</v>
      </c>
      <c r="AG85" s="144">
        <v>2.1999999999999999E-2</v>
      </c>
    </row>
    <row r="86" spans="1:33">
      <c r="A86" t="s">
        <v>153</v>
      </c>
      <c r="B86" t="s">
        <v>2707</v>
      </c>
      <c r="C86" t="s">
        <v>2706</v>
      </c>
      <c r="D86" t="s">
        <v>2264</v>
      </c>
      <c r="F86">
        <v>170.81500199999999</v>
      </c>
      <c r="G86">
        <v>176.13682600000001</v>
      </c>
      <c r="H86">
        <v>181.71563699999999</v>
      </c>
      <c r="I86">
        <v>186.99374399999999</v>
      </c>
      <c r="J86">
        <v>191.997818</v>
      </c>
      <c r="K86">
        <v>196.91232299999999</v>
      </c>
      <c r="L86">
        <v>201.643204</v>
      </c>
      <c r="M86">
        <v>206.12904399999999</v>
      </c>
      <c r="N86">
        <v>210.610321</v>
      </c>
      <c r="O86">
        <v>215.103973</v>
      </c>
      <c r="P86">
        <v>219.55053699999999</v>
      </c>
      <c r="Q86">
        <v>224.038712</v>
      </c>
      <c r="R86">
        <v>228.54315199999999</v>
      </c>
      <c r="S86">
        <v>233.07843</v>
      </c>
      <c r="T86">
        <v>237.658264</v>
      </c>
      <c r="U86">
        <v>242.240646</v>
      </c>
      <c r="V86">
        <v>246.835815</v>
      </c>
      <c r="W86">
        <v>251.42955000000001</v>
      </c>
      <c r="X86">
        <v>256.11627199999998</v>
      </c>
      <c r="Y86">
        <v>260.80026199999998</v>
      </c>
      <c r="Z86">
        <v>265.42575099999999</v>
      </c>
      <c r="AA86">
        <v>270.02954099999999</v>
      </c>
      <c r="AB86">
        <v>274.62905899999998</v>
      </c>
      <c r="AC86">
        <v>279.38412499999998</v>
      </c>
      <c r="AD86">
        <v>284.22396900000001</v>
      </c>
      <c r="AE86">
        <v>289.05740400000002</v>
      </c>
      <c r="AF86">
        <v>293.92370599999998</v>
      </c>
      <c r="AG86" s="144">
        <v>2.1000000000000001E-2</v>
      </c>
    </row>
    <row r="87" spans="1:33">
      <c r="A87" t="s">
        <v>152</v>
      </c>
    </row>
    <row r="88" spans="1:33">
      <c r="A88" t="s">
        <v>195</v>
      </c>
      <c r="B88" t="s">
        <v>2705</v>
      </c>
      <c r="C88" t="s">
        <v>2704</v>
      </c>
      <c r="D88" t="s">
        <v>2264</v>
      </c>
      <c r="F88">
        <v>1413.1365969999999</v>
      </c>
      <c r="G88">
        <v>1426.5014650000001</v>
      </c>
      <c r="H88">
        <v>1461.8975829999999</v>
      </c>
      <c r="I88">
        <v>1494.7885739999999</v>
      </c>
      <c r="J88">
        <v>1522.10022</v>
      </c>
      <c r="K88">
        <v>1551.6201169999999</v>
      </c>
      <c r="L88">
        <v>1578.6829829999999</v>
      </c>
      <c r="M88">
        <v>1601.181519</v>
      </c>
      <c r="N88">
        <v>1627.146362</v>
      </c>
      <c r="O88">
        <v>1654.892212</v>
      </c>
      <c r="P88">
        <v>1681.6214600000001</v>
      </c>
      <c r="Q88">
        <v>1711.017578</v>
      </c>
      <c r="R88">
        <v>1740.960693</v>
      </c>
      <c r="S88">
        <v>1772.771851</v>
      </c>
      <c r="T88">
        <v>1806.9364009999999</v>
      </c>
      <c r="U88">
        <v>1841.1685789999999</v>
      </c>
      <c r="V88">
        <v>1875.4395750000001</v>
      </c>
      <c r="W88">
        <v>1909.125366</v>
      </c>
      <c r="X88">
        <v>1945.61853</v>
      </c>
      <c r="Y88">
        <v>1981.3470460000001</v>
      </c>
      <c r="Z88">
        <v>2014.714111</v>
      </c>
      <c r="AA88">
        <v>2047.454346</v>
      </c>
      <c r="AB88">
        <v>2079.6472170000002</v>
      </c>
      <c r="AC88">
        <v>2117.3378910000001</v>
      </c>
      <c r="AD88">
        <v>2157.5336910000001</v>
      </c>
      <c r="AE88">
        <v>2196.0695799999999</v>
      </c>
      <c r="AF88">
        <v>2234.092529</v>
      </c>
      <c r="AG88" s="144">
        <v>1.7999999999999999E-2</v>
      </c>
    </row>
    <row r="89" spans="1:33">
      <c r="A89" t="s">
        <v>2420</v>
      </c>
      <c r="B89" t="s">
        <v>2703</v>
      </c>
      <c r="C89" t="s">
        <v>2702</v>
      </c>
      <c r="D89" t="s">
        <v>2264</v>
      </c>
      <c r="F89">
        <v>891.301331</v>
      </c>
      <c r="G89">
        <v>899.92388900000003</v>
      </c>
      <c r="H89">
        <v>921.62634300000002</v>
      </c>
      <c r="I89">
        <v>941.72473100000002</v>
      </c>
      <c r="J89">
        <v>958.128784</v>
      </c>
      <c r="K89">
        <v>975.96337900000003</v>
      </c>
      <c r="L89">
        <v>992.16058299999997</v>
      </c>
      <c r="M89">
        <v>1005.340759</v>
      </c>
      <c r="N89">
        <v>1020.7742919999999</v>
      </c>
      <c r="O89">
        <v>1037.3516850000001</v>
      </c>
      <c r="P89">
        <v>1053.238525</v>
      </c>
      <c r="Q89">
        <v>1070.848389</v>
      </c>
      <c r="R89">
        <v>1088.7901609999999</v>
      </c>
      <c r="S89">
        <v>1107.924927</v>
      </c>
      <c r="T89">
        <v>1128.56665</v>
      </c>
      <c r="U89">
        <v>1149.2211910000001</v>
      </c>
      <c r="V89">
        <v>1169.857422</v>
      </c>
      <c r="W89">
        <v>1190.073975</v>
      </c>
      <c r="X89">
        <v>1212.082764</v>
      </c>
      <c r="Y89">
        <v>1233.553101</v>
      </c>
      <c r="Z89">
        <v>1253.446533</v>
      </c>
      <c r="AA89">
        <v>1272.8930660000001</v>
      </c>
      <c r="AB89">
        <v>1291.944702</v>
      </c>
      <c r="AC89">
        <v>1314.5280760000001</v>
      </c>
      <c r="AD89">
        <v>1338.692749</v>
      </c>
      <c r="AE89">
        <v>1361.732788</v>
      </c>
      <c r="AF89">
        <v>1384.3929439999999</v>
      </c>
      <c r="AG89" s="144">
        <v>1.7000000000000001E-2</v>
      </c>
    </row>
    <row r="90" spans="1:33">
      <c r="A90" t="s">
        <v>2417</v>
      </c>
      <c r="B90" t="s">
        <v>2701</v>
      </c>
      <c r="C90" t="s">
        <v>2700</v>
      </c>
      <c r="D90" t="s">
        <v>2264</v>
      </c>
      <c r="F90">
        <v>436.674622</v>
      </c>
      <c r="G90">
        <v>440.58538800000002</v>
      </c>
      <c r="H90">
        <v>452.23049900000001</v>
      </c>
      <c r="I90">
        <v>463.12853999999999</v>
      </c>
      <c r="J90">
        <v>472.50158699999997</v>
      </c>
      <c r="K90">
        <v>482.51437399999998</v>
      </c>
      <c r="L90">
        <v>491.86749300000002</v>
      </c>
      <c r="M90">
        <v>499.96688799999998</v>
      </c>
      <c r="N90">
        <v>509.061218</v>
      </c>
      <c r="O90">
        <v>518.682861</v>
      </c>
      <c r="P90">
        <v>528.04632600000002</v>
      </c>
      <c r="Q90">
        <v>538.18731700000001</v>
      </c>
      <c r="R90">
        <v>548.51232900000002</v>
      </c>
      <c r="S90">
        <v>559.39764400000001</v>
      </c>
      <c r="T90">
        <v>570.98431400000004</v>
      </c>
      <c r="U90">
        <v>582.62622099999999</v>
      </c>
      <c r="V90">
        <v>594.32861300000002</v>
      </c>
      <c r="W90">
        <v>605.90722700000003</v>
      </c>
      <c r="X90">
        <v>618.32934599999999</v>
      </c>
      <c r="Y90">
        <v>630.57855199999995</v>
      </c>
      <c r="Z90">
        <v>642.19775400000003</v>
      </c>
      <c r="AA90">
        <v>653.68176300000005</v>
      </c>
      <c r="AB90">
        <v>665.05255099999999</v>
      </c>
      <c r="AC90">
        <v>678.04998799999998</v>
      </c>
      <c r="AD90">
        <v>691.81976299999997</v>
      </c>
      <c r="AE90">
        <v>705.16479500000003</v>
      </c>
      <c r="AF90">
        <v>718.41540499999996</v>
      </c>
      <c r="AG90" s="144">
        <v>1.9E-2</v>
      </c>
    </row>
    <row r="91" spans="1:33">
      <c r="A91" t="s">
        <v>2414</v>
      </c>
      <c r="B91" t="s">
        <v>2699</v>
      </c>
      <c r="C91" t="s">
        <v>2698</v>
      </c>
      <c r="D91" t="s">
        <v>2264</v>
      </c>
      <c r="F91">
        <v>85.160713000000001</v>
      </c>
      <c r="G91">
        <v>85.992301999999995</v>
      </c>
      <c r="H91">
        <v>88.040931999999998</v>
      </c>
      <c r="I91">
        <v>89.935371000000004</v>
      </c>
      <c r="J91">
        <v>91.46978</v>
      </c>
      <c r="K91">
        <v>93.142380000000003</v>
      </c>
      <c r="L91">
        <v>94.655028999999999</v>
      </c>
      <c r="M91">
        <v>95.873885999999999</v>
      </c>
      <c r="N91">
        <v>97.310721999999998</v>
      </c>
      <c r="O91">
        <v>98.857651000000004</v>
      </c>
      <c r="P91">
        <v>100.33663199999999</v>
      </c>
      <c r="Q91">
        <v>101.981888</v>
      </c>
      <c r="R91">
        <v>103.65834</v>
      </c>
      <c r="S91">
        <v>105.449348</v>
      </c>
      <c r="T91">
        <v>107.385284</v>
      </c>
      <c r="U91">
        <v>109.321236</v>
      </c>
      <c r="V91">
        <v>111.25369999999999</v>
      </c>
      <c r="W91">
        <v>113.144081</v>
      </c>
      <c r="X91">
        <v>115.20652</v>
      </c>
      <c r="Y91">
        <v>117.21528600000001</v>
      </c>
      <c r="Z91">
        <v>119.069862</v>
      </c>
      <c r="AA91">
        <v>120.8797</v>
      </c>
      <c r="AB91">
        <v>122.649834</v>
      </c>
      <c r="AC91">
        <v>124.759933</v>
      </c>
      <c r="AD91">
        <v>127.021179</v>
      </c>
      <c r="AE91">
        <v>129.171875</v>
      </c>
      <c r="AF91">
        <v>131.28401199999999</v>
      </c>
      <c r="AG91" s="144">
        <v>1.7000000000000001E-2</v>
      </c>
    </row>
    <row r="92" spans="1:33">
      <c r="A92" t="s">
        <v>196</v>
      </c>
      <c r="B92" t="s">
        <v>2697</v>
      </c>
      <c r="C92" t="s">
        <v>2696</v>
      </c>
      <c r="D92" t="s">
        <v>2264</v>
      </c>
      <c r="F92">
        <v>152.36386100000001</v>
      </c>
      <c r="G92">
        <v>153.52302599999999</v>
      </c>
      <c r="H92">
        <v>156.75119000000001</v>
      </c>
      <c r="I92">
        <v>159.98341400000001</v>
      </c>
      <c r="J92">
        <v>163.74202</v>
      </c>
      <c r="K92">
        <v>167.56549100000001</v>
      </c>
      <c r="L92">
        <v>171.46038799999999</v>
      </c>
      <c r="M92">
        <v>175.41145299999999</v>
      </c>
      <c r="N92">
        <v>179.41497799999999</v>
      </c>
      <c r="O92">
        <v>183.48805200000001</v>
      </c>
      <c r="P92">
        <v>187.62974500000001</v>
      </c>
      <c r="Q92">
        <v>191.84019499999999</v>
      </c>
      <c r="R92">
        <v>196.116074</v>
      </c>
      <c r="S92">
        <v>200.45474200000001</v>
      </c>
      <c r="T92">
        <v>204.85635400000001</v>
      </c>
      <c r="U92">
        <v>209.33021500000001</v>
      </c>
      <c r="V92">
        <v>213.874313</v>
      </c>
      <c r="W92">
        <v>218.496567</v>
      </c>
      <c r="X92">
        <v>223.19648699999999</v>
      </c>
      <c r="Y92">
        <v>227.97311400000001</v>
      </c>
      <c r="Z92">
        <v>232.822281</v>
      </c>
      <c r="AA92">
        <v>237.738586</v>
      </c>
      <c r="AB92">
        <v>242.73268100000001</v>
      </c>
      <c r="AC92">
        <v>247.81187399999999</v>
      </c>
      <c r="AD92">
        <v>252.97404499999999</v>
      </c>
      <c r="AE92">
        <v>258.22345000000001</v>
      </c>
      <c r="AF92">
        <v>263.55206299999998</v>
      </c>
      <c r="AG92" s="144">
        <v>2.1000000000000001E-2</v>
      </c>
    </row>
    <row r="93" spans="1:33">
      <c r="A93" t="s">
        <v>2420</v>
      </c>
      <c r="B93" t="s">
        <v>2695</v>
      </c>
      <c r="C93" t="s">
        <v>2694</v>
      </c>
      <c r="D93" t="s">
        <v>2264</v>
      </c>
      <c r="F93">
        <v>61.368454</v>
      </c>
      <c r="G93">
        <v>61.755752999999999</v>
      </c>
      <c r="H93">
        <v>62.900623000000003</v>
      </c>
      <c r="I93">
        <v>64.050490999999994</v>
      </c>
      <c r="J93">
        <v>65.383162999999996</v>
      </c>
      <c r="K93">
        <v>66.736900000000006</v>
      </c>
      <c r="L93">
        <v>68.113144000000005</v>
      </c>
      <c r="M93">
        <v>69.501968000000005</v>
      </c>
      <c r="N93">
        <v>70.902373999999995</v>
      </c>
      <c r="O93">
        <v>72.325660999999997</v>
      </c>
      <c r="P93">
        <v>73.770522999999997</v>
      </c>
      <c r="Q93">
        <v>75.236098999999996</v>
      </c>
      <c r="R93">
        <v>76.719832999999994</v>
      </c>
      <c r="S93">
        <v>78.221237000000002</v>
      </c>
      <c r="T93">
        <v>79.740027999999995</v>
      </c>
      <c r="U93">
        <v>81.281479000000004</v>
      </c>
      <c r="V93">
        <v>82.842986999999994</v>
      </c>
      <c r="W93">
        <v>84.428764000000001</v>
      </c>
      <c r="X93">
        <v>86.037711999999999</v>
      </c>
      <c r="Y93">
        <v>87.668266000000003</v>
      </c>
      <c r="Z93">
        <v>89.317466999999994</v>
      </c>
      <c r="AA93">
        <v>90.982123999999999</v>
      </c>
      <c r="AB93">
        <v>92.668227999999999</v>
      </c>
      <c r="AC93">
        <v>94.378203999999997</v>
      </c>
      <c r="AD93">
        <v>96.109825000000001</v>
      </c>
      <c r="AE93">
        <v>97.865311000000005</v>
      </c>
      <c r="AF93">
        <v>99.639763000000002</v>
      </c>
      <c r="AG93" s="144">
        <v>1.9E-2</v>
      </c>
    </row>
    <row r="94" spans="1:33">
      <c r="A94" t="s">
        <v>2417</v>
      </c>
      <c r="B94" t="s">
        <v>2693</v>
      </c>
      <c r="C94" t="s">
        <v>2692</v>
      </c>
      <c r="D94" t="s">
        <v>2264</v>
      </c>
      <c r="F94">
        <v>83.427338000000006</v>
      </c>
      <c r="G94">
        <v>84.148787999999996</v>
      </c>
      <c r="H94">
        <v>86.085739000000004</v>
      </c>
      <c r="I94">
        <v>88.021248</v>
      </c>
      <c r="J94">
        <v>90.276825000000002</v>
      </c>
      <c r="K94">
        <v>92.573463000000004</v>
      </c>
      <c r="L94">
        <v>94.916022999999996</v>
      </c>
      <c r="M94">
        <v>97.300262000000004</v>
      </c>
      <c r="N94">
        <v>99.723656000000005</v>
      </c>
      <c r="O94">
        <v>102.190704</v>
      </c>
      <c r="P94">
        <v>104.701958</v>
      </c>
      <c r="Q94">
        <v>107.25846900000001</v>
      </c>
      <c r="R94">
        <v>109.859718</v>
      </c>
      <c r="S94">
        <v>112.503685</v>
      </c>
      <c r="T94">
        <v>115.19077299999999</v>
      </c>
      <c r="U94">
        <v>117.92448400000001</v>
      </c>
      <c r="V94">
        <v>120.705574</v>
      </c>
      <c r="W94">
        <v>123.53733099999999</v>
      </c>
      <c r="X94">
        <v>126.420479</v>
      </c>
      <c r="Y94">
        <v>129.355728</v>
      </c>
      <c r="Z94">
        <v>132.34225499999999</v>
      </c>
      <c r="AA94">
        <v>135.37814299999999</v>
      </c>
      <c r="AB94">
        <v>138.46743799999999</v>
      </c>
      <c r="AC94">
        <v>141.61463900000001</v>
      </c>
      <c r="AD94">
        <v>144.82011399999999</v>
      </c>
      <c r="AE94">
        <v>148.08566300000001</v>
      </c>
      <c r="AF94">
        <v>151.40867600000001</v>
      </c>
      <c r="AG94" s="144">
        <v>2.3E-2</v>
      </c>
    </row>
    <row r="95" spans="1:33">
      <c r="A95" t="s">
        <v>2414</v>
      </c>
      <c r="B95" t="s">
        <v>2691</v>
      </c>
      <c r="C95" t="s">
        <v>2690</v>
      </c>
      <c r="D95" t="s">
        <v>2264</v>
      </c>
      <c r="F95">
        <v>7.5680759999999996</v>
      </c>
      <c r="G95">
        <v>7.6184760000000002</v>
      </c>
      <c r="H95">
        <v>7.7648130000000002</v>
      </c>
      <c r="I95">
        <v>7.9116549999999997</v>
      </c>
      <c r="J95">
        <v>8.0820089999999993</v>
      </c>
      <c r="K95">
        <v>8.2551279999999991</v>
      </c>
      <c r="L95">
        <v>8.4312310000000004</v>
      </c>
      <c r="M95">
        <v>8.6092189999999995</v>
      </c>
      <c r="N95">
        <v>8.7889490000000006</v>
      </c>
      <c r="O95">
        <v>8.9716729999999991</v>
      </c>
      <c r="P95">
        <v>9.1572580000000006</v>
      </c>
      <c r="Q95">
        <v>9.3456290000000006</v>
      </c>
      <c r="R95">
        <v>9.5365099999999998</v>
      </c>
      <c r="S95">
        <v>9.7298229999999997</v>
      </c>
      <c r="T95">
        <v>9.9255460000000006</v>
      </c>
      <c r="U95">
        <v>10.124275000000001</v>
      </c>
      <c r="V95">
        <v>10.325751</v>
      </c>
      <c r="W95">
        <v>10.530459</v>
      </c>
      <c r="X95">
        <v>10.738293000000001</v>
      </c>
      <c r="Y95">
        <v>10.9491</v>
      </c>
      <c r="Z95">
        <v>11.162554999999999</v>
      </c>
      <c r="AA95">
        <v>11.378303000000001</v>
      </c>
      <c r="AB95">
        <v>11.597022000000001</v>
      </c>
      <c r="AC95">
        <v>11.819027</v>
      </c>
      <c r="AD95">
        <v>12.044098</v>
      </c>
      <c r="AE95">
        <v>12.27248</v>
      </c>
      <c r="AF95">
        <v>12.503633000000001</v>
      </c>
      <c r="AG95" s="144">
        <v>1.9E-2</v>
      </c>
    </row>
    <row r="96" spans="1:33">
      <c r="A96" t="s">
        <v>2403</v>
      </c>
      <c r="B96" t="s">
        <v>2689</v>
      </c>
      <c r="C96" t="s">
        <v>2688</v>
      </c>
      <c r="D96" t="s">
        <v>2264</v>
      </c>
      <c r="F96">
        <v>121.859619</v>
      </c>
      <c r="G96">
        <v>125.195145</v>
      </c>
      <c r="H96">
        <v>129.65220600000001</v>
      </c>
      <c r="I96">
        <v>134.19151299999999</v>
      </c>
      <c r="J96">
        <v>138.78720100000001</v>
      </c>
      <c r="K96">
        <v>143.481537</v>
      </c>
      <c r="L96">
        <v>148.29257200000001</v>
      </c>
      <c r="M96">
        <v>153.225021</v>
      </c>
      <c r="N96">
        <v>158.290054</v>
      </c>
      <c r="O96">
        <v>163.49423200000001</v>
      </c>
      <c r="P96">
        <v>168.83616599999999</v>
      </c>
      <c r="Q96">
        <v>174.319244</v>
      </c>
      <c r="R96">
        <v>179.94657900000001</v>
      </c>
      <c r="S96">
        <v>185.72126800000001</v>
      </c>
      <c r="T96">
        <v>191.64660599999999</v>
      </c>
      <c r="U96">
        <v>197.718277</v>
      </c>
      <c r="V96">
        <v>203.93481399999999</v>
      </c>
      <c r="W96">
        <v>210.30452</v>
      </c>
      <c r="X96">
        <v>216.828598</v>
      </c>
      <c r="Y96">
        <v>223.50592</v>
      </c>
      <c r="Z96">
        <v>230.341354</v>
      </c>
      <c r="AA96">
        <v>237.33680699999999</v>
      </c>
      <c r="AB96">
        <v>244.49108899999999</v>
      </c>
      <c r="AC96">
        <v>251.80650299999999</v>
      </c>
      <c r="AD96">
        <v>259.290009</v>
      </c>
      <c r="AE96">
        <v>266.94113199999998</v>
      </c>
      <c r="AF96">
        <v>274.760559</v>
      </c>
      <c r="AG96" s="144">
        <v>3.2000000000000001E-2</v>
      </c>
    </row>
    <row r="97" spans="1:33">
      <c r="A97" t="s">
        <v>2420</v>
      </c>
      <c r="B97" t="s">
        <v>2687</v>
      </c>
      <c r="C97" t="s">
        <v>2686</v>
      </c>
      <c r="D97" t="s">
        <v>2264</v>
      </c>
      <c r="F97">
        <v>91.602242000000004</v>
      </c>
      <c r="G97">
        <v>94.111480999999998</v>
      </c>
      <c r="H97">
        <v>97.493561</v>
      </c>
      <c r="I97">
        <v>100.93884300000001</v>
      </c>
      <c r="J97">
        <v>104.42688800000001</v>
      </c>
      <c r="K97">
        <v>107.990891</v>
      </c>
      <c r="L97">
        <v>111.64505</v>
      </c>
      <c r="M97">
        <v>115.39299800000001</v>
      </c>
      <c r="N97">
        <v>119.24353000000001</v>
      </c>
      <c r="O97">
        <v>123.201813</v>
      </c>
      <c r="P97">
        <v>127.26692199999999</v>
      </c>
      <c r="Q97">
        <v>131.441498</v>
      </c>
      <c r="R97">
        <v>135.728027</v>
      </c>
      <c r="S97">
        <v>140.128952</v>
      </c>
      <c r="T97">
        <v>144.646851</v>
      </c>
      <c r="U97">
        <v>149.27865600000001</v>
      </c>
      <c r="V97">
        <v>154.02299500000001</v>
      </c>
      <c r="W97">
        <v>158.886414</v>
      </c>
      <c r="X97">
        <v>163.869934</v>
      </c>
      <c r="Y97">
        <v>168.97294600000001</v>
      </c>
      <c r="Z97">
        <v>174.199219</v>
      </c>
      <c r="AA97">
        <v>179.550308</v>
      </c>
      <c r="AB97">
        <v>185.025543</v>
      </c>
      <c r="AC97">
        <v>190.626801</v>
      </c>
      <c r="AD97">
        <v>196.35943599999999</v>
      </c>
      <c r="AE97">
        <v>202.223251</v>
      </c>
      <c r="AF97">
        <v>208.219009</v>
      </c>
      <c r="AG97" s="144">
        <v>3.2000000000000001E-2</v>
      </c>
    </row>
    <row r="98" spans="1:33">
      <c r="A98" t="s">
        <v>2417</v>
      </c>
      <c r="B98" t="s">
        <v>2685</v>
      </c>
      <c r="C98" t="s">
        <v>2684</v>
      </c>
      <c r="D98" t="s">
        <v>2264</v>
      </c>
      <c r="F98">
        <v>23.761005000000001</v>
      </c>
      <c r="G98">
        <v>24.408756</v>
      </c>
      <c r="H98">
        <v>25.234297000000002</v>
      </c>
      <c r="I98">
        <v>26.073988</v>
      </c>
      <c r="J98">
        <v>26.924144999999999</v>
      </c>
      <c r="K98">
        <v>27.791046000000001</v>
      </c>
      <c r="L98">
        <v>28.677401</v>
      </c>
      <c r="M98">
        <v>29.583922999999999</v>
      </c>
      <c r="N98">
        <v>30.512312000000001</v>
      </c>
      <c r="O98">
        <v>31.463519999999999</v>
      </c>
      <c r="P98">
        <v>32.437064999999997</v>
      </c>
      <c r="Q98">
        <v>33.433472000000002</v>
      </c>
      <c r="R98">
        <v>34.453217000000002</v>
      </c>
      <c r="S98">
        <v>35.496718999999999</v>
      </c>
      <c r="T98">
        <v>36.564480000000003</v>
      </c>
      <c r="U98">
        <v>37.655369</v>
      </c>
      <c r="V98">
        <v>38.769539000000002</v>
      </c>
      <c r="W98">
        <v>39.908172999999998</v>
      </c>
      <c r="X98">
        <v>41.071285000000003</v>
      </c>
      <c r="Y98">
        <v>42.258408000000003</v>
      </c>
      <c r="Z98">
        <v>43.470329</v>
      </c>
      <c r="AA98">
        <v>44.707180000000001</v>
      </c>
      <c r="AB98">
        <v>45.968494</v>
      </c>
      <c r="AC98">
        <v>47.254497999999998</v>
      </c>
      <c r="AD98">
        <v>48.566391000000003</v>
      </c>
      <c r="AE98">
        <v>49.903812000000002</v>
      </c>
      <c r="AF98">
        <v>51.266669999999998</v>
      </c>
      <c r="AG98" s="144">
        <v>0.03</v>
      </c>
    </row>
    <row r="99" spans="1:33">
      <c r="A99" t="s">
        <v>2414</v>
      </c>
      <c r="B99" t="s">
        <v>2683</v>
      </c>
      <c r="C99" t="s">
        <v>2682</v>
      </c>
      <c r="D99" t="s">
        <v>2264</v>
      </c>
      <c r="F99">
        <v>6.4963730000000002</v>
      </c>
      <c r="G99">
        <v>6.674906</v>
      </c>
      <c r="H99">
        <v>6.9243430000000004</v>
      </c>
      <c r="I99">
        <v>7.1786789999999998</v>
      </c>
      <c r="J99">
        <v>7.4361629999999996</v>
      </c>
      <c r="K99">
        <v>7.6995829999999996</v>
      </c>
      <c r="L99">
        <v>7.9701230000000001</v>
      </c>
      <c r="M99">
        <v>8.2480860000000007</v>
      </c>
      <c r="N99">
        <v>8.5342029999999998</v>
      </c>
      <c r="O99">
        <v>8.8289120000000008</v>
      </c>
      <c r="P99">
        <v>9.1321910000000006</v>
      </c>
      <c r="Q99">
        <v>9.4442579999999996</v>
      </c>
      <c r="R99">
        <v>9.7653230000000004</v>
      </c>
      <c r="S99">
        <v>10.09559</v>
      </c>
      <c r="T99">
        <v>10.435283999999999</v>
      </c>
      <c r="U99">
        <v>10.784245</v>
      </c>
      <c r="V99">
        <v>11.142282</v>
      </c>
      <c r="W99">
        <v>11.509945999999999</v>
      </c>
      <c r="X99">
        <v>11.887375</v>
      </c>
      <c r="Y99">
        <v>12.274566</v>
      </c>
      <c r="Z99">
        <v>12.671827</v>
      </c>
      <c r="AA99">
        <v>13.079319</v>
      </c>
      <c r="AB99">
        <v>13.497047999999999</v>
      </c>
      <c r="AC99">
        <v>13.925196</v>
      </c>
      <c r="AD99">
        <v>14.364179999999999</v>
      </c>
      <c r="AE99">
        <v>14.814038999999999</v>
      </c>
      <c r="AF99">
        <v>15.274884999999999</v>
      </c>
      <c r="AG99" s="144">
        <v>3.3000000000000002E-2</v>
      </c>
    </row>
    <row r="100" spans="1:33">
      <c r="A100" t="s">
        <v>2400</v>
      </c>
      <c r="B100" t="s">
        <v>2681</v>
      </c>
      <c r="C100" t="s">
        <v>2680</v>
      </c>
      <c r="D100" t="s">
        <v>2264</v>
      </c>
      <c r="F100">
        <v>1702.777466</v>
      </c>
      <c r="G100">
        <v>1684.4600829999999</v>
      </c>
      <c r="H100">
        <v>1718.778198</v>
      </c>
      <c r="I100">
        <v>1753.4241939999999</v>
      </c>
      <c r="J100">
        <v>1788.4212649999999</v>
      </c>
      <c r="K100">
        <v>1823.810669</v>
      </c>
      <c r="L100">
        <v>1859.6085210000001</v>
      </c>
      <c r="M100">
        <v>1895.7563479999999</v>
      </c>
      <c r="N100">
        <v>1932.350952</v>
      </c>
      <c r="O100">
        <v>1969.5593260000001</v>
      </c>
      <c r="P100">
        <v>2007.447144</v>
      </c>
      <c r="Q100">
        <v>2045.962769</v>
      </c>
      <c r="R100">
        <v>2085.1594239999999</v>
      </c>
      <c r="S100">
        <v>2124.968018</v>
      </c>
      <c r="T100">
        <v>2165.3234859999998</v>
      </c>
      <c r="U100">
        <v>2206.2604980000001</v>
      </c>
      <c r="V100">
        <v>2247.774414</v>
      </c>
      <c r="W100">
        <v>2289.8474120000001</v>
      </c>
      <c r="X100">
        <v>2332.5178219999998</v>
      </c>
      <c r="Y100">
        <v>2375.7565920000002</v>
      </c>
      <c r="Z100">
        <v>2419.5266109999998</v>
      </c>
      <c r="AA100">
        <v>2463.798828</v>
      </c>
      <c r="AB100">
        <v>2508.6098630000001</v>
      </c>
      <c r="AC100">
        <v>2553.9504390000002</v>
      </c>
      <c r="AD100">
        <v>2599.780029</v>
      </c>
      <c r="AE100">
        <v>2646.1127929999998</v>
      </c>
      <c r="AF100">
        <v>2692.961914</v>
      </c>
      <c r="AG100" s="144">
        <v>1.7999999999999999E-2</v>
      </c>
    </row>
    <row r="101" spans="1:33">
      <c r="A101" t="s">
        <v>2420</v>
      </c>
      <c r="B101" t="s">
        <v>2679</v>
      </c>
      <c r="C101" t="s">
        <v>2678</v>
      </c>
      <c r="D101" t="s">
        <v>2264</v>
      </c>
      <c r="F101">
        <v>853.27618399999994</v>
      </c>
      <c r="G101">
        <v>864.38037099999997</v>
      </c>
      <c r="H101">
        <v>883.00707999999997</v>
      </c>
      <c r="I101">
        <v>901.83013900000003</v>
      </c>
      <c r="J101">
        <v>920.840149</v>
      </c>
      <c r="K101">
        <v>940.03234899999995</v>
      </c>
      <c r="L101">
        <v>959.41461200000003</v>
      </c>
      <c r="M101">
        <v>978.95013400000005</v>
      </c>
      <c r="N101">
        <v>998.71148700000003</v>
      </c>
      <c r="O101">
        <v>1018.817078</v>
      </c>
      <c r="P101">
        <v>1039.30249</v>
      </c>
      <c r="Q101">
        <v>1060.1397710000001</v>
      </c>
      <c r="R101">
        <v>1081.369751</v>
      </c>
      <c r="S101">
        <v>1102.944702</v>
      </c>
      <c r="T101">
        <v>1124.827393</v>
      </c>
      <c r="U101">
        <v>1147.043457</v>
      </c>
      <c r="V101">
        <v>1169.591919</v>
      </c>
      <c r="W101">
        <v>1192.462524</v>
      </c>
      <c r="X101">
        <v>1215.6829829999999</v>
      </c>
      <c r="Y101">
        <v>1239.238525</v>
      </c>
      <c r="Z101">
        <v>1263.104736</v>
      </c>
      <c r="AA101">
        <v>1287.2658690000001</v>
      </c>
      <c r="AB101">
        <v>1311.746582</v>
      </c>
      <c r="AC101">
        <v>1336.5437010000001</v>
      </c>
      <c r="AD101">
        <v>1361.6401370000001</v>
      </c>
      <c r="AE101">
        <v>1387.051025</v>
      </c>
      <c r="AF101">
        <v>1412.789673</v>
      </c>
      <c r="AG101" s="144">
        <v>0.02</v>
      </c>
    </row>
    <row r="102" spans="1:33">
      <c r="A102" t="s">
        <v>2417</v>
      </c>
      <c r="B102" t="s">
        <v>2677</v>
      </c>
      <c r="C102" t="s">
        <v>2676</v>
      </c>
      <c r="D102" t="s">
        <v>2264</v>
      </c>
      <c r="F102">
        <v>789.53143299999999</v>
      </c>
      <c r="G102">
        <v>758.97247300000004</v>
      </c>
      <c r="H102">
        <v>773.32983400000001</v>
      </c>
      <c r="I102">
        <v>787.80413799999997</v>
      </c>
      <c r="J102">
        <v>802.42926</v>
      </c>
      <c r="K102">
        <v>817.251892</v>
      </c>
      <c r="L102">
        <v>832.27978499999995</v>
      </c>
      <c r="M102">
        <v>847.49426300000005</v>
      </c>
      <c r="N102">
        <v>862.913635</v>
      </c>
      <c r="O102">
        <v>878.57763699999998</v>
      </c>
      <c r="P102">
        <v>894.513733</v>
      </c>
      <c r="Q102">
        <v>910.70086700000002</v>
      </c>
      <c r="R102">
        <v>927.14721699999996</v>
      </c>
      <c r="S102">
        <v>943.83605999999997</v>
      </c>
      <c r="T102">
        <v>960.74182099999996</v>
      </c>
      <c r="U102">
        <v>977.87133800000004</v>
      </c>
      <c r="V102">
        <v>995.22137499999997</v>
      </c>
      <c r="W102">
        <v>1012.784912</v>
      </c>
      <c r="X102">
        <v>1030.570557</v>
      </c>
      <c r="Y102">
        <v>1048.565063</v>
      </c>
      <c r="Z102">
        <v>1066.7570800000001</v>
      </c>
      <c r="AA102">
        <v>1085.1357419999999</v>
      </c>
      <c r="AB102">
        <v>1103.709717</v>
      </c>
      <c r="AC102">
        <v>1122.473999</v>
      </c>
      <c r="AD102">
        <v>1141.405884</v>
      </c>
      <c r="AE102">
        <v>1160.5032960000001</v>
      </c>
      <c r="AF102">
        <v>1179.7651370000001</v>
      </c>
      <c r="AG102" s="144">
        <v>1.6E-2</v>
      </c>
    </row>
    <row r="103" spans="1:33">
      <c r="A103" t="s">
        <v>2414</v>
      </c>
      <c r="B103" t="s">
        <v>2675</v>
      </c>
      <c r="C103" t="s">
        <v>2674</v>
      </c>
      <c r="D103" t="s">
        <v>2264</v>
      </c>
      <c r="F103">
        <v>59.969872000000002</v>
      </c>
      <c r="G103">
        <v>61.107044000000002</v>
      </c>
      <c r="H103">
        <v>62.441302999999998</v>
      </c>
      <c r="I103">
        <v>63.789932</v>
      </c>
      <c r="J103">
        <v>65.151886000000005</v>
      </c>
      <c r="K103">
        <v>66.526398</v>
      </c>
      <c r="L103">
        <v>67.914017000000001</v>
      </c>
      <c r="M103">
        <v>69.312019000000006</v>
      </c>
      <c r="N103">
        <v>70.725921999999997</v>
      </c>
      <c r="O103">
        <v>72.164658000000003</v>
      </c>
      <c r="P103">
        <v>73.630791000000002</v>
      </c>
      <c r="Q103">
        <v>75.122298999999998</v>
      </c>
      <c r="R103">
        <v>76.642325999999997</v>
      </c>
      <c r="S103">
        <v>78.187247999999997</v>
      </c>
      <c r="T103">
        <v>79.754401999999999</v>
      </c>
      <c r="U103">
        <v>81.345741000000004</v>
      </c>
      <c r="V103">
        <v>82.961181999999994</v>
      </c>
      <c r="W103">
        <v>84.599997999999999</v>
      </c>
      <c r="X103">
        <v>86.264313000000001</v>
      </c>
      <c r="Y103">
        <v>87.953048999999993</v>
      </c>
      <c r="Z103">
        <v>89.664421000000004</v>
      </c>
      <c r="AA103">
        <v>91.397246999999993</v>
      </c>
      <c r="AB103">
        <v>93.153435000000002</v>
      </c>
      <c r="AC103">
        <v>94.932747000000006</v>
      </c>
      <c r="AD103">
        <v>96.734047000000004</v>
      </c>
      <c r="AE103">
        <v>98.558548000000002</v>
      </c>
      <c r="AF103">
        <v>100.40728799999999</v>
      </c>
      <c r="AG103" s="144">
        <v>0.02</v>
      </c>
    </row>
    <row r="104" spans="1:33">
      <c r="A104" t="s">
        <v>2397</v>
      </c>
      <c r="B104" t="s">
        <v>2673</v>
      </c>
      <c r="C104" t="s">
        <v>2672</v>
      </c>
      <c r="D104" t="s">
        <v>2264</v>
      </c>
      <c r="F104">
        <v>238.66572600000001</v>
      </c>
      <c r="G104">
        <v>223.10365300000001</v>
      </c>
      <c r="H104">
        <v>224.82252500000001</v>
      </c>
      <c r="I104">
        <v>226.523438</v>
      </c>
      <c r="J104">
        <v>227.73524499999999</v>
      </c>
      <c r="K104">
        <v>228.690414</v>
      </c>
      <c r="L104">
        <v>229.440247</v>
      </c>
      <c r="M104">
        <v>229.91059899999999</v>
      </c>
      <c r="N104">
        <v>230.30450400000001</v>
      </c>
      <c r="O104">
        <v>230.581818</v>
      </c>
      <c r="P104">
        <v>230.667923</v>
      </c>
      <c r="Q104">
        <v>230.58933999999999</v>
      </c>
      <c r="R104">
        <v>230.37927199999999</v>
      </c>
      <c r="S104">
        <v>230.12742600000001</v>
      </c>
      <c r="T104">
        <v>229.833282</v>
      </c>
      <c r="U104">
        <v>229.48713699999999</v>
      </c>
      <c r="V104">
        <v>229.18249499999999</v>
      </c>
      <c r="W104">
        <v>228.95282</v>
      </c>
      <c r="X104">
        <v>228.79997299999999</v>
      </c>
      <c r="Y104">
        <v>228.73371900000001</v>
      </c>
      <c r="Z104">
        <v>228.76908900000001</v>
      </c>
      <c r="AA104">
        <v>228.969482</v>
      </c>
      <c r="AB104">
        <v>229.32295199999999</v>
      </c>
      <c r="AC104">
        <v>229.784988</v>
      </c>
      <c r="AD104">
        <v>230.312836</v>
      </c>
      <c r="AE104">
        <v>230.87681599999999</v>
      </c>
      <c r="AF104">
        <v>231.55372600000001</v>
      </c>
      <c r="AG104" s="144">
        <v>-1E-3</v>
      </c>
    </row>
    <row r="105" spans="1:33">
      <c r="A105" t="s">
        <v>2420</v>
      </c>
      <c r="B105" t="s">
        <v>2671</v>
      </c>
      <c r="C105" t="s">
        <v>2670</v>
      </c>
      <c r="D105" t="s">
        <v>2264</v>
      </c>
      <c r="F105">
        <v>76.344016999999994</v>
      </c>
      <c r="G105">
        <v>75.495750000000001</v>
      </c>
      <c r="H105">
        <v>75.999092000000005</v>
      </c>
      <c r="I105">
        <v>76.499649000000005</v>
      </c>
      <c r="J105">
        <v>76.932747000000006</v>
      </c>
      <c r="K105">
        <v>77.331992999999997</v>
      </c>
      <c r="L105">
        <v>77.703902999999997</v>
      </c>
      <c r="M105">
        <v>78.037102000000004</v>
      </c>
      <c r="N105">
        <v>78.360275000000001</v>
      </c>
      <c r="O105">
        <v>78.668059999999997</v>
      </c>
      <c r="P105">
        <v>78.948966999999996</v>
      </c>
      <c r="Q105">
        <v>79.205803000000003</v>
      </c>
      <c r="R105">
        <v>79.444748000000004</v>
      </c>
      <c r="S105">
        <v>79.679276000000002</v>
      </c>
      <c r="T105">
        <v>79.909728999999999</v>
      </c>
      <c r="U105">
        <v>80.134590000000003</v>
      </c>
      <c r="V105">
        <v>80.363724000000005</v>
      </c>
      <c r="W105">
        <v>80.602538999999993</v>
      </c>
      <c r="X105">
        <v>80.853667999999999</v>
      </c>
      <c r="Y105">
        <v>81.120720000000006</v>
      </c>
      <c r="Z105">
        <v>81.404731999999996</v>
      </c>
      <c r="AA105">
        <v>81.714691000000002</v>
      </c>
      <c r="AB105">
        <v>82.049362000000002</v>
      </c>
      <c r="AC105">
        <v>82.403510999999995</v>
      </c>
      <c r="AD105">
        <v>82.770927</v>
      </c>
      <c r="AE105">
        <v>83.146118000000001</v>
      </c>
      <c r="AF105">
        <v>83.539519999999996</v>
      </c>
      <c r="AG105" s="144">
        <v>3.0000000000000001E-3</v>
      </c>
    </row>
    <row r="106" spans="1:33">
      <c r="A106" t="s">
        <v>2417</v>
      </c>
      <c r="B106" t="s">
        <v>2669</v>
      </c>
      <c r="C106" t="s">
        <v>2668</v>
      </c>
      <c r="D106" t="s">
        <v>2264</v>
      </c>
      <c r="F106">
        <v>155.10116600000001</v>
      </c>
      <c r="G106">
        <v>140.39276100000001</v>
      </c>
      <c r="H106">
        <v>141.56153900000001</v>
      </c>
      <c r="I106">
        <v>142.71534700000001</v>
      </c>
      <c r="J106">
        <v>143.45225500000001</v>
      </c>
      <c r="K106">
        <v>143.96871899999999</v>
      </c>
      <c r="L106">
        <v>144.30908199999999</v>
      </c>
      <c r="M106">
        <v>144.411407</v>
      </c>
      <c r="N106">
        <v>144.44798299999999</v>
      </c>
      <c r="O106">
        <v>144.38443000000001</v>
      </c>
      <c r="P106">
        <v>144.158447</v>
      </c>
      <c r="Q106">
        <v>143.79367099999999</v>
      </c>
      <c r="R106">
        <v>143.31648300000001</v>
      </c>
      <c r="S106">
        <v>142.80221599999999</v>
      </c>
      <c r="T106">
        <v>142.24996899999999</v>
      </c>
      <c r="U106">
        <v>141.65159600000001</v>
      </c>
      <c r="V106">
        <v>141.09025600000001</v>
      </c>
      <c r="W106">
        <v>140.593491</v>
      </c>
      <c r="X106">
        <v>140.16030900000001</v>
      </c>
      <c r="Y106">
        <v>139.796539</v>
      </c>
      <c r="Z106">
        <v>139.516098</v>
      </c>
      <c r="AA106">
        <v>139.372772</v>
      </c>
      <c r="AB106">
        <v>139.355896</v>
      </c>
      <c r="AC106">
        <v>139.42652899999999</v>
      </c>
      <c r="AD106">
        <v>139.54863</v>
      </c>
      <c r="AE106">
        <v>139.698395</v>
      </c>
      <c r="AF106">
        <v>139.94148300000001</v>
      </c>
      <c r="AG106" s="144">
        <v>-4.0000000000000001E-3</v>
      </c>
    </row>
    <row r="107" spans="1:33">
      <c r="A107" t="s">
        <v>2414</v>
      </c>
      <c r="B107" t="s">
        <v>2667</v>
      </c>
      <c r="C107" t="s">
        <v>2666</v>
      </c>
      <c r="D107" t="s">
        <v>2264</v>
      </c>
      <c r="F107">
        <v>7.2205240000000002</v>
      </c>
      <c r="G107">
        <v>7.2151449999999997</v>
      </c>
      <c r="H107">
        <v>7.2619069999999999</v>
      </c>
      <c r="I107">
        <v>7.3084600000000002</v>
      </c>
      <c r="J107">
        <v>7.3502470000000004</v>
      </c>
      <c r="K107">
        <v>7.3897050000000002</v>
      </c>
      <c r="L107">
        <v>7.4272729999999996</v>
      </c>
      <c r="M107">
        <v>7.4620990000000003</v>
      </c>
      <c r="N107">
        <v>7.496238</v>
      </c>
      <c r="O107">
        <v>7.529318</v>
      </c>
      <c r="P107">
        <v>7.5604779999999998</v>
      </c>
      <c r="Q107">
        <v>7.58988</v>
      </c>
      <c r="R107">
        <v>7.6180279999999998</v>
      </c>
      <c r="S107">
        <v>7.6459200000000003</v>
      </c>
      <c r="T107">
        <v>7.6735980000000001</v>
      </c>
      <c r="U107">
        <v>7.7009480000000003</v>
      </c>
      <c r="V107">
        <v>7.7285380000000004</v>
      </c>
      <c r="W107">
        <v>7.7567839999999997</v>
      </c>
      <c r="X107">
        <v>7.7859730000000003</v>
      </c>
      <c r="Y107">
        <v>7.8164540000000002</v>
      </c>
      <c r="Z107">
        <v>7.8482589999999997</v>
      </c>
      <c r="AA107">
        <v>7.8820300000000003</v>
      </c>
      <c r="AB107">
        <v>7.9176989999999998</v>
      </c>
      <c r="AC107">
        <v>7.9549339999999997</v>
      </c>
      <c r="AD107">
        <v>7.9932819999999998</v>
      </c>
      <c r="AE107">
        <v>8.0322990000000001</v>
      </c>
      <c r="AF107">
        <v>8.0727130000000002</v>
      </c>
      <c r="AG107" s="144">
        <v>4.0000000000000001E-3</v>
      </c>
    </row>
    <row r="108" spans="1:33">
      <c r="A108" t="s">
        <v>2394</v>
      </c>
      <c r="B108" t="s">
        <v>2665</v>
      </c>
      <c r="C108" t="s">
        <v>2664</v>
      </c>
      <c r="D108" t="s">
        <v>2264</v>
      </c>
      <c r="F108">
        <v>209.76535000000001</v>
      </c>
      <c r="G108">
        <v>198.410461</v>
      </c>
      <c r="H108">
        <v>204.20455899999999</v>
      </c>
      <c r="I108">
        <v>210.181107</v>
      </c>
      <c r="J108">
        <v>216.36660800000001</v>
      </c>
      <c r="K108">
        <v>222.59574900000001</v>
      </c>
      <c r="L108">
        <v>228.884109</v>
      </c>
      <c r="M108">
        <v>235.27534499999999</v>
      </c>
      <c r="N108">
        <v>241.74443099999999</v>
      </c>
      <c r="O108">
        <v>248.28384399999999</v>
      </c>
      <c r="P108">
        <v>254.90438800000001</v>
      </c>
      <c r="Q108">
        <v>261.56607100000002</v>
      </c>
      <c r="R108">
        <v>268.30892899999998</v>
      </c>
      <c r="S108">
        <v>275.14407299999999</v>
      </c>
      <c r="T108">
        <v>281.98040800000001</v>
      </c>
      <c r="U108">
        <v>288.88665800000001</v>
      </c>
      <c r="V108">
        <v>295.86978099999999</v>
      </c>
      <c r="W108">
        <v>302.95361300000002</v>
      </c>
      <c r="X108">
        <v>310.138306</v>
      </c>
      <c r="Y108">
        <v>317.42541499999999</v>
      </c>
      <c r="Z108">
        <v>324.80920400000002</v>
      </c>
      <c r="AA108">
        <v>332.28497299999998</v>
      </c>
      <c r="AB108">
        <v>339.851654</v>
      </c>
      <c r="AC108">
        <v>347.50949100000003</v>
      </c>
      <c r="AD108">
        <v>355.26086400000003</v>
      </c>
      <c r="AE108">
        <v>363.10723899999999</v>
      </c>
      <c r="AF108">
        <v>371.05029300000001</v>
      </c>
      <c r="AG108" s="144">
        <v>2.1999999999999999E-2</v>
      </c>
    </row>
    <row r="109" spans="1:33">
      <c r="A109" t="s">
        <v>2420</v>
      </c>
      <c r="B109" t="s">
        <v>2663</v>
      </c>
      <c r="C109" t="s">
        <v>2662</v>
      </c>
      <c r="D109" t="s">
        <v>2264</v>
      </c>
      <c r="F109">
        <v>68.958838999999998</v>
      </c>
      <c r="G109">
        <v>69.029549000000003</v>
      </c>
      <c r="H109">
        <v>70.989502000000002</v>
      </c>
      <c r="I109">
        <v>73.001082999999994</v>
      </c>
      <c r="J109">
        <v>75.059714999999997</v>
      </c>
      <c r="K109">
        <v>77.106376999999995</v>
      </c>
      <c r="L109">
        <v>79.154151999999996</v>
      </c>
      <c r="M109">
        <v>81.230057000000002</v>
      </c>
      <c r="N109">
        <v>83.319061000000005</v>
      </c>
      <c r="O109">
        <v>85.415817000000004</v>
      </c>
      <c r="P109">
        <v>87.526343999999995</v>
      </c>
      <c r="Q109">
        <v>89.624747999999997</v>
      </c>
      <c r="R109">
        <v>91.734511999999995</v>
      </c>
      <c r="S109">
        <v>93.862258999999995</v>
      </c>
      <c r="T109">
        <v>95.950119000000001</v>
      </c>
      <c r="U109">
        <v>98.039237999999997</v>
      </c>
      <c r="V109">
        <v>100.13226299999999</v>
      </c>
      <c r="W109">
        <v>102.24350699999999</v>
      </c>
      <c r="X109">
        <v>104.372215</v>
      </c>
      <c r="Y109">
        <v>106.518837</v>
      </c>
      <c r="Z109">
        <v>108.679497</v>
      </c>
      <c r="AA109">
        <v>110.851067</v>
      </c>
      <c r="AB109">
        <v>113.03274500000001</v>
      </c>
      <c r="AC109">
        <v>115.22473100000001</v>
      </c>
      <c r="AD109">
        <v>117.428017</v>
      </c>
      <c r="AE109">
        <v>119.643028</v>
      </c>
      <c r="AF109">
        <v>121.870476</v>
      </c>
      <c r="AG109" s="144">
        <v>2.1999999999999999E-2</v>
      </c>
    </row>
    <row r="110" spans="1:33">
      <c r="A110" t="s">
        <v>2417</v>
      </c>
      <c r="B110" t="s">
        <v>2661</v>
      </c>
      <c r="C110" t="s">
        <v>2660</v>
      </c>
      <c r="D110" t="s">
        <v>2264</v>
      </c>
      <c r="F110">
        <v>134.86244199999999</v>
      </c>
      <c r="G110">
        <v>123.36409</v>
      </c>
      <c r="H110">
        <v>127.02831999999999</v>
      </c>
      <c r="I110">
        <v>130.81907699999999</v>
      </c>
      <c r="J110">
        <v>134.768036</v>
      </c>
      <c r="K110">
        <v>138.774124</v>
      </c>
      <c r="L110">
        <v>142.83854700000001</v>
      </c>
      <c r="M110">
        <v>146.975357</v>
      </c>
      <c r="N110">
        <v>151.176041</v>
      </c>
      <c r="O110">
        <v>155.43888899999999</v>
      </c>
      <c r="P110">
        <v>159.768158</v>
      </c>
      <c r="Q110">
        <v>164.15214499999999</v>
      </c>
      <c r="R110">
        <v>168.60528600000001</v>
      </c>
      <c r="S110">
        <v>173.131348</v>
      </c>
      <c r="T110">
        <v>177.70262099999999</v>
      </c>
      <c r="U110">
        <v>182.34288000000001</v>
      </c>
      <c r="V110">
        <v>187.05612199999999</v>
      </c>
      <c r="W110">
        <v>191.85055500000001</v>
      </c>
      <c r="X110">
        <v>196.72709699999999</v>
      </c>
      <c r="Y110">
        <v>201.686905</v>
      </c>
      <c r="Z110">
        <v>206.72851600000001</v>
      </c>
      <c r="AA110">
        <v>211.85046399999999</v>
      </c>
      <c r="AB110">
        <v>217.052795</v>
      </c>
      <c r="AC110">
        <v>222.33543399999999</v>
      </c>
      <c r="AD110">
        <v>227.69967700000001</v>
      </c>
      <c r="AE110">
        <v>233.14648399999999</v>
      </c>
      <c r="AF110">
        <v>238.67678799999999</v>
      </c>
      <c r="AG110" s="144">
        <v>2.1999999999999999E-2</v>
      </c>
    </row>
    <row r="111" spans="1:33">
      <c r="A111" t="s">
        <v>2414</v>
      </c>
      <c r="B111" t="s">
        <v>2659</v>
      </c>
      <c r="C111" t="s">
        <v>2658</v>
      </c>
      <c r="D111" t="s">
        <v>2264</v>
      </c>
      <c r="F111">
        <v>5.944083</v>
      </c>
      <c r="G111">
        <v>6.0168400000000002</v>
      </c>
      <c r="H111">
        <v>6.18675</v>
      </c>
      <c r="I111">
        <v>6.3609650000000002</v>
      </c>
      <c r="J111">
        <v>6.538856</v>
      </c>
      <c r="K111">
        <v>6.7152520000000004</v>
      </c>
      <c r="L111">
        <v>6.8914239999999998</v>
      </c>
      <c r="M111">
        <v>7.0699209999999999</v>
      </c>
      <c r="N111">
        <v>7.2493299999999996</v>
      </c>
      <c r="O111">
        <v>7.4291340000000003</v>
      </c>
      <c r="P111">
        <v>7.6099009999999998</v>
      </c>
      <c r="Q111">
        <v>7.789174</v>
      </c>
      <c r="R111">
        <v>7.9691559999999999</v>
      </c>
      <c r="S111">
        <v>8.1504740000000009</v>
      </c>
      <c r="T111">
        <v>8.3276439999999994</v>
      </c>
      <c r="U111">
        <v>8.5045450000000002</v>
      </c>
      <c r="V111">
        <v>8.6814079999999993</v>
      </c>
      <c r="W111">
        <v>8.8595790000000001</v>
      </c>
      <c r="X111">
        <v>9.0389820000000007</v>
      </c>
      <c r="Y111">
        <v>9.2196510000000007</v>
      </c>
      <c r="Z111">
        <v>9.4012209999999996</v>
      </c>
      <c r="AA111">
        <v>9.5833910000000007</v>
      </c>
      <c r="AB111">
        <v>9.7660859999999996</v>
      </c>
      <c r="AC111">
        <v>9.9493270000000003</v>
      </c>
      <c r="AD111">
        <v>10.1332</v>
      </c>
      <c r="AE111">
        <v>10.317741</v>
      </c>
      <c r="AF111">
        <v>10.503016000000001</v>
      </c>
      <c r="AG111" s="144">
        <v>2.1999999999999999E-2</v>
      </c>
    </row>
    <row r="112" spans="1:33">
      <c r="A112" t="s">
        <v>2391</v>
      </c>
      <c r="B112" t="s">
        <v>2657</v>
      </c>
      <c r="C112" t="s">
        <v>2656</v>
      </c>
      <c r="D112" t="s">
        <v>2264</v>
      </c>
      <c r="F112">
        <v>119.327629</v>
      </c>
      <c r="G112">
        <v>118.269302</v>
      </c>
      <c r="H112">
        <v>124.674477</v>
      </c>
      <c r="I112">
        <v>130.92004399999999</v>
      </c>
      <c r="J112">
        <v>137.08445699999999</v>
      </c>
      <c r="K112">
        <v>143.26277200000001</v>
      </c>
      <c r="L112">
        <v>149.537003</v>
      </c>
      <c r="M112">
        <v>155.63314800000001</v>
      </c>
      <c r="N112">
        <v>161.52098100000001</v>
      </c>
      <c r="O112">
        <v>167.26478599999999</v>
      </c>
      <c r="P112">
        <v>172.81475800000001</v>
      </c>
      <c r="Q112">
        <v>178.15687600000001</v>
      </c>
      <c r="R112">
        <v>183.51745600000001</v>
      </c>
      <c r="S112">
        <v>188.56248500000001</v>
      </c>
      <c r="T112">
        <v>193.48852500000001</v>
      </c>
      <c r="U112">
        <v>198.202347</v>
      </c>
      <c r="V112">
        <v>202.93879699999999</v>
      </c>
      <c r="W112">
        <v>207.77690100000001</v>
      </c>
      <c r="X112">
        <v>212.46725499999999</v>
      </c>
      <c r="Y112">
        <v>216.83813499999999</v>
      </c>
      <c r="Z112">
        <v>220.65924100000001</v>
      </c>
      <c r="AA112">
        <v>223.73474100000001</v>
      </c>
      <c r="AB112">
        <v>226.27565000000001</v>
      </c>
      <c r="AC112">
        <v>228.519531</v>
      </c>
      <c r="AD112">
        <v>230.75152600000001</v>
      </c>
      <c r="AE112">
        <v>233.22546399999999</v>
      </c>
      <c r="AF112">
        <v>235.830353</v>
      </c>
      <c r="AG112" s="144">
        <v>2.7E-2</v>
      </c>
    </row>
    <row r="113" spans="1:33">
      <c r="A113" t="s">
        <v>2420</v>
      </c>
      <c r="B113" t="s">
        <v>2655</v>
      </c>
      <c r="C113" t="s">
        <v>2654</v>
      </c>
      <c r="D113" t="s">
        <v>2264</v>
      </c>
      <c r="F113">
        <v>23.492933000000001</v>
      </c>
      <c r="G113">
        <v>23.411591000000001</v>
      </c>
      <c r="H113">
        <v>24.417916999999999</v>
      </c>
      <c r="I113">
        <v>25.395171999999999</v>
      </c>
      <c r="J113">
        <v>26.355919</v>
      </c>
      <c r="K113">
        <v>27.314820999999998</v>
      </c>
      <c r="L113">
        <v>28.284123999999998</v>
      </c>
      <c r="M113">
        <v>29.222660000000001</v>
      </c>
      <c r="N113">
        <v>30.125996000000001</v>
      </c>
      <c r="O113">
        <v>31.003620000000002</v>
      </c>
      <c r="P113">
        <v>31.848188</v>
      </c>
      <c r="Q113">
        <v>32.658011999999999</v>
      </c>
      <c r="R113">
        <v>33.466965000000002</v>
      </c>
      <c r="S113">
        <v>34.225304000000001</v>
      </c>
      <c r="T113">
        <v>34.962333999999998</v>
      </c>
      <c r="U113">
        <v>35.664558</v>
      </c>
      <c r="V113">
        <v>36.366695</v>
      </c>
      <c r="W113">
        <v>37.080429000000002</v>
      </c>
      <c r="X113">
        <v>37.769278999999997</v>
      </c>
      <c r="Y113">
        <v>38.408423999999997</v>
      </c>
      <c r="Z113">
        <v>38.963557999999999</v>
      </c>
      <c r="AA113">
        <v>39.40625</v>
      </c>
      <c r="AB113">
        <v>39.768107999999998</v>
      </c>
      <c r="AC113">
        <v>40.083309</v>
      </c>
      <c r="AD113">
        <v>40.393191999999999</v>
      </c>
      <c r="AE113">
        <v>40.734909000000002</v>
      </c>
      <c r="AF113">
        <v>41.092162999999999</v>
      </c>
      <c r="AG113" s="144">
        <v>2.1999999999999999E-2</v>
      </c>
    </row>
    <row r="114" spans="1:33">
      <c r="A114" t="s">
        <v>2417</v>
      </c>
      <c r="B114" t="s">
        <v>2653</v>
      </c>
      <c r="C114" t="s">
        <v>2652</v>
      </c>
      <c r="D114" t="s">
        <v>2264</v>
      </c>
      <c r="F114">
        <v>94.252387999999996</v>
      </c>
      <c r="G114">
        <v>93.274506000000002</v>
      </c>
      <c r="H114">
        <v>98.618347</v>
      </c>
      <c r="I114">
        <v>103.833473</v>
      </c>
      <c r="J114">
        <v>108.985123</v>
      </c>
      <c r="K114">
        <v>114.15286999999999</v>
      </c>
      <c r="L114">
        <v>119.405838</v>
      </c>
      <c r="M114">
        <v>124.513351</v>
      </c>
      <c r="N114">
        <v>129.44986</v>
      </c>
      <c r="O114">
        <v>134.26960800000001</v>
      </c>
      <c r="P114">
        <v>138.93057300000001</v>
      </c>
      <c r="Q114">
        <v>143.420456</v>
      </c>
      <c r="R114">
        <v>147.929947</v>
      </c>
      <c r="S114">
        <v>152.17733799999999</v>
      </c>
      <c r="T114">
        <v>156.32839999999999</v>
      </c>
      <c r="U114">
        <v>160.30401599999999</v>
      </c>
      <c r="V114">
        <v>164.302582</v>
      </c>
      <c r="W114">
        <v>168.39086900000001</v>
      </c>
      <c r="X114">
        <v>172.35771199999999</v>
      </c>
      <c r="Y114">
        <v>176.05749499999999</v>
      </c>
      <c r="Z114">
        <v>179.295975</v>
      </c>
      <c r="AA114">
        <v>181.90711999999999</v>
      </c>
      <c r="AB114">
        <v>184.068771</v>
      </c>
      <c r="AC114">
        <v>185.98254399999999</v>
      </c>
      <c r="AD114">
        <v>187.890289</v>
      </c>
      <c r="AE114">
        <v>190.00676000000001</v>
      </c>
      <c r="AF114">
        <v>192.238159</v>
      </c>
      <c r="AG114" s="144">
        <v>2.8000000000000001E-2</v>
      </c>
    </row>
    <row r="115" spans="1:33">
      <c r="A115" t="s">
        <v>2414</v>
      </c>
      <c r="B115" t="s">
        <v>2651</v>
      </c>
      <c r="C115" t="s">
        <v>2650</v>
      </c>
      <c r="D115" t="s">
        <v>2264</v>
      </c>
      <c r="F115">
        <v>1.582317</v>
      </c>
      <c r="G115">
        <v>1.583207</v>
      </c>
      <c r="H115">
        <v>1.6382140000000001</v>
      </c>
      <c r="I115">
        <v>1.691381</v>
      </c>
      <c r="J115">
        <v>1.743409</v>
      </c>
      <c r="K115">
        <v>1.7950839999999999</v>
      </c>
      <c r="L115">
        <v>1.8470329999999999</v>
      </c>
      <c r="M115">
        <v>1.8971260000000001</v>
      </c>
      <c r="N115">
        <v>1.945139</v>
      </c>
      <c r="O115">
        <v>1.9915529999999999</v>
      </c>
      <c r="P115">
        <v>2.0359959999999999</v>
      </c>
      <c r="Q115">
        <v>2.0784099999999999</v>
      </c>
      <c r="R115">
        <v>2.1205379999999998</v>
      </c>
      <c r="S115">
        <v>2.1598350000000002</v>
      </c>
      <c r="T115">
        <v>2.1978019999999998</v>
      </c>
      <c r="U115">
        <v>2.2337760000000002</v>
      </c>
      <c r="V115">
        <v>2.2695159999999999</v>
      </c>
      <c r="W115">
        <v>2.3056139999999998</v>
      </c>
      <c r="X115">
        <v>2.3402479999999999</v>
      </c>
      <c r="Y115">
        <v>2.3721950000000001</v>
      </c>
      <c r="Z115">
        <v>2.399699</v>
      </c>
      <c r="AA115">
        <v>2.4213520000000002</v>
      </c>
      <c r="AB115">
        <v>2.4387840000000001</v>
      </c>
      <c r="AC115">
        <v>2.4536669999999998</v>
      </c>
      <c r="AD115">
        <v>2.4680430000000002</v>
      </c>
      <c r="AE115">
        <v>2.483771</v>
      </c>
      <c r="AF115">
        <v>2.5000309999999999</v>
      </c>
      <c r="AG115" s="144">
        <v>1.7999999999999999E-2</v>
      </c>
    </row>
    <row r="116" spans="1:33">
      <c r="A116" t="s">
        <v>2388</v>
      </c>
      <c r="B116" t="s">
        <v>2649</v>
      </c>
      <c r="C116" t="s">
        <v>2648</v>
      </c>
      <c r="D116" t="s">
        <v>2264</v>
      </c>
      <c r="F116">
        <v>142.92860400000001</v>
      </c>
      <c r="G116">
        <v>161.574738</v>
      </c>
      <c r="H116">
        <v>181.70813000000001</v>
      </c>
      <c r="I116">
        <v>193.723221</v>
      </c>
      <c r="J116">
        <v>201.39308199999999</v>
      </c>
      <c r="K116">
        <v>204.35287500000001</v>
      </c>
      <c r="L116">
        <v>207.35012800000001</v>
      </c>
      <c r="M116">
        <v>210.382721</v>
      </c>
      <c r="N116">
        <v>213.506561</v>
      </c>
      <c r="O116">
        <v>216.74534600000001</v>
      </c>
      <c r="P116">
        <v>220.104523</v>
      </c>
      <c r="Q116">
        <v>223.557007</v>
      </c>
      <c r="R116">
        <v>227.00102200000001</v>
      </c>
      <c r="S116">
        <v>230.420151</v>
      </c>
      <c r="T116">
        <v>233.84686300000001</v>
      </c>
      <c r="U116">
        <v>237.29298399999999</v>
      </c>
      <c r="V116">
        <v>240.787125</v>
      </c>
      <c r="W116">
        <v>244.556793</v>
      </c>
      <c r="X116">
        <v>248.524338</v>
      </c>
      <c r="Y116">
        <v>252.56860399999999</v>
      </c>
      <c r="Z116">
        <v>256.67440800000003</v>
      </c>
      <c r="AA116">
        <v>260.83218399999998</v>
      </c>
      <c r="AB116">
        <v>265.09466600000002</v>
      </c>
      <c r="AC116">
        <v>269.47885100000002</v>
      </c>
      <c r="AD116">
        <v>273.84585600000003</v>
      </c>
      <c r="AE116">
        <v>278.19955399999998</v>
      </c>
      <c r="AF116">
        <v>282.59265099999999</v>
      </c>
      <c r="AG116" s="144">
        <v>2.7E-2</v>
      </c>
    </row>
    <row r="117" spans="1:33">
      <c r="A117" t="s">
        <v>2420</v>
      </c>
      <c r="B117" t="s">
        <v>2647</v>
      </c>
      <c r="C117" t="s">
        <v>2646</v>
      </c>
      <c r="D117" t="s">
        <v>2264</v>
      </c>
      <c r="F117">
        <v>107.393021</v>
      </c>
      <c r="G117">
        <v>117.987534</v>
      </c>
      <c r="H117">
        <v>129.52288799999999</v>
      </c>
      <c r="I117">
        <v>136.38978599999999</v>
      </c>
      <c r="J117">
        <v>140.984283</v>
      </c>
      <c r="K117">
        <v>142.959869</v>
      </c>
      <c r="L117">
        <v>144.96014400000001</v>
      </c>
      <c r="M117">
        <v>146.98387099999999</v>
      </c>
      <c r="N117">
        <v>149.07118199999999</v>
      </c>
      <c r="O117">
        <v>151.23812899999999</v>
      </c>
      <c r="P117">
        <v>153.488846</v>
      </c>
      <c r="Q117">
        <v>155.80313100000001</v>
      </c>
      <c r="R117">
        <v>158.10571300000001</v>
      </c>
      <c r="S117">
        <v>160.38452100000001</v>
      </c>
      <c r="T117">
        <v>162.662857</v>
      </c>
      <c r="U117">
        <v>164.949341</v>
      </c>
      <c r="V117">
        <v>167.26385500000001</v>
      </c>
      <c r="W117">
        <v>169.773529</v>
      </c>
      <c r="X117">
        <v>172.421188</v>
      </c>
      <c r="Y117">
        <v>175.118088</v>
      </c>
      <c r="Z117">
        <v>177.853027</v>
      </c>
      <c r="AA117">
        <v>180.618256</v>
      </c>
      <c r="AB117">
        <v>183.45259100000001</v>
      </c>
      <c r="AC117">
        <v>186.369888</v>
      </c>
      <c r="AD117">
        <v>189.26944</v>
      </c>
      <c r="AE117">
        <v>192.153717</v>
      </c>
      <c r="AF117">
        <v>195.06158400000001</v>
      </c>
      <c r="AG117" s="144">
        <v>2.3E-2</v>
      </c>
    </row>
    <row r="118" spans="1:33">
      <c r="A118" t="s">
        <v>2417</v>
      </c>
      <c r="B118" t="s">
        <v>2645</v>
      </c>
      <c r="C118" t="s">
        <v>2644</v>
      </c>
      <c r="D118" t="s">
        <v>2264</v>
      </c>
      <c r="F118">
        <v>25.993459999999999</v>
      </c>
      <c r="G118">
        <v>33.605080000000001</v>
      </c>
      <c r="H118">
        <v>41.705432999999999</v>
      </c>
      <c r="I118">
        <v>46.560657999999997</v>
      </c>
      <c r="J118">
        <v>49.399281000000002</v>
      </c>
      <c r="K118">
        <v>50.244391999999998</v>
      </c>
      <c r="L118">
        <v>51.100605000000002</v>
      </c>
      <c r="M118">
        <v>51.967072000000002</v>
      </c>
      <c r="N118">
        <v>52.856273999999999</v>
      </c>
      <c r="O118">
        <v>53.774718999999997</v>
      </c>
      <c r="P118">
        <v>54.723278000000001</v>
      </c>
      <c r="Q118">
        <v>55.696933999999999</v>
      </c>
      <c r="R118">
        <v>56.675632</v>
      </c>
      <c r="S118">
        <v>57.656089999999999</v>
      </c>
      <c r="T118">
        <v>58.645504000000003</v>
      </c>
      <c r="U118">
        <v>59.646445999999997</v>
      </c>
      <c r="V118">
        <v>60.666046000000001</v>
      </c>
      <c r="W118">
        <v>61.750442999999997</v>
      </c>
      <c r="X118">
        <v>62.884014000000001</v>
      </c>
      <c r="Y118">
        <v>64.041938999999999</v>
      </c>
      <c r="Z118">
        <v>65.221153000000001</v>
      </c>
      <c r="AA118">
        <v>66.420692000000003</v>
      </c>
      <c r="AB118">
        <v>67.651047000000005</v>
      </c>
      <c r="AC118">
        <v>68.914032000000006</v>
      </c>
      <c r="AD118">
        <v>70.179893000000007</v>
      </c>
      <c r="AE118">
        <v>71.449875000000006</v>
      </c>
      <c r="AF118">
        <v>72.734427999999994</v>
      </c>
      <c r="AG118" s="144">
        <v>0.04</v>
      </c>
    </row>
    <row r="119" spans="1:33">
      <c r="A119" t="s">
        <v>2414</v>
      </c>
      <c r="B119" t="s">
        <v>2643</v>
      </c>
      <c r="C119" t="s">
        <v>2642</v>
      </c>
      <c r="D119" t="s">
        <v>2264</v>
      </c>
      <c r="F119">
        <v>9.5421250000000004</v>
      </c>
      <c r="G119">
        <v>9.982132</v>
      </c>
      <c r="H119">
        <v>10.479811</v>
      </c>
      <c r="I119">
        <v>10.772781999999999</v>
      </c>
      <c r="J119">
        <v>11.009517000000001</v>
      </c>
      <c r="K119">
        <v>11.148605999999999</v>
      </c>
      <c r="L119">
        <v>11.289377</v>
      </c>
      <c r="M119">
        <v>11.431779000000001</v>
      </c>
      <c r="N119">
        <v>11.579103</v>
      </c>
      <c r="O119">
        <v>11.732507999999999</v>
      </c>
      <c r="P119">
        <v>11.892381</v>
      </c>
      <c r="Q119">
        <v>12.056938000000001</v>
      </c>
      <c r="R119">
        <v>12.219676</v>
      </c>
      <c r="S119">
        <v>12.37955</v>
      </c>
      <c r="T119">
        <v>12.538484</v>
      </c>
      <c r="U119">
        <v>12.697193</v>
      </c>
      <c r="V119">
        <v>12.857211</v>
      </c>
      <c r="W119">
        <v>13.032829</v>
      </c>
      <c r="X119">
        <v>13.219137</v>
      </c>
      <c r="Y119">
        <v>13.408585</v>
      </c>
      <c r="Z119">
        <v>13.600213</v>
      </c>
      <c r="AA119">
        <v>13.793241999999999</v>
      </c>
      <c r="AB119">
        <v>13.991013000000001</v>
      </c>
      <c r="AC119">
        <v>14.194908</v>
      </c>
      <c r="AD119">
        <v>14.396512</v>
      </c>
      <c r="AE119">
        <v>14.595986999999999</v>
      </c>
      <c r="AF119">
        <v>14.796673999999999</v>
      </c>
      <c r="AG119" s="144">
        <v>1.7000000000000001E-2</v>
      </c>
    </row>
    <row r="120" spans="1:33">
      <c r="A120" t="s">
        <v>2385</v>
      </c>
      <c r="B120" t="s">
        <v>2641</v>
      </c>
      <c r="C120" t="s">
        <v>2640</v>
      </c>
      <c r="D120" t="s">
        <v>2264</v>
      </c>
      <c r="F120">
        <v>63.267685</v>
      </c>
      <c r="G120">
        <v>65.509933000000004</v>
      </c>
      <c r="H120">
        <v>68.677513000000005</v>
      </c>
      <c r="I120">
        <v>71.140906999999999</v>
      </c>
      <c r="J120">
        <v>74.722579999999994</v>
      </c>
      <c r="K120">
        <v>77.332970000000003</v>
      </c>
      <c r="L120">
        <v>79.924933999999993</v>
      </c>
      <c r="M120">
        <v>82.506439</v>
      </c>
      <c r="N120">
        <v>85.129028000000005</v>
      </c>
      <c r="O120">
        <v>87.810248999999999</v>
      </c>
      <c r="P120">
        <v>90.553070000000005</v>
      </c>
      <c r="Q120">
        <v>93.384726999999998</v>
      </c>
      <c r="R120">
        <v>96.317734000000002</v>
      </c>
      <c r="S120">
        <v>99.335678000000001</v>
      </c>
      <c r="T120">
        <v>102.42898599999999</v>
      </c>
      <c r="U120">
        <v>105.60099</v>
      </c>
      <c r="V120">
        <v>108.836128</v>
      </c>
      <c r="W120">
        <v>112.13511699999999</v>
      </c>
      <c r="X120">
        <v>115.525436</v>
      </c>
      <c r="Y120">
        <v>119.01010100000001</v>
      </c>
      <c r="Z120">
        <v>122.58757799999999</v>
      </c>
      <c r="AA120">
        <v>126.259254</v>
      </c>
      <c r="AB120">
        <v>130.003128</v>
      </c>
      <c r="AC120">
        <v>133.830063</v>
      </c>
      <c r="AD120">
        <v>137.740341</v>
      </c>
      <c r="AE120">
        <v>141.74255400000001</v>
      </c>
      <c r="AF120">
        <v>145.84314000000001</v>
      </c>
      <c r="AG120" s="144">
        <v>3.3000000000000002E-2</v>
      </c>
    </row>
    <row r="121" spans="1:33">
      <c r="A121" t="s">
        <v>2420</v>
      </c>
      <c r="B121" t="s">
        <v>2639</v>
      </c>
      <c r="C121" t="s">
        <v>2638</v>
      </c>
      <c r="D121" t="s">
        <v>2264</v>
      </c>
      <c r="F121">
        <v>48.335636000000001</v>
      </c>
      <c r="G121">
        <v>50.047905</v>
      </c>
      <c r="H121">
        <v>52.466721</v>
      </c>
      <c r="I121">
        <v>54.348492</v>
      </c>
      <c r="J121">
        <v>57.082709999999999</v>
      </c>
      <c r="K121">
        <v>59.076931000000002</v>
      </c>
      <c r="L121">
        <v>61.057017999999999</v>
      </c>
      <c r="M121">
        <v>63.029057000000002</v>
      </c>
      <c r="N121">
        <v>65.032471000000001</v>
      </c>
      <c r="O121">
        <v>67.080658</v>
      </c>
      <c r="P121">
        <v>69.175895999999995</v>
      </c>
      <c r="Q121">
        <v>71.339011999999997</v>
      </c>
      <c r="R121">
        <v>73.579566999999997</v>
      </c>
      <c r="S121">
        <v>75.884979000000001</v>
      </c>
      <c r="T121">
        <v>78.247962999999999</v>
      </c>
      <c r="U121">
        <v>80.671051000000006</v>
      </c>
      <c r="V121">
        <v>83.142334000000005</v>
      </c>
      <c r="W121">
        <v>85.662375999999995</v>
      </c>
      <c r="X121">
        <v>88.252173999999997</v>
      </c>
      <c r="Y121">
        <v>90.914023999999998</v>
      </c>
      <c r="Z121">
        <v>93.646766999999997</v>
      </c>
      <c r="AA121">
        <v>96.451469000000003</v>
      </c>
      <c r="AB121">
        <v>99.311301999999998</v>
      </c>
      <c r="AC121">
        <v>102.234596</v>
      </c>
      <c r="AD121">
        <v>105.221535</v>
      </c>
      <c r="AE121">
        <v>108.278679</v>
      </c>
      <c r="AF121">
        <v>111.410957</v>
      </c>
      <c r="AG121" s="144">
        <v>3.3000000000000002E-2</v>
      </c>
    </row>
    <row r="122" spans="1:33">
      <c r="A122" t="s">
        <v>2417</v>
      </c>
      <c r="B122" t="s">
        <v>2637</v>
      </c>
      <c r="C122" t="s">
        <v>2636</v>
      </c>
      <c r="D122" t="s">
        <v>2264</v>
      </c>
      <c r="F122">
        <v>9.9797700000000003</v>
      </c>
      <c r="G122">
        <v>10.346156000000001</v>
      </c>
      <c r="H122">
        <v>10.865069999999999</v>
      </c>
      <c r="I122">
        <v>11.25741</v>
      </c>
      <c r="J122">
        <v>11.857099</v>
      </c>
      <c r="K122">
        <v>12.270179000000001</v>
      </c>
      <c r="L122">
        <v>12.681398</v>
      </c>
      <c r="M122">
        <v>13.091692</v>
      </c>
      <c r="N122">
        <v>13.508883000000001</v>
      </c>
      <c r="O122">
        <v>13.935513</v>
      </c>
      <c r="P122">
        <v>14.371999000000001</v>
      </c>
      <c r="Q122">
        <v>14.822459</v>
      </c>
      <c r="R122">
        <v>15.288921999999999</v>
      </c>
      <c r="S122">
        <v>15.76901</v>
      </c>
      <c r="T122">
        <v>16.261216999999998</v>
      </c>
      <c r="U122">
        <v>16.766123</v>
      </c>
      <c r="V122">
        <v>17.281552999999999</v>
      </c>
      <c r="W122">
        <v>17.807554</v>
      </c>
      <c r="X122">
        <v>18.348305</v>
      </c>
      <c r="Y122">
        <v>18.904219000000001</v>
      </c>
      <c r="Z122">
        <v>19.475031000000001</v>
      </c>
      <c r="AA122">
        <v>20.060934</v>
      </c>
      <c r="AB122">
        <v>20.658508000000001</v>
      </c>
      <c r="AC122">
        <v>21.269428000000001</v>
      </c>
      <c r="AD122">
        <v>21.89377</v>
      </c>
      <c r="AE122">
        <v>22.532948999999999</v>
      </c>
      <c r="AF122">
        <v>23.188065999999999</v>
      </c>
      <c r="AG122" s="144">
        <v>3.3000000000000002E-2</v>
      </c>
    </row>
    <row r="123" spans="1:33">
      <c r="A123" t="s">
        <v>2414</v>
      </c>
      <c r="B123" t="s">
        <v>2635</v>
      </c>
      <c r="C123" t="s">
        <v>2634</v>
      </c>
      <c r="D123" t="s">
        <v>2264</v>
      </c>
      <c r="F123">
        <v>4.9522779999999997</v>
      </c>
      <c r="G123">
        <v>5.115869</v>
      </c>
      <c r="H123">
        <v>5.3457249999999998</v>
      </c>
      <c r="I123">
        <v>5.5350109999999999</v>
      </c>
      <c r="J123">
        <v>5.7827679999999999</v>
      </c>
      <c r="K123">
        <v>5.9858570000000002</v>
      </c>
      <c r="L123">
        <v>6.1865240000000004</v>
      </c>
      <c r="M123">
        <v>6.3856859999999998</v>
      </c>
      <c r="N123">
        <v>6.5876789999999996</v>
      </c>
      <c r="O123">
        <v>6.794079</v>
      </c>
      <c r="P123">
        <v>7.0051709999999998</v>
      </c>
      <c r="Q123">
        <v>7.2232529999999997</v>
      </c>
      <c r="R123">
        <v>7.4492560000000001</v>
      </c>
      <c r="S123">
        <v>7.6816890000000004</v>
      </c>
      <c r="T123">
        <v>7.9198069999999996</v>
      </c>
      <c r="U123">
        <v>8.1638169999999999</v>
      </c>
      <c r="V123">
        <v>8.412236</v>
      </c>
      <c r="W123">
        <v>8.665184</v>
      </c>
      <c r="X123">
        <v>8.9249620000000007</v>
      </c>
      <c r="Y123">
        <v>9.1918609999999994</v>
      </c>
      <c r="Z123">
        <v>9.4657789999999995</v>
      </c>
      <c r="AA123">
        <v>9.7468570000000003</v>
      </c>
      <c r="AB123">
        <v>10.033315999999999</v>
      </c>
      <c r="AC123">
        <v>10.326048999999999</v>
      </c>
      <c r="AD123">
        <v>10.625047</v>
      </c>
      <c r="AE123">
        <v>10.930925</v>
      </c>
      <c r="AF123">
        <v>11.244109</v>
      </c>
      <c r="AG123" s="144">
        <v>3.2000000000000001E-2</v>
      </c>
    </row>
    <row r="124" spans="1:33">
      <c r="A124" t="s">
        <v>198</v>
      </c>
      <c r="B124" t="s">
        <v>2633</v>
      </c>
      <c r="C124" t="s">
        <v>2632</v>
      </c>
      <c r="D124" t="s">
        <v>2264</v>
      </c>
      <c r="F124">
        <v>907.643372</v>
      </c>
      <c r="G124">
        <v>936.21020499999997</v>
      </c>
      <c r="H124">
        <v>987.149902</v>
      </c>
      <c r="I124">
        <v>1038.0001219999999</v>
      </c>
      <c r="J124">
        <v>1090.720581</v>
      </c>
      <c r="K124">
        <v>1145.8204350000001</v>
      </c>
      <c r="L124">
        <v>1203.104736</v>
      </c>
      <c r="M124">
        <v>1262.2410890000001</v>
      </c>
      <c r="N124">
        <v>1323.399658</v>
      </c>
      <c r="O124">
        <v>1386.192139</v>
      </c>
      <c r="P124">
        <v>1450.5645750000001</v>
      </c>
      <c r="Q124">
        <v>1516.445068</v>
      </c>
      <c r="R124">
        <v>1583.2913820000001</v>
      </c>
      <c r="S124">
        <v>1651.4217530000001</v>
      </c>
      <c r="T124">
        <v>1721.0950929999999</v>
      </c>
      <c r="U124">
        <v>1792.2664789999999</v>
      </c>
      <c r="V124">
        <v>1864.8164059999999</v>
      </c>
      <c r="W124">
        <v>1938.716919</v>
      </c>
      <c r="X124">
        <v>2013.8991699999999</v>
      </c>
      <c r="Y124">
        <v>2090.2871089999999</v>
      </c>
      <c r="Z124">
        <v>2167.8032229999999</v>
      </c>
      <c r="AA124">
        <v>2246.389893</v>
      </c>
      <c r="AB124">
        <v>2325.9804690000001</v>
      </c>
      <c r="AC124">
        <v>2406.4941410000001</v>
      </c>
      <c r="AD124">
        <v>2487.8405760000001</v>
      </c>
      <c r="AE124">
        <v>2569.9492190000001</v>
      </c>
      <c r="AF124">
        <v>2652.7197270000001</v>
      </c>
      <c r="AG124" s="144">
        <v>4.2000000000000003E-2</v>
      </c>
    </row>
    <row r="125" spans="1:33">
      <c r="A125" t="s">
        <v>2420</v>
      </c>
      <c r="B125" t="s">
        <v>2631</v>
      </c>
      <c r="C125" t="s">
        <v>2630</v>
      </c>
      <c r="D125" t="s">
        <v>2264</v>
      </c>
      <c r="F125">
        <v>592.813354</v>
      </c>
      <c r="G125">
        <v>621.688354</v>
      </c>
      <c r="H125">
        <v>656.07244900000001</v>
      </c>
      <c r="I125">
        <v>690.25488299999995</v>
      </c>
      <c r="J125">
        <v>725.69146699999999</v>
      </c>
      <c r="K125">
        <v>762.75372300000004</v>
      </c>
      <c r="L125">
        <v>801.29119900000001</v>
      </c>
      <c r="M125">
        <v>841.05304000000001</v>
      </c>
      <c r="N125">
        <v>882.160034</v>
      </c>
      <c r="O125">
        <v>924.31909199999996</v>
      </c>
      <c r="P125">
        <v>967.48284899999999</v>
      </c>
      <c r="Q125">
        <v>1011.590515</v>
      </c>
      <c r="R125">
        <v>1056.2349850000001</v>
      </c>
      <c r="S125">
        <v>1101.645264</v>
      </c>
      <c r="T125">
        <v>1148.0040280000001</v>
      </c>
      <c r="U125">
        <v>1195.2742920000001</v>
      </c>
      <c r="V125">
        <v>1243.3572999999999</v>
      </c>
      <c r="W125">
        <v>1292.2298579999999</v>
      </c>
      <c r="X125">
        <v>1341.8366699999999</v>
      </c>
      <c r="Y125">
        <v>1392.1141359999999</v>
      </c>
      <c r="Z125">
        <v>1443.0020750000001</v>
      </c>
      <c r="AA125">
        <v>1494.462158</v>
      </c>
      <c r="AB125">
        <v>1546.4506839999999</v>
      </c>
      <c r="AC125">
        <v>1598.9068600000001</v>
      </c>
      <c r="AD125">
        <v>1651.7669679999999</v>
      </c>
      <c r="AE125">
        <v>1704.987427</v>
      </c>
      <c r="AF125">
        <v>1758.494385</v>
      </c>
      <c r="AG125" s="144">
        <v>4.2999999999999997E-2</v>
      </c>
    </row>
    <row r="126" spans="1:33">
      <c r="A126" t="s">
        <v>2417</v>
      </c>
      <c r="B126" t="s">
        <v>2629</v>
      </c>
      <c r="C126" t="s">
        <v>2628</v>
      </c>
      <c r="D126" t="s">
        <v>2264</v>
      </c>
      <c r="F126">
        <v>254.10467499999999</v>
      </c>
      <c r="G126">
        <v>250.68653900000001</v>
      </c>
      <c r="H126">
        <v>263.703461</v>
      </c>
      <c r="I126">
        <v>276.855255</v>
      </c>
      <c r="J126">
        <v>290.49447600000002</v>
      </c>
      <c r="K126">
        <v>304.71929899999998</v>
      </c>
      <c r="L126">
        <v>319.50177000000002</v>
      </c>
      <c r="M126">
        <v>334.78637700000002</v>
      </c>
      <c r="N126">
        <v>350.609802</v>
      </c>
      <c r="O126">
        <v>366.90774499999998</v>
      </c>
      <c r="P126">
        <v>383.67816199999999</v>
      </c>
      <c r="Q126">
        <v>400.91674799999998</v>
      </c>
      <c r="R126">
        <v>418.53076199999998</v>
      </c>
      <c r="S126">
        <v>436.58557100000002</v>
      </c>
      <c r="T126">
        <v>455.13864100000001</v>
      </c>
      <c r="U126">
        <v>474.18588299999999</v>
      </c>
      <c r="V126">
        <v>493.71713299999999</v>
      </c>
      <c r="W126">
        <v>513.72949200000005</v>
      </c>
      <c r="X126">
        <v>534.216003</v>
      </c>
      <c r="Y126">
        <v>555.17040999999995</v>
      </c>
      <c r="Z126">
        <v>576.58215299999995</v>
      </c>
      <c r="AA126">
        <v>598.43542500000001</v>
      </c>
      <c r="AB126">
        <v>620.71215800000004</v>
      </c>
      <c r="AC126">
        <v>643.39813200000003</v>
      </c>
      <c r="AD126">
        <v>666.47363299999995</v>
      </c>
      <c r="AE126">
        <v>689.91625999999997</v>
      </c>
      <c r="AF126">
        <v>713.70678699999996</v>
      </c>
      <c r="AG126" s="144">
        <v>4.1000000000000002E-2</v>
      </c>
    </row>
    <row r="127" spans="1:33">
      <c r="A127" t="s">
        <v>2414</v>
      </c>
      <c r="B127" t="s">
        <v>2627</v>
      </c>
      <c r="C127" t="s">
        <v>2626</v>
      </c>
      <c r="D127" t="s">
        <v>2264</v>
      </c>
      <c r="F127">
        <v>60.725364999999996</v>
      </c>
      <c r="G127">
        <v>63.835247000000003</v>
      </c>
      <c r="H127">
        <v>67.373985000000005</v>
      </c>
      <c r="I127">
        <v>70.889931000000004</v>
      </c>
      <c r="J127">
        <v>74.534820999999994</v>
      </c>
      <c r="K127">
        <v>78.347335999999999</v>
      </c>
      <c r="L127">
        <v>82.311653000000007</v>
      </c>
      <c r="M127">
        <v>86.401627000000005</v>
      </c>
      <c r="N127">
        <v>90.629761000000002</v>
      </c>
      <c r="O127">
        <v>94.965423999999999</v>
      </c>
      <c r="P127">
        <v>99.403603000000004</v>
      </c>
      <c r="Q127">
        <v>103.93787399999999</v>
      </c>
      <c r="R127">
        <v>108.52572600000001</v>
      </c>
      <c r="S127">
        <v>113.190933</v>
      </c>
      <c r="T127">
        <v>117.952415</v>
      </c>
      <c r="U127">
        <v>122.80629</v>
      </c>
      <c r="V127">
        <v>127.742088</v>
      </c>
      <c r="W127">
        <v>132.75740099999999</v>
      </c>
      <c r="X127">
        <v>137.84641999999999</v>
      </c>
      <c r="Y127">
        <v>143.002396</v>
      </c>
      <c r="Z127">
        <v>148.21902499999999</v>
      </c>
      <c r="AA127">
        <v>153.49231</v>
      </c>
      <c r="AB127">
        <v>158.81788599999999</v>
      </c>
      <c r="AC127">
        <v>164.18933100000001</v>
      </c>
      <c r="AD127">
        <v>169.60011299999999</v>
      </c>
      <c r="AE127">
        <v>175.04570000000001</v>
      </c>
      <c r="AF127">
        <v>180.518539</v>
      </c>
      <c r="AG127" s="144">
        <v>4.2999999999999997E-2</v>
      </c>
    </row>
    <row r="128" spans="1:33">
      <c r="A128" t="s">
        <v>2380</v>
      </c>
      <c r="B128" t="s">
        <v>2625</v>
      </c>
      <c r="C128" t="s">
        <v>2624</v>
      </c>
      <c r="D128" t="s">
        <v>2264</v>
      </c>
      <c r="F128">
        <v>223.57252500000001</v>
      </c>
      <c r="G128">
        <v>230.97392300000001</v>
      </c>
      <c r="H128">
        <v>249.562454</v>
      </c>
      <c r="I128">
        <v>269.73525999999998</v>
      </c>
      <c r="J128">
        <v>290.86743200000001</v>
      </c>
      <c r="K128">
        <v>313.08288599999997</v>
      </c>
      <c r="L128">
        <v>336.31631499999997</v>
      </c>
      <c r="M128">
        <v>360.40683000000001</v>
      </c>
      <c r="N128">
        <v>385.19262700000002</v>
      </c>
      <c r="O128">
        <v>410.50692700000002</v>
      </c>
      <c r="P128">
        <v>436.27282700000001</v>
      </c>
      <c r="Q128">
        <v>462.39138800000001</v>
      </c>
      <c r="R128">
        <v>488.70764200000002</v>
      </c>
      <c r="S128">
        <v>515.410706</v>
      </c>
      <c r="T128">
        <v>542.33282499999996</v>
      </c>
      <c r="U128">
        <v>569.54925500000002</v>
      </c>
      <c r="V128">
        <v>597.25628700000004</v>
      </c>
      <c r="W128">
        <v>625.40460199999995</v>
      </c>
      <c r="X128">
        <v>653.95147699999995</v>
      </c>
      <c r="Y128">
        <v>682.82293700000002</v>
      </c>
      <c r="Z128">
        <v>711.96466099999998</v>
      </c>
      <c r="AA128">
        <v>741.37866199999996</v>
      </c>
      <c r="AB128">
        <v>771.09826699999996</v>
      </c>
      <c r="AC128">
        <v>801.06756600000006</v>
      </c>
      <c r="AD128">
        <v>831.23730499999999</v>
      </c>
      <c r="AE128">
        <v>861.55950900000005</v>
      </c>
      <c r="AF128">
        <v>891.98156700000004</v>
      </c>
      <c r="AG128" s="144">
        <v>5.5E-2</v>
      </c>
    </row>
    <row r="129" spans="1:33">
      <c r="A129" t="s">
        <v>2420</v>
      </c>
      <c r="B129" t="s">
        <v>2623</v>
      </c>
      <c r="C129" t="s">
        <v>2622</v>
      </c>
      <c r="D129" t="s">
        <v>2264</v>
      </c>
      <c r="F129">
        <v>140.80940200000001</v>
      </c>
      <c r="G129">
        <v>147.591522</v>
      </c>
      <c r="H129">
        <v>159.79884300000001</v>
      </c>
      <c r="I129">
        <v>173.07870500000001</v>
      </c>
      <c r="J129">
        <v>187.01431299999999</v>
      </c>
      <c r="K129">
        <v>201.68985000000001</v>
      </c>
      <c r="L129">
        <v>217.06231700000001</v>
      </c>
      <c r="M129">
        <v>233.023911</v>
      </c>
      <c r="N129">
        <v>249.46519499999999</v>
      </c>
      <c r="O129">
        <v>266.27285799999999</v>
      </c>
      <c r="P129">
        <v>283.393799</v>
      </c>
      <c r="Q129">
        <v>300.76001000000002</v>
      </c>
      <c r="R129">
        <v>318.26495399999999</v>
      </c>
      <c r="S129">
        <v>336.036743</v>
      </c>
      <c r="T129">
        <v>353.96051</v>
      </c>
      <c r="U129">
        <v>372.08648699999998</v>
      </c>
      <c r="V129">
        <v>390.54534899999999</v>
      </c>
      <c r="W129">
        <v>409.30426</v>
      </c>
      <c r="X129">
        <v>428.33377100000001</v>
      </c>
      <c r="Y129">
        <v>447.58297700000003</v>
      </c>
      <c r="Z129">
        <v>467.01400799999999</v>
      </c>
      <c r="AA129">
        <v>486.62734999999998</v>
      </c>
      <c r="AB129">
        <v>506.44555700000001</v>
      </c>
      <c r="AC129">
        <v>526.42999299999997</v>
      </c>
      <c r="AD129">
        <v>546.54638699999998</v>
      </c>
      <c r="AE129">
        <v>566.76086399999997</v>
      </c>
      <c r="AF129">
        <v>587.03656000000001</v>
      </c>
      <c r="AG129" s="144">
        <v>5.6000000000000001E-2</v>
      </c>
    </row>
    <row r="130" spans="1:33">
      <c r="A130" t="s">
        <v>2417</v>
      </c>
      <c r="B130" t="s">
        <v>2621</v>
      </c>
      <c r="C130" t="s">
        <v>2620</v>
      </c>
      <c r="D130" t="s">
        <v>2264</v>
      </c>
      <c r="F130">
        <v>73.054665</v>
      </c>
      <c r="G130">
        <v>72.903976</v>
      </c>
      <c r="H130">
        <v>78.372237999999996</v>
      </c>
      <c r="I130">
        <v>84.267600999999999</v>
      </c>
      <c r="J130">
        <v>90.414092999999994</v>
      </c>
      <c r="K130">
        <v>96.844634999999997</v>
      </c>
      <c r="L130">
        <v>103.54026</v>
      </c>
      <c r="M130">
        <v>110.45618399999999</v>
      </c>
      <c r="N130">
        <v>117.548637</v>
      </c>
      <c r="O130">
        <v>124.773186</v>
      </c>
      <c r="P130">
        <v>132.110275</v>
      </c>
      <c r="Q130">
        <v>139.53469799999999</v>
      </c>
      <c r="R130">
        <v>147.006393</v>
      </c>
      <c r="S130">
        <v>154.57637</v>
      </c>
      <c r="T130">
        <v>162.200943</v>
      </c>
      <c r="U130">
        <v>169.901184</v>
      </c>
      <c r="V130">
        <v>177.73287999999999</v>
      </c>
      <c r="W130">
        <v>185.682007</v>
      </c>
      <c r="X130">
        <v>193.73756399999999</v>
      </c>
      <c r="Y130">
        <v>201.88063</v>
      </c>
      <c r="Z130">
        <v>210.09814499999999</v>
      </c>
      <c r="AA130">
        <v>218.391403</v>
      </c>
      <c r="AB130">
        <v>226.76942399999999</v>
      </c>
      <c r="AC130">
        <v>235.21824599999999</v>
      </c>
      <c r="AD130">
        <v>243.72569300000001</v>
      </c>
      <c r="AE130">
        <v>252.28031899999999</v>
      </c>
      <c r="AF130">
        <v>260.86968999999999</v>
      </c>
      <c r="AG130" s="144">
        <v>0.05</v>
      </c>
    </row>
    <row r="131" spans="1:33">
      <c r="A131" t="s">
        <v>2414</v>
      </c>
      <c r="B131" t="s">
        <v>2619</v>
      </c>
      <c r="C131" t="s">
        <v>2618</v>
      </c>
      <c r="D131" t="s">
        <v>2264</v>
      </c>
      <c r="F131">
        <v>9.7084440000000001</v>
      </c>
      <c r="G131">
        <v>10.478415</v>
      </c>
      <c r="H131">
        <v>11.391368</v>
      </c>
      <c r="I131">
        <v>12.388927000000001</v>
      </c>
      <c r="J131">
        <v>13.43904</v>
      </c>
      <c r="K131">
        <v>14.548394999999999</v>
      </c>
      <c r="L131">
        <v>15.713751</v>
      </c>
      <c r="M131">
        <v>16.926762</v>
      </c>
      <c r="N131">
        <v>18.178806000000002</v>
      </c>
      <c r="O131">
        <v>19.460888000000001</v>
      </c>
      <c r="P131">
        <v>20.768695999999998</v>
      </c>
      <c r="Q131">
        <v>22.096700999999999</v>
      </c>
      <c r="R131">
        <v>23.436304</v>
      </c>
      <c r="S131">
        <v>24.797616999999999</v>
      </c>
      <c r="T131">
        <v>26.171406000000001</v>
      </c>
      <c r="U131">
        <v>27.561547999999998</v>
      </c>
      <c r="V131">
        <v>28.978034999999998</v>
      </c>
      <c r="W131">
        <v>30.418367</v>
      </c>
      <c r="X131">
        <v>31.880151999999999</v>
      </c>
      <c r="Y131">
        <v>33.359264000000003</v>
      </c>
      <c r="Z131">
        <v>34.852558000000002</v>
      </c>
      <c r="AA131">
        <v>36.359974000000001</v>
      </c>
      <c r="AB131">
        <v>37.883285999999998</v>
      </c>
      <c r="AC131">
        <v>39.419327000000003</v>
      </c>
      <c r="AD131">
        <v>40.965279000000002</v>
      </c>
      <c r="AE131">
        <v>42.518303000000003</v>
      </c>
      <c r="AF131">
        <v>44.075294</v>
      </c>
      <c r="AG131" s="144">
        <v>0.06</v>
      </c>
    </row>
    <row r="132" spans="1:33">
      <c r="A132" t="s">
        <v>2377</v>
      </c>
      <c r="B132" t="s">
        <v>2617</v>
      </c>
      <c r="C132" t="s">
        <v>2616</v>
      </c>
      <c r="D132" t="s">
        <v>2264</v>
      </c>
      <c r="F132">
        <v>697.15936299999998</v>
      </c>
      <c r="G132">
        <v>738.99865699999998</v>
      </c>
      <c r="H132">
        <v>773.85076900000001</v>
      </c>
      <c r="I132">
        <v>809.40240500000004</v>
      </c>
      <c r="J132">
        <v>845.525757</v>
      </c>
      <c r="K132">
        <v>882.277466</v>
      </c>
      <c r="L132">
        <v>919.97674600000005</v>
      </c>
      <c r="M132">
        <v>958.78204300000004</v>
      </c>
      <c r="N132">
        <v>998.67016599999999</v>
      </c>
      <c r="O132">
        <v>1039.534302</v>
      </c>
      <c r="P132">
        <v>1081.241211</v>
      </c>
      <c r="Q132">
        <v>1123.682861</v>
      </c>
      <c r="R132">
        <v>1166.9107670000001</v>
      </c>
      <c r="S132">
        <v>1210.8045649999999</v>
      </c>
      <c r="T132">
        <v>1255.855225</v>
      </c>
      <c r="U132">
        <v>1302.1038820000001</v>
      </c>
      <c r="V132">
        <v>1349.5058590000001</v>
      </c>
      <c r="W132">
        <v>1397.949341</v>
      </c>
      <c r="X132">
        <v>1447.5043949999999</v>
      </c>
      <c r="Y132">
        <v>1498.161865</v>
      </c>
      <c r="Z132">
        <v>1549.8865969999999</v>
      </c>
      <c r="AA132">
        <v>1602.648193</v>
      </c>
      <c r="AB132">
        <v>1656.3923339999999</v>
      </c>
      <c r="AC132">
        <v>1710.9888920000001</v>
      </c>
      <c r="AD132">
        <v>1766.490601</v>
      </c>
      <c r="AE132">
        <v>1823.050659</v>
      </c>
      <c r="AF132">
        <v>1880.8292240000001</v>
      </c>
      <c r="AG132" s="144">
        <v>3.9E-2</v>
      </c>
    </row>
    <row r="133" spans="1:33">
      <c r="A133" t="s">
        <v>2420</v>
      </c>
      <c r="B133" t="s">
        <v>2615</v>
      </c>
      <c r="C133" t="s">
        <v>2614</v>
      </c>
      <c r="D133" t="s">
        <v>2264</v>
      </c>
      <c r="F133">
        <v>279.16104100000001</v>
      </c>
      <c r="G133">
        <v>288.345123</v>
      </c>
      <c r="H133">
        <v>303.40893599999998</v>
      </c>
      <c r="I133">
        <v>318.74945100000002</v>
      </c>
      <c r="J133">
        <v>334.28720099999998</v>
      </c>
      <c r="K133">
        <v>350.05493200000001</v>
      </c>
      <c r="L133">
        <v>366.22366299999999</v>
      </c>
      <c r="M133">
        <v>382.87957799999998</v>
      </c>
      <c r="N133">
        <v>400.01474000000002</v>
      </c>
      <c r="O133">
        <v>417.56631499999997</v>
      </c>
      <c r="P133">
        <v>435.46365400000002</v>
      </c>
      <c r="Q133">
        <v>453.649384</v>
      </c>
      <c r="R133">
        <v>472.14041099999997</v>
      </c>
      <c r="S133">
        <v>490.865295</v>
      </c>
      <c r="T133">
        <v>510.09726000000001</v>
      </c>
      <c r="U133">
        <v>529.85497999999995</v>
      </c>
      <c r="V133">
        <v>550.11462400000005</v>
      </c>
      <c r="W133">
        <v>570.81732199999999</v>
      </c>
      <c r="X133">
        <v>592.00238000000002</v>
      </c>
      <c r="Y133">
        <v>613.65765399999998</v>
      </c>
      <c r="Z133">
        <v>635.75982699999997</v>
      </c>
      <c r="AA133">
        <v>658.29315199999996</v>
      </c>
      <c r="AB133">
        <v>681.21777299999997</v>
      </c>
      <c r="AC133">
        <v>704.47381600000006</v>
      </c>
      <c r="AD133">
        <v>728.09136999999998</v>
      </c>
      <c r="AE133">
        <v>752.13647500000002</v>
      </c>
      <c r="AF133">
        <v>776.70764199999996</v>
      </c>
      <c r="AG133" s="144">
        <v>0.04</v>
      </c>
    </row>
    <row r="134" spans="1:33">
      <c r="A134" t="s">
        <v>2417</v>
      </c>
      <c r="B134" t="s">
        <v>2613</v>
      </c>
      <c r="C134" t="s">
        <v>2612</v>
      </c>
      <c r="D134" t="s">
        <v>2264</v>
      </c>
      <c r="F134">
        <v>398.59359699999999</v>
      </c>
      <c r="G134">
        <v>430.86456299999998</v>
      </c>
      <c r="H134">
        <v>449.56857300000001</v>
      </c>
      <c r="I134">
        <v>468.67623900000001</v>
      </c>
      <c r="J134">
        <v>488.14581299999998</v>
      </c>
      <c r="K134">
        <v>507.99841300000003</v>
      </c>
      <c r="L134">
        <v>528.36914100000001</v>
      </c>
      <c r="M134">
        <v>549.32318099999998</v>
      </c>
      <c r="N134">
        <v>570.84606900000006</v>
      </c>
      <c r="O134">
        <v>592.89862100000005</v>
      </c>
      <c r="P134">
        <v>615.42394999999999</v>
      </c>
      <c r="Q134">
        <v>638.37579300000004</v>
      </c>
      <c r="R134">
        <v>661.78772000000004</v>
      </c>
      <c r="S134">
        <v>685.61645499999997</v>
      </c>
      <c r="T134">
        <v>710.05835000000002</v>
      </c>
      <c r="U134">
        <v>735.13439900000003</v>
      </c>
      <c r="V134">
        <v>760.82531700000004</v>
      </c>
      <c r="W134">
        <v>787.08337400000005</v>
      </c>
      <c r="X134">
        <v>813.93566899999996</v>
      </c>
      <c r="Y134">
        <v>841.38665800000001</v>
      </c>
      <c r="Z134">
        <v>869.42614700000001</v>
      </c>
      <c r="AA134">
        <v>898.04101600000001</v>
      </c>
      <c r="AB134">
        <v>927.21984899999995</v>
      </c>
      <c r="AC134">
        <v>956.89685099999997</v>
      </c>
      <c r="AD134">
        <v>987.09271200000001</v>
      </c>
      <c r="AE134">
        <v>1017.889282</v>
      </c>
      <c r="AF134">
        <v>1049.3405760000001</v>
      </c>
      <c r="AG134" s="144">
        <v>3.7999999999999999E-2</v>
      </c>
    </row>
    <row r="135" spans="1:33">
      <c r="A135" t="s">
        <v>2414</v>
      </c>
      <c r="B135" t="s">
        <v>2611</v>
      </c>
      <c r="C135" t="s">
        <v>2610</v>
      </c>
      <c r="D135" t="s">
        <v>2264</v>
      </c>
      <c r="F135">
        <v>19.404713000000001</v>
      </c>
      <c r="G135">
        <v>19.788975000000001</v>
      </c>
      <c r="H135">
        <v>20.873276000000001</v>
      </c>
      <c r="I135">
        <v>21.976696</v>
      </c>
      <c r="J135">
        <v>23.092759999999998</v>
      </c>
      <c r="K135">
        <v>24.224088999999999</v>
      </c>
      <c r="L135">
        <v>25.384011999999998</v>
      </c>
      <c r="M135">
        <v>26.579287000000001</v>
      </c>
      <c r="N135">
        <v>27.809414</v>
      </c>
      <c r="O135">
        <v>29.069336</v>
      </c>
      <c r="P135">
        <v>30.353580000000001</v>
      </c>
      <c r="Q135">
        <v>31.657667</v>
      </c>
      <c r="R135">
        <v>32.982655000000001</v>
      </c>
      <c r="S135">
        <v>34.322803</v>
      </c>
      <c r="T135">
        <v>35.699669</v>
      </c>
      <c r="U135">
        <v>37.114628000000003</v>
      </c>
      <c r="V135">
        <v>38.565818999999998</v>
      </c>
      <c r="W135">
        <v>40.048682999999997</v>
      </c>
      <c r="X135">
        <v>41.566322</v>
      </c>
      <c r="Y135">
        <v>43.117618999999998</v>
      </c>
      <c r="Z135">
        <v>44.700637999999998</v>
      </c>
      <c r="AA135">
        <v>46.314148000000003</v>
      </c>
      <c r="AB135">
        <v>47.954796000000002</v>
      </c>
      <c r="AC135">
        <v>49.618160000000003</v>
      </c>
      <c r="AD135">
        <v>51.306609999999999</v>
      </c>
      <c r="AE135">
        <v>53.024906000000001</v>
      </c>
      <c r="AF135">
        <v>54.781039999999997</v>
      </c>
      <c r="AG135" s="144">
        <v>4.1000000000000002E-2</v>
      </c>
    </row>
    <row r="136" spans="1:33">
      <c r="A136" t="s">
        <v>2374</v>
      </c>
      <c r="B136" t="s">
        <v>2609</v>
      </c>
      <c r="C136" t="s">
        <v>2608</v>
      </c>
      <c r="D136" t="s">
        <v>2264</v>
      </c>
      <c r="F136">
        <v>446.17581200000001</v>
      </c>
      <c r="G136">
        <v>466.72500600000001</v>
      </c>
      <c r="H136">
        <v>489.19940200000002</v>
      </c>
      <c r="I136">
        <v>511.097351</v>
      </c>
      <c r="J136">
        <v>533.08056599999998</v>
      </c>
      <c r="K136">
        <v>555.45568800000001</v>
      </c>
      <c r="L136">
        <v>578.23632799999996</v>
      </c>
      <c r="M136">
        <v>601.59436000000005</v>
      </c>
      <c r="N136">
        <v>625.56756600000006</v>
      </c>
      <c r="O136">
        <v>650.191956</v>
      </c>
      <c r="P136">
        <v>675.50469999999996</v>
      </c>
      <c r="Q136">
        <v>701.57244900000001</v>
      </c>
      <c r="R136">
        <v>728.44329800000003</v>
      </c>
      <c r="S136">
        <v>756.15301499999998</v>
      </c>
      <c r="T136">
        <v>784.70404099999996</v>
      </c>
      <c r="U136">
        <v>814.128784</v>
      </c>
      <c r="V136">
        <v>844.48840299999995</v>
      </c>
      <c r="W136">
        <v>875.75836200000003</v>
      </c>
      <c r="X136">
        <v>907.96075399999995</v>
      </c>
      <c r="Y136">
        <v>941.11724900000002</v>
      </c>
      <c r="Z136">
        <v>975.25640899999996</v>
      </c>
      <c r="AA136">
        <v>1010.43396</v>
      </c>
      <c r="AB136">
        <v>1046.6088870000001</v>
      </c>
      <c r="AC136">
        <v>1083.8360600000001</v>
      </c>
      <c r="AD136">
        <v>1122.2025149999999</v>
      </c>
      <c r="AE136">
        <v>1161.7468260000001</v>
      </c>
      <c r="AF136">
        <v>1202.4589840000001</v>
      </c>
      <c r="AG136" s="144">
        <v>3.9E-2</v>
      </c>
    </row>
    <row r="137" spans="1:33">
      <c r="A137" t="s">
        <v>2420</v>
      </c>
      <c r="B137" t="s">
        <v>2607</v>
      </c>
      <c r="C137" t="s">
        <v>2606</v>
      </c>
      <c r="D137" t="s">
        <v>2264</v>
      </c>
      <c r="F137">
        <v>139.67271400000001</v>
      </c>
      <c r="G137">
        <v>145.97792100000001</v>
      </c>
      <c r="H137">
        <v>153.70373499999999</v>
      </c>
      <c r="I137">
        <v>160.77865600000001</v>
      </c>
      <c r="J137">
        <v>167.74844400000001</v>
      </c>
      <c r="K137">
        <v>174.78280599999999</v>
      </c>
      <c r="L137">
        <v>181.87915000000001</v>
      </c>
      <c r="M137">
        <v>189.12948600000001</v>
      </c>
      <c r="N137">
        <v>196.50741600000001</v>
      </c>
      <c r="O137">
        <v>204.032318</v>
      </c>
      <c r="P137">
        <v>211.71987899999999</v>
      </c>
      <c r="Q137">
        <v>219.60841400000001</v>
      </c>
      <c r="R137">
        <v>227.71388200000001</v>
      </c>
      <c r="S137">
        <v>236.048553</v>
      </c>
      <c r="T137">
        <v>244.60992400000001</v>
      </c>
      <c r="U137">
        <v>253.39781199999999</v>
      </c>
      <c r="V137">
        <v>262.439728</v>
      </c>
      <c r="W137">
        <v>271.73779300000001</v>
      </c>
      <c r="X137">
        <v>281.306061</v>
      </c>
      <c r="Y137">
        <v>291.14968900000002</v>
      </c>
      <c r="Z137">
        <v>301.27151500000002</v>
      </c>
      <c r="AA137">
        <v>311.68170199999997</v>
      </c>
      <c r="AB137">
        <v>322.370026</v>
      </c>
      <c r="AC137">
        <v>333.36138899999997</v>
      </c>
      <c r="AD137">
        <v>344.675995</v>
      </c>
      <c r="AE137">
        <v>356.326752</v>
      </c>
      <c r="AF137">
        <v>368.31726099999997</v>
      </c>
      <c r="AG137" s="144">
        <v>3.7999999999999999E-2</v>
      </c>
    </row>
    <row r="138" spans="1:33">
      <c r="A138" t="s">
        <v>2417</v>
      </c>
      <c r="B138" t="s">
        <v>2605</v>
      </c>
      <c r="C138" t="s">
        <v>2604</v>
      </c>
      <c r="D138" t="s">
        <v>2264</v>
      </c>
      <c r="F138">
        <v>303.31839000000002</v>
      </c>
      <c r="G138">
        <v>317.42691000000002</v>
      </c>
      <c r="H138">
        <v>331.95461999999998</v>
      </c>
      <c r="I138">
        <v>346.602081</v>
      </c>
      <c r="J138">
        <v>361.45092799999998</v>
      </c>
      <c r="K138">
        <v>376.62933299999997</v>
      </c>
      <c r="L138">
        <v>392.15405299999998</v>
      </c>
      <c r="M138">
        <v>408.10046399999999</v>
      </c>
      <c r="N138">
        <v>424.535706</v>
      </c>
      <c r="O138">
        <v>441.47549400000003</v>
      </c>
      <c r="P138">
        <v>458.94073500000002</v>
      </c>
      <c r="Q138">
        <v>476.95773300000002</v>
      </c>
      <c r="R138">
        <v>495.55810500000001</v>
      </c>
      <c r="S138">
        <v>514.76513699999998</v>
      </c>
      <c r="T138">
        <v>534.58392300000003</v>
      </c>
      <c r="U138">
        <v>555.04779099999996</v>
      </c>
      <c r="V138">
        <v>576.18933100000004</v>
      </c>
      <c r="W138">
        <v>597.98101799999995</v>
      </c>
      <c r="X138">
        <v>620.430115</v>
      </c>
      <c r="Y138">
        <v>643.553223</v>
      </c>
      <c r="Z138">
        <v>667.37658699999997</v>
      </c>
      <c r="AA138">
        <v>691.94537400000002</v>
      </c>
      <c r="AB138">
        <v>717.22949200000005</v>
      </c>
      <c r="AC138">
        <v>743.25756799999999</v>
      </c>
      <c r="AD138">
        <v>770.096497</v>
      </c>
      <c r="AE138">
        <v>797.77172900000005</v>
      </c>
      <c r="AF138">
        <v>826.26873799999998</v>
      </c>
      <c r="AG138" s="144">
        <v>3.9E-2</v>
      </c>
    </row>
    <row r="139" spans="1:33">
      <c r="A139" t="s">
        <v>2414</v>
      </c>
      <c r="B139" t="s">
        <v>2603</v>
      </c>
      <c r="C139" t="s">
        <v>2602</v>
      </c>
      <c r="D139" t="s">
        <v>2264</v>
      </c>
      <c r="F139">
        <v>3.1846800000000002</v>
      </c>
      <c r="G139">
        <v>3.3201779999999999</v>
      </c>
      <c r="H139">
        <v>3.5410490000000001</v>
      </c>
      <c r="I139">
        <v>3.7166079999999999</v>
      </c>
      <c r="J139">
        <v>3.8812289999999998</v>
      </c>
      <c r="K139">
        <v>4.0435610000000004</v>
      </c>
      <c r="L139">
        <v>4.2031000000000001</v>
      </c>
      <c r="M139">
        <v>4.3644129999999999</v>
      </c>
      <c r="N139">
        <v>4.5244280000000003</v>
      </c>
      <c r="O139">
        <v>4.6841090000000003</v>
      </c>
      <c r="P139">
        <v>4.8440789999999998</v>
      </c>
      <c r="Q139">
        <v>5.0063389999999997</v>
      </c>
      <c r="R139">
        <v>5.1713100000000001</v>
      </c>
      <c r="S139">
        <v>5.3393459999999999</v>
      </c>
      <c r="T139">
        <v>5.5101769999999997</v>
      </c>
      <c r="U139">
        <v>5.683128</v>
      </c>
      <c r="V139">
        <v>5.8593679999999999</v>
      </c>
      <c r="W139">
        <v>6.0395810000000001</v>
      </c>
      <c r="X139">
        <v>6.2245530000000002</v>
      </c>
      <c r="Y139">
        <v>6.4142890000000001</v>
      </c>
      <c r="Z139">
        <v>6.6084639999999997</v>
      </c>
      <c r="AA139">
        <v>6.8068379999999999</v>
      </c>
      <c r="AB139">
        <v>7.0093459999999999</v>
      </c>
      <c r="AC139">
        <v>7.2170560000000004</v>
      </c>
      <c r="AD139">
        <v>7.4299720000000002</v>
      </c>
      <c r="AE139">
        <v>7.6484399999999999</v>
      </c>
      <c r="AF139">
        <v>7.872986</v>
      </c>
      <c r="AG139" s="144">
        <v>3.5000000000000003E-2</v>
      </c>
    </row>
    <row r="140" spans="1:33">
      <c r="A140" t="s">
        <v>197</v>
      </c>
      <c r="B140" t="s">
        <v>2601</v>
      </c>
      <c r="C140" t="s">
        <v>2600</v>
      </c>
      <c r="D140" t="s">
        <v>2264</v>
      </c>
      <c r="F140">
        <v>225.09278900000001</v>
      </c>
      <c r="G140">
        <v>234.120102</v>
      </c>
      <c r="H140">
        <v>245.91430700000001</v>
      </c>
      <c r="I140">
        <v>257.19220000000001</v>
      </c>
      <c r="J140">
        <v>268.65457199999997</v>
      </c>
      <c r="K140">
        <v>280.36849999999998</v>
      </c>
      <c r="L140">
        <v>292.463348</v>
      </c>
      <c r="M140">
        <v>304.98327599999999</v>
      </c>
      <c r="N140">
        <v>317.80999800000001</v>
      </c>
      <c r="O140">
        <v>330.96167000000003</v>
      </c>
      <c r="P140">
        <v>344.48855600000002</v>
      </c>
      <c r="Q140">
        <v>358.41073599999999</v>
      </c>
      <c r="R140">
        <v>372.76129200000003</v>
      </c>
      <c r="S140">
        <v>387.53118899999998</v>
      </c>
      <c r="T140">
        <v>402.71044899999998</v>
      </c>
      <c r="U140">
        <v>418.30813599999999</v>
      </c>
      <c r="V140">
        <v>434.32543900000002</v>
      </c>
      <c r="W140">
        <v>450.77975500000002</v>
      </c>
      <c r="X140">
        <v>467.66839599999997</v>
      </c>
      <c r="Y140">
        <v>485.00405899999998</v>
      </c>
      <c r="Z140">
        <v>502.802277</v>
      </c>
      <c r="AA140">
        <v>521.06945800000005</v>
      </c>
      <c r="AB140">
        <v>539.80938700000002</v>
      </c>
      <c r="AC140">
        <v>559.02423099999999</v>
      </c>
      <c r="AD140">
        <v>578.71667500000001</v>
      </c>
      <c r="AE140">
        <v>598.88751200000002</v>
      </c>
      <c r="AF140">
        <v>619.54077099999995</v>
      </c>
      <c r="AG140" s="144">
        <v>0.04</v>
      </c>
    </row>
    <row r="141" spans="1:33">
      <c r="A141" t="s">
        <v>2420</v>
      </c>
      <c r="B141" t="s">
        <v>2599</v>
      </c>
      <c r="C141" t="s">
        <v>2598</v>
      </c>
      <c r="D141" t="s">
        <v>2264</v>
      </c>
      <c r="F141">
        <v>86.946799999999996</v>
      </c>
      <c r="G141">
        <v>90.630065999999999</v>
      </c>
      <c r="H141">
        <v>95.233283999999998</v>
      </c>
      <c r="I141">
        <v>99.655608999999998</v>
      </c>
      <c r="J141">
        <v>104.159325</v>
      </c>
      <c r="K141">
        <v>108.770065</v>
      </c>
      <c r="L141">
        <v>113.536705</v>
      </c>
      <c r="M141">
        <v>118.47635699999999</v>
      </c>
      <c r="N141">
        <v>123.545029</v>
      </c>
      <c r="O141">
        <v>128.749863</v>
      </c>
      <c r="P141">
        <v>134.11024499999999</v>
      </c>
      <c r="Q141">
        <v>139.63436899999999</v>
      </c>
      <c r="R141">
        <v>145.33505199999999</v>
      </c>
      <c r="S141">
        <v>151.20924400000001</v>
      </c>
      <c r="T141">
        <v>157.25379899999999</v>
      </c>
      <c r="U141">
        <v>163.472748</v>
      </c>
      <c r="V141">
        <v>169.86566199999999</v>
      </c>
      <c r="W141">
        <v>176.44023100000001</v>
      </c>
      <c r="X141">
        <v>183.19603000000001</v>
      </c>
      <c r="Y141">
        <v>190.13841199999999</v>
      </c>
      <c r="Z141">
        <v>197.273788</v>
      </c>
      <c r="AA141">
        <v>204.60498000000001</v>
      </c>
      <c r="AB141">
        <v>212.134109</v>
      </c>
      <c r="AC141">
        <v>219.862762</v>
      </c>
      <c r="AD141">
        <v>227.79255699999999</v>
      </c>
      <c r="AE141">
        <v>235.92416399999999</v>
      </c>
      <c r="AF141">
        <v>244.25971999999999</v>
      </c>
      <c r="AG141" s="144">
        <v>4.1000000000000002E-2</v>
      </c>
    </row>
    <row r="142" spans="1:33">
      <c r="A142" t="s">
        <v>2417</v>
      </c>
      <c r="B142" t="s">
        <v>2597</v>
      </c>
      <c r="C142" t="s">
        <v>2596</v>
      </c>
      <c r="D142" t="s">
        <v>2264</v>
      </c>
      <c r="F142">
        <v>131.31431599999999</v>
      </c>
      <c r="G142">
        <v>136.33462499999999</v>
      </c>
      <c r="H142">
        <v>143.155609</v>
      </c>
      <c r="I142">
        <v>149.65213</v>
      </c>
      <c r="J142">
        <v>156.243561</v>
      </c>
      <c r="K142">
        <v>162.96942100000001</v>
      </c>
      <c r="L142">
        <v>169.906509</v>
      </c>
      <c r="M142">
        <v>177.08050499999999</v>
      </c>
      <c r="N142">
        <v>184.420334</v>
      </c>
      <c r="O142">
        <v>191.936386</v>
      </c>
      <c r="P142">
        <v>199.65799000000001</v>
      </c>
      <c r="Q142">
        <v>207.59639000000001</v>
      </c>
      <c r="R142">
        <v>215.770782</v>
      </c>
      <c r="S142">
        <v>224.175308</v>
      </c>
      <c r="T142">
        <v>232.803314</v>
      </c>
      <c r="U142">
        <v>241.65943899999999</v>
      </c>
      <c r="V142">
        <v>250.745499</v>
      </c>
      <c r="W142">
        <v>260.07034299999998</v>
      </c>
      <c r="X142">
        <v>269.63171399999999</v>
      </c>
      <c r="Y142">
        <v>279.43637100000001</v>
      </c>
      <c r="Z142">
        <v>289.49298099999999</v>
      </c>
      <c r="AA142">
        <v>299.80471799999998</v>
      </c>
      <c r="AB142">
        <v>310.373108</v>
      </c>
      <c r="AC142">
        <v>321.19833399999999</v>
      </c>
      <c r="AD142">
        <v>332.28131100000002</v>
      </c>
      <c r="AE142">
        <v>343.62204000000003</v>
      </c>
      <c r="AF142">
        <v>355.22219799999999</v>
      </c>
      <c r="AG142" s="144">
        <v>3.9E-2</v>
      </c>
    </row>
    <row r="143" spans="1:33">
      <c r="A143" t="s">
        <v>2414</v>
      </c>
      <c r="B143" t="s">
        <v>2595</v>
      </c>
      <c r="C143" t="s">
        <v>2594</v>
      </c>
      <c r="D143" t="s">
        <v>2264</v>
      </c>
      <c r="F143">
        <v>6.8316489999999996</v>
      </c>
      <c r="G143">
        <v>7.1554260000000003</v>
      </c>
      <c r="H143">
        <v>7.5254260000000004</v>
      </c>
      <c r="I143">
        <v>7.8844609999999999</v>
      </c>
      <c r="J143">
        <v>8.2516630000000006</v>
      </c>
      <c r="K143">
        <v>8.6290010000000006</v>
      </c>
      <c r="L143">
        <v>9.0201209999999996</v>
      </c>
      <c r="M143">
        <v>9.4263840000000005</v>
      </c>
      <c r="N143">
        <v>9.8446230000000003</v>
      </c>
      <c r="O143">
        <v>10.27542</v>
      </c>
      <c r="P143">
        <v>10.720305</v>
      </c>
      <c r="Q143">
        <v>11.17999</v>
      </c>
      <c r="R143">
        <v>11.655481999999999</v>
      </c>
      <c r="S143">
        <v>12.146635</v>
      </c>
      <c r="T143">
        <v>12.653316999999999</v>
      </c>
      <c r="U143">
        <v>13.175935000000001</v>
      </c>
      <c r="V143">
        <v>13.714297999999999</v>
      </c>
      <c r="W143">
        <v>14.269194000000001</v>
      </c>
      <c r="X143">
        <v>14.840680000000001</v>
      </c>
      <c r="Y143">
        <v>15.429266</v>
      </c>
      <c r="Z143">
        <v>16.035523999999999</v>
      </c>
      <c r="AA143">
        <v>16.659738999999998</v>
      </c>
      <c r="AB143">
        <v>17.302185000000001</v>
      </c>
      <c r="AC143">
        <v>17.963128999999999</v>
      </c>
      <c r="AD143">
        <v>18.642796000000001</v>
      </c>
      <c r="AE143">
        <v>19.341294999999999</v>
      </c>
      <c r="AF143">
        <v>20.058904999999999</v>
      </c>
      <c r="AG143" s="144">
        <v>4.2000000000000003E-2</v>
      </c>
    </row>
    <row r="144" spans="1:33">
      <c r="A144" t="s">
        <v>2369</v>
      </c>
      <c r="B144" t="s">
        <v>2593</v>
      </c>
      <c r="C144" t="s">
        <v>2592</v>
      </c>
      <c r="D144" t="s">
        <v>2264</v>
      </c>
      <c r="F144">
        <v>136.51760899999999</v>
      </c>
      <c r="G144">
        <v>132.90751599999999</v>
      </c>
      <c r="H144">
        <v>135.17517100000001</v>
      </c>
      <c r="I144">
        <v>138.185699</v>
      </c>
      <c r="J144">
        <v>141.49491900000001</v>
      </c>
      <c r="K144">
        <v>144.74092099999999</v>
      </c>
      <c r="L144">
        <v>147.92227199999999</v>
      </c>
      <c r="M144">
        <v>151.05413799999999</v>
      </c>
      <c r="N144">
        <v>154.14518699999999</v>
      </c>
      <c r="O144">
        <v>157.19809000000001</v>
      </c>
      <c r="P144">
        <v>160.20971700000001</v>
      </c>
      <c r="Q144">
        <v>163.177032</v>
      </c>
      <c r="R144">
        <v>166.097824</v>
      </c>
      <c r="S144">
        <v>168.97027600000001</v>
      </c>
      <c r="T144">
        <v>171.79118299999999</v>
      </c>
      <c r="U144">
        <v>174.556625</v>
      </c>
      <c r="V144">
        <v>177.25761399999999</v>
      </c>
      <c r="W144">
        <v>179.89335600000001</v>
      </c>
      <c r="X144">
        <v>182.461105</v>
      </c>
      <c r="Y144">
        <v>184.95674099999999</v>
      </c>
      <c r="Z144">
        <v>187.37617499999999</v>
      </c>
      <c r="AA144">
        <v>189.71572900000001</v>
      </c>
      <c r="AB144">
        <v>191.971497</v>
      </c>
      <c r="AC144">
        <v>194.13931299999999</v>
      </c>
      <c r="AD144">
        <v>196.21594200000001</v>
      </c>
      <c r="AE144">
        <v>198.19818100000001</v>
      </c>
      <c r="AF144">
        <v>200.082367</v>
      </c>
      <c r="AG144" s="144">
        <v>1.4999999999999999E-2</v>
      </c>
    </row>
    <row r="145" spans="1:33">
      <c r="A145" t="s">
        <v>2420</v>
      </c>
      <c r="B145" t="s">
        <v>2591</v>
      </c>
      <c r="C145" t="s">
        <v>2590</v>
      </c>
      <c r="D145" t="s">
        <v>2264</v>
      </c>
      <c r="F145">
        <v>73.535843</v>
      </c>
      <c r="G145">
        <v>73.544578999999999</v>
      </c>
      <c r="H145">
        <v>74.746375999999998</v>
      </c>
      <c r="I145">
        <v>76.298858999999993</v>
      </c>
      <c r="J145">
        <v>77.992378000000002</v>
      </c>
      <c r="K145">
        <v>79.656868000000003</v>
      </c>
      <c r="L145">
        <v>81.291740000000004</v>
      </c>
      <c r="M145">
        <v>82.904015000000001</v>
      </c>
      <c r="N145">
        <v>84.497619999999998</v>
      </c>
      <c r="O145">
        <v>86.073768999999999</v>
      </c>
      <c r="P145">
        <v>87.630973999999995</v>
      </c>
      <c r="Q145">
        <v>89.167770000000004</v>
      </c>
      <c r="R145">
        <v>90.682998999999995</v>
      </c>
      <c r="S145">
        <v>92.175765999999996</v>
      </c>
      <c r="T145">
        <v>93.644478000000007</v>
      </c>
      <c r="U145">
        <v>95.087112000000005</v>
      </c>
      <c r="V145">
        <v>96.497742000000002</v>
      </c>
      <c r="W145">
        <v>97.876579000000007</v>
      </c>
      <c r="X145">
        <v>99.221748000000005</v>
      </c>
      <c r="Y145">
        <v>100.53138</v>
      </c>
      <c r="Z145">
        <v>101.803673</v>
      </c>
      <c r="AA145">
        <v>103.036743</v>
      </c>
      <c r="AB145">
        <v>104.228966</v>
      </c>
      <c r="AC145">
        <v>105.378471</v>
      </c>
      <c r="AD145">
        <v>106.48362</v>
      </c>
      <c r="AE145">
        <v>107.54274700000001</v>
      </c>
      <c r="AF145">
        <v>108.554413</v>
      </c>
      <c r="AG145" s="144">
        <v>1.4999999999999999E-2</v>
      </c>
    </row>
    <row r="146" spans="1:33">
      <c r="A146" t="s">
        <v>2417</v>
      </c>
      <c r="B146" t="s">
        <v>2589</v>
      </c>
      <c r="C146" t="s">
        <v>2588</v>
      </c>
      <c r="D146" t="s">
        <v>2264</v>
      </c>
      <c r="F146">
        <v>56.117828000000003</v>
      </c>
      <c r="G146">
        <v>52.431319999999999</v>
      </c>
      <c r="H146">
        <v>53.385646999999999</v>
      </c>
      <c r="I146">
        <v>54.701168000000003</v>
      </c>
      <c r="J146">
        <v>56.161845999999997</v>
      </c>
      <c r="K146">
        <v>57.590857999999997</v>
      </c>
      <c r="L146">
        <v>58.987414999999999</v>
      </c>
      <c r="M146">
        <v>60.359070000000003</v>
      </c>
      <c r="N146">
        <v>61.710236000000002</v>
      </c>
      <c r="O146">
        <v>63.042191000000003</v>
      </c>
      <c r="P146">
        <v>64.353493</v>
      </c>
      <c r="Q146">
        <v>65.642677000000006</v>
      </c>
      <c r="R146">
        <v>66.908798000000004</v>
      </c>
      <c r="S146">
        <v>68.151024000000007</v>
      </c>
      <c r="T146">
        <v>69.367867000000004</v>
      </c>
      <c r="U146">
        <v>70.557602000000003</v>
      </c>
      <c r="V146">
        <v>71.717819000000006</v>
      </c>
      <c r="W146">
        <v>72.847412000000006</v>
      </c>
      <c r="X146">
        <v>73.945746999999997</v>
      </c>
      <c r="Y146">
        <v>75.010658000000006</v>
      </c>
      <c r="Z146">
        <v>76.040122999999994</v>
      </c>
      <c r="AA146">
        <v>77.032448000000002</v>
      </c>
      <c r="AB146">
        <v>77.985480999999993</v>
      </c>
      <c r="AC146">
        <v>78.897125000000003</v>
      </c>
      <c r="AD146">
        <v>79.765906999999999</v>
      </c>
      <c r="AE146">
        <v>80.590468999999999</v>
      </c>
      <c r="AF146">
        <v>81.368660000000006</v>
      </c>
      <c r="AG146" s="144">
        <v>1.4E-2</v>
      </c>
    </row>
    <row r="147" spans="1:33">
      <c r="A147" t="s">
        <v>2414</v>
      </c>
      <c r="B147" t="s">
        <v>2587</v>
      </c>
      <c r="C147" t="s">
        <v>2586</v>
      </c>
      <c r="D147" t="s">
        <v>2264</v>
      </c>
      <c r="F147">
        <v>6.8639380000000001</v>
      </c>
      <c r="G147">
        <v>6.9316319999999996</v>
      </c>
      <c r="H147">
        <v>7.0431350000000004</v>
      </c>
      <c r="I147">
        <v>7.1856780000000002</v>
      </c>
      <c r="J147">
        <v>7.3407049999999998</v>
      </c>
      <c r="K147">
        <v>7.4931970000000003</v>
      </c>
      <c r="L147">
        <v>7.6431019999999998</v>
      </c>
      <c r="M147">
        <v>7.7910360000000001</v>
      </c>
      <c r="N147">
        <v>7.9373389999999997</v>
      </c>
      <c r="O147">
        <v>8.0821199999999997</v>
      </c>
      <c r="P147">
        <v>8.2252460000000003</v>
      </c>
      <c r="Q147">
        <v>8.3665850000000006</v>
      </c>
      <c r="R147">
        <v>8.5060300000000009</v>
      </c>
      <c r="S147">
        <v>8.6435010000000005</v>
      </c>
      <c r="T147">
        <v>8.7788540000000008</v>
      </c>
      <c r="U147">
        <v>8.9119030000000006</v>
      </c>
      <c r="V147">
        <v>9.0420590000000001</v>
      </c>
      <c r="W147">
        <v>9.169359</v>
      </c>
      <c r="X147">
        <v>9.2936189999999996</v>
      </c>
      <c r="Y147">
        <v>9.4146780000000003</v>
      </c>
      <c r="Z147">
        <v>9.5323740000000008</v>
      </c>
      <c r="AA147">
        <v>9.6465409999999991</v>
      </c>
      <c r="AB147">
        <v>9.7570429999999995</v>
      </c>
      <c r="AC147">
        <v>9.8637160000000002</v>
      </c>
      <c r="AD147">
        <v>9.9664129999999993</v>
      </c>
      <c r="AE147">
        <v>10.064977000000001</v>
      </c>
      <c r="AF147">
        <v>10.159297</v>
      </c>
      <c r="AG147" s="144">
        <v>1.4999999999999999E-2</v>
      </c>
    </row>
    <row r="148" spans="1:33">
      <c r="A148" t="s">
        <v>2366</v>
      </c>
      <c r="B148" t="s">
        <v>2585</v>
      </c>
      <c r="C148" t="s">
        <v>2584</v>
      </c>
      <c r="D148" t="s">
        <v>2264</v>
      </c>
      <c r="F148">
        <v>225.72833299999999</v>
      </c>
      <c r="G148">
        <v>225.805969</v>
      </c>
      <c r="H148">
        <v>233.132431</v>
      </c>
      <c r="I148">
        <v>240.441833</v>
      </c>
      <c r="J148">
        <v>247.70794699999999</v>
      </c>
      <c r="K148">
        <v>255.044556</v>
      </c>
      <c r="L148">
        <v>262.49648999999999</v>
      </c>
      <c r="M148">
        <v>270.07488999999998</v>
      </c>
      <c r="N148">
        <v>277.786835</v>
      </c>
      <c r="O148">
        <v>285.63098100000002</v>
      </c>
      <c r="P148">
        <v>293.60537699999998</v>
      </c>
      <c r="Q148">
        <v>301.70101899999997</v>
      </c>
      <c r="R148">
        <v>309.91436800000002</v>
      </c>
      <c r="S148">
        <v>318.25787400000002</v>
      </c>
      <c r="T148">
        <v>326.73956299999998</v>
      </c>
      <c r="U148">
        <v>335.36563100000001</v>
      </c>
      <c r="V148">
        <v>344.12753300000003</v>
      </c>
      <c r="W148">
        <v>353.02172899999999</v>
      </c>
      <c r="X148">
        <v>362.050659</v>
      </c>
      <c r="Y148">
        <v>371.21697999999998</v>
      </c>
      <c r="Z148">
        <v>380.51953099999997</v>
      </c>
      <c r="AA148">
        <v>389.95986900000003</v>
      </c>
      <c r="AB148">
        <v>399.53704800000003</v>
      </c>
      <c r="AC148">
        <v>409.24920700000001</v>
      </c>
      <c r="AD148">
        <v>419.094696</v>
      </c>
      <c r="AE148">
        <v>429.073486</v>
      </c>
      <c r="AF148">
        <v>439.19454999999999</v>
      </c>
      <c r="AG148" s="144">
        <v>2.5999999999999999E-2</v>
      </c>
    </row>
    <row r="149" spans="1:33">
      <c r="A149" t="s">
        <v>2420</v>
      </c>
      <c r="B149" t="s">
        <v>2583</v>
      </c>
      <c r="C149" t="s">
        <v>2582</v>
      </c>
      <c r="D149" t="s">
        <v>2264</v>
      </c>
      <c r="F149">
        <v>136.104874</v>
      </c>
      <c r="G149">
        <v>136.98419200000001</v>
      </c>
      <c r="H149">
        <v>141.36958300000001</v>
      </c>
      <c r="I149">
        <v>145.71807899999999</v>
      </c>
      <c r="J149">
        <v>150.010696</v>
      </c>
      <c r="K149">
        <v>154.32934599999999</v>
      </c>
      <c r="L149">
        <v>158.70533800000001</v>
      </c>
      <c r="M149">
        <v>163.14634699999999</v>
      </c>
      <c r="N149">
        <v>167.65725699999999</v>
      </c>
      <c r="O149">
        <v>172.23699999999999</v>
      </c>
      <c r="P149">
        <v>176.883408</v>
      </c>
      <c r="Q149">
        <v>181.59030200000001</v>
      </c>
      <c r="R149">
        <v>186.35574299999999</v>
      </c>
      <c r="S149">
        <v>191.188705</v>
      </c>
      <c r="T149">
        <v>196.09399400000001</v>
      </c>
      <c r="U149">
        <v>201.075714</v>
      </c>
      <c r="V149">
        <v>206.128433</v>
      </c>
      <c r="W149">
        <v>211.24964900000001</v>
      </c>
      <c r="X149">
        <v>216.440338</v>
      </c>
      <c r="Y149">
        <v>221.70225500000001</v>
      </c>
      <c r="Z149">
        <v>227.03434799999999</v>
      </c>
      <c r="AA149">
        <v>232.43708799999999</v>
      </c>
      <c r="AB149">
        <v>237.909561</v>
      </c>
      <c r="AC149">
        <v>243.44949299999999</v>
      </c>
      <c r="AD149">
        <v>249.05564899999999</v>
      </c>
      <c r="AE149">
        <v>254.72860700000001</v>
      </c>
      <c r="AF149">
        <v>260.47341899999998</v>
      </c>
      <c r="AG149" s="144">
        <v>2.5000000000000001E-2</v>
      </c>
    </row>
    <row r="150" spans="1:33">
      <c r="A150" t="s">
        <v>2417</v>
      </c>
      <c r="B150" t="s">
        <v>2581</v>
      </c>
      <c r="C150" t="s">
        <v>2580</v>
      </c>
      <c r="D150" t="s">
        <v>2264</v>
      </c>
      <c r="F150">
        <v>83.166152999999994</v>
      </c>
      <c r="G150">
        <v>82.253112999999999</v>
      </c>
      <c r="H150">
        <v>84.988822999999996</v>
      </c>
      <c r="I150">
        <v>87.748328999999998</v>
      </c>
      <c r="J150">
        <v>90.525581000000003</v>
      </c>
      <c r="K150">
        <v>93.347426999999996</v>
      </c>
      <c r="L150">
        <v>96.225555</v>
      </c>
      <c r="M150">
        <v>99.163032999999999</v>
      </c>
      <c r="N150">
        <v>102.161697</v>
      </c>
      <c r="O150">
        <v>105.221329</v>
      </c>
      <c r="P150">
        <v>108.342422</v>
      </c>
      <c r="Q150">
        <v>111.522491</v>
      </c>
      <c r="R150">
        <v>114.759911</v>
      </c>
      <c r="S150">
        <v>118.057693</v>
      </c>
      <c r="T150">
        <v>121.418846</v>
      </c>
      <c r="U150">
        <v>124.845184</v>
      </c>
      <c r="V150">
        <v>128.333923</v>
      </c>
      <c r="W150">
        <v>131.88415499999999</v>
      </c>
      <c r="X150">
        <v>135.49733000000001</v>
      </c>
      <c r="Y150">
        <v>139.174286</v>
      </c>
      <c r="Z150">
        <v>142.91493199999999</v>
      </c>
      <c r="AA150">
        <v>146.72044399999999</v>
      </c>
      <c r="AB150">
        <v>150.59080499999999</v>
      </c>
      <c r="AC150">
        <v>154.526611</v>
      </c>
      <c r="AD150">
        <v>158.52757299999999</v>
      </c>
      <c r="AE150">
        <v>162.59309400000001</v>
      </c>
      <c r="AF150">
        <v>166.72673</v>
      </c>
      <c r="AG150" s="144">
        <v>2.7E-2</v>
      </c>
    </row>
    <row r="151" spans="1:33">
      <c r="A151" t="s">
        <v>2414</v>
      </c>
      <c r="B151" t="s">
        <v>2579</v>
      </c>
      <c r="C151" t="s">
        <v>2578</v>
      </c>
      <c r="D151" t="s">
        <v>2264</v>
      </c>
      <c r="F151">
        <v>6.4572950000000002</v>
      </c>
      <c r="G151">
        <v>6.5686640000000001</v>
      </c>
      <c r="H151">
        <v>6.7740309999999999</v>
      </c>
      <c r="I151">
        <v>6.975422</v>
      </c>
      <c r="J151">
        <v>7.1716699999999998</v>
      </c>
      <c r="K151">
        <v>7.3677760000000001</v>
      </c>
      <c r="L151">
        <v>7.5655809999999999</v>
      </c>
      <c r="M151">
        <v>7.7655289999999999</v>
      </c>
      <c r="N151">
        <v>7.9679070000000003</v>
      </c>
      <c r="O151">
        <v>8.1726430000000008</v>
      </c>
      <c r="P151">
        <v>8.3795439999999992</v>
      </c>
      <c r="Q151">
        <v>8.58826</v>
      </c>
      <c r="R151">
        <v>8.7987169999999999</v>
      </c>
      <c r="S151">
        <v>9.0114579999999993</v>
      </c>
      <c r="T151">
        <v>9.2267130000000002</v>
      </c>
      <c r="U151">
        <v>9.4447039999999998</v>
      </c>
      <c r="V151">
        <v>9.6651509999999998</v>
      </c>
      <c r="W151">
        <v>9.8879029999999997</v>
      </c>
      <c r="X151">
        <v>10.112970000000001</v>
      </c>
      <c r="Y151">
        <v>10.340441</v>
      </c>
      <c r="Z151">
        <v>10.570240999999999</v>
      </c>
      <c r="AA151">
        <v>10.802353999999999</v>
      </c>
      <c r="AB151">
        <v>11.036707</v>
      </c>
      <c r="AC151">
        <v>11.273096000000001</v>
      </c>
      <c r="AD151">
        <v>11.511441</v>
      </c>
      <c r="AE151">
        <v>11.751815000000001</v>
      </c>
      <c r="AF151">
        <v>11.994434</v>
      </c>
      <c r="AG151" s="144">
        <v>2.4E-2</v>
      </c>
    </row>
    <row r="152" spans="1:33">
      <c r="A152" t="s">
        <v>2441</v>
      </c>
      <c r="B152" t="s">
        <v>2577</v>
      </c>
      <c r="C152" t="s">
        <v>2576</v>
      </c>
      <c r="D152" t="s">
        <v>2264</v>
      </c>
      <c r="F152">
        <v>7025.9829099999997</v>
      </c>
      <c r="G152">
        <v>7122.2890619999998</v>
      </c>
      <c r="H152">
        <v>7385.1513670000004</v>
      </c>
      <c r="I152">
        <v>7638.9316410000001</v>
      </c>
      <c r="J152">
        <v>7888.4038090000004</v>
      </c>
      <c r="K152">
        <v>8139.5034180000002</v>
      </c>
      <c r="L152">
        <v>8393.6982420000004</v>
      </c>
      <c r="M152">
        <v>8648.4189449999994</v>
      </c>
      <c r="N152">
        <v>8911.9804690000001</v>
      </c>
      <c r="O152">
        <v>9182.3369139999995</v>
      </c>
      <c r="P152">
        <v>9456.4667969999991</v>
      </c>
      <c r="Q152">
        <v>9737.7744139999995</v>
      </c>
      <c r="R152">
        <v>10023.833008</v>
      </c>
      <c r="S152">
        <v>10316.053711</v>
      </c>
      <c r="T152">
        <v>10615.570312</v>
      </c>
      <c r="U152">
        <v>10920.227539</v>
      </c>
      <c r="V152">
        <v>11230.415039</v>
      </c>
      <c r="W152">
        <v>11545.672852</v>
      </c>
      <c r="X152">
        <v>11869.113281</v>
      </c>
      <c r="Y152">
        <v>12196.724609000001</v>
      </c>
      <c r="Z152">
        <v>12526.511719</v>
      </c>
      <c r="AA152">
        <v>12860.004883</v>
      </c>
      <c r="AB152">
        <v>13197.424805000001</v>
      </c>
      <c r="AC152">
        <v>13544.829102</v>
      </c>
      <c r="AD152">
        <v>13899.288086</v>
      </c>
      <c r="AE152">
        <v>14256.965819999999</v>
      </c>
      <c r="AF152">
        <v>14619.044921999999</v>
      </c>
      <c r="AG152" s="144">
        <v>2.9000000000000001E-2</v>
      </c>
    </row>
    <row r="153" spans="1:33">
      <c r="A153" t="s">
        <v>2438</v>
      </c>
      <c r="B153" t="s">
        <v>2575</v>
      </c>
      <c r="C153" t="s">
        <v>2574</v>
      </c>
      <c r="D153" t="s">
        <v>2264</v>
      </c>
      <c r="F153">
        <v>3671.1164549999999</v>
      </c>
      <c r="G153">
        <v>3760.9057619999999</v>
      </c>
      <c r="H153">
        <v>3902.7570799999999</v>
      </c>
      <c r="I153">
        <v>4038.7126459999999</v>
      </c>
      <c r="J153">
        <v>4172.0981449999999</v>
      </c>
      <c r="K153">
        <v>4306.5507809999999</v>
      </c>
      <c r="L153">
        <v>4442.4833980000003</v>
      </c>
      <c r="M153">
        <v>4578.3012699999999</v>
      </c>
      <c r="N153">
        <v>4719.3881840000004</v>
      </c>
      <c r="O153">
        <v>4864.3540039999998</v>
      </c>
      <c r="P153">
        <v>5011.2514650000003</v>
      </c>
      <c r="Q153">
        <v>5162.2978519999997</v>
      </c>
      <c r="R153">
        <v>5315.6669920000004</v>
      </c>
      <c r="S153">
        <v>5472.4252930000002</v>
      </c>
      <c r="T153">
        <v>5633.1777339999999</v>
      </c>
      <c r="U153">
        <v>5796.5327150000003</v>
      </c>
      <c r="V153">
        <v>5962.5322269999997</v>
      </c>
      <c r="W153">
        <v>6130.8696289999998</v>
      </c>
      <c r="X153">
        <v>6303.6796880000002</v>
      </c>
      <c r="Y153">
        <v>6478.3891599999997</v>
      </c>
      <c r="Z153">
        <v>6653.7749020000001</v>
      </c>
      <c r="AA153">
        <v>6830.8759769999997</v>
      </c>
      <c r="AB153">
        <v>7009.7553710000002</v>
      </c>
      <c r="AC153">
        <v>7194.2563479999999</v>
      </c>
      <c r="AD153">
        <v>7382.2973629999997</v>
      </c>
      <c r="AE153">
        <v>7571.2353519999997</v>
      </c>
      <c r="AF153">
        <v>7761.859375</v>
      </c>
      <c r="AG153" s="144">
        <v>2.9000000000000001E-2</v>
      </c>
    </row>
    <row r="154" spans="1:33">
      <c r="A154" t="s">
        <v>2435</v>
      </c>
      <c r="B154" t="s">
        <v>2573</v>
      </c>
      <c r="C154" t="s">
        <v>2572</v>
      </c>
      <c r="D154" t="s">
        <v>2264</v>
      </c>
      <c r="F154">
        <v>3053.2531739999999</v>
      </c>
      <c r="G154">
        <v>3051.999268</v>
      </c>
      <c r="H154">
        <v>3161.788086</v>
      </c>
      <c r="I154">
        <v>3268.7165530000002</v>
      </c>
      <c r="J154">
        <v>3374.0295409999999</v>
      </c>
      <c r="K154">
        <v>3479.6403810000002</v>
      </c>
      <c r="L154">
        <v>3586.7609859999998</v>
      </c>
      <c r="M154">
        <v>3694.5729980000001</v>
      </c>
      <c r="N154">
        <v>3805.4821780000002</v>
      </c>
      <c r="O154">
        <v>3918.9729000000002</v>
      </c>
      <c r="P154">
        <v>4034.1586910000001</v>
      </c>
      <c r="Q154">
        <v>4152.0126950000003</v>
      </c>
      <c r="R154">
        <v>4272.1108400000003</v>
      </c>
      <c r="S154">
        <v>4394.6972660000001</v>
      </c>
      <c r="T154">
        <v>4520.2421880000002</v>
      </c>
      <c r="U154">
        <v>4648.1201170000004</v>
      </c>
      <c r="V154">
        <v>4778.6835940000001</v>
      </c>
      <c r="W154">
        <v>4911.8085940000001</v>
      </c>
      <c r="X154">
        <v>5048.263672</v>
      </c>
      <c r="Y154">
        <v>5186.857422</v>
      </c>
      <c r="Z154">
        <v>5326.935547</v>
      </c>
      <c r="AA154">
        <v>5468.8862300000001</v>
      </c>
      <c r="AB154">
        <v>5612.8662109999996</v>
      </c>
      <c r="AC154">
        <v>5760.7138670000004</v>
      </c>
      <c r="AD154">
        <v>5911.7880859999996</v>
      </c>
      <c r="AE154">
        <v>6065.1552730000003</v>
      </c>
      <c r="AF154">
        <v>6221.1381840000004</v>
      </c>
      <c r="AG154" s="144">
        <v>2.8000000000000001E-2</v>
      </c>
    </row>
    <row r="155" spans="1:33">
      <c r="A155" t="s">
        <v>153</v>
      </c>
      <c r="B155" t="s">
        <v>2571</v>
      </c>
      <c r="C155" t="s">
        <v>2570</v>
      </c>
      <c r="D155" t="s">
        <v>2264</v>
      </c>
      <c r="F155">
        <v>301.61242700000003</v>
      </c>
      <c r="G155">
        <v>309.38445999999999</v>
      </c>
      <c r="H155">
        <v>320.60607900000002</v>
      </c>
      <c r="I155">
        <v>331.50198399999999</v>
      </c>
      <c r="J155">
        <v>342.27648900000003</v>
      </c>
      <c r="K155">
        <v>353.31137100000001</v>
      </c>
      <c r="L155">
        <v>364.45333900000003</v>
      </c>
      <c r="M155">
        <v>375.54480000000001</v>
      </c>
      <c r="N155">
        <v>387.10955799999999</v>
      </c>
      <c r="O155">
        <v>399.00943000000001</v>
      </c>
      <c r="P155">
        <v>411.05587800000001</v>
      </c>
      <c r="Q155">
        <v>423.46508799999998</v>
      </c>
      <c r="R155">
        <v>436.05538899999999</v>
      </c>
      <c r="S155">
        <v>448.93179300000003</v>
      </c>
      <c r="T155">
        <v>462.15035999999998</v>
      </c>
      <c r="U155">
        <v>475.57394399999998</v>
      </c>
      <c r="V155">
        <v>489.19863900000001</v>
      </c>
      <c r="W155">
        <v>502.99496499999998</v>
      </c>
      <c r="X155">
        <v>517.17053199999998</v>
      </c>
      <c r="Y155">
        <v>531.47869900000001</v>
      </c>
      <c r="Z155">
        <v>545.80267300000003</v>
      </c>
      <c r="AA155">
        <v>560.24334699999997</v>
      </c>
      <c r="AB155">
        <v>574.80548099999999</v>
      </c>
      <c r="AC155">
        <v>589.85961899999995</v>
      </c>
      <c r="AD155">
        <v>605.202271</v>
      </c>
      <c r="AE155">
        <v>620.57318099999998</v>
      </c>
      <c r="AF155">
        <v>636.04693599999996</v>
      </c>
      <c r="AG155" s="144">
        <v>2.9000000000000001E-2</v>
      </c>
    </row>
    <row r="156" spans="1:33">
      <c r="A156" t="s">
        <v>947</v>
      </c>
    </row>
    <row r="157" spans="1:33">
      <c r="A157" t="s">
        <v>195</v>
      </c>
      <c r="B157" t="s">
        <v>2569</v>
      </c>
      <c r="C157" t="s">
        <v>2568</v>
      </c>
      <c r="D157" t="s">
        <v>2349</v>
      </c>
      <c r="F157">
        <v>520.62988299999995</v>
      </c>
      <c r="G157">
        <v>433.98046900000003</v>
      </c>
      <c r="H157">
        <v>475.06411700000001</v>
      </c>
      <c r="I157">
        <v>468.64211999999998</v>
      </c>
      <c r="J157">
        <v>444.656677</v>
      </c>
      <c r="K157">
        <v>460.75589000000002</v>
      </c>
      <c r="L157">
        <v>445.53591899999998</v>
      </c>
      <c r="M157">
        <v>423.51995799999997</v>
      </c>
      <c r="N157">
        <v>443.403595</v>
      </c>
      <c r="O157">
        <v>453.90432700000002</v>
      </c>
      <c r="P157">
        <v>449.03823899999998</v>
      </c>
      <c r="Q157">
        <v>463.69042999999999</v>
      </c>
      <c r="R157">
        <v>467.63226300000002</v>
      </c>
      <c r="S157">
        <v>479.00531000000001</v>
      </c>
      <c r="T157">
        <v>493.70745799999997</v>
      </c>
      <c r="U157">
        <v>496.85668900000002</v>
      </c>
      <c r="V157">
        <v>500.33526599999999</v>
      </c>
      <c r="W157">
        <v>501.053406</v>
      </c>
      <c r="X157">
        <v>520.59216300000003</v>
      </c>
      <c r="Y157">
        <v>522.08398399999999</v>
      </c>
      <c r="Z157">
        <v>515.46691899999996</v>
      </c>
      <c r="AA157">
        <v>518.41473399999995</v>
      </c>
      <c r="AB157">
        <v>522.41021699999999</v>
      </c>
      <c r="AC157">
        <v>558.933716</v>
      </c>
      <c r="AD157">
        <v>580.52685499999995</v>
      </c>
      <c r="AE157">
        <v>580.38116500000001</v>
      </c>
      <c r="AF157">
        <v>586.29919400000006</v>
      </c>
      <c r="AG157" s="144">
        <v>5.0000000000000001E-3</v>
      </c>
    </row>
    <row r="158" spans="1:33">
      <c r="A158" t="s">
        <v>2420</v>
      </c>
      <c r="B158" t="s">
        <v>2567</v>
      </c>
      <c r="C158" t="s">
        <v>2566</v>
      </c>
      <c r="D158" t="s">
        <v>2349</v>
      </c>
      <c r="F158">
        <v>285.98443600000002</v>
      </c>
      <c r="G158">
        <v>251.453934</v>
      </c>
      <c r="H158">
        <v>277.46118200000001</v>
      </c>
      <c r="I158">
        <v>274.41711400000003</v>
      </c>
      <c r="J158">
        <v>260.57345600000002</v>
      </c>
      <c r="K158">
        <v>270.70996100000002</v>
      </c>
      <c r="L158">
        <v>262.05465700000002</v>
      </c>
      <c r="M158">
        <v>249.49954199999999</v>
      </c>
      <c r="N158">
        <v>261.97949199999999</v>
      </c>
      <c r="O158">
        <v>268.665527</v>
      </c>
      <c r="P158">
        <v>266.16894500000001</v>
      </c>
      <c r="Q158">
        <v>275.29931599999998</v>
      </c>
      <c r="R158">
        <v>277.875</v>
      </c>
      <c r="S158">
        <v>284.80175800000001</v>
      </c>
      <c r="T158">
        <v>293.578125</v>
      </c>
      <c r="U158">
        <v>295.45605499999999</v>
      </c>
      <c r="V158">
        <v>297.45410199999998</v>
      </c>
      <c r="W158">
        <v>297.81835899999999</v>
      </c>
      <c r="X158">
        <v>309.51904300000001</v>
      </c>
      <c r="Y158">
        <v>310.273438</v>
      </c>
      <c r="Z158">
        <v>306.07324199999999</v>
      </c>
      <c r="AA158">
        <v>307.55688500000002</v>
      </c>
      <c r="AB158">
        <v>309.60247800000002</v>
      </c>
      <c r="AC158">
        <v>331.03653000000003</v>
      </c>
      <c r="AD158">
        <v>343.43554699999999</v>
      </c>
      <c r="AE158">
        <v>342.80566399999998</v>
      </c>
      <c r="AF158">
        <v>345.83251999999999</v>
      </c>
      <c r="AG158" s="144">
        <v>7.0000000000000001E-3</v>
      </c>
    </row>
    <row r="159" spans="1:33">
      <c r="A159" t="s">
        <v>2417</v>
      </c>
      <c r="B159" t="s">
        <v>2565</v>
      </c>
      <c r="C159" t="s">
        <v>2564</v>
      </c>
      <c r="D159" t="s">
        <v>2349</v>
      </c>
      <c r="F159">
        <v>126.6567</v>
      </c>
      <c r="G159">
        <v>84.905181999999996</v>
      </c>
      <c r="H159">
        <v>89.174109999999999</v>
      </c>
      <c r="I159">
        <v>86.394919999999999</v>
      </c>
      <c r="J159">
        <v>81.657088999999999</v>
      </c>
      <c r="K159">
        <v>82.391388000000006</v>
      </c>
      <c r="L159">
        <v>78.507874000000001</v>
      </c>
      <c r="M159">
        <v>73.415672000000001</v>
      </c>
      <c r="N159">
        <v>74.235991999999996</v>
      </c>
      <c r="O159">
        <v>73.744415000000004</v>
      </c>
      <c r="P159">
        <v>71.155417999999997</v>
      </c>
      <c r="Q159">
        <v>71.585937999999999</v>
      </c>
      <c r="R159">
        <v>70.850020999999998</v>
      </c>
      <c r="S159">
        <v>71.563643999999996</v>
      </c>
      <c r="T159">
        <v>73.163773000000006</v>
      </c>
      <c r="U159">
        <v>73.350098000000003</v>
      </c>
      <c r="V159">
        <v>73.948302999999996</v>
      </c>
      <c r="W159">
        <v>74.338065999999998</v>
      </c>
      <c r="X159">
        <v>77.591919000000004</v>
      </c>
      <c r="Y159">
        <v>78.577613999999997</v>
      </c>
      <c r="Z159">
        <v>78.702545000000001</v>
      </c>
      <c r="AA159">
        <v>80.368354999999994</v>
      </c>
      <c r="AB159">
        <v>82.336044000000001</v>
      </c>
      <c r="AC159">
        <v>89.077370000000002</v>
      </c>
      <c r="AD159">
        <v>93.752646999999996</v>
      </c>
      <c r="AE159">
        <v>95.401443</v>
      </c>
      <c r="AF159">
        <v>97.927368000000001</v>
      </c>
      <c r="AG159" s="144">
        <v>-0.01</v>
      </c>
    </row>
    <row r="160" spans="1:33">
      <c r="A160" t="s">
        <v>2414</v>
      </c>
      <c r="B160" t="s">
        <v>2563</v>
      </c>
      <c r="C160" t="s">
        <v>2562</v>
      </c>
      <c r="D160" t="s">
        <v>2349</v>
      </c>
      <c r="F160">
        <v>107.98877</v>
      </c>
      <c r="G160">
        <v>97.621337999999994</v>
      </c>
      <c r="H160">
        <v>108.428833</v>
      </c>
      <c r="I160">
        <v>107.830078</v>
      </c>
      <c r="J160">
        <v>102.426147</v>
      </c>
      <c r="K160">
        <v>107.65454099999999</v>
      </c>
      <c r="L160">
        <v>104.973389</v>
      </c>
      <c r="M160">
        <v>100.604736</v>
      </c>
      <c r="N160">
        <v>107.18810999999999</v>
      </c>
      <c r="O160">
        <v>111.49438499999999</v>
      </c>
      <c r="P160">
        <v>111.71386699999999</v>
      </c>
      <c r="Q160">
        <v>116.805176</v>
      </c>
      <c r="R160">
        <v>118.90722700000001</v>
      </c>
      <c r="S160">
        <v>122.639893</v>
      </c>
      <c r="T160">
        <v>126.965576</v>
      </c>
      <c r="U160">
        <v>128.05053699999999</v>
      </c>
      <c r="V160">
        <v>128.932861</v>
      </c>
      <c r="W160">
        <v>128.896973</v>
      </c>
      <c r="X160">
        <v>133.481201</v>
      </c>
      <c r="Y160">
        <v>133.23291</v>
      </c>
      <c r="Z160">
        <v>130.69116199999999</v>
      </c>
      <c r="AA160">
        <v>130.48950199999999</v>
      </c>
      <c r="AB160">
        <v>130.47167999999999</v>
      </c>
      <c r="AC160">
        <v>138.81982400000001</v>
      </c>
      <c r="AD160">
        <v>143.33862300000001</v>
      </c>
      <c r="AE160">
        <v>142.174072</v>
      </c>
      <c r="AF160">
        <v>142.53930700000001</v>
      </c>
      <c r="AG160" s="144">
        <v>1.0999999999999999E-2</v>
      </c>
    </row>
    <row r="161" spans="1:33">
      <c r="A161" t="s">
        <v>196</v>
      </c>
      <c r="B161" t="s">
        <v>2561</v>
      </c>
      <c r="C161" t="s">
        <v>2560</v>
      </c>
      <c r="D161" t="s">
        <v>2349</v>
      </c>
      <c r="F161">
        <v>67.953529000000003</v>
      </c>
      <c r="G161">
        <v>74.382857999999999</v>
      </c>
      <c r="H161">
        <v>52.820174999999999</v>
      </c>
      <c r="I161">
        <v>52.816794999999999</v>
      </c>
      <c r="J161">
        <v>55.772506999999997</v>
      </c>
      <c r="K161">
        <v>56.447716</v>
      </c>
      <c r="L161">
        <v>57.671889999999998</v>
      </c>
      <c r="M161">
        <v>59.054290999999999</v>
      </c>
      <c r="N161">
        <v>59.838196000000003</v>
      </c>
      <c r="O161">
        <v>60.384331000000003</v>
      </c>
      <c r="P161">
        <v>61.013137999999998</v>
      </c>
      <c r="Q161">
        <v>61.743637</v>
      </c>
      <c r="R161">
        <v>62.477950999999997</v>
      </c>
      <c r="S161">
        <v>63.304488999999997</v>
      </c>
      <c r="T161">
        <v>64.229263000000003</v>
      </c>
      <c r="U161">
        <v>65.244750999999994</v>
      </c>
      <c r="V161">
        <v>66.220534999999998</v>
      </c>
      <c r="W161">
        <v>67.311385999999999</v>
      </c>
      <c r="X161">
        <v>68.663100999999997</v>
      </c>
      <c r="Y161">
        <v>69.990250000000003</v>
      </c>
      <c r="Z161">
        <v>71.336440999999994</v>
      </c>
      <c r="AA161">
        <v>72.615875000000003</v>
      </c>
      <c r="AB161">
        <v>74.015518</v>
      </c>
      <c r="AC161">
        <v>75.506698999999998</v>
      </c>
      <c r="AD161">
        <v>76.989638999999997</v>
      </c>
      <c r="AE161">
        <v>78.547470000000004</v>
      </c>
      <c r="AF161">
        <v>80.072922000000005</v>
      </c>
      <c r="AG161" s="144">
        <v>6.0000000000000001E-3</v>
      </c>
    </row>
    <row r="162" spans="1:33">
      <c r="A162" t="s">
        <v>2420</v>
      </c>
      <c r="B162" t="s">
        <v>2559</v>
      </c>
      <c r="C162" t="s">
        <v>2558</v>
      </c>
      <c r="D162" t="s">
        <v>2349</v>
      </c>
      <c r="F162">
        <v>16.922930000000001</v>
      </c>
      <c r="G162">
        <v>20.367187999999999</v>
      </c>
      <c r="H162">
        <v>21.354523</v>
      </c>
      <c r="I162">
        <v>21.558502000000001</v>
      </c>
      <c r="J162">
        <v>22.923096000000001</v>
      </c>
      <c r="K162">
        <v>23.288788</v>
      </c>
      <c r="L162">
        <v>24.631499999999999</v>
      </c>
      <c r="M162">
        <v>25.035339</v>
      </c>
      <c r="N162">
        <v>25.207550000000001</v>
      </c>
      <c r="O162">
        <v>25.493957999999999</v>
      </c>
      <c r="P162">
        <v>25.808776999999999</v>
      </c>
      <c r="Q162">
        <v>26.158446999999999</v>
      </c>
      <c r="R162">
        <v>26.527312999999999</v>
      </c>
      <c r="S162">
        <v>26.928528</v>
      </c>
      <c r="T162">
        <v>27.364349000000001</v>
      </c>
      <c r="U162">
        <v>27.866302000000001</v>
      </c>
      <c r="V162">
        <v>28.379332999999999</v>
      </c>
      <c r="W162">
        <v>28.941832999999999</v>
      </c>
      <c r="X162">
        <v>29.513123</v>
      </c>
      <c r="Y162">
        <v>30.082885999999998</v>
      </c>
      <c r="Z162">
        <v>30.635131999999999</v>
      </c>
      <c r="AA162">
        <v>31.161560000000001</v>
      </c>
      <c r="AB162">
        <v>31.717345999999999</v>
      </c>
      <c r="AC162">
        <v>32.276488999999998</v>
      </c>
      <c r="AD162">
        <v>32.809142999999999</v>
      </c>
      <c r="AE162">
        <v>33.346558000000002</v>
      </c>
      <c r="AF162">
        <v>33.846252</v>
      </c>
      <c r="AG162" s="144">
        <v>2.7E-2</v>
      </c>
    </row>
    <row r="163" spans="1:33">
      <c r="A163" t="s">
        <v>2417</v>
      </c>
      <c r="B163" t="s">
        <v>2557</v>
      </c>
      <c r="C163" t="s">
        <v>2556</v>
      </c>
      <c r="D163" t="s">
        <v>2349</v>
      </c>
      <c r="F163">
        <v>10.306296</v>
      </c>
      <c r="G163">
        <v>7.2837740000000002</v>
      </c>
      <c r="H163">
        <v>7.3379669999999999</v>
      </c>
      <c r="I163">
        <v>7.485519</v>
      </c>
      <c r="J163">
        <v>8.1928099999999997</v>
      </c>
      <c r="K163">
        <v>8.4356840000000002</v>
      </c>
      <c r="L163">
        <v>8.5302889999999998</v>
      </c>
      <c r="M163">
        <v>9.4522399999999998</v>
      </c>
      <c r="N163">
        <v>9.9992149999999995</v>
      </c>
      <c r="O163">
        <v>10.092148</v>
      </c>
      <c r="P163">
        <v>10.204146</v>
      </c>
      <c r="Q163">
        <v>10.346161</v>
      </c>
      <c r="R163">
        <v>10.489641000000001</v>
      </c>
      <c r="S163">
        <v>10.655559999999999</v>
      </c>
      <c r="T163">
        <v>10.827715</v>
      </c>
      <c r="U163">
        <v>11.032287</v>
      </c>
      <c r="V163">
        <v>11.226307</v>
      </c>
      <c r="W163">
        <v>11.441390999999999</v>
      </c>
      <c r="X163">
        <v>11.669662000000001</v>
      </c>
      <c r="Y163">
        <v>11.912582</v>
      </c>
      <c r="Z163">
        <v>12.166611</v>
      </c>
      <c r="AA163">
        <v>12.428284</v>
      </c>
      <c r="AB163">
        <v>12.707133000000001</v>
      </c>
      <c r="AC163">
        <v>13.015809000000001</v>
      </c>
      <c r="AD163">
        <v>13.319748000000001</v>
      </c>
      <c r="AE163">
        <v>13.632034000000001</v>
      </c>
      <c r="AF163">
        <v>13.944504</v>
      </c>
      <c r="AG163" s="144">
        <v>1.2E-2</v>
      </c>
    </row>
    <row r="164" spans="1:33">
      <c r="A164" t="s">
        <v>2414</v>
      </c>
      <c r="B164" t="s">
        <v>2555</v>
      </c>
      <c r="C164" t="s">
        <v>2554</v>
      </c>
      <c r="D164" t="s">
        <v>2349</v>
      </c>
      <c r="F164">
        <v>40.724303999999997</v>
      </c>
      <c r="G164">
        <v>46.731895000000002</v>
      </c>
      <c r="H164">
        <v>24.127686000000001</v>
      </c>
      <c r="I164">
        <v>23.772773999999998</v>
      </c>
      <c r="J164">
        <v>24.656600999999998</v>
      </c>
      <c r="K164">
        <v>24.723246</v>
      </c>
      <c r="L164">
        <v>24.510100999999999</v>
      </c>
      <c r="M164">
        <v>24.566711000000002</v>
      </c>
      <c r="N164">
        <v>24.631430000000002</v>
      </c>
      <c r="O164">
        <v>24.798224999999999</v>
      </c>
      <c r="P164">
        <v>25.000214</v>
      </c>
      <c r="Q164">
        <v>25.239028999999999</v>
      </c>
      <c r="R164">
        <v>25.460999000000001</v>
      </c>
      <c r="S164">
        <v>25.720400000000001</v>
      </c>
      <c r="T164">
        <v>26.037201</v>
      </c>
      <c r="U164">
        <v>26.346160999999999</v>
      </c>
      <c r="V164">
        <v>26.614899000000001</v>
      </c>
      <c r="W164">
        <v>26.928162</v>
      </c>
      <c r="X164">
        <v>27.480315999999998</v>
      </c>
      <c r="Y164">
        <v>27.994781</v>
      </c>
      <c r="Z164">
        <v>28.534697999999999</v>
      </c>
      <c r="AA164">
        <v>29.026031</v>
      </c>
      <c r="AB164">
        <v>29.591034000000001</v>
      </c>
      <c r="AC164">
        <v>30.214400999999999</v>
      </c>
      <c r="AD164">
        <v>30.860745999999999</v>
      </c>
      <c r="AE164">
        <v>31.568878000000002</v>
      </c>
      <c r="AF164">
        <v>32.282165999999997</v>
      </c>
      <c r="AG164" s="144">
        <v>-8.9999999999999993E-3</v>
      </c>
    </row>
    <row r="165" spans="1:33">
      <c r="A165" t="s">
        <v>2403</v>
      </c>
      <c r="B165" t="s">
        <v>2553</v>
      </c>
      <c r="C165" t="s">
        <v>2552</v>
      </c>
      <c r="D165" t="s">
        <v>2349</v>
      </c>
      <c r="F165">
        <v>26.557766000000001</v>
      </c>
      <c r="G165">
        <v>28.583897</v>
      </c>
      <c r="H165">
        <v>31.784264</v>
      </c>
      <c r="I165">
        <v>32.443469999999998</v>
      </c>
      <c r="J165">
        <v>34.015011000000001</v>
      </c>
      <c r="K165">
        <v>34.937733000000001</v>
      </c>
      <c r="L165">
        <v>35.426369000000001</v>
      </c>
      <c r="M165">
        <v>36.476565999999998</v>
      </c>
      <c r="N165">
        <v>37.715214000000003</v>
      </c>
      <c r="O165">
        <v>39.075726000000003</v>
      </c>
      <c r="P165">
        <v>40.482723</v>
      </c>
      <c r="Q165">
        <v>41.973376999999999</v>
      </c>
      <c r="R165">
        <v>43.543785</v>
      </c>
      <c r="S165">
        <v>45.188873000000001</v>
      </c>
      <c r="T165">
        <v>46.899169999999998</v>
      </c>
      <c r="U165">
        <v>48.639263</v>
      </c>
      <c r="V165">
        <v>50.4086</v>
      </c>
      <c r="W165">
        <v>52.217086999999999</v>
      </c>
      <c r="X165">
        <v>54.045105</v>
      </c>
      <c r="Y165">
        <v>55.854179000000002</v>
      </c>
      <c r="Z165">
        <v>57.687083999999999</v>
      </c>
      <c r="AA165">
        <v>59.496139999999997</v>
      </c>
      <c r="AB165">
        <v>61.27552</v>
      </c>
      <c r="AC165">
        <v>63.054760000000002</v>
      </c>
      <c r="AD165">
        <v>64.826301999999998</v>
      </c>
      <c r="AE165">
        <v>66.569182999999995</v>
      </c>
      <c r="AF165">
        <v>68.335632000000004</v>
      </c>
      <c r="AG165" s="144">
        <v>3.6999999999999998E-2</v>
      </c>
    </row>
    <row r="166" spans="1:33">
      <c r="A166" t="s">
        <v>2420</v>
      </c>
      <c r="B166" t="s">
        <v>2551</v>
      </c>
      <c r="C166" t="s">
        <v>2550</v>
      </c>
      <c r="D166" t="s">
        <v>2349</v>
      </c>
      <c r="F166">
        <v>17.408660999999999</v>
      </c>
      <c r="G166">
        <v>18.841857999999998</v>
      </c>
      <c r="H166">
        <v>21.553374999999999</v>
      </c>
      <c r="I166">
        <v>22.006271000000002</v>
      </c>
      <c r="J166">
        <v>22.417525999999999</v>
      </c>
      <c r="K166">
        <v>23.073270999999998</v>
      </c>
      <c r="L166">
        <v>23.476641000000001</v>
      </c>
      <c r="M166">
        <v>24.286384999999999</v>
      </c>
      <c r="N166">
        <v>25.237601999999999</v>
      </c>
      <c r="O166">
        <v>26.283124999999998</v>
      </c>
      <c r="P166">
        <v>27.387433999999999</v>
      </c>
      <c r="Q166">
        <v>28.562248</v>
      </c>
      <c r="R166">
        <v>29.802727000000001</v>
      </c>
      <c r="S166">
        <v>31.103176000000001</v>
      </c>
      <c r="T166">
        <v>32.455387000000002</v>
      </c>
      <c r="U166">
        <v>33.829388000000002</v>
      </c>
      <c r="V166">
        <v>35.214233</v>
      </c>
      <c r="W166">
        <v>36.619259</v>
      </c>
      <c r="X166">
        <v>38.031112999999998</v>
      </c>
      <c r="Y166">
        <v>39.437260000000002</v>
      </c>
      <c r="Z166">
        <v>40.847168000000003</v>
      </c>
      <c r="AA166">
        <v>42.216369999999998</v>
      </c>
      <c r="AB166">
        <v>43.546387000000003</v>
      </c>
      <c r="AC166">
        <v>44.858826000000001</v>
      </c>
      <c r="AD166">
        <v>46.145873999999999</v>
      </c>
      <c r="AE166">
        <v>47.386046999999998</v>
      </c>
      <c r="AF166">
        <v>48.606873</v>
      </c>
      <c r="AG166" s="144">
        <v>0.04</v>
      </c>
    </row>
    <row r="167" spans="1:33">
      <c r="A167" t="s">
        <v>2417</v>
      </c>
      <c r="B167" t="s">
        <v>2549</v>
      </c>
      <c r="C167" t="s">
        <v>2548</v>
      </c>
      <c r="D167" t="s">
        <v>2349</v>
      </c>
      <c r="F167">
        <v>1.7627900000000001</v>
      </c>
      <c r="G167">
        <v>2.2088730000000001</v>
      </c>
      <c r="H167">
        <v>2.2346509999999999</v>
      </c>
      <c r="I167">
        <v>2.1886109999999999</v>
      </c>
      <c r="J167">
        <v>2.141804</v>
      </c>
      <c r="K167">
        <v>2.1227939999999998</v>
      </c>
      <c r="L167">
        <v>2.0919050000000001</v>
      </c>
      <c r="M167">
        <v>2.1038139999999999</v>
      </c>
      <c r="N167">
        <v>2.1323669999999999</v>
      </c>
      <c r="O167">
        <v>2.175338</v>
      </c>
      <c r="P167">
        <v>2.2296420000000001</v>
      </c>
      <c r="Q167">
        <v>2.2954970000000001</v>
      </c>
      <c r="R167">
        <v>2.3717169999999999</v>
      </c>
      <c r="S167">
        <v>2.4568840000000001</v>
      </c>
      <c r="T167">
        <v>2.5495320000000001</v>
      </c>
      <c r="U167">
        <v>2.6459869999999999</v>
      </c>
      <c r="V167">
        <v>2.7454540000000001</v>
      </c>
      <c r="W167">
        <v>2.8464849999999999</v>
      </c>
      <c r="X167">
        <v>2.9394529999999999</v>
      </c>
      <c r="Y167">
        <v>3.0281389999999999</v>
      </c>
      <c r="Z167">
        <v>3.1181760000000001</v>
      </c>
      <c r="AA167">
        <v>3.2062819999999999</v>
      </c>
      <c r="AB167">
        <v>3.2882440000000002</v>
      </c>
      <c r="AC167">
        <v>3.3659780000000001</v>
      </c>
      <c r="AD167">
        <v>3.4356610000000001</v>
      </c>
      <c r="AE167">
        <v>3.5057109999999998</v>
      </c>
      <c r="AF167">
        <v>3.578697</v>
      </c>
      <c r="AG167" s="144">
        <v>2.8000000000000001E-2</v>
      </c>
    </row>
    <row r="168" spans="1:33">
      <c r="A168" t="s">
        <v>2414</v>
      </c>
      <c r="B168" t="s">
        <v>2547</v>
      </c>
      <c r="C168" t="s">
        <v>2546</v>
      </c>
      <c r="D168" t="s">
        <v>2349</v>
      </c>
      <c r="F168">
        <v>7.3863139999999996</v>
      </c>
      <c r="G168">
        <v>7.5331650000000003</v>
      </c>
      <c r="H168">
        <v>7.9962390000000001</v>
      </c>
      <c r="I168">
        <v>8.2485890000000008</v>
      </c>
      <c r="J168">
        <v>9.4556810000000002</v>
      </c>
      <c r="K168">
        <v>9.7416689999999999</v>
      </c>
      <c r="L168">
        <v>9.8578209999999995</v>
      </c>
      <c r="M168">
        <v>10.086368999999999</v>
      </c>
      <c r="N168">
        <v>10.345245</v>
      </c>
      <c r="O168">
        <v>10.617264</v>
      </c>
      <c r="P168">
        <v>10.865646</v>
      </c>
      <c r="Q168">
        <v>11.115631</v>
      </c>
      <c r="R168">
        <v>11.369339</v>
      </c>
      <c r="S168">
        <v>11.628814999999999</v>
      </c>
      <c r="T168">
        <v>11.894247999999999</v>
      </c>
      <c r="U168">
        <v>12.163891</v>
      </c>
      <c r="V168">
        <v>12.448914</v>
      </c>
      <c r="W168">
        <v>12.751343</v>
      </c>
      <c r="X168">
        <v>13.074539</v>
      </c>
      <c r="Y168">
        <v>13.388779</v>
      </c>
      <c r="Z168">
        <v>13.721741</v>
      </c>
      <c r="AA168">
        <v>14.073486000000001</v>
      </c>
      <c r="AB168">
        <v>14.440887</v>
      </c>
      <c r="AC168">
        <v>14.829955999999999</v>
      </c>
      <c r="AD168">
        <v>15.244766</v>
      </c>
      <c r="AE168">
        <v>15.677426000000001</v>
      </c>
      <c r="AF168">
        <v>16.150062999999999</v>
      </c>
      <c r="AG168" s="144">
        <v>3.1E-2</v>
      </c>
    </row>
    <row r="169" spans="1:33">
      <c r="A169" t="s">
        <v>2400</v>
      </c>
      <c r="B169" t="s">
        <v>2545</v>
      </c>
      <c r="C169" t="s">
        <v>2544</v>
      </c>
      <c r="D169" t="s">
        <v>2349</v>
      </c>
      <c r="F169">
        <v>163.286789</v>
      </c>
      <c r="G169">
        <v>286.76901199999998</v>
      </c>
      <c r="H169">
        <v>313.17236300000002</v>
      </c>
      <c r="I169">
        <v>324.34777800000001</v>
      </c>
      <c r="J169">
        <v>335.47668499999997</v>
      </c>
      <c r="K169">
        <v>358.18756100000002</v>
      </c>
      <c r="L169">
        <v>363.81100500000002</v>
      </c>
      <c r="M169">
        <v>373.22500600000001</v>
      </c>
      <c r="N169">
        <v>382.99279799999999</v>
      </c>
      <c r="O169">
        <v>393.70156900000001</v>
      </c>
      <c r="P169">
        <v>404.52465799999999</v>
      </c>
      <c r="Q169">
        <v>414.980591</v>
      </c>
      <c r="R169">
        <v>425.74353000000002</v>
      </c>
      <c r="S169">
        <v>435.88378899999998</v>
      </c>
      <c r="T169">
        <v>447.02578699999998</v>
      </c>
      <c r="U169">
        <v>462.57043499999997</v>
      </c>
      <c r="V169">
        <v>470.948486</v>
      </c>
      <c r="W169">
        <v>479.06863399999997</v>
      </c>
      <c r="X169">
        <v>487.32806399999998</v>
      </c>
      <c r="Y169">
        <v>495.29534899999999</v>
      </c>
      <c r="Z169">
        <v>502.91668700000002</v>
      </c>
      <c r="AA169">
        <v>510.290009</v>
      </c>
      <c r="AB169">
        <v>517.75830099999996</v>
      </c>
      <c r="AC169">
        <v>525.09558100000004</v>
      </c>
      <c r="AD169">
        <v>532.26507600000002</v>
      </c>
      <c r="AE169">
        <v>539.58569299999999</v>
      </c>
      <c r="AF169">
        <v>547.16339100000005</v>
      </c>
      <c r="AG169" s="144">
        <v>4.8000000000000001E-2</v>
      </c>
    </row>
    <row r="170" spans="1:33">
      <c r="A170" t="s">
        <v>2420</v>
      </c>
      <c r="B170" t="s">
        <v>2543</v>
      </c>
      <c r="C170" t="s">
        <v>2542</v>
      </c>
      <c r="D170" t="s">
        <v>2349</v>
      </c>
      <c r="F170">
        <v>65.728194999999999</v>
      </c>
      <c r="G170">
        <v>182.61532600000001</v>
      </c>
      <c r="H170">
        <v>197.36596700000001</v>
      </c>
      <c r="I170">
        <v>204.98608400000001</v>
      </c>
      <c r="J170">
        <v>212.554688</v>
      </c>
      <c r="K170">
        <v>220.07763700000001</v>
      </c>
      <c r="L170">
        <v>223.25805700000001</v>
      </c>
      <c r="M170">
        <v>230.17285200000001</v>
      </c>
      <c r="N170">
        <v>237.22558599999999</v>
      </c>
      <c r="O170">
        <v>244.561035</v>
      </c>
      <c r="P170">
        <v>251.76757799999999</v>
      </c>
      <c r="Q170">
        <v>258.53125</v>
      </c>
      <c r="R170">
        <v>265.125</v>
      </c>
      <c r="S170">
        <v>271.15332000000001</v>
      </c>
      <c r="T170">
        <v>278.16162100000003</v>
      </c>
      <c r="U170">
        <v>289.459473</v>
      </c>
      <c r="V170">
        <v>293.4375</v>
      </c>
      <c r="W170">
        <v>297.20654300000001</v>
      </c>
      <c r="X170">
        <v>301.00585899999999</v>
      </c>
      <c r="Y170">
        <v>304.64892600000002</v>
      </c>
      <c r="Z170">
        <v>308.13232399999998</v>
      </c>
      <c r="AA170">
        <v>311.52880900000002</v>
      </c>
      <c r="AB170">
        <v>315.08056599999998</v>
      </c>
      <c r="AC170">
        <v>318.70800800000001</v>
      </c>
      <c r="AD170">
        <v>322.40332000000001</v>
      </c>
      <c r="AE170">
        <v>326.36621100000002</v>
      </c>
      <c r="AF170">
        <v>330.64160199999998</v>
      </c>
      <c r="AG170" s="144">
        <v>6.4000000000000001E-2</v>
      </c>
    </row>
    <row r="171" spans="1:33">
      <c r="A171" t="s">
        <v>2417</v>
      </c>
      <c r="B171" t="s">
        <v>2541</v>
      </c>
      <c r="C171" t="s">
        <v>2540</v>
      </c>
      <c r="D171" t="s">
        <v>2349</v>
      </c>
      <c r="F171">
        <v>20.364135999999998</v>
      </c>
      <c r="G171">
        <v>40.035888999999997</v>
      </c>
      <c r="H171">
        <v>49.242798000000001</v>
      </c>
      <c r="I171">
        <v>51.040283000000002</v>
      </c>
      <c r="J171">
        <v>52.847168000000003</v>
      </c>
      <c r="K171">
        <v>66.267769000000001</v>
      </c>
      <c r="L171">
        <v>68.413910000000001</v>
      </c>
      <c r="M171">
        <v>69.237578999999997</v>
      </c>
      <c r="N171">
        <v>70.101439999999997</v>
      </c>
      <c r="O171">
        <v>71.391884000000005</v>
      </c>
      <c r="P171">
        <v>72.837761</v>
      </c>
      <c r="Q171">
        <v>74.376114000000001</v>
      </c>
      <c r="R171">
        <v>76.300545</v>
      </c>
      <c r="S171">
        <v>78.225837999999996</v>
      </c>
      <c r="T171">
        <v>80.218665999999999</v>
      </c>
      <c r="U171">
        <v>82.265991</v>
      </c>
      <c r="V171">
        <v>84.456558000000001</v>
      </c>
      <c r="W171">
        <v>86.601226999999994</v>
      </c>
      <c r="X171">
        <v>88.797539</v>
      </c>
      <c r="Y171">
        <v>90.869452999999993</v>
      </c>
      <c r="Z171">
        <v>92.787307999999996</v>
      </c>
      <c r="AA171">
        <v>94.563568000000004</v>
      </c>
      <c r="AB171">
        <v>96.231842</v>
      </c>
      <c r="AC171">
        <v>97.697165999999996</v>
      </c>
      <c r="AD171">
        <v>98.953682000000001</v>
      </c>
      <c r="AE171">
        <v>100.075928</v>
      </c>
      <c r="AF171">
        <v>101.132637</v>
      </c>
      <c r="AG171" s="144">
        <v>6.4000000000000001E-2</v>
      </c>
    </row>
    <row r="172" spans="1:33">
      <c r="A172" t="s">
        <v>2414</v>
      </c>
      <c r="B172" t="s">
        <v>2539</v>
      </c>
      <c r="C172" t="s">
        <v>2538</v>
      </c>
      <c r="D172" t="s">
        <v>2349</v>
      </c>
      <c r="F172">
        <v>77.194457999999997</v>
      </c>
      <c r="G172">
        <v>64.117797999999993</v>
      </c>
      <c r="H172">
        <v>66.563598999999996</v>
      </c>
      <c r="I172">
        <v>68.321410999999998</v>
      </c>
      <c r="J172">
        <v>70.074828999999994</v>
      </c>
      <c r="K172">
        <v>71.842162999999999</v>
      </c>
      <c r="L172">
        <v>72.139037999999999</v>
      </c>
      <c r="M172">
        <v>73.814575000000005</v>
      </c>
      <c r="N172">
        <v>75.665771000000007</v>
      </c>
      <c r="O172">
        <v>77.748656999999994</v>
      </c>
      <c r="P172">
        <v>79.919312000000005</v>
      </c>
      <c r="Q172">
        <v>82.073241999999993</v>
      </c>
      <c r="R172">
        <v>84.317993000000001</v>
      </c>
      <c r="S172">
        <v>86.504638999999997</v>
      </c>
      <c r="T172">
        <v>88.645508000000007</v>
      </c>
      <c r="U172">
        <v>90.844971000000001</v>
      </c>
      <c r="V172">
        <v>93.054443000000006</v>
      </c>
      <c r="W172">
        <v>95.260863999999998</v>
      </c>
      <c r="X172">
        <v>97.524658000000002</v>
      </c>
      <c r="Y172">
        <v>99.776978</v>
      </c>
      <c r="Z172">
        <v>101.99706999999999</v>
      </c>
      <c r="AA172">
        <v>104.197632</v>
      </c>
      <c r="AB172">
        <v>106.44592299999999</v>
      </c>
      <c r="AC172">
        <v>108.69043000000001</v>
      </c>
      <c r="AD172">
        <v>110.908081</v>
      </c>
      <c r="AE172">
        <v>113.14355500000001</v>
      </c>
      <c r="AF172">
        <v>115.38916</v>
      </c>
      <c r="AG172" s="144">
        <v>1.6E-2</v>
      </c>
    </row>
    <row r="173" spans="1:33">
      <c r="A173" t="s">
        <v>2397</v>
      </c>
      <c r="B173" t="s">
        <v>2537</v>
      </c>
      <c r="C173" t="s">
        <v>2536</v>
      </c>
      <c r="D173" t="s">
        <v>2349</v>
      </c>
      <c r="F173">
        <v>46.108635</v>
      </c>
      <c r="G173">
        <v>11.789963</v>
      </c>
      <c r="H173">
        <v>19.906883000000001</v>
      </c>
      <c r="I173">
        <v>20.830887000000001</v>
      </c>
      <c r="J173">
        <v>20.560486000000001</v>
      </c>
      <c r="K173">
        <v>20.976050999999998</v>
      </c>
      <c r="L173">
        <v>20.963303</v>
      </c>
      <c r="M173">
        <v>21.434813999999999</v>
      </c>
      <c r="N173">
        <v>22.488464</v>
      </c>
      <c r="O173">
        <v>23.456924000000001</v>
      </c>
      <c r="P173">
        <v>24.221976999999999</v>
      </c>
      <c r="Q173">
        <v>25.036567999999999</v>
      </c>
      <c r="R173">
        <v>25.969973</v>
      </c>
      <c r="S173">
        <v>27.035173</v>
      </c>
      <c r="T173">
        <v>28.010909999999999</v>
      </c>
      <c r="U173">
        <v>28.867180000000001</v>
      </c>
      <c r="V173">
        <v>29.844002</v>
      </c>
      <c r="W173">
        <v>30.785727999999999</v>
      </c>
      <c r="X173">
        <v>32.764313000000001</v>
      </c>
      <c r="Y173">
        <v>33.569938999999998</v>
      </c>
      <c r="Z173">
        <v>34.142349000000003</v>
      </c>
      <c r="AA173">
        <v>34.774932999999997</v>
      </c>
      <c r="AB173">
        <v>35.282639000000003</v>
      </c>
      <c r="AC173">
        <v>35.589011999999997</v>
      </c>
      <c r="AD173">
        <v>35.701515000000001</v>
      </c>
      <c r="AE173">
        <v>35.656714999999998</v>
      </c>
      <c r="AF173">
        <v>35.735756000000002</v>
      </c>
      <c r="AG173" s="144">
        <v>-0.01</v>
      </c>
    </row>
    <row r="174" spans="1:33">
      <c r="A174" t="s">
        <v>2420</v>
      </c>
      <c r="B174" t="s">
        <v>2535</v>
      </c>
      <c r="C174" t="s">
        <v>2534</v>
      </c>
      <c r="D174" t="s">
        <v>2349</v>
      </c>
      <c r="F174">
        <v>1.8047709999999999</v>
      </c>
      <c r="G174">
        <v>6.7129820000000002</v>
      </c>
      <c r="H174">
        <v>7.2505490000000004</v>
      </c>
      <c r="I174">
        <v>7.64621</v>
      </c>
      <c r="J174">
        <v>7.8644410000000002</v>
      </c>
      <c r="K174">
        <v>8.2343139999999995</v>
      </c>
      <c r="L174">
        <v>8.4675899999999995</v>
      </c>
      <c r="M174">
        <v>8.8986509999999992</v>
      </c>
      <c r="N174">
        <v>9.4466549999999998</v>
      </c>
      <c r="O174">
        <v>9.9853520000000007</v>
      </c>
      <c r="P174">
        <v>10.480041999999999</v>
      </c>
      <c r="Q174">
        <v>10.964935000000001</v>
      </c>
      <c r="R174">
        <v>11.501818</v>
      </c>
      <c r="S174">
        <v>11.982912000000001</v>
      </c>
      <c r="T174">
        <v>12.393134999999999</v>
      </c>
      <c r="U174">
        <v>12.732642</v>
      </c>
      <c r="V174">
        <v>13.018921000000001</v>
      </c>
      <c r="W174">
        <v>13.241272</v>
      </c>
      <c r="X174">
        <v>13.495604999999999</v>
      </c>
      <c r="Y174">
        <v>13.638855</v>
      </c>
      <c r="Z174">
        <v>13.708954</v>
      </c>
      <c r="AA174">
        <v>13.746551999999999</v>
      </c>
      <c r="AB174">
        <v>13.737152</v>
      </c>
      <c r="AC174">
        <v>13.680878</v>
      </c>
      <c r="AD174">
        <v>13.584503</v>
      </c>
      <c r="AE174">
        <v>13.458740000000001</v>
      </c>
      <c r="AF174">
        <v>13.35318</v>
      </c>
      <c r="AG174" s="144">
        <v>0.08</v>
      </c>
    </row>
    <row r="175" spans="1:33">
      <c r="A175" t="s">
        <v>2417</v>
      </c>
      <c r="B175" t="s">
        <v>2533</v>
      </c>
      <c r="C175" t="s">
        <v>2532</v>
      </c>
      <c r="D175" t="s">
        <v>2349</v>
      </c>
      <c r="F175">
        <v>44.303863999999997</v>
      </c>
      <c r="G175">
        <v>1.476227</v>
      </c>
      <c r="H175">
        <v>9.0852660000000007</v>
      </c>
      <c r="I175">
        <v>9.4823299999999993</v>
      </c>
      <c r="J175">
        <v>8.9247130000000006</v>
      </c>
      <c r="K175">
        <v>8.8601679999999998</v>
      </c>
      <c r="L175">
        <v>8.5756530000000009</v>
      </c>
      <c r="M175">
        <v>8.5011290000000006</v>
      </c>
      <c r="N175">
        <v>8.858765</v>
      </c>
      <c r="O175">
        <v>9.1476749999999996</v>
      </c>
      <c r="P175">
        <v>9.2944340000000008</v>
      </c>
      <c r="Q175">
        <v>9.503876</v>
      </c>
      <c r="R175">
        <v>9.7794489999999996</v>
      </c>
      <c r="S175">
        <v>10.235687</v>
      </c>
      <c r="T175">
        <v>10.682525999999999</v>
      </c>
      <c r="U175">
        <v>11.093781</v>
      </c>
      <c r="V175">
        <v>11.682494999999999</v>
      </c>
      <c r="W175">
        <v>12.306457999999999</v>
      </c>
      <c r="X175">
        <v>13.944274999999999</v>
      </c>
      <c r="Y175">
        <v>14.528136999999999</v>
      </c>
      <c r="Z175">
        <v>14.964752000000001</v>
      </c>
      <c r="AA175">
        <v>15.49649</v>
      </c>
      <c r="AB175">
        <v>15.962921</v>
      </c>
      <c r="AC175">
        <v>16.290619</v>
      </c>
      <c r="AD175">
        <v>16.480713000000002</v>
      </c>
      <c r="AE175">
        <v>16.557494999999999</v>
      </c>
      <c r="AF175">
        <v>16.732361000000001</v>
      </c>
      <c r="AG175" s="144">
        <v>-3.6999999999999998E-2</v>
      </c>
    </row>
    <row r="176" spans="1:33">
      <c r="A176" t="s">
        <v>2414</v>
      </c>
      <c r="B176" t="s">
        <v>2531</v>
      </c>
      <c r="C176" t="s">
        <v>2530</v>
      </c>
      <c r="D176" t="s">
        <v>2349</v>
      </c>
      <c r="F176">
        <v>0</v>
      </c>
      <c r="G176">
        <v>3.6007539999999998</v>
      </c>
      <c r="H176">
        <v>3.5710679999999999</v>
      </c>
      <c r="I176">
        <v>3.7023470000000001</v>
      </c>
      <c r="J176">
        <v>3.7713320000000001</v>
      </c>
      <c r="K176">
        <v>3.8815689999999998</v>
      </c>
      <c r="L176">
        <v>3.9200590000000002</v>
      </c>
      <c r="M176">
        <v>4.0350339999999996</v>
      </c>
      <c r="N176">
        <v>4.1830439999999998</v>
      </c>
      <c r="O176">
        <v>4.3238979999999998</v>
      </c>
      <c r="P176">
        <v>4.4475020000000001</v>
      </c>
      <c r="Q176">
        <v>4.5677570000000003</v>
      </c>
      <c r="R176">
        <v>4.6887049999999997</v>
      </c>
      <c r="S176">
        <v>4.8165740000000001</v>
      </c>
      <c r="T176">
        <v>4.9352489999999998</v>
      </c>
      <c r="U176">
        <v>5.040756</v>
      </c>
      <c r="V176">
        <v>5.1425859999999997</v>
      </c>
      <c r="W176">
        <v>5.2379990000000003</v>
      </c>
      <c r="X176">
        <v>5.3244319999999998</v>
      </c>
      <c r="Y176">
        <v>5.402946</v>
      </c>
      <c r="Z176">
        <v>5.4686430000000001</v>
      </c>
      <c r="AA176">
        <v>5.5318909999999999</v>
      </c>
      <c r="AB176">
        <v>5.5825649999999998</v>
      </c>
      <c r="AC176">
        <v>5.6175160000000002</v>
      </c>
      <c r="AD176">
        <v>5.6362990000000002</v>
      </c>
      <c r="AE176">
        <v>5.6404800000000002</v>
      </c>
      <c r="AF176">
        <v>5.6502150000000002</v>
      </c>
      <c r="AG176" t="s">
        <v>1769</v>
      </c>
    </row>
    <row r="177" spans="1:33">
      <c r="A177" t="s">
        <v>2394</v>
      </c>
      <c r="B177" t="s">
        <v>2529</v>
      </c>
      <c r="C177" t="s">
        <v>2528</v>
      </c>
      <c r="D177" t="s">
        <v>2349</v>
      </c>
      <c r="F177">
        <v>34.605949000000003</v>
      </c>
      <c r="G177">
        <v>33.751865000000002</v>
      </c>
      <c r="H177">
        <v>44.242972999999999</v>
      </c>
      <c r="I177">
        <v>45.734969999999997</v>
      </c>
      <c r="J177">
        <v>47.148972000000001</v>
      </c>
      <c r="K177">
        <v>47.957413000000003</v>
      </c>
      <c r="L177">
        <v>48.234031999999999</v>
      </c>
      <c r="M177">
        <v>49.347031000000001</v>
      </c>
      <c r="N177">
        <v>50.289703000000003</v>
      </c>
      <c r="O177">
        <v>51.136108</v>
      </c>
      <c r="P177">
        <v>52.259262</v>
      </c>
      <c r="Q177">
        <v>53.354019000000001</v>
      </c>
      <c r="R177">
        <v>53.972946</v>
      </c>
      <c r="S177">
        <v>54.622771999999998</v>
      </c>
      <c r="T177">
        <v>54.708632999999999</v>
      </c>
      <c r="U177">
        <v>55.149185000000003</v>
      </c>
      <c r="V177">
        <v>55.610458000000001</v>
      </c>
      <c r="W177">
        <v>56.205643000000002</v>
      </c>
      <c r="X177">
        <v>56.813643999999996</v>
      </c>
      <c r="Y177">
        <v>57.479233000000001</v>
      </c>
      <c r="Z177">
        <v>58.192352</v>
      </c>
      <c r="AA177">
        <v>59.756134000000003</v>
      </c>
      <c r="AB177">
        <v>60.521835000000003</v>
      </c>
      <c r="AC177">
        <v>61.236190999999998</v>
      </c>
      <c r="AD177">
        <v>62.051498000000002</v>
      </c>
      <c r="AE177">
        <v>62.959000000000003</v>
      </c>
      <c r="AF177">
        <v>63.950394000000003</v>
      </c>
      <c r="AG177" s="144">
        <v>2.4E-2</v>
      </c>
    </row>
    <row r="178" spans="1:33">
      <c r="A178" t="s">
        <v>2420</v>
      </c>
      <c r="B178" t="s">
        <v>2527</v>
      </c>
      <c r="C178" t="s">
        <v>2526</v>
      </c>
      <c r="D178" t="s">
        <v>2349</v>
      </c>
      <c r="F178">
        <v>18.321746999999998</v>
      </c>
      <c r="G178">
        <v>14.802325</v>
      </c>
      <c r="H178">
        <v>18.808655000000002</v>
      </c>
      <c r="I178">
        <v>19.718658000000001</v>
      </c>
      <c r="J178">
        <v>20.588104000000001</v>
      </c>
      <c r="K178">
        <v>21.173003999999999</v>
      </c>
      <c r="L178">
        <v>21.521056999999999</v>
      </c>
      <c r="M178">
        <v>22.240784000000001</v>
      </c>
      <c r="N178">
        <v>22.855530000000002</v>
      </c>
      <c r="O178">
        <v>23.402283000000001</v>
      </c>
      <c r="P178">
        <v>24.201599000000002</v>
      </c>
      <c r="Q178">
        <v>25.093719</v>
      </c>
      <c r="R178">
        <v>25.406524999999998</v>
      </c>
      <c r="S178">
        <v>25.720184</v>
      </c>
      <c r="T178">
        <v>25.734985000000002</v>
      </c>
      <c r="U178">
        <v>25.916138</v>
      </c>
      <c r="V178">
        <v>26.091460999999999</v>
      </c>
      <c r="W178">
        <v>26.319305</v>
      </c>
      <c r="X178">
        <v>26.537903</v>
      </c>
      <c r="Y178">
        <v>26.780425999999999</v>
      </c>
      <c r="Z178">
        <v>27.002929999999999</v>
      </c>
      <c r="AA178">
        <v>27.232513000000001</v>
      </c>
      <c r="AB178">
        <v>27.487518000000001</v>
      </c>
      <c r="AC178">
        <v>27.779357999999998</v>
      </c>
      <c r="AD178">
        <v>28.116882</v>
      </c>
      <c r="AE178">
        <v>28.499573000000002</v>
      </c>
      <c r="AF178">
        <v>28.927979000000001</v>
      </c>
      <c r="AG178" s="144">
        <v>1.7999999999999999E-2</v>
      </c>
    </row>
    <row r="179" spans="1:33">
      <c r="A179" t="s">
        <v>2417</v>
      </c>
      <c r="B179" t="s">
        <v>2525</v>
      </c>
      <c r="C179" t="s">
        <v>2524</v>
      </c>
      <c r="D179" t="s">
        <v>2349</v>
      </c>
      <c r="F179">
        <v>6.7281719999999998</v>
      </c>
      <c r="G179">
        <v>0.843445</v>
      </c>
      <c r="H179">
        <v>5.3548200000000001</v>
      </c>
      <c r="I179">
        <v>5.6553500000000003</v>
      </c>
      <c r="J179">
        <v>5.9956509999999996</v>
      </c>
      <c r="K179">
        <v>6.2580720000000003</v>
      </c>
      <c r="L179">
        <v>6.403435</v>
      </c>
      <c r="M179">
        <v>6.6898960000000001</v>
      </c>
      <c r="N179">
        <v>6.9726869999999996</v>
      </c>
      <c r="O179">
        <v>7.2542720000000003</v>
      </c>
      <c r="P179">
        <v>7.53688</v>
      </c>
      <c r="Q179">
        <v>7.8034520000000001</v>
      </c>
      <c r="R179">
        <v>8.0759740000000004</v>
      </c>
      <c r="S179">
        <v>8.3441159999999996</v>
      </c>
      <c r="T179">
        <v>8.579269</v>
      </c>
      <c r="U179">
        <v>8.8295440000000003</v>
      </c>
      <c r="V179">
        <v>9.0795139999999996</v>
      </c>
      <c r="W179">
        <v>9.3362879999999997</v>
      </c>
      <c r="X179">
        <v>9.597092</v>
      </c>
      <c r="Y179">
        <v>9.8659820000000007</v>
      </c>
      <c r="Z179">
        <v>10.143768</v>
      </c>
      <c r="AA179">
        <v>11.030609</v>
      </c>
      <c r="AB179">
        <v>11.366165000000001</v>
      </c>
      <c r="AC179">
        <v>11.583878</v>
      </c>
      <c r="AD179">
        <v>11.821182</v>
      </c>
      <c r="AE179">
        <v>12.070999</v>
      </c>
      <c r="AF179">
        <v>12.325974</v>
      </c>
      <c r="AG179" s="144">
        <v>2.4E-2</v>
      </c>
    </row>
    <row r="180" spans="1:33">
      <c r="A180" t="s">
        <v>2414</v>
      </c>
      <c r="B180" t="s">
        <v>2523</v>
      </c>
      <c r="C180" t="s">
        <v>2522</v>
      </c>
      <c r="D180" t="s">
        <v>2349</v>
      </c>
      <c r="F180">
        <v>9.5560299999999998</v>
      </c>
      <c r="G180">
        <v>18.106093999999999</v>
      </c>
      <c r="H180">
        <v>20.079498000000001</v>
      </c>
      <c r="I180">
        <v>20.360962000000001</v>
      </c>
      <c r="J180">
        <v>20.565215999999999</v>
      </c>
      <c r="K180">
        <v>20.526337000000002</v>
      </c>
      <c r="L180">
        <v>20.309539999999998</v>
      </c>
      <c r="M180">
        <v>20.416350999999999</v>
      </c>
      <c r="N180">
        <v>20.461487000000002</v>
      </c>
      <c r="O180">
        <v>20.479552999999999</v>
      </c>
      <c r="P180">
        <v>20.520782000000001</v>
      </c>
      <c r="Q180">
        <v>20.456848000000001</v>
      </c>
      <c r="R180">
        <v>20.490448000000001</v>
      </c>
      <c r="S180">
        <v>20.558471999999998</v>
      </c>
      <c r="T180">
        <v>20.394379000000001</v>
      </c>
      <c r="U180">
        <v>20.403503000000001</v>
      </c>
      <c r="V180">
        <v>20.439484</v>
      </c>
      <c r="W180">
        <v>20.550049000000001</v>
      </c>
      <c r="X180">
        <v>20.678650000000001</v>
      </c>
      <c r="Y180">
        <v>20.832825</v>
      </c>
      <c r="Z180">
        <v>21.045653999999999</v>
      </c>
      <c r="AA180">
        <v>21.493010999999999</v>
      </c>
      <c r="AB180">
        <v>21.668151999999999</v>
      </c>
      <c r="AC180">
        <v>21.872955000000001</v>
      </c>
      <c r="AD180">
        <v>22.113434000000002</v>
      </c>
      <c r="AE180">
        <v>22.388428000000001</v>
      </c>
      <c r="AF180">
        <v>22.696442000000001</v>
      </c>
      <c r="AG180" s="144">
        <v>3.4000000000000002E-2</v>
      </c>
    </row>
    <row r="181" spans="1:33">
      <c r="A181" t="s">
        <v>2391</v>
      </c>
      <c r="B181" t="s">
        <v>2521</v>
      </c>
      <c r="C181" t="s">
        <v>2520</v>
      </c>
      <c r="D181" t="s">
        <v>2349</v>
      </c>
      <c r="F181">
        <v>43.084499000000001</v>
      </c>
      <c r="G181">
        <v>7.2758409999999998</v>
      </c>
      <c r="H181">
        <v>29.789082000000001</v>
      </c>
      <c r="I181">
        <v>30.198889000000001</v>
      </c>
      <c r="J181">
        <v>32.275641999999998</v>
      </c>
      <c r="K181">
        <v>33.170639000000001</v>
      </c>
      <c r="L181">
        <v>33.786278000000003</v>
      </c>
      <c r="M181">
        <v>33.964320999999998</v>
      </c>
      <c r="N181">
        <v>34.026328999999997</v>
      </c>
      <c r="O181">
        <v>34.243293999999999</v>
      </c>
      <c r="P181">
        <v>34.307651999999997</v>
      </c>
      <c r="Q181">
        <v>34.326476999999997</v>
      </c>
      <c r="R181">
        <v>35.060668999999997</v>
      </c>
      <c r="S181">
        <v>34.735382000000001</v>
      </c>
      <c r="T181">
        <v>35.008648000000001</v>
      </c>
      <c r="U181">
        <v>34.965324000000003</v>
      </c>
      <c r="V181">
        <v>35.610290999999997</v>
      </c>
      <c r="W181">
        <v>36.499405000000003</v>
      </c>
      <c r="X181">
        <v>36.582970000000003</v>
      </c>
      <c r="Y181">
        <v>36.153892999999997</v>
      </c>
      <c r="Z181">
        <v>34.946072000000001</v>
      </c>
      <c r="AA181">
        <v>33.195698</v>
      </c>
      <c r="AB181">
        <v>32.132781999999999</v>
      </c>
      <c r="AC181">
        <v>31.682784999999999</v>
      </c>
      <c r="AD181">
        <v>32.097014999999999</v>
      </c>
      <c r="AE181">
        <v>33.338768000000002</v>
      </c>
      <c r="AF181">
        <v>34.252453000000003</v>
      </c>
      <c r="AG181" s="144">
        <v>-8.9999999999999993E-3</v>
      </c>
    </row>
    <row r="182" spans="1:33">
      <c r="A182" t="s">
        <v>2420</v>
      </c>
      <c r="B182" t="s">
        <v>2519</v>
      </c>
      <c r="C182" t="s">
        <v>2518</v>
      </c>
      <c r="D182" t="s">
        <v>2349</v>
      </c>
      <c r="F182">
        <v>6.2283299999999997</v>
      </c>
      <c r="G182">
        <v>5.1383970000000003</v>
      </c>
      <c r="H182">
        <v>13.900726000000001</v>
      </c>
      <c r="I182">
        <v>14.182648</v>
      </c>
      <c r="J182">
        <v>14.523163</v>
      </c>
      <c r="K182">
        <v>14.986205999999999</v>
      </c>
      <c r="L182">
        <v>15.336959999999999</v>
      </c>
      <c r="M182">
        <v>15.534698000000001</v>
      </c>
      <c r="N182">
        <v>15.673569000000001</v>
      </c>
      <c r="O182">
        <v>15.86322</v>
      </c>
      <c r="P182">
        <v>15.959808000000001</v>
      </c>
      <c r="Q182">
        <v>16.004486</v>
      </c>
      <c r="R182">
        <v>16.289733999999999</v>
      </c>
      <c r="S182">
        <v>16.125183</v>
      </c>
      <c r="T182">
        <v>16.159148999999999</v>
      </c>
      <c r="U182">
        <v>16.046173</v>
      </c>
      <c r="V182">
        <v>16.187836000000001</v>
      </c>
      <c r="W182">
        <v>16.405304000000001</v>
      </c>
      <c r="X182">
        <v>16.30603</v>
      </c>
      <c r="Y182">
        <v>15.989990000000001</v>
      </c>
      <c r="Z182">
        <v>15.384857</v>
      </c>
      <c r="AA182">
        <v>14.627991</v>
      </c>
      <c r="AB182">
        <v>14.191742</v>
      </c>
      <c r="AC182">
        <v>13.924408</v>
      </c>
      <c r="AD182">
        <v>14.025359999999999</v>
      </c>
      <c r="AE182">
        <v>14.46524</v>
      </c>
      <c r="AF182">
        <v>14.799042</v>
      </c>
      <c r="AG182" s="144">
        <v>3.4000000000000002E-2</v>
      </c>
    </row>
    <row r="183" spans="1:33">
      <c r="A183" t="s">
        <v>2417</v>
      </c>
      <c r="B183" t="s">
        <v>2517</v>
      </c>
      <c r="C183" t="s">
        <v>2516</v>
      </c>
      <c r="D183" t="s">
        <v>2349</v>
      </c>
      <c r="F183">
        <v>36.478931000000003</v>
      </c>
      <c r="G183">
        <v>1.9480440000000001</v>
      </c>
      <c r="H183">
        <v>15.493546</v>
      </c>
      <c r="I183">
        <v>15.615738</v>
      </c>
      <c r="J183">
        <v>17.346537000000001</v>
      </c>
      <c r="K183">
        <v>17.769310000000001</v>
      </c>
      <c r="L183">
        <v>18.028687000000001</v>
      </c>
      <c r="M183">
        <v>18.006057999999999</v>
      </c>
      <c r="N183">
        <v>17.927261000000001</v>
      </c>
      <c r="O183">
        <v>17.950589999999998</v>
      </c>
      <c r="P183">
        <v>17.916086</v>
      </c>
      <c r="Q183">
        <v>17.888439000000002</v>
      </c>
      <c r="R183">
        <v>18.328140000000001</v>
      </c>
      <c r="S183">
        <v>18.169439000000001</v>
      </c>
      <c r="T183">
        <v>18.404692000000001</v>
      </c>
      <c r="U183">
        <v>18.473358000000001</v>
      </c>
      <c r="V183">
        <v>18.968222000000001</v>
      </c>
      <c r="W183">
        <v>19.628805</v>
      </c>
      <c r="X183">
        <v>19.808617000000002</v>
      </c>
      <c r="Y183">
        <v>19.698191000000001</v>
      </c>
      <c r="Z183">
        <v>19.106085</v>
      </c>
      <c r="AA183">
        <v>18.129726000000002</v>
      </c>
      <c r="AB183">
        <v>17.513407000000001</v>
      </c>
      <c r="AC183">
        <v>17.333818000000001</v>
      </c>
      <c r="AD183">
        <v>17.641199</v>
      </c>
      <c r="AE183">
        <v>18.428923000000001</v>
      </c>
      <c r="AF183">
        <v>18.99823</v>
      </c>
      <c r="AG183" s="144">
        <v>-2.5000000000000001E-2</v>
      </c>
    </row>
    <row r="184" spans="1:33">
      <c r="A184" t="s">
        <v>2414</v>
      </c>
      <c r="B184" t="s">
        <v>2515</v>
      </c>
      <c r="C184" t="s">
        <v>2514</v>
      </c>
      <c r="D184" t="s">
        <v>2349</v>
      </c>
      <c r="F184">
        <v>0.37724000000000002</v>
      </c>
      <c r="G184">
        <v>0.18940000000000001</v>
      </c>
      <c r="H184">
        <v>0.39480900000000002</v>
      </c>
      <c r="I184">
        <v>0.40050400000000003</v>
      </c>
      <c r="J184">
        <v>0.405943</v>
      </c>
      <c r="K184">
        <v>0.41512199999999999</v>
      </c>
      <c r="L184">
        <v>0.42063200000000001</v>
      </c>
      <c r="M184">
        <v>0.423564</v>
      </c>
      <c r="N184">
        <v>0.42550100000000002</v>
      </c>
      <c r="O184">
        <v>0.429483</v>
      </c>
      <c r="P184">
        <v>0.43175799999999998</v>
      </c>
      <c r="Q184">
        <v>0.43355199999999999</v>
      </c>
      <c r="R184">
        <v>0.44279499999999999</v>
      </c>
      <c r="S184">
        <v>0.44075900000000001</v>
      </c>
      <c r="T184">
        <v>0.44480399999999998</v>
      </c>
      <c r="U184">
        <v>0.44579099999999999</v>
      </c>
      <c r="V184">
        <v>0.454231</v>
      </c>
      <c r="W184">
        <v>0.46529599999999999</v>
      </c>
      <c r="X184">
        <v>0.46832099999999999</v>
      </c>
      <c r="Y184">
        <v>0.46571299999999999</v>
      </c>
      <c r="Z184">
        <v>0.455127</v>
      </c>
      <c r="AA184">
        <v>0.43798100000000001</v>
      </c>
      <c r="AB184">
        <v>0.42763499999999999</v>
      </c>
      <c r="AC184">
        <v>0.42455999999999999</v>
      </c>
      <c r="AD184">
        <v>0.43045800000000001</v>
      </c>
      <c r="AE184">
        <v>0.44460100000000002</v>
      </c>
      <c r="AF184">
        <v>0.45518199999999998</v>
      </c>
      <c r="AG184" s="144">
        <v>7.0000000000000001E-3</v>
      </c>
    </row>
    <row r="185" spans="1:33">
      <c r="A185" t="s">
        <v>2388</v>
      </c>
      <c r="B185" t="s">
        <v>2513</v>
      </c>
      <c r="C185" t="s">
        <v>2512</v>
      </c>
      <c r="D185" t="s">
        <v>2349</v>
      </c>
      <c r="F185">
        <v>84.074707000000004</v>
      </c>
      <c r="G185">
        <v>92.996528999999995</v>
      </c>
      <c r="H185">
        <v>101.012398</v>
      </c>
      <c r="I185">
        <v>70.425826999999998</v>
      </c>
      <c r="J185">
        <v>55.522796999999997</v>
      </c>
      <c r="K185">
        <v>38.304305999999997</v>
      </c>
      <c r="L185">
        <v>39.305832000000002</v>
      </c>
      <c r="M185">
        <v>40.391463999999999</v>
      </c>
      <c r="N185">
        <v>41.731597999999998</v>
      </c>
      <c r="O185">
        <v>43.173309000000003</v>
      </c>
      <c r="P185">
        <v>44.638610999999997</v>
      </c>
      <c r="Q185">
        <v>45.968918000000002</v>
      </c>
      <c r="R185">
        <v>46.799239999999998</v>
      </c>
      <c r="S185">
        <v>47.544800000000002</v>
      </c>
      <c r="T185">
        <v>48.447876000000001</v>
      </c>
      <c r="U185">
        <v>49.416533999999999</v>
      </c>
      <c r="V185">
        <v>50.528838999999998</v>
      </c>
      <c r="W185">
        <v>52.767532000000003</v>
      </c>
      <c r="X185">
        <v>54.664093000000001</v>
      </c>
      <c r="Y185">
        <v>56.013184000000003</v>
      </c>
      <c r="Z185">
        <v>57.308562999999999</v>
      </c>
      <c r="AA185">
        <v>58.576400999999997</v>
      </c>
      <c r="AB185">
        <v>60.135178000000003</v>
      </c>
      <c r="AC185">
        <v>61.820435000000003</v>
      </c>
      <c r="AD185">
        <v>62.863663000000003</v>
      </c>
      <c r="AE185">
        <v>63.928818</v>
      </c>
      <c r="AF185">
        <v>65.247619999999998</v>
      </c>
      <c r="AG185" s="144">
        <v>-0.01</v>
      </c>
    </row>
    <row r="186" spans="1:33">
      <c r="A186" t="s">
        <v>2420</v>
      </c>
      <c r="B186" t="s">
        <v>2511</v>
      </c>
      <c r="C186" t="s">
        <v>2510</v>
      </c>
      <c r="D186" t="s">
        <v>2349</v>
      </c>
      <c r="F186">
        <v>58.829224000000004</v>
      </c>
      <c r="G186">
        <v>58.144043000000003</v>
      </c>
      <c r="H186">
        <v>63.434539999999998</v>
      </c>
      <c r="I186">
        <v>44.688831</v>
      </c>
      <c r="J186">
        <v>35.820435000000003</v>
      </c>
      <c r="K186">
        <v>25.378661999999998</v>
      </c>
      <c r="L186">
        <v>26.117249000000001</v>
      </c>
      <c r="M186">
        <v>26.903625000000002</v>
      </c>
      <c r="N186">
        <v>27.847899999999999</v>
      </c>
      <c r="O186">
        <v>28.850097999999999</v>
      </c>
      <c r="P186">
        <v>29.860046000000001</v>
      </c>
      <c r="Q186">
        <v>30.77478</v>
      </c>
      <c r="R186">
        <v>31.357361000000001</v>
      </c>
      <c r="S186">
        <v>31.878357000000001</v>
      </c>
      <c r="T186">
        <v>32.494385000000001</v>
      </c>
      <c r="U186">
        <v>33.145080999999998</v>
      </c>
      <c r="V186">
        <v>33.879333000000003</v>
      </c>
      <c r="W186">
        <v>35.336303999999998</v>
      </c>
      <c r="X186">
        <v>36.556519000000002</v>
      </c>
      <c r="Y186">
        <v>37.395569000000002</v>
      </c>
      <c r="Z186">
        <v>38.183044000000002</v>
      </c>
      <c r="AA186">
        <v>38.936584000000003</v>
      </c>
      <c r="AB186">
        <v>39.856749999999998</v>
      </c>
      <c r="AC186">
        <v>40.836426000000003</v>
      </c>
      <c r="AD186">
        <v>41.380004999999997</v>
      </c>
      <c r="AE186">
        <v>41.921813999999998</v>
      </c>
      <c r="AF186">
        <v>42.617736999999998</v>
      </c>
      <c r="AG186" s="144">
        <v>-1.2E-2</v>
      </c>
    </row>
    <row r="187" spans="1:33">
      <c r="A187" t="s">
        <v>2417</v>
      </c>
      <c r="B187" t="s">
        <v>2509</v>
      </c>
      <c r="C187" t="s">
        <v>2508</v>
      </c>
      <c r="D187" t="s">
        <v>2349</v>
      </c>
      <c r="F187">
        <v>10.70711</v>
      </c>
      <c r="G187">
        <v>22.922706999999999</v>
      </c>
      <c r="H187">
        <v>24.425834999999999</v>
      </c>
      <c r="I187">
        <v>15.890114000000001</v>
      </c>
      <c r="J187">
        <v>10.676437</v>
      </c>
      <c r="K187">
        <v>5.4167630000000004</v>
      </c>
      <c r="L187">
        <v>5.486847</v>
      </c>
      <c r="M187">
        <v>5.566147</v>
      </c>
      <c r="N187">
        <v>5.6873779999999998</v>
      </c>
      <c r="O187">
        <v>5.8340300000000003</v>
      </c>
      <c r="P187">
        <v>5.992432</v>
      </c>
      <c r="Q187">
        <v>6.1448359999999997</v>
      </c>
      <c r="R187">
        <v>6.2466280000000003</v>
      </c>
      <c r="S187">
        <v>6.3485259999999997</v>
      </c>
      <c r="T187">
        <v>6.4815519999999998</v>
      </c>
      <c r="U187">
        <v>6.6326599999999996</v>
      </c>
      <c r="V187">
        <v>6.8158719999999997</v>
      </c>
      <c r="W187">
        <v>7.1483920000000003</v>
      </c>
      <c r="X187">
        <v>7.4508669999999997</v>
      </c>
      <c r="Y187">
        <v>7.705673</v>
      </c>
      <c r="Z187">
        <v>7.9748539999999997</v>
      </c>
      <c r="AA187">
        <v>8.2664950000000008</v>
      </c>
      <c r="AB187">
        <v>8.6189420000000005</v>
      </c>
      <c r="AC187">
        <v>9.0091400000000004</v>
      </c>
      <c r="AD187">
        <v>9.3409270000000006</v>
      </c>
      <c r="AE187">
        <v>9.6980900000000005</v>
      </c>
      <c r="AF187">
        <v>10.099045</v>
      </c>
      <c r="AG187" s="144">
        <v>-2E-3</v>
      </c>
    </row>
    <row r="188" spans="1:33">
      <c r="A188" t="s">
        <v>2414</v>
      </c>
      <c r="B188" t="s">
        <v>2507</v>
      </c>
      <c r="C188" t="s">
        <v>2506</v>
      </c>
      <c r="D188" t="s">
        <v>2349</v>
      </c>
      <c r="F188">
        <v>14.538376</v>
      </c>
      <c r="G188">
        <v>11.929779</v>
      </c>
      <c r="H188">
        <v>13.152023</v>
      </c>
      <c r="I188">
        <v>9.8468780000000002</v>
      </c>
      <c r="J188">
        <v>9.0259250000000009</v>
      </c>
      <c r="K188">
        <v>7.5088809999999997</v>
      </c>
      <c r="L188">
        <v>7.7017360000000004</v>
      </c>
      <c r="M188">
        <v>7.9216920000000002</v>
      </c>
      <c r="N188">
        <v>8.1963200000000001</v>
      </c>
      <c r="O188">
        <v>8.4891819999999996</v>
      </c>
      <c r="P188">
        <v>8.7861329999999995</v>
      </c>
      <c r="Q188">
        <v>9.0493009999999998</v>
      </c>
      <c r="R188">
        <v>9.1952510000000007</v>
      </c>
      <c r="S188">
        <v>9.3179169999999996</v>
      </c>
      <c r="T188">
        <v>9.4719390000000008</v>
      </c>
      <c r="U188">
        <v>9.6387940000000008</v>
      </c>
      <c r="V188">
        <v>9.8336330000000007</v>
      </c>
      <c r="W188">
        <v>10.282837000000001</v>
      </c>
      <c r="X188">
        <v>10.656708</v>
      </c>
      <c r="Y188">
        <v>10.911942</v>
      </c>
      <c r="Z188">
        <v>11.150665</v>
      </c>
      <c r="AA188">
        <v>11.373322</v>
      </c>
      <c r="AB188">
        <v>11.659485</v>
      </c>
      <c r="AC188">
        <v>11.974869</v>
      </c>
      <c r="AD188">
        <v>12.142730999999999</v>
      </c>
      <c r="AE188">
        <v>12.308914</v>
      </c>
      <c r="AF188">
        <v>12.530837999999999</v>
      </c>
      <c r="AG188" s="144">
        <v>-6.0000000000000001E-3</v>
      </c>
    </row>
    <row r="189" spans="1:33">
      <c r="A189" t="s">
        <v>2385</v>
      </c>
      <c r="B189" t="s">
        <v>2505</v>
      </c>
      <c r="C189" t="s">
        <v>2504</v>
      </c>
      <c r="D189" t="s">
        <v>2349</v>
      </c>
      <c r="F189">
        <v>23.461634</v>
      </c>
      <c r="G189">
        <v>19.559650000000001</v>
      </c>
      <c r="H189">
        <v>24.251434</v>
      </c>
      <c r="I189">
        <v>21.377963999999999</v>
      </c>
      <c r="J189">
        <v>26.800121000000001</v>
      </c>
      <c r="K189">
        <v>22.846088000000002</v>
      </c>
      <c r="L189">
        <v>23.071075</v>
      </c>
      <c r="M189">
        <v>23.378921999999999</v>
      </c>
      <c r="N189">
        <v>23.955441</v>
      </c>
      <c r="O189">
        <v>24.639301</v>
      </c>
      <c r="P189">
        <v>25.358253000000001</v>
      </c>
      <c r="Q189">
        <v>26.230473</v>
      </c>
      <c r="R189">
        <v>27.183727000000001</v>
      </c>
      <c r="S189">
        <v>28.075648999999999</v>
      </c>
      <c r="T189">
        <v>28.938231999999999</v>
      </c>
      <c r="U189">
        <v>29.833065000000001</v>
      </c>
      <c r="V189">
        <v>30.666575999999999</v>
      </c>
      <c r="W189">
        <v>31.521591000000001</v>
      </c>
      <c r="X189">
        <v>32.530582000000003</v>
      </c>
      <c r="Y189">
        <v>33.57835</v>
      </c>
      <c r="Z189">
        <v>34.643279999999997</v>
      </c>
      <c r="AA189">
        <v>35.740509000000003</v>
      </c>
      <c r="AB189">
        <v>36.756644999999999</v>
      </c>
      <c r="AC189">
        <v>37.84816</v>
      </c>
      <c r="AD189">
        <v>38.962218999999997</v>
      </c>
      <c r="AE189">
        <v>40.134117000000003</v>
      </c>
      <c r="AF189">
        <v>41.348571999999997</v>
      </c>
      <c r="AG189" s="144">
        <v>2.1999999999999999E-2</v>
      </c>
    </row>
    <row r="190" spans="1:33">
      <c r="A190" t="s">
        <v>2420</v>
      </c>
      <c r="B190" t="s">
        <v>2503</v>
      </c>
      <c r="C190" t="s">
        <v>2502</v>
      </c>
      <c r="D190" t="s">
        <v>2349</v>
      </c>
      <c r="F190">
        <v>16.051894999999998</v>
      </c>
      <c r="G190">
        <v>13.644196000000001</v>
      </c>
      <c r="H190">
        <v>16.832169</v>
      </c>
      <c r="I190">
        <v>14.818375</v>
      </c>
      <c r="J190">
        <v>18.621765</v>
      </c>
      <c r="K190">
        <v>15.761642</v>
      </c>
      <c r="L190">
        <v>15.89827</v>
      </c>
      <c r="M190">
        <v>16.080185</v>
      </c>
      <c r="N190">
        <v>16.432465000000001</v>
      </c>
      <c r="O190">
        <v>16.848327999999999</v>
      </c>
      <c r="P190">
        <v>17.281524999999998</v>
      </c>
      <c r="Q190">
        <v>17.810974000000002</v>
      </c>
      <c r="R190">
        <v>18.391113000000001</v>
      </c>
      <c r="S190">
        <v>18.930389000000002</v>
      </c>
      <c r="T190">
        <v>19.451384999999998</v>
      </c>
      <c r="U190">
        <v>19.99823</v>
      </c>
      <c r="V190">
        <v>20.512726000000001</v>
      </c>
      <c r="W190">
        <v>21.050446000000001</v>
      </c>
      <c r="X190">
        <v>21.700989</v>
      </c>
      <c r="Y190">
        <v>22.389251999999999</v>
      </c>
      <c r="Z190">
        <v>23.101807000000001</v>
      </c>
      <c r="AA190">
        <v>23.847290000000001</v>
      </c>
      <c r="AB190">
        <v>24.549225</v>
      </c>
      <c r="AC190">
        <v>25.308745999999999</v>
      </c>
      <c r="AD190">
        <v>26.088470000000001</v>
      </c>
      <c r="AE190">
        <v>26.909026999999998</v>
      </c>
      <c r="AF190">
        <v>27.758483999999999</v>
      </c>
      <c r="AG190" s="144">
        <v>2.1000000000000001E-2</v>
      </c>
    </row>
    <row r="191" spans="1:33">
      <c r="A191" t="s">
        <v>2417</v>
      </c>
      <c r="B191" t="s">
        <v>2501</v>
      </c>
      <c r="C191" t="s">
        <v>2500</v>
      </c>
      <c r="D191" t="s">
        <v>2349</v>
      </c>
      <c r="F191">
        <v>2.291906</v>
      </c>
      <c r="G191">
        <v>1.8775440000000001</v>
      </c>
      <c r="H191">
        <v>2.4123000000000001</v>
      </c>
      <c r="I191">
        <v>2.0186959999999998</v>
      </c>
      <c r="J191">
        <v>2.7580070000000001</v>
      </c>
      <c r="K191">
        <v>2.1816059999999999</v>
      </c>
      <c r="L191">
        <v>2.230499</v>
      </c>
      <c r="M191">
        <v>2.2915730000000001</v>
      </c>
      <c r="N191">
        <v>2.387203</v>
      </c>
      <c r="O191">
        <v>2.499409</v>
      </c>
      <c r="P191">
        <v>2.620384</v>
      </c>
      <c r="Q191">
        <v>2.761425</v>
      </c>
      <c r="R191">
        <v>2.9139370000000002</v>
      </c>
      <c r="S191">
        <v>3.0608249999999999</v>
      </c>
      <c r="T191">
        <v>3.2023160000000002</v>
      </c>
      <c r="U191">
        <v>3.3426019999999999</v>
      </c>
      <c r="V191">
        <v>3.4697300000000002</v>
      </c>
      <c r="W191">
        <v>3.5889739999999999</v>
      </c>
      <c r="X191">
        <v>3.7130010000000002</v>
      </c>
      <c r="Y191">
        <v>3.828999</v>
      </c>
      <c r="Z191">
        <v>3.935562</v>
      </c>
      <c r="AA191">
        <v>4.0360950000000004</v>
      </c>
      <c r="AB191">
        <v>4.1208270000000002</v>
      </c>
      <c r="AC191">
        <v>4.2094569999999996</v>
      </c>
      <c r="AD191">
        <v>4.2989350000000002</v>
      </c>
      <c r="AE191">
        <v>4.3956379999999999</v>
      </c>
      <c r="AF191">
        <v>4.4995729999999998</v>
      </c>
      <c r="AG191" s="144">
        <v>2.5999999999999999E-2</v>
      </c>
    </row>
    <row r="192" spans="1:33">
      <c r="A192" t="s">
        <v>2414</v>
      </c>
      <c r="B192" t="s">
        <v>2499</v>
      </c>
      <c r="C192" t="s">
        <v>2498</v>
      </c>
      <c r="D192" t="s">
        <v>2349</v>
      </c>
      <c r="F192">
        <v>5.1178319999999999</v>
      </c>
      <c r="G192">
        <v>4.0379100000000001</v>
      </c>
      <c r="H192">
        <v>5.0069660000000002</v>
      </c>
      <c r="I192">
        <v>4.5408939999999998</v>
      </c>
      <c r="J192">
        <v>5.4203489999999999</v>
      </c>
      <c r="K192">
        <v>4.9028400000000003</v>
      </c>
      <c r="L192">
        <v>4.9423069999999996</v>
      </c>
      <c r="M192">
        <v>5.0071640000000004</v>
      </c>
      <c r="N192">
        <v>5.1357730000000004</v>
      </c>
      <c r="O192">
        <v>5.2915650000000003</v>
      </c>
      <c r="P192">
        <v>5.4563449999999998</v>
      </c>
      <c r="Q192">
        <v>5.6580729999999999</v>
      </c>
      <c r="R192">
        <v>5.8786769999999997</v>
      </c>
      <c r="S192">
        <v>6.084435</v>
      </c>
      <c r="T192">
        <v>6.2845310000000003</v>
      </c>
      <c r="U192">
        <v>6.4922329999999997</v>
      </c>
      <c r="V192">
        <v>6.6841200000000001</v>
      </c>
      <c r="W192">
        <v>6.8821719999999997</v>
      </c>
      <c r="X192">
        <v>7.1165919999999998</v>
      </c>
      <c r="Y192">
        <v>7.3601000000000001</v>
      </c>
      <c r="Z192">
        <v>7.6059109999999999</v>
      </c>
      <c r="AA192">
        <v>7.8571239999999998</v>
      </c>
      <c r="AB192">
        <v>8.0865939999999998</v>
      </c>
      <c r="AC192">
        <v>8.3299559999999992</v>
      </c>
      <c r="AD192">
        <v>8.5748139999999999</v>
      </c>
      <c r="AE192">
        <v>8.8294530000000009</v>
      </c>
      <c r="AF192">
        <v>9.0905149999999999</v>
      </c>
      <c r="AG192" s="144">
        <v>2.1999999999999999E-2</v>
      </c>
    </row>
    <row r="193" spans="1:33">
      <c r="A193" t="s">
        <v>198</v>
      </c>
      <c r="B193" t="s">
        <v>2497</v>
      </c>
      <c r="C193" t="s">
        <v>2496</v>
      </c>
      <c r="D193" t="s">
        <v>2349</v>
      </c>
      <c r="F193">
        <v>497.07781999999997</v>
      </c>
      <c r="G193">
        <v>318.32605000000001</v>
      </c>
      <c r="H193">
        <v>367.27825899999999</v>
      </c>
      <c r="I193">
        <v>377.446167</v>
      </c>
      <c r="J193">
        <v>395.63104199999998</v>
      </c>
      <c r="K193">
        <v>417.32894900000002</v>
      </c>
      <c r="L193">
        <v>434.11129799999998</v>
      </c>
      <c r="M193">
        <v>454.31488000000002</v>
      </c>
      <c r="N193">
        <v>476.09115600000001</v>
      </c>
      <c r="O193">
        <v>496.38107300000001</v>
      </c>
      <c r="P193">
        <v>516.826233</v>
      </c>
      <c r="Q193">
        <v>537.26104699999996</v>
      </c>
      <c r="R193">
        <v>555.03564500000005</v>
      </c>
      <c r="S193">
        <v>574.61749299999997</v>
      </c>
      <c r="T193">
        <v>595.536743</v>
      </c>
      <c r="U193">
        <v>616.13995399999999</v>
      </c>
      <c r="V193">
        <v>635.84057600000006</v>
      </c>
      <c r="W193">
        <v>655.05853300000001</v>
      </c>
      <c r="X193">
        <v>673.87805200000003</v>
      </c>
      <c r="Y193">
        <v>691.82336399999997</v>
      </c>
      <c r="Z193">
        <v>709.08319100000006</v>
      </c>
      <c r="AA193">
        <v>725.73223900000005</v>
      </c>
      <c r="AB193">
        <v>741.90454099999999</v>
      </c>
      <c r="AC193">
        <v>757.65637200000003</v>
      </c>
      <c r="AD193">
        <v>773.108521</v>
      </c>
      <c r="AE193">
        <v>788.60430899999994</v>
      </c>
      <c r="AF193">
        <v>804.10858199999996</v>
      </c>
      <c r="AG193" s="144">
        <v>1.9E-2</v>
      </c>
    </row>
    <row r="194" spans="1:33">
      <c r="A194" t="s">
        <v>2420</v>
      </c>
      <c r="B194" t="s">
        <v>2495</v>
      </c>
      <c r="C194" t="s">
        <v>2494</v>
      </c>
      <c r="D194" t="s">
        <v>2349</v>
      </c>
      <c r="F194">
        <v>276.73751800000002</v>
      </c>
      <c r="G194">
        <v>283.66018700000001</v>
      </c>
      <c r="H194">
        <v>291.55502300000001</v>
      </c>
      <c r="I194">
        <v>297.33184799999998</v>
      </c>
      <c r="J194">
        <v>311.810699</v>
      </c>
      <c r="K194">
        <v>329.10732999999999</v>
      </c>
      <c r="L194">
        <v>342.68310500000001</v>
      </c>
      <c r="M194">
        <v>358.63812300000001</v>
      </c>
      <c r="N194">
        <v>375.75903299999999</v>
      </c>
      <c r="O194">
        <v>391.509277</v>
      </c>
      <c r="P194">
        <v>407.24627700000002</v>
      </c>
      <c r="Q194">
        <v>422.78796399999999</v>
      </c>
      <c r="R194">
        <v>436.00256300000001</v>
      </c>
      <c r="S194">
        <v>450.50824</v>
      </c>
      <c r="T194">
        <v>465.95330799999999</v>
      </c>
      <c r="U194">
        <v>481.009277</v>
      </c>
      <c r="V194">
        <v>495.23046900000003</v>
      </c>
      <c r="W194">
        <v>508.99804699999999</v>
      </c>
      <c r="X194">
        <v>522.48388699999998</v>
      </c>
      <c r="Y194">
        <v>535.21142599999996</v>
      </c>
      <c r="Z194">
        <v>547.35497999999995</v>
      </c>
      <c r="AA194">
        <v>559.15429700000004</v>
      </c>
      <c r="AB194">
        <v>570.70507799999996</v>
      </c>
      <c r="AC194">
        <v>582.01367200000004</v>
      </c>
      <c r="AD194">
        <v>593.20898399999999</v>
      </c>
      <c r="AE194">
        <v>604.54394500000001</v>
      </c>
      <c r="AF194">
        <v>615.9375</v>
      </c>
      <c r="AG194" s="144">
        <v>3.1E-2</v>
      </c>
    </row>
    <row r="195" spans="1:33">
      <c r="A195" t="s">
        <v>2417</v>
      </c>
      <c r="B195" t="s">
        <v>2493</v>
      </c>
      <c r="C195" t="s">
        <v>2492</v>
      </c>
      <c r="D195" t="s">
        <v>2349</v>
      </c>
      <c r="F195">
        <v>202.149597</v>
      </c>
      <c r="G195">
        <v>15.989215</v>
      </c>
      <c r="H195">
        <v>57.191040000000001</v>
      </c>
      <c r="I195">
        <v>61.302352999999997</v>
      </c>
      <c r="J195">
        <v>64.141707999999994</v>
      </c>
      <c r="K195">
        <v>67.497558999999995</v>
      </c>
      <c r="L195">
        <v>69.905074999999997</v>
      </c>
      <c r="M195">
        <v>73.217170999999993</v>
      </c>
      <c r="N195">
        <v>76.865616000000003</v>
      </c>
      <c r="O195">
        <v>80.487938</v>
      </c>
      <c r="P195">
        <v>84.278000000000006</v>
      </c>
      <c r="Q195">
        <v>88.257232999999999</v>
      </c>
      <c r="R195">
        <v>92.042793000000003</v>
      </c>
      <c r="S195">
        <v>96.243454</v>
      </c>
      <c r="T195">
        <v>100.75469200000001</v>
      </c>
      <c r="U195">
        <v>105.33741000000001</v>
      </c>
      <c r="V195">
        <v>109.878197</v>
      </c>
      <c r="W195">
        <v>114.38793200000001</v>
      </c>
      <c r="X195">
        <v>118.78387499999999</v>
      </c>
      <c r="Y195">
        <v>123.085976</v>
      </c>
      <c r="Z195">
        <v>127.30275</v>
      </c>
      <c r="AA195">
        <v>131.261765</v>
      </c>
      <c r="AB195">
        <v>135.00262499999999</v>
      </c>
      <c r="AC195">
        <v>138.58386200000001</v>
      </c>
      <c r="AD195">
        <v>141.99804700000001</v>
      </c>
      <c r="AE195">
        <v>145.32865899999999</v>
      </c>
      <c r="AF195">
        <v>148.632812</v>
      </c>
      <c r="AG195" s="144">
        <v>-1.2E-2</v>
      </c>
    </row>
    <row r="196" spans="1:33">
      <c r="A196" t="s">
        <v>2414</v>
      </c>
      <c r="B196" t="s">
        <v>2491</v>
      </c>
      <c r="C196" t="s">
        <v>2490</v>
      </c>
      <c r="D196" t="s">
        <v>2349</v>
      </c>
      <c r="F196">
        <v>18.190688999999999</v>
      </c>
      <c r="G196">
        <v>18.676638000000001</v>
      </c>
      <c r="H196">
        <v>18.532188000000001</v>
      </c>
      <c r="I196">
        <v>18.811958000000001</v>
      </c>
      <c r="J196">
        <v>19.678659</v>
      </c>
      <c r="K196">
        <v>20.724067999999999</v>
      </c>
      <c r="L196">
        <v>21.523102000000002</v>
      </c>
      <c r="M196">
        <v>22.459595</v>
      </c>
      <c r="N196">
        <v>23.466522000000001</v>
      </c>
      <c r="O196">
        <v>24.383849999999999</v>
      </c>
      <c r="P196">
        <v>25.301940999999999</v>
      </c>
      <c r="Q196">
        <v>26.215851000000001</v>
      </c>
      <c r="R196">
        <v>26.990265000000001</v>
      </c>
      <c r="S196">
        <v>27.865784000000001</v>
      </c>
      <c r="T196">
        <v>28.828735000000002</v>
      </c>
      <c r="U196">
        <v>29.793274</v>
      </c>
      <c r="V196">
        <v>30.731933999999999</v>
      </c>
      <c r="W196">
        <v>31.672546000000001</v>
      </c>
      <c r="X196">
        <v>32.610290999999997</v>
      </c>
      <c r="Y196">
        <v>33.525908999999999</v>
      </c>
      <c r="Z196">
        <v>34.425476000000003</v>
      </c>
      <c r="AA196">
        <v>35.316161999999998</v>
      </c>
      <c r="AB196">
        <v>36.196838</v>
      </c>
      <c r="AC196">
        <v>37.058838000000002</v>
      </c>
      <c r="AD196">
        <v>37.901488999999998</v>
      </c>
      <c r="AE196">
        <v>38.731689000000003</v>
      </c>
      <c r="AF196">
        <v>39.538269</v>
      </c>
      <c r="AG196" s="144">
        <v>0.03</v>
      </c>
    </row>
    <row r="197" spans="1:33">
      <c r="A197" t="s">
        <v>2380</v>
      </c>
      <c r="B197" t="s">
        <v>2489</v>
      </c>
      <c r="C197" t="s">
        <v>2488</v>
      </c>
      <c r="D197" t="s">
        <v>2349</v>
      </c>
      <c r="F197">
        <v>70.102631000000002</v>
      </c>
      <c r="G197">
        <v>86.719657999999995</v>
      </c>
      <c r="H197">
        <v>92.269042999999996</v>
      </c>
      <c r="I197">
        <v>100.55687</v>
      </c>
      <c r="J197">
        <v>106.48664100000001</v>
      </c>
      <c r="K197">
        <v>113.55687</v>
      </c>
      <c r="L197">
        <v>119.20884700000001</v>
      </c>
      <c r="M197">
        <v>125.09069100000001</v>
      </c>
      <c r="N197">
        <v>130.487503</v>
      </c>
      <c r="O197">
        <v>135.33909600000001</v>
      </c>
      <c r="P197">
        <v>140.01499899999999</v>
      </c>
      <c r="Q197">
        <v>144.42555200000001</v>
      </c>
      <c r="R197">
        <v>148.33371</v>
      </c>
      <c r="S197">
        <v>153.16871599999999</v>
      </c>
      <c r="T197">
        <v>157.453217</v>
      </c>
      <c r="U197">
        <v>162.195053</v>
      </c>
      <c r="V197">
        <v>167.88479599999999</v>
      </c>
      <c r="W197">
        <v>173.53035</v>
      </c>
      <c r="X197">
        <v>179.14297500000001</v>
      </c>
      <c r="Y197">
        <v>184.631561</v>
      </c>
      <c r="Z197">
        <v>190.02589399999999</v>
      </c>
      <c r="AA197">
        <v>195.56092799999999</v>
      </c>
      <c r="AB197">
        <v>201.38552899999999</v>
      </c>
      <c r="AC197">
        <v>207.06384299999999</v>
      </c>
      <c r="AD197">
        <v>212.61286899999999</v>
      </c>
      <c r="AE197">
        <v>218.02250699999999</v>
      </c>
      <c r="AF197">
        <v>223.287048</v>
      </c>
      <c r="AG197" s="144">
        <v>4.5999999999999999E-2</v>
      </c>
    </row>
    <row r="198" spans="1:33">
      <c r="A198" t="s">
        <v>2420</v>
      </c>
      <c r="B198" t="s">
        <v>2487</v>
      </c>
      <c r="C198" t="s">
        <v>2486</v>
      </c>
      <c r="D198" t="s">
        <v>2349</v>
      </c>
      <c r="F198">
        <v>53.977722</v>
      </c>
      <c r="G198">
        <v>67.948914000000002</v>
      </c>
      <c r="H198">
        <v>72.273132000000004</v>
      </c>
      <c r="I198">
        <v>78.812743999999995</v>
      </c>
      <c r="J198">
        <v>83.494018999999994</v>
      </c>
      <c r="K198">
        <v>89.171447999999998</v>
      </c>
      <c r="L198">
        <v>93.663703999999996</v>
      </c>
      <c r="M198">
        <v>98.290306000000001</v>
      </c>
      <c r="N198">
        <v>102.536209</v>
      </c>
      <c r="O198">
        <v>106.351364</v>
      </c>
      <c r="P198">
        <v>110.030762</v>
      </c>
      <c r="Q198">
        <v>113.508408</v>
      </c>
      <c r="R198">
        <v>116.603577</v>
      </c>
      <c r="S198">
        <v>120.44654800000001</v>
      </c>
      <c r="T198">
        <v>123.87623600000001</v>
      </c>
      <c r="U198">
        <v>127.694946</v>
      </c>
      <c r="V198">
        <v>132.28710899999999</v>
      </c>
      <c r="W198">
        <v>136.87207000000001</v>
      </c>
      <c r="X198">
        <v>141.45654300000001</v>
      </c>
      <c r="Y198">
        <v>145.92480499999999</v>
      </c>
      <c r="Z198">
        <v>150.32250999999999</v>
      </c>
      <c r="AA198">
        <v>154.816406</v>
      </c>
      <c r="AB198">
        <v>159.49951200000001</v>
      </c>
      <c r="AC198">
        <v>164.05590799999999</v>
      </c>
      <c r="AD198">
        <v>168.48339799999999</v>
      </c>
      <c r="AE198">
        <v>172.77856399999999</v>
      </c>
      <c r="AF198">
        <v>176.911621</v>
      </c>
      <c r="AG198" s="144">
        <v>4.7E-2</v>
      </c>
    </row>
    <row r="199" spans="1:33">
      <c r="A199" t="s">
        <v>2417</v>
      </c>
      <c r="B199" t="s">
        <v>2485</v>
      </c>
      <c r="C199" t="s">
        <v>2484</v>
      </c>
      <c r="D199" t="s">
        <v>2349</v>
      </c>
      <c r="F199">
        <v>5.4085460000000003</v>
      </c>
      <c r="G199">
        <v>6.7091289999999999</v>
      </c>
      <c r="H199">
        <v>7.0999280000000002</v>
      </c>
      <c r="I199">
        <v>7.6362800000000002</v>
      </c>
      <c r="J199">
        <v>8.0046879999999998</v>
      </c>
      <c r="K199">
        <v>8.4299090000000003</v>
      </c>
      <c r="L199">
        <v>8.7635349999999992</v>
      </c>
      <c r="M199">
        <v>9.1517560000000007</v>
      </c>
      <c r="N199">
        <v>9.5137479999999996</v>
      </c>
      <c r="O199">
        <v>9.8466129999999996</v>
      </c>
      <c r="P199">
        <v>10.173356999999999</v>
      </c>
      <c r="Q199">
        <v>10.483677</v>
      </c>
      <c r="R199">
        <v>10.756905</v>
      </c>
      <c r="S199">
        <v>11.082458000000001</v>
      </c>
      <c r="T199">
        <v>11.357224</v>
      </c>
      <c r="U199">
        <v>11.64439</v>
      </c>
      <c r="V199">
        <v>11.977695000000001</v>
      </c>
      <c r="W199">
        <v>12.284566</v>
      </c>
      <c r="X199">
        <v>12.570133</v>
      </c>
      <c r="Y199">
        <v>12.881073000000001</v>
      </c>
      <c r="Z199">
        <v>13.191172999999999</v>
      </c>
      <c r="AA199">
        <v>13.533829000000001</v>
      </c>
      <c r="AB199">
        <v>13.943871</v>
      </c>
      <c r="AC199">
        <v>14.356959</v>
      </c>
      <c r="AD199">
        <v>14.788988</v>
      </c>
      <c r="AE199">
        <v>15.234571000000001</v>
      </c>
      <c r="AF199">
        <v>15.720404</v>
      </c>
      <c r="AG199" s="144">
        <v>4.2000000000000003E-2</v>
      </c>
    </row>
    <row r="200" spans="1:33">
      <c r="A200" t="s">
        <v>2414</v>
      </c>
      <c r="B200" t="s">
        <v>2483</v>
      </c>
      <c r="C200" t="s">
        <v>2482</v>
      </c>
      <c r="D200" t="s">
        <v>2349</v>
      </c>
      <c r="F200">
        <v>10.716366000000001</v>
      </c>
      <c r="G200">
        <v>12.061617</v>
      </c>
      <c r="H200">
        <v>12.89598</v>
      </c>
      <c r="I200">
        <v>14.107851</v>
      </c>
      <c r="J200">
        <v>14.987939000000001</v>
      </c>
      <c r="K200">
        <v>15.955513</v>
      </c>
      <c r="L200">
        <v>16.781604999999999</v>
      </c>
      <c r="M200">
        <v>17.648627999999999</v>
      </c>
      <c r="N200">
        <v>18.437539999999998</v>
      </c>
      <c r="O200">
        <v>19.141114999999999</v>
      </c>
      <c r="P200">
        <v>19.810883</v>
      </c>
      <c r="Q200">
        <v>20.433471999999998</v>
      </c>
      <c r="R200">
        <v>20.973220999999999</v>
      </c>
      <c r="S200">
        <v>21.639709</v>
      </c>
      <c r="T200">
        <v>22.219757000000001</v>
      </c>
      <c r="U200">
        <v>22.855713000000002</v>
      </c>
      <c r="V200">
        <v>23.619994999999999</v>
      </c>
      <c r="W200">
        <v>24.373718</v>
      </c>
      <c r="X200">
        <v>25.116302000000001</v>
      </c>
      <c r="Y200">
        <v>25.825683999999999</v>
      </c>
      <c r="Z200">
        <v>26.512207</v>
      </c>
      <c r="AA200">
        <v>27.210692999999999</v>
      </c>
      <c r="AB200">
        <v>27.942139000000001</v>
      </c>
      <c r="AC200">
        <v>28.650970000000001</v>
      </c>
      <c r="AD200">
        <v>29.340485000000001</v>
      </c>
      <c r="AE200">
        <v>30.009369</v>
      </c>
      <c r="AF200">
        <v>30.655028999999999</v>
      </c>
      <c r="AG200" s="144">
        <v>4.1000000000000002E-2</v>
      </c>
    </row>
    <row r="201" spans="1:33">
      <c r="A201" t="s">
        <v>2377</v>
      </c>
      <c r="B201" t="s">
        <v>2481</v>
      </c>
      <c r="C201" t="s">
        <v>2480</v>
      </c>
      <c r="D201" t="s">
        <v>2349</v>
      </c>
      <c r="F201">
        <v>223.02676400000001</v>
      </c>
      <c r="G201">
        <v>139.64172400000001</v>
      </c>
      <c r="H201">
        <v>164.524719</v>
      </c>
      <c r="I201">
        <v>172.92480499999999</v>
      </c>
      <c r="J201">
        <v>178.84960899999999</v>
      </c>
      <c r="K201">
        <v>185.274292</v>
      </c>
      <c r="L201">
        <v>193.89390599999999</v>
      </c>
      <c r="M201">
        <v>203.73237599999999</v>
      </c>
      <c r="N201">
        <v>212.391693</v>
      </c>
      <c r="O201">
        <v>220.996216</v>
      </c>
      <c r="P201">
        <v>228.90715</v>
      </c>
      <c r="Q201">
        <v>236.60205099999999</v>
      </c>
      <c r="R201">
        <v>244.51870700000001</v>
      </c>
      <c r="S201">
        <v>251.986786</v>
      </c>
      <c r="T201">
        <v>261.38391100000001</v>
      </c>
      <c r="U201">
        <v>270.85827599999999</v>
      </c>
      <c r="V201">
        <v>280.13531499999999</v>
      </c>
      <c r="W201">
        <v>288.81146200000001</v>
      </c>
      <c r="X201">
        <v>297.64672899999999</v>
      </c>
      <c r="Y201">
        <v>306.28137199999998</v>
      </c>
      <c r="Z201">
        <v>314.63601699999998</v>
      </c>
      <c r="AA201">
        <v>322.81048600000003</v>
      </c>
      <c r="AB201">
        <v>330.64770499999997</v>
      </c>
      <c r="AC201">
        <v>338.06677200000001</v>
      </c>
      <c r="AD201">
        <v>345.74816900000002</v>
      </c>
      <c r="AE201">
        <v>354.09704599999998</v>
      </c>
      <c r="AF201">
        <v>363.36645499999997</v>
      </c>
      <c r="AG201" s="144">
        <v>1.9E-2</v>
      </c>
    </row>
    <row r="202" spans="1:33">
      <c r="A202" t="s">
        <v>2420</v>
      </c>
      <c r="B202" t="s">
        <v>2479</v>
      </c>
      <c r="C202" t="s">
        <v>2478</v>
      </c>
      <c r="D202" t="s">
        <v>2349</v>
      </c>
      <c r="F202">
        <v>51.344603999999997</v>
      </c>
      <c r="G202">
        <v>61.722656000000001</v>
      </c>
      <c r="H202">
        <v>87.393921000000006</v>
      </c>
      <c r="I202">
        <v>92.195922999999993</v>
      </c>
      <c r="J202">
        <v>95.579834000000005</v>
      </c>
      <c r="K202">
        <v>99.262328999999994</v>
      </c>
      <c r="L202">
        <v>104.130859</v>
      </c>
      <c r="M202">
        <v>109.887451</v>
      </c>
      <c r="N202">
        <v>114.558052</v>
      </c>
      <c r="O202">
        <v>119.12608299999999</v>
      </c>
      <c r="P202">
        <v>123.54431200000001</v>
      </c>
      <c r="Q202">
        <v>127.77973900000001</v>
      </c>
      <c r="R202">
        <v>132.066925</v>
      </c>
      <c r="S202">
        <v>136.01127600000001</v>
      </c>
      <c r="T202">
        <v>140.97143600000001</v>
      </c>
      <c r="U202">
        <v>145.86889600000001</v>
      </c>
      <c r="V202">
        <v>150.55908199999999</v>
      </c>
      <c r="W202">
        <v>154.81762699999999</v>
      </c>
      <c r="X202">
        <v>159.084473</v>
      </c>
      <c r="Y202">
        <v>163.171875</v>
      </c>
      <c r="Z202">
        <v>167.06909200000001</v>
      </c>
      <c r="AA202">
        <v>170.849121</v>
      </c>
      <c r="AB202">
        <v>174.47241199999999</v>
      </c>
      <c r="AC202">
        <v>177.912598</v>
      </c>
      <c r="AD202">
        <v>181.589111</v>
      </c>
      <c r="AE202">
        <v>185.70336900000001</v>
      </c>
      <c r="AF202">
        <v>190.43017599999999</v>
      </c>
      <c r="AG202" s="144">
        <v>5.1999999999999998E-2</v>
      </c>
    </row>
    <row r="203" spans="1:33">
      <c r="A203" t="s">
        <v>2417</v>
      </c>
      <c r="B203" t="s">
        <v>2477</v>
      </c>
      <c r="C203" t="s">
        <v>2476</v>
      </c>
      <c r="D203" t="s">
        <v>2349</v>
      </c>
      <c r="F203">
        <v>105.829224</v>
      </c>
      <c r="G203">
        <v>53.742125999999999</v>
      </c>
      <c r="H203">
        <v>35.609619000000002</v>
      </c>
      <c r="I203">
        <v>37.603515999999999</v>
      </c>
      <c r="J203">
        <v>39.054321000000002</v>
      </c>
      <c r="K203">
        <v>40.623534999999997</v>
      </c>
      <c r="L203">
        <v>43.479725000000002</v>
      </c>
      <c r="M203">
        <v>45.878982999999998</v>
      </c>
      <c r="N203">
        <v>47.900711000000001</v>
      </c>
      <c r="O203">
        <v>49.964981000000002</v>
      </c>
      <c r="P203">
        <v>51.982036999999998</v>
      </c>
      <c r="Q203">
        <v>54.045219000000003</v>
      </c>
      <c r="R203">
        <v>56.210940999999998</v>
      </c>
      <c r="S203">
        <v>58.374008000000003</v>
      </c>
      <c r="T203">
        <v>60.861404</v>
      </c>
      <c r="U203">
        <v>63.388610999999997</v>
      </c>
      <c r="V203">
        <v>65.897461000000007</v>
      </c>
      <c r="W203">
        <v>68.339232999999993</v>
      </c>
      <c r="X203">
        <v>70.809448000000003</v>
      </c>
      <c r="Y203">
        <v>73.239379999999997</v>
      </c>
      <c r="Z203">
        <v>75.583648999999994</v>
      </c>
      <c r="AA203">
        <v>77.853317000000004</v>
      </c>
      <c r="AB203">
        <v>79.984511999999995</v>
      </c>
      <c r="AC203">
        <v>81.955444</v>
      </c>
      <c r="AD203">
        <v>83.854370000000003</v>
      </c>
      <c r="AE203">
        <v>85.823486000000003</v>
      </c>
      <c r="AF203">
        <v>87.857178000000005</v>
      </c>
      <c r="AG203" s="144">
        <v>-7.0000000000000001E-3</v>
      </c>
    </row>
    <row r="204" spans="1:33">
      <c r="A204" t="s">
        <v>2414</v>
      </c>
      <c r="B204" t="s">
        <v>2475</v>
      </c>
      <c r="C204" t="s">
        <v>2474</v>
      </c>
      <c r="D204" t="s">
        <v>2349</v>
      </c>
      <c r="F204">
        <v>65.852936</v>
      </c>
      <c r="G204">
        <v>24.176940999999999</v>
      </c>
      <c r="H204">
        <v>41.521178999999997</v>
      </c>
      <c r="I204">
        <v>43.125366</v>
      </c>
      <c r="J204">
        <v>44.215454000000001</v>
      </c>
      <c r="K204">
        <v>45.388427999999998</v>
      </c>
      <c r="L204">
        <v>46.283324999999998</v>
      </c>
      <c r="M204">
        <v>47.965941999999998</v>
      </c>
      <c r="N204">
        <v>49.932921999999998</v>
      </c>
      <c r="O204">
        <v>51.905150999999996</v>
      </c>
      <c r="P204">
        <v>53.380797999999999</v>
      </c>
      <c r="Q204">
        <v>54.777099999999997</v>
      </c>
      <c r="R204">
        <v>56.240845</v>
      </c>
      <c r="S204">
        <v>57.601500999999999</v>
      </c>
      <c r="T204">
        <v>59.551085999999998</v>
      </c>
      <c r="U204">
        <v>61.600769</v>
      </c>
      <c r="V204">
        <v>63.678772000000002</v>
      </c>
      <c r="W204">
        <v>65.654601999999997</v>
      </c>
      <c r="X204">
        <v>67.752808000000002</v>
      </c>
      <c r="Y204">
        <v>69.870116999999993</v>
      </c>
      <c r="Z204">
        <v>71.983276000000004</v>
      </c>
      <c r="AA204">
        <v>74.108031999999994</v>
      </c>
      <c r="AB204">
        <v>76.190796000000006</v>
      </c>
      <c r="AC204">
        <v>78.198729999999998</v>
      </c>
      <c r="AD204">
        <v>80.304687999999999</v>
      </c>
      <c r="AE204">
        <v>82.570189999999997</v>
      </c>
      <c r="AF204">
        <v>85.079102000000006</v>
      </c>
      <c r="AG204" s="144">
        <v>0.01</v>
      </c>
    </row>
    <row r="205" spans="1:33">
      <c r="A205" t="s">
        <v>2374</v>
      </c>
      <c r="B205" t="s">
        <v>2473</v>
      </c>
      <c r="C205" t="s">
        <v>2472</v>
      </c>
      <c r="D205" t="s">
        <v>2349</v>
      </c>
      <c r="F205">
        <v>101.31321699999999</v>
      </c>
      <c r="G205">
        <v>115.492386</v>
      </c>
      <c r="H205">
        <v>122.40403000000001</v>
      </c>
      <c r="I205">
        <v>119.727859</v>
      </c>
      <c r="J205">
        <v>121.03449999999999</v>
      </c>
      <c r="K205">
        <v>124.004158</v>
      </c>
      <c r="L205">
        <v>125.271339</v>
      </c>
      <c r="M205">
        <v>129.383667</v>
      </c>
      <c r="N205">
        <v>133.73478700000001</v>
      </c>
      <c r="O205">
        <v>138.52889999999999</v>
      </c>
      <c r="P205">
        <v>143.741669</v>
      </c>
      <c r="Q205">
        <v>149.51602199999999</v>
      </c>
      <c r="R205">
        <v>155.67918399999999</v>
      </c>
      <c r="S205">
        <v>162.14257799999999</v>
      </c>
      <c r="T205">
        <v>168.718018</v>
      </c>
      <c r="U205">
        <v>175.42089799999999</v>
      </c>
      <c r="V205">
        <v>182.378433</v>
      </c>
      <c r="W205">
        <v>189.25842299999999</v>
      </c>
      <c r="X205">
        <v>196.15862999999999</v>
      </c>
      <c r="Y205">
        <v>202.99764999999999</v>
      </c>
      <c r="Z205">
        <v>209.76284799999999</v>
      </c>
      <c r="AA205">
        <v>216.53926100000001</v>
      </c>
      <c r="AB205">
        <v>223.07467700000001</v>
      </c>
      <c r="AC205">
        <v>229.76165800000001</v>
      </c>
      <c r="AD205">
        <v>236.70361299999999</v>
      </c>
      <c r="AE205">
        <v>243.84219400000001</v>
      </c>
      <c r="AF205">
        <v>251.10017400000001</v>
      </c>
      <c r="AG205" s="144">
        <v>3.5999999999999997E-2</v>
      </c>
    </row>
    <row r="206" spans="1:33">
      <c r="A206" t="s">
        <v>2420</v>
      </c>
      <c r="B206" t="s">
        <v>2471</v>
      </c>
      <c r="C206" t="s">
        <v>2470</v>
      </c>
      <c r="D206" t="s">
        <v>2349</v>
      </c>
      <c r="F206">
        <v>45.546813999999998</v>
      </c>
      <c r="G206">
        <v>53.642761</v>
      </c>
      <c r="H206">
        <v>57.699646000000001</v>
      </c>
      <c r="I206">
        <v>55.399231</v>
      </c>
      <c r="J206">
        <v>55.731323000000003</v>
      </c>
      <c r="K206">
        <v>56.960631999999997</v>
      </c>
      <c r="L206">
        <v>57.367370999999999</v>
      </c>
      <c r="M206">
        <v>59.105407999999997</v>
      </c>
      <c r="N206">
        <v>60.808228</v>
      </c>
      <c r="O206">
        <v>62.690429999999999</v>
      </c>
      <c r="P206">
        <v>64.733704000000003</v>
      </c>
      <c r="Q206">
        <v>67.043212999999994</v>
      </c>
      <c r="R206">
        <v>69.505736999999996</v>
      </c>
      <c r="S206">
        <v>72.092772999999994</v>
      </c>
      <c r="T206">
        <v>74.721312999999995</v>
      </c>
      <c r="U206">
        <v>77.394531000000001</v>
      </c>
      <c r="V206">
        <v>80.235229000000004</v>
      </c>
      <c r="W206">
        <v>83.116943000000006</v>
      </c>
      <c r="X206">
        <v>86.092528999999999</v>
      </c>
      <c r="Y206">
        <v>89.114990000000006</v>
      </c>
      <c r="Z206">
        <v>92.176270000000002</v>
      </c>
      <c r="AA206">
        <v>95.309082000000004</v>
      </c>
      <c r="AB206">
        <v>98.418700999999999</v>
      </c>
      <c r="AC206">
        <v>101.677002</v>
      </c>
      <c r="AD206">
        <v>105.06604</v>
      </c>
      <c r="AE206">
        <v>108.55212400000001</v>
      </c>
      <c r="AF206">
        <v>112.09045399999999</v>
      </c>
      <c r="AG206" s="144">
        <v>3.5000000000000003E-2</v>
      </c>
    </row>
    <row r="207" spans="1:33">
      <c r="A207" t="s">
        <v>2417</v>
      </c>
      <c r="B207" t="s">
        <v>2469</v>
      </c>
      <c r="C207" t="s">
        <v>2468</v>
      </c>
      <c r="D207" t="s">
        <v>2349</v>
      </c>
      <c r="F207">
        <v>49.528258999999998</v>
      </c>
      <c r="G207">
        <v>51.080627</v>
      </c>
      <c r="H207">
        <v>52.663330000000002</v>
      </c>
      <c r="I207">
        <v>53.584595</v>
      </c>
      <c r="J207">
        <v>54.866028</v>
      </c>
      <c r="K207">
        <v>56.642273000000003</v>
      </c>
      <c r="L207">
        <v>57.691344999999998</v>
      </c>
      <c r="M207">
        <v>60.003234999999997</v>
      </c>
      <c r="N207">
        <v>62.684508999999998</v>
      </c>
      <c r="O207">
        <v>65.604004000000003</v>
      </c>
      <c r="P207">
        <v>68.761229999999998</v>
      </c>
      <c r="Q207">
        <v>72.148560000000003</v>
      </c>
      <c r="R207">
        <v>75.752075000000005</v>
      </c>
      <c r="S207">
        <v>79.512816999999998</v>
      </c>
      <c r="T207">
        <v>83.342895999999996</v>
      </c>
      <c r="U207">
        <v>87.265502999999995</v>
      </c>
      <c r="V207">
        <v>91.226806999999994</v>
      </c>
      <c r="W207">
        <v>95.032104000000004</v>
      </c>
      <c r="X207">
        <v>98.721312999999995</v>
      </c>
      <c r="Y207">
        <v>102.283447</v>
      </c>
      <c r="Z207">
        <v>105.7229</v>
      </c>
      <c r="AA207">
        <v>109.090332</v>
      </c>
      <c r="AB207">
        <v>112.221924</v>
      </c>
      <c r="AC207">
        <v>115.303589</v>
      </c>
      <c r="AD207">
        <v>118.489136</v>
      </c>
      <c r="AE207">
        <v>121.74511699999999</v>
      </c>
      <c r="AF207">
        <v>125.034058</v>
      </c>
      <c r="AG207" s="144">
        <v>3.5999999999999997E-2</v>
      </c>
    </row>
    <row r="208" spans="1:33">
      <c r="A208" t="s">
        <v>2414</v>
      </c>
      <c r="B208" t="s">
        <v>2467</v>
      </c>
      <c r="C208" t="s">
        <v>2466</v>
      </c>
      <c r="D208" t="s">
        <v>2349</v>
      </c>
      <c r="F208">
        <v>6.2381440000000001</v>
      </c>
      <c r="G208">
        <v>10.768997000000001</v>
      </c>
      <c r="H208">
        <v>12.041054000000001</v>
      </c>
      <c r="I208">
        <v>10.744033999999999</v>
      </c>
      <c r="J208">
        <v>10.437149</v>
      </c>
      <c r="K208">
        <v>10.401253000000001</v>
      </c>
      <c r="L208">
        <v>10.212624</v>
      </c>
      <c r="M208">
        <v>10.275031999999999</v>
      </c>
      <c r="N208">
        <v>10.242050000000001</v>
      </c>
      <c r="O208">
        <v>10.234467</v>
      </c>
      <c r="P208">
        <v>10.246734999999999</v>
      </c>
      <c r="Q208">
        <v>10.324249</v>
      </c>
      <c r="R208">
        <v>10.421371000000001</v>
      </c>
      <c r="S208">
        <v>10.536987</v>
      </c>
      <c r="T208">
        <v>10.653809000000001</v>
      </c>
      <c r="U208">
        <v>10.760864</v>
      </c>
      <c r="V208">
        <v>10.916397</v>
      </c>
      <c r="W208">
        <v>11.109375</v>
      </c>
      <c r="X208">
        <v>11.344787999999999</v>
      </c>
      <c r="Y208">
        <v>11.599213000000001</v>
      </c>
      <c r="Z208">
        <v>11.863678</v>
      </c>
      <c r="AA208">
        <v>12.139847</v>
      </c>
      <c r="AB208">
        <v>12.434051999999999</v>
      </c>
      <c r="AC208">
        <v>12.781067</v>
      </c>
      <c r="AD208">
        <v>13.148438000000001</v>
      </c>
      <c r="AE208">
        <v>13.544952</v>
      </c>
      <c r="AF208">
        <v>13.975662</v>
      </c>
      <c r="AG208" s="144">
        <v>3.2000000000000001E-2</v>
      </c>
    </row>
    <row r="209" spans="1:33">
      <c r="A209" t="s">
        <v>197</v>
      </c>
      <c r="B209" t="s">
        <v>2465</v>
      </c>
      <c r="C209" t="s">
        <v>2464</v>
      </c>
      <c r="D209" t="s">
        <v>2349</v>
      </c>
      <c r="F209">
        <v>62.043106000000002</v>
      </c>
      <c r="G209">
        <v>87.195389000000006</v>
      </c>
      <c r="H209">
        <v>102.36378499999999</v>
      </c>
      <c r="I209">
        <v>101.649719</v>
      </c>
      <c r="J209">
        <v>105.496628</v>
      </c>
      <c r="K209">
        <v>109.542343</v>
      </c>
      <c r="L209">
        <v>111.563232</v>
      </c>
      <c r="M209">
        <v>115.05587800000001</v>
      </c>
      <c r="N209">
        <v>118.04568500000001</v>
      </c>
      <c r="O209">
        <v>121.181</v>
      </c>
      <c r="P209">
        <v>125.071198</v>
      </c>
      <c r="Q209">
        <v>129.195221</v>
      </c>
      <c r="R209">
        <v>133.03971899999999</v>
      </c>
      <c r="S209">
        <v>137.371994</v>
      </c>
      <c r="T209">
        <v>141.40820299999999</v>
      </c>
      <c r="U209">
        <v>145.51799</v>
      </c>
      <c r="V209">
        <v>149.74319499999999</v>
      </c>
      <c r="W209">
        <v>154.21347</v>
      </c>
      <c r="X209">
        <v>158.87364199999999</v>
      </c>
      <c r="Y209">
        <v>163.77320900000001</v>
      </c>
      <c r="Z209">
        <v>168.93679800000001</v>
      </c>
      <c r="AA209">
        <v>174.28360000000001</v>
      </c>
      <c r="AB209">
        <v>179.850311</v>
      </c>
      <c r="AC209">
        <v>185.645599</v>
      </c>
      <c r="AD209">
        <v>191.657501</v>
      </c>
      <c r="AE209">
        <v>197.87631200000001</v>
      </c>
      <c r="AF209">
        <v>204.281555</v>
      </c>
      <c r="AG209" s="144">
        <v>4.7E-2</v>
      </c>
    </row>
    <row r="210" spans="1:33">
      <c r="A210" t="s">
        <v>2420</v>
      </c>
      <c r="B210" t="s">
        <v>2463</v>
      </c>
      <c r="C210" t="s">
        <v>2462</v>
      </c>
      <c r="D210" t="s">
        <v>2349</v>
      </c>
      <c r="F210">
        <v>33.070678999999998</v>
      </c>
      <c r="G210">
        <v>36.260406000000003</v>
      </c>
      <c r="H210">
        <v>42.109161</v>
      </c>
      <c r="I210">
        <v>41.781554999999997</v>
      </c>
      <c r="J210">
        <v>44.264159999999997</v>
      </c>
      <c r="K210">
        <v>46.729613999999998</v>
      </c>
      <c r="L210">
        <v>47.501648000000003</v>
      </c>
      <c r="M210">
        <v>48.921326000000001</v>
      </c>
      <c r="N210">
        <v>50.123412999999999</v>
      </c>
      <c r="O210">
        <v>51.391544000000003</v>
      </c>
      <c r="P210">
        <v>52.790157000000001</v>
      </c>
      <c r="Q210">
        <v>54.283076999999999</v>
      </c>
      <c r="R210">
        <v>55.841918999999997</v>
      </c>
      <c r="S210">
        <v>57.380215</v>
      </c>
      <c r="T210">
        <v>58.939819</v>
      </c>
      <c r="U210">
        <v>60.564770000000003</v>
      </c>
      <c r="V210">
        <v>62.239258</v>
      </c>
      <c r="W210">
        <v>63.999146000000003</v>
      </c>
      <c r="X210">
        <v>65.833800999999994</v>
      </c>
      <c r="Y210">
        <v>67.793762000000001</v>
      </c>
      <c r="Z210">
        <v>69.899840999999995</v>
      </c>
      <c r="AA210">
        <v>72.136841000000004</v>
      </c>
      <c r="AB210">
        <v>74.504517000000007</v>
      </c>
      <c r="AC210">
        <v>76.996139999999997</v>
      </c>
      <c r="AD210">
        <v>79.606453000000002</v>
      </c>
      <c r="AE210">
        <v>82.370154999999997</v>
      </c>
      <c r="AF210">
        <v>85.221335999999994</v>
      </c>
      <c r="AG210" s="144">
        <v>3.6999999999999998E-2</v>
      </c>
    </row>
    <row r="211" spans="1:33">
      <c r="A211" t="s">
        <v>2417</v>
      </c>
      <c r="B211" t="s">
        <v>2461</v>
      </c>
      <c r="C211" t="s">
        <v>2460</v>
      </c>
      <c r="D211" t="s">
        <v>2349</v>
      </c>
      <c r="F211">
        <v>9.7348789999999994</v>
      </c>
      <c r="G211">
        <v>11.876328000000001</v>
      </c>
      <c r="H211">
        <v>13.750809</v>
      </c>
      <c r="I211">
        <v>13.554413</v>
      </c>
      <c r="J211">
        <v>13.999283</v>
      </c>
      <c r="K211">
        <v>14.528122</v>
      </c>
      <c r="L211">
        <v>14.955078</v>
      </c>
      <c r="M211">
        <v>15.670197</v>
      </c>
      <c r="N211">
        <v>16.306183000000001</v>
      </c>
      <c r="O211">
        <v>16.984100000000002</v>
      </c>
      <c r="P211">
        <v>18.173981000000001</v>
      </c>
      <c r="Q211">
        <v>19.437477000000001</v>
      </c>
      <c r="R211">
        <v>20.264631000000001</v>
      </c>
      <c r="S211">
        <v>21.124834</v>
      </c>
      <c r="T211">
        <v>22.034115</v>
      </c>
      <c r="U211">
        <v>22.968230999999999</v>
      </c>
      <c r="V211">
        <v>23.922699000000001</v>
      </c>
      <c r="W211">
        <v>24.915610999999998</v>
      </c>
      <c r="X211">
        <v>25.944317000000002</v>
      </c>
      <c r="Y211">
        <v>26.972486</v>
      </c>
      <c r="Z211">
        <v>27.992645</v>
      </c>
      <c r="AA211">
        <v>28.954986999999999</v>
      </c>
      <c r="AB211">
        <v>29.894506</v>
      </c>
      <c r="AC211">
        <v>30.824987</v>
      </c>
      <c r="AD211">
        <v>31.741364000000001</v>
      </c>
      <c r="AE211">
        <v>32.606749999999998</v>
      </c>
      <c r="AF211">
        <v>33.457549999999998</v>
      </c>
      <c r="AG211" s="144">
        <v>4.9000000000000002E-2</v>
      </c>
    </row>
    <row r="212" spans="1:33">
      <c r="A212" t="s">
        <v>2414</v>
      </c>
      <c r="B212" t="s">
        <v>2459</v>
      </c>
      <c r="C212" t="s">
        <v>2458</v>
      </c>
      <c r="D212" t="s">
        <v>2349</v>
      </c>
      <c r="F212">
        <v>19.237549000000001</v>
      </c>
      <c r="G212">
        <v>39.058655000000002</v>
      </c>
      <c r="H212">
        <v>46.503815000000003</v>
      </c>
      <c r="I212">
        <v>46.313751000000003</v>
      </c>
      <c r="J212">
        <v>47.233184999999999</v>
      </c>
      <c r="K212">
        <v>48.284607000000001</v>
      </c>
      <c r="L212">
        <v>49.106506000000003</v>
      </c>
      <c r="M212">
        <v>50.464354999999998</v>
      </c>
      <c r="N212">
        <v>51.616089000000002</v>
      </c>
      <c r="O212">
        <v>52.805359000000003</v>
      </c>
      <c r="P212">
        <v>54.107056</v>
      </c>
      <c r="Q212">
        <v>55.474670000000003</v>
      </c>
      <c r="R212">
        <v>56.933166999999997</v>
      </c>
      <c r="S212">
        <v>58.866942999999999</v>
      </c>
      <c r="T212">
        <v>60.434265000000003</v>
      </c>
      <c r="U212">
        <v>61.984985000000002</v>
      </c>
      <c r="V212">
        <v>63.581237999999999</v>
      </c>
      <c r="W212">
        <v>65.298705999999996</v>
      </c>
      <c r="X212">
        <v>67.095519999999993</v>
      </c>
      <c r="Y212">
        <v>69.006957999999997</v>
      </c>
      <c r="Z212">
        <v>71.044312000000005</v>
      </c>
      <c r="AA212">
        <v>73.191772</v>
      </c>
      <c r="AB212">
        <v>75.451294000000004</v>
      </c>
      <c r="AC212">
        <v>77.824462999999994</v>
      </c>
      <c r="AD212">
        <v>80.309691999999998</v>
      </c>
      <c r="AE212">
        <v>82.899413999999993</v>
      </c>
      <c r="AF212">
        <v>85.602660999999998</v>
      </c>
      <c r="AG212" s="144">
        <v>5.8999999999999997E-2</v>
      </c>
    </row>
    <row r="213" spans="1:33">
      <c r="A213" t="s">
        <v>2369</v>
      </c>
      <c r="B213" t="s">
        <v>2457</v>
      </c>
      <c r="C213" t="s">
        <v>2456</v>
      </c>
      <c r="D213" t="s">
        <v>2349</v>
      </c>
      <c r="F213">
        <v>32.956401999999997</v>
      </c>
      <c r="G213">
        <v>26.036166999999999</v>
      </c>
      <c r="H213">
        <v>24.454052000000001</v>
      </c>
      <c r="I213">
        <v>28.901641999999999</v>
      </c>
      <c r="J213">
        <v>31.115359999999999</v>
      </c>
      <c r="K213">
        <v>31.743117999999999</v>
      </c>
      <c r="L213">
        <v>31.901575000000001</v>
      </c>
      <c r="M213">
        <v>32.629249999999999</v>
      </c>
      <c r="N213">
        <v>33.38599</v>
      </c>
      <c r="O213">
        <v>34.166801</v>
      </c>
      <c r="P213">
        <v>34.920772999999997</v>
      </c>
      <c r="Q213">
        <v>35.632454000000003</v>
      </c>
      <c r="R213">
        <v>36.298442999999999</v>
      </c>
      <c r="S213">
        <v>36.916649</v>
      </c>
      <c r="T213">
        <v>37.631805</v>
      </c>
      <c r="U213">
        <v>38.191642999999999</v>
      </c>
      <c r="V213">
        <v>38.556457999999999</v>
      </c>
      <c r="W213">
        <v>38.849711999999997</v>
      </c>
      <c r="X213">
        <v>39.151932000000002</v>
      </c>
      <c r="Y213">
        <v>39.353316999999997</v>
      </c>
      <c r="Z213">
        <v>39.4771</v>
      </c>
      <c r="AA213">
        <v>39.552235000000003</v>
      </c>
      <c r="AB213">
        <v>39.590789999999998</v>
      </c>
      <c r="AC213">
        <v>39.596611000000003</v>
      </c>
      <c r="AD213">
        <v>39.579475000000002</v>
      </c>
      <c r="AE213">
        <v>39.543114000000003</v>
      </c>
      <c r="AF213">
        <v>39.483184999999999</v>
      </c>
      <c r="AG213" s="144">
        <v>7.0000000000000001E-3</v>
      </c>
    </row>
    <row r="214" spans="1:33">
      <c r="A214" t="s">
        <v>2420</v>
      </c>
      <c r="B214" t="s">
        <v>2455</v>
      </c>
      <c r="C214" t="s">
        <v>2454</v>
      </c>
      <c r="D214" t="s">
        <v>2349</v>
      </c>
      <c r="F214">
        <v>20.001080000000002</v>
      </c>
      <c r="G214">
        <v>14.576172</v>
      </c>
      <c r="H214">
        <v>13.739197000000001</v>
      </c>
      <c r="I214">
        <v>16.731566999999998</v>
      </c>
      <c r="J214">
        <v>18.157115999999998</v>
      </c>
      <c r="K214">
        <v>18.578281</v>
      </c>
      <c r="L214">
        <v>18.743894999999998</v>
      </c>
      <c r="M214">
        <v>19.247568000000001</v>
      </c>
      <c r="N214">
        <v>19.765395999999999</v>
      </c>
      <c r="O214">
        <v>20.305696000000001</v>
      </c>
      <c r="P214">
        <v>20.828018</v>
      </c>
      <c r="Q214">
        <v>21.318390000000001</v>
      </c>
      <c r="R214">
        <v>21.77298</v>
      </c>
      <c r="S214">
        <v>22.18927</v>
      </c>
      <c r="T214">
        <v>22.557831</v>
      </c>
      <c r="U214">
        <v>22.871863999999999</v>
      </c>
      <c r="V214">
        <v>23.120697</v>
      </c>
      <c r="W214">
        <v>23.306975999999999</v>
      </c>
      <c r="X214">
        <v>23.508789</v>
      </c>
      <c r="Y214">
        <v>23.632415999999999</v>
      </c>
      <c r="Z214">
        <v>23.690735</v>
      </c>
      <c r="AA214">
        <v>23.708801000000001</v>
      </c>
      <c r="AB214">
        <v>23.694396999999999</v>
      </c>
      <c r="AC214">
        <v>23.663605</v>
      </c>
      <c r="AD214">
        <v>23.618195</v>
      </c>
      <c r="AE214">
        <v>23.563231999999999</v>
      </c>
      <c r="AF214">
        <v>23.496825999999999</v>
      </c>
      <c r="AG214" s="144">
        <v>6.0000000000000001E-3</v>
      </c>
    </row>
    <row r="215" spans="1:33">
      <c r="A215" t="s">
        <v>2417</v>
      </c>
      <c r="B215" t="s">
        <v>2453</v>
      </c>
      <c r="C215" t="s">
        <v>2452</v>
      </c>
      <c r="D215" t="s">
        <v>2349</v>
      </c>
      <c r="F215">
        <v>1.8612820000000001</v>
      </c>
      <c r="G215">
        <v>2.0910839999999999</v>
      </c>
      <c r="H215">
        <v>1.8595539999999999</v>
      </c>
      <c r="I215">
        <v>2.285263</v>
      </c>
      <c r="J215">
        <v>2.5070420000000002</v>
      </c>
      <c r="K215">
        <v>2.5586660000000001</v>
      </c>
      <c r="L215">
        <v>2.5544850000000001</v>
      </c>
      <c r="M215">
        <v>2.6130789999999999</v>
      </c>
      <c r="N215">
        <v>2.6768230000000002</v>
      </c>
      <c r="O215">
        <v>2.7421760000000002</v>
      </c>
      <c r="P215">
        <v>2.806454</v>
      </c>
      <c r="Q215">
        <v>2.8697430000000002</v>
      </c>
      <c r="R215">
        <v>2.932766</v>
      </c>
      <c r="S215">
        <v>2.9957199999999999</v>
      </c>
      <c r="T215">
        <v>3.2157290000000001</v>
      </c>
      <c r="U215">
        <v>3.3497469999999998</v>
      </c>
      <c r="V215">
        <v>3.3808419999999999</v>
      </c>
      <c r="W215">
        <v>3.4131140000000002</v>
      </c>
      <c r="X215">
        <v>3.4550779999999999</v>
      </c>
      <c r="Y215">
        <v>3.4896699999999998</v>
      </c>
      <c r="Z215">
        <v>3.526402</v>
      </c>
      <c r="AA215">
        <v>3.5688059999999999</v>
      </c>
      <c r="AB215">
        <v>3.617874</v>
      </c>
      <c r="AC215">
        <v>3.6607280000000002</v>
      </c>
      <c r="AD215">
        <v>3.7028270000000001</v>
      </c>
      <c r="AE215">
        <v>3.741295</v>
      </c>
      <c r="AF215">
        <v>3.7710880000000002</v>
      </c>
      <c r="AG215" s="144">
        <v>2.8000000000000001E-2</v>
      </c>
    </row>
    <row r="216" spans="1:33">
      <c r="A216" t="s">
        <v>2414</v>
      </c>
      <c r="B216" t="s">
        <v>2451</v>
      </c>
      <c r="C216" t="s">
        <v>2450</v>
      </c>
      <c r="D216" t="s">
        <v>2349</v>
      </c>
      <c r="F216">
        <v>11.09404</v>
      </c>
      <c r="G216">
        <v>9.3689119999999999</v>
      </c>
      <c r="H216">
        <v>8.8553010000000008</v>
      </c>
      <c r="I216">
        <v>9.8848109999999991</v>
      </c>
      <c r="J216">
        <v>10.451202</v>
      </c>
      <c r="K216">
        <v>10.606171</v>
      </c>
      <c r="L216">
        <v>10.603194999999999</v>
      </c>
      <c r="M216">
        <v>10.768599999999999</v>
      </c>
      <c r="N216">
        <v>10.943771</v>
      </c>
      <c r="O216">
        <v>11.118926999999999</v>
      </c>
      <c r="P216">
        <v>11.286301</v>
      </c>
      <c r="Q216">
        <v>11.444321</v>
      </c>
      <c r="R216">
        <v>11.592696999999999</v>
      </c>
      <c r="S216">
        <v>11.731659000000001</v>
      </c>
      <c r="T216">
        <v>11.858245999999999</v>
      </c>
      <c r="U216">
        <v>11.970032</v>
      </c>
      <c r="V216">
        <v>12.054916</v>
      </c>
      <c r="W216">
        <v>12.129623</v>
      </c>
      <c r="X216">
        <v>12.188065</v>
      </c>
      <c r="Y216">
        <v>12.231232</v>
      </c>
      <c r="Z216">
        <v>12.259964</v>
      </c>
      <c r="AA216">
        <v>12.274628</v>
      </c>
      <c r="AB216">
        <v>12.278518999999999</v>
      </c>
      <c r="AC216">
        <v>12.272278</v>
      </c>
      <c r="AD216">
        <v>12.258452999999999</v>
      </c>
      <c r="AE216">
        <v>12.238586</v>
      </c>
      <c r="AF216">
        <v>12.215271</v>
      </c>
      <c r="AG216" s="144">
        <v>4.0000000000000001E-3</v>
      </c>
    </row>
    <row r="217" spans="1:33">
      <c r="A217" t="s">
        <v>2366</v>
      </c>
      <c r="B217" t="s">
        <v>2449</v>
      </c>
      <c r="C217" t="s">
        <v>2448</v>
      </c>
      <c r="D217" t="s">
        <v>2349</v>
      </c>
      <c r="F217">
        <v>34.141190000000002</v>
      </c>
      <c r="G217">
        <v>59.041176</v>
      </c>
      <c r="H217">
        <v>61.291893000000002</v>
      </c>
      <c r="I217">
        <v>62.006638000000002</v>
      </c>
      <c r="J217">
        <v>62.645843999999997</v>
      </c>
      <c r="K217">
        <v>64.846717999999996</v>
      </c>
      <c r="L217">
        <v>65.727951000000004</v>
      </c>
      <c r="M217">
        <v>69.115532000000002</v>
      </c>
      <c r="N217">
        <v>70.739067000000006</v>
      </c>
      <c r="O217">
        <v>72.450835999999995</v>
      </c>
      <c r="P217">
        <v>74.224663000000007</v>
      </c>
      <c r="Q217">
        <v>75.996475000000004</v>
      </c>
      <c r="R217">
        <v>77.773787999999996</v>
      </c>
      <c r="S217">
        <v>79.683494999999994</v>
      </c>
      <c r="T217">
        <v>81.623565999999997</v>
      </c>
      <c r="U217">
        <v>83.565742</v>
      </c>
      <c r="V217">
        <v>85.466071999999997</v>
      </c>
      <c r="W217">
        <v>87.303566000000004</v>
      </c>
      <c r="X217">
        <v>89.127457000000007</v>
      </c>
      <c r="Y217">
        <v>90.935813999999993</v>
      </c>
      <c r="Z217">
        <v>92.743324000000001</v>
      </c>
      <c r="AA217">
        <v>94.540169000000006</v>
      </c>
      <c r="AB217">
        <v>96.326019000000002</v>
      </c>
      <c r="AC217">
        <v>98.083518999999995</v>
      </c>
      <c r="AD217">
        <v>99.863754</v>
      </c>
      <c r="AE217">
        <v>101.656342</v>
      </c>
      <c r="AF217">
        <v>103.526398</v>
      </c>
      <c r="AG217" s="144">
        <v>4.3999999999999997E-2</v>
      </c>
    </row>
    <row r="218" spans="1:33">
      <c r="A218" t="s">
        <v>2420</v>
      </c>
      <c r="B218" t="s">
        <v>2447</v>
      </c>
      <c r="C218" t="s">
        <v>2446</v>
      </c>
      <c r="D218" t="s">
        <v>2349</v>
      </c>
      <c r="F218">
        <v>21.934570000000001</v>
      </c>
      <c r="G218">
        <v>39.256897000000002</v>
      </c>
      <c r="H218">
        <v>40.729919000000002</v>
      </c>
      <c r="I218">
        <v>41.237183000000002</v>
      </c>
      <c r="J218">
        <v>41.728943000000001</v>
      </c>
      <c r="K218">
        <v>43.592896000000003</v>
      </c>
      <c r="L218">
        <v>44.410828000000002</v>
      </c>
      <c r="M218">
        <v>45.559325999999999</v>
      </c>
      <c r="N218">
        <v>46.810974000000002</v>
      </c>
      <c r="O218">
        <v>48.119812000000003</v>
      </c>
      <c r="P218">
        <v>49.464782999999997</v>
      </c>
      <c r="Q218">
        <v>50.811768000000001</v>
      </c>
      <c r="R218">
        <v>52.169128000000001</v>
      </c>
      <c r="S218">
        <v>53.594665999999997</v>
      </c>
      <c r="T218">
        <v>55.029907000000001</v>
      </c>
      <c r="U218">
        <v>56.465392999999999</v>
      </c>
      <c r="V218">
        <v>57.857177999999998</v>
      </c>
      <c r="W218">
        <v>59.218933</v>
      </c>
      <c r="X218">
        <v>60.569397000000002</v>
      </c>
      <c r="Y218">
        <v>61.916504000000003</v>
      </c>
      <c r="Z218">
        <v>63.252197000000002</v>
      </c>
      <c r="AA218">
        <v>64.589966000000004</v>
      </c>
      <c r="AB218">
        <v>65.927368000000001</v>
      </c>
      <c r="AC218">
        <v>67.259643999999994</v>
      </c>
      <c r="AD218">
        <v>68.594238000000004</v>
      </c>
      <c r="AE218">
        <v>69.942749000000006</v>
      </c>
      <c r="AF218">
        <v>71.325316999999998</v>
      </c>
      <c r="AG218" s="144">
        <v>4.5999999999999999E-2</v>
      </c>
    </row>
    <row r="219" spans="1:33">
      <c r="A219" t="s">
        <v>2417</v>
      </c>
      <c r="B219" t="s">
        <v>2445</v>
      </c>
      <c r="C219" t="s">
        <v>2444</v>
      </c>
      <c r="D219" t="s">
        <v>2349</v>
      </c>
      <c r="F219">
        <v>1.6696470000000001</v>
      </c>
      <c r="G219">
        <v>5.4057690000000003</v>
      </c>
      <c r="H219">
        <v>5.6687849999999997</v>
      </c>
      <c r="I219">
        <v>5.8528440000000002</v>
      </c>
      <c r="J219">
        <v>6.0350650000000003</v>
      </c>
      <c r="K219">
        <v>6.2568739999999998</v>
      </c>
      <c r="L219">
        <v>6.3919680000000003</v>
      </c>
      <c r="M219">
        <v>7.7470780000000001</v>
      </c>
      <c r="N219">
        <v>7.9581359999999997</v>
      </c>
      <c r="O219">
        <v>8.2157850000000003</v>
      </c>
      <c r="P219">
        <v>8.5005579999999998</v>
      </c>
      <c r="Q219">
        <v>8.7857260000000004</v>
      </c>
      <c r="R219">
        <v>9.0588519999999999</v>
      </c>
      <c r="S219">
        <v>9.3475889999999993</v>
      </c>
      <c r="T219">
        <v>9.6443189999999994</v>
      </c>
      <c r="U219">
        <v>9.9295439999999999</v>
      </c>
      <c r="V219">
        <v>10.210947000000001</v>
      </c>
      <c r="W219">
        <v>10.448923000000001</v>
      </c>
      <c r="X219">
        <v>10.669568999999999</v>
      </c>
      <c r="Y219">
        <v>10.858727</v>
      </c>
      <c r="Z219">
        <v>11.045356999999999</v>
      </c>
      <c r="AA219">
        <v>11.204383</v>
      </c>
      <c r="AB219">
        <v>11.338653000000001</v>
      </c>
      <c r="AC219">
        <v>11.441091999999999</v>
      </c>
      <c r="AD219">
        <v>11.551468</v>
      </c>
      <c r="AE219">
        <v>11.643402</v>
      </c>
      <c r="AF219">
        <v>11.759155</v>
      </c>
      <c r="AG219" s="144">
        <v>7.8E-2</v>
      </c>
    </row>
    <row r="220" spans="1:33">
      <c r="A220" t="s">
        <v>2414</v>
      </c>
      <c r="B220" t="s">
        <v>2443</v>
      </c>
      <c r="C220" t="s">
        <v>2442</v>
      </c>
      <c r="D220" t="s">
        <v>2349</v>
      </c>
      <c r="F220">
        <v>10.536972</v>
      </c>
      <c r="G220">
        <v>14.37851</v>
      </c>
      <c r="H220">
        <v>14.893188</v>
      </c>
      <c r="I220">
        <v>14.916611</v>
      </c>
      <c r="J220">
        <v>14.881836</v>
      </c>
      <c r="K220">
        <v>14.996948</v>
      </c>
      <c r="L220">
        <v>14.925155999999999</v>
      </c>
      <c r="M220">
        <v>15.809127999999999</v>
      </c>
      <c r="N220">
        <v>15.969955000000001</v>
      </c>
      <c r="O220">
        <v>16.115234000000001</v>
      </c>
      <c r="P220">
        <v>16.259322999999998</v>
      </c>
      <c r="Q220">
        <v>16.398987000000002</v>
      </c>
      <c r="R220">
        <v>16.545807</v>
      </c>
      <c r="S220">
        <v>16.741240999999999</v>
      </c>
      <c r="T220">
        <v>16.949341</v>
      </c>
      <c r="U220">
        <v>17.170807</v>
      </c>
      <c r="V220">
        <v>17.397949000000001</v>
      </c>
      <c r="W220">
        <v>17.635712000000002</v>
      </c>
      <c r="X220">
        <v>17.888489</v>
      </c>
      <c r="Y220">
        <v>18.160582999999999</v>
      </c>
      <c r="Z220">
        <v>18.44577</v>
      </c>
      <c r="AA220">
        <v>18.745819000000001</v>
      </c>
      <c r="AB220">
        <v>19.059998</v>
      </c>
      <c r="AC220">
        <v>19.382781999999999</v>
      </c>
      <c r="AD220">
        <v>19.718048</v>
      </c>
      <c r="AE220">
        <v>20.07019</v>
      </c>
      <c r="AF220">
        <v>20.441925000000001</v>
      </c>
      <c r="AG220" s="144">
        <v>2.5999999999999999E-2</v>
      </c>
    </row>
    <row r="221" spans="1:33">
      <c r="A221" t="s">
        <v>2441</v>
      </c>
      <c r="B221" t="s">
        <v>2440</v>
      </c>
      <c r="C221" t="s">
        <v>2439</v>
      </c>
      <c r="D221" t="s">
        <v>2349</v>
      </c>
      <c r="F221">
        <v>989.89318800000001</v>
      </c>
      <c r="G221">
        <v>1128.788086</v>
      </c>
      <c r="H221">
        <v>1243.461914</v>
      </c>
      <c r="I221">
        <v>1247.5124510000001</v>
      </c>
      <c r="J221">
        <v>1266.652832</v>
      </c>
      <c r="K221">
        <v>1306.0860600000001</v>
      </c>
      <c r="L221">
        <v>1329.263672</v>
      </c>
      <c r="M221">
        <v>1358.3017580000001</v>
      </c>
      <c r="N221">
        <v>1412.267822</v>
      </c>
      <c r="O221">
        <v>1459.4470209999999</v>
      </c>
      <c r="P221">
        <v>1497.5539550000001</v>
      </c>
      <c r="Q221">
        <v>1546.7329099999999</v>
      </c>
      <c r="R221">
        <v>1586.2395019999999</v>
      </c>
      <c r="S221">
        <v>1630.8469239999999</v>
      </c>
      <c r="T221">
        <v>1679.8424070000001</v>
      </c>
      <c r="U221">
        <v>1726.319092</v>
      </c>
      <c r="V221">
        <v>1765.7045900000001</v>
      </c>
      <c r="W221">
        <v>1803.268311</v>
      </c>
      <c r="X221">
        <v>1851.695557</v>
      </c>
      <c r="Y221">
        <v>1887.402466</v>
      </c>
      <c r="Z221">
        <v>1916.8352050000001</v>
      </c>
      <c r="AA221">
        <v>1951.419067</v>
      </c>
      <c r="AB221">
        <v>1986.9913329999999</v>
      </c>
      <c r="AC221">
        <v>2041.988159</v>
      </c>
      <c r="AD221">
        <v>2088.155518</v>
      </c>
      <c r="AE221">
        <v>2122.6127929999998</v>
      </c>
      <c r="AF221">
        <v>2161.796875</v>
      </c>
      <c r="AG221" s="144">
        <v>0.03</v>
      </c>
    </row>
    <row r="222" spans="1:33">
      <c r="A222" t="s">
        <v>2438</v>
      </c>
      <c r="B222" t="s">
        <v>2437</v>
      </c>
      <c r="C222" t="s">
        <v>2436</v>
      </c>
      <c r="D222" t="s">
        <v>2349</v>
      </c>
      <c r="F222">
        <v>635.78125</v>
      </c>
      <c r="G222">
        <v>310.39596599999999</v>
      </c>
      <c r="H222">
        <v>378.60433999999998</v>
      </c>
      <c r="I222">
        <v>377.59082000000001</v>
      </c>
      <c r="J222">
        <v>379.14837599999998</v>
      </c>
      <c r="K222">
        <v>396.24044800000001</v>
      </c>
      <c r="L222">
        <v>402.01034499999997</v>
      </c>
      <c r="M222">
        <v>409.545593</v>
      </c>
      <c r="N222">
        <v>422.20803799999999</v>
      </c>
      <c r="O222">
        <v>433.93536399999999</v>
      </c>
      <c r="P222">
        <v>444.46279900000002</v>
      </c>
      <c r="Q222">
        <v>458.73336799999998</v>
      </c>
      <c r="R222">
        <v>472.375</v>
      </c>
      <c r="S222">
        <v>487.74142499999999</v>
      </c>
      <c r="T222">
        <v>505.32037400000002</v>
      </c>
      <c r="U222">
        <v>521.54974400000003</v>
      </c>
      <c r="V222">
        <v>538.88708499999996</v>
      </c>
      <c r="W222">
        <v>556.05749500000002</v>
      </c>
      <c r="X222">
        <v>576.46612500000003</v>
      </c>
      <c r="Y222">
        <v>592.82550000000003</v>
      </c>
      <c r="Z222">
        <v>607.26452600000005</v>
      </c>
      <c r="AA222">
        <v>622.99328600000001</v>
      </c>
      <c r="AB222">
        <v>638.14947500000005</v>
      </c>
      <c r="AC222">
        <v>657.70989999999995</v>
      </c>
      <c r="AD222">
        <v>675.17089799999997</v>
      </c>
      <c r="AE222">
        <v>689.88952600000005</v>
      </c>
      <c r="AF222">
        <v>705.47070299999996</v>
      </c>
      <c r="AG222" s="144">
        <v>4.0000000000000001E-3</v>
      </c>
    </row>
    <row r="223" spans="1:33">
      <c r="A223" t="s">
        <v>2435</v>
      </c>
      <c r="B223" t="s">
        <v>2434</v>
      </c>
      <c r="C223" t="s">
        <v>2433</v>
      </c>
      <c r="D223" t="s">
        <v>2349</v>
      </c>
      <c r="F223">
        <v>404.75006100000002</v>
      </c>
      <c r="G223">
        <v>382.358429</v>
      </c>
      <c r="H223">
        <v>404.56341600000002</v>
      </c>
      <c r="I223">
        <v>404.928833</v>
      </c>
      <c r="J223">
        <v>407.68743899999998</v>
      </c>
      <c r="K223">
        <v>417.55334499999998</v>
      </c>
      <c r="L223">
        <v>418.21014400000001</v>
      </c>
      <c r="M223">
        <v>422.26745599999998</v>
      </c>
      <c r="N223">
        <v>436.84155299999998</v>
      </c>
      <c r="O223">
        <v>449.37631199999998</v>
      </c>
      <c r="P223">
        <v>457.53460699999999</v>
      </c>
      <c r="Q223">
        <v>470.467285</v>
      </c>
      <c r="R223">
        <v>480.44882200000001</v>
      </c>
      <c r="S223">
        <v>492.69570900000002</v>
      </c>
      <c r="T223">
        <v>505.56866500000001</v>
      </c>
      <c r="U223">
        <v>515.56311000000005</v>
      </c>
      <c r="V223">
        <v>525.586365</v>
      </c>
      <c r="W223">
        <v>535.13000499999998</v>
      </c>
      <c r="X223">
        <v>549.80163600000003</v>
      </c>
      <c r="Y223">
        <v>559.58660899999995</v>
      </c>
      <c r="Z223">
        <v>567.20532200000002</v>
      </c>
      <c r="AA223">
        <v>577.46691899999996</v>
      </c>
      <c r="AB223">
        <v>587.92761199999995</v>
      </c>
      <c r="AC223">
        <v>606.94360400000005</v>
      </c>
      <c r="AD223">
        <v>622.23120100000006</v>
      </c>
      <c r="AE223">
        <v>632.24023399999999</v>
      </c>
      <c r="AF223">
        <v>644.29174799999998</v>
      </c>
      <c r="AG223" s="144">
        <v>1.7999999999999999E-2</v>
      </c>
    </row>
    <row r="224" spans="1:33">
      <c r="A224" t="s">
        <v>153</v>
      </c>
      <c r="B224" t="s">
        <v>2432</v>
      </c>
      <c r="C224" t="s">
        <v>2431</v>
      </c>
      <c r="D224" t="s">
        <v>2349</v>
      </c>
      <c r="F224">
        <v>2030.424438</v>
      </c>
      <c r="G224">
        <v>1821.5426030000001</v>
      </c>
      <c r="H224">
        <v>2026.6295170000001</v>
      </c>
      <c r="I224">
        <v>2030.0322269999999</v>
      </c>
      <c r="J224">
        <v>2053.4882809999999</v>
      </c>
      <c r="K224">
        <v>2119.8803710000002</v>
      </c>
      <c r="L224">
        <v>2149.4838869999999</v>
      </c>
      <c r="M224">
        <v>2190.11499</v>
      </c>
      <c r="N224">
        <v>2271.3171390000002</v>
      </c>
      <c r="O224">
        <v>2342.7583009999998</v>
      </c>
      <c r="P224">
        <v>2399.5510250000002</v>
      </c>
      <c r="Q224">
        <v>2475.9333499999998</v>
      </c>
      <c r="R224">
        <v>2539.0634770000001</v>
      </c>
      <c r="S224">
        <v>2611.2836910000001</v>
      </c>
      <c r="T224">
        <v>2690.7314449999999</v>
      </c>
      <c r="U224">
        <v>2763.4323730000001</v>
      </c>
      <c r="V224">
        <v>2830.178711</v>
      </c>
      <c r="W224">
        <v>2894.4558109999998</v>
      </c>
      <c r="X224">
        <v>2977.9633789999998</v>
      </c>
      <c r="Y224">
        <v>3039.8142090000001</v>
      </c>
      <c r="Z224">
        <v>3091.3059079999998</v>
      </c>
      <c r="AA224">
        <v>3151.8793949999999</v>
      </c>
      <c r="AB224">
        <v>3213.0690920000002</v>
      </c>
      <c r="AC224">
        <v>3306.6416020000001</v>
      </c>
      <c r="AD224">
        <v>3385.5581050000001</v>
      </c>
      <c r="AE224">
        <v>3444.7416990000002</v>
      </c>
      <c r="AF224">
        <v>3511.5595699999999</v>
      </c>
      <c r="AG224" s="144">
        <v>2.1000000000000001E-2</v>
      </c>
    </row>
    <row r="225" spans="1:33">
      <c r="A225" t="s">
        <v>2430</v>
      </c>
    </row>
    <row r="226" spans="1:33">
      <c r="A226" t="s">
        <v>2429</v>
      </c>
    </row>
    <row r="227" spans="1:33">
      <c r="A227" t="s">
        <v>2420</v>
      </c>
      <c r="B227" t="s">
        <v>2428</v>
      </c>
      <c r="C227" t="s">
        <v>2427</v>
      </c>
      <c r="D227" t="s">
        <v>2409</v>
      </c>
      <c r="F227">
        <v>86.813323999999994</v>
      </c>
      <c r="G227">
        <v>87.472510999999997</v>
      </c>
      <c r="H227">
        <v>88.147002999999998</v>
      </c>
      <c r="I227">
        <v>88.854056999999997</v>
      </c>
      <c r="J227">
        <v>89.586692999999997</v>
      </c>
      <c r="K227">
        <v>90.334716999999998</v>
      </c>
      <c r="L227">
        <v>91.090691000000007</v>
      </c>
      <c r="M227">
        <v>91.853035000000006</v>
      </c>
      <c r="N227">
        <v>92.621421999999995</v>
      </c>
      <c r="O227">
        <v>93.395447000000004</v>
      </c>
      <c r="P227">
        <v>94.175376999999997</v>
      </c>
      <c r="Q227">
        <v>94.960808</v>
      </c>
      <c r="R227">
        <v>95.751221000000001</v>
      </c>
      <c r="S227">
        <v>96.547409000000002</v>
      </c>
      <c r="T227">
        <v>97.348785000000007</v>
      </c>
      <c r="U227">
        <v>98.155624000000003</v>
      </c>
      <c r="V227">
        <v>98.967590000000001</v>
      </c>
      <c r="W227">
        <v>99.784171999999998</v>
      </c>
      <c r="X227">
        <v>100.60524700000001</v>
      </c>
      <c r="Y227">
        <v>101.43147999999999</v>
      </c>
      <c r="Z227">
        <v>102.26335899999999</v>
      </c>
      <c r="AA227">
        <v>103.100677</v>
      </c>
      <c r="AB227">
        <v>103.94343600000001</v>
      </c>
      <c r="AC227">
        <v>104.790909</v>
      </c>
      <c r="AD227">
        <v>105.643585</v>
      </c>
      <c r="AE227">
        <v>106.501724</v>
      </c>
      <c r="AF227">
        <v>107.364891</v>
      </c>
      <c r="AG227" s="144">
        <v>8.0000000000000002E-3</v>
      </c>
    </row>
    <row r="228" spans="1:33">
      <c r="A228" t="s">
        <v>2417</v>
      </c>
      <c r="B228" t="s">
        <v>2426</v>
      </c>
      <c r="C228" t="s">
        <v>2425</v>
      </c>
      <c r="D228" t="s">
        <v>2409</v>
      </c>
      <c r="F228">
        <v>109.564651</v>
      </c>
      <c r="G228">
        <v>110.106865</v>
      </c>
      <c r="H228">
        <v>110.92031900000001</v>
      </c>
      <c r="I228">
        <v>111.764</v>
      </c>
      <c r="J228">
        <v>112.631927</v>
      </c>
      <c r="K228">
        <v>113.518158</v>
      </c>
      <c r="L228">
        <v>114.414749</v>
      </c>
      <c r="M228">
        <v>115.321617</v>
      </c>
      <c r="N228">
        <v>116.234444</v>
      </c>
      <c r="O228">
        <v>117.153931</v>
      </c>
      <c r="P228">
        <v>118.081596</v>
      </c>
      <c r="Q228">
        <v>119.015587</v>
      </c>
      <c r="R228">
        <v>119.956406</v>
      </c>
      <c r="S228">
        <v>120.90392300000001</v>
      </c>
      <c r="T228">
        <v>121.85755899999999</v>
      </c>
      <c r="U228">
        <v>122.818375</v>
      </c>
      <c r="V228">
        <v>123.786362</v>
      </c>
      <c r="W228">
        <v>124.761909</v>
      </c>
      <c r="X228">
        <v>125.743607</v>
      </c>
      <c r="Y228">
        <v>126.732979</v>
      </c>
      <c r="Z228">
        <v>127.73039199999999</v>
      </c>
      <c r="AA228">
        <v>128.735062</v>
      </c>
      <c r="AB228">
        <v>129.74719200000001</v>
      </c>
      <c r="AC228">
        <v>130.76473999999999</v>
      </c>
      <c r="AD228">
        <v>131.78872699999999</v>
      </c>
      <c r="AE228">
        <v>132.820526</v>
      </c>
      <c r="AF228">
        <v>133.859634</v>
      </c>
      <c r="AG228" s="144">
        <v>8.0000000000000002E-3</v>
      </c>
    </row>
    <row r="229" spans="1:33">
      <c r="A229" t="s">
        <v>2414</v>
      </c>
      <c r="B229" t="s">
        <v>2424</v>
      </c>
      <c r="C229" t="s">
        <v>2423</v>
      </c>
      <c r="D229" t="s">
        <v>2409</v>
      </c>
      <c r="F229">
        <v>56.717154999999998</v>
      </c>
      <c r="G229">
        <v>57.286265999999998</v>
      </c>
      <c r="H229">
        <v>57.803204000000001</v>
      </c>
      <c r="I229">
        <v>58.329791999999998</v>
      </c>
      <c r="J229">
        <v>58.876694000000001</v>
      </c>
      <c r="K229">
        <v>59.428897999999997</v>
      </c>
      <c r="L229">
        <v>59.990425000000002</v>
      </c>
      <c r="M229">
        <v>60.563065000000002</v>
      </c>
      <c r="N229">
        <v>61.135212000000003</v>
      </c>
      <c r="O229">
        <v>61.708534</v>
      </c>
      <c r="P229">
        <v>62.287376000000002</v>
      </c>
      <c r="Q229">
        <v>62.866298999999998</v>
      </c>
      <c r="R229">
        <v>63.446990999999997</v>
      </c>
      <c r="S229">
        <v>64.028892999999997</v>
      </c>
      <c r="T229">
        <v>64.611305000000002</v>
      </c>
      <c r="U229">
        <v>65.197411000000002</v>
      </c>
      <c r="V229">
        <v>65.786652000000004</v>
      </c>
      <c r="W229">
        <v>66.379669000000007</v>
      </c>
      <c r="X229">
        <v>66.971976999999995</v>
      </c>
      <c r="Y229">
        <v>67.568718000000004</v>
      </c>
      <c r="Z229">
        <v>68.172020000000003</v>
      </c>
      <c r="AA229">
        <v>68.779747</v>
      </c>
      <c r="AB229">
        <v>69.391486999999998</v>
      </c>
      <c r="AC229">
        <v>69.999465999999998</v>
      </c>
      <c r="AD229">
        <v>70.607628000000005</v>
      </c>
      <c r="AE229">
        <v>71.220978000000002</v>
      </c>
      <c r="AF229">
        <v>71.837661999999995</v>
      </c>
      <c r="AG229" s="144">
        <v>8.9999999999999993E-3</v>
      </c>
    </row>
    <row r="230" spans="1:33">
      <c r="A230" t="s">
        <v>199</v>
      </c>
      <c r="B230" t="s">
        <v>2422</v>
      </c>
      <c r="C230" t="s">
        <v>2421</v>
      </c>
      <c r="D230" t="s">
        <v>2409</v>
      </c>
      <c r="F230">
        <v>93.093322999999998</v>
      </c>
      <c r="G230">
        <v>93.573386999999997</v>
      </c>
      <c r="H230">
        <v>94.286040999999997</v>
      </c>
      <c r="I230">
        <v>95.031470999999996</v>
      </c>
      <c r="J230">
        <v>95.802582000000001</v>
      </c>
      <c r="K230">
        <v>96.587104999999994</v>
      </c>
      <c r="L230">
        <v>97.381630000000001</v>
      </c>
      <c r="M230">
        <v>98.186217999999997</v>
      </c>
      <c r="N230">
        <v>98.994202000000001</v>
      </c>
      <c r="O230">
        <v>99.807013999999995</v>
      </c>
      <c r="P230">
        <v>100.627037</v>
      </c>
      <c r="Q230">
        <v>101.45137</v>
      </c>
      <c r="R230">
        <v>102.28190600000001</v>
      </c>
      <c r="S230">
        <v>103.117935</v>
      </c>
      <c r="T230">
        <v>103.95887</v>
      </c>
      <c r="U230">
        <v>104.806282</v>
      </c>
      <c r="V230">
        <v>105.6605</v>
      </c>
      <c r="W230">
        <v>106.521378</v>
      </c>
      <c r="X230">
        <v>107.38653600000001</v>
      </c>
      <c r="Y230">
        <v>108.25868199999999</v>
      </c>
      <c r="Z230">
        <v>109.138885</v>
      </c>
      <c r="AA230">
        <v>110.025887</v>
      </c>
      <c r="AB230">
        <v>110.91982299999999</v>
      </c>
      <c r="AC230">
        <v>111.81680299999999</v>
      </c>
      <c r="AD230">
        <v>112.719421</v>
      </c>
      <c r="AE230">
        <v>113.630379</v>
      </c>
      <c r="AF230">
        <v>114.548462</v>
      </c>
      <c r="AG230" s="144">
        <v>8.0000000000000002E-3</v>
      </c>
    </row>
    <row r="231" spans="1:33">
      <c r="A231" t="s">
        <v>200</v>
      </c>
    </row>
    <row r="232" spans="1:33">
      <c r="A232" t="s">
        <v>2420</v>
      </c>
      <c r="B232" t="s">
        <v>2419</v>
      </c>
      <c r="C232" t="s">
        <v>2418</v>
      </c>
      <c r="D232" t="s">
        <v>2409</v>
      </c>
      <c r="F232">
        <v>79.154808000000003</v>
      </c>
      <c r="G232">
        <v>79.771843000000004</v>
      </c>
      <c r="H232">
        <v>80.438293000000002</v>
      </c>
      <c r="I232">
        <v>81.112999000000002</v>
      </c>
      <c r="J232">
        <v>81.807982999999993</v>
      </c>
      <c r="K232">
        <v>82.490273000000002</v>
      </c>
      <c r="L232">
        <v>83.190674000000001</v>
      </c>
      <c r="M232">
        <v>83.891509999999997</v>
      </c>
      <c r="N232">
        <v>84.617844000000005</v>
      </c>
      <c r="O232">
        <v>85.351249999999993</v>
      </c>
      <c r="P232">
        <v>86.095093000000006</v>
      </c>
      <c r="Q232">
        <v>86.855057000000002</v>
      </c>
      <c r="R232">
        <v>87.620330999999993</v>
      </c>
      <c r="S232">
        <v>88.392882999999998</v>
      </c>
      <c r="T232">
        <v>89.173385999999994</v>
      </c>
      <c r="U232">
        <v>89.948334000000003</v>
      </c>
      <c r="V232">
        <v>90.728012000000007</v>
      </c>
      <c r="W232">
        <v>91.508797000000001</v>
      </c>
      <c r="X232">
        <v>92.295364000000006</v>
      </c>
      <c r="Y232">
        <v>93.080223000000004</v>
      </c>
      <c r="Z232">
        <v>93.865844999999993</v>
      </c>
      <c r="AA232">
        <v>94.651488999999998</v>
      </c>
      <c r="AB232">
        <v>95.432175000000001</v>
      </c>
      <c r="AC232">
        <v>96.219948000000002</v>
      </c>
      <c r="AD232">
        <v>97.005950999999996</v>
      </c>
      <c r="AE232">
        <v>97.78434</v>
      </c>
      <c r="AF232">
        <v>98.564209000000005</v>
      </c>
      <c r="AG232" s="144">
        <v>8.0000000000000002E-3</v>
      </c>
    </row>
    <row r="233" spans="1:33">
      <c r="A233" t="s">
        <v>2417</v>
      </c>
      <c r="B233" t="s">
        <v>2416</v>
      </c>
      <c r="C233" t="s">
        <v>2415</v>
      </c>
      <c r="D233" t="s">
        <v>2409</v>
      </c>
      <c r="F233">
        <v>100.587761</v>
      </c>
      <c r="G233">
        <v>101.02362100000001</v>
      </c>
      <c r="H233">
        <v>101.77909099999999</v>
      </c>
      <c r="I233">
        <v>102.517769</v>
      </c>
      <c r="J233">
        <v>103.25535600000001</v>
      </c>
      <c r="K233">
        <v>104.000435</v>
      </c>
      <c r="L233">
        <v>104.721962</v>
      </c>
      <c r="M233">
        <v>105.486679</v>
      </c>
      <c r="N233">
        <v>106.35189800000001</v>
      </c>
      <c r="O233">
        <v>107.231514</v>
      </c>
      <c r="P233">
        <v>108.079819</v>
      </c>
      <c r="Q233">
        <v>108.904701</v>
      </c>
      <c r="R233">
        <v>109.722588</v>
      </c>
      <c r="S233">
        <v>110.514717</v>
      </c>
      <c r="T233">
        <v>111.355476</v>
      </c>
      <c r="U233">
        <v>112.184769</v>
      </c>
      <c r="V233">
        <v>113.041389</v>
      </c>
      <c r="W233">
        <v>113.920868</v>
      </c>
      <c r="X233">
        <v>114.879181</v>
      </c>
      <c r="Y233">
        <v>115.82804899999999</v>
      </c>
      <c r="Z233">
        <v>116.770988</v>
      </c>
      <c r="AA233">
        <v>117.728554</v>
      </c>
      <c r="AB233">
        <v>118.704292</v>
      </c>
      <c r="AC233">
        <v>119.69663199999999</v>
      </c>
      <c r="AD233">
        <v>120.70504800000001</v>
      </c>
      <c r="AE233">
        <v>121.71122</v>
      </c>
      <c r="AF233">
        <v>122.70468099999999</v>
      </c>
      <c r="AG233" s="144">
        <v>8.0000000000000002E-3</v>
      </c>
    </row>
    <row r="234" spans="1:33">
      <c r="A234" t="s">
        <v>2414</v>
      </c>
      <c r="B234" t="s">
        <v>2413</v>
      </c>
      <c r="C234" t="s">
        <v>2412</v>
      </c>
      <c r="D234" t="s">
        <v>2409</v>
      </c>
      <c r="F234">
        <v>54.161754999999999</v>
      </c>
      <c r="G234">
        <v>54.555252000000003</v>
      </c>
      <c r="H234">
        <v>54.898482999999999</v>
      </c>
      <c r="I234">
        <v>55.251460999999999</v>
      </c>
      <c r="J234">
        <v>55.621966999999998</v>
      </c>
      <c r="K234">
        <v>55.991557999999998</v>
      </c>
      <c r="L234">
        <v>56.369307999999997</v>
      </c>
      <c r="M234">
        <v>56.760151</v>
      </c>
      <c r="N234">
        <v>57.197288999999998</v>
      </c>
      <c r="O234">
        <v>57.616149999999998</v>
      </c>
      <c r="P234">
        <v>58.040951</v>
      </c>
      <c r="Q234">
        <v>58.468879999999999</v>
      </c>
      <c r="R234">
        <v>58.898578999999998</v>
      </c>
      <c r="S234">
        <v>59.337757000000003</v>
      </c>
      <c r="T234">
        <v>59.783493</v>
      </c>
      <c r="U234">
        <v>60.228088</v>
      </c>
      <c r="V234">
        <v>60.680472999999999</v>
      </c>
      <c r="W234">
        <v>61.14217</v>
      </c>
      <c r="X234">
        <v>61.633167</v>
      </c>
      <c r="Y234">
        <v>62.113590000000002</v>
      </c>
      <c r="Z234">
        <v>62.600262000000001</v>
      </c>
      <c r="AA234">
        <v>63.093299999999999</v>
      </c>
      <c r="AB234">
        <v>63.591670999999998</v>
      </c>
      <c r="AC234">
        <v>64.088607999999994</v>
      </c>
      <c r="AD234">
        <v>64.588211000000001</v>
      </c>
      <c r="AE234">
        <v>65.090714000000006</v>
      </c>
      <c r="AF234">
        <v>65.599288999999999</v>
      </c>
      <c r="AG234" s="144">
        <v>7.0000000000000001E-3</v>
      </c>
    </row>
    <row r="235" spans="1:33">
      <c r="A235" t="s">
        <v>199</v>
      </c>
      <c r="B235" t="s">
        <v>2411</v>
      </c>
      <c r="C235" t="s">
        <v>2410</v>
      </c>
      <c r="D235" t="s">
        <v>2409</v>
      </c>
      <c r="F235">
        <v>85.368492000000003</v>
      </c>
      <c r="G235">
        <v>85.782234000000003</v>
      </c>
      <c r="H235">
        <v>86.453063999999998</v>
      </c>
      <c r="I235">
        <v>87.127350000000007</v>
      </c>
      <c r="J235">
        <v>87.815926000000005</v>
      </c>
      <c r="K235">
        <v>88.497085999999996</v>
      </c>
      <c r="L235">
        <v>89.183655000000002</v>
      </c>
      <c r="M235">
        <v>89.886848000000001</v>
      </c>
      <c r="N235">
        <v>90.639893000000001</v>
      </c>
      <c r="O235">
        <v>91.399001999999996</v>
      </c>
      <c r="P235">
        <v>92.155806999999996</v>
      </c>
      <c r="Q235">
        <v>92.914574000000002</v>
      </c>
      <c r="R235">
        <v>93.675323000000006</v>
      </c>
      <c r="S235">
        <v>94.433295999999999</v>
      </c>
      <c r="T235">
        <v>95.211731</v>
      </c>
      <c r="U235">
        <v>95.983520999999996</v>
      </c>
      <c r="V235">
        <v>96.768569999999997</v>
      </c>
      <c r="W235">
        <v>97.563377000000003</v>
      </c>
      <c r="X235">
        <v>98.389313000000001</v>
      </c>
      <c r="Y235">
        <v>99.21096</v>
      </c>
      <c r="Z235">
        <v>100.03321099999999</v>
      </c>
      <c r="AA235">
        <v>100.86144299999999</v>
      </c>
      <c r="AB235">
        <v>101.69375599999999</v>
      </c>
      <c r="AC235">
        <v>102.534424</v>
      </c>
      <c r="AD235">
        <v>103.379761</v>
      </c>
      <c r="AE235">
        <v>104.22199999999999</v>
      </c>
      <c r="AF235">
        <v>105.063164</v>
      </c>
      <c r="AG235" s="144">
        <v>8.0000000000000002E-3</v>
      </c>
    </row>
    <row r="236" spans="1:33">
      <c r="A236" t="s">
        <v>154</v>
      </c>
    </row>
    <row r="237" spans="1:33">
      <c r="A237" t="s">
        <v>2408</v>
      </c>
    </row>
    <row r="238" spans="1:33">
      <c r="A238" t="s">
        <v>195</v>
      </c>
      <c r="B238" t="s">
        <v>2407</v>
      </c>
      <c r="C238" t="s">
        <v>2406</v>
      </c>
      <c r="D238" t="s">
        <v>1766</v>
      </c>
      <c r="F238">
        <v>3245.922607</v>
      </c>
      <c r="G238">
        <v>3239.6389159999999</v>
      </c>
      <c r="H238">
        <v>3266.3591310000002</v>
      </c>
      <c r="I238">
        <v>3301.492432</v>
      </c>
      <c r="J238">
        <v>3328.8823240000002</v>
      </c>
      <c r="K238">
        <v>3361.1733399999998</v>
      </c>
      <c r="L238">
        <v>3389.1999510000001</v>
      </c>
      <c r="M238">
        <v>3408.5810550000001</v>
      </c>
      <c r="N238">
        <v>3432.2368160000001</v>
      </c>
      <c r="O238">
        <v>3456.9389649999998</v>
      </c>
      <c r="P238">
        <v>3480.8808589999999</v>
      </c>
      <c r="Q238">
        <v>3511.6606449999999</v>
      </c>
      <c r="R238">
        <v>3545.1933589999999</v>
      </c>
      <c r="S238">
        <v>3584.7944339999999</v>
      </c>
      <c r="T238">
        <v>3627.2595209999999</v>
      </c>
      <c r="U238">
        <v>3670.78125</v>
      </c>
      <c r="V238">
        <v>3713.5908199999999</v>
      </c>
      <c r="W238">
        <v>3754.086182</v>
      </c>
      <c r="X238">
        <v>3799.3286130000001</v>
      </c>
      <c r="Y238">
        <v>3841.6186520000001</v>
      </c>
      <c r="Z238">
        <v>3878.8190920000002</v>
      </c>
      <c r="AA238">
        <v>3914.5507809999999</v>
      </c>
      <c r="AB238">
        <v>3947.8647460000002</v>
      </c>
      <c r="AC238">
        <v>3988.7727049999999</v>
      </c>
      <c r="AD238">
        <v>4032.7719729999999</v>
      </c>
      <c r="AE238">
        <v>4072.156982</v>
      </c>
      <c r="AF238">
        <v>4111.1528319999998</v>
      </c>
      <c r="AG238" s="144">
        <v>8.9999999999999993E-3</v>
      </c>
    </row>
    <row r="239" spans="1:33">
      <c r="A239" t="s">
        <v>196</v>
      </c>
      <c r="B239" t="s">
        <v>2405</v>
      </c>
      <c r="C239" t="s">
        <v>2404</v>
      </c>
      <c r="D239" t="s">
        <v>1766</v>
      </c>
      <c r="F239">
        <v>301.93463100000002</v>
      </c>
      <c r="G239">
        <v>298.38326999999998</v>
      </c>
      <c r="H239">
        <v>299.271545</v>
      </c>
      <c r="I239">
        <v>301.51873799999998</v>
      </c>
      <c r="J239">
        <v>304.85089099999999</v>
      </c>
      <c r="K239">
        <v>308.55502300000001</v>
      </c>
      <c r="L239">
        <v>312.18029799999999</v>
      </c>
      <c r="M239">
        <v>315.649719</v>
      </c>
      <c r="N239">
        <v>319.09637500000002</v>
      </c>
      <c r="O239">
        <v>322.74539199999998</v>
      </c>
      <c r="P239">
        <v>326.61593599999998</v>
      </c>
      <c r="Q239">
        <v>330.41656499999999</v>
      </c>
      <c r="R239">
        <v>334.43652300000002</v>
      </c>
      <c r="S239">
        <v>338.42804000000001</v>
      </c>
      <c r="T239">
        <v>342.51989700000001</v>
      </c>
      <c r="U239">
        <v>346.55685399999999</v>
      </c>
      <c r="V239">
        <v>350.66433699999999</v>
      </c>
      <c r="W239">
        <v>354.769836</v>
      </c>
      <c r="X239">
        <v>358.72927900000002</v>
      </c>
      <c r="Y239">
        <v>362.77700800000002</v>
      </c>
      <c r="Z239">
        <v>366.86233499999997</v>
      </c>
      <c r="AA239">
        <v>370.94802900000002</v>
      </c>
      <c r="AB239">
        <v>375.197113</v>
      </c>
      <c r="AC239">
        <v>379.38452100000001</v>
      </c>
      <c r="AD239">
        <v>383.59240699999998</v>
      </c>
      <c r="AE239">
        <v>387.83801299999999</v>
      </c>
      <c r="AF239">
        <v>392.09158300000001</v>
      </c>
      <c r="AG239" s="144">
        <v>0.01</v>
      </c>
    </row>
    <row r="240" spans="1:33">
      <c r="A240" t="s">
        <v>2403</v>
      </c>
      <c r="B240" t="s">
        <v>2402</v>
      </c>
      <c r="C240" t="s">
        <v>2401</v>
      </c>
      <c r="D240" t="s">
        <v>1766</v>
      </c>
      <c r="F240">
        <v>200.25547800000001</v>
      </c>
      <c r="G240">
        <v>206.31205700000001</v>
      </c>
      <c r="H240">
        <v>213.24281300000001</v>
      </c>
      <c r="I240">
        <v>219.86404400000001</v>
      </c>
      <c r="J240">
        <v>226.42073099999999</v>
      </c>
      <c r="K240">
        <v>232.913467</v>
      </c>
      <c r="L240">
        <v>239.340912</v>
      </c>
      <c r="M240">
        <v>245.88914500000001</v>
      </c>
      <c r="N240">
        <v>252.29582199999999</v>
      </c>
      <c r="O240">
        <v>258.88757299999997</v>
      </c>
      <c r="P240">
        <v>265.49383499999999</v>
      </c>
      <c r="Q240">
        <v>272.09726000000001</v>
      </c>
      <c r="R240">
        <v>278.80023199999999</v>
      </c>
      <c r="S240">
        <v>285.50851399999999</v>
      </c>
      <c r="T240">
        <v>292.22985799999998</v>
      </c>
      <c r="U240">
        <v>299.04528800000003</v>
      </c>
      <c r="V240">
        <v>305.78128099999998</v>
      </c>
      <c r="W240">
        <v>312.38360599999999</v>
      </c>
      <c r="X240">
        <v>318.94003300000003</v>
      </c>
      <c r="Y240">
        <v>325.79489100000001</v>
      </c>
      <c r="Z240">
        <v>332.66461199999998</v>
      </c>
      <c r="AA240">
        <v>339.56817599999999</v>
      </c>
      <c r="AB240">
        <v>346.563446</v>
      </c>
      <c r="AC240">
        <v>353.472015</v>
      </c>
      <c r="AD240">
        <v>360.438873</v>
      </c>
      <c r="AE240">
        <v>367.55447400000003</v>
      </c>
      <c r="AF240">
        <v>374.74963400000001</v>
      </c>
      <c r="AG240" s="144">
        <v>2.4E-2</v>
      </c>
    </row>
    <row r="241" spans="1:34">
      <c r="A241" t="s">
        <v>2400</v>
      </c>
      <c r="B241" t="s">
        <v>2399</v>
      </c>
      <c r="C241" t="s">
        <v>2398</v>
      </c>
      <c r="D241" t="s">
        <v>1766</v>
      </c>
      <c r="F241">
        <v>3043.0048830000001</v>
      </c>
      <c r="G241">
        <v>3020.805664</v>
      </c>
      <c r="H241">
        <v>3057.405518</v>
      </c>
      <c r="I241">
        <v>3109.53125</v>
      </c>
      <c r="J241">
        <v>3161.561279</v>
      </c>
      <c r="K241">
        <v>3210.5981449999999</v>
      </c>
      <c r="L241">
        <v>3259.5766600000002</v>
      </c>
      <c r="M241">
        <v>3305.7126459999999</v>
      </c>
      <c r="N241">
        <v>3348.4140619999998</v>
      </c>
      <c r="O241">
        <v>3392.257568</v>
      </c>
      <c r="P241">
        <v>3434.8867190000001</v>
      </c>
      <c r="Q241">
        <v>3478.2294919999999</v>
      </c>
      <c r="R241">
        <v>3521.5908199999999</v>
      </c>
      <c r="S241">
        <v>3564.7382809999999</v>
      </c>
      <c r="T241">
        <v>3605.8786620000001</v>
      </c>
      <c r="U241">
        <v>3647.8090820000002</v>
      </c>
      <c r="V241">
        <v>3689.2788089999999</v>
      </c>
      <c r="W241">
        <v>3730.6933589999999</v>
      </c>
      <c r="X241">
        <v>3770.0378420000002</v>
      </c>
      <c r="Y241">
        <v>3811.586182</v>
      </c>
      <c r="Z241">
        <v>3852.8125</v>
      </c>
      <c r="AA241">
        <v>3893.5673830000001</v>
      </c>
      <c r="AB241">
        <v>3934.1342770000001</v>
      </c>
      <c r="AC241">
        <v>3974.3078609999998</v>
      </c>
      <c r="AD241">
        <v>4014.044922</v>
      </c>
      <c r="AE241">
        <v>4054.3715820000002</v>
      </c>
      <c r="AF241">
        <v>4094.8383789999998</v>
      </c>
      <c r="AG241" s="144">
        <v>1.0999999999999999E-2</v>
      </c>
    </row>
    <row r="242" spans="1:34">
      <c r="A242" t="s">
        <v>2397</v>
      </c>
      <c r="B242" t="s">
        <v>2396</v>
      </c>
      <c r="C242" t="s">
        <v>2395</v>
      </c>
      <c r="D242" t="s">
        <v>1766</v>
      </c>
      <c r="F242">
        <v>480.13494900000001</v>
      </c>
      <c r="G242">
        <v>456.26440400000001</v>
      </c>
      <c r="H242">
        <v>453.54144300000002</v>
      </c>
      <c r="I242">
        <v>454.43240400000002</v>
      </c>
      <c r="J242">
        <v>454.86541699999998</v>
      </c>
      <c r="K242">
        <v>454.86837800000001</v>
      </c>
      <c r="L242">
        <v>454.34204099999999</v>
      </c>
      <c r="M242">
        <v>453.21655299999998</v>
      </c>
      <c r="N242">
        <v>451.301849</v>
      </c>
      <c r="O242">
        <v>449.37066700000003</v>
      </c>
      <c r="P242">
        <v>447.239441</v>
      </c>
      <c r="Q242">
        <v>444.629211</v>
      </c>
      <c r="R242">
        <v>441.69595299999997</v>
      </c>
      <c r="S242">
        <v>438.49426299999999</v>
      </c>
      <c r="T242">
        <v>435.04016100000001</v>
      </c>
      <c r="U242">
        <v>431.479401</v>
      </c>
      <c r="V242">
        <v>427.79974399999998</v>
      </c>
      <c r="W242">
        <v>424.13861100000003</v>
      </c>
      <c r="X242">
        <v>419.77838100000002</v>
      </c>
      <c r="Y242">
        <v>415.70483400000001</v>
      </c>
      <c r="Z242">
        <v>411.95562699999999</v>
      </c>
      <c r="AA242">
        <v>408.33340500000003</v>
      </c>
      <c r="AB242">
        <v>404.91198700000001</v>
      </c>
      <c r="AC242">
        <v>401.60730000000001</v>
      </c>
      <c r="AD242">
        <v>398.39456200000001</v>
      </c>
      <c r="AE242">
        <v>395.29797400000001</v>
      </c>
      <c r="AF242">
        <v>392.39202899999998</v>
      </c>
      <c r="AG242" s="144">
        <v>-8.0000000000000002E-3</v>
      </c>
    </row>
    <row r="243" spans="1:34">
      <c r="A243" t="s">
        <v>2394</v>
      </c>
      <c r="B243" t="s">
        <v>2393</v>
      </c>
      <c r="C243" t="s">
        <v>2392</v>
      </c>
      <c r="D243" t="s">
        <v>1766</v>
      </c>
      <c r="F243">
        <v>382.79070999999999</v>
      </c>
      <c r="G243">
        <v>367.478973</v>
      </c>
      <c r="H243">
        <v>374.04580700000002</v>
      </c>
      <c r="I243">
        <v>382.21862800000002</v>
      </c>
      <c r="J243">
        <v>390.69689899999997</v>
      </c>
      <c r="K243">
        <v>399.03411899999998</v>
      </c>
      <c r="L243">
        <v>407.00344799999999</v>
      </c>
      <c r="M243">
        <v>415.03298999999998</v>
      </c>
      <c r="N243">
        <v>422.06829800000003</v>
      </c>
      <c r="O243">
        <v>429.66296399999999</v>
      </c>
      <c r="P243">
        <v>437.28402699999998</v>
      </c>
      <c r="Q243">
        <v>444.58117700000003</v>
      </c>
      <c r="R243">
        <v>451.76855499999999</v>
      </c>
      <c r="S243">
        <v>458.818939</v>
      </c>
      <c r="T243">
        <v>465.70883199999997</v>
      </c>
      <c r="U243">
        <v>472.61602800000003</v>
      </c>
      <c r="V243">
        <v>479.37429800000001</v>
      </c>
      <c r="W243">
        <v>486.20922899999999</v>
      </c>
      <c r="X243">
        <v>492.392426</v>
      </c>
      <c r="Y243">
        <v>499.10794099999998</v>
      </c>
      <c r="Z243">
        <v>505.92358400000001</v>
      </c>
      <c r="AA243">
        <v>512.34362799999997</v>
      </c>
      <c r="AB243">
        <v>518.73181199999999</v>
      </c>
      <c r="AC243">
        <v>525.14953600000001</v>
      </c>
      <c r="AD243">
        <v>531.59405500000003</v>
      </c>
      <c r="AE243">
        <v>538.12072799999999</v>
      </c>
      <c r="AF243">
        <v>544.63562000000002</v>
      </c>
      <c r="AG243" s="144">
        <v>1.4E-2</v>
      </c>
    </row>
    <row r="244" spans="1:34">
      <c r="A244" t="s">
        <v>2391</v>
      </c>
      <c r="B244" t="s">
        <v>2390</v>
      </c>
      <c r="C244" t="s">
        <v>2389</v>
      </c>
      <c r="D244" t="s">
        <v>1766</v>
      </c>
      <c r="F244">
        <v>300.27444500000001</v>
      </c>
      <c r="G244">
        <v>301.39428700000002</v>
      </c>
      <c r="H244">
        <v>311.22268700000001</v>
      </c>
      <c r="I244">
        <v>320.54577599999999</v>
      </c>
      <c r="J244">
        <v>329.50427200000001</v>
      </c>
      <c r="K244">
        <v>338.32525600000002</v>
      </c>
      <c r="L244">
        <v>347.14086900000001</v>
      </c>
      <c r="M244">
        <v>355.41204800000003</v>
      </c>
      <c r="N244">
        <v>362.48715199999998</v>
      </c>
      <c r="O244">
        <v>369.36651599999999</v>
      </c>
      <c r="P244">
        <v>376.03573599999999</v>
      </c>
      <c r="Q244">
        <v>382.38717700000001</v>
      </c>
      <c r="R244">
        <v>388.45660400000003</v>
      </c>
      <c r="S244">
        <v>394.05862400000001</v>
      </c>
      <c r="T244">
        <v>399.26763899999997</v>
      </c>
      <c r="U244">
        <v>403.894226</v>
      </c>
      <c r="V244">
        <v>408.55993699999999</v>
      </c>
      <c r="W244">
        <v>413.01812699999999</v>
      </c>
      <c r="X244">
        <v>417.22808800000001</v>
      </c>
      <c r="Y244">
        <v>420.56918300000001</v>
      </c>
      <c r="Z244">
        <v>423.33889799999997</v>
      </c>
      <c r="AA244">
        <v>424.89868200000001</v>
      </c>
      <c r="AB244">
        <v>425.86792000000003</v>
      </c>
      <c r="AC244">
        <v>426.08840900000001</v>
      </c>
      <c r="AD244">
        <v>426.33770800000002</v>
      </c>
      <c r="AE244">
        <v>426.611786</v>
      </c>
      <c r="AF244">
        <v>427.18164100000001</v>
      </c>
      <c r="AG244" s="144">
        <v>1.4E-2</v>
      </c>
    </row>
    <row r="245" spans="1:34">
      <c r="A245" t="s">
        <v>2388</v>
      </c>
      <c r="B245" t="s">
        <v>2387</v>
      </c>
      <c r="C245" t="s">
        <v>2386</v>
      </c>
      <c r="D245" t="s">
        <v>1766</v>
      </c>
      <c r="F245">
        <v>320.448395</v>
      </c>
      <c r="G245">
        <v>352.58590700000002</v>
      </c>
      <c r="H245">
        <v>385.32617199999999</v>
      </c>
      <c r="I245">
        <v>404.006775</v>
      </c>
      <c r="J245">
        <v>415.66113300000001</v>
      </c>
      <c r="K245">
        <v>419.37515300000001</v>
      </c>
      <c r="L245">
        <v>422.94793700000002</v>
      </c>
      <c r="M245">
        <v>426.56664999999998</v>
      </c>
      <c r="N245">
        <v>430.124146</v>
      </c>
      <c r="O245">
        <v>433.466095</v>
      </c>
      <c r="P245">
        <v>436.94744900000001</v>
      </c>
      <c r="Q245">
        <v>440.44592299999999</v>
      </c>
      <c r="R245">
        <v>443.85467499999999</v>
      </c>
      <c r="S245">
        <v>447.152649</v>
      </c>
      <c r="T245">
        <v>450.47842400000002</v>
      </c>
      <c r="U245">
        <v>453.73135400000001</v>
      </c>
      <c r="V245">
        <v>456.90475500000002</v>
      </c>
      <c r="W245">
        <v>460.536316</v>
      </c>
      <c r="X245">
        <v>464.31402600000001</v>
      </c>
      <c r="Y245">
        <v>467.895691</v>
      </c>
      <c r="Z245">
        <v>471.45575000000002</v>
      </c>
      <c r="AA245">
        <v>474.961884</v>
      </c>
      <c r="AB245">
        <v>478.59027099999997</v>
      </c>
      <c r="AC245">
        <v>482.36004600000001</v>
      </c>
      <c r="AD245">
        <v>486.05712899999997</v>
      </c>
      <c r="AE245">
        <v>489.58743299999998</v>
      </c>
      <c r="AF245">
        <v>493.038025</v>
      </c>
      <c r="AG245" s="144">
        <v>1.7000000000000001E-2</v>
      </c>
    </row>
    <row r="246" spans="1:34">
      <c r="A246" t="s">
        <v>2385</v>
      </c>
      <c r="B246" t="s">
        <v>2384</v>
      </c>
      <c r="C246" t="s">
        <v>2383</v>
      </c>
      <c r="D246" t="s">
        <v>1766</v>
      </c>
      <c r="F246">
        <v>91.721794000000003</v>
      </c>
      <c r="G246">
        <v>90.984200000000001</v>
      </c>
      <c r="H246">
        <v>91.279724000000002</v>
      </c>
      <c r="I246">
        <v>92.775475</v>
      </c>
      <c r="J246">
        <v>95.825744999999998</v>
      </c>
      <c r="K246">
        <v>97.860725000000002</v>
      </c>
      <c r="L246">
        <v>99.909362999999999</v>
      </c>
      <c r="M246">
        <v>101.938118</v>
      </c>
      <c r="N246">
        <v>103.935738</v>
      </c>
      <c r="O246">
        <v>106.085587</v>
      </c>
      <c r="P246">
        <v>108.32914700000001</v>
      </c>
      <c r="Q246">
        <v>110.633926</v>
      </c>
      <c r="R246">
        <v>113.053543</v>
      </c>
      <c r="S246">
        <v>115.512184</v>
      </c>
      <c r="T246">
        <v>118.030922</v>
      </c>
      <c r="U246">
        <v>120.61142</v>
      </c>
      <c r="V246">
        <v>123.227142</v>
      </c>
      <c r="W246">
        <v>125.853607</v>
      </c>
      <c r="X246">
        <v>128.47302199999999</v>
      </c>
      <c r="Y246">
        <v>131.21371500000001</v>
      </c>
      <c r="Z246">
        <v>134.027512</v>
      </c>
      <c r="AA246">
        <v>136.880707</v>
      </c>
      <c r="AB246">
        <v>139.771637</v>
      </c>
      <c r="AC246">
        <v>142.684631</v>
      </c>
      <c r="AD246">
        <v>145.63426200000001</v>
      </c>
      <c r="AE246">
        <v>148.630493</v>
      </c>
      <c r="AF246">
        <v>151.67013499999999</v>
      </c>
      <c r="AG246" s="144">
        <v>0.02</v>
      </c>
    </row>
    <row r="247" spans="1:34">
      <c r="A247" t="s">
        <v>198</v>
      </c>
      <c r="B247" t="s">
        <v>2382</v>
      </c>
      <c r="C247" t="s">
        <v>2381</v>
      </c>
      <c r="D247" t="s">
        <v>1766</v>
      </c>
      <c r="F247">
        <v>1633.537476</v>
      </c>
      <c r="G247">
        <v>1653.295044</v>
      </c>
      <c r="H247">
        <v>1695.7026370000001</v>
      </c>
      <c r="I247">
        <v>1760.5928960000001</v>
      </c>
      <c r="J247">
        <v>1830.229004</v>
      </c>
      <c r="K247">
        <v>1902.3043210000001</v>
      </c>
      <c r="L247">
        <v>1976.2783199999999</v>
      </c>
      <c r="M247">
        <v>2051.4311520000001</v>
      </c>
      <c r="N247">
        <v>2127.6440429999998</v>
      </c>
      <c r="O247">
        <v>2203.2097170000002</v>
      </c>
      <c r="P247">
        <v>2280.1621089999999</v>
      </c>
      <c r="Q247">
        <v>2357.2368160000001</v>
      </c>
      <c r="R247">
        <v>2433.963135</v>
      </c>
      <c r="S247">
        <v>2510.7229000000002</v>
      </c>
      <c r="T247">
        <v>2588.2177729999999</v>
      </c>
      <c r="U247">
        <v>2666.186768</v>
      </c>
      <c r="V247">
        <v>2744.304932</v>
      </c>
      <c r="W247">
        <v>2822.4135740000002</v>
      </c>
      <c r="X247">
        <v>2900.5979000000002</v>
      </c>
      <c r="Y247">
        <v>2978.2729490000002</v>
      </c>
      <c r="Z247">
        <v>3056.2229000000002</v>
      </c>
      <c r="AA247">
        <v>3133.7583009999998</v>
      </c>
      <c r="AB247">
        <v>3210.9577640000002</v>
      </c>
      <c r="AC247">
        <v>3287.7365719999998</v>
      </c>
      <c r="AD247">
        <v>3364.3264159999999</v>
      </c>
      <c r="AE247">
        <v>3440.7729490000002</v>
      </c>
      <c r="AF247">
        <v>3516.6428219999998</v>
      </c>
      <c r="AG247" s="144">
        <v>0.03</v>
      </c>
    </row>
    <row r="248" spans="1:34">
      <c r="A248" t="s">
        <v>2380</v>
      </c>
      <c r="B248" t="s">
        <v>2379</v>
      </c>
      <c r="C248" t="s">
        <v>2378</v>
      </c>
      <c r="D248" t="s">
        <v>1766</v>
      </c>
      <c r="F248">
        <v>382.85974099999999</v>
      </c>
      <c r="G248">
        <v>394.98318499999999</v>
      </c>
      <c r="H248">
        <v>419.40997299999998</v>
      </c>
      <c r="I248">
        <v>448.65982100000002</v>
      </c>
      <c r="J248">
        <v>479.18173200000001</v>
      </c>
      <c r="K248">
        <v>510.86270100000002</v>
      </c>
      <c r="L248">
        <v>543.667419</v>
      </c>
      <c r="M248">
        <v>577.29711899999995</v>
      </c>
      <c r="N248">
        <v>611.03546100000005</v>
      </c>
      <c r="O248">
        <v>645.30810499999995</v>
      </c>
      <c r="P248">
        <v>679.72686799999997</v>
      </c>
      <c r="Q248">
        <v>714.11108400000001</v>
      </c>
      <c r="R248">
        <v>748.05841099999998</v>
      </c>
      <c r="S248">
        <v>781.97875999999997</v>
      </c>
      <c r="T248">
        <v>815.683716</v>
      </c>
      <c r="U248">
        <v>849.30200200000002</v>
      </c>
      <c r="V248">
        <v>883.08673099999999</v>
      </c>
      <c r="W248">
        <v>916.71710199999995</v>
      </c>
      <c r="X248">
        <v>950.02655000000004</v>
      </c>
      <c r="Y248">
        <v>983.30926499999998</v>
      </c>
      <c r="Z248">
        <v>1016.475647</v>
      </c>
      <c r="AA248">
        <v>1049.877686</v>
      </c>
      <c r="AB248">
        <v>1082.8088379999999</v>
      </c>
      <c r="AC248">
        <v>1115.4536129999999</v>
      </c>
      <c r="AD248">
        <v>1147.739014</v>
      </c>
      <c r="AE248">
        <v>1180.0836179999999</v>
      </c>
      <c r="AF248">
        <v>1212.037476</v>
      </c>
      <c r="AG248" s="144">
        <v>4.4999999999999998E-2</v>
      </c>
    </row>
    <row r="249" spans="1:34">
      <c r="A249" t="s">
        <v>2377</v>
      </c>
      <c r="B249" t="s">
        <v>2376</v>
      </c>
      <c r="C249" t="s">
        <v>2375</v>
      </c>
      <c r="D249" t="s">
        <v>1766</v>
      </c>
      <c r="F249">
        <v>1534.7301030000001</v>
      </c>
      <c r="G249">
        <v>1582.5083010000001</v>
      </c>
      <c r="H249">
        <v>1624.4848629999999</v>
      </c>
      <c r="I249">
        <v>1677.3763429999999</v>
      </c>
      <c r="J249">
        <v>1732.169189</v>
      </c>
      <c r="K249">
        <v>1787.8283690000001</v>
      </c>
      <c r="L249">
        <v>1843.147095</v>
      </c>
      <c r="M249">
        <v>1898.805908</v>
      </c>
      <c r="N249">
        <v>1954.644775</v>
      </c>
      <c r="O249">
        <v>2008.8138429999999</v>
      </c>
      <c r="P249">
        <v>2063.8891600000002</v>
      </c>
      <c r="Q249">
        <v>2118.9765619999998</v>
      </c>
      <c r="R249">
        <v>2173.6796880000002</v>
      </c>
      <c r="S249">
        <v>2228.0683589999999</v>
      </c>
      <c r="T249">
        <v>2282.3820799999999</v>
      </c>
      <c r="U249">
        <v>2337.336182</v>
      </c>
      <c r="V249">
        <v>2392.6115719999998</v>
      </c>
      <c r="W249">
        <v>2448.124268</v>
      </c>
      <c r="X249">
        <v>2503.8808589999999</v>
      </c>
      <c r="Y249">
        <v>2559.142578</v>
      </c>
      <c r="Z249">
        <v>2615.7634280000002</v>
      </c>
      <c r="AA249">
        <v>2672.7446289999998</v>
      </c>
      <c r="AB249">
        <v>2730.2973630000001</v>
      </c>
      <c r="AC249">
        <v>2787.7775879999999</v>
      </c>
      <c r="AD249">
        <v>2845.5749510000001</v>
      </c>
      <c r="AE249">
        <v>2904.2067870000001</v>
      </c>
      <c r="AF249">
        <v>2963.5561520000001</v>
      </c>
      <c r="AG249" s="144">
        <v>2.5999999999999999E-2</v>
      </c>
    </row>
    <row r="250" spans="1:34">
      <c r="A250" t="s">
        <v>2374</v>
      </c>
      <c r="B250" t="s">
        <v>2373</v>
      </c>
      <c r="C250" t="s">
        <v>2372</v>
      </c>
      <c r="D250" t="s">
        <v>1766</v>
      </c>
      <c r="F250">
        <v>1017.885254</v>
      </c>
      <c r="G250">
        <v>1032.709595</v>
      </c>
      <c r="H250">
        <v>1055.0009769999999</v>
      </c>
      <c r="I250">
        <v>1077.7132570000001</v>
      </c>
      <c r="J250">
        <v>1101.622803</v>
      </c>
      <c r="K250">
        <v>1127.4716800000001</v>
      </c>
      <c r="L250">
        <v>1154.7635499999999</v>
      </c>
      <c r="M250">
        <v>1183.653687</v>
      </c>
      <c r="N250">
        <v>1213.192505</v>
      </c>
      <c r="O250">
        <v>1243.857178</v>
      </c>
      <c r="P250">
        <v>1275.3701169999999</v>
      </c>
      <c r="Q250">
        <v>1307.638672</v>
      </c>
      <c r="R250">
        <v>1340.851318</v>
      </c>
      <c r="S250">
        <v>1375.0958250000001</v>
      </c>
      <c r="T250">
        <v>1410.1007079999999</v>
      </c>
      <c r="U250">
        <v>1446.1094969999999</v>
      </c>
      <c r="V250">
        <v>1482.9975589999999</v>
      </c>
      <c r="W250">
        <v>1520.5760499999999</v>
      </c>
      <c r="X250">
        <v>1558.618164</v>
      </c>
      <c r="Y250">
        <v>1597.580078</v>
      </c>
      <c r="Z250">
        <v>1637.361328</v>
      </c>
      <c r="AA250">
        <v>1678.0042719999999</v>
      </c>
      <c r="AB250">
        <v>1719.5527340000001</v>
      </c>
      <c r="AC250">
        <v>1762.1561280000001</v>
      </c>
      <c r="AD250">
        <v>1805.8258060000001</v>
      </c>
      <c r="AE250">
        <v>1850.6820070000001</v>
      </c>
      <c r="AF250">
        <v>1896.6141359999999</v>
      </c>
      <c r="AG250" s="144">
        <v>2.4E-2</v>
      </c>
    </row>
    <row r="251" spans="1:34">
      <c r="A251" t="s">
        <v>197</v>
      </c>
      <c r="B251" t="s">
        <v>2371</v>
      </c>
      <c r="C251" t="s">
        <v>2370</v>
      </c>
      <c r="D251" t="s">
        <v>1766</v>
      </c>
      <c r="F251">
        <v>433.23007200000001</v>
      </c>
      <c r="G251">
        <v>442.14627100000001</v>
      </c>
      <c r="H251">
        <v>456.05169699999999</v>
      </c>
      <c r="I251">
        <v>472.374908</v>
      </c>
      <c r="J251">
        <v>488.92956500000003</v>
      </c>
      <c r="K251">
        <v>505.752319</v>
      </c>
      <c r="L251">
        <v>523.21630900000002</v>
      </c>
      <c r="M251">
        <v>541.22247300000004</v>
      </c>
      <c r="N251">
        <v>558.83667000000003</v>
      </c>
      <c r="O251">
        <v>577.11657700000001</v>
      </c>
      <c r="P251">
        <v>595.59503199999995</v>
      </c>
      <c r="Q251">
        <v>614.35790999999995</v>
      </c>
      <c r="R251">
        <v>633.45105000000001</v>
      </c>
      <c r="S251">
        <v>653.12744099999998</v>
      </c>
      <c r="T251">
        <v>672.73345900000004</v>
      </c>
      <c r="U251">
        <v>692.59851100000003</v>
      </c>
      <c r="V251">
        <v>712.77124000000003</v>
      </c>
      <c r="W251">
        <v>733.64538600000003</v>
      </c>
      <c r="X251">
        <v>754.20343000000003</v>
      </c>
      <c r="Y251">
        <v>775.41803000000004</v>
      </c>
      <c r="Z251">
        <v>796.45855700000004</v>
      </c>
      <c r="AA251">
        <v>817.77990699999998</v>
      </c>
      <c r="AB251">
        <v>839.61499000000003</v>
      </c>
      <c r="AC251">
        <v>861.89233400000001</v>
      </c>
      <c r="AD251">
        <v>884.27856399999996</v>
      </c>
      <c r="AE251">
        <v>906.96691899999996</v>
      </c>
      <c r="AF251">
        <v>929.97485400000005</v>
      </c>
      <c r="AG251" s="144">
        <v>0.03</v>
      </c>
    </row>
    <row r="252" spans="1:34">
      <c r="A252" t="s">
        <v>2369</v>
      </c>
      <c r="B252" t="s">
        <v>2368</v>
      </c>
      <c r="C252" t="s">
        <v>2367</v>
      </c>
      <c r="D252" t="s">
        <v>1766</v>
      </c>
      <c r="F252">
        <v>250.28619399999999</v>
      </c>
      <c r="G252">
        <v>246.748535</v>
      </c>
      <c r="H252">
        <v>250.055679</v>
      </c>
      <c r="I252">
        <v>253.68109100000001</v>
      </c>
      <c r="J252">
        <v>257.71285999999998</v>
      </c>
      <c r="K252">
        <v>261.70233200000001</v>
      </c>
      <c r="L252">
        <v>265.49908399999998</v>
      </c>
      <c r="M252">
        <v>268.90325899999999</v>
      </c>
      <c r="N252">
        <v>271.91006499999997</v>
      </c>
      <c r="O252">
        <v>275.108093</v>
      </c>
      <c r="P252">
        <v>278.13034099999999</v>
      </c>
      <c r="Q252">
        <v>280.99514799999997</v>
      </c>
      <c r="R252">
        <v>283.61840799999999</v>
      </c>
      <c r="S252">
        <v>286.036224</v>
      </c>
      <c r="T252">
        <v>288.17871100000002</v>
      </c>
      <c r="U252">
        <v>290.283051</v>
      </c>
      <c r="V252">
        <v>292.176422</v>
      </c>
      <c r="W252">
        <v>294.00067100000001</v>
      </c>
      <c r="X252">
        <v>295.25018299999999</v>
      </c>
      <c r="Y252">
        <v>296.62072799999999</v>
      </c>
      <c r="Z252">
        <v>297.88296500000001</v>
      </c>
      <c r="AA252">
        <v>299.08548000000002</v>
      </c>
      <c r="AB252">
        <v>299.976654</v>
      </c>
      <c r="AC252">
        <v>300.69168100000002</v>
      </c>
      <c r="AD252">
        <v>301.20129400000002</v>
      </c>
      <c r="AE252">
        <v>301.60485799999998</v>
      </c>
      <c r="AF252">
        <v>301.841431</v>
      </c>
      <c r="AG252" s="144">
        <v>7.0000000000000001E-3</v>
      </c>
    </row>
    <row r="253" spans="1:34">
      <c r="A253" t="s">
        <v>2366</v>
      </c>
      <c r="B253" t="s">
        <v>2365</v>
      </c>
      <c r="C253" t="s">
        <v>2364</v>
      </c>
      <c r="D253" t="s">
        <v>1766</v>
      </c>
      <c r="F253">
        <v>413.57473800000002</v>
      </c>
      <c r="G253">
        <v>412.119843</v>
      </c>
      <c r="H253">
        <v>420.148865</v>
      </c>
      <c r="I253">
        <v>430.77752700000002</v>
      </c>
      <c r="J253">
        <v>441.33071899999999</v>
      </c>
      <c r="K253">
        <v>451.65548699999999</v>
      </c>
      <c r="L253">
        <v>461.82101399999999</v>
      </c>
      <c r="M253">
        <v>471.43310500000001</v>
      </c>
      <c r="N253">
        <v>481.25732399999998</v>
      </c>
      <c r="O253">
        <v>491.61175500000002</v>
      </c>
      <c r="P253">
        <v>501.84027099999997</v>
      </c>
      <c r="Q253">
        <v>511.77435300000002</v>
      </c>
      <c r="R253">
        <v>521.77404799999999</v>
      </c>
      <c r="S253">
        <v>531.90332000000001</v>
      </c>
      <c r="T253">
        <v>541.90625</v>
      </c>
      <c r="U253">
        <v>552.23144500000001</v>
      </c>
      <c r="V253">
        <v>562.06292699999995</v>
      </c>
      <c r="W253">
        <v>571.939392</v>
      </c>
      <c r="X253">
        <v>581.38519299999996</v>
      </c>
      <c r="Y253">
        <v>591.56597899999997</v>
      </c>
      <c r="Z253">
        <v>601.65698199999997</v>
      </c>
      <c r="AA253">
        <v>611.80407700000001</v>
      </c>
      <c r="AB253">
        <v>621.759277</v>
      </c>
      <c r="AC253">
        <v>631.97729500000003</v>
      </c>
      <c r="AD253">
        <v>641.81866500000001</v>
      </c>
      <c r="AE253">
        <v>651.76568599999996</v>
      </c>
      <c r="AF253">
        <v>661.73315400000001</v>
      </c>
      <c r="AG253" s="144">
        <v>1.7999999999999999E-2</v>
      </c>
    </row>
    <row r="254" spans="1:34">
      <c r="A254" t="s">
        <v>153</v>
      </c>
      <c r="B254" t="s">
        <v>2363</v>
      </c>
      <c r="C254" t="s">
        <v>2362</v>
      </c>
      <c r="D254" t="s">
        <v>1766</v>
      </c>
      <c r="F254">
        <v>14032.591796999999</v>
      </c>
      <c r="G254">
        <v>14098.357421999999</v>
      </c>
      <c r="H254">
        <v>14372.549805000001</v>
      </c>
      <c r="I254">
        <v>14707.560546999999</v>
      </c>
      <c r="J254">
        <v>15039.445312</v>
      </c>
      <c r="K254">
        <v>15370.28125</v>
      </c>
      <c r="L254">
        <v>15700.034180000001</v>
      </c>
      <c r="M254">
        <v>16020.746094</v>
      </c>
      <c r="N254">
        <v>16340.480469</v>
      </c>
      <c r="O254">
        <v>16663.804688</v>
      </c>
      <c r="P254">
        <v>16988.425781000002</v>
      </c>
      <c r="Q254">
        <v>17320.171875</v>
      </c>
      <c r="R254">
        <v>17654.246093999998</v>
      </c>
      <c r="S254">
        <v>17994.439452999999</v>
      </c>
      <c r="T254">
        <v>18335.617188</v>
      </c>
      <c r="U254">
        <v>18680.572265999999</v>
      </c>
      <c r="V254">
        <v>19025.193359000001</v>
      </c>
      <c r="W254">
        <v>19369.105468999998</v>
      </c>
      <c r="X254">
        <v>19713.183593999998</v>
      </c>
      <c r="Y254">
        <v>20058.177734000001</v>
      </c>
      <c r="Z254">
        <v>20399.681640999999</v>
      </c>
      <c r="AA254">
        <v>20739.107422000001</v>
      </c>
      <c r="AB254">
        <v>21076.601562</v>
      </c>
      <c r="AC254">
        <v>21421.511718999998</v>
      </c>
      <c r="AD254">
        <v>21769.630859000001</v>
      </c>
      <c r="AE254">
        <v>22116.25</v>
      </c>
      <c r="AF254">
        <v>22464.148438</v>
      </c>
      <c r="AG254" s="144">
        <v>1.7999999999999999E-2</v>
      </c>
    </row>
    <row r="255" spans="1:34">
      <c r="A255" t="s">
        <v>2361</v>
      </c>
      <c r="B255" t="s">
        <v>410</v>
      </c>
      <c r="C255" t="s">
        <v>2360</v>
      </c>
      <c r="D255" t="s">
        <v>2359</v>
      </c>
      <c r="E255" t="s">
        <v>1766</v>
      </c>
      <c r="F255">
        <v>22.401547999999998</v>
      </c>
      <c r="G255">
        <v>22.394031999999999</v>
      </c>
      <c r="H255">
        <v>22.387812</v>
      </c>
      <c r="I255">
        <v>22.382666</v>
      </c>
      <c r="J255">
        <v>22.378406999999999</v>
      </c>
      <c r="K255">
        <v>22.374884000000002</v>
      </c>
      <c r="L255">
        <v>22.371969</v>
      </c>
      <c r="M255">
        <v>22.369558000000001</v>
      </c>
      <c r="N255">
        <v>22.367563000000001</v>
      </c>
      <c r="O255">
        <v>22.365911000000001</v>
      </c>
      <c r="P255">
        <v>22.364546000000001</v>
      </c>
      <c r="Q255">
        <v>22.363416999999998</v>
      </c>
      <c r="R255">
        <v>22.362480000000001</v>
      </c>
      <c r="S255">
        <v>22.361708</v>
      </c>
      <c r="T255">
        <v>22.361066999999998</v>
      </c>
      <c r="U255">
        <v>22.360537999999998</v>
      </c>
      <c r="V255">
        <v>22.360099999999999</v>
      </c>
      <c r="W255">
        <v>22.359736999999999</v>
      </c>
      <c r="X255">
        <v>22.359438000000001</v>
      </c>
      <c r="Y255">
        <v>22.359190000000002</v>
      </c>
      <c r="Z255">
        <v>22.358984</v>
      </c>
      <c r="AA255">
        <v>22.358813999999999</v>
      </c>
      <c r="AB255">
        <v>22.358673</v>
      </c>
      <c r="AC255">
        <v>22.358557000000001</v>
      </c>
      <c r="AD255">
        <v>22.358460999999998</v>
      </c>
      <c r="AE255">
        <v>22.358381000000001</v>
      </c>
      <c r="AF255">
        <v>22.358315000000001</v>
      </c>
      <c r="AG255" s="144">
        <v>0</v>
      </c>
      <c r="AH255" s="144"/>
    </row>
    <row r="256" spans="1:34">
      <c r="A256" t="s">
        <v>2358</v>
      </c>
      <c r="B256" t="s">
        <v>410</v>
      </c>
      <c r="C256" t="s">
        <v>2357</v>
      </c>
      <c r="D256" t="s">
        <v>2356</v>
      </c>
      <c r="E256" t="s">
        <v>1766</v>
      </c>
      <c r="F256">
        <v>335.94638099999997</v>
      </c>
      <c r="G256">
        <v>339.76504499999999</v>
      </c>
      <c r="H256">
        <v>342.125092</v>
      </c>
      <c r="I256">
        <v>343.58023100000003</v>
      </c>
      <c r="J256">
        <v>344.23431399999998</v>
      </c>
      <c r="K256">
        <v>344.107056</v>
      </c>
      <c r="L256">
        <v>343.94381700000002</v>
      </c>
      <c r="M256">
        <v>344.29440299999999</v>
      </c>
      <c r="N256">
        <v>344.578217</v>
      </c>
      <c r="O256">
        <v>344.87469499999997</v>
      </c>
      <c r="P256">
        <v>345.11853000000002</v>
      </c>
      <c r="Q256">
        <v>345.30908199999999</v>
      </c>
      <c r="R256">
        <v>345.64752199999998</v>
      </c>
      <c r="S256">
        <v>346.09127799999999</v>
      </c>
      <c r="T256">
        <v>346.51937900000001</v>
      </c>
      <c r="U256">
        <v>346.93585200000001</v>
      </c>
      <c r="V256">
        <v>347.34112499999998</v>
      </c>
      <c r="W256">
        <v>347.736603</v>
      </c>
      <c r="X256">
        <v>348.12558000000001</v>
      </c>
      <c r="Y256">
        <v>348.51016199999998</v>
      </c>
      <c r="Z256">
        <v>348.89059400000002</v>
      </c>
      <c r="AA256">
        <v>349.26681500000001</v>
      </c>
      <c r="AB256">
        <v>349.64248700000002</v>
      </c>
      <c r="AC256">
        <v>350.01757800000001</v>
      </c>
      <c r="AD256">
        <v>350.39068600000002</v>
      </c>
      <c r="AE256">
        <v>350.76431300000002</v>
      </c>
      <c r="AF256">
        <v>351.13888500000002</v>
      </c>
      <c r="AG256" s="144">
        <v>2E-3</v>
      </c>
      <c r="AH256" s="144"/>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6AB4D-2C3D-43F6-B044-057E1D09CA91}">
  <dimension ref="A1:AG230"/>
  <sheetViews>
    <sheetView topLeftCell="A190" workbookViewId="0">
      <selection activeCell="F76" sqref="F76"/>
    </sheetView>
    <sheetView workbookViewId="1"/>
  </sheetViews>
  <sheetFormatPr defaultRowHeight="14.75"/>
  <cols>
    <col min="1" max="1" width="24.86328125" customWidth="1"/>
    <col min="2" max="2" width="36.54296875" customWidth="1"/>
  </cols>
  <sheetData>
    <row r="1" spans="1:33">
      <c r="A1" t="s">
        <v>3432</v>
      </c>
    </row>
    <row r="2" spans="1:33">
      <c r="A2" t="s">
        <v>3431</v>
      </c>
    </row>
    <row r="3" spans="1:33">
      <c r="A3" t="s">
        <v>3430</v>
      </c>
    </row>
    <row r="4" spans="1:33">
      <c r="A4" t="s">
        <v>2352</v>
      </c>
    </row>
    <row r="5" spans="1:33">
      <c r="B5" t="s">
        <v>2351</v>
      </c>
      <c r="C5" t="s">
        <v>2350</v>
      </c>
      <c r="D5" t="s">
        <v>2349</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2348</v>
      </c>
    </row>
    <row r="6" spans="1:33">
      <c r="A6" t="s">
        <v>200</v>
      </c>
    </row>
    <row r="7" spans="1:33" s="285" customFormat="1">
      <c r="A7" s="285" t="s">
        <v>195</v>
      </c>
      <c r="B7" s="285" t="s">
        <v>3429</v>
      </c>
      <c r="C7" s="285" t="s">
        <v>3428</v>
      </c>
      <c r="D7" s="285" t="s">
        <v>2349</v>
      </c>
      <c r="F7" s="285">
        <v>7961.8115230000003</v>
      </c>
      <c r="G7" s="285">
        <v>8114.1367190000001</v>
      </c>
      <c r="H7" s="285">
        <v>8300.2080079999996</v>
      </c>
      <c r="I7" s="285">
        <v>8472.6796880000002</v>
      </c>
      <c r="J7" s="285">
        <v>8615.5263670000004</v>
      </c>
      <c r="K7" s="285">
        <v>8770.4619139999995</v>
      </c>
      <c r="L7" s="285">
        <v>8906.6884769999997</v>
      </c>
      <c r="M7" s="285">
        <v>9018.9091800000006</v>
      </c>
      <c r="N7" s="285">
        <v>9150.0859380000002</v>
      </c>
      <c r="O7" s="285">
        <v>9291.1201170000004</v>
      </c>
      <c r="P7" s="285">
        <v>9427</v>
      </c>
      <c r="Q7" s="285">
        <v>9577.34375</v>
      </c>
      <c r="R7" s="285">
        <v>9730.7988280000009</v>
      </c>
      <c r="S7" s="285">
        <v>9894.3769530000009</v>
      </c>
      <c r="T7" s="285">
        <v>10070.627930000001</v>
      </c>
      <c r="U7" s="285">
        <v>10247.341796999999</v>
      </c>
      <c r="V7" s="285">
        <v>10424.302734000001</v>
      </c>
      <c r="W7" s="285">
        <v>10598.201171999999</v>
      </c>
      <c r="X7" s="285">
        <v>10787.068359000001</v>
      </c>
      <c r="Y7" s="285">
        <v>10971.892578000001</v>
      </c>
      <c r="Z7" s="285">
        <v>11144.199219</v>
      </c>
      <c r="AA7" s="285">
        <v>11313.208984000001</v>
      </c>
      <c r="AB7" s="285">
        <v>11479.341796999999</v>
      </c>
      <c r="AC7" s="285">
        <v>11674.663086</v>
      </c>
      <c r="AD7" s="285">
        <v>11883.263671999999</v>
      </c>
      <c r="AE7" s="285">
        <v>12083.059569999999</v>
      </c>
      <c r="AF7" s="285">
        <v>12280.137694999999</v>
      </c>
      <c r="AG7" s="286">
        <v>1.7000000000000001E-2</v>
      </c>
    </row>
    <row r="8" spans="1:33">
      <c r="A8" t="s">
        <v>2420</v>
      </c>
      <c r="B8" t="s">
        <v>3427</v>
      </c>
      <c r="C8" t="s">
        <v>3426</v>
      </c>
      <c r="D8" t="s">
        <v>2349</v>
      </c>
      <c r="F8">
        <v>4534.3237300000001</v>
      </c>
      <c r="G8">
        <v>4622.3657229999999</v>
      </c>
      <c r="H8">
        <v>4731.4340819999998</v>
      </c>
      <c r="I8">
        <v>4832.5688479999999</v>
      </c>
      <c r="J8">
        <v>4915.7568359999996</v>
      </c>
      <c r="K8">
        <v>5005.9545900000003</v>
      </c>
      <c r="L8">
        <v>5084.6533200000003</v>
      </c>
      <c r="M8">
        <v>5148.8310549999997</v>
      </c>
      <c r="N8">
        <v>5224.1782229999999</v>
      </c>
      <c r="O8">
        <v>5305.2597660000001</v>
      </c>
      <c r="P8">
        <v>5383.1098629999997</v>
      </c>
      <c r="Q8">
        <v>5469.4731449999999</v>
      </c>
      <c r="R8">
        <v>5557.5610349999997</v>
      </c>
      <c r="S8">
        <v>5651.5590819999998</v>
      </c>
      <c r="T8">
        <v>5752.986328</v>
      </c>
      <c r="U8">
        <v>5854.5541990000002</v>
      </c>
      <c r="V8">
        <v>5956.109375</v>
      </c>
      <c r="W8">
        <v>6055.6904299999997</v>
      </c>
      <c r="X8">
        <v>6164.064453</v>
      </c>
      <c r="Y8">
        <v>6269.8764650000003</v>
      </c>
      <c r="Z8">
        <v>6368.0673829999996</v>
      </c>
      <c r="AA8">
        <v>6464.1420900000003</v>
      </c>
      <c r="AB8">
        <v>6558.3505859999996</v>
      </c>
      <c r="AC8">
        <v>6669.8129879999997</v>
      </c>
      <c r="AD8">
        <v>6789.0283200000003</v>
      </c>
      <c r="AE8">
        <v>6902.8227539999998</v>
      </c>
      <c r="AF8">
        <v>7014.8237300000001</v>
      </c>
      <c r="AG8" s="144">
        <v>1.7000000000000001E-2</v>
      </c>
    </row>
    <row r="9" spans="1:33">
      <c r="A9" t="s">
        <v>2417</v>
      </c>
      <c r="B9" t="s">
        <v>3425</v>
      </c>
      <c r="C9" t="s">
        <v>3424</v>
      </c>
      <c r="D9" t="s">
        <v>2349</v>
      </c>
      <c r="F9">
        <v>1427.453125</v>
      </c>
      <c r="G9">
        <v>1453.477539</v>
      </c>
      <c r="H9">
        <v>1483.8342290000001</v>
      </c>
      <c r="I9">
        <v>1512.0002440000001</v>
      </c>
      <c r="J9">
        <v>1536.4479980000001</v>
      </c>
      <c r="K9">
        <v>1563.0217290000001</v>
      </c>
      <c r="L9">
        <v>1587.4501949999999</v>
      </c>
      <c r="M9">
        <v>1608.8027340000001</v>
      </c>
      <c r="N9">
        <v>1633.13501</v>
      </c>
      <c r="O9">
        <v>1659.153564</v>
      </c>
      <c r="P9">
        <v>1684.7163089999999</v>
      </c>
      <c r="Q9">
        <v>1712.567871</v>
      </c>
      <c r="R9">
        <v>1741.1058350000001</v>
      </c>
      <c r="S9">
        <v>1771.3317870000001</v>
      </c>
      <c r="T9">
        <v>1803.6108400000001</v>
      </c>
      <c r="U9">
        <v>1836.200439</v>
      </c>
      <c r="V9">
        <v>1869.11499</v>
      </c>
      <c r="W9">
        <v>1901.854004</v>
      </c>
      <c r="X9">
        <v>1936.9887699999999</v>
      </c>
      <c r="Y9">
        <v>1971.809814</v>
      </c>
      <c r="Z9">
        <v>2005.1032709999999</v>
      </c>
      <c r="AA9">
        <v>2038.189697</v>
      </c>
      <c r="AB9">
        <v>2071.1259770000001</v>
      </c>
      <c r="AC9">
        <v>2108.5410160000001</v>
      </c>
      <c r="AD9">
        <v>2148.1633299999999</v>
      </c>
      <c r="AE9">
        <v>2186.8159179999998</v>
      </c>
      <c r="AF9">
        <v>2225.381836</v>
      </c>
      <c r="AG9" s="144">
        <v>1.7000000000000001E-2</v>
      </c>
    </row>
    <row r="10" spans="1:33">
      <c r="A10" t="s">
        <v>2414</v>
      </c>
      <c r="B10" t="s">
        <v>3423</v>
      </c>
      <c r="C10" t="s">
        <v>3422</v>
      </c>
      <c r="D10" t="s">
        <v>2349</v>
      </c>
      <c r="F10">
        <v>2000.0345460000001</v>
      </c>
      <c r="G10">
        <v>2038.2933350000001</v>
      </c>
      <c r="H10">
        <v>2084.9392090000001</v>
      </c>
      <c r="I10">
        <v>2128.1108399999998</v>
      </c>
      <c r="J10">
        <v>2163.3215329999998</v>
      </c>
      <c r="K10">
        <v>2201.485596</v>
      </c>
      <c r="L10">
        <v>2234.5852049999999</v>
      </c>
      <c r="M10">
        <v>2261.275635</v>
      </c>
      <c r="N10">
        <v>2292.772461</v>
      </c>
      <c r="O10">
        <v>2326.7070309999999</v>
      </c>
      <c r="P10">
        <v>2359.1735840000001</v>
      </c>
      <c r="Q10">
        <v>2395.3032229999999</v>
      </c>
      <c r="R10">
        <v>2432.1320799999999</v>
      </c>
      <c r="S10">
        <v>2471.4868160000001</v>
      </c>
      <c r="T10">
        <v>2514.030518</v>
      </c>
      <c r="U10">
        <v>2556.5864259999998</v>
      </c>
      <c r="V10">
        <v>2599.0776369999999</v>
      </c>
      <c r="W10">
        <v>2640.6567380000001</v>
      </c>
      <c r="X10">
        <v>2686.0153810000002</v>
      </c>
      <c r="Y10">
        <v>2730.2062989999999</v>
      </c>
      <c r="Z10">
        <v>2771.0278320000002</v>
      </c>
      <c r="AA10">
        <v>2810.8771969999998</v>
      </c>
      <c r="AB10">
        <v>2849.8652339999999</v>
      </c>
      <c r="AC10">
        <v>2896.3093260000001</v>
      </c>
      <c r="AD10">
        <v>2946.07251</v>
      </c>
      <c r="AE10">
        <v>2993.4208979999999</v>
      </c>
      <c r="AF10">
        <v>3039.9328609999998</v>
      </c>
      <c r="AG10" s="144">
        <v>1.6E-2</v>
      </c>
    </row>
    <row r="11" spans="1:33">
      <c r="A11" t="s">
        <v>196</v>
      </c>
      <c r="B11" t="s">
        <v>3421</v>
      </c>
      <c r="C11" t="s">
        <v>3420</v>
      </c>
      <c r="D11" t="s">
        <v>2349</v>
      </c>
      <c r="F11">
        <v>1045.5150149999999</v>
      </c>
      <c r="G11">
        <v>1086.1994629999999</v>
      </c>
      <c r="H11">
        <v>1104.710327</v>
      </c>
      <c r="I11">
        <v>1122.700317</v>
      </c>
      <c r="J11">
        <v>1142.9819339999999</v>
      </c>
      <c r="K11">
        <v>1163.182861</v>
      </c>
      <c r="L11">
        <v>1183.8596190000001</v>
      </c>
      <c r="M11">
        <v>1205.4216309999999</v>
      </c>
      <c r="N11">
        <v>1227.448975</v>
      </c>
      <c r="O11">
        <v>1249.7292480000001</v>
      </c>
      <c r="P11">
        <v>1272.2689210000001</v>
      </c>
      <c r="Q11">
        <v>1295.0771480000001</v>
      </c>
      <c r="R11">
        <v>1318.1354980000001</v>
      </c>
      <c r="S11">
        <v>1341.4487300000001</v>
      </c>
      <c r="T11">
        <v>1365.0251459999999</v>
      </c>
      <c r="U11">
        <v>1388.947754</v>
      </c>
      <c r="V11">
        <v>1413.194702</v>
      </c>
      <c r="W11">
        <v>1437.829346</v>
      </c>
      <c r="X11">
        <v>1462.8436280000001</v>
      </c>
      <c r="Y11">
        <v>1488.221558</v>
      </c>
      <c r="Z11">
        <v>1513.9270019999999</v>
      </c>
      <c r="AA11">
        <v>1539.9189449999999</v>
      </c>
      <c r="AB11">
        <v>1566.282837</v>
      </c>
      <c r="AC11">
        <v>1593.0589600000001</v>
      </c>
      <c r="AD11">
        <v>1620.2204589999999</v>
      </c>
      <c r="AE11">
        <v>1647.7993160000001</v>
      </c>
      <c r="AF11">
        <v>1675.7304690000001</v>
      </c>
      <c r="AG11" s="144">
        <v>1.7999999999999999E-2</v>
      </c>
    </row>
    <row r="12" spans="1:33">
      <c r="A12" t="s">
        <v>2420</v>
      </c>
      <c r="B12" t="s">
        <v>3419</v>
      </c>
      <c r="C12" t="s">
        <v>3418</v>
      </c>
      <c r="D12" t="s">
        <v>2349</v>
      </c>
      <c r="F12">
        <v>420.19366500000001</v>
      </c>
      <c r="G12">
        <v>425.83136000000002</v>
      </c>
      <c r="H12">
        <v>432.16134599999998</v>
      </c>
      <c r="I12">
        <v>438.43942299999998</v>
      </c>
      <c r="J12">
        <v>445.81634500000001</v>
      </c>
      <c r="K12">
        <v>453.26406900000001</v>
      </c>
      <c r="L12">
        <v>461.756866</v>
      </c>
      <c r="M12">
        <v>470.56143200000002</v>
      </c>
      <c r="N12">
        <v>479.45486499999998</v>
      </c>
      <c r="O12">
        <v>488.50921599999998</v>
      </c>
      <c r="P12">
        <v>497.71417200000002</v>
      </c>
      <c r="Q12">
        <v>507.06262199999998</v>
      </c>
      <c r="R12">
        <v>516.53680399999996</v>
      </c>
      <c r="S12">
        <v>526.13244599999996</v>
      </c>
      <c r="T12">
        <v>535.84698500000002</v>
      </c>
      <c r="U12">
        <v>545.71398899999997</v>
      </c>
      <c r="V12">
        <v>555.71594200000004</v>
      </c>
      <c r="W12">
        <v>565.87914999999998</v>
      </c>
      <c r="X12">
        <v>576.196594</v>
      </c>
      <c r="Y12">
        <v>586.65692100000001</v>
      </c>
      <c r="Z12">
        <v>597.24078399999996</v>
      </c>
      <c r="AA12">
        <v>607.92712400000005</v>
      </c>
      <c r="AB12">
        <v>618.754456</v>
      </c>
      <c r="AC12">
        <v>629.73834199999999</v>
      </c>
      <c r="AD12">
        <v>640.863831</v>
      </c>
      <c r="AE12">
        <v>652.14502000000005</v>
      </c>
      <c r="AF12">
        <v>663.55017099999998</v>
      </c>
      <c r="AG12" s="144">
        <v>1.7999999999999999E-2</v>
      </c>
    </row>
    <row r="13" spans="1:33">
      <c r="A13" t="s">
        <v>2417</v>
      </c>
      <c r="B13" t="s">
        <v>3417</v>
      </c>
      <c r="C13" t="s">
        <v>3416</v>
      </c>
      <c r="D13" t="s">
        <v>2349</v>
      </c>
      <c r="F13">
        <v>157.06796299999999</v>
      </c>
      <c r="G13">
        <v>159.941498</v>
      </c>
      <c r="H13">
        <v>162.65036000000001</v>
      </c>
      <c r="I13">
        <v>165.27896100000001</v>
      </c>
      <c r="J13">
        <v>168.38462799999999</v>
      </c>
      <c r="K13">
        <v>171.49913000000001</v>
      </c>
      <c r="L13">
        <v>174.47610499999999</v>
      </c>
      <c r="M13">
        <v>178.14674400000001</v>
      </c>
      <c r="N13">
        <v>182.28208900000001</v>
      </c>
      <c r="O13">
        <v>186.493042</v>
      </c>
      <c r="P13">
        <v>190.780609</v>
      </c>
      <c r="Q13">
        <v>195.14665199999999</v>
      </c>
      <c r="R13">
        <v>199.59021000000001</v>
      </c>
      <c r="S13">
        <v>204.108002</v>
      </c>
      <c r="T13">
        <v>208.70079000000001</v>
      </c>
      <c r="U13">
        <v>213.374954</v>
      </c>
      <c r="V13">
        <v>218.13171399999999</v>
      </c>
      <c r="W13">
        <v>222.976868</v>
      </c>
      <c r="X13">
        <v>227.91153</v>
      </c>
      <c r="Y13">
        <v>232.93675200000001</v>
      </c>
      <c r="Z13">
        <v>238.050827</v>
      </c>
      <c r="AA13">
        <v>243.250336</v>
      </c>
      <c r="AB13">
        <v>248.54252600000001</v>
      </c>
      <c r="AC13">
        <v>253.93512000000001</v>
      </c>
      <c r="AD13">
        <v>259.42843599999998</v>
      </c>
      <c r="AE13">
        <v>265.02572600000002</v>
      </c>
      <c r="AF13">
        <v>270.72222900000003</v>
      </c>
      <c r="AG13" s="144">
        <v>2.1000000000000001E-2</v>
      </c>
    </row>
    <row r="14" spans="1:33">
      <c r="A14" t="s">
        <v>2414</v>
      </c>
      <c r="B14" t="s">
        <v>3415</v>
      </c>
      <c r="C14" t="s">
        <v>3414</v>
      </c>
      <c r="D14" t="s">
        <v>2349</v>
      </c>
      <c r="F14">
        <v>468.25341800000001</v>
      </c>
      <c r="G14">
        <v>500.42663599999997</v>
      </c>
      <c r="H14">
        <v>509.89865099999997</v>
      </c>
      <c r="I14">
        <v>518.98193400000002</v>
      </c>
      <c r="J14">
        <v>528.78088400000001</v>
      </c>
      <c r="K14">
        <v>538.41973900000005</v>
      </c>
      <c r="L14">
        <v>547.62658699999997</v>
      </c>
      <c r="M14">
        <v>556.71350099999995</v>
      </c>
      <c r="N14">
        <v>565.71197500000005</v>
      </c>
      <c r="O14">
        <v>574.72699</v>
      </c>
      <c r="P14">
        <v>583.77417000000003</v>
      </c>
      <c r="Q14">
        <v>592.86779799999999</v>
      </c>
      <c r="R14">
        <v>602.00842299999999</v>
      </c>
      <c r="S14">
        <v>611.20825200000002</v>
      </c>
      <c r="T14">
        <v>620.47729500000003</v>
      </c>
      <c r="U14">
        <v>629.85876499999995</v>
      </c>
      <c r="V14">
        <v>639.34704599999998</v>
      </c>
      <c r="W14">
        <v>648.97326699999996</v>
      </c>
      <c r="X14">
        <v>658.73547399999995</v>
      </c>
      <c r="Y14">
        <v>668.62786900000003</v>
      </c>
      <c r="Z14">
        <v>678.63531499999999</v>
      </c>
      <c r="AA14">
        <v>688.74139400000001</v>
      </c>
      <c r="AB14">
        <v>698.98584000000005</v>
      </c>
      <c r="AC14">
        <v>709.38549799999998</v>
      </c>
      <c r="AD14">
        <v>719.92816200000004</v>
      </c>
      <c r="AE14">
        <v>730.62847899999997</v>
      </c>
      <c r="AF14">
        <v>741.45806900000002</v>
      </c>
      <c r="AG14" s="144">
        <v>1.7999999999999999E-2</v>
      </c>
    </row>
    <row r="15" spans="1:33">
      <c r="A15" t="s">
        <v>2403</v>
      </c>
      <c r="B15" t="s">
        <v>3413</v>
      </c>
      <c r="C15" t="s">
        <v>3412</v>
      </c>
      <c r="D15" t="s">
        <v>2349</v>
      </c>
      <c r="F15">
        <v>540.16149900000005</v>
      </c>
      <c r="G15">
        <v>556.52325399999995</v>
      </c>
      <c r="H15">
        <v>575.39532499999996</v>
      </c>
      <c r="I15">
        <v>594.44738800000005</v>
      </c>
      <c r="J15">
        <v>614.54077099999995</v>
      </c>
      <c r="K15">
        <v>635.01806599999998</v>
      </c>
      <c r="L15">
        <v>655.42199700000003</v>
      </c>
      <c r="M15">
        <v>676.27539100000001</v>
      </c>
      <c r="N15">
        <v>697.64593500000001</v>
      </c>
      <c r="O15">
        <v>719.57391399999995</v>
      </c>
      <c r="P15">
        <v>742.06121800000005</v>
      </c>
      <c r="Q15">
        <v>765.12725799999998</v>
      </c>
      <c r="R15">
        <v>788.78985599999999</v>
      </c>
      <c r="S15">
        <v>813.06591800000001</v>
      </c>
      <c r="T15">
        <v>837.972534</v>
      </c>
      <c r="U15">
        <v>863.49707000000001</v>
      </c>
      <c r="V15">
        <v>889.63281199999994</v>
      </c>
      <c r="W15">
        <v>916.41717500000004</v>
      </c>
      <c r="X15">
        <v>943.85809300000005</v>
      </c>
      <c r="Y15">
        <v>971.95385699999997</v>
      </c>
      <c r="Z15">
        <v>1000.725586</v>
      </c>
      <c r="AA15">
        <v>1030.1832280000001</v>
      </c>
      <c r="AB15">
        <v>1060.3244629999999</v>
      </c>
      <c r="AC15">
        <v>1091.160034</v>
      </c>
      <c r="AD15">
        <v>1122.719482</v>
      </c>
      <c r="AE15">
        <v>1155.0024410000001</v>
      </c>
      <c r="AF15">
        <v>1188.0141599999999</v>
      </c>
      <c r="AG15" s="144">
        <v>3.1E-2</v>
      </c>
    </row>
    <row r="16" spans="1:33">
      <c r="A16" t="s">
        <v>2420</v>
      </c>
      <c r="B16" t="s">
        <v>3411</v>
      </c>
      <c r="C16" t="s">
        <v>3410</v>
      </c>
      <c r="D16" t="s">
        <v>2349</v>
      </c>
      <c r="F16">
        <v>372.43515000000002</v>
      </c>
      <c r="G16">
        <v>383.86862200000002</v>
      </c>
      <c r="H16">
        <v>397.544647</v>
      </c>
      <c r="I16">
        <v>411.40887500000002</v>
      </c>
      <c r="J16">
        <v>425.376282</v>
      </c>
      <c r="K16">
        <v>439.60150099999998</v>
      </c>
      <c r="L16">
        <v>453.79144300000002</v>
      </c>
      <c r="M16">
        <v>468.31793199999998</v>
      </c>
      <c r="N16">
        <v>483.22195399999998</v>
      </c>
      <c r="O16">
        <v>498.52758799999998</v>
      </c>
      <c r="P16">
        <v>514.23358199999996</v>
      </c>
      <c r="Q16">
        <v>530.35174600000005</v>
      </c>
      <c r="R16">
        <v>546.89294400000006</v>
      </c>
      <c r="S16">
        <v>563.86773700000003</v>
      </c>
      <c r="T16">
        <v>581.28698699999995</v>
      </c>
      <c r="U16">
        <v>599.14031999999997</v>
      </c>
      <c r="V16">
        <v>617.42285200000003</v>
      </c>
      <c r="W16">
        <v>636.16009499999996</v>
      </c>
      <c r="X16">
        <v>655.35675000000003</v>
      </c>
      <c r="Y16">
        <v>675.01086399999997</v>
      </c>
      <c r="Z16">
        <v>695.13690199999996</v>
      </c>
      <c r="AA16">
        <v>715.74127199999998</v>
      </c>
      <c r="AB16">
        <v>736.821777</v>
      </c>
      <c r="AC16">
        <v>758.38555899999994</v>
      </c>
      <c r="AD16">
        <v>780.45324700000003</v>
      </c>
      <c r="AE16">
        <v>803.02423099999999</v>
      </c>
      <c r="AF16">
        <v>826.10168499999997</v>
      </c>
      <c r="AG16" s="144">
        <v>3.1E-2</v>
      </c>
    </row>
    <row r="17" spans="1:33">
      <c r="A17" t="s">
        <v>2417</v>
      </c>
      <c r="B17" t="s">
        <v>3409</v>
      </c>
      <c r="C17" t="s">
        <v>3408</v>
      </c>
      <c r="D17" t="s">
        <v>2349</v>
      </c>
      <c r="F17">
        <v>32.296688000000003</v>
      </c>
      <c r="G17">
        <v>33.435856000000001</v>
      </c>
      <c r="H17">
        <v>34.641533000000003</v>
      </c>
      <c r="I17">
        <v>35.837578000000001</v>
      </c>
      <c r="J17">
        <v>37.016834000000003</v>
      </c>
      <c r="K17">
        <v>38.198771999999998</v>
      </c>
      <c r="L17">
        <v>39.361656000000004</v>
      </c>
      <c r="M17">
        <v>40.537773000000001</v>
      </c>
      <c r="N17">
        <v>41.732506000000001</v>
      </c>
      <c r="O17">
        <v>42.949036</v>
      </c>
      <c r="P17">
        <v>44.187911999999997</v>
      </c>
      <c r="Q17">
        <v>45.450606999999998</v>
      </c>
      <c r="R17">
        <v>46.738402999999998</v>
      </c>
      <c r="S17">
        <v>48.052428999999997</v>
      </c>
      <c r="T17">
        <v>49.393745000000003</v>
      </c>
      <c r="U17">
        <v>50.761532000000003</v>
      </c>
      <c r="V17">
        <v>52.156345000000002</v>
      </c>
      <c r="W17">
        <v>53.579802999999998</v>
      </c>
      <c r="X17">
        <v>55.032195999999999</v>
      </c>
      <c r="Y17">
        <v>56.513190999999999</v>
      </c>
      <c r="Z17">
        <v>58.023871999999997</v>
      </c>
      <c r="AA17">
        <v>59.564514000000003</v>
      </c>
      <c r="AB17">
        <v>61.134726999999998</v>
      </c>
      <c r="AC17">
        <v>62.734870999999998</v>
      </c>
      <c r="AD17">
        <v>64.366364000000004</v>
      </c>
      <c r="AE17">
        <v>66.028862000000004</v>
      </c>
      <c r="AF17">
        <v>67.722320999999994</v>
      </c>
      <c r="AG17" s="144">
        <v>2.9000000000000001E-2</v>
      </c>
    </row>
    <row r="18" spans="1:33">
      <c r="A18" t="s">
        <v>2414</v>
      </c>
      <c r="B18" t="s">
        <v>3407</v>
      </c>
      <c r="C18" t="s">
        <v>3406</v>
      </c>
      <c r="D18" t="s">
        <v>2349</v>
      </c>
      <c r="F18">
        <v>135.42967200000001</v>
      </c>
      <c r="G18">
        <v>139.218796</v>
      </c>
      <c r="H18">
        <v>143.209137</v>
      </c>
      <c r="I18">
        <v>147.200897</v>
      </c>
      <c r="J18">
        <v>152.14762899999999</v>
      </c>
      <c r="K18">
        <v>157.21778900000001</v>
      </c>
      <c r="L18">
        <v>162.26887500000001</v>
      </c>
      <c r="M18">
        <v>167.419647</v>
      </c>
      <c r="N18">
        <v>172.69146699999999</v>
      </c>
      <c r="O18">
        <v>178.09730500000001</v>
      </c>
      <c r="P18">
        <v>183.63970900000001</v>
      </c>
      <c r="Q18">
        <v>189.32489000000001</v>
      </c>
      <c r="R18">
        <v>195.15850800000001</v>
      </c>
      <c r="S18">
        <v>201.14572100000001</v>
      </c>
      <c r="T18">
        <v>207.291809</v>
      </c>
      <c r="U18">
        <v>213.59524500000001</v>
      </c>
      <c r="V18">
        <v>220.053619</v>
      </c>
      <c r="W18">
        <v>226.67729199999999</v>
      </c>
      <c r="X18">
        <v>233.46919299999999</v>
      </c>
      <c r="Y18">
        <v>240.429779</v>
      </c>
      <c r="Z18">
        <v>247.56483499999999</v>
      </c>
      <c r="AA18">
        <v>254.877441</v>
      </c>
      <c r="AB18">
        <v>262.36798099999999</v>
      </c>
      <c r="AC18">
        <v>270.03961199999998</v>
      </c>
      <c r="AD18">
        <v>277.89984099999998</v>
      </c>
      <c r="AE18">
        <v>285.94937099999999</v>
      </c>
      <c r="AF18">
        <v>294.190247</v>
      </c>
      <c r="AG18" s="144">
        <v>0.03</v>
      </c>
    </row>
    <row r="19" spans="1:33">
      <c r="A19" t="s">
        <v>2400</v>
      </c>
      <c r="B19" t="s">
        <v>3405</v>
      </c>
      <c r="C19" t="s">
        <v>3404</v>
      </c>
      <c r="D19" t="s">
        <v>2349</v>
      </c>
      <c r="F19">
        <v>6817.71875</v>
      </c>
      <c r="G19">
        <v>6936.8549800000001</v>
      </c>
      <c r="H19">
        <v>7071.4780270000001</v>
      </c>
      <c r="I19">
        <v>7205.9780270000001</v>
      </c>
      <c r="J19">
        <v>7340.1845700000003</v>
      </c>
      <c r="K19">
        <v>7485.560547</v>
      </c>
      <c r="L19">
        <v>7627.2509769999997</v>
      </c>
      <c r="M19">
        <v>7769.4648440000001</v>
      </c>
      <c r="N19">
        <v>7912.5566410000001</v>
      </c>
      <c r="O19">
        <v>8057.5961909999996</v>
      </c>
      <c r="P19">
        <v>8204.9238280000009</v>
      </c>
      <c r="Q19">
        <v>8354.3701170000004</v>
      </c>
      <c r="R19">
        <v>8506.34375</v>
      </c>
      <c r="S19">
        <v>8660.4804690000001</v>
      </c>
      <c r="T19">
        <v>8818.0292969999991</v>
      </c>
      <c r="U19">
        <v>8983.9941409999992</v>
      </c>
      <c r="V19">
        <v>9152.2988280000009</v>
      </c>
      <c r="W19">
        <v>9322.8574219999991</v>
      </c>
      <c r="X19">
        <v>9495.9326170000004</v>
      </c>
      <c r="Y19">
        <v>9671.40625</v>
      </c>
      <c r="Z19">
        <v>9849.0722659999992</v>
      </c>
      <c r="AA19">
        <v>10028.796875</v>
      </c>
      <c r="AB19">
        <v>10210.800781</v>
      </c>
      <c r="AC19">
        <v>10395.056640999999</v>
      </c>
      <c r="AD19">
        <v>10581.444336</v>
      </c>
      <c r="AE19">
        <v>10770.111328000001</v>
      </c>
      <c r="AF19">
        <v>10961.183594</v>
      </c>
      <c r="AG19" s="144">
        <v>1.7999999999999999E-2</v>
      </c>
    </row>
    <row r="20" spans="1:33">
      <c r="A20" t="s">
        <v>2420</v>
      </c>
      <c r="B20" t="s">
        <v>3403</v>
      </c>
      <c r="C20" t="s">
        <v>3402</v>
      </c>
      <c r="D20" t="s">
        <v>2349</v>
      </c>
      <c r="F20">
        <v>4037.7082519999999</v>
      </c>
      <c r="G20">
        <v>4114.3823240000002</v>
      </c>
      <c r="H20">
        <v>4198.5859380000002</v>
      </c>
      <c r="I20">
        <v>4283.5209960000002</v>
      </c>
      <c r="J20">
        <v>4369.1391599999997</v>
      </c>
      <c r="K20">
        <v>4455.4287109999996</v>
      </c>
      <c r="L20">
        <v>4538.1450199999999</v>
      </c>
      <c r="M20">
        <v>4621.2470700000003</v>
      </c>
      <c r="N20">
        <v>4704.9272460000002</v>
      </c>
      <c r="O20">
        <v>4789.7543949999999</v>
      </c>
      <c r="P20">
        <v>4875.9287109999996</v>
      </c>
      <c r="Q20">
        <v>4963.3598629999997</v>
      </c>
      <c r="R20">
        <v>5052.2709960000002</v>
      </c>
      <c r="S20">
        <v>5142.4804690000001</v>
      </c>
      <c r="T20">
        <v>5235.357422</v>
      </c>
      <c r="U20">
        <v>5335.7978519999997</v>
      </c>
      <c r="V20">
        <v>5437.7309569999998</v>
      </c>
      <c r="W20">
        <v>5541.1098629999997</v>
      </c>
      <c r="X20">
        <v>5646.0717770000001</v>
      </c>
      <c r="Y20">
        <v>5752.5483400000003</v>
      </c>
      <c r="Z20">
        <v>5860.423828</v>
      </c>
      <c r="AA20">
        <v>5969.6220700000003</v>
      </c>
      <c r="AB20">
        <v>6080.2661129999997</v>
      </c>
      <c r="AC20">
        <v>6192.3408200000003</v>
      </c>
      <c r="AD20">
        <v>6305.7719729999999</v>
      </c>
      <c r="AE20">
        <v>6420.638672</v>
      </c>
      <c r="AF20">
        <v>6537.0092770000001</v>
      </c>
      <c r="AG20" s="144">
        <v>1.9E-2</v>
      </c>
    </row>
    <row r="21" spans="1:33">
      <c r="A21" t="s">
        <v>2417</v>
      </c>
      <c r="B21" t="s">
        <v>3401</v>
      </c>
      <c r="C21" t="s">
        <v>3400</v>
      </c>
      <c r="D21" t="s">
        <v>2349</v>
      </c>
      <c r="F21">
        <v>1365.5264890000001</v>
      </c>
      <c r="G21">
        <v>1378.7586670000001</v>
      </c>
      <c r="H21">
        <v>1398.507202</v>
      </c>
      <c r="I21">
        <v>1416.9844969999999</v>
      </c>
      <c r="J21">
        <v>1434.075317</v>
      </c>
      <c r="K21">
        <v>1461.289673</v>
      </c>
      <c r="L21">
        <v>1489.449341</v>
      </c>
      <c r="M21">
        <v>1517.545654</v>
      </c>
      <c r="N21">
        <v>1545.623047</v>
      </c>
      <c r="O21">
        <v>1573.984741</v>
      </c>
      <c r="P21">
        <v>1602.715332</v>
      </c>
      <c r="Q21">
        <v>1631.780884</v>
      </c>
      <c r="R21">
        <v>1661.296143</v>
      </c>
      <c r="S21">
        <v>1691.1610109999999</v>
      </c>
      <c r="T21">
        <v>1721.3148189999999</v>
      </c>
      <c r="U21">
        <v>1751.8244629999999</v>
      </c>
      <c r="V21">
        <v>1782.694702</v>
      </c>
      <c r="W21">
        <v>1813.910889</v>
      </c>
      <c r="X21">
        <v>1845.5375979999999</v>
      </c>
      <c r="Y21">
        <v>1877.5507809999999</v>
      </c>
      <c r="Z21">
        <v>1909.9001459999999</v>
      </c>
      <c r="AA21">
        <v>1942.554932</v>
      </c>
      <c r="AB21">
        <v>1975.569336</v>
      </c>
      <c r="AC21">
        <v>2008.9392089999999</v>
      </c>
      <c r="AD21">
        <v>2042.644409</v>
      </c>
      <c r="AE21">
        <v>2076.7250979999999</v>
      </c>
      <c r="AF21">
        <v>2111.2160640000002</v>
      </c>
      <c r="AG21" s="144">
        <v>1.7000000000000001E-2</v>
      </c>
    </row>
    <row r="22" spans="1:33">
      <c r="A22" t="s">
        <v>2414</v>
      </c>
      <c r="B22" t="s">
        <v>3399</v>
      </c>
      <c r="C22" t="s">
        <v>3398</v>
      </c>
      <c r="D22" t="s">
        <v>2349</v>
      </c>
      <c r="F22">
        <v>1414.4838870000001</v>
      </c>
      <c r="G22">
        <v>1443.7138669999999</v>
      </c>
      <c r="H22">
        <v>1474.384888</v>
      </c>
      <c r="I22">
        <v>1505.472534</v>
      </c>
      <c r="J22">
        <v>1536.9702150000001</v>
      </c>
      <c r="K22">
        <v>1568.8422849999999</v>
      </c>
      <c r="L22">
        <v>1599.6568600000001</v>
      </c>
      <c r="M22">
        <v>1630.671875</v>
      </c>
      <c r="N22">
        <v>1662.0061040000001</v>
      </c>
      <c r="O22">
        <v>1693.8569339999999</v>
      </c>
      <c r="P22">
        <v>1726.2801509999999</v>
      </c>
      <c r="Q22">
        <v>1759.229736</v>
      </c>
      <c r="R22">
        <v>1792.776245</v>
      </c>
      <c r="S22">
        <v>1826.838379</v>
      </c>
      <c r="T22">
        <v>1861.357422</v>
      </c>
      <c r="U22">
        <v>1896.3720699999999</v>
      </c>
      <c r="V22">
        <v>1931.8735349999999</v>
      </c>
      <c r="W22">
        <v>1967.8370359999999</v>
      </c>
      <c r="X22">
        <v>2004.32312</v>
      </c>
      <c r="Y22">
        <v>2041.3070070000001</v>
      </c>
      <c r="Z22">
        <v>2078.7485350000002</v>
      </c>
      <c r="AA22">
        <v>2116.6206050000001</v>
      </c>
      <c r="AB22">
        <v>2154.9648440000001</v>
      </c>
      <c r="AC22">
        <v>2193.7761230000001</v>
      </c>
      <c r="AD22">
        <v>2233.0285640000002</v>
      </c>
      <c r="AE22">
        <v>2272.7475589999999</v>
      </c>
      <c r="AF22">
        <v>2312.9575199999999</v>
      </c>
      <c r="AG22" s="144">
        <v>1.9E-2</v>
      </c>
    </row>
    <row r="23" spans="1:33">
      <c r="A23" t="s">
        <v>2397</v>
      </c>
      <c r="B23" t="s">
        <v>3397</v>
      </c>
      <c r="C23" t="s">
        <v>3396</v>
      </c>
      <c r="D23" t="s">
        <v>2349</v>
      </c>
      <c r="F23">
        <v>747.06384300000002</v>
      </c>
      <c r="G23">
        <v>745.83429000000001</v>
      </c>
      <c r="H23">
        <v>751.82092299999999</v>
      </c>
      <c r="I23">
        <v>757.71148700000003</v>
      </c>
      <c r="J23">
        <v>762.23864700000001</v>
      </c>
      <c r="K23">
        <v>766.02984600000002</v>
      </c>
      <c r="L23">
        <v>768.58984399999997</v>
      </c>
      <c r="M23">
        <v>770.35839799999997</v>
      </c>
      <c r="N23">
        <v>771.87854000000004</v>
      </c>
      <c r="O23">
        <v>773.03027299999997</v>
      </c>
      <c r="P23">
        <v>773.59350600000005</v>
      </c>
      <c r="Q23">
        <v>773.62805200000003</v>
      </c>
      <c r="R23">
        <v>773.28137200000003</v>
      </c>
      <c r="S23">
        <v>772.732483</v>
      </c>
      <c r="T23">
        <v>771.95581100000004</v>
      </c>
      <c r="U23">
        <v>770.915527</v>
      </c>
      <c r="V23">
        <v>769.84338400000001</v>
      </c>
      <c r="W23">
        <v>768.83129899999994</v>
      </c>
      <c r="X23">
        <v>768.95074499999998</v>
      </c>
      <c r="Y23">
        <v>769.42193599999996</v>
      </c>
      <c r="Z23">
        <v>770.16125499999998</v>
      </c>
      <c r="AA23">
        <v>771.33343500000001</v>
      </c>
      <c r="AB23">
        <v>772.90911900000003</v>
      </c>
      <c r="AC23">
        <v>774.77606200000002</v>
      </c>
      <c r="AD23">
        <v>776.82379200000003</v>
      </c>
      <c r="AE23">
        <v>778.97289999999998</v>
      </c>
      <c r="AF23">
        <v>781.42144800000005</v>
      </c>
      <c r="AG23" s="144">
        <v>2E-3</v>
      </c>
    </row>
    <row r="24" spans="1:33">
      <c r="A24" t="s">
        <v>2420</v>
      </c>
      <c r="B24" t="s">
        <v>3395</v>
      </c>
      <c r="C24" t="s">
        <v>3394</v>
      </c>
      <c r="D24" t="s">
        <v>2349</v>
      </c>
      <c r="F24">
        <v>269.24795499999999</v>
      </c>
      <c r="G24">
        <v>271.120361</v>
      </c>
      <c r="H24">
        <v>273.10732999999999</v>
      </c>
      <c r="I24">
        <v>275.061127</v>
      </c>
      <c r="J24">
        <v>276.76440400000001</v>
      </c>
      <c r="K24">
        <v>278.333527</v>
      </c>
      <c r="L24">
        <v>279.59756499999997</v>
      </c>
      <c r="M24">
        <v>280.73001099999999</v>
      </c>
      <c r="N24">
        <v>281.82833900000003</v>
      </c>
      <c r="O24">
        <v>282.874481</v>
      </c>
      <c r="P24">
        <v>283.82913200000002</v>
      </c>
      <c r="Q24">
        <v>284.70202599999999</v>
      </c>
      <c r="R24">
        <v>285.57873499999999</v>
      </c>
      <c r="S24">
        <v>286.45043900000002</v>
      </c>
      <c r="T24">
        <v>287.304779</v>
      </c>
      <c r="U24">
        <v>288.14001500000001</v>
      </c>
      <c r="V24">
        <v>288.978363</v>
      </c>
      <c r="W24">
        <v>289.83551</v>
      </c>
      <c r="X24">
        <v>290.72073399999999</v>
      </c>
      <c r="Y24">
        <v>291.64541600000001</v>
      </c>
      <c r="Z24">
        <v>292.61187699999999</v>
      </c>
      <c r="AA24">
        <v>293.642944</v>
      </c>
      <c r="AB24">
        <v>294.73648100000003</v>
      </c>
      <c r="AC24">
        <v>295.88082900000001</v>
      </c>
      <c r="AD24">
        <v>297.061127</v>
      </c>
      <c r="AE24">
        <v>298.26315299999999</v>
      </c>
      <c r="AF24">
        <v>299.51275600000002</v>
      </c>
      <c r="AG24" s="144">
        <v>4.0000000000000001E-3</v>
      </c>
    </row>
    <row r="25" spans="1:33">
      <c r="A25" t="s">
        <v>2417</v>
      </c>
      <c r="B25" t="s">
        <v>3393</v>
      </c>
      <c r="C25" t="s">
        <v>3392</v>
      </c>
      <c r="D25" t="s">
        <v>2349</v>
      </c>
      <c r="F25">
        <v>365.04718000000003</v>
      </c>
      <c r="G25">
        <v>360.85031099999998</v>
      </c>
      <c r="H25">
        <v>363.99383499999999</v>
      </c>
      <c r="I25">
        <v>367.08950800000002</v>
      </c>
      <c r="J25">
        <v>369.15759300000002</v>
      </c>
      <c r="K25">
        <v>370.66992199999999</v>
      </c>
      <c r="L25">
        <v>371.37686200000002</v>
      </c>
      <c r="M25">
        <v>371.46704099999999</v>
      </c>
      <c r="N25">
        <v>371.35360700000001</v>
      </c>
      <c r="O25">
        <v>370.94052099999999</v>
      </c>
      <c r="P25">
        <v>370.06063799999998</v>
      </c>
      <c r="Q25">
        <v>368.76135299999999</v>
      </c>
      <c r="R25">
        <v>367.09661899999998</v>
      </c>
      <c r="S25">
        <v>365.23876999999999</v>
      </c>
      <c r="T25">
        <v>363.17382800000001</v>
      </c>
      <c r="U25">
        <v>360.869507</v>
      </c>
      <c r="V25">
        <v>358.52652</v>
      </c>
      <c r="W25">
        <v>356.21444700000001</v>
      </c>
      <c r="X25">
        <v>354.99105800000001</v>
      </c>
      <c r="Y25">
        <v>354.059662</v>
      </c>
      <c r="Z25">
        <v>353.33389299999999</v>
      </c>
      <c r="AA25">
        <v>352.94561800000002</v>
      </c>
      <c r="AB25">
        <v>352.868561</v>
      </c>
      <c r="AC25">
        <v>353.00732399999998</v>
      </c>
      <c r="AD25">
        <v>353.27362099999999</v>
      </c>
      <c r="AE25">
        <v>353.60906999999997</v>
      </c>
      <c r="AF25">
        <v>354.17434700000001</v>
      </c>
      <c r="AG25" s="144">
        <v>-1E-3</v>
      </c>
    </row>
    <row r="26" spans="1:33">
      <c r="A26" t="s">
        <v>2414</v>
      </c>
      <c r="B26" t="s">
        <v>3391</v>
      </c>
      <c r="C26" t="s">
        <v>3390</v>
      </c>
      <c r="D26" t="s">
        <v>2349</v>
      </c>
      <c r="F26">
        <v>112.768692</v>
      </c>
      <c r="G26">
        <v>113.863579</v>
      </c>
      <c r="H26">
        <v>114.719757</v>
      </c>
      <c r="I26">
        <v>115.560867</v>
      </c>
      <c r="J26">
        <v>116.31665</v>
      </c>
      <c r="K26">
        <v>117.02645099999999</v>
      </c>
      <c r="L26">
        <v>117.615425</v>
      </c>
      <c r="M26">
        <v>118.161407</v>
      </c>
      <c r="N26">
        <v>118.696625</v>
      </c>
      <c r="O26">
        <v>119.215248</v>
      </c>
      <c r="P26">
        <v>119.703743</v>
      </c>
      <c r="Q26">
        <v>120.16469600000001</v>
      </c>
      <c r="R26">
        <v>120.60601</v>
      </c>
      <c r="S26">
        <v>121.043274</v>
      </c>
      <c r="T26">
        <v>121.47718</v>
      </c>
      <c r="U26">
        <v>121.905975</v>
      </c>
      <c r="V26">
        <v>122.338509</v>
      </c>
      <c r="W26">
        <v>122.781357</v>
      </c>
      <c r="X26">
        <v>123.238968</v>
      </c>
      <c r="Y26">
        <v>123.716843</v>
      </c>
      <c r="Z26">
        <v>124.215446</v>
      </c>
      <c r="AA26">
        <v>124.744896</v>
      </c>
      <c r="AB26">
        <v>125.304092</v>
      </c>
      <c r="AC26">
        <v>125.887856</v>
      </c>
      <c r="AD26">
        <v>126.489052</v>
      </c>
      <c r="AE26">
        <v>127.100739</v>
      </c>
      <c r="AF26">
        <v>127.734329</v>
      </c>
      <c r="AG26" s="144">
        <v>5.0000000000000001E-3</v>
      </c>
    </row>
    <row r="27" spans="1:33">
      <c r="A27" t="s">
        <v>2394</v>
      </c>
      <c r="B27" t="s">
        <v>3389</v>
      </c>
      <c r="C27" t="s">
        <v>3388</v>
      </c>
      <c r="D27" t="s">
        <v>2349</v>
      </c>
      <c r="F27">
        <v>738.934753</v>
      </c>
      <c r="G27">
        <v>748.48193400000002</v>
      </c>
      <c r="H27">
        <v>768.25079300000004</v>
      </c>
      <c r="I27">
        <v>788.30487100000005</v>
      </c>
      <c r="J27">
        <v>808.87383999999997</v>
      </c>
      <c r="K27">
        <v>829.36682099999996</v>
      </c>
      <c r="L27">
        <v>849.28436299999998</v>
      </c>
      <c r="M27">
        <v>869.50610400000005</v>
      </c>
      <c r="N27">
        <v>889.88793899999996</v>
      </c>
      <c r="O27">
        <v>910.37756300000001</v>
      </c>
      <c r="P27">
        <v>931.26660200000003</v>
      </c>
      <c r="Q27">
        <v>952.59423800000002</v>
      </c>
      <c r="R27">
        <v>974.01678500000003</v>
      </c>
      <c r="S27">
        <v>995.58843999999999</v>
      </c>
      <c r="T27">
        <v>1016.767578</v>
      </c>
      <c r="U27">
        <v>1037.9388429999999</v>
      </c>
      <c r="V27">
        <v>1059.1286620000001</v>
      </c>
      <c r="W27">
        <v>1080.469116</v>
      </c>
      <c r="X27">
        <v>1101.9582519999999</v>
      </c>
      <c r="Y27">
        <v>1123.6035159999999</v>
      </c>
      <c r="Z27">
        <v>1145.426025</v>
      </c>
      <c r="AA27">
        <v>1168.2269289999999</v>
      </c>
      <c r="AB27">
        <v>1191.2835689999999</v>
      </c>
      <c r="AC27">
        <v>1214.4838870000001</v>
      </c>
      <c r="AD27">
        <v>1237.837524</v>
      </c>
      <c r="AE27">
        <v>1261.349365</v>
      </c>
      <c r="AF27">
        <v>1285.026611</v>
      </c>
      <c r="AG27" s="144">
        <v>2.1999999999999999E-2</v>
      </c>
    </row>
    <row r="28" spans="1:33">
      <c r="A28" t="s">
        <v>2420</v>
      </c>
      <c r="B28" t="s">
        <v>3387</v>
      </c>
      <c r="C28" t="s">
        <v>3386</v>
      </c>
      <c r="D28" t="s">
        <v>2349</v>
      </c>
      <c r="F28">
        <v>334.18942299999998</v>
      </c>
      <c r="G28">
        <v>338.791901</v>
      </c>
      <c r="H28">
        <v>347.51370200000002</v>
      </c>
      <c r="I28">
        <v>356.241669</v>
      </c>
      <c r="J28">
        <v>365.20413200000002</v>
      </c>
      <c r="K28">
        <v>374.131348</v>
      </c>
      <c r="L28">
        <v>382.81347699999998</v>
      </c>
      <c r="M28">
        <v>391.65826399999997</v>
      </c>
      <c r="N28">
        <v>400.59631300000001</v>
      </c>
      <c r="O28">
        <v>409.602936</v>
      </c>
      <c r="P28">
        <v>418.94433600000002</v>
      </c>
      <c r="Q28">
        <v>428.78185999999999</v>
      </c>
      <c r="R28">
        <v>438.66561899999999</v>
      </c>
      <c r="S28">
        <v>448.62780800000002</v>
      </c>
      <c r="T28">
        <v>458.39669800000001</v>
      </c>
      <c r="U28">
        <v>468.166809</v>
      </c>
      <c r="V28">
        <v>477.95169099999998</v>
      </c>
      <c r="W28">
        <v>487.81890900000002</v>
      </c>
      <c r="X28">
        <v>497.76544200000001</v>
      </c>
      <c r="Y28">
        <v>507.79357900000002</v>
      </c>
      <c r="Z28">
        <v>517.88543700000002</v>
      </c>
      <c r="AA28">
        <v>528.02655000000004</v>
      </c>
      <c r="AB28">
        <v>538.213257</v>
      </c>
      <c r="AC28">
        <v>548.446777</v>
      </c>
      <c r="AD28">
        <v>558.73199499999998</v>
      </c>
      <c r="AE28">
        <v>569.07080099999996</v>
      </c>
      <c r="AF28">
        <v>579.46661400000005</v>
      </c>
      <c r="AG28" s="144">
        <v>2.1000000000000001E-2</v>
      </c>
    </row>
    <row r="29" spans="1:33">
      <c r="A29" t="s">
        <v>2417</v>
      </c>
      <c r="B29" t="s">
        <v>3385</v>
      </c>
      <c r="C29" t="s">
        <v>3384</v>
      </c>
      <c r="D29" t="s">
        <v>2349</v>
      </c>
      <c r="F29">
        <v>123.68456999999999</v>
      </c>
      <c r="G29">
        <v>122.74194300000001</v>
      </c>
      <c r="H29">
        <v>126.20687100000001</v>
      </c>
      <c r="I29">
        <v>129.793747</v>
      </c>
      <c r="J29">
        <v>133.528976</v>
      </c>
      <c r="K29">
        <v>137.315979</v>
      </c>
      <c r="L29">
        <v>141.02252200000001</v>
      </c>
      <c r="M29">
        <v>144.77979999999999</v>
      </c>
      <c r="N29">
        <v>148.573883</v>
      </c>
      <c r="O29">
        <v>152.39894100000001</v>
      </c>
      <c r="P29">
        <v>156.25443999999999</v>
      </c>
      <c r="Q29">
        <v>160.12529000000001</v>
      </c>
      <c r="R29">
        <v>164.01980599999999</v>
      </c>
      <c r="S29">
        <v>167.930679</v>
      </c>
      <c r="T29">
        <v>171.828125</v>
      </c>
      <c r="U29">
        <v>175.73133899999999</v>
      </c>
      <c r="V29">
        <v>179.64265399999999</v>
      </c>
      <c r="W29">
        <v>183.56738300000001</v>
      </c>
      <c r="X29">
        <v>187.50994900000001</v>
      </c>
      <c r="Y29">
        <v>191.47373999999999</v>
      </c>
      <c r="Z29">
        <v>195.46478300000001</v>
      </c>
      <c r="AA29">
        <v>200.087402</v>
      </c>
      <c r="AB29">
        <v>204.897751</v>
      </c>
      <c r="AC29">
        <v>209.78125</v>
      </c>
      <c r="AD29">
        <v>214.73915099999999</v>
      </c>
      <c r="AE29">
        <v>219.77246099999999</v>
      </c>
      <c r="AF29">
        <v>224.88211100000001</v>
      </c>
      <c r="AG29" s="144">
        <v>2.3E-2</v>
      </c>
    </row>
    <row r="30" spans="1:33">
      <c r="A30" t="s">
        <v>2414</v>
      </c>
      <c r="B30" t="s">
        <v>3383</v>
      </c>
      <c r="C30" t="s">
        <v>3382</v>
      </c>
      <c r="D30" t="s">
        <v>2349</v>
      </c>
      <c r="F30">
        <v>281.06076000000002</v>
      </c>
      <c r="G30">
        <v>286.94808999999998</v>
      </c>
      <c r="H30">
        <v>294.53021200000001</v>
      </c>
      <c r="I30">
        <v>302.26947000000001</v>
      </c>
      <c r="J30">
        <v>310.14074699999998</v>
      </c>
      <c r="K30">
        <v>317.91952500000002</v>
      </c>
      <c r="L30">
        <v>325.44836400000003</v>
      </c>
      <c r="M30">
        <v>333.068085</v>
      </c>
      <c r="N30">
        <v>340.71774299999998</v>
      </c>
      <c r="O30">
        <v>348.37567100000001</v>
      </c>
      <c r="P30">
        <v>356.06781000000001</v>
      </c>
      <c r="Q30">
        <v>363.68710299999998</v>
      </c>
      <c r="R30">
        <v>371.33136000000002</v>
      </c>
      <c r="S30">
        <v>379.029968</v>
      </c>
      <c r="T30">
        <v>386.542755</v>
      </c>
      <c r="U30">
        <v>394.04070999999999</v>
      </c>
      <c r="V30">
        <v>401.53430200000003</v>
      </c>
      <c r="W30">
        <v>409.08282500000001</v>
      </c>
      <c r="X30">
        <v>416.682861</v>
      </c>
      <c r="Y30">
        <v>424.33612099999999</v>
      </c>
      <c r="Z30">
        <v>432.07583599999998</v>
      </c>
      <c r="AA30">
        <v>440.112976</v>
      </c>
      <c r="AB30">
        <v>448.17257699999999</v>
      </c>
      <c r="AC30">
        <v>456.25585899999999</v>
      </c>
      <c r="AD30">
        <v>464.36636399999998</v>
      </c>
      <c r="AE30">
        <v>472.50613399999997</v>
      </c>
      <c r="AF30">
        <v>480.677795</v>
      </c>
      <c r="AG30" s="144">
        <v>2.1000000000000001E-2</v>
      </c>
    </row>
    <row r="31" spans="1:33">
      <c r="A31" t="s">
        <v>2391</v>
      </c>
      <c r="B31" t="s">
        <v>3381</v>
      </c>
      <c r="C31" t="s">
        <v>3380</v>
      </c>
      <c r="D31" t="s">
        <v>2349</v>
      </c>
      <c r="F31">
        <v>442.993042</v>
      </c>
      <c r="G31">
        <v>440.74035600000002</v>
      </c>
      <c r="H31">
        <v>460.403931</v>
      </c>
      <c r="I31">
        <v>479.38137799999998</v>
      </c>
      <c r="J31">
        <v>499.39013699999998</v>
      </c>
      <c r="K31">
        <v>519.47351100000003</v>
      </c>
      <c r="L31">
        <v>539.37329099999999</v>
      </c>
      <c r="M31">
        <v>558.67016599999999</v>
      </c>
      <c r="N31">
        <v>577.27191200000004</v>
      </c>
      <c r="O31">
        <v>595.37854000000004</v>
      </c>
      <c r="P31">
        <v>612.83642599999996</v>
      </c>
      <c r="Q31">
        <v>629.61804199999995</v>
      </c>
      <c r="R31">
        <v>646.42071499999997</v>
      </c>
      <c r="S31">
        <v>662.20190400000001</v>
      </c>
      <c r="T31">
        <v>677.57586700000002</v>
      </c>
      <c r="U31">
        <v>692.25610400000005</v>
      </c>
      <c r="V31">
        <v>706.97051999999996</v>
      </c>
      <c r="W31">
        <v>721.96343999999999</v>
      </c>
      <c r="X31">
        <v>736.41601600000001</v>
      </c>
      <c r="Y31">
        <v>749.81567399999994</v>
      </c>
      <c r="Z31">
        <v>761.44378700000004</v>
      </c>
      <c r="AA31">
        <v>770.77691700000003</v>
      </c>
      <c r="AB31">
        <v>778.53973399999995</v>
      </c>
      <c r="AC31">
        <v>785.34777799999995</v>
      </c>
      <c r="AD31">
        <v>792.08093299999996</v>
      </c>
      <c r="AE31">
        <v>799.52648899999997</v>
      </c>
      <c r="AF31">
        <v>807.33935499999995</v>
      </c>
      <c r="AG31" s="144">
        <v>2.3E-2</v>
      </c>
    </row>
    <row r="32" spans="1:33">
      <c r="A32" t="s">
        <v>2420</v>
      </c>
      <c r="B32" t="s">
        <v>3379</v>
      </c>
      <c r="C32" t="s">
        <v>3378</v>
      </c>
      <c r="D32" t="s">
        <v>2349</v>
      </c>
      <c r="F32">
        <v>200.07843</v>
      </c>
      <c r="G32">
        <v>200.116196</v>
      </c>
      <c r="H32">
        <v>208.64982599999999</v>
      </c>
      <c r="I32">
        <v>216.950974</v>
      </c>
      <c r="J32">
        <v>225.12318400000001</v>
      </c>
      <c r="K32">
        <v>233.28796399999999</v>
      </c>
      <c r="L32">
        <v>241.33689899999999</v>
      </c>
      <c r="M32">
        <v>249.13031000000001</v>
      </c>
      <c r="N32">
        <v>256.631439</v>
      </c>
      <c r="O32">
        <v>263.91906699999998</v>
      </c>
      <c r="P32">
        <v>270.93215900000001</v>
      </c>
      <c r="Q32">
        <v>277.65689099999997</v>
      </c>
      <c r="R32">
        <v>284.37417599999998</v>
      </c>
      <c r="S32">
        <v>290.67129499999999</v>
      </c>
      <c r="T32">
        <v>296.79141199999998</v>
      </c>
      <c r="U32">
        <v>302.622589</v>
      </c>
      <c r="V32">
        <v>308.44812000000002</v>
      </c>
      <c r="W32">
        <v>314.36459400000001</v>
      </c>
      <c r="X32">
        <v>320.02252199999998</v>
      </c>
      <c r="Y32">
        <v>325.22994999999997</v>
      </c>
      <c r="Z32">
        <v>329.70358299999998</v>
      </c>
      <c r="AA32">
        <v>333.28753699999999</v>
      </c>
      <c r="AB32">
        <v>336.30801400000001</v>
      </c>
      <c r="AC32">
        <v>338.93676799999997</v>
      </c>
      <c r="AD32">
        <v>341.51937900000001</v>
      </c>
      <c r="AE32">
        <v>344.36657700000001</v>
      </c>
      <c r="AF32">
        <v>347.34201000000002</v>
      </c>
      <c r="AG32" s="144">
        <v>2.1000000000000001E-2</v>
      </c>
    </row>
    <row r="33" spans="1:33">
      <c r="A33" t="s">
        <v>2417</v>
      </c>
      <c r="B33" t="s">
        <v>3377</v>
      </c>
      <c r="C33" t="s">
        <v>3376</v>
      </c>
      <c r="D33" t="s">
        <v>2349</v>
      </c>
      <c r="F33">
        <v>235.88240099999999</v>
      </c>
      <c r="G33">
        <v>233.54415900000001</v>
      </c>
      <c r="H33">
        <v>244.42463699999999</v>
      </c>
      <c r="I33">
        <v>254.85960399999999</v>
      </c>
      <c r="J33">
        <v>266.45983899999999</v>
      </c>
      <c r="K33">
        <v>278.14361600000001</v>
      </c>
      <c r="L33">
        <v>289.765289</v>
      </c>
      <c r="M33">
        <v>301.04769900000002</v>
      </c>
      <c r="N33">
        <v>311.93643200000002</v>
      </c>
      <c r="O33">
        <v>322.55062900000001</v>
      </c>
      <c r="P33">
        <v>332.79934700000001</v>
      </c>
      <c r="Q33">
        <v>342.66909800000002</v>
      </c>
      <c r="R33">
        <v>352.56854199999998</v>
      </c>
      <c r="S33">
        <v>361.879211</v>
      </c>
      <c r="T33">
        <v>370.96551499999998</v>
      </c>
      <c r="U33">
        <v>379.65585299999998</v>
      </c>
      <c r="V33">
        <v>388.38708500000001</v>
      </c>
      <c r="W33">
        <v>397.30426</v>
      </c>
      <c r="X33">
        <v>405.946777</v>
      </c>
      <c r="Y33">
        <v>413.99847399999999</v>
      </c>
      <c r="Z33">
        <v>421.03207400000002</v>
      </c>
      <c r="AA33">
        <v>426.68633999999997</v>
      </c>
      <c r="AB33">
        <v>431.35247800000002</v>
      </c>
      <c r="AC33">
        <v>435.46704099999999</v>
      </c>
      <c r="AD33">
        <v>439.55517600000002</v>
      </c>
      <c r="AE33">
        <v>444.08538800000002</v>
      </c>
      <c r="AF33">
        <v>448.852417</v>
      </c>
      <c r="AG33" s="144">
        <v>2.5000000000000001E-2</v>
      </c>
    </row>
    <row r="34" spans="1:33">
      <c r="A34" t="s">
        <v>2414</v>
      </c>
      <c r="B34" t="s">
        <v>3375</v>
      </c>
      <c r="C34" t="s">
        <v>3374</v>
      </c>
      <c r="D34" t="s">
        <v>2349</v>
      </c>
      <c r="F34">
        <v>7.0322240000000003</v>
      </c>
      <c r="G34">
        <v>7.0800239999999999</v>
      </c>
      <c r="H34">
        <v>7.3294649999999999</v>
      </c>
      <c r="I34">
        <v>7.5708080000000004</v>
      </c>
      <c r="J34">
        <v>7.8071299999999999</v>
      </c>
      <c r="K34">
        <v>8.0419020000000003</v>
      </c>
      <c r="L34">
        <v>8.2711310000000005</v>
      </c>
      <c r="M34">
        <v>8.4921640000000007</v>
      </c>
      <c r="N34">
        <v>8.7040209999999991</v>
      </c>
      <c r="O34">
        <v>8.9088239999999992</v>
      </c>
      <c r="P34">
        <v>9.1049310000000006</v>
      </c>
      <c r="Q34">
        <v>9.2920800000000003</v>
      </c>
      <c r="R34">
        <v>9.4779699999999991</v>
      </c>
      <c r="S34">
        <v>9.6513720000000003</v>
      </c>
      <c r="T34">
        <v>9.8189010000000003</v>
      </c>
      <c r="U34">
        <v>9.9776330000000009</v>
      </c>
      <c r="V34">
        <v>10.135336000000001</v>
      </c>
      <c r="W34">
        <v>10.294620999999999</v>
      </c>
      <c r="X34">
        <v>10.446698</v>
      </c>
      <c r="Y34">
        <v>10.587263999999999</v>
      </c>
      <c r="Z34">
        <v>10.708116</v>
      </c>
      <c r="AA34">
        <v>10.803029</v>
      </c>
      <c r="AB34">
        <v>10.879189</v>
      </c>
      <c r="AC34">
        <v>10.943956</v>
      </c>
      <c r="AD34">
        <v>11.006332</v>
      </c>
      <c r="AE34">
        <v>11.074514000000001</v>
      </c>
      <c r="AF34">
        <v>11.144878</v>
      </c>
      <c r="AG34" s="144">
        <v>1.7999999999999999E-2</v>
      </c>
    </row>
    <row r="35" spans="1:33">
      <c r="A35" t="s">
        <v>2388</v>
      </c>
      <c r="B35" t="s">
        <v>3373</v>
      </c>
      <c r="C35" t="s">
        <v>3372</v>
      </c>
      <c r="D35" t="s">
        <v>2349</v>
      </c>
      <c r="F35">
        <v>751.79388400000005</v>
      </c>
      <c r="G35">
        <v>825.47387700000002</v>
      </c>
      <c r="H35">
        <v>905.53137200000003</v>
      </c>
      <c r="I35">
        <v>953.21899399999995</v>
      </c>
      <c r="J35">
        <v>984.82574499999998</v>
      </c>
      <c r="K35">
        <v>998.12268100000006</v>
      </c>
      <c r="L35">
        <v>1011.568542</v>
      </c>
      <c r="M35">
        <v>1025.1585689999999</v>
      </c>
      <c r="N35">
        <v>1039.1621090000001</v>
      </c>
      <c r="O35">
        <v>1053.6881100000001</v>
      </c>
      <c r="P35">
        <v>1068.7658690000001</v>
      </c>
      <c r="Q35">
        <v>1084.2624510000001</v>
      </c>
      <c r="R35">
        <v>1099.6788329999999</v>
      </c>
      <c r="S35">
        <v>1114.935303</v>
      </c>
      <c r="T35">
        <v>1130.1885990000001</v>
      </c>
      <c r="U35">
        <v>1145.496582</v>
      </c>
      <c r="V35">
        <v>1160.99353</v>
      </c>
      <c r="W35">
        <v>1177.7907709999999</v>
      </c>
      <c r="X35">
        <v>1195.5040280000001</v>
      </c>
      <c r="Y35">
        <v>1213.555908</v>
      </c>
      <c r="Z35">
        <v>1231.8706050000001</v>
      </c>
      <c r="AA35">
        <v>1250.3903809999999</v>
      </c>
      <c r="AB35">
        <v>1269.3747559999999</v>
      </c>
      <c r="AC35">
        <v>1288.916138</v>
      </c>
      <c r="AD35">
        <v>1308.3431399999999</v>
      </c>
      <c r="AE35">
        <v>1327.6721190000001</v>
      </c>
      <c r="AF35">
        <v>1347.1629640000001</v>
      </c>
      <c r="AG35" s="144">
        <v>2.3E-2</v>
      </c>
    </row>
    <row r="36" spans="1:33">
      <c r="A36" t="s">
        <v>2420</v>
      </c>
      <c r="B36" t="s">
        <v>3371</v>
      </c>
      <c r="C36" t="s">
        <v>3370</v>
      </c>
      <c r="D36" t="s">
        <v>2349</v>
      </c>
      <c r="F36">
        <v>490.07321200000001</v>
      </c>
      <c r="G36">
        <v>535.35754399999996</v>
      </c>
      <c r="H36">
        <v>584.77062999999998</v>
      </c>
      <c r="I36">
        <v>614.21362299999998</v>
      </c>
      <c r="J36">
        <v>633.94006300000001</v>
      </c>
      <c r="K36">
        <v>642.43975799999998</v>
      </c>
      <c r="L36">
        <v>651.04064900000003</v>
      </c>
      <c r="M36">
        <v>659.73858600000005</v>
      </c>
      <c r="N36">
        <v>668.70752000000005</v>
      </c>
      <c r="O36">
        <v>678.01672399999995</v>
      </c>
      <c r="P36">
        <v>687.68469200000004</v>
      </c>
      <c r="Q36">
        <v>697.62420699999996</v>
      </c>
      <c r="R36">
        <v>707.51019299999996</v>
      </c>
      <c r="S36">
        <v>717.290344</v>
      </c>
      <c r="T36">
        <v>727.06604000000004</v>
      </c>
      <c r="U36">
        <v>736.87432899999999</v>
      </c>
      <c r="V36">
        <v>746.801514</v>
      </c>
      <c r="W36">
        <v>757.57019000000003</v>
      </c>
      <c r="X36">
        <v>768.93322799999999</v>
      </c>
      <c r="Y36">
        <v>780.50707999999997</v>
      </c>
      <c r="Z36">
        <v>792.24352999999996</v>
      </c>
      <c r="AA36">
        <v>804.108521</v>
      </c>
      <c r="AB36">
        <v>816.27050799999995</v>
      </c>
      <c r="AC36">
        <v>828.78961200000003</v>
      </c>
      <c r="AD36">
        <v>841.23107900000002</v>
      </c>
      <c r="AE36">
        <v>853.60540800000001</v>
      </c>
      <c r="AF36">
        <v>866.08099400000003</v>
      </c>
      <c r="AG36" s="144">
        <v>2.1999999999999999E-2</v>
      </c>
    </row>
    <row r="37" spans="1:33">
      <c r="A37" t="s">
        <v>2417</v>
      </c>
      <c r="B37" t="s">
        <v>3369</v>
      </c>
      <c r="C37" t="s">
        <v>3368</v>
      </c>
      <c r="D37" t="s">
        <v>2349</v>
      </c>
      <c r="F37">
        <v>86.252396000000005</v>
      </c>
      <c r="G37">
        <v>106.91336800000001</v>
      </c>
      <c r="H37">
        <v>128.80934099999999</v>
      </c>
      <c r="I37">
        <v>141.90394599999999</v>
      </c>
      <c r="J37">
        <v>149.62283300000001</v>
      </c>
      <c r="K37">
        <v>151.975021</v>
      </c>
      <c r="L37">
        <v>154.34551999999999</v>
      </c>
      <c r="M37">
        <v>156.73429899999999</v>
      </c>
      <c r="N37">
        <v>159.17927599999999</v>
      </c>
      <c r="O37">
        <v>161.69941700000001</v>
      </c>
      <c r="P37">
        <v>164.29890399999999</v>
      </c>
      <c r="Q37">
        <v>166.96327199999999</v>
      </c>
      <c r="R37">
        <v>169.63296500000001</v>
      </c>
      <c r="S37">
        <v>172.29892000000001</v>
      </c>
      <c r="T37">
        <v>174.98272700000001</v>
      </c>
      <c r="U37">
        <v>177.69244399999999</v>
      </c>
      <c r="V37">
        <v>180.44935599999999</v>
      </c>
      <c r="W37">
        <v>183.39086900000001</v>
      </c>
      <c r="X37">
        <v>186.47058100000001</v>
      </c>
      <c r="Y37">
        <v>189.61511200000001</v>
      </c>
      <c r="Z37">
        <v>192.81547499999999</v>
      </c>
      <c r="AA37">
        <v>196.068161</v>
      </c>
      <c r="AB37">
        <v>199.40477000000001</v>
      </c>
      <c r="AC37">
        <v>202.832458</v>
      </c>
      <c r="AD37">
        <v>206.26448099999999</v>
      </c>
      <c r="AE37">
        <v>209.704193</v>
      </c>
      <c r="AF37">
        <v>213.182907</v>
      </c>
      <c r="AG37" s="144">
        <v>3.5000000000000003E-2</v>
      </c>
    </row>
    <row r="38" spans="1:33">
      <c r="A38" t="s">
        <v>2414</v>
      </c>
      <c r="B38" t="s">
        <v>3367</v>
      </c>
      <c r="C38" t="s">
        <v>3366</v>
      </c>
      <c r="D38" t="s">
        <v>2349</v>
      </c>
      <c r="F38">
        <v>175.46824599999999</v>
      </c>
      <c r="G38">
        <v>183.20294200000001</v>
      </c>
      <c r="H38">
        <v>191.95141599999999</v>
      </c>
      <c r="I38">
        <v>197.10140999999999</v>
      </c>
      <c r="J38">
        <v>201.26289399999999</v>
      </c>
      <c r="K38">
        <v>203.707855</v>
      </c>
      <c r="L38">
        <v>206.18237300000001</v>
      </c>
      <c r="M38">
        <v>208.68562299999999</v>
      </c>
      <c r="N38">
        <v>211.27534499999999</v>
      </c>
      <c r="O38">
        <v>213.97198499999999</v>
      </c>
      <c r="P38">
        <v>216.782318</v>
      </c>
      <c r="Q38">
        <v>219.675003</v>
      </c>
      <c r="R38">
        <v>222.535675</v>
      </c>
      <c r="S38">
        <v>225.34603899999999</v>
      </c>
      <c r="T38">
        <v>228.13986199999999</v>
      </c>
      <c r="U38">
        <v>230.92976400000001</v>
      </c>
      <c r="V38">
        <v>233.74262999999999</v>
      </c>
      <c r="W38">
        <v>236.82974200000001</v>
      </c>
      <c r="X38">
        <v>240.10024999999999</v>
      </c>
      <c r="Y38">
        <v>243.43373099999999</v>
      </c>
      <c r="Z38">
        <v>246.81161499999999</v>
      </c>
      <c r="AA38">
        <v>250.21362300000001</v>
      </c>
      <c r="AB38">
        <v>253.69944799999999</v>
      </c>
      <c r="AC38">
        <v>257.29406699999998</v>
      </c>
      <c r="AD38">
        <v>260.84750400000001</v>
      </c>
      <c r="AE38">
        <v>264.36261000000002</v>
      </c>
      <c r="AF38">
        <v>267.89904799999999</v>
      </c>
      <c r="AG38" s="144">
        <v>1.6E-2</v>
      </c>
    </row>
    <row r="39" spans="1:33">
      <c r="A39" t="s">
        <v>2385</v>
      </c>
      <c r="B39" t="s">
        <v>3365</v>
      </c>
      <c r="C39" t="s">
        <v>3364</v>
      </c>
      <c r="D39" t="s">
        <v>2349</v>
      </c>
      <c r="F39">
        <v>420.69503800000001</v>
      </c>
      <c r="G39">
        <v>431.33813500000002</v>
      </c>
      <c r="H39">
        <v>446.517426</v>
      </c>
      <c r="I39">
        <v>458.38214099999999</v>
      </c>
      <c r="J39">
        <v>475.406158</v>
      </c>
      <c r="K39">
        <v>488.03970299999997</v>
      </c>
      <c r="L39">
        <v>500.58236699999998</v>
      </c>
      <c r="M39">
        <v>513.08117700000003</v>
      </c>
      <c r="N39">
        <v>525.77563499999997</v>
      </c>
      <c r="O39">
        <v>538.75146500000005</v>
      </c>
      <c r="P39">
        <v>552.02185099999997</v>
      </c>
      <c r="Q39">
        <v>565.71716300000003</v>
      </c>
      <c r="R39">
        <v>579.89190699999995</v>
      </c>
      <c r="S39">
        <v>594.46258499999999</v>
      </c>
      <c r="T39">
        <v>609.38024900000005</v>
      </c>
      <c r="U39">
        <v>624.65832499999999</v>
      </c>
      <c r="V39">
        <v>640.21484399999997</v>
      </c>
      <c r="W39">
        <v>656.05114700000001</v>
      </c>
      <c r="X39">
        <v>672.01879899999994</v>
      </c>
      <c r="Y39">
        <v>688.61785899999995</v>
      </c>
      <c r="Z39">
        <v>705.61334199999999</v>
      </c>
      <c r="AA39">
        <v>723.00915499999996</v>
      </c>
      <c r="AB39">
        <v>740.69616699999995</v>
      </c>
      <c r="AC39">
        <v>758.72705099999996</v>
      </c>
      <c r="AD39">
        <v>777.103027</v>
      </c>
      <c r="AE39">
        <v>795.86328100000003</v>
      </c>
      <c r="AF39">
        <v>815.03576699999996</v>
      </c>
      <c r="AG39" s="144">
        <v>2.5999999999999999E-2</v>
      </c>
    </row>
    <row r="40" spans="1:33">
      <c r="A40" t="s">
        <v>2420</v>
      </c>
      <c r="B40" t="s">
        <v>3363</v>
      </c>
      <c r="C40" t="s">
        <v>3362</v>
      </c>
      <c r="D40" t="s">
        <v>2349</v>
      </c>
      <c r="F40">
        <v>241.011932</v>
      </c>
      <c r="G40">
        <v>248.25559999999999</v>
      </c>
      <c r="H40">
        <v>258.48825099999999</v>
      </c>
      <c r="I40">
        <v>266.44894399999998</v>
      </c>
      <c r="J40">
        <v>278.01589999999999</v>
      </c>
      <c r="K40">
        <v>286.45233200000001</v>
      </c>
      <c r="L40">
        <v>294.82904100000002</v>
      </c>
      <c r="M40">
        <v>303.17156999999997</v>
      </c>
      <c r="N40">
        <v>311.64685100000003</v>
      </c>
      <c r="O40">
        <v>320.31158399999998</v>
      </c>
      <c r="P40">
        <v>329.17538500000001</v>
      </c>
      <c r="Q40">
        <v>338.32638500000002</v>
      </c>
      <c r="R40">
        <v>347.80480999999997</v>
      </c>
      <c r="S40">
        <v>357.55777</v>
      </c>
      <c r="T40">
        <v>367.554169</v>
      </c>
      <c r="U40">
        <v>377.80496199999999</v>
      </c>
      <c r="V40">
        <v>388.25952100000001</v>
      </c>
      <c r="W40">
        <v>398.92047100000002</v>
      </c>
      <c r="X40">
        <v>409.791718</v>
      </c>
      <c r="Y40">
        <v>421.022583</v>
      </c>
      <c r="Z40">
        <v>432.54452500000002</v>
      </c>
      <c r="AA40">
        <v>444.360657</v>
      </c>
      <c r="AB40">
        <v>456.39874300000002</v>
      </c>
      <c r="AC40">
        <v>468.692993</v>
      </c>
      <c r="AD40">
        <v>481.24307299999998</v>
      </c>
      <c r="AE40">
        <v>494.075806</v>
      </c>
      <c r="AF40">
        <v>507.21148699999998</v>
      </c>
      <c r="AG40" s="144">
        <v>2.9000000000000001E-2</v>
      </c>
    </row>
    <row r="41" spans="1:33">
      <c r="A41" t="s">
        <v>2417</v>
      </c>
      <c r="B41" t="s">
        <v>3361</v>
      </c>
      <c r="C41" t="s">
        <v>3360</v>
      </c>
      <c r="D41" t="s">
        <v>2349</v>
      </c>
      <c r="F41">
        <v>67.395401000000007</v>
      </c>
      <c r="G41">
        <v>68.520859000000002</v>
      </c>
      <c r="H41">
        <v>70.272414999999995</v>
      </c>
      <c r="I41">
        <v>71.545280000000005</v>
      </c>
      <c r="J41">
        <v>73.558441000000002</v>
      </c>
      <c r="K41">
        <v>74.932570999999996</v>
      </c>
      <c r="L41">
        <v>76.309128000000001</v>
      </c>
      <c r="M41">
        <v>77.697006000000002</v>
      </c>
      <c r="N41">
        <v>79.108383000000003</v>
      </c>
      <c r="O41">
        <v>80.550460999999999</v>
      </c>
      <c r="P41">
        <v>82.022766000000004</v>
      </c>
      <c r="Q41">
        <v>83.535683000000006</v>
      </c>
      <c r="R41">
        <v>85.090477000000007</v>
      </c>
      <c r="S41">
        <v>86.677261000000001</v>
      </c>
      <c r="T41">
        <v>88.288680999999997</v>
      </c>
      <c r="U41">
        <v>89.924025999999998</v>
      </c>
      <c r="V41">
        <v>91.572906000000003</v>
      </c>
      <c r="W41">
        <v>93.232253999999998</v>
      </c>
      <c r="X41">
        <v>94.913055</v>
      </c>
      <c r="Y41">
        <v>96.613822999999996</v>
      </c>
      <c r="Z41">
        <v>98.331344999999999</v>
      </c>
      <c r="AA41">
        <v>100.06485000000001</v>
      </c>
      <c r="AB41">
        <v>101.802406</v>
      </c>
      <c r="AC41">
        <v>103.55032300000001</v>
      </c>
      <c r="AD41">
        <v>105.310478</v>
      </c>
      <c r="AE41">
        <v>107.086502</v>
      </c>
      <c r="AF41">
        <v>108.880066</v>
      </c>
      <c r="AG41" s="144">
        <v>1.9E-2</v>
      </c>
    </row>
    <row r="42" spans="1:33">
      <c r="A42" t="s">
        <v>2414</v>
      </c>
      <c r="B42" t="s">
        <v>3359</v>
      </c>
      <c r="C42" t="s">
        <v>3358</v>
      </c>
      <c r="D42" t="s">
        <v>2349</v>
      </c>
      <c r="F42">
        <v>112.28769699999999</v>
      </c>
      <c r="G42">
        <v>114.561668</v>
      </c>
      <c r="H42">
        <v>117.756744</v>
      </c>
      <c r="I42">
        <v>120.387894</v>
      </c>
      <c r="J42">
        <v>123.831818</v>
      </c>
      <c r="K42">
        <v>126.65482299999999</v>
      </c>
      <c r="L42">
        <v>129.44418300000001</v>
      </c>
      <c r="M42">
        <v>132.21260100000001</v>
      </c>
      <c r="N42">
        <v>135.02037000000001</v>
      </c>
      <c r="O42">
        <v>137.88940400000001</v>
      </c>
      <c r="P42">
        <v>140.823669</v>
      </c>
      <c r="Q42">
        <v>143.85510300000001</v>
      </c>
      <c r="R42">
        <v>146.99662799999999</v>
      </c>
      <c r="S42">
        <v>150.22753900000001</v>
      </c>
      <c r="T42">
        <v>153.53744499999999</v>
      </c>
      <c r="U42">
        <v>156.92929100000001</v>
      </c>
      <c r="V42">
        <v>160.38240099999999</v>
      </c>
      <c r="W42">
        <v>163.89845299999999</v>
      </c>
      <c r="X42">
        <v>167.31405599999999</v>
      </c>
      <c r="Y42">
        <v>170.98144500000001</v>
      </c>
      <c r="Z42">
        <v>174.73747299999999</v>
      </c>
      <c r="AA42">
        <v>178.58364900000001</v>
      </c>
      <c r="AB42">
        <v>182.49499499999999</v>
      </c>
      <c r="AC42">
        <v>186.483734</v>
      </c>
      <c r="AD42">
        <v>190.54951500000001</v>
      </c>
      <c r="AE42">
        <v>194.701019</v>
      </c>
      <c r="AF42">
        <v>198.94421399999999</v>
      </c>
      <c r="AG42" s="144">
        <v>2.1999999999999999E-2</v>
      </c>
    </row>
    <row r="43" spans="1:33">
      <c r="A43" t="s">
        <v>198</v>
      </c>
      <c r="B43" t="s">
        <v>3357</v>
      </c>
      <c r="C43" t="s">
        <v>3356</v>
      </c>
      <c r="D43" t="s">
        <v>2349</v>
      </c>
      <c r="F43">
        <v>4786.0263670000004</v>
      </c>
      <c r="G43">
        <v>5014.3833009999998</v>
      </c>
      <c r="H43">
        <v>5283.580078</v>
      </c>
      <c r="I43">
        <v>5554.1289059999999</v>
      </c>
      <c r="J43">
        <v>5833.5512699999999</v>
      </c>
      <c r="K43">
        <v>6124.6875</v>
      </c>
      <c r="L43">
        <v>6421.9604490000002</v>
      </c>
      <c r="M43">
        <v>6728.185547</v>
      </c>
      <c r="N43">
        <v>7044.3193359999996</v>
      </c>
      <c r="O43">
        <v>7368.3120120000003</v>
      </c>
      <c r="P43">
        <v>7699.8984380000002</v>
      </c>
      <c r="Q43">
        <v>8038.7084960000002</v>
      </c>
      <c r="R43">
        <v>8381.8603519999997</v>
      </c>
      <c r="S43">
        <v>8731.0664059999999</v>
      </c>
      <c r="T43">
        <v>9087.7158199999994</v>
      </c>
      <c r="U43">
        <v>9451.5722659999992</v>
      </c>
      <c r="V43">
        <v>9821.9941409999992</v>
      </c>
      <c r="W43">
        <v>10198.833008</v>
      </c>
      <c r="X43">
        <v>10581.720703000001</v>
      </c>
      <c r="Y43">
        <v>10970.244140999999</v>
      </c>
      <c r="Z43">
        <v>11363.994140999999</v>
      </c>
      <c r="AA43">
        <v>11762.668944999999</v>
      </c>
      <c r="AB43">
        <v>12165.950194999999</v>
      </c>
      <c r="AC43">
        <v>12573.391602</v>
      </c>
      <c r="AD43">
        <v>12984.538086</v>
      </c>
      <c r="AE43">
        <v>13399.035156</v>
      </c>
      <c r="AF43">
        <v>13816.353515999999</v>
      </c>
      <c r="AG43" s="144">
        <v>4.2000000000000003E-2</v>
      </c>
    </row>
    <row r="44" spans="1:33">
      <c r="A44" t="s">
        <v>2420</v>
      </c>
      <c r="B44" t="s">
        <v>3355</v>
      </c>
      <c r="C44" t="s">
        <v>3354</v>
      </c>
      <c r="D44" t="s">
        <v>2349</v>
      </c>
      <c r="F44">
        <v>3593.5786130000001</v>
      </c>
      <c r="G44">
        <v>3803.8596189999998</v>
      </c>
      <c r="H44">
        <v>4015.1154790000001</v>
      </c>
      <c r="I44">
        <v>4224.9052730000003</v>
      </c>
      <c r="J44">
        <v>4441.5424800000001</v>
      </c>
      <c r="K44">
        <v>4667.3378910000001</v>
      </c>
      <c r="L44">
        <v>4898.0839839999999</v>
      </c>
      <c r="M44">
        <v>5135.7309569999998</v>
      </c>
      <c r="N44">
        <v>5381.0444340000004</v>
      </c>
      <c r="O44">
        <v>5632.3110349999997</v>
      </c>
      <c r="P44">
        <v>5889.2846680000002</v>
      </c>
      <c r="Q44">
        <v>6151.6279299999997</v>
      </c>
      <c r="R44">
        <v>6416.9428710000002</v>
      </c>
      <c r="S44">
        <v>6686.6152339999999</v>
      </c>
      <c r="T44">
        <v>6961.7514650000003</v>
      </c>
      <c r="U44">
        <v>7242.1435549999997</v>
      </c>
      <c r="V44">
        <v>7527.2211909999996</v>
      </c>
      <c r="W44">
        <v>7816.8540039999998</v>
      </c>
      <c r="X44">
        <v>8110.7202150000003</v>
      </c>
      <c r="Y44">
        <v>8408.453125</v>
      </c>
      <c r="Z44">
        <v>8709.7001949999994</v>
      </c>
      <c r="AA44">
        <v>9014.2324219999991</v>
      </c>
      <c r="AB44">
        <v>9321.8066409999992</v>
      </c>
      <c r="AC44">
        <v>9632.0517579999996</v>
      </c>
      <c r="AD44">
        <v>9944.6015619999998</v>
      </c>
      <c r="AE44">
        <v>10259.197265999999</v>
      </c>
      <c r="AF44">
        <v>10575.401367</v>
      </c>
      <c r="AG44" s="144">
        <v>4.2000000000000003E-2</v>
      </c>
    </row>
    <row r="45" spans="1:33">
      <c r="A45" t="s">
        <v>2417</v>
      </c>
      <c r="B45" t="s">
        <v>3353</v>
      </c>
      <c r="C45" t="s">
        <v>3352</v>
      </c>
      <c r="D45" t="s">
        <v>2349</v>
      </c>
      <c r="F45">
        <v>941.92571999999996</v>
      </c>
      <c r="G45">
        <v>946.01489300000003</v>
      </c>
      <c r="H45">
        <v>990.49481200000002</v>
      </c>
      <c r="I45">
        <v>1037.8937989999999</v>
      </c>
      <c r="J45">
        <v>1086.8542480000001</v>
      </c>
      <c r="K45">
        <v>1137.759399</v>
      </c>
      <c r="L45">
        <v>1189.513428</v>
      </c>
      <c r="M45">
        <v>1242.8592530000001</v>
      </c>
      <c r="N45">
        <v>1297.940186</v>
      </c>
      <c r="O45">
        <v>1354.5321039999999</v>
      </c>
      <c r="P45">
        <v>1412.63501</v>
      </c>
      <c r="Q45">
        <v>1472.2395019999999</v>
      </c>
      <c r="R45">
        <v>1533.0179439999999</v>
      </c>
      <c r="S45">
        <v>1595.210327</v>
      </c>
      <c r="T45">
        <v>1659.025879</v>
      </c>
      <c r="U45">
        <v>1724.4522710000001</v>
      </c>
      <c r="V45">
        <v>1791.4562989999999</v>
      </c>
      <c r="W45">
        <v>1860.028564</v>
      </c>
      <c r="X45">
        <v>1930.1451420000001</v>
      </c>
      <c r="Y45">
        <v>2001.784302</v>
      </c>
      <c r="Z45">
        <v>2074.9099120000001</v>
      </c>
      <c r="AA45">
        <v>2149.4682619999999</v>
      </c>
      <c r="AB45">
        <v>2225.3972170000002</v>
      </c>
      <c r="AC45">
        <v>2302.6477049999999</v>
      </c>
      <c r="AD45">
        <v>2381.1520999999998</v>
      </c>
      <c r="AE45">
        <v>2460.8342290000001</v>
      </c>
      <c r="AF45">
        <v>2541.6274410000001</v>
      </c>
      <c r="AG45" s="144">
        <v>3.9E-2</v>
      </c>
    </row>
    <row r="46" spans="1:33">
      <c r="A46" t="s">
        <v>2414</v>
      </c>
      <c r="B46" t="s">
        <v>3351</v>
      </c>
      <c r="C46" t="s">
        <v>3350</v>
      </c>
      <c r="D46" t="s">
        <v>2349</v>
      </c>
      <c r="F46">
        <v>250.52191199999999</v>
      </c>
      <c r="G46">
        <v>264.50882000000001</v>
      </c>
      <c r="H46">
        <v>277.96987899999999</v>
      </c>
      <c r="I46">
        <v>291.33019999999999</v>
      </c>
      <c r="J46">
        <v>305.154877</v>
      </c>
      <c r="K46">
        <v>319.59023999999999</v>
      </c>
      <c r="L46">
        <v>334.36285400000003</v>
      </c>
      <c r="M46">
        <v>349.59527600000001</v>
      </c>
      <c r="N46">
        <v>365.3349</v>
      </c>
      <c r="O46">
        <v>381.46859699999999</v>
      </c>
      <c r="P46">
        <v>397.97848499999998</v>
      </c>
      <c r="Q46">
        <v>414.84127799999999</v>
      </c>
      <c r="R46">
        <v>431.89932299999998</v>
      </c>
      <c r="S46">
        <v>449.24154700000003</v>
      </c>
      <c r="T46">
        <v>466.93862899999999</v>
      </c>
      <c r="U46">
        <v>484.97644000000003</v>
      </c>
      <c r="V46">
        <v>503.31640599999997</v>
      </c>
      <c r="W46">
        <v>521.94976799999995</v>
      </c>
      <c r="X46">
        <v>540.85497999999995</v>
      </c>
      <c r="Y46">
        <v>560.00732400000004</v>
      </c>
      <c r="Z46">
        <v>579.38336200000003</v>
      </c>
      <c r="AA46">
        <v>598.96820100000002</v>
      </c>
      <c r="AB46">
        <v>618.74609399999997</v>
      </c>
      <c r="AC46">
        <v>638.69281000000001</v>
      </c>
      <c r="AD46">
        <v>658.78448500000002</v>
      </c>
      <c r="AE46">
        <v>679.00421100000005</v>
      </c>
      <c r="AF46">
        <v>699.32415800000001</v>
      </c>
      <c r="AG46" s="144">
        <v>0.04</v>
      </c>
    </row>
    <row r="47" spans="1:33">
      <c r="A47" t="s">
        <v>2380</v>
      </c>
      <c r="B47" t="s">
        <v>3349</v>
      </c>
      <c r="C47" t="s">
        <v>3348</v>
      </c>
      <c r="D47" t="s">
        <v>2349</v>
      </c>
      <c r="F47">
        <v>885.918091</v>
      </c>
      <c r="G47">
        <v>958.214111</v>
      </c>
      <c r="H47">
        <v>1034.440186</v>
      </c>
      <c r="I47">
        <v>1117.256592</v>
      </c>
      <c r="J47">
        <v>1204.0961910000001</v>
      </c>
      <c r="K47">
        <v>1295.955322</v>
      </c>
      <c r="L47">
        <v>1391.3066409999999</v>
      </c>
      <c r="M47">
        <v>1490.2563479999999</v>
      </c>
      <c r="N47">
        <v>1592.1297609999999</v>
      </c>
      <c r="O47">
        <v>1696.22937</v>
      </c>
      <c r="P47">
        <v>1802.2314449999999</v>
      </c>
      <c r="Q47">
        <v>1909.7176509999999</v>
      </c>
      <c r="R47">
        <v>2018.0333250000001</v>
      </c>
      <c r="S47">
        <v>2127.9733890000002</v>
      </c>
      <c r="T47">
        <v>2238.8298340000001</v>
      </c>
      <c r="U47">
        <v>2350.9155270000001</v>
      </c>
      <c r="V47">
        <v>2465.0405270000001</v>
      </c>
      <c r="W47">
        <v>2581.0029300000001</v>
      </c>
      <c r="X47">
        <v>2698.6213379999999</v>
      </c>
      <c r="Y47">
        <v>2817.5834960000002</v>
      </c>
      <c r="Z47">
        <v>2937.6557619999999</v>
      </c>
      <c r="AA47">
        <v>3058.843018</v>
      </c>
      <c r="AB47">
        <v>3181.2849120000001</v>
      </c>
      <c r="AC47">
        <v>3304.7438959999999</v>
      </c>
      <c r="AD47">
        <v>3429.0078119999998</v>
      </c>
      <c r="AE47">
        <v>3553.8718260000001</v>
      </c>
      <c r="AF47">
        <v>3679.1059570000002</v>
      </c>
      <c r="AG47" s="144">
        <v>5.6000000000000001E-2</v>
      </c>
    </row>
    <row r="48" spans="1:33">
      <c r="A48" t="s">
        <v>2420</v>
      </c>
      <c r="B48" t="s">
        <v>3347</v>
      </c>
      <c r="C48" t="s">
        <v>3346</v>
      </c>
      <c r="D48" t="s">
        <v>2349</v>
      </c>
      <c r="F48">
        <v>682.17004399999996</v>
      </c>
      <c r="G48">
        <v>738.83252000000005</v>
      </c>
      <c r="H48">
        <v>798.55743399999994</v>
      </c>
      <c r="I48">
        <v>863.50140399999998</v>
      </c>
      <c r="J48">
        <v>931.64349400000003</v>
      </c>
      <c r="K48">
        <v>1003.864624</v>
      </c>
      <c r="L48">
        <v>1078.909668</v>
      </c>
      <c r="M48">
        <v>1156.821533</v>
      </c>
      <c r="N48">
        <v>1237.0660399999999</v>
      </c>
      <c r="O48">
        <v>1319.091064</v>
      </c>
      <c r="P48">
        <v>1402.6389160000001</v>
      </c>
      <c r="Q48">
        <v>1487.3774410000001</v>
      </c>
      <c r="R48">
        <v>1572.7882079999999</v>
      </c>
      <c r="S48">
        <v>1659.496216</v>
      </c>
      <c r="T48">
        <v>1746.9418949999999</v>
      </c>
      <c r="U48">
        <v>1835.3701169999999</v>
      </c>
      <c r="V48">
        <v>1925.419312</v>
      </c>
      <c r="W48">
        <v>2016.929077</v>
      </c>
      <c r="X48">
        <v>2109.7561040000001</v>
      </c>
      <c r="Y48">
        <v>2203.6525879999999</v>
      </c>
      <c r="Z48">
        <v>2298.4335940000001</v>
      </c>
      <c r="AA48">
        <v>2394.101807</v>
      </c>
      <c r="AB48">
        <v>2490.767578</v>
      </c>
      <c r="AC48">
        <v>2588.242432</v>
      </c>
      <c r="AD48">
        <v>2686.358643</v>
      </c>
      <c r="AE48">
        <v>2784.953125</v>
      </c>
      <c r="AF48">
        <v>2883.8442380000001</v>
      </c>
      <c r="AG48" s="144">
        <v>5.7000000000000002E-2</v>
      </c>
    </row>
    <row r="49" spans="1:33">
      <c r="A49" t="s">
        <v>2417</v>
      </c>
      <c r="B49" t="s">
        <v>3345</v>
      </c>
      <c r="C49" t="s">
        <v>3344</v>
      </c>
      <c r="D49" t="s">
        <v>2349</v>
      </c>
      <c r="F49">
        <v>83.666381999999999</v>
      </c>
      <c r="G49">
        <v>89.482703999999998</v>
      </c>
      <c r="H49">
        <v>95.577499000000003</v>
      </c>
      <c r="I49">
        <v>102.08457900000001</v>
      </c>
      <c r="J49">
        <v>108.818359</v>
      </c>
      <c r="K49">
        <v>115.81880200000001</v>
      </c>
      <c r="L49">
        <v>122.976074</v>
      </c>
      <c r="M49">
        <v>130.327698</v>
      </c>
      <c r="N49">
        <v>137.830353</v>
      </c>
      <c r="O49">
        <v>145.440201</v>
      </c>
      <c r="P49">
        <v>153.139725</v>
      </c>
      <c r="Q49">
        <v>160.905258</v>
      </c>
      <c r="R49">
        <v>168.69750999999999</v>
      </c>
      <c r="S49">
        <v>176.57186899999999</v>
      </c>
      <c r="T49">
        <v>184.48478700000001</v>
      </c>
      <c r="U49">
        <v>192.45988500000001</v>
      </c>
      <c r="V49">
        <v>200.55633499999999</v>
      </c>
      <c r="W49">
        <v>208.760559</v>
      </c>
      <c r="X49">
        <v>217.062073</v>
      </c>
      <c r="Y49">
        <v>225.442139</v>
      </c>
      <c r="Z49">
        <v>233.88827499999999</v>
      </c>
      <c r="AA49">
        <v>242.40258800000001</v>
      </c>
      <c r="AB49">
        <v>250.99487300000001</v>
      </c>
      <c r="AC49">
        <v>259.65148900000003</v>
      </c>
      <c r="AD49">
        <v>268.36044299999998</v>
      </c>
      <c r="AE49">
        <v>277.11077899999998</v>
      </c>
      <c r="AF49">
        <v>285.89038099999999</v>
      </c>
      <c r="AG49" s="144">
        <v>4.8000000000000001E-2</v>
      </c>
    </row>
    <row r="50" spans="1:33">
      <c r="A50" t="s">
        <v>2414</v>
      </c>
      <c r="B50" t="s">
        <v>3343</v>
      </c>
      <c r="C50" t="s">
        <v>3342</v>
      </c>
      <c r="D50" t="s">
        <v>2349</v>
      </c>
      <c r="F50">
        <v>120.08163500000001</v>
      </c>
      <c r="G50">
        <v>129.89884900000001</v>
      </c>
      <c r="H50">
        <v>140.30522199999999</v>
      </c>
      <c r="I50">
        <v>151.67056299999999</v>
      </c>
      <c r="J50">
        <v>163.634308</v>
      </c>
      <c r="K50">
        <v>176.271896</v>
      </c>
      <c r="L50">
        <v>189.420929</v>
      </c>
      <c r="M50">
        <v>203.107193</v>
      </c>
      <c r="N50">
        <v>217.23335299999999</v>
      </c>
      <c r="O50">
        <v>231.698105</v>
      </c>
      <c r="P50">
        <v>246.45272800000001</v>
      </c>
      <c r="Q50">
        <v>261.43490600000001</v>
      </c>
      <c r="R50">
        <v>276.54763800000001</v>
      </c>
      <c r="S50">
        <v>291.90521200000001</v>
      </c>
      <c r="T50">
        <v>307.40322900000001</v>
      </c>
      <c r="U50">
        <v>323.08557100000002</v>
      </c>
      <c r="V50">
        <v>339.06484999999998</v>
      </c>
      <c r="W50">
        <v>355.31317100000001</v>
      </c>
      <c r="X50">
        <v>371.803223</v>
      </c>
      <c r="Y50">
        <v>388.48876999999999</v>
      </c>
      <c r="Z50">
        <v>405.33401500000002</v>
      </c>
      <c r="AA50">
        <v>422.33853099999999</v>
      </c>
      <c r="AB50">
        <v>439.5224</v>
      </c>
      <c r="AC50">
        <v>456.84982300000001</v>
      </c>
      <c r="AD50">
        <v>474.28887900000001</v>
      </c>
      <c r="AE50">
        <v>491.80777</v>
      </c>
      <c r="AF50">
        <v>509.37142899999998</v>
      </c>
      <c r="AG50" s="144">
        <v>5.7000000000000002E-2</v>
      </c>
    </row>
    <row r="51" spans="1:33">
      <c r="A51" t="s">
        <v>2377</v>
      </c>
      <c r="B51" t="s">
        <v>3341</v>
      </c>
      <c r="C51" t="s">
        <v>3340</v>
      </c>
      <c r="D51" t="s">
        <v>2349</v>
      </c>
      <c r="F51">
        <v>2368.6369629999999</v>
      </c>
      <c r="G51">
        <v>2459.3232419999999</v>
      </c>
      <c r="H51">
        <v>2572.1123050000001</v>
      </c>
      <c r="I51">
        <v>2688.6767580000001</v>
      </c>
      <c r="J51">
        <v>2806.6015619999998</v>
      </c>
      <c r="K51">
        <v>2926.0173340000001</v>
      </c>
      <c r="L51">
        <v>3048.8183589999999</v>
      </c>
      <c r="M51">
        <v>3176.5893550000001</v>
      </c>
      <c r="N51">
        <v>3308.0908199999999</v>
      </c>
      <c r="O51">
        <v>3443.0261230000001</v>
      </c>
      <c r="P51">
        <v>3580.5517580000001</v>
      </c>
      <c r="Q51">
        <v>3720.273193</v>
      </c>
      <c r="R51">
        <v>3862.3479000000002</v>
      </c>
      <c r="S51">
        <v>4006.288818</v>
      </c>
      <c r="T51">
        <v>4154.0478519999997</v>
      </c>
      <c r="U51">
        <v>4305.7890619999998</v>
      </c>
      <c r="V51">
        <v>4461.4189450000003</v>
      </c>
      <c r="W51">
        <v>4620.4365230000003</v>
      </c>
      <c r="X51">
        <v>4783.123047</v>
      </c>
      <c r="Y51">
        <v>4949.4116210000002</v>
      </c>
      <c r="Z51">
        <v>5119.1455079999996</v>
      </c>
      <c r="AA51">
        <v>5292.2133789999998</v>
      </c>
      <c r="AB51">
        <v>5468.3525390000004</v>
      </c>
      <c r="AC51">
        <v>5647.1162109999996</v>
      </c>
      <c r="AD51">
        <v>5828.7172849999997</v>
      </c>
      <c r="AE51">
        <v>6013.6640619999998</v>
      </c>
      <c r="AF51">
        <v>6202.6372069999998</v>
      </c>
      <c r="AG51" s="144">
        <v>3.7999999999999999E-2</v>
      </c>
    </row>
    <row r="52" spans="1:33">
      <c r="A52" t="s">
        <v>2420</v>
      </c>
      <c r="B52" t="s">
        <v>3339</v>
      </c>
      <c r="C52" t="s">
        <v>3338</v>
      </c>
      <c r="D52" t="s">
        <v>2349</v>
      </c>
      <c r="F52">
        <v>1199.191284</v>
      </c>
      <c r="G52">
        <v>1234.866577</v>
      </c>
      <c r="H52">
        <v>1293.997192</v>
      </c>
      <c r="I52">
        <v>1355.293091</v>
      </c>
      <c r="J52">
        <v>1417.293091</v>
      </c>
      <c r="K52">
        <v>1480.1601559999999</v>
      </c>
      <c r="L52">
        <v>1544.94397</v>
      </c>
      <c r="M52">
        <v>1612.701904</v>
      </c>
      <c r="N52">
        <v>1682.358154</v>
      </c>
      <c r="O52">
        <v>1753.666138</v>
      </c>
      <c r="P52">
        <v>1826.3454589999999</v>
      </c>
      <c r="Q52">
        <v>1900.1694339999999</v>
      </c>
      <c r="R52">
        <v>1975.211182</v>
      </c>
      <c r="S52">
        <v>2051.1843260000001</v>
      </c>
      <c r="T52">
        <v>2129.201904</v>
      </c>
      <c r="U52">
        <v>2209.3481449999999</v>
      </c>
      <c r="V52">
        <v>2291.561279</v>
      </c>
      <c r="W52">
        <v>2375.5661620000001</v>
      </c>
      <c r="X52">
        <v>2461.5241700000001</v>
      </c>
      <c r="Y52">
        <v>2549.3876949999999</v>
      </c>
      <c r="Z52">
        <v>2639.0622560000002</v>
      </c>
      <c r="AA52">
        <v>2730.4853520000001</v>
      </c>
      <c r="AB52">
        <v>2823.494385</v>
      </c>
      <c r="AC52">
        <v>2917.8483890000002</v>
      </c>
      <c r="AD52">
        <v>3013.6691890000002</v>
      </c>
      <c r="AE52">
        <v>3111.2253420000002</v>
      </c>
      <c r="AF52">
        <v>3210.9174800000001</v>
      </c>
      <c r="AG52" s="144">
        <v>3.9E-2</v>
      </c>
    </row>
    <row r="53" spans="1:33">
      <c r="A53" t="s">
        <v>2417</v>
      </c>
      <c r="B53" t="s">
        <v>3337</v>
      </c>
      <c r="C53" t="s">
        <v>3336</v>
      </c>
      <c r="D53" t="s">
        <v>2349</v>
      </c>
      <c r="F53">
        <v>622.04571499999997</v>
      </c>
      <c r="G53">
        <v>667.03912400000002</v>
      </c>
      <c r="H53">
        <v>692.89788799999997</v>
      </c>
      <c r="I53">
        <v>719.78460700000005</v>
      </c>
      <c r="J53">
        <v>746.98608400000001</v>
      </c>
      <c r="K53">
        <v>774.39843800000006</v>
      </c>
      <c r="L53">
        <v>803.17169200000001</v>
      </c>
      <c r="M53">
        <v>833.06414800000005</v>
      </c>
      <c r="N53">
        <v>863.676514</v>
      </c>
      <c r="O53">
        <v>894.96612500000003</v>
      </c>
      <c r="P53">
        <v>926.86370799999997</v>
      </c>
      <c r="Q53">
        <v>959.31353799999999</v>
      </c>
      <c r="R53">
        <v>992.370544</v>
      </c>
      <c r="S53">
        <v>1025.9799800000001</v>
      </c>
      <c r="T53">
        <v>1060.4267580000001</v>
      </c>
      <c r="U53">
        <v>1095.747314</v>
      </c>
      <c r="V53">
        <v>1131.930908</v>
      </c>
      <c r="W53">
        <v>1168.897827</v>
      </c>
      <c r="X53">
        <v>1206.689331</v>
      </c>
      <c r="Y53">
        <v>1245.3135990000001</v>
      </c>
      <c r="Z53">
        <v>1284.7578120000001</v>
      </c>
      <c r="AA53">
        <v>1325.0043949999999</v>
      </c>
      <c r="AB53">
        <v>1366.0389399999999</v>
      </c>
      <c r="AC53">
        <v>1407.7689210000001</v>
      </c>
      <c r="AD53">
        <v>1450.2246090000001</v>
      </c>
      <c r="AE53">
        <v>1493.5225829999999</v>
      </c>
      <c r="AF53">
        <v>1537.73938</v>
      </c>
      <c r="AG53" s="144">
        <v>3.5000000000000003E-2</v>
      </c>
    </row>
    <row r="54" spans="1:33">
      <c r="A54" t="s">
        <v>2414</v>
      </c>
      <c r="B54" t="s">
        <v>3335</v>
      </c>
      <c r="C54" t="s">
        <v>3334</v>
      </c>
      <c r="D54" t="s">
        <v>2349</v>
      </c>
      <c r="F54">
        <v>547.39996299999996</v>
      </c>
      <c r="G54">
        <v>557.41735800000004</v>
      </c>
      <c r="H54">
        <v>585.21740699999998</v>
      </c>
      <c r="I54">
        <v>613.59912099999997</v>
      </c>
      <c r="J54">
        <v>642.32238800000005</v>
      </c>
      <c r="K54">
        <v>671.45880099999999</v>
      </c>
      <c r="L54">
        <v>700.70251499999995</v>
      </c>
      <c r="M54">
        <v>730.82330300000001</v>
      </c>
      <c r="N54">
        <v>762.05602999999996</v>
      </c>
      <c r="O54">
        <v>794.39379899999994</v>
      </c>
      <c r="P54">
        <v>827.34246800000005</v>
      </c>
      <c r="Q54">
        <v>860.79028300000004</v>
      </c>
      <c r="R54">
        <v>894.76605199999995</v>
      </c>
      <c r="S54">
        <v>929.12457300000005</v>
      </c>
      <c r="T54">
        <v>964.41943400000002</v>
      </c>
      <c r="U54">
        <v>1000.6934199999999</v>
      </c>
      <c r="V54">
        <v>1037.9270019999999</v>
      </c>
      <c r="W54">
        <v>1075.9724120000001</v>
      </c>
      <c r="X54">
        <v>1114.9095460000001</v>
      </c>
      <c r="Y54">
        <v>1154.710327</v>
      </c>
      <c r="Z54">
        <v>1195.325439</v>
      </c>
      <c r="AA54">
        <v>1236.723755</v>
      </c>
      <c r="AB54">
        <v>1278.8195800000001</v>
      </c>
      <c r="AC54">
        <v>1321.498779</v>
      </c>
      <c r="AD54">
        <v>1364.8237300000001</v>
      </c>
      <c r="AE54">
        <v>1408.9160159999999</v>
      </c>
      <c r="AF54">
        <v>1453.980591</v>
      </c>
      <c r="AG54" s="144">
        <v>3.7999999999999999E-2</v>
      </c>
    </row>
    <row r="55" spans="1:33">
      <c r="A55" t="s">
        <v>2374</v>
      </c>
      <c r="B55" t="s">
        <v>3333</v>
      </c>
      <c r="C55" t="s">
        <v>3332</v>
      </c>
      <c r="D55" t="s">
        <v>2349</v>
      </c>
      <c r="F55">
        <v>1653.493164</v>
      </c>
      <c r="G55">
        <v>1729.6076660000001</v>
      </c>
      <c r="H55">
        <v>1811.3183590000001</v>
      </c>
      <c r="I55">
        <v>1888.8999020000001</v>
      </c>
      <c r="J55">
        <v>1966.2767329999999</v>
      </c>
      <c r="K55">
        <v>2044.861572</v>
      </c>
      <c r="L55">
        <v>2122.6870119999999</v>
      </c>
      <c r="M55">
        <v>2202.3571780000002</v>
      </c>
      <c r="N55">
        <v>2283.810547</v>
      </c>
      <c r="O55">
        <v>2367.2141109999998</v>
      </c>
      <c r="P55">
        <v>2452.7136230000001</v>
      </c>
      <c r="Q55">
        <v>2540.6240229999999</v>
      </c>
      <c r="R55">
        <v>2631.116943</v>
      </c>
      <c r="S55">
        <v>2724.3168949999999</v>
      </c>
      <c r="T55">
        <v>2820.2148440000001</v>
      </c>
      <c r="U55">
        <v>2918.8559570000002</v>
      </c>
      <c r="V55">
        <v>3020.4760740000002</v>
      </c>
      <c r="W55">
        <v>3125.0266109999998</v>
      </c>
      <c r="X55">
        <v>3232.600586</v>
      </c>
      <c r="Y55">
        <v>3343.2526859999998</v>
      </c>
      <c r="Z55">
        <v>3457.0371089999999</v>
      </c>
      <c r="AA55">
        <v>3574.0952149999998</v>
      </c>
      <c r="AB55">
        <v>3694.2878420000002</v>
      </c>
      <c r="AC55">
        <v>3817.828125</v>
      </c>
      <c r="AD55">
        <v>3944.9643550000001</v>
      </c>
      <c r="AE55">
        <v>4075.826172</v>
      </c>
      <c r="AF55">
        <v>4210.4111329999996</v>
      </c>
      <c r="AG55" s="144">
        <v>3.6999999999999998E-2</v>
      </c>
    </row>
    <row r="56" spans="1:33">
      <c r="A56" t="s">
        <v>2420</v>
      </c>
      <c r="B56" t="s">
        <v>3331</v>
      </c>
      <c r="C56" t="s">
        <v>3330</v>
      </c>
      <c r="D56" t="s">
        <v>2349</v>
      </c>
      <c r="F56">
        <v>710.53875700000003</v>
      </c>
      <c r="G56">
        <v>745.57861300000002</v>
      </c>
      <c r="H56">
        <v>783.92657499999996</v>
      </c>
      <c r="I56">
        <v>819.175476</v>
      </c>
      <c r="J56">
        <v>853.98089600000003</v>
      </c>
      <c r="K56">
        <v>889.17095900000004</v>
      </c>
      <c r="L56">
        <v>923.84497099999999</v>
      </c>
      <c r="M56">
        <v>959.27179000000001</v>
      </c>
      <c r="N56">
        <v>995.32202099999995</v>
      </c>
      <c r="O56">
        <v>1032.090332</v>
      </c>
      <c r="P56">
        <v>1069.6538089999999</v>
      </c>
      <c r="Q56">
        <v>1108.1988530000001</v>
      </c>
      <c r="R56">
        <v>1147.8050539999999</v>
      </c>
      <c r="S56">
        <v>1188.5306399999999</v>
      </c>
      <c r="T56">
        <v>1230.364746</v>
      </c>
      <c r="U56">
        <v>1273.305908</v>
      </c>
      <c r="V56">
        <v>1317.4884030000001</v>
      </c>
      <c r="W56">
        <v>1362.923096</v>
      </c>
      <c r="X56">
        <v>1409.678345</v>
      </c>
      <c r="Y56">
        <v>1457.779419</v>
      </c>
      <c r="Z56">
        <v>1507.240356</v>
      </c>
      <c r="AA56">
        <v>1558.1107179999999</v>
      </c>
      <c r="AB56">
        <v>1610.340698</v>
      </c>
      <c r="AC56">
        <v>1664.0516359999999</v>
      </c>
      <c r="AD56">
        <v>1719.342529</v>
      </c>
      <c r="AE56">
        <v>1776.2761230000001</v>
      </c>
      <c r="AF56">
        <v>1834.8704829999999</v>
      </c>
      <c r="AG56" s="144">
        <v>3.6999999999999998E-2</v>
      </c>
    </row>
    <row r="57" spans="1:33">
      <c r="A57" t="s">
        <v>2417</v>
      </c>
      <c r="B57" t="s">
        <v>3329</v>
      </c>
      <c r="C57" t="s">
        <v>3328</v>
      </c>
      <c r="D57" t="s">
        <v>2349</v>
      </c>
      <c r="F57">
        <v>831.66345200000001</v>
      </c>
      <c r="G57">
        <v>866.88995399999999</v>
      </c>
      <c r="H57">
        <v>903.29083300000002</v>
      </c>
      <c r="I57">
        <v>940.05822799999999</v>
      </c>
      <c r="J57">
        <v>977.39318800000001</v>
      </c>
      <c r="K57">
        <v>1015.611328</v>
      </c>
      <c r="L57">
        <v>1053.793091</v>
      </c>
      <c r="M57">
        <v>1093.0107419999999</v>
      </c>
      <c r="N57">
        <v>1133.428467</v>
      </c>
      <c r="O57">
        <v>1175.0886230000001</v>
      </c>
      <c r="P57">
        <v>1218.040649</v>
      </c>
      <c r="Q57">
        <v>1262.3500979999999</v>
      </c>
      <c r="R57">
        <v>1308.0960689999999</v>
      </c>
      <c r="S57">
        <v>1355.3339840000001</v>
      </c>
      <c r="T57">
        <v>1404.074341</v>
      </c>
      <c r="U57">
        <v>1454.3839109999999</v>
      </c>
      <c r="V57">
        <v>1506.3289789999999</v>
      </c>
      <c r="W57">
        <v>1559.8276370000001</v>
      </c>
      <c r="X57">
        <v>1614.8808590000001</v>
      </c>
      <c r="Y57">
        <v>1671.5173339999999</v>
      </c>
      <c r="Z57">
        <v>1729.788086</v>
      </c>
      <c r="AA57">
        <v>1789.7917480000001</v>
      </c>
      <c r="AB57">
        <v>1851.4407960000001</v>
      </c>
      <c r="AC57">
        <v>1914.7945560000001</v>
      </c>
      <c r="AD57">
        <v>1980.001587</v>
      </c>
      <c r="AE57">
        <v>2047.118408</v>
      </c>
      <c r="AF57">
        <v>2116.1076659999999</v>
      </c>
      <c r="AG57" s="144">
        <v>3.6999999999999998E-2</v>
      </c>
    </row>
    <row r="58" spans="1:33">
      <c r="A58" t="s">
        <v>2414</v>
      </c>
      <c r="B58" t="s">
        <v>3327</v>
      </c>
      <c r="C58" t="s">
        <v>3326</v>
      </c>
      <c r="D58" t="s">
        <v>2349</v>
      </c>
      <c r="F58">
        <v>111.290993</v>
      </c>
      <c r="G58">
        <v>117.139168</v>
      </c>
      <c r="H58">
        <v>124.100937</v>
      </c>
      <c r="I58">
        <v>129.666214</v>
      </c>
      <c r="J58">
        <v>134.902725</v>
      </c>
      <c r="K58">
        <v>140.07939099999999</v>
      </c>
      <c r="L58">
        <v>145.048889</v>
      </c>
      <c r="M58">
        <v>150.07461499999999</v>
      </c>
      <c r="N58">
        <v>155.06007399999999</v>
      </c>
      <c r="O58">
        <v>160.03514100000001</v>
      </c>
      <c r="P58">
        <v>165.01939400000001</v>
      </c>
      <c r="Q58">
        <v>170.075211</v>
      </c>
      <c r="R58">
        <v>175.21580499999999</v>
      </c>
      <c r="S58">
        <v>180.45216400000001</v>
      </c>
      <c r="T58">
        <v>185.775879</v>
      </c>
      <c r="U58">
        <v>191.16596999999999</v>
      </c>
      <c r="V58">
        <v>196.65879799999999</v>
      </c>
      <c r="W58">
        <v>202.27578700000001</v>
      </c>
      <c r="X58">
        <v>208.04139699999999</v>
      </c>
      <c r="Y58">
        <v>213.95581100000001</v>
      </c>
      <c r="Z58">
        <v>220.00881999999999</v>
      </c>
      <c r="AA58">
        <v>226.19297800000001</v>
      </c>
      <c r="AB58">
        <v>232.506271</v>
      </c>
      <c r="AC58">
        <v>238.98190299999999</v>
      </c>
      <c r="AD58">
        <v>245.62011699999999</v>
      </c>
      <c r="AE58">
        <v>252.431702</v>
      </c>
      <c r="AF58">
        <v>259.43298299999998</v>
      </c>
      <c r="AG58" s="144">
        <v>3.3000000000000002E-2</v>
      </c>
    </row>
    <row r="59" spans="1:33">
      <c r="A59" t="s">
        <v>197</v>
      </c>
      <c r="B59" t="s">
        <v>3325</v>
      </c>
      <c r="C59" t="s">
        <v>3324</v>
      </c>
      <c r="D59" t="s">
        <v>2349</v>
      </c>
      <c r="F59">
        <v>1281.699707</v>
      </c>
      <c r="G59">
        <v>1328.5363769999999</v>
      </c>
      <c r="H59">
        <v>1388.700928</v>
      </c>
      <c r="I59">
        <v>1446.4499510000001</v>
      </c>
      <c r="J59">
        <v>1506.5463870000001</v>
      </c>
      <c r="K59">
        <v>1569.336914</v>
      </c>
      <c r="L59">
        <v>1632.9602050000001</v>
      </c>
      <c r="M59">
        <v>1698.841553</v>
      </c>
      <c r="N59">
        <v>1766.3929439999999</v>
      </c>
      <c r="O59">
        <v>1835.6842039999999</v>
      </c>
      <c r="P59">
        <v>1907.40625</v>
      </c>
      <c r="Q59">
        <v>1981.7773440000001</v>
      </c>
      <c r="R59">
        <v>2058.5444339999999</v>
      </c>
      <c r="S59">
        <v>2138.1247560000002</v>
      </c>
      <c r="T59">
        <v>2220.1286620000001</v>
      </c>
      <c r="U59">
        <v>2304.5366210000002</v>
      </c>
      <c r="V59">
        <v>2391.336182</v>
      </c>
      <c r="W59">
        <v>2480.638672</v>
      </c>
      <c r="X59">
        <v>2572.4404300000001</v>
      </c>
      <c r="Y59">
        <v>2666.8171390000002</v>
      </c>
      <c r="Z59">
        <v>2763.857422</v>
      </c>
      <c r="AA59">
        <v>2863.6000979999999</v>
      </c>
      <c r="AB59">
        <v>2966.0776369999999</v>
      </c>
      <c r="AC59">
        <v>3071.3164059999999</v>
      </c>
      <c r="AD59">
        <v>3179.3408199999999</v>
      </c>
      <c r="AE59">
        <v>3290.1606449999999</v>
      </c>
      <c r="AF59">
        <v>3403.8090820000002</v>
      </c>
      <c r="AG59" s="144">
        <v>3.7999999999999999E-2</v>
      </c>
    </row>
    <row r="60" spans="1:33">
      <c r="A60" t="s">
        <v>2420</v>
      </c>
      <c r="B60" t="s">
        <v>3323</v>
      </c>
      <c r="C60" t="s">
        <v>3322</v>
      </c>
      <c r="D60" t="s">
        <v>2349</v>
      </c>
      <c r="F60">
        <v>541.78997800000002</v>
      </c>
      <c r="G60">
        <v>561.11187700000005</v>
      </c>
      <c r="H60">
        <v>585.42700200000002</v>
      </c>
      <c r="I60">
        <v>608.56567399999994</v>
      </c>
      <c r="J60">
        <v>633.37841800000001</v>
      </c>
      <c r="K60">
        <v>660.04620399999999</v>
      </c>
      <c r="L60">
        <v>687.05999799999995</v>
      </c>
      <c r="M60">
        <v>715.03723100000002</v>
      </c>
      <c r="N60">
        <v>743.72491500000001</v>
      </c>
      <c r="O60">
        <v>773.16461200000003</v>
      </c>
      <c r="P60">
        <v>803.46899399999995</v>
      </c>
      <c r="Q60">
        <v>834.68536400000005</v>
      </c>
      <c r="R60">
        <v>866.88745100000006</v>
      </c>
      <c r="S60">
        <v>900.05835000000002</v>
      </c>
      <c r="T60">
        <v>934.17871100000002</v>
      </c>
      <c r="U60">
        <v>969.27191200000004</v>
      </c>
      <c r="V60">
        <v>1005.335693</v>
      </c>
      <c r="W60">
        <v>1042.4135739999999</v>
      </c>
      <c r="X60">
        <v>1080.5023189999999</v>
      </c>
      <c r="Y60">
        <v>1119.6323239999999</v>
      </c>
      <c r="Z60">
        <v>1159.8396</v>
      </c>
      <c r="AA60">
        <v>1201.1396480000001</v>
      </c>
      <c r="AB60">
        <v>1243.5435789999999</v>
      </c>
      <c r="AC60">
        <v>1287.0601810000001</v>
      </c>
      <c r="AD60">
        <v>1331.6976320000001</v>
      </c>
      <c r="AE60">
        <v>1377.458496</v>
      </c>
      <c r="AF60">
        <v>1424.3551030000001</v>
      </c>
      <c r="AG60" s="144">
        <v>3.7999999999999999E-2</v>
      </c>
    </row>
    <row r="61" spans="1:33">
      <c r="A61" t="s">
        <v>2417</v>
      </c>
      <c r="B61" t="s">
        <v>3321</v>
      </c>
      <c r="C61" t="s">
        <v>3320</v>
      </c>
      <c r="D61" t="s">
        <v>2349</v>
      </c>
      <c r="F61">
        <v>217.97039799999999</v>
      </c>
      <c r="G61">
        <v>226.76019299999999</v>
      </c>
      <c r="H61">
        <v>237.18443300000001</v>
      </c>
      <c r="I61">
        <v>247.12882999999999</v>
      </c>
      <c r="J61">
        <v>257.21606400000002</v>
      </c>
      <c r="K61">
        <v>267.47820999999999</v>
      </c>
      <c r="L61">
        <v>277.778931</v>
      </c>
      <c r="M61">
        <v>288.37283300000001</v>
      </c>
      <c r="N61">
        <v>299.13919099999998</v>
      </c>
      <c r="O61">
        <v>310.06753500000002</v>
      </c>
      <c r="P61">
        <v>321.63253800000001</v>
      </c>
      <c r="Q61">
        <v>333.95614599999999</v>
      </c>
      <c r="R61">
        <v>346.641571</v>
      </c>
      <c r="S61">
        <v>359.67947400000003</v>
      </c>
      <c r="T61">
        <v>373.05926499999998</v>
      </c>
      <c r="U61">
        <v>386.78805499999999</v>
      </c>
      <c r="V61">
        <v>400.868652</v>
      </c>
      <c r="W61">
        <v>415.31488000000002</v>
      </c>
      <c r="X61">
        <v>430.12292500000001</v>
      </c>
      <c r="Y61">
        <v>445.30316199999999</v>
      </c>
      <c r="Z61">
        <v>460.86904900000002</v>
      </c>
      <c r="AA61">
        <v>476.82531699999998</v>
      </c>
      <c r="AB61">
        <v>493.17401100000001</v>
      </c>
      <c r="AC61">
        <v>509.91525300000001</v>
      </c>
      <c r="AD61">
        <v>527.05004899999994</v>
      </c>
      <c r="AE61">
        <v>544.57794200000001</v>
      </c>
      <c r="AF61">
        <v>562.50158699999997</v>
      </c>
      <c r="AG61" s="144">
        <v>3.6999999999999998E-2</v>
      </c>
    </row>
    <row r="62" spans="1:33">
      <c r="A62" t="s">
        <v>2414</v>
      </c>
      <c r="B62" t="s">
        <v>3319</v>
      </c>
      <c r="C62" t="s">
        <v>3318</v>
      </c>
      <c r="D62" t="s">
        <v>2349</v>
      </c>
      <c r="F62">
        <v>521.93926999999996</v>
      </c>
      <c r="G62">
        <v>540.66424600000005</v>
      </c>
      <c r="H62">
        <v>566.08953899999995</v>
      </c>
      <c r="I62">
        <v>590.75543200000004</v>
      </c>
      <c r="J62">
        <v>615.95184300000005</v>
      </c>
      <c r="K62">
        <v>641.81243900000004</v>
      </c>
      <c r="L62">
        <v>668.121216</v>
      </c>
      <c r="M62">
        <v>695.43158000000005</v>
      </c>
      <c r="N62">
        <v>723.52880900000002</v>
      </c>
      <c r="O62">
        <v>752.45202600000005</v>
      </c>
      <c r="P62">
        <v>782.30474900000002</v>
      </c>
      <c r="Q62">
        <v>813.13580300000001</v>
      </c>
      <c r="R62">
        <v>845.01538100000005</v>
      </c>
      <c r="S62">
        <v>878.38696300000004</v>
      </c>
      <c r="T62">
        <v>912.890625</v>
      </c>
      <c r="U62">
        <v>948.47656199999994</v>
      </c>
      <c r="V62">
        <v>985.13183600000002</v>
      </c>
      <c r="W62">
        <v>1022.910217</v>
      </c>
      <c r="X62">
        <v>1061.815308</v>
      </c>
      <c r="Y62">
        <v>1101.881592</v>
      </c>
      <c r="Z62">
        <v>1143.1488039999999</v>
      </c>
      <c r="AA62">
        <v>1185.635254</v>
      </c>
      <c r="AB62">
        <v>1229.3602289999999</v>
      </c>
      <c r="AC62">
        <v>1274.3408199999999</v>
      </c>
      <c r="AD62">
        <v>1320.593018</v>
      </c>
      <c r="AE62">
        <v>1368.1241460000001</v>
      </c>
      <c r="AF62">
        <v>1416.9522710000001</v>
      </c>
      <c r="AG62" s="144">
        <v>3.9E-2</v>
      </c>
    </row>
    <row r="63" spans="1:33">
      <c r="A63" t="s">
        <v>2369</v>
      </c>
      <c r="B63" t="s">
        <v>3317</v>
      </c>
      <c r="C63" t="s">
        <v>3316</v>
      </c>
      <c r="D63" t="s">
        <v>2349</v>
      </c>
      <c r="F63">
        <v>607.76654099999996</v>
      </c>
      <c r="G63">
        <v>619.19946300000004</v>
      </c>
      <c r="H63">
        <v>628.52618399999994</v>
      </c>
      <c r="I63">
        <v>641.33422900000005</v>
      </c>
      <c r="J63">
        <v>655.47277799999995</v>
      </c>
      <c r="K63">
        <v>669.33569299999999</v>
      </c>
      <c r="L63">
        <v>682.43463099999997</v>
      </c>
      <c r="M63">
        <v>695.33184800000004</v>
      </c>
      <c r="N63">
        <v>708.057861</v>
      </c>
      <c r="O63">
        <v>720.61743200000001</v>
      </c>
      <c r="P63">
        <v>732.99499500000002</v>
      </c>
      <c r="Q63">
        <v>745.17773399999999</v>
      </c>
      <c r="R63">
        <v>757.15716599999996</v>
      </c>
      <c r="S63">
        <v>768.92785600000002</v>
      </c>
      <c r="T63">
        <v>780.63708499999996</v>
      </c>
      <c r="U63">
        <v>792.21612500000003</v>
      </c>
      <c r="V63">
        <v>803.53558299999997</v>
      </c>
      <c r="W63">
        <v>814.59606900000006</v>
      </c>
      <c r="X63">
        <v>825.38305700000001</v>
      </c>
      <c r="Y63">
        <v>835.88079800000003</v>
      </c>
      <c r="Z63">
        <v>846.07446300000004</v>
      </c>
      <c r="AA63">
        <v>855.94879200000003</v>
      </c>
      <c r="AB63">
        <v>865.49023399999999</v>
      </c>
      <c r="AC63">
        <v>874.68335000000002</v>
      </c>
      <c r="AD63">
        <v>883.51458700000001</v>
      </c>
      <c r="AE63">
        <v>891.97094700000002</v>
      </c>
      <c r="AF63">
        <v>900.03985599999999</v>
      </c>
      <c r="AG63" s="144">
        <v>1.4999999999999999E-2</v>
      </c>
    </row>
    <row r="64" spans="1:33">
      <c r="A64" t="s">
        <v>2420</v>
      </c>
      <c r="B64" t="s">
        <v>3315</v>
      </c>
      <c r="C64" t="s">
        <v>3314</v>
      </c>
      <c r="D64" t="s">
        <v>2349</v>
      </c>
      <c r="F64">
        <v>358.76361100000003</v>
      </c>
      <c r="G64">
        <v>364.96899400000001</v>
      </c>
      <c r="H64">
        <v>370.069794</v>
      </c>
      <c r="I64">
        <v>377.47241200000002</v>
      </c>
      <c r="J64">
        <v>385.74200400000001</v>
      </c>
      <c r="K64">
        <v>393.85638399999999</v>
      </c>
      <c r="L64">
        <v>401.53595000000001</v>
      </c>
      <c r="M64">
        <v>409.107574</v>
      </c>
      <c r="N64">
        <v>416.59023999999999</v>
      </c>
      <c r="O64">
        <v>423.98989899999998</v>
      </c>
      <c r="P64">
        <v>431.29965199999998</v>
      </c>
      <c r="Q64">
        <v>438.51238999999998</v>
      </c>
      <c r="R64">
        <v>445.62274200000002</v>
      </c>
      <c r="S64">
        <v>452.62652600000001</v>
      </c>
      <c r="T64">
        <v>459.516052</v>
      </c>
      <c r="U64">
        <v>466.28183000000001</v>
      </c>
      <c r="V64">
        <v>472.89636200000001</v>
      </c>
      <c r="W64">
        <v>479.36013800000001</v>
      </c>
      <c r="X64">
        <v>485.66436800000002</v>
      </c>
      <c r="Y64">
        <v>491.80014</v>
      </c>
      <c r="Z64">
        <v>497.75888099999997</v>
      </c>
      <c r="AA64">
        <v>503.53161599999999</v>
      </c>
      <c r="AB64">
        <v>509.11068699999998</v>
      </c>
      <c r="AC64">
        <v>514.48718299999996</v>
      </c>
      <c r="AD64">
        <v>519.65319799999997</v>
      </c>
      <c r="AE64">
        <v>524.60119599999996</v>
      </c>
      <c r="AF64">
        <v>529.32391399999995</v>
      </c>
      <c r="AG64" s="144">
        <v>1.4999999999999999E-2</v>
      </c>
    </row>
    <row r="65" spans="1:33">
      <c r="A65" t="s">
        <v>2417</v>
      </c>
      <c r="B65" t="s">
        <v>3313</v>
      </c>
      <c r="C65" t="s">
        <v>3312</v>
      </c>
      <c r="D65" t="s">
        <v>2349</v>
      </c>
      <c r="F65">
        <v>55.814498999999998</v>
      </c>
      <c r="G65">
        <v>57.104205999999998</v>
      </c>
      <c r="H65">
        <v>58.093254000000002</v>
      </c>
      <c r="I65">
        <v>59.433810999999999</v>
      </c>
      <c r="J65">
        <v>60.911147999999997</v>
      </c>
      <c r="K65">
        <v>62.348315999999997</v>
      </c>
      <c r="L65">
        <v>63.685371000000004</v>
      </c>
      <c r="M65">
        <v>64.982299999999995</v>
      </c>
      <c r="N65">
        <v>66.241455000000002</v>
      </c>
      <c r="O65">
        <v>67.458740000000006</v>
      </c>
      <c r="P65">
        <v>68.628936999999993</v>
      </c>
      <c r="Q65">
        <v>69.750084000000001</v>
      </c>
      <c r="R65">
        <v>70.821899000000002</v>
      </c>
      <c r="S65">
        <v>71.845298999999997</v>
      </c>
      <c r="T65">
        <v>72.979179000000002</v>
      </c>
      <c r="U65">
        <v>74.169319000000002</v>
      </c>
      <c r="V65">
        <v>75.330100999999999</v>
      </c>
      <c r="W65">
        <v>76.460319999999996</v>
      </c>
      <c r="X65">
        <v>77.559303</v>
      </c>
      <c r="Y65">
        <v>78.624840000000006</v>
      </c>
      <c r="Z65">
        <v>79.654883999999996</v>
      </c>
      <c r="AA65">
        <v>80.647696999999994</v>
      </c>
      <c r="AB65">
        <v>81.601119999999995</v>
      </c>
      <c r="AC65">
        <v>82.513023000000004</v>
      </c>
      <c r="AD65">
        <v>83.381896999999995</v>
      </c>
      <c r="AE65">
        <v>84.206397999999993</v>
      </c>
      <c r="AF65">
        <v>84.984322000000006</v>
      </c>
      <c r="AG65" s="144">
        <v>1.6E-2</v>
      </c>
    </row>
    <row r="66" spans="1:33">
      <c r="A66" t="s">
        <v>2414</v>
      </c>
      <c r="B66" t="s">
        <v>3311</v>
      </c>
      <c r="C66" t="s">
        <v>3310</v>
      </c>
      <c r="D66" t="s">
        <v>2349</v>
      </c>
      <c r="F66">
        <v>193.18841599999999</v>
      </c>
      <c r="G66">
        <v>197.126282</v>
      </c>
      <c r="H66">
        <v>200.363113</v>
      </c>
      <c r="I66">
        <v>204.42804000000001</v>
      </c>
      <c r="J66">
        <v>208.819626</v>
      </c>
      <c r="K66">
        <v>213.13099700000001</v>
      </c>
      <c r="L66">
        <v>217.21333300000001</v>
      </c>
      <c r="M66">
        <v>221.24195900000001</v>
      </c>
      <c r="N66">
        <v>225.226135</v>
      </c>
      <c r="O66">
        <v>229.16877700000001</v>
      </c>
      <c r="P66">
        <v>233.06639100000001</v>
      </c>
      <c r="Q66">
        <v>236.915268</v>
      </c>
      <c r="R66">
        <v>240.712524</v>
      </c>
      <c r="S66">
        <v>244.45602400000001</v>
      </c>
      <c r="T66">
        <v>248.14186100000001</v>
      </c>
      <c r="U66">
        <v>251.764938</v>
      </c>
      <c r="V66">
        <v>255.309158</v>
      </c>
      <c r="W66">
        <v>258.775665</v>
      </c>
      <c r="X66">
        <v>262.15933200000001</v>
      </c>
      <c r="Y66">
        <v>265.45581099999998</v>
      </c>
      <c r="Z66">
        <v>268.66067500000003</v>
      </c>
      <c r="AA66">
        <v>271.76947000000001</v>
      </c>
      <c r="AB66">
        <v>274.778412</v>
      </c>
      <c r="AC66">
        <v>277.68313599999999</v>
      </c>
      <c r="AD66">
        <v>280.47949199999999</v>
      </c>
      <c r="AE66">
        <v>283.16332999999997</v>
      </c>
      <c r="AF66">
        <v>285.731628</v>
      </c>
      <c r="AG66" s="144">
        <v>1.4999999999999999E-2</v>
      </c>
    </row>
    <row r="67" spans="1:33">
      <c r="A67" t="s">
        <v>2366</v>
      </c>
      <c r="B67" t="s">
        <v>3309</v>
      </c>
      <c r="C67" t="s">
        <v>3308</v>
      </c>
      <c r="D67" t="s">
        <v>2349</v>
      </c>
      <c r="F67">
        <v>1038.85376</v>
      </c>
      <c r="G67">
        <v>1069.279297</v>
      </c>
      <c r="H67">
        <v>1100.7329099999999</v>
      </c>
      <c r="I67">
        <v>1131.758423</v>
      </c>
      <c r="J67">
        <v>1162.194702</v>
      </c>
      <c r="K67">
        <v>1193.505737</v>
      </c>
      <c r="L67">
        <v>1224.3881839999999</v>
      </c>
      <c r="M67">
        <v>1257.3641359999999</v>
      </c>
      <c r="N67">
        <v>1290.857178</v>
      </c>
      <c r="O67">
        <v>1324.8549800000001</v>
      </c>
      <c r="P67">
        <v>1359.3374020000001</v>
      </c>
      <c r="Q67">
        <v>1394.2563479999999</v>
      </c>
      <c r="R67">
        <v>1429.599365</v>
      </c>
      <c r="S67">
        <v>1465.477539</v>
      </c>
      <c r="T67">
        <v>1501.9099120000001</v>
      </c>
      <c r="U67">
        <v>1538.9110109999999</v>
      </c>
      <c r="V67">
        <v>1576.4392089999999</v>
      </c>
      <c r="W67">
        <v>1614.4754640000001</v>
      </c>
      <c r="X67">
        <v>1653.026001</v>
      </c>
      <c r="Y67">
        <v>1692.105225</v>
      </c>
      <c r="Z67">
        <v>1731.7045900000001</v>
      </c>
      <c r="AA67">
        <v>1771.826172</v>
      </c>
      <c r="AB67">
        <v>1812.462769</v>
      </c>
      <c r="AC67">
        <v>1853.5920410000001</v>
      </c>
      <c r="AD67">
        <v>1895.2048339999999</v>
      </c>
      <c r="AE67">
        <v>1937.3076169999999</v>
      </c>
      <c r="AF67">
        <v>1979.939453</v>
      </c>
      <c r="AG67" s="144">
        <v>2.5000000000000001E-2</v>
      </c>
    </row>
    <row r="68" spans="1:33">
      <c r="A68" t="s">
        <v>2420</v>
      </c>
      <c r="B68" t="s">
        <v>3307</v>
      </c>
      <c r="C68" t="s">
        <v>3306</v>
      </c>
      <c r="D68" t="s">
        <v>2349</v>
      </c>
      <c r="F68">
        <v>688.02648899999997</v>
      </c>
      <c r="G68">
        <v>708.93682899999999</v>
      </c>
      <c r="H68">
        <v>730.53747599999997</v>
      </c>
      <c r="I68">
        <v>751.89581299999998</v>
      </c>
      <c r="J68">
        <v>772.91882299999997</v>
      </c>
      <c r="K68">
        <v>794.90295400000002</v>
      </c>
      <c r="L68">
        <v>816.86810300000002</v>
      </c>
      <c r="M68">
        <v>839.15917999999999</v>
      </c>
      <c r="N68">
        <v>861.80175799999995</v>
      </c>
      <c r="O68">
        <v>884.79064900000003</v>
      </c>
      <c r="P68">
        <v>908.11358600000005</v>
      </c>
      <c r="Q68">
        <v>931.73889199999996</v>
      </c>
      <c r="R68">
        <v>955.65728799999999</v>
      </c>
      <c r="S68">
        <v>979.93164100000001</v>
      </c>
      <c r="T68">
        <v>1004.578857</v>
      </c>
      <c r="U68">
        <v>1029.612427</v>
      </c>
      <c r="V68">
        <v>1055.004639</v>
      </c>
      <c r="W68">
        <v>1080.742798</v>
      </c>
      <c r="X68">
        <v>1106.8316649999999</v>
      </c>
      <c r="Y68">
        <v>1133.2806399999999</v>
      </c>
      <c r="Z68">
        <v>1160.0839840000001</v>
      </c>
      <c r="AA68">
        <v>1187.243408</v>
      </c>
      <c r="AB68">
        <v>1214.7547609999999</v>
      </c>
      <c r="AC68">
        <v>1242.6046140000001</v>
      </c>
      <c r="AD68">
        <v>1270.786987</v>
      </c>
      <c r="AE68">
        <v>1299.3051760000001</v>
      </c>
      <c r="AF68">
        <v>1328.1854249999999</v>
      </c>
      <c r="AG68" s="144">
        <v>2.5999999999999999E-2</v>
      </c>
    </row>
    <row r="69" spans="1:33">
      <c r="A69" t="s">
        <v>2417</v>
      </c>
      <c r="B69" t="s">
        <v>3305</v>
      </c>
      <c r="C69" t="s">
        <v>3304</v>
      </c>
      <c r="D69" t="s">
        <v>2349</v>
      </c>
      <c r="F69">
        <v>118.736794</v>
      </c>
      <c r="G69">
        <v>121.97653200000001</v>
      </c>
      <c r="H69">
        <v>125.289162</v>
      </c>
      <c r="I69">
        <v>128.57238799999999</v>
      </c>
      <c r="J69">
        <v>131.79548600000001</v>
      </c>
      <c r="K69">
        <v>134.96443199999999</v>
      </c>
      <c r="L69">
        <v>137.93907200000001</v>
      </c>
      <c r="M69">
        <v>141.93147300000001</v>
      </c>
      <c r="N69">
        <v>145.99992399999999</v>
      </c>
      <c r="O69">
        <v>150.14463799999999</v>
      </c>
      <c r="P69">
        <v>154.36532600000001</v>
      </c>
      <c r="Q69">
        <v>158.65786700000001</v>
      </c>
      <c r="R69">
        <v>163.02114900000001</v>
      </c>
      <c r="S69">
        <v>167.46734599999999</v>
      </c>
      <c r="T69">
        <v>171.998795</v>
      </c>
      <c r="U69">
        <v>176.61686700000001</v>
      </c>
      <c r="V69">
        <v>181.31755100000001</v>
      </c>
      <c r="W69">
        <v>186.09927400000001</v>
      </c>
      <c r="X69">
        <v>190.96373</v>
      </c>
      <c r="Y69">
        <v>195.91270399999999</v>
      </c>
      <c r="Z69">
        <v>200.94589199999999</v>
      </c>
      <c r="AA69">
        <v>206.06431599999999</v>
      </c>
      <c r="AB69">
        <v>211.267853</v>
      </c>
      <c r="AC69">
        <v>216.55535900000001</v>
      </c>
      <c r="AD69">
        <v>221.92636100000001</v>
      </c>
      <c r="AE69">
        <v>227.38114899999999</v>
      </c>
      <c r="AF69">
        <v>232.924744</v>
      </c>
      <c r="AG69" s="144">
        <v>2.5999999999999999E-2</v>
      </c>
    </row>
    <row r="70" spans="1:33">
      <c r="A70" t="s">
        <v>2414</v>
      </c>
      <c r="B70" t="s">
        <v>3303</v>
      </c>
      <c r="C70" t="s">
        <v>3302</v>
      </c>
      <c r="D70" t="s">
        <v>2349</v>
      </c>
      <c r="F70">
        <v>232.09046900000001</v>
      </c>
      <c r="G70">
        <v>238.36596700000001</v>
      </c>
      <c r="H70">
        <v>244.90628100000001</v>
      </c>
      <c r="I70">
        <v>251.290176</v>
      </c>
      <c r="J70">
        <v>257.48037699999998</v>
      </c>
      <c r="K70">
        <v>263.63836700000002</v>
      </c>
      <c r="L70">
        <v>269.580963</v>
      </c>
      <c r="M70">
        <v>276.27349900000002</v>
      </c>
      <c r="N70">
        <v>283.055542</v>
      </c>
      <c r="O70">
        <v>289.91967799999998</v>
      </c>
      <c r="P70">
        <v>296.85849000000002</v>
      </c>
      <c r="Q70">
        <v>303.85958900000003</v>
      </c>
      <c r="R70">
        <v>310.92089800000002</v>
      </c>
      <c r="S70">
        <v>318.07858299999998</v>
      </c>
      <c r="T70">
        <v>325.33230600000002</v>
      </c>
      <c r="U70">
        <v>332.68173200000001</v>
      </c>
      <c r="V70">
        <v>340.11712599999998</v>
      </c>
      <c r="W70">
        <v>347.63345299999997</v>
      </c>
      <c r="X70">
        <v>355.230591</v>
      </c>
      <c r="Y70">
        <v>362.91180400000002</v>
      </c>
      <c r="Z70">
        <v>370.67474399999998</v>
      </c>
      <c r="AA70">
        <v>378.518372</v>
      </c>
      <c r="AB70">
        <v>386.440155</v>
      </c>
      <c r="AC70">
        <v>394.432098</v>
      </c>
      <c r="AD70">
        <v>402.49148600000001</v>
      </c>
      <c r="AE70">
        <v>410.62133799999998</v>
      </c>
      <c r="AF70">
        <v>418.82931500000001</v>
      </c>
      <c r="AG70" s="144">
        <v>2.3E-2</v>
      </c>
    </row>
    <row r="71" spans="1:33">
      <c r="A71" t="s">
        <v>153</v>
      </c>
      <c r="B71" t="s">
        <v>3301</v>
      </c>
      <c r="C71" t="s">
        <v>3300</v>
      </c>
      <c r="D71" t="s">
        <v>2349</v>
      </c>
      <c r="F71">
        <v>32089.082031000002</v>
      </c>
      <c r="G71">
        <v>33064.125</v>
      </c>
      <c r="H71">
        <v>34203.726562000003</v>
      </c>
      <c r="I71">
        <v>35301.3125</v>
      </c>
      <c r="J71">
        <v>36378.714844000002</v>
      </c>
      <c r="K71">
        <v>37478.960937999997</v>
      </c>
      <c r="L71">
        <v>38567.183594000002</v>
      </c>
      <c r="M71">
        <v>39655.761719000002</v>
      </c>
      <c r="N71">
        <v>40785.363280999998</v>
      </c>
      <c r="O71">
        <v>41945.179687999997</v>
      </c>
      <c r="P71">
        <v>43119.871094000002</v>
      </c>
      <c r="Q71">
        <v>44328.273437999997</v>
      </c>
      <c r="R71">
        <v>45556.011719000002</v>
      </c>
      <c r="S71">
        <v>46811.472655999998</v>
      </c>
      <c r="T71">
        <v>48101.011719000002</v>
      </c>
      <c r="U71">
        <v>49417.84375</v>
      </c>
      <c r="V71">
        <v>50756.828125</v>
      </c>
      <c r="W71">
        <v>52115.414062000003</v>
      </c>
      <c r="X71">
        <v>53511.46875</v>
      </c>
      <c r="Y71">
        <v>54923.78125</v>
      </c>
      <c r="Z71">
        <v>56341.902344000002</v>
      </c>
      <c r="AA71">
        <v>57775.046875</v>
      </c>
      <c r="AB71">
        <v>59223.457030999998</v>
      </c>
      <c r="AC71">
        <v>60718.859375</v>
      </c>
      <c r="AD71">
        <v>62245.136719000002</v>
      </c>
      <c r="AE71">
        <v>63781.203125</v>
      </c>
      <c r="AF71">
        <v>65333.351562000003</v>
      </c>
      <c r="AG71" s="144">
        <v>2.8000000000000001E-2</v>
      </c>
    </row>
    <row r="72" spans="1:33">
      <c r="A72" t="s">
        <v>2420</v>
      </c>
      <c r="B72" t="s">
        <v>3299</v>
      </c>
      <c r="C72" t="s">
        <v>3298</v>
      </c>
      <c r="D72" t="s">
        <v>2349</v>
      </c>
      <c r="F72">
        <v>18673.320312</v>
      </c>
      <c r="G72">
        <v>19298.244140999999</v>
      </c>
      <c r="H72">
        <v>20009.886718999998</v>
      </c>
      <c r="I72">
        <v>20695.666015999999</v>
      </c>
      <c r="J72">
        <v>21371.634765999999</v>
      </c>
      <c r="K72">
        <v>22058.234375</v>
      </c>
      <c r="L72">
        <v>22739.210938</v>
      </c>
      <c r="M72">
        <v>23421.214843999998</v>
      </c>
      <c r="N72">
        <v>24129.101562</v>
      </c>
      <c r="O72">
        <v>24855.878906000002</v>
      </c>
      <c r="P72">
        <v>25592.357422000001</v>
      </c>
      <c r="Q72">
        <v>26349.648438</v>
      </c>
      <c r="R72">
        <v>27118.111327999999</v>
      </c>
      <c r="S72">
        <v>27903.078125</v>
      </c>
      <c r="T72">
        <v>28709.121093999998</v>
      </c>
      <c r="U72">
        <v>29534.148438</v>
      </c>
      <c r="V72">
        <v>30372.345702999999</v>
      </c>
      <c r="W72">
        <v>31222.140625</v>
      </c>
      <c r="X72">
        <v>32093.599609000001</v>
      </c>
      <c r="Y72">
        <v>32974.273437999997</v>
      </c>
      <c r="Z72">
        <v>33857.976562000003</v>
      </c>
      <c r="AA72">
        <v>34749.699219000002</v>
      </c>
      <c r="AB72">
        <v>35649.933594000002</v>
      </c>
      <c r="AC72">
        <v>36577.371094000002</v>
      </c>
      <c r="AD72">
        <v>37522.015625</v>
      </c>
      <c r="AE72">
        <v>38471.027344000002</v>
      </c>
      <c r="AF72">
        <v>39427.996094000002</v>
      </c>
      <c r="AG72" s="144">
        <v>2.9000000000000001E-2</v>
      </c>
    </row>
    <row r="73" spans="1:33">
      <c r="A73" t="s">
        <v>2417</v>
      </c>
      <c r="B73" t="s">
        <v>3297</v>
      </c>
      <c r="C73" t="s">
        <v>3296</v>
      </c>
      <c r="D73" t="s">
        <v>2349</v>
      </c>
      <c r="F73">
        <v>6732.4291990000002</v>
      </c>
      <c r="G73">
        <v>6893.4521480000003</v>
      </c>
      <c r="H73">
        <v>7116.1684569999998</v>
      </c>
      <c r="I73">
        <v>7330.2490230000003</v>
      </c>
      <c r="J73">
        <v>7538.2270509999998</v>
      </c>
      <c r="K73">
        <v>7755.4248049999997</v>
      </c>
      <c r="L73">
        <v>7972.4145509999998</v>
      </c>
      <c r="M73">
        <v>8191.3071289999998</v>
      </c>
      <c r="N73">
        <v>8417.1806639999995</v>
      </c>
      <c r="O73">
        <v>8648.4189449999994</v>
      </c>
      <c r="P73">
        <v>8883.1425780000009</v>
      </c>
      <c r="Q73">
        <v>9124.1728519999997</v>
      </c>
      <c r="R73">
        <v>9369.8066409999992</v>
      </c>
      <c r="S73">
        <v>9620.7675780000009</v>
      </c>
      <c r="T73">
        <v>9878.3085940000001</v>
      </c>
      <c r="U73">
        <v>10140.651367</v>
      </c>
      <c r="V73">
        <v>10408.463867</v>
      </c>
      <c r="W73">
        <v>10681.418944999999</v>
      </c>
      <c r="X73">
        <v>10962.725586</v>
      </c>
      <c r="Y73">
        <v>11248.469727</v>
      </c>
      <c r="Z73">
        <v>11536.870117</v>
      </c>
      <c r="AA73">
        <v>11829.616211</v>
      </c>
      <c r="AB73">
        <v>12126.613281</v>
      </c>
      <c r="AC73">
        <v>12432.634765999999</v>
      </c>
      <c r="AD73">
        <v>12745.842773</v>
      </c>
      <c r="AE73">
        <v>13063.603515999999</v>
      </c>
      <c r="AF73">
        <v>13386.791015999999</v>
      </c>
      <c r="AG73" s="144">
        <v>2.7E-2</v>
      </c>
    </row>
    <row r="74" spans="1:33">
      <c r="A74" t="s">
        <v>2414</v>
      </c>
      <c r="B74" t="s">
        <v>3295</v>
      </c>
      <c r="C74" t="s">
        <v>3294</v>
      </c>
      <c r="D74" t="s">
        <v>2349</v>
      </c>
      <c r="F74">
        <v>6683.3315430000002</v>
      </c>
      <c r="G74">
        <v>6872.4296880000002</v>
      </c>
      <c r="H74">
        <v>7077.671875</v>
      </c>
      <c r="I74">
        <v>7275.3959960000002</v>
      </c>
      <c r="J74">
        <v>7468.845703</v>
      </c>
      <c r="K74">
        <v>7665.2983400000003</v>
      </c>
      <c r="L74">
        <v>7855.5493159999996</v>
      </c>
      <c r="M74">
        <v>8043.2485349999997</v>
      </c>
      <c r="N74">
        <v>8239.0908199999994</v>
      </c>
      <c r="O74">
        <v>8440.8867190000001</v>
      </c>
      <c r="P74">
        <v>8644.3720699999994</v>
      </c>
      <c r="Q74">
        <v>8854.4511719999991</v>
      </c>
      <c r="R74">
        <v>9068.1015619999998</v>
      </c>
      <c r="S74">
        <v>9287.6220699999994</v>
      </c>
      <c r="T74">
        <v>9513.5751949999994</v>
      </c>
      <c r="U74">
        <v>9743.0390619999998</v>
      </c>
      <c r="V74">
        <v>9976.0107420000004</v>
      </c>
      <c r="W74">
        <v>10211.860352</v>
      </c>
      <c r="X74">
        <v>10455.139648</v>
      </c>
      <c r="Y74">
        <v>10701.038086</v>
      </c>
      <c r="Z74">
        <v>10947.060546999999</v>
      </c>
      <c r="AA74">
        <v>11195.721680000001</v>
      </c>
      <c r="AB74">
        <v>11446.907227</v>
      </c>
      <c r="AC74">
        <v>11708.855469</v>
      </c>
      <c r="AD74">
        <v>11977.269531</v>
      </c>
      <c r="AE74">
        <v>12246.559569999999</v>
      </c>
      <c r="AF74">
        <v>12518.560546999999</v>
      </c>
      <c r="AG74" s="144">
        <v>2.4E-2</v>
      </c>
    </row>
    <row r="75" spans="1:33">
      <c r="A75" t="s">
        <v>1195</v>
      </c>
    </row>
    <row r="76" spans="1:33" s="285" customFormat="1">
      <c r="A76" s="285" t="s">
        <v>195</v>
      </c>
      <c r="B76" s="285" t="s">
        <v>3293</v>
      </c>
      <c r="C76" s="285" t="s">
        <v>3292</v>
      </c>
      <c r="D76" s="285" t="s">
        <v>2349</v>
      </c>
      <c r="F76" s="285">
        <v>6646.0996089999999</v>
      </c>
      <c r="G76" s="285">
        <v>6787.3227539999998</v>
      </c>
      <c r="H76" s="285">
        <v>6959.5649409999996</v>
      </c>
      <c r="I76" s="285">
        <v>7119.3955079999996</v>
      </c>
      <c r="J76" s="285">
        <v>7251.236328</v>
      </c>
      <c r="K76" s="285">
        <v>7393.5234380000002</v>
      </c>
      <c r="L76" s="285">
        <v>7517.5341799999997</v>
      </c>
      <c r="M76" s="285">
        <v>7618.9179690000001</v>
      </c>
      <c r="N76" s="285">
        <v>7737.2568359999996</v>
      </c>
      <c r="O76" s="285">
        <v>7864.2241210000002</v>
      </c>
      <c r="P76" s="285">
        <v>7986.0410160000001</v>
      </c>
      <c r="Q76" s="285">
        <v>8120.8369140000004</v>
      </c>
      <c r="R76" s="285">
        <v>8258.1699219999991</v>
      </c>
      <c r="S76" s="285">
        <v>8404.5097659999992</v>
      </c>
      <c r="T76" s="285">
        <v>8562.2236329999996</v>
      </c>
      <c r="U76" s="285">
        <v>8720.0830079999996</v>
      </c>
      <c r="V76" s="285">
        <v>8877.8691409999992</v>
      </c>
      <c r="W76" s="285">
        <v>9032.5605469999991</v>
      </c>
      <c r="X76" s="285">
        <v>9200.7851559999999</v>
      </c>
      <c r="Y76" s="285">
        <v>9365.0214840000008</v>
      </c>
      <c r="Z76" s="285">
        <v>9517.4570309999999</v>
      </c>
      <c r="AA76" s="285">
        <v>9666.5917969999991</v>
      </c>
      <c r="AB76" s="285">
        <v>9812.8144530000009</v>
      </c>
      <c r="AC76" s="285">
        <v>9985.6748050000006</v>
      </c>
      <c r="AD76" s="285">
        <v>10170.505859000001</v>
      </c>
      <c r="AE76" s="285">
        <v>10346.943359000001</v>
      </c>
      <c r="AF76" s="285">
        <v>10520.594727</v>
      </c>
      <c r="AG76" s="286">
        <v>1.7999999999999999E-2</v>
      </c>
    </row>
    <row r="77" spans="1:33">
      <c r="A77" t="s">
        <v>2420</v>
      </c>
      <c r="B77" t="s">
        <v>3291</v>
      </c>
      <c r="C77" t="s">
        <v>3290</v>
      </c>
      <c r="D77" t="s">
        <v>2349</v>
      </c>
      <c r="F77">
        <v>4174.904297</v>
      </c>
      <c r="G77">
        <v>4262.7963870000003</v>
      </c>
      <c r="H77">
        <v>4370.376953</v>
      </c>
      <c r="I77">
        <v>4470.1127930000002</v>
      </c>
      <c r="J77">
        <v>4552.0737300000001</v>
      </c>
      <c r="K77">
        <v>4640.6098629999997</v>
      </c>
      <c r="L77">
        <v>4717.626953</v>
      </c>
      <c r="M77">
        <v>4780.296875</v>
      </c>
      <c r="N77">
        <v>4853.6816410000001</v>
      </c>
      <c r="O77">
        <v>4932.5058589999999</v>
      </c>
      <c r="P77">
        <v>5008.0463870000003</v>
      </c>
      <c r="Q77">
        <v>5091.7778319999998</v>
      </c>
      <c r="R77">
        <v>5177.0903319999998</v>
      </c>
      <c r="S77">
        <v>5268.0747069999998</v>
      </c>
      <c r="T77">
        <v>5366.2231449999999</v>
      </c>
      <c r="U77">
        <v>5464.4340819999998</v>
      </c>
      <c r="V77">
        <v>5562.5566410000001</v>
      </c>
      <c r="W77">
        <v>5658.6850590000004</v>
      </c>
      <c r="X77">
        <v>5763.3344729999999</v>
      </c>
      <c r="Y77">
        <v>5865.423828</v>
      </c>
      <c r="Z77">
        <v>5960.0146480000003</v>
      </c>
      <c r="AA77">
        <v>6052.4819340000004</v>
      </c>
      <c r="AB77">
        <v>6143.0708009999998</v>
      </c>
      <c r="AC77">
        <v>6250.4526370000003</v>
      </c>
      <c r="AD77">
        <v>6365.3525390000004</v>
      </c>
      <c r="AE77">
        <v>6474.9052730000003</v>
      </c>
      <c r="AF77">
        <v>6582.6523440000001</v>
      </c>
      <c r="AG77" s="144">
        <v>1.7999999999999999E-2</v>
      </c>
    </row>
    <row r="78" spans="1:33">
      <c r="A78" t="s">
        <v>2417</v>
      </c>
      <c r="B78" t="s">
        <v>3289</v>
      </c>
      <c r="C78" t="s">
        <v>3288</v>
      </c>
      <c r="D78" t="s">
        <v>2349</v>
      </c>
      <c r="F78">
        <v>645.47790499999996</v>
      </c>
      <c r="G78">
        <v>661.09020999999996</v>
      </c>
      <c r="H78">
        <v>679.25140399999998</v>
      </c>
      <c r="I78">
        <v>696.31500200000005</v>
      </c>
      <c r="J78">
        <v>711.10754399999996</v>
      </c>
      <c r="K78">
        <v>726.88391100000001</v>
      </c>
      <c r="L78">
        <v>740.97393799999998</v>
      </c>
      <c r="M78">
        <v>753.17523200000005</v>
      </c>
      <c r="N78">
        <v>766.87542699999995</v>
      </c>
      <c r="O78">
        <v>781.36987299999998</v>
      </c>
      <c r="P78">
        <v>795.47552499999995</v>
      </c>
      <c r="Q78">
        <v>810.75238000000002</v>
      </c>
      <c r="R78">
        <v>826.30658000000005</v>
      </c>
      <c r="S78">
        <v>842.70465100000001</v>
      </c>
      <c r="T78">
        <v>860.15942399999994</v>
      </c>
      <c r="U78">
        <v>877.69744900000001</v>
      </c>
      <c r="V78">
        <v>895.32641599999999</v>
      </c>
      <c r="W78">
        <v>912.76916500000004</v>
      </c>
      <c r="X78">
        <v>931.48254399999996</v>
      </c>
      <c r="Y78">
        <v>949.93524200000002</v>
      </c>
      <c r="Z78">
        <v>967.43890399999998</v>
      </c>
      <c r="AA78">
        <v>984.73907499999996</v>
      </c>
      <c r="AB78">
        <v>1001.868652</v>
      </c>
      <c r="AC78">
        <v>1021.448547</v>
      </c>
      <c r="AD78">
        <v>1042.192139</v>
      </c>
      <c r="AE78">
        <v>1062.295654</v>
      </c>
      <c r="AF78">
        <v>1082.2570800000001</v>
      </c>
      <c r="AG78" s="144">
        <v>0.02</v>
      </c>
    </row>
    <row r="79" spans="1:33">
      <c r="A79" t="s">
        <v>2414</v>
      </c>
      <c r="B79" t="s">
        <v>3287</v>
      </c>
      <c r="C79" t="s">
        <v>3286</v>
      </c>
      <c r="D79" t="s">
        <v>2349</v>
      </c>
      <c r="F79">
        <v>1825.717163</v>
      </c>
      <c r="G79">
        <v>1863.4360349999999</v>
      </c>
      <c r="H79">
        <v>1909.9364009999999</v>
      </c>
      <c r="I79">
        <v>1952.9678960000001</v>
      </c>
      <c r="J79">
        <v>1988.054932</v>
      </c>
      <c r="K79">
        <v>2026.030029</v>
      </c>
      <c r="L79">
        <v>2058.9328609999998</v>
      </c>
      <c r="M79">
        <v>2085.4458009999998</v>
      </c>
      <c r="N79">
        <v>2116.6997070000002</v>
      </c>
      <c r="O79">
        <v>2150.3481449999999</v>
      </c>
      <c r="P79">
        <v>2182.5187989999999</v>
      </c>
      <c r="Q79">
        <v>2218.3066410000001</v>
      </c>
      <c r="R79">
        <v>2254.7727049999999</v>
      </c>
      <c r="S79">
        <v>2293.7307129999999</v>
      </c>
      <c r="T79">
        <v>2335.8408199999999</v>
      </c>
      <c r="U79">
        <v>2377.9516600000002</v>
      </c>
      <c r="V79">
        <v>2419.9865719999998</v>
      </c>
      <c r="W79">
        <v>2461.1062010000001</v>
      </c>
      <c r="X79">
        <v>2505.9685060000002</v>
      </c>
      <c r="Y79">
        <v>2549.6628420000002</v>
      </c>
      <c r="Z79">
        <v>2590.0036620000001</v>
      </c>
      <c r="AA79">
        <v>2629.3708499999998</v>
      </c>
      <c r="AB79">
        <v>2667.875</v>
      </c>
      <c r="AC79">
        <v>2713.773682</v>
      </c>
      <c r="AD79">
        <v>2762.9604490000002</v>
      </c>
      <c r="AE79">
        <v>2809.741943</v>
      </c>
      <c r="AF79">
        <v>2855.6853030000002</v>
      </c>
      <c r="AG79" s="144">
        <v>1.7000000000000001E-2</v>
      </c>
    </row>
    <row r="80" spans="1:33">
      <c r="A80" t="s">
        <v>196</v>
      </c>
      <c r="B80" t="s">
        <v>3285</v>
      </c>
      <c r="C80" t="s">
        <v>3284</v>
      </c>
      <c r="D80" t="s">
        <v>2349</v>
      </c>
      <c r="F80">
        <v>873.66583300000002</v>
      </c>
      <c r="G80">
        <v>891.78436299999998</v>
      </c>
      <c r="H80">
        <v>910.15338099999997</v>
      </c>
      <c r="I80">
        <v>928.56018100000006</v>
      </c>
      <c r="J80">
        <v>949.76843299999996</v>
      </c>
      <c r="K80">
        <v>971.30712900000003</v>
      </c>
      <c r="L80">
        <v>992.353027</v>
      </c>
      <c r="M80">
        <v>1013.638794</v>
      </c>
      <c r="N80">
        <v>1035.1469729999999</v>
      </c>
      <c r="O80">
        <v>1057.0162350000001</v>
      </c>
      <c r="P80">
        <v>1079.2329099999999</v>
      </c>
      <c r="Q80">
        <v>1101.7897949999999</v>
      </c>
      <c r="R80">
        <v>1124.6567379999999</v>
      </c>
      <c r="S80">
        <v>1147.823486</v>
      </c>
      <c r="T80">
        <v>1171.287842</v>
      </c>
      <c r="U80">
        <v>1195.1176760000001</v>
      </c>
      <c r="V80">
        <v>1219.2851559999999</v>
      </c>
      <c r="W80">
        <v>1243.8454589999999</v>
      </c>
      <c r="X80">
        <v>1268.788452</v>
      </c>
      <c r="Y80">
        <v>1294.0976559999999</v>
      </c>
      <c r="Z80">
        <v>1319.7375489999999</v>
      </c>
      <c r="AA80">
        <v>1345.668091</v>
      </c>
      <c r="AB80">
        <v>1371.966064</v>
      </c>
      <c r="AC80">
        <v>1398.669678</v>
      </c>
      <c r="AD80">
        <v>1425.7543949999999</v>
      </c>
      <c r="AE80">
        <v>1453.2493899999999</v>
      </c>
      <c r="AF80">
        <v>1481.09375</v>
      </c>
      <c r="AG80" s="144">
        <v>2.1000000000000001E-2</v>
      </c>
    </row>
    <row r="81" spans="1:33">
      <c r="A81" t="s">
        <v>2420</v>
      </c>
      <c r="B81" t="s">
        <v>3283</v>
      </c>
      <c r="C81" t="s">
        <v>3282</v>
      </c>
      <c r="D81" t="s">
        <v>2349</v>
      </c>
      <c r="F81">
        <v>388.28045700000001</v>
      </c>
      <c r="G81">
        <v>395.81970200000001</v>
      </c>
      <c r="H81">
        <v>403.58761600000003</v>
      </c>
      <c r="I81">
        <v>411.37411500000002</v>
      </c>
      <c r="J81">
        <v>420.323914</v>
      </c>
      <c r="K81">
        <v>429.40133700000001</v>
      </c>
      <c r="L81">
        <v>438.25646999999998</v>
      </c>
      <c r="M81">
        <v>447.19250499999998</v>
      </c>
      <c r="N81">
        <v>456.20300300000002</v>
      </c>
      <c r="O81">
        <v>465.36080900000002</v>
      </c>
      <c r="P81">
        <v>474.65741000000003</v>
      </c>
      <c r="Q81">
        <v>484.08724999999998</v>
      </c>
      <c r="R81">
        <v>493.63400300000001</v>
      </c>
      <c r="S81">
        <v>503.29434199999997</v>
      </c>
      <c r="T81">
        <v>513.06664999999998</v>
      </c>
      <c r="U81">
        <v>522.98474099999999</v>
      </c>
      <c r="V81">
        <v>533.03192100000001</v>
      </c>
      <c r="W81">
        <v>543.23498500000005</v>
      </c>
      <c r="X81">
        <v>553.58752400000003</v>
      </c>
      <c r="Y81">
        <v>564.07885699999997</v>
      </c>
      <c r="Z81">
        <v>574.69018600000004</v>
      </c>
      <c r="AA81">
        <v>585.40100099999995</v>
      </c>
      <c r="AB81">
        <v>596.24981700000001</v>
      </c>
      <c r="AC81">
        <v>607.25225799999998</v>
      </c>
      <c r="AD81">
        <v>618.39398200000005</v>
      </c>
      <c r="AE81">
        <v>629.68908699999997</v>
      </c>
      <c r="AF81">
        <v>641.10632299999997</v>
      </c>
      <c r="AG81" s="144">
        <v>1.9E-2</v>
      </c>
    </row>
    <row r="82" spans="1:33">
      <c r="A82" t="s">
        <v>2417</v>
      </c>
      <c r="B82" t="s">
        <v>3281</v>
      </c>
      <c r="C82" t="s">
        <v>3280</v>
      </c>
      <c r="D82" t="s">
        <v>2349</v>
      </c>
      <c r="F82">
        <v>140.137665</v>
      </c>
      <c r="G82">
        <v>143.70185900000001</v>
      </c>
      <c r="H82">
        <v>147.15713500000001</v>
      </c>
      <c r="I82">
        <v>150.616165</v>
      </c>
      <c r="J82">
        <v>154.629684</v>
      </c>
      <c r="K82">
        <v>158.720978</v>
      </c>
      <c r="L82">
        <v>162.73741100000001</v>
      </c>
      <c r="M82">
        <v>166.825287</v>
      </c>
      <c r="N82">
        <v>170.98028600000001</v>
      </c>
      <c r="O82">
        <v>175.21014400000001</v>
      </c>
      <c r="P82">
        <v>179.51577800000001</v>
      </c>
      <c r="Q82">
        <v>183.899033</v>
      </c>
      <c r="R82">
        <v>188.35897800000001</v>
      </c>
      <c r="S82">
        <v>192.892166</v>
      </c>
      <c r="T82">
        <v>197.49929800000001</v>
      </c>
      <c r="U82">
        <v>202.18635599999999</v>
      </c>
      <c r="V82">
        <v>206.95463599999999</v>
      </c>
      <c r="W82">
        <v>211.80978400000001</v>
      </c>
      <c r="X82">
        <v>216.753052</v>
      </c>
      <c r="Y82">
        <v>221.78568999999999</v>
      </c>
      <c r="Z82">
        <v>226.906204</v>
      </c>
      <c r="AA82">
        <v>232.11135899999999</v>
      </c>
      <c r="AB82">
        <v>237.40808100000001</v>
      </c>
      <c r="AC82">
        <v>242.80410800000001</v>
      </c>
      <c r="AD82">
        <v>248.300003</v>
      </c>
      <c r="AE82">
        <v>253.89889500000001</v>
      </c>
      <c r="AF82">
        <v>259.59634399999999</v>
      </c>
      <c r="AG82" s="144">
        <v>2.4E-2</v>
      </c>
    </row>
    <row r="83" spans="1:33">
      <c r="A83" t="s">
        <v>2414</v>
      </c>
      <c r="B83" t="s">
        <v>3279</v>
      </c>
      <c r="C83" t="s">
        <v>3278</v>
      </c>
      <c r="D83" t="s">
        <v>2349</v>
      </c>
      <c r="F83">
        <v>345.24774200000002</v>
      </c>
      <c r="G83">
        <v>352.26281699999998</v>
      </c>
      <c r="H83">
        <v>359.40863000000002</v>
      </c>
      <c r="I83">
        <v>366.569885</v>
      </c>
      <c r="J83">
        <v>374.814819</v>
      </c>
      <c r="K83">
        <v>383.184845</v>
      </c>
      <c r="L83">
        <v>391.35916099999997</v>
      </c>
      <c r="M83">
        <v>399.62100199999998</v>
      </c>
      <c r="N83">
        <v>407.96362299999998</v>
      </c>
      <c r="O83">
        <v>416.44528200000002</v>
      </c>
      <c r="P83">
        <v>425.059753</v>
      </c>
      <c r="Q83">
        <v>433.80349699999999</v>
      </c>
      <c r="R83">
        <v>442.66375699999998</v>
      </c>
      <c r="S83">
        <v>451.636932</v>
      </c>
      <c r="T83">
        <v>460.72195399999998</v>
      </c>
      <c r="U83">
        <v>469.946594</v>
      </c>
      <c r="V83">
        <v>479.29861499999998</v>
      </c>
      <c r="W83">
        <v>488.800659</v>
      </c>
      <c r="X83">
        <v>498.44790599999999</v>
      </c>
      <c r="Y83">
        <v>508.23303199999998</v>
      </c>
      <c r="Z83">
        <v>518.14117399999998</v>
      </c>
      <c r="AA83">
        <v>528.15576199999998</v>
      </c>
      <c r="AB83">
        <v>538.30816700000003</v>
      </c>
      <c r="AC83">
        <v>548.61321999999996</v>
      </c>
      <c r="AD83">
        <v>559.06042500000001</v>
      </c>
      <c r="AE83">
        <v>569.66137700000002</v>
      </c>
      <c r="AF83">
        <v>580.39117399999998</v>
      </c>
      <c r="AG83" s="144">
        <v>0.02</v>
      </c>
    </row>
    <row r="84" spans="1:33">
      <c r="A84" t="s">
        <v>2403</v>
      </c>
      <c r="B84" t="s">
        <v>3277</v>
      </c>
      <c r="C84" t="s">
        <v>3276</v>
      </c>
      <c r="D84" t="s">
        <v>2349</v>
      </c>
      <c r="F84">
        <v>477.24743699999999</v>
      </c>
      <c r="G84">
        <v>494.50125100000002</v>
      </c>
      <c r="H84">
        <v>512.91980000000001</v>
      </c>
      <c r="I84">
        <v>531.68072500000005</v>
      </c>
      <c r="J84">
        <v>550.67419400000006</v>
      </c>
      <c r="K84">
        <v>570.08154300000001</v>
      </c>
      <c r="L84">
        <v>589.48266599999999</v>
      </c>
      <c r="M84">
        <v>609.387024</v>
      </c>
      <c r="N84">
        <v>629.84228499999995</v>
      </c>
      <c r="O84">
        <v>650.87640399999998</v>
      </c>
      <c r="P84">
        <v>672.48498500000005</v>
      </c>
      <c r="Q84">
        <v>694.68237299999998</v>
      </c>
      <c r="R84">
        <v>717.48205600000006</v>
      </c>
      <c r="S84">
        <v>740.897156</v>
      </c>
      <c r="T84">
        <v>764.94177200000001</v>
      </c>
      <c r="U84">
        <v>789.60064699999998</v>
      </c>
      <c r="V84">
        <v>814.86499000000003</v>
      </c>
      <c r="W84">
        <v>840.77056900000002</v>
      </c>
      <c r="X84">
        <v>867.32354699999996</v>
      </c>
      <c r="Y84">
        <v>894.52117899999996</v>
      </c>
      <c r="Z84">
        <v>922.38354500000003</v>
      </c>
      <c r="AA84">
        <v>950.91961700000002</v>
      </c>
      <c r="AB84">
        <v>980.12652600000001</v>
      </c>
      <c r="AC84">
        <v>1010.014404</v>
      </c>
      <c r="AD84">
        <v>1040.612183</v>
      </c>
      <c r="AE84">
        <v>1071.919312</v>
      </c>
      <c r="AF84">
        <v>1103.9406739999999</v>
      </c>
      <c r="AG84" s="144">
        <v>3.3000000000000002E-2</v>
      </c>
    </row>
    <row r="85" spans="1:33">
      <c r="A85" t="s">
        <v>2420</v>
      </c>
      <c r="B85" t="s">
        <v>3275</v>
      </c>
      <c r="C85" t="s">
        <v>3274</v>
      </c>
      <c r="D85" t="s">
        <v>2349</v>
      </c>
      <c r="F85">
        <v>341.38211100000001</v>
      </c>
      <c r="G85">
        <v>353.66058299999997</v>
      </c>
      <c r="H85">
        <v>366.75616500000001</v>
      </c>
      <c r="I85">
        <v>380.09472699999998</v>
      </c>
      <c r="J85">
        <v>393.60021999999998</v>
      </c>
      <c r="K85">
        <v>407.398865</v>
      </c>
      <c r="L85">
        <v>421.18429600000002</v>
      </c>
      <c r="M85">
        <v>435.32351699999998</v>
      </c>
      <c r="N85">
        <v>449.84979199999998</v>
      </c>
      <c r="O85">
        <v>464.782532</v>
      </c>
      <c r="P85">
        <v>480.11825599999997</v>
      </c>
      <c r="Q85">
        <v>495.86697400000003</v>
      </c>
      <c r="R85">
        <v>512.03802499999995</v>
      </c>
      <c r="S85">
        <v>528.640625</v>
      </c>
      <c r="T85">
        <v>545.68444799999997</v>
      </c>
      <c r="U85">
        <v>563.15826400000003</v>
      </c>
      <c r="V85">
        <v>581.05639599999995</v>
      </c>
      <c r="W85">
        <v>599.40368699999999</v>
      </c>
      <c r="X85">
        <v>618.20422399999995</v>
      </c>
      <c r="Y85">
        <v>637.45556599999998</v>
      </c>
      <c r="Z85">
        <v>657.17175299999997</v>
      </c>
      <c r="AA85">
        <v>677.35888699999998</v>
      </c>
      <c r="AB85">
        <v>698.01440400000001</v>
      </c>
      <c r="AC85">
        <v>719.145264</v>
      </c>
      <c r="AD85">
        <v>740.77179000000001</v>
      </c>
      <c r="AE85">
        <v>762.89318800000001</v>
      </c>
      <c r="AF85">
        <v>785.51245100000006</v>
      </c>
      <c r="AG85" s="144">
        <v>3.3000000000000002E-2</v>
      </c>
    </row>
    <row r="86" spans="1:33">
      <c r="A86" t="s">
        <v>2417</v>
      </c>
      <c r="B86" t="s">
        <v>3273</v>
      </c>
      <c r="C86" t="s">
        <v>3272</v>
      </c>
      <c r="D86" t="s">
        <v>2349</v>
      </c>
      <c r="F86">
        <v>26.209848000000001</v>
      </c>
      <c r="G86">
        <v>27.106580999999998</v>
      </c>
      <c r="H86">
        <v>28.051791999999999</v>
      </c>
      <c r="I86">
        <v>29.014188999999998</v>
      </c>
      <c r="J86">
        <v>29.989713999999999</v>
      </c>
      <c r="K86">
        <v>30.985434000000001</v>
      </c>
      <c r="L86">
        <v>31.973666999999999</v>
      </c>
      <c r="M86">
        <v>32.984386000000001</v>
      </c>
      <c r="N86">
        <v>34.019489</v>
      </c>
      <c r="O86">
        <v>35.080032000000003</v>
      </c>
      <c r="P86">
        <v>36.165481999999997</v>
      </c>
      <c r="Q86">
        <v>37.276417000000002</v>
      </c>
      <c r="R86">
        <v>38.413367999999998</v>
      </c>
      <c r="S86">
        <v>39.576819999999998</v>
      </c>
      <c r="T86">
        <v>40.767315000000004</v>
      </c>
      <c r="U86">
        <v>41.983589000000002</v>
      </c>
      <c r="V86">
        <v>43.225822000000001</v>
      </c>
      <c r="W86">
        <v>44.495334999999997</v>
      </c>
      <c r="X86">
        <v>45.792141000000001</v>
      </c>
      <c r="Y86">
        <v>47.115710999999997</v>
      </c>
      <c r="Z86">
        <v>48.466942000000003</v>
      </c>
      <c r="AA86">
        <v>49.845959000000001</v>
      </c>
      <c r="AB86">
        <v>51.252251000000001</v>
      </c>
      <c r="AC86">
        <v>52.686073</v>
      </c>
      <c r="AD86">
        <v>54.148758000000001</v>
      </c>
      <c r="AE86">
        <v>55.639907999999998</v>
      </c>
      <c r="AF86">
        <v>57.159416</v>
      </c>
      <c r="AG86" s="144">
        <v>0.03</v>
      </c>
    </row>
    <row r="87" spans="1:33">
      <c r="A87" t="s">
        <v>2414</v>
      </c>
      <c r="B87" t="s">
        <v>3271</v>
      </c>
      <c r="C87" t="s">
        <v>3270</v>
      </c>
      <c r="D87" t="s">
        <v>2349</v>
      </c>
      <c r="F87">
        <v>109.655502</v>
      </c>
      <c r="G87">
        <v>113.734093</v>
      </c>
      <c r="H87">
        <v>118.11187</v>
      </c>
      <c r="I87">
        <v>122.571808</v>
      </c>
      <c r="J87">
        <v>127.08422899999999</v>
      </c>
      <c r="K87">
        <v>131.69725</v>
      </c>
      <c r="L87">
        <v>136.32472200000001</v>
      </c>
      <c r="M87">
        <v>141.079117</v>
      </c>
      <c r="N87">
        <v>145.972992</v>
      </c>
      <c r="O87">
        <v>151.01383999999999</v>
      </c>
      <c r="P87">
        <v>156.20126300000001</v>
      </c>
      <c r="Q87">
        <v>161.53900100000001</v>
      </c>
      <c r="R87">
        <v>167.030655</v>
      </c>
      <c r="S87">
        <v>172.679688</v>
      </c>
      <c r="T87">
        <v>178.48996</v>
      </c>
      <c r="U87">
        <v>184.458786</v>
      </c>
      <c r="V87">
        <v>190.58279400000001</v>
      </c>
      <c r="W87">
        <v>196.87150600000001</v>
      </c>
      <c r="X87">
        <v>203.327225</v>
      </c>
      <c r="Y87">
        <v>209.94989000000001</v>
      </c>
      <c r="Z87">
        <v>216.744843</v>
      </c>
      <c r="AA87">
        <v>223.714798</v>
      </c>
      <c r="AB87">
        <v>230.85987900000001</v>
      </c>
      <c r="AC87">
        <v>238.18306000000001</v>
      </c>
      <c r="AD87">
        <v>245.69163499999999</v>
      </c>
      <c r="AE87">
        <v>253.386246</v>
      </c>
      <c r="AF87">
        <v>261.268799</v>
      </c>
      <c r="AG87" s="144">
        <v>3.4000000000000002E-2</v>
      </c>
    </row>
    <row r="88" spans="1:33">
      <c r="A88" t="s">
        <v>2400</v>
      </c>
      <c r="B88" t="s">
        <v>3269</v>
      </c>
      <c r="C88" t="s">
        <v>3268</v>
      </c>
      <c r="D88" t="s">
        <v>2349</v>
      </c>
      <c r="F88">
        <v>6213.0410160000001</v>
      </c>
      <c r="G88">
        <v>6338.5805659999996</v>
      </c>
      <c r="H88">
        <v>6479.0522460000002</v>
      </c>
      <c r="I88">
        <v>6621.1694340000004</v>
      </c>
      <c r="J88">
        <v>6764.921875</v>
      </c>
      <c r="K88">
        <v>6910.3466799999997</v>
      </c>
      <c r="L88">
        <v>7050.453125</v>
      </c>
      <c r="M88">
        <v>7191.7587890000004</v>
      </c>
      <c r="N88">
        <v>7334.7353519999997</v>
      </c>
      <c r="O88">
        <v>7480.169922</v>
      </c>
      <c r="P88">
        <v>7628.3222660000001</v>
      </c>
      <c r="Q88">
        <v>7778.9877930000002</v>
      </c>
      <c r="R88">
        <v>7932.435547</v>
      </c>
      <c r="S88">
        <v>8088.3432620000003</v>
      </c>
      <c r="T88">
        <v>8246.4462889999995</v>
      </c>
      <c r="U88">
        <v>8406.9150389999995</v>
      </c>
      <c r="V88">
        <v>8569.7373050000006</v>
      </c>
      <c r="W88">
        <v>8734.8417969999991</v>
      </c>
      <c r="X88">
        <v>8902.4111329999996</v>
      </c>
      <c r="Y88">
        <v>9072.3359380000002</v>
      </c>
      <c r="Z88">
        <v>9244.4511719999991</v>
      </c>
      <c r="AA88">
        <v>9418.6425780000009</v>
      </c>
      <c r="AB88">
        <v>9595.0761719999991</v>
      </c>
      <c r="AC88">
        <v>9773.7255860000005</v>
      </c>
      <c r="AD88">
        <v>9954.4550780000009</v>
      </c>
      <c r="AE88">
        <v>10137.353515999999</v>
      </c>
      <c r="AF88">
        <v>10322.505859000001</v>
      </c>
      <c r="AG88" s="144">
        <v>0.02</v>
      </c>
    </row>
    <row r="89" spans="1:33">
      <c r="A89" t="s">
        <v>2420</v>
      </c>
      <c r="B89" t="s">
        <v>3267</v>
      </c>
      <c r="C89" t="s">
        <v>3266</v>
      </c>
      <c r="D89" t="s">
        <v>2349</v>
      </c>
      <c r="F89">
        <v>3767.4094239999999</v>
      </c>
      <c r="G89">
        <v>3848.406982</v>
      </c>
      <c r="H89">
        <v>3935.2680660000001</v>
      </c>
      <c r="I89">
        <v>4023.1755370000001</v>
      </c>
      <c r="J89">
        <v>4112.0893550000001</v>
      </c>
      <c r="K89">
        <v>4201.9921880000002</v>
      </c>
      <c r="L89">
        <v>4288.6298829999996</v>
      </c>
      <c r="M89">
        <v>4375.9555659999996</v>
      </c>
      <c r="N89">
        <v>4464.2905270000001</v>
      </c>
      <c r="O89">
        <v>4554.1630859999996</v>
      </c>
      <c r="P89">
        <v>4645.734375</v>
      </c>
      <c r="Q89">
        <v>4738.8774409999996</v>
      </c>
      <c r="R89">
        <v>4833.7768550000001</v>
      </c>
      <c r="S89">
        <v>4930.21875</v>
      </c>
      <c r="T89">
        <v>5028.0346680000002</v>
      </c>
      <c r="U89">
        <v>5127.3413090000004</v>
      </c>
      <c r="V89">
        <v>5228.1337890000004</v>
      </c>
      <c r="W89">
        <v>5330.3662109999996</v>
      </c>
      <c r="X89">
        <v>5434.1630859999996</v>
      </c>
      <c r="Y89">
        <v>5539.4575199999999</v>
      </c>
      <c r="Z89">
        <v>5646.1411129999997</v>
      </c>
      <c r="AA89">
        <v>5754.1420900000003</v>
      </c>
      <c r="AB89">
        <v>5863.5727539999998</v>
      </c>
      <c r="AC89">
        <v>5974.4174800000001</v>
      </c>
      <c r="AD89">
        <v>6086.5996089999999</v>
      </c>
      <c r="AE89">
        <v>6200.1870120000003</v>
      </c>
      <c r="AF89">
        <v>6315.2402339999999</v>
      </c>
      <c r="AG89" s="144">
        <v>0.02</v>
      </c>
    </row>
    <row r="90" spans="1:33">
      <c r="A90" t="s">
        <v>2417</v>
      </c>
      <c r="B90" t="s">
        <v>3265</v>
      </c>
      <c r="C90" t="s">
        <v>3264</v>
      </c>
      <c r="D90" t="s">
        <v>2349</v>
      </c>
      <c r="F90">
        <v>1117.0908199999999</v>
      </c>
      <c r="G90">
        <v>1131.977539</v>
      </c>
      <c r="H90">
        <v>1154.5444339999999</v>
      </c>
      <c r="I90">
        <v>1177.3298339999999</v>
      </c>
      <c r="J90">
        <v>1200.385254</v>
      </c>
      <c r="K90">
        <v>1223.781616</v>
      </c>
      <c r="L90">
        <v>1246.2851559999999</v>
      </c>
      <c r="M90">
        <v>1269.0679929999999</v>
      </c>
      <c r="N90">
        <v>1292.1572269999999</v>
      </c>
      <c r="O90">
        <v>1315.6132809999999</v>
      </c>
      <c r="P90">
        <v>1339.4765620000001</v>
      </c>
      <c r="Q90">
        <v>1363.7155760000001</v>
      </c>
      <c r="R90">
        <v>1388.3431399999999</v>
      </c>
      <c r="S90">
        <v>1413.333496</v>
      </c>
      <c r="T90">
        <v>1438.649048</v>
      </c>
      <c r="U90">
        <v>1464.299072</v>
      </c>
      <c r="V90">
        <v>1490.279663</v>
      </c>
      <c r="W90">
        <v>1516.580078</v>
      </c>
      <c r="X90">
        <v>1543.212769</v>
      </c>
      <c r="Y90">
        <v>1570.1583250000001</v>
      </c>
      <c r="Z90">
        <v>1597.3999020000001</v>
      </c>
      <c r="AA90">
        <v>1624.920654</v>
      </c>
      <c r="AB90">
        <v>1652.734009</v>
      </c>
      <c r="AC90">
        <v>1680.8321530000001</v>
      </c>
      <c r="AD90">
        <v>1709.181519</v>
      </c>
      <c r="AE90">
        <v>1737.778442</v>
      </c>
      <c r="AF90">
        <v>1766.621948</v>
      </c>
      <c r="AG90" s="144">
        <v>1.7999999999999999E-2</v>
      </c>
    </row>
    <row r="91" spans="1:33">
      <c r="A91" t="s">
        <v>2414</v>
      </c>
      <c r="B91" t="s">
        <v>3263</v>
      </c>
      <c r="C91" t="s">
        <v>3262</v>
      </c>
      <c r="D91" t="s">
        <v>2349</v>
      </c>
      <c r="F91">
        <v>1328.541138</v>
      </c>
      <c r="G91">
        <v>1358.1958010000001</v>
      </c>
      <c r="H91">
        <v>1389.239624</v>
      </c>
      <c r="I91">
        <v>1420.6640620000001</v>
      </c>
      <c r="J91">
        <v>1452.4472659999999</v>
      </c>
      <c r="K91">
        <v>1484.572754</v>
      </c>
      <c r="L91">
        <v>1515.5383300000001</v>
      </c>
      <c r="M91">
        <v>1546.7353519999999</v>
      </c>
      <c r="N91">
        <v>1578.2873540000001</v>
      </c>
      <c r="O91">
        <v>1610.3935550000001</v>
      </c>
      <c r="P91">
        <v>1643.1110839999999</v>
      </c>
      <c r="Q91">
        <v>1676.3948969999999</v>
      </c>
      <c r="R91">
        <v>1710.3154300000001</v>
      </c>
      <c r="S91">
        <v>1744.7910159999999</v>
      </c>
      <c r="T91">
        <v>1779.762817</v>
      </c>
      <c r="U91">
        <v>1815.2742920000001</v>
      </c>
      <c r="V91">
        <v>1851.3238530000001</v>
      </c>
      <c r="W91">
        <v>1887.8950199999999</v>
      </c>
      <c r="X91">
        <v>1925.0351559999999</v>
      </c>
      <c r="Y91">
        <v>1962.7202150000001</v>
      </c>
      <c r="Z91">
        <v>2000.9104</v>
      </c>
      <c r="AA91">
        <v>2039.5795900000001</v>
      </c>
      <c r="AB91">
        <v>2078.7695309999999</v>
      </c>
      <c r="AC91">
        <v>2118.4760740000002</v>
      </c>
      <c r="AD91">
        <v>2158.6735840000001</v>
      </c>
      <c r="AE91">
        <v>2199.3876949999999</v>
      </c>
      <c r="AF91">
        <v>2240.6430660000001</v>
      </c>
      <c r="AG91" s="144">
        <v>0.02</v>
      </c>
    </row>
    <row r="92" spans="1:33">
      <c r="A92" t="s">
        <v>2397</v>
      </c>
      <c r="B92" t="s">
        <v>3261</v>
      </c>
      <c r="C92" t="s">
        <v>3260</v>
      </c>
      <c r="D92" t="s">
        <v>2349</v>
      </c>
      <c r="F92">
        <v>709.74060099999997</v>
      </c>
      <c r="G92">
        <v>708.52966300000003</v>
      </c>
      <c r="H92">
        <v>714.54949999999997</v>
      </c>
      <c r="I92">
        <v>720.48950200000002</v>
      </c>
      <c r="J92">
        <v>725.08483899999999</v>
      </c>
      <c r="K92">
        <v>728.96655299999998</v>
      </c>
      <c r="L92">
        <v>731.64770499999997</v>
      </c>
      <c r="M92">
        <v>733.57513400000005</v>
      </c>
      <c r="N92">
        <v>735.29760699999997</v>
      </c>
      <c r="O92">
        <v>736.707764</v>
      </c>
      <c r="P92">
        <v>737.601135</v>
      </c>
      <c r="Q92">
        <v>738.04742399999998</v>
      </c>
      <c r="R92">
        <v>738.13983199999996</v>
      </c>
      <c r="S92">
        <v>738.12304700000004</v>
      </c>
      <c r="T92">
        <v>737.996399</v>
      </c>
      <c r="U92">
        <v>737.733521</v>
      </c>
      <c r="V92">
        <v>737.57904099999996</v>
      </c>
      <c r="W92">
        <v>737.62487799999997</v>
      </c>
      <c r="X92">
        <v>737.88207999999997</v>
      </c>
      <c r="Y92">
        <v>738.38250700000003</v>
      </c>
      <c r="Z92">
        <v>739.16394000000003</v>
      </c>
      <c r="AA92">
        <v>740.39819299999999</v>
      </c>
      <c r="AB92">
        <v>742.05383300000005</v>
      </c>
      <c r="AC92">
        <v>744.01300000000003</v>
      </c>
      <c r="AD92">
        <v>746.16009499999996</v>
      </c>
      <c r="AE92">
        <v>748.41131600000006</v>
      </c>
      <c r="AF92">
        <v>750.973389</v>
      </c>
      <c r="AG92" s="144">
        <v>2E-3</v>
      </c>
    </row>
    <row r="93" spans="1:33">
      <c r="A93" t="s">
        <v>2420</v>
      </c>
      <c r="B93" t="s">
        <v>3259</v>
      </c>
      <c r="C93" t="s">
        <v>3258</v>
      </c>
      <c r="D93" t="s">
        <v>2349</v>
      </c>
      <c r="F93">
        <v>253.74243200000001</v>
      </c>
      <c r="G93">
        <v>255.61485300000001</v>
      </c>
      <c r="H93">
        <v>257.60180700000001</v>
      </c>
      <c r="I93">
        <v>259.55560300000002</v>
      </c>
      <c r="J93">
        <v>261.25888099999997</v>
      </c>
      <c r="K93">
        <v>262.82800300000002</v>
      </c>
      <c r="L93">
        <v>264.09204099999999</v>
      </c>
      <c r="M93">
        <v>265.22448700000001</v>
      </c>
      <c r="N93">
        <v>266.32281499999999</v>
      </c>
      <c r="O93">
        <v>267.36895800000002</v>
      </c>
      <c r="P93">
        <v>268.32360799999998</v>
      </c>
      <c r="Q93">
        <v>269.19650300000001</v>
      </c>
      <c r="R93">
        <v>270.00863600000002</v>
      </c>
      <c r="S93">
        <v>270.80575599999997</v>
      </c>
      <c r="T93">
        <v>271.58892800000001</v>
      </c>
      <c r="U93">
        <v>272.35320999999999</v>
      </c>
      <c r="V93">
        <v>273.131958</v>
      </c>
      <c r="W93">
        <v>273.94360399999999</v>
      </c>
      <c r="X93">
        <v>274.79714999999999</v>
      </c>
      <c r="Y93">
        <v>275.70477299999999</v>
      </c>
      <c r="Z93">
        <v>276.669983</v>
      </c>
      <c r="AA93">
        <v>277.72345000000001</v>
      </c>
      <c r="AB93">
        <v>278.86093099999999</v>
      </c>
      <c r="AC93">
        <v>280.06454500000001</v>
      </c>
      <c r="AD93">
        <v>281.31329299999999</v>
      </c>
      <c r="AE93">
        <v>282.58843999999999</v>
      </c>
      <c r="AF93">
        <v>283.92553700000002</v>
      </c>
      <c r="AG93" s="144">
        <v>4.0000000000000001E-3</v>
      </c>
    </row>
    <row r="94" spans="1:33">
      <c r="A94" t="s">
        <v>2417</v>
      </c>
      <c r="B94" t="s">
        <v>3257</v>
      </c>
      <c r="C94" t="s">
        <v>3256</v>
      </c>
      <c r="D94" t="s">
        <v>2349</v>
      </c>
      <c r="F94">
        <v>344.403503</v>
      </c>
      <c r="G94">
        <v>340.225281</v>
      </c>
      <c r="H94">
        <v>343.40197799999999</v>
      </c>
      <c r="I94">
        <v>346.54702800000001</v>
      </c>
      <c r="J94">
        <v>348.68335000000002</v>
      </c>
      <c r="K94">
        <v>350.28613300000001</v>
      </c>
      <c r="L94">
        <v>351.11428799999999</v>
      </c>
      <c r="M94">
        <v>351.36328099999997</v>
      </c>
      <c r="N94">
        <v>351.45224000000002</v>
      </c>
      <c r="O94">
        <v>351.29760700000003</v>
      </c>
      <c r="P94">
        <v>350.74783300000001</v>
      </c>
      <c r="Q94">
        <v>349.860229</v>
      </c>
      <c r="R94">
        <v>348.69921900000003</v>
      </c>
      <c r="S94">
        <v>347.44802900000002</v>
      </c>
      <c r="T94">
        <v>346.104309</v>
      </c>
      <c r="U94">
        <v>344.64840700000002</v>
      </c>
      <c r="V94">
        <v>343.282623</v>
      </c>
      <c r="W94">
        <v>342.07394399999998</v>
      </c>
      <c r="X94">
        <v>341.02001999999999</v>
      </c>
      <c r="Y94">
        <v>340.13497899999999</v>
      </c>
      <c r="Z94">
        <v>339.45257600000002</v>
      </c>
      <c r="AA94">
        <v>339.103882</v>
      </c>
      <c r="AB94">
        <v>339.062836</v>
      </c>
      <c r="AC94">
        <v>339.23468000000003</v>
      </c>
      <c r="AD94">
        <v>339.531769</v>
      </c>
      <c r="AE94">
        <v>339.89614899999998</v>
      </c>
      <c r="AF94">
        <v>340.48757899999998</v>
      </c>
      <c r="AG94" s="144">
        <v>0</v>
      </c>
    </row>
    <row r="95" spans="1:33">
      <c r="A95" t="s">
        <v>2414</v>
      </c>
      <c r="B95" t="s">
        <v>3255</v>
      </c>
      <c r="C95" t="s">
        <v>3254</v>
      </c>
      <c r="D95" t="s">
        <v>2349</v>
      </c>
      <c r="F95">
        <v>111.59465</v>
      </c>
      <c r="G95">
        <v>112.689537</v>
      </c>
      <c r="H95">
        <v>113.545715</v>
      </c>
      <c r="I95">
        <v>114.386826</v>
      </c>
      <c r="J95">
        <v>115.14260899999999</v>
      </c>
      <c r="K95">
        <v>115.85240899999999</v>
      </c>
      <c r="L95">
        <v>116.441383</v>
      </c>
      <c r="M95">
        <v>116.98736599999999</v>
      </c>
      <c r="N95">
        <v>117.522583</v>
      </c>
      <c r="O95">
        <v>118.041206</v>
      </c>
      <c r="P95">
        <v>118.529701</v>
      </c>
      <c r="Q95">
        <v>118.99065400000001</v>
      </c>
      <c r="R95">
        <v>119.431969</v>
      </c>
      <c r="S95">
        <v>119.869232</v>
      </c>
      <c r="T95">
        <v>120.303139</v>
      </c>
      <c r="U95">
        <v>120.731934</v>
      </c>
      <c r="V95">
        <v>121.164467</v>
      </c>
      <c r="W95">
        <v>121.607315</v>
      </c>
      <c r="X95">
        <v>122.064926</v>
      </c>
      <c r="Y95">
        <v>122.542801</v>
      </c>
      <c r="Z95">
        <v>123.041405</v>
      </c>
      <c r="AA95">
        <v>123.570854</v>
      </c>
      <c r="AB95">
        <v>124.13005099999999</v>
      </c>
      <c r="AC95">
        <v>124.713814</v>
      </c>
      <c r="AD95">
        <v>125.31501</v>
      </c>
      <c r="AE95">
        <v>125.926697</v>
      </c>
      <c r="AF95">
        <v>126.560287</v>
      </c>
      <c r="AG95" s="144">
        <v>5.0000000000000001E-3</v>
      </c>
    </row>
    <row r="96" spans="1:33">
      <c r="A96" t="s">
        <v>2394</v>
      </c>
      <c r="B96" t="s">
        <v>3253</v>
      </c>
      <c r="C96" t="s">
        <v>3252</v>
      </c>
      <c r="D96" t="s">
        <v>2349</v>
      </c>
      <c r="F96">
        <v>683.79363999999998</v>
      </c>
      <c r="G96">
        <v>695.05084199999999</v>
      </c>
      <c r="H96">
        <v>715.66961700000002</v>
      </c>
      <c r="I96">
        <v>736.80664100000001</v>
      </c>
      <c r="J96">
        <v>758.44549600000005</v>
      </c>
      <c r="K96">
        <v>779.99688700000002</v>
      </c>
      <c r="L96">
        <v>800.96417199999996</v>
      </c>
      <c r="M96">
        <v>822.23046899999997</v>
      </c>
      <c r="N96">
        <v>843.65625</v>
      </c>
      <c r="O96">
        <v>865.19238299999995</v>
      </c>
      <c r="P96">
        <v>886.89550799999995</v>
      </c>
      <c r="Q96">
        <v>908.52710000000002</v>
      </c>
      <c r="R96">
        <v>930.30590800000004</v>
      </c>
      <c r="S96">
        <v>952.29370100000006</v>
      </c>
      <c r="T96">
        <v>973.95593299999996</v>
      </c>
      <c r="U96">
        <v>995.67529300000001</v>
      </c>
      <c r="V96">
        <v>1017.478027</v>
      </c>
      <c r="W96">
        <v>1039.497314</v>
      </c>
      <c r="X96">
        <v>1061.7270510000001</v>
      </c>
      <c r="Y96">
        <v>1084.171875</v>
      </c>
      <c r="Z96">
        <v>1106.796509</v>
      </c>
      <c r="AA96">
        <v>1129.5717770000001</v>
      </c>
      <c r="AB96">
        <v>1152.4907229999999</v>
      </c>
      <c r="AC96">
        <v>1175.5551760000001</v>
      </c>
      <c r="AD96">
        <v>1198.77478</v>
      </c>
      <c r="AE96">
        <v>1222.1538089999999</v>
      </c>
      <c r="AF96">
        <v>1245.6992190000001</v>
      </c>
      <c r="AG96" s="144">
        <v>2.3E-2</v>
      </c>
    </row>
    <row r="97" spans="1:33">
      <c r="A97" t="s">
        <v>2420</v>
      </c>
      <c r="B97" t="s">
        <v>3251</v>
      </c>
      <c r="C97" t="s">
        <v>3250</v>
      </c>
      <c r="D97" t="s">
        <v>2349</v>
      </c>
      <c r="F97">
        <v>312.69580100000002</v>
      </c>
      <c r="G97">
        <v>318.89495799999997</v>
      </c>
      <c r="H97">
        <v>328.30938700000002</v>
      </c>
      <c r="I97">
        <v>337.94729599999999</v>
      </c>
      <c r="J97">
        <v>347.78903200000002</v>
      </c>
      <c r="K97">
        <v>357.56304899999998</v>
      </c>
      <c r="L97">
        <v>367.05914300000001</v>
      </c>
      <c r="M97">
        <v>376.685699</v>
      </c>
      <c r="N97">
        <v>386.37298600000003</v>
      </c>
      <c r="O97">
        <v>396.09622200000001</v>
      </c>
      <c r="P97">
        <v>405.88326999999998</v>
      </c>
      <c r="Q97">
        <v>415.61413599999997</v>
      </c>
      <c r="R97">
        <v>425.39767499999999</v>
      </c>
      <c r="S97">
        <v>435.26461799999998</v>
      </c>
      <c r="T97">
        <v>444.946594</v>
      </c>
      <c r="U97">
        <v>454.63436899999999</v>
      </c>
      <c r="V97">
        <v>464.34033199999999</v>
      </c>
      <c r="W97">
        <v>474.13070699999997</v>
      </c>
      <c r="X97">
        <v>484.00213600000001</v>
      </c>
      <c r="Y97">
        <v>493.95660400000003</v>
      </c>
      <c r="Z97">
        <v>503.97616599999998</v>
      </c>
      <c r="AA97">
        <v>514.04632600000002</v>
      </c>
      <c r="AB97">
        <v>524.16332999999997</v>
      </c>
      <c r="AC97">
        <v>534.32818599999996</v>
      </c>
      <c r="AD97">
        <v>544.54553199999998</v>
      </c>
      <c r="AE97">
        <v>554.817139</v>
      </c>
      <c r="AF97">
        <v>565.14630099999999</v>
      </c>
      <c r="AG97" s="144">
        <v>2.3E-2</v>
      </c>
    </row>
    <row r="98" spans="1:33">
      <c r="A98" t="s">
        <v>2417</v>
      </c>
      <c r="B98" t="s">
        <v>3249</v>
      </c>
      <c r="C98" t="s">
        <v>3248</v>
      </c>
      <c r="D98" t="s">
        <v>2349</v>
      </c>
      <c r="F98">
        <v>113.68456999999999</v>
      </c>
      <c r="G98">
        <v>112.743156</v>
      </c>
      <c r="H98">
        <v>116.208687</v>
      </c>
      <c r="I98">
        <v>119.796173</v>
      </c>
      <c r="J98">
        <v>123.535049</v>
      </c>
      <c r="K98">
        <v>127.333038</v>
      </c>
      <c r="L98">
        <v>131.06239299999999</v>
      </c>
      <c r="M98">
        <v>134.85815400000001</v>
      </c>
      <c r="N98">
        <v>138.712524</v>
      </c>
      <c r="O98">
        <v>142.62390099999999</v>
      </c>
      <c r="P98">
        <v>146.59622200000001</v>
      </c>
      <c r="Q98">
        <v>150.61882</v>
      </c>
      <c r="R98">
        <v>154.70481899999999</v>
      </c>
      <c r="S98">
        <v>158.85771199999999</v>
      </c>
      <c r="T98">
        <v>163.052109</v>
      </c>
      <c r="U98">
        <v>167.30983000000001</v>
      </c>
      <c r="V98">
        <v>171.63447600000001</v>
      </c>
      <c r="W98">
        <v>176.033661</v>
      </c>
      <c r="X98">
        <v>180.508163</v>
      </c>
      <c r="Y98">
        <v>185.05905200000001</v>
      </c>
      <c r="Z98">
        <v>189.68499800000001</v>
      </c>
      <c r="AA98">
        <v>194.384659</v>
      </c>
      <c r="AB98">
        <v>199.15811199999999</v>
      </c>
      <c r="AC98">
        <v>204.00524899999999</v>
      </c>
      <c r="AD98">
        <v>208.92721599999999</v>
      </c>
      <c r="AE98">
        <v>213.92495700000001</v>
      </c>
      <c r="AF98">
        <v>218.99932899999999</v>
      </c>
      <c r="AG98" s="144">
        <v>2.5999999999999999E-2</v>
      </c>
    </row>
    <row r="99" spans="1:33">
      <c r="A99" t="s">
        <v>2414</v>
      </c>
      <c r="B99" t="s">
        <v>3247</v>
      </c>
      <c r="C99" t="s">
        <v>3246</v>
      </c>
      <c r="D99" t="s">
        <v>2349</v>
      </c>
      <c r="F99">
        <v>257.41326900000001</v>
      </c>
      <c r="G99">
        <v>263.41271999999998</v>
      </c>
      <c r="H99">
        <v>271.15154999999999</v>
      </c>
      <c r="I99">
        <v>279.06314099999997</v>
      </c>
      <c r="J99">
        <v>287.121399</v>
      </c>
      <c r="K99">
        <v>295.10079999999999</v>
      </c>
      <c r="L99">
        <v>302.84265099999999</v>
      </c>
      <c r="M99">
        <v>310.686646</v>
      </c>
      <c r="N99">
        <v>318.57074</v>
      </c>
      <c r="O99">
        <v>326.47226000000001</v>
      </c>
      <c r="P99">
        <v>334.41604599999999</v>
      </c>
      <c r="Q99">
        <v>342.29415899999998</v>
      </c>
      <c r="R99">
        <v>350.20339999999999</v>
      </c>
      <c r="S99">
        <v>358.17138699999998</v>
      </c>
      <c r="T99">
        <v>365.95718399999998</v>
      </c>
      <c r="U99">
        <v>373.73104899999998</v>
      </c>
      <c r="V99">
        <v>381.50323500000002</v>
      </c>
      <c r="W99">
        <v>389.33297700000003</v>
      </c>
      <c r="X99">
        <v>397.21679699999999</v>
      </c>
      <c r="Y99">
        <v>405.15628099999998</v>
      </c>
      <c r="Z99">
        <v>413.13537600000001</v>
      </c>
      <c r="AA99">
        <v>421.14080799999999</v>
      </c>
      <c r="AB99">
        <v>429.16924999999998</v>
      </c>
      <c r="AC99">
        <v>437.22180200000003</v>
      </c>
      <c r="AD99">
        <v>445.30197099999998</v>
      </c>
      <c r="AE99">
        <v>453.41168199999998</v>
      </c>
      <c r="AF99">
        <v>461.55355800000001</v>
      </c>
      <c r="AG99" s="144">
        <v>2.3E-2</v>
      </c>
    </row>
    <row r="100" spans="1:33">
      <c r="A100" t="s">
        <v>2391</v>
      </c>
      <c r="B100" t="s">
        <v>3245</v>
      </c>
      <c r="C100" t="s">
        <v>3244</v>
      </c>
      <c r="D100" t="s">
        <v>2349</v>
      </c>
      <c r="F100">
        <v>398.339111</v>
      </c>
      <c r="G100">
        <v>396.57046500000001</v>
      </c>
      <c r="H100">
        <v>416.788025</v>
      </c>
      <c r="I100">
        <v>436.51669299999998</v>
      </c>
      <c r="J100">
        <v>455.99954200000002</v>
      </c>
      <c r="K100">
        <v>475.52920499999999</v>
      </c>
      <c r="L100">
        <v>494.88790899999998</v>
      </c>
      <c r="M100">
        <v>513.67596400000002</v>
      </c>
      <c r="N100">
        <v>531.80194100000006</v>
      </c>
      <c r="O100">
        <v>549.46105999999997</v>
      </c>
      <c r="P100">
        <v>566.50201400000003</v>
      </c>
      <c r="Q100">
        <v>582.88476600000001</v>
      </c>
      <c r="R100">
        <v>599.30011000000002</v>
      </c>
      <c r="S100">
        <v>614.72997999999995</v>
      </c>
      <c r="T100">
        <v>629.77374299999997</v>
      </c>
      <c r="U100">
        <v>644.14977999999996</v>
      </c>
      <c r="V100">
        <v>658.57238800000005</v>
      </c>
      <c r="W100">
        <v>673.282104</v>
      </c>
      <c r="X100">
        <v>687.52264400000001</v>
      </c>
      <c r="Y100">
        <v>700.77508499999999</v>
      </c>
      <c r="Z100">
        <v>712.33734100000004</v>
      </c>
      <c r="AA100">
        <v>721.61676</v>
      </c>
      <c r="AB100">
        <v>729.25824</v>
      </c>
      <c r="AC100">
        <v>735.97820999999999</v>
      </c>
      <c r="AD100">
        <v>742.63903800000003</v>
      </c>
      <c r="AE100">
        <v>750.01043700000002</v>
      </c>
      <c r="AF100">
        <v>757.75561500000003</v>
      </c>
      <c r="AG100" s="144">
        <v>2.5000000000000001E-2</v>
      </c>
    </row>
    <row r="101" spans="1:33">
      <c r="A101" t="s">
        <v>2420</v>
      </c>
      <c r="B101" t="s">
        <v>3243</v>
      </c>
      <c r="C101" t="s">
        <v>3242</v>
      </c>
      <c r="D101" t="s">
        <v>2349</v>
      </c>
      <c r="F101">
        <v>193.51899700000001</v>
      </c>
      <c r="G101">
        <v>193.64514199999999</v>
      </c>
      <c r="H101">
        <v>202.17877200000001</v>
      </c>
      <c r="I101">
        <v>210.479919</v>
      </c>
      <c r="J101">
        <v>218.65213</v>
      </c>
      <c r="K101">
        <v>226.81691000000001</v>
      </c>
      <c r="L101">
        <v>234.86584500000001</v>
      </c>
      <c r="M101">
        <v>242.659256</v>
      </c>
      <c r="N101">
        <v>250.16037</v>
      </c>
      <c r="O101">
        <v>257.44799799999998</v>
      </c>
      <c r="P101">
        <v>264.46109000000001</v>
      </c>
      <c r="Q101">
        <v>271.18582199999997</v>
      </c>
      <c r="R101">
        <v>277.90310699999998</v>
      </c>
      <c r="S101">
        <v>284.20022599999999</v>
      </c>
      <c r="T101">
        <v>290.32034299999998</v>
      </c>
      <c r="U101">
        <v>296.15152</v>
      </c>
      <c r="V101">
        <v>301.98193400000002</v>
      </c>
      <c r="W101">
        <v>307.908661</v>
      </c>
      <c r="X101">
        <v>313.628784</v>
      </c>
      <c r="Y101">
        <v>318.936035</v>
      </c>
      <c r="Z101">
        <v>323.54580700000002</v>
      </c>
      <c r="AA101">
        <v>327.22174100000001</v>
      </c>
      <c r="AB101">
        <v>330.22659299999998</v>
      </c>
      <c r="AC101">
        <v>332.84396400000003</v>
      </c>
      <c r="AD101">
        <v>335.41717499999999</v>
      </c>
      <c r="AE101">
        <v>338.25473</v>
      </c>
      <c r="AF101">
        <v>341.22134399999999</v>
      </c>
      <c r="AG101" s="144">
        <v>2.1999999999999999E-2</v>
      </c>
    </row>
    <row r="102" spans="1:33">
      <c r="A102" t="s">
        <v>2417</v>
      </c>
      <c r="B102" t="s">
        <v>3241</v>
      </c>
      <c r="C102" t="s">
        <v>3240</v>
      </c>
      <c r="D102" t="s">
        <v>2349</v>
      </c>
      <c r="F102">
        <v>197.908997</v>
      </c>
      <c r="G102">
        <v>195.96637000000001</v>
      </c>
      <c r="H102">
        <v>207.40089399999999</v>
      </c>
      <c r="I102">
        <v>218.58703600000001</v>
      </c>
      <c r="J102">
        <v>229.66137699999999</v>
      </c>
      <c r="K102">
        <v>240.791473</v>
      </c>
      <c r="L102">
        <v>251.871994</v>
      </c>
      <c r="M102">
        <v>262.64562999999998</v>
      </c>
      <c r="N102">
        <v>273.05859400000003</v>
      </c>
      <c r="O102">
        <v>283.22531099999998</v>
      </c>
      <c r="P102">
        <v>293.05706800000002</v>
      </c>
      <c r="Q102">
        <v>302.52792399999998</v>
      </c>
      <c r="R102">
        <v>312.04016100000001</v>
      </c>
      <c r="S102">
        <v>320.99945100000002</v>
      </c>
      <c r="T102">
        <v>329.75561499999998</v>
      </c>
      <c r="U102">
        <v>338.14169299999998</v>
      </c>
      <c r="V102">
        <v>346.57614100000001</v>
      </c>
      <c r="W102">
        <v>355.19992100000002</v>
      </c>
      <c r="X102">
        <v>363.56750499999998</v>
      </c>
      <c r="Y102">
        <v>371.371735</v>
      </c>
      <c r="Z102">
        <v>378.20285000000001</v>
      </c>
      <c r="AA102">
        <v>383.71081500000003</v>
      </c>
      <c r="AB102">
        <v>388.27050800000001</v>
      </c>
      <c r="AC102">
        <v>392.30740400000002</v>
      </c>
      <c r="AD102">
        <v>396.33157299999999</v>
      </c>
      <c r="AE102">
        <v>400.796021</v>
      </c>
      <c r="AF102">
        <v>405.502838</v>
      </c>
      <c r="AG102" s="144">
        <v>2.8000000000000001E-2</v>
      </c>
    </row>
    <row r="103" spans="1:33">
      <c r="A103" t="s">
        <v>2414</v>
      </c>
      <c r="B103" t="s">
        <v>3239</v>
      </c>
      <c r="C103" t="s">
        <v>3238</v>
      </c>
      <c r="D103" t="s">
        <v>2349</v>
      </c>
      <c r="F103">
        <v>6.9111409999999998</v>
      </c>
      <c r="G103">
        <v>6.9589410000000003</v>
      </c>
      <c r="H103">
        <v>7.2083820000000003</v>
      </c>
      <c r="I103">
        <v>7.4497249999999999</v>
      </c>
      <c r="J103">
        <v>7.6860470000000003</v>
      </c>
      <c r="K103">
        <v>7.9208179999999997</v>
      </c>
      <c r="L103">
        <v>8.1500470000000007</v>
      </c>
      <c r="M103">
        <v>8.3710799999999992</v>
      </c>
      <c r="N103">
        <v>8.5829380000000004</v>
      </c>
      <c r="O103">
        <v>8.7877410000000005</v>
      </c>
      <c r="P103">
        <v>8.9838480000000001</v>
      </c>
      <c r="Q103">
        <v>9.1709969999999998</v>
      </c>
      <c r="R103">
        <v>9.3568870000000004</v>
      </c>
      <c r="S103">
        <v>9.5302889999999998</v>
      </c>
      <c r="T103">
        <v>9.6978179999999998</v>
      </c>
      <c r="U103">
        <v>9.8565489999999993</v>
      </c>
      <c r="V103">
        <v>10.014253</v>
      </c>
      <c r="W103">
        <v>10.173538000000001</v>
      </c>
      <c r="X103">
        <v>10.326359999999999</v>
      </c>
      <c r="Y103">
        <v>10.467326999999999</v>
      </c>
      <c r="Z103">
        <v>10.588687999999999</v>
      </c>
      <c r="AA103">
        <v>10.684231</v>
      </c>
      <c r="AB103">
        <v>10.761153</v>
      </c>
      <c r="AC103">
        <v>10.826824</v>
      </c>
      <c r="AD103">
        <v>10.890256000000001</v>
      </c>
      <c r="AE103">
        <v>10.959655</v>
      </c>
      <c r="AF103">
        <v>11.031404</v>
      </c>
      <c r="AG103" s="144">
        <v>1.7999999999999999E-2</v>
      </c>
    </row>
    <row r="104" spans="1:33">
      <c r="A104" t="s">
        <v>2388</v>
      </c>
      <c r="B104" t="s">
        <v>3237</v>
      </c>
      <c r="C104" t="s">
        <v>3236</v>
      </c>
      <c r="D104" t="s">
        <v>2349</v>
      </c>
      <c r="F104">
        <v>697.88201900000001</v>
      </c>
      <c r="G104">
        <v>771.48376499999995</v>
      </c>
      <c r="H104">
        <v>851.44555700000001</v>
      </c>
      <c r="I104">
        <v>899.07733199999996</v>
      </c>
      <c r="J104">
        <v>930.560608</v>
      </c>
      <c r="K104">
        <v>943.74444600000004</v>
      </c>
      <c r="L104">
        <v>957.09338400000001</v>
      </c>
      <c r="M104">
        <v>970.59918200000004</v>
      </c>
      <c r="N104">
        <v>984.52514599999995</v>
      </c>
      <c r="O104">
        <v>998.97790499999996</v>
      </c>
      <c r="P104">
        <v>1013.984314</v>
      </c>
      <c r="Q104">
        <v>1029.412842</v>
      </c>
      <c r="R104">
        <v>1044.7729489999999</v>
      </c>
      <c r="S104">
        <v>1059.9853519999999</v>
      </c>
      <c r="T104">
        <v>1075.2036129999999</v>
      </c>
      <c r="U104">
        <v>1090.4837649999999</v>
      </c>
      <c r="V104">
        <v>1105.9570309999999</v>
      </c>
      <c r="W104">
        <v>1122.7152100000001</v>
      </c>
      <c r="X104">
        <v>1140.384888</v>
      </c>
      <c r="Y104">
        <v>1158.3862300000001</v>
      </c>
      <c r="Z104">
        <v>1176.64624</v>
      </c>
      <c r="AA104">
        <v>1195.115112</v>
      </c>
      <c r="AB104">
        <v>1214.0466309999999</v>
      </c>
      <c r="AC104">
        <v>1233.5289310000001</v>
      </c>
      <c r="AD104">
        <v>1252.9025879999999</v>
      </c>
      <c r="AE104">
        <v>1272.1845699999999</v>
      </c>
      <c r="AF104">
        <v>1291.628052</v>
      </c>
      <c r="AG104" s="144">
        <v>2.4E-2</v>
      </c>
    </row>
    <row r="105" spans="1:33">
      <c r="A105" t="s">
        <v>2420</v>
      </c>
      <c r="B105" t="s">
        <v>3235</v>
      </c>
      <c r="C105" t="s">
        <v>3234</v>
      </c>
      <c r="D105" t="s">
        <v>2349</v>
      </c>
      <c r="F105">
        <v>460.27383400000002</v>
      </c>
      <c r="G105">
        <v>505.68060300000002</v>
      </c>
      <c r="H105">
        <v>555.11981200000002</v>
      </c>
      <c r="I105">
        <v>584.550476</v>
      </c>
      <c r="J105">
        <v>604.24194299999999</v>
      </c>
      <c r="K105">
        <v>612.70916699999998</v>
      </c>
      <c r="L105">
        <v>621.28204300000004</v>
      </c>
      <c r="M105">
        <v>629.95544400000006</v>
      </c>
      <c r="N105">
        <v>638.90148899999997</v>
      </c>
      <c r="O105">
        <v>648.18878199999995</v>
      </c>
      <c r="P105">
        <v>657.83508300000005</v>
      </c>
      <c r="Q105">
        <v>667.75372300000004</v>
      </c>
      <c r="R105">
        <v>677.62243699999999</v>
      </c>
      <c r="S105">
        <v>687.38897699999995</v>
      </c>
      <c r="T105">
        <v>697.15380900000002</v>
      </c>
      <c r="U105">
        <v>706.95343000000003</v>
      </c>
      <c r="V105">
        <v>716.87316899999996</v>
      </c>
      <c r="W105">
        <v>727.62927200000001</v>
      </c>
      <c r="X105">
        <v>738.97680700000001</v>
      </c>
      <c r="Y105">
        <v>750.53539999999998</v>
      </c>
      <c r="Z105">
        <v>762.25707999999997</v>
      </c>
      <c r="AA105">
        <v>774.10839799999997</v>
      </c>
      <c r="AB105">
        <v>786.25610400000005</v>
      </c>
      <c r="AC105">
        <v>798.759277</v>
      </c>
      <c r="AD105">
        <v>811.18640100000005</v>
      </c>
      <c r="AE105">
        <v>823.54803500000003</v>
      </c>
      <c r="AF105">
        <v>836.01086399999997</v>
      </c>
      <c r="AG105" s="144">
        <v>2.3E-2</v>
      </c>
    </row>
    <row r="106" spans="1:33">
      <c r="A106" t="s">
        <v>2417</v>
      </c>
      <c r="B106" t="s">
        <v>3233</v>
      </c>
      <c r="C106" t="s">
        <v>3232</v>
      </c>
      <c r="D106" t="s">
        <v>2349</v>
      </c>
      <c r="F106">
        <v>69.871521000000001</v>
      </c>
      <c r="G106">
        <v>90.331862999999998</v>
      </c>
      <c r="H106">
        <v>112.10598</v>
      </c>
      <c r="I106">
        <v>125.157021</v>
      </c>
      <c r="J106">
        <v>132.78733800000001</v>
      </c>
      <c r="K106">
        <v>135.05903599999999</v>
      </c>
      <c r="L106">
        <v>137.36059599999999</v>
      </c>
      <c r="M106">
        <v>139.689682</v>
      </c>
      <c r="N106">
        <v>142.07991000000001</v>
      </c>
      <c r="O106">
        <v>144.548721</v>
      </c>
      <c r="P106">
        <v>147.09849500000001</v>
      </c>
      <c r="Q106">
        <v>149.71571399999999</v>
      </c>
      <c r="R106">
        <v>152.34651199999999</v>
      </c>
      <c r="S106">
        <v>154.98201</v>
      </c>
      <c r="T106">
        <v>157.641617</v>
      </c>
      <c r="U106">
        <v>160.33218400000001</v>
      </c>
      <c r="V106">
        <v>163.07290599999999</v>
      </c>
      <c r="W106">
        <v>165.98779300000001</v>
      </c>
      <c r="X106">
        <v>169.034897</v>
      </c>
      <c r="Y106">
        <v>172.14746099999999</v>
      </c>
      <c r="Z106">
        <v>175.317215</v>
      </c>
      <c r="AA106">
        <v>178.54162600000001</v>
      </c>
      <c r="AB106">
        <v>181.84889200000001</v>
      </c>
      <c r="AC106">
        <v>185.24382</v>
      </c>
      <c r="AD106">
        <v>188.64651499999999</v>
      </c>
      <c r="AE106">
        <v>192.060318</v>
      </c>
      <c r="AF106">
        <v>195.513229</v>
      </c>
      <c r="AG106" s="144">
        <v>0.04</v>
      </c>
    </row>
    <row r="107" spans="1:33">
      <c r="A107" t="s">
        <v>2414</v>
      </c>
      <c r="B107" t="s">
        <v>3231</v>
      </c>
      <c r="C107" t="s">
        <v>3230</v>
      </c>
      <c r="D107" t="s">
        <v>2349</v>
      </c>
      <c r="F107">
        <v>167.736649</v>
      </c>
      <c r="G107">
        <v>175.47134399999999</v>
      </c>
      <c r="H107">
        <v>184.219818</v>
      </c>
      <c r="I107">
        <v>189.369812</v>
      </c>
      <c r="J107">
        <v>193.531296</v>
      </c>
      <c r="K107">
        <v>195.976257</v>
      </c>
      <c r="L107">
        <v>198.45077499999999</v>
      </c>
      <c r="M107">
        <v>200.954025</v>
      </c>
      <c r="N107">
        <v>203.543747</v>
      </c>
      <c r="O107">
        <v>206.240387</v>
      </c>
      <c r="P107">
        <v>209.05072000000001</v>
      </c>
      <c r="Q107">
        <v>211.94340500000001</v>
      </c>
      <c r="R107">
        <v>214.80407700000001</v>
      </c>
      <c r="S107">
        <v>217.614441</v>
      </c>
      <c r="T107">
        <v>220.408264</v>
      </c>
      <c r="U107">
        <v>223.19816599999999</v>
      </c>
      <c r="V107">
        <v>226.011032</v>
      </c>
      <c r="W107">
        <v>229.09814499999999</v>
      </c>
      <c r="X107">
        <v>232.373154</v>
      </c>
      <c r="Y107">
        <v>235.703384</v>
      </c>
      <c r="Z107">
        <v>239.07193000000001</v>
      </c>
      <c r="AA107">
        <v>242.465103</v>
      </c>
      <c r="AB107">
        <v>245.94162</v>
      </c>
      <c r="AC107">
        <v>249.52578700000001</v>
      </c>
      <c r="AD107">
        <v>253.06970200000001</v>
      </c>
      <c r="AE107">
        <v>256.57620200000002</v>
      </c>
      <c r="AF107">
        <v>260.10400399999997</v>
      </c>
      <c r="AG107" s="144">
        <v>1.7000000000000001E-2</v>
      </c>
    </row>
    <row r="108" spans="1:33">
      <c r="A108" t="s">
        <v>2385</v>
      </c>
      <c r="B108" t="s">
        <v>3229</v>
      </c>
      <c r="C108" t="s">
        <v>3228</v>
      </c>
      <c r="D108" t="s">
        <v>2349</v>
      </c>
      <c r="F108">
        <v>307.08123799999998</v>
      </c>
      <c r="G108">
        <v>317.83837899999997</v>
      </c>
      <c r="H108">
        <v>333.02157599999998</v>
      </c>
      <c r="I108">
        <v>344.94070399999998</v>
      </c>
      <c r="J108">
        <v>361.98037699999998</v>
      </c>
      <c r="K108">
        <v>374.63726800000001</v>
      </c>
      <c r="L108">
        <v>387.19451900000001</v>
      </c>
      <c r="M108">
        <v>399.69345099999998</v>
      </c>
      <c r="N108">
        <v>412.387878</v>
      </c>
      <c r="O108">
        <v>425.36496</v>
      </c>
      <c r="P108">
        <v>438.63964800000002</v>
      </c>
      <c r="Q108">
        <v>452.34600799999998</v>
      </c>
      <c r="R108">
        <v>466.54400600000002</v>
      </c>
      <c r="S108">
        <v>481.152039</v>
      </c>
      <c r="T108">
        <v>496.12347399999999</v>
      </c>
      <c r="U108">
        <v>511.474243</v>
      </c>
      <c r="V108">
        <v>527.12561000000005</v>
      </c>
      <c r="W108">
        <v>543.08209199999999</v>
      </c>
      <c r="X108">
        <v>559.47839399999998</v>
      </c>
      <c r="Y108">
        <v>576.32983400000001</v>
      </c>
      <c r="Z108">
        <v>593.62927200000001</v>
      </c>
      <c r="AA108">
        <v>611.38354500000003</v>
      </c>
      <c r="AB108">
        <v>629.48535200000003</v>
      </c>
      <c r="AC108">
        <v>647.98803699999996</v>
      </c>
      <c r="AD108">
        <v>666.89245600000004</v>
      </c>
      <c r="AE108">
        <v>686.23962400000005</v>
      </c>
      <c r="AF108">
        <v>706.06030299999998</v>
      </c>
      <c r="AG108" s="144">
        <v>3.3000000000000002E-2</v>
      </c>
    </row>
    <row r="109" spans="1:33">
      <c r="A109" t="s">
        <v>2420</v>
      </c>
      <c r="B109" t="s">
        <v>3227</v>
      </c>
      <c r="C109" t="s">
        <v>3226</v>
      </c>
      <c r="D109" t="s">
        <v>2349</v>
      </c>
      <c r="F109">
        <v>204.480988</v>
      </c>
      <c r="G109">
        <v>211.72465500000001</v>
      </c>
      <c r="H109">
        <v>221.957291</v>
      </c>
      <c r="I109">
        <v>229.91799900000001</v>
      </c>
      <c r="J109">
        <v>241.48495500000001</v>
      </c>
      <c r="K109">
        <v>249.921402</v>
      </c>
      <c r="L109">
        <v>258.29809599999999</v>
      </c>
      <c r="M109">
        <v>266.640625</v>
      </c>
      <c r="N109">
        <v>275.115906</v>
      </c>
      <c r="O109">
        <v>283.78064000000001</v>
      </c>
      <c r="P109">
        <v>292.64443999999997</v>
      </c>
      <c r="Q109">
        <v>301.79544099999998</v>
      </c>
      <c r="R109">
        <v>311.273865</v>
      </c>
      <c r="S109">
        <v>321.02682499999997</v>
      </c>
      <c r="T109">
        <v>331.02322400000003</v>
      </c>
      <c r="U109">
        <v>341.27401700000001</v>
      </c>
      <c r="V109">
        <v>351.72857699999997</v>
      </c>
      <c r="W109">
        <v>362.38952599999999</v>
      </c>
      <c r="X109">
        <v>373.34545900000001</v>
      </c>
      <c r="Y109">
        <v>384.60623199999998</v>
      </c>
      <c r="Z109">
        <v>396.16702299999997</v>
      </c>
      <c r="AA109">
        <v>408.032104</v>
      </c>
      <c r="AB109">
        <v>420.13043199999998</v>
      </c>
      <c r="AC109">
        <v>432.497253</v>
      </c>
      <c r="AD109">
        <v>445.133331</v>
      </c>
      <c r="AE109">
        <v>458.06634500000001</v>
      </c>
      <c r="AF109">
        <v>471.31732199999999</v>
      </c>
      <c r="AG109" s="144">
        <v>3.3000000000000002E-2</v>
      </c>
    </row>
    <row r="110" spans="1:33">
      <c r="A110" t="s">
        <v>2417</v>
      </c>
      <c r="B110" t="s">
        <v>3225</v>
      </c>
      <c r="C110" t="s">
        <v>3224</v>
      </c>
      <c r="D110" t="s">
        <v>2349</v>
      </c>
      <c r="F110">
        <v>33.761752999999999</v>
      </c>
      <c r="G110">
        <v>35.001244</v>
      </c>
      <c r="H110">
        <v>36.756737000000001</v>
      </c>
      <c r="I110">
        <v>38.084029999999998</v>
      </c>
      <c r="J110">
        <v>40.112782000000003</v>
      </c>
      <c r="K110">
        <v>41.510246000000002</v>
      </c>
      <c r="L110">
        <v>42.901412999999998</v>
      </c>
      <c r="M110">
        <v>44.289436000000002</v>
      </c>
      <c r="N110">
        <v>45.700806</v>
      </c>
      <c r="O110">
        <v>47.144095999999998</v>
      </c>
      <c r="P110">
        <v>48.620742999999997</v>
      </c>
      <c r="Q110">
        <v>50.144652999999998</v>
      </c>
      <c r="R110">
        <v>51.722709999999999</v>
      </c>
      <c r="S110">
        <v>53.346854999999998</v>
      </c>
      <c r="T110">
        <v>55.012005000000002</v>
      </c>
      <c r="U110">
        <v>56.720112</v>
      </c>
      <c r="V110">
        <v>58.463821000000003</v>
      </c>
      <c r="W110">
        <v>60.243290000000002</v>
      </c>
      <c r="X110">
        <v>62.072654999999997</v>
      </c>
      <c r="Y110">
        <v>63.953330999999999</v>
      </c>
      <c r="Z110">
        <v>65.884399000000002</v>
      </c>
      <c r="AA110">
        <v>67.866507999999996</v>
      </c>
      <c r="AB110">
        <v>69.888130000000004</v>
      </c>
      <c r="AC110">
        <v>71.954871999999995</v>
      </c>
      <c r="AD110">
        <v>74.067038999999994</v>
      </c>
      <c r="AE110">
        <v>76.229393000000002</v>
      </c>
      <c r="AF110">
        <v>78.445662999999996</v>
      </c>
      <c r="AG110" s="144">
        <v>3.3000000000000002E-2</v>
      </c>
    </row>
    <row r="111" spans="1:33">
      <c r="A111" t="s">
        <v>2414</v>
      </c>
      <c r="B111" t="s">
        <v>3223</v>
      </c>
      <c r="C111" t="s">
        <v>3222</v>
      </c>
      <c r="D111" t="s">
        <v>2349</v>
      </c>
      <c r="F111">
        <v>68.838500999999994</v>
      </c>
      <c r="G111">
        <v>71.112472999999994</v>
      </c>
      <c r="H111">
        <v>74.307548999999995</v>
      </c>
      <c r="I111">
        <v>76.938698000000002</v>
      </c>
      <c r="J111">
        <v>80.382621999999998</v>
      </c>
      <c r="K111">
        <v>83.205627000000007</v>
      </c>
      <c r="L111">
        <v>85.994979999999998</v>
      </c>
      <c r="M111">
        <v>88.763405000000006</v>
      </c>
      <c r="N111">
        <v>91.571174999999997</v>
      </c>
      <c r="O111">
        <v>94.440207999999998</v>
      </c>
      <c r="P111">
        <v>97.374465999999998</v>
      </c>
      <c r="Q111">
        <v>100.40589900000001</v>
      </c>
      <c r="R111">
        <v>103.547432</v>
      </c>
      <c r="S111">
        <v>106.77834300000001</v>
      </c>
      <c r="T111">
        <v>110.088249</v>
      </c>
      <c r="U111">
        <v>113.480103</v>
      </c>
      <c r="V111">
        <v>116.933205</v>
      </c>
      <c r="W111">
        <v>120.449257</v>
      </c>
      <c r="X111">
        <v>124.06028000000001</v>
      </c>
      <c r="Y111">
        <v>127.77027099999999</v>
      </c>
      <c r="Z111">
        <v>131.57785000000001</v>
      </c>
      <c r="AA111">
        <v>135.484894</v>
      </c>
      <c r="AB111">
        <v>139.46676600000001</v>
      </c>
      <c r="AC111">
        <v>143.53590399999999</v>
      </c>
      <c r="AD111">
        <v>147.69207800000001</v>
      </c>
      <c r="AE111">
        <v>151.943939</v>
      </c>
      <c r="AF111">
        <v>156.29728700000001</v>
      </c>
      <c r="AG111" s="144">
        <v>3.2000000000000001E-2</v>
      </c>
    </row>
    <row r="112" spans="1:33">
      <c r="A112" t="s">
        <v>198</v>
      </c>
      <c r="B112" t="s">
        <v>3221</v>
      </c>
      <c r="C112" t="s">
        <v>3220</v>
      </c>
      <c r="D112" t="s">
        <v>2349</v>
      </c>
      <c r="F112">
        <v>4472.1811520000001</v>
      </c>
      <c r="G112">
        <v>4695.8554690000001</v>
      </c>
      <c r="H112">
        <v>4954.8618159999996</v>
      </c>
      <c r="I112">
        <v>5216.2666019999997</v>
      </c>
      <c r="J112">
        <v>5487.1416019999997</v>
      </c>
      <c r="K112">
        <v>5770.1513670000004</v>
      </c>
      <c r="L112">
        <v>6059.669922</v>
      </c>
      <c r="M112">
        <v>6358.4951170000004</v>
      </c>
      <c r="N112">
        <v>6667.5004879999997</v>
      </c>
      <c r="O112">
        <v>6984.6416019999997</v>
      </c>
      <c r="P112">
        <v>7309.6176759999998</v>
      </c>
      <c r="Q112">
        <v>7642.03125</v>
      </c>
      <c r="R112">
        <v>7979.0361329999996</v>
      </c>
      <c r="S112">
        <v>8322.2753909999992</v>
      </c>
      <c r="T112">
        <v>8673.0820309999999</v>
      </c>
      <c r="U112">
        <v>9031.2109380000002</v>
      </c>
      <c r="V112">
        <v>9396.0117190000001</v>
      </c>
      <c r="W112">
        <v>9767.3291019999997</v>
      </c>
      <c r="X112">
        <v>10144.792969</v>
      </c>
      <c r="Y112">
        <v>10527.988281</v>
      </c>
      <c r="Z112">
        <v>10916.501953000001</v>
      </c>
      <c r="AA112">
        <v>11310.038086</v>
      </c>
      <c r="AB112">
        <v>11708.277344</v>
      </c>
      <c r="AC112">
        <v>12110.776367</v>
      </c>
      <c r="AD112">
        <v>12517.083984000001</v>
      </c>
      <c r="AE112">
        <v>12926.849609000001</v>
      </c>
      <c r="AF112">
        <v>13339.547852</v>
      </c>
      <c r="AG112" s="144">
        <v>4.2999999999999997E-2</v>
      </c>
    </row>
    <row r="113" spans="1:33">
      <c r="A113" t="s">
        <v>2420</v>
      </c>
      <c r="B113" t="s">
        <v>3219</v>
      </c>
      <c r="C113" t="s">
        <v>3218</v>
      </c>
      <c r="D113" t="s">
        <v>2349</v>
      </c>
      <c r="F113">
        <v>3423.2773440000001</v>
      </c>
      <c r="G113">
        <v>3629.1042480000001</v>
      </c>
      <c r="H113">
        <v>3833.5541990000002</v>
      </c>
      <c r="I113">
        <v>4037.2858890000002</v>
      </c>
      <c r="J113">
        <v>4248.3256840000004</v>
      </c>
      <c r="K113">
        <v>4468.8632809999999</v>
      </c>
      <c r="L113">
        <v>4694.6479490000002</v>
      </c>
      <c r="M113">
        <v>4927.6069340000004</v>
      </c>
      <c r="N113">
        <v>5168.4472660000001</v>
      </c>
      <c r="O113">
        <v>5415.4506840000004</v>
      </c>
      <c r="P113">
        <v>5668.3413090000004</v>
      </c>
      <c r="Q113">
        <v>5926.7607420000004</v>
      </c>
      <c r="R113">
        <v>6188.326172</v>
      </c>
      <c r="S113">
        <v>6454.3784180000002</v>
      </c>
      <c r="T113">
        <v>6725.9877930000002</v>
      </c>
      <c r="U113">
        <v>7002.9375</v>
      </c>
      <c r="V113">
        <v>7284.6489259999998</v>
      </c>
      <c r="W113">
        <v>7570.9868159999996</v>
      </c>
      <c r="X113">
        <v>7861.625</v>
      </c>
      <c r="Y113">
        <v>8156.1938479999999</v>
      </c>
      <c r="Z113">
        <v>8454.3398440000001</v>
      </c>
      <c r="AA113">
        <v>8755.8330079999996</v>
      </c>
      <c r="AB113">
        <v>9060.4306639999995</v>
      </c>
      <c r="AC113">
        <v>9367.7617190000001</v>
      </c>
      <c r="AD113">
        <v>9677.4619139999995</v>
      </c>
      <c r="AE113">
        <v>9989.2734380000002</v>
      </c>
      <c r="AF113">
        <v>10302.761719</v>
      </c>
      <c r="AG113" s="144">
        <v>4.2999999999999997E-2</v>
      </c>
    </row>
    <row r="114" spans="1:33">
      <c r="A114" t="s">
        <v>2417</v>
      </c>
      <c r="B114" t="s">
        <v>3217</v>
      </c>
      <c r="C114" t="s">
        <v>3216</v>
      </c>
      <c r="D114" t="s">
        <v>2349</v>
      </c>
      <c r="F114">
        <v>827.02081299999998</v>
      </c>
      <c r="G114">
        <v>831.04125999999997</v>
      </c>
      <c r="H114">
        <v>872.25476100000003</v>
      </c>
      <c r="I114">
        <v>916.67163100000005</v>
      </c>
      <c r="J114">
        <v>962.77612299999998</v>
      </c>
      <c r="K114">
        <v>1010.898682</v>
      </c>
      <c r="L114">
        <v>1059.939087</v>
      </c>
      <c r="M114">
        <v>1110.6455080000001</v>
      </c>
      <c r="N114">
        <v>1163.139404</v>
      </c>
      <c r="O114">
        <v>1217.2073969999999</v>
      </c>
      <c r="P114">
        <v>1272.8428960000001</v>
      </c>
      <c r="Q114">
        <v>1330.0314940000001</v>
      </c>
      <c r="R114">
        <v>1388.4655760000001</v>
      </c>
      <c r="S114">
        <v>1448.3616939999999</v>
      </c>
      <c r="T114">
        <v>1509.9111330000001</v>
      </c>
      <c r="U114">
        <v>1573.0998540000001</v>
      </c>
      <c r="V114">
        <v>1637.894409</v>
      </c>
      <c r="W114">
        <v>1704.285034</v>
      </c>
      <c r="X114">
        <v>1772.2486570000001</v>
      </c>
      <c r="Y114">
        <v>1841.7642820000001</v>
      </c>
      <c r="Z114">
        <v>1912.7969969999999</v>
      </c>
      <c r="AA114">
        <v>1985.2947999999999</v>
      </c>
      <c r="AB114">
        <v>2059.19751</v>
      </c>
      <c r="AC114">
        <v>2134.4575199999999</v>
      </c>
      <c r="AD114">
        <v>2211.0097660000001</v>
      </c>
      <c r="AE114">
        <v>2288.7802729999999</v>
      </c>
      <c r="AF114">
        <v>2367.7048340000001</v>
      </c>
      <c r="AG114" s="144">
        <v>4.1000000000000002E-2</v>
      </c>
    </row>
    <row r="115" spans="1:33">
      <c r="A115" t="s">
        <v>2414</v>
      </c>
      <c r="B115" t="s">
        <v>3215</v>
      </c>
      <c r="C115" t="s">
        <v>3214</v>
      </c>
      <c r="D115" t="s">
        <v>2349</v>
      </c>
      <c r="F115">
        <v>221.882645</v>
      </c>
      <c r="G115">
        <v>235.71014400000001</v>
      </c>
      <c r="H115">
        <v>249.052719</v>
      </c>
      <c r="I115">
        <v>262.30926499999998</v>
      </c>
      <c r="J115">
        <v>276.04019199999999</v>
      </c>
      <c r="K115">
        <v>290.389679</v>
      </c>
      <c r="L115">
        <v>305.08316000000002</v>
      </c>
      <c r="M115">
        <v>320.24243200000001</v>
      </c>
      <c r="N115">
        <v>335.91372699999999</v>
      </c>
      <c r="O115">
        <v>351.98358200000001</v>
      </c>
      <c r="P115">
        <v>368.43341099999998</v>
      </c>
      <c r="Q115">
        <v>385.239441</v>
      </c>
      <c r="R115">
        <v>402.24401899999998</v>
      </c>
      <c r="S115">
        <v>419.53533900000002</v>
      </c>
      <c r="T115">
        <v>437.18350199999998</v>
      </c>
      <c r="U115">
        <v>455.17407200000002</v>
      </c>
      <c r="V115">
        <v>473.468323</v>
      </c>
      <c r="W115">
        <v>492.05731200000002</v>
      </c>
      <c r="X115">
        <v>510.91943400000002</v>
      </c>
      <c r="Y115">
        <v>530.02978499999995</v>
      </c>
      <c r="Z115">
        <v>549.36499000000003</v>
      </c>
      <c r="AA115">
        <v>568.90997300000004</v>
      </c>
      <c r="AB115">
        <v>588.64898700000003</v>
      </c>
      <c r="AC115">
        <v>608.55780000000004</v>
      </c>
      <c r="AD115">
        <v>628.61254899999994</v>
      </c>
      <c r="AE115">
        <v>648.79626499999995</v>
      </c>
      <c r="AF115">
        <v>669.08117700000003</v>
      </c>
      <c r="AG115" s="144">
        <v>4.2999999999999997E-2</v>
      </c>
    </row>
    <row r="116" spans="1:33">
      <c r="A116" t="s">
        <v>2380</v>
      </c>
      <c r="B116" t="s">
        <v>3213</v>
      </c>
      <c r="C116" t="s">
        <v>3212</v>
      </c>
      <c r="D116" t="s">
        <v>2349</v>
      </c>
      <c r="F116">
        <v>829.28533900000002</v>
      </c>
      <c r="G116">
        <v>900.88348399999995</v>
      </c>
      <c r="H116">
        <v>976.44219999999996</v>
      </c>
      <c r="I116">
        <v>1058.639404</v>
      </c>
      <c r="J116">
        <v>1144.9331050000001</v>
      </c>
      <c r="K116">
        <v>1235.8428960000001</v>
      </c>
      <c r="L116">
        <v>1330.0367429999999</v>
      </c>
      <c r="M116">
        <v>1427.840942</v>
      </c>
      <c r="N116">
        <v>1528.583862</v>
      </c>
      <c r="O116">
        <v>1631.5717770000001</v>
      </c>
      <c r="P116">
        <v>1736.479736</v>
      </c>
      <c r="Q116">
        <v>1842.8900149999999</v>
      </c>
      <c r="R116">
        <v>1950.1507570000001</v>
      </c>
      <c r="S116">
        <v>2059.0463869999999</v>
      </c>
      <c r="T116">
        <v>2168.8735350000002</v>
      </c>
      <c r="U116">
        <v>2279.939453</v>
      </c>
      <c r="V116">
        <v>2393.0451659999999</v>
      </c>
      <c r="W116">
        <v>2507.9892580000001</v>
      </c>
      <c r="X116">
        <v>2624.5915530000002</v>
      </c>
      <c r="Y116">
        <v>2742.5402829999998</v>
      </c>
      <c r="Z116">
        <v>2861.6030270000001</v>
      </c>
      <c r="AA116">
        <v>2981.7827149999998</v>
      </c>
      <c r="AB116">
        <v>3103.2177729999999</v>
      </c>
      <c r="AC116">
        <v>3225.6716310000002</v>
      </c>
      <c r="AD116">
        <v>3348.9331050000001</v>
      </c>
      <c r="AE116">
        <v>3472.796875</v>
      </c>
      <c r="AF116">
        <v>3597.0349120000001</v>
      </c>
      <c r="AG116" s="144">
        <v>5.8000000000000003E-2</v>
      </c>
    </row>
    <row r="117" spans="1:33">
      <c r="A117" t="s">
        <v>2420</v>
      </c>
      <c r="B117" t="s">
        <v>3211</v>
      </c>
      <c r="C117" t="s">
        <v>3210</v>
      </c>
      <c r="D117" t="s">
        <v>2349</v>
      </c>
      <c r="F117">
        <v>658.92785600000002</v>
      </c>
      <c r="G117">
        <v>715.84423800000002</v>
      </c>
      <c r="H117">
        <v>775.88305700000001</v>
      </c>
      <c r="I117">
        <v>841.19702099999995</v>
      </c>
      <c r="J117">
        <v>909.76617399999998</v>
      </c>
      <c r="K117">
        <v>982.003784</v>
      </c>
      <c r="L117">
        <v>1056.850342</v>
      </c>
      <c r="M117">
        <v>1134.5657960000001</v>
      </c>
      <c r="N117">
        <v>1214.6163329999999</v>
      </c>
      <c r="O117">
        <v>1296.450562</v>
      </c>
      <c r="P117">
        <v>1379.810669</v>
      </c>
      <c r="Q117">
        <v>1464.3645019999999</v>
      </c>
      <c r="R117">
        <v>1549.594116</v>
      </c>
      <c r="S117">
        <v>1636.122803</v>
      </c>
      <c r="T117">
        <v>1723.3916019999999</v>
      </c>
      <c r="U117">
        <v>1811.6446530000001</v>
      </c>
      <c r="V117">
        <v>1901.518677</v>
      </c>
      <c r="W117">
        <v>1992.8535159999999</v>
      </c>
      <c r="X117">
        <v>2085.5058589999999</v>
      </c>
      <c r="Y117">
        <v>2179.2280270000001</v>
      </c>
      <c r="Z117">
        <v>2273.8354490000002</v>
      </c>
      <c r="AA117">
        <v>2369.3305660000001</v>
      </c>
      <c r="AB117">
        <v>2465.8229980000001</v>
      </c>
      <c r="AC117">
        <v>2563.125</v>
      </c>
      <c r="AD117">
        <v>2661.0688479999999</v>
      </c>
      <c r="AE117">
        <v>2759.491211</v>
      </c>
      <c r="AF117">
        <v>2858.2109380000002</v>
      </c>
      <c r="AG117" s="144">
        <v>5.8000000000000003E-2</v>
      </c>
    </row>
    <row r="118" spans="1:33">
      <c r="A118" t="s">
        <v>2417</v>
      </c>
      <c r="B118" t="s">
        <v>3209</v>
      </c>
      <c r="C118" t="s">
        <v>3208</v>
      </c>
      <c r="D118" t="s">
        <v>2349</v>
      </c>
      <c r="F118">
        <v>62.528762999999998</v>
      </c>
      <c r="G118">
        <v>67.414542999999995</v>
      </c>
      <c r="H118">
        <v>72.544280999999998</v>
      </c>
      <c r="I118">
        <v>78.079184999999995</v>
      </c>
      <c r="J118">
        <v>83.857178000000005</v>
      </c>
      <c r="K118">
        <v>89.909430999999998</v>
      </c>
      <c r="L118">
        <v>96.125579999999999</v>
      </c>
      <c r="M118">
        <v>102.546249</v>
      </c>
      <c r="N118">
        <v>109.130798</v>
      </c>
      <c r="O118">
        <v>115.837982</v>
      </c>
      <c r="P118">
        <v>122.649643</v>
      </c>
      <c r="Q118">
        <v>129.542404</v>
      </c>
      <c r="R118">
        <v>136.47905</v>
      </c>
      <c r="S118">
        <v>143.50689700000001</v>
      </c>
      <c r="T118">
        <v>150.58547999999999</v>
      </c>
      <c r="U118">
        <v>157.73431400000001</v>
      </c>
      <c r="V118">
        <v>165.005157</v>
      </c>
      <c r="W118">
        <v>172.38500999999999</v>
      </c>
      <c r="X118">
        <v>179.863708</v>
      </c>
      <c r="Y118">
        <v>187.42363</v>
      </c>
      <c r="Z118">
        <v>195.05268899999999</v>
      </c>
      <c r="AA118">
        <v>202.75207499999999</v>
      </c>
      <c r="AB118">
        <v>210.53010599999999</v>
      </c>
      <c r="AC118">
        <v>218.37390099999999</v>
      </c>
      <c r="AD118">
        <v>226.27209500000001</v>
      </c>
      <c r="AE118">
        <v>234.21412699999999</v>
      </c>
      <c r="AF118">
        <v>242.1884</v>
      </c>
      <c r="AG118" s="144">
        <v>5.2999999999999999E-2</v>
      </c>
    </row>
    <row r="119" spans="1:33">
      <c r="A119" t="s">
        <v>2414</v>
      </c>
      <c r="B119" t="s">
        <v>3207</v>
      </c>
      <c r="C119" t="s">
        <v>3206</v>
      </c>
      <c r="D119" t="s">
        <v>2349</v>
      </c>
      <c r="F119">
        <v>107.828743</v>
      </c>
      <c r="G119">
        <v>117.624718</v>
      </c>
      <c r="H119">
        <v>128.014847</v>
      </c>
      <c r="I119">
        <v>139.36320499999999</v>
      </c>
      <c r="J119">
        <v>151.309708</v>
      </c>
      <c r="K119">
        <v>163.92970299999999</v>
      </c>
      <c r="L119">
        <v>177.06080600000001</v>
      </c>
      <c r="M119">
        <v>190.72889699999999</v>
      </c>
      <c r="N119">
        <v>204.836761</v>
      </c>
      <c r="O119">
        <v>219.283142</v>
      </c>
      <c r="P119">
        <v>234.01939400000001</v>
      </c>
      <c r="Q119">
        <v>248.98318499999999</v>
      </c>
      <c r="R119">
        <v>264.07763699999998</v>
      </c>
      <c r="S119">
        <v>279.41683999999998</v>
      </c>
      <c r="T119">
        <v>294.89651500000002</v>
      </c>
      <c r="U119">
        <v>310.56048600000003</v>
      </c>
      <c r="V119">
        <v>326.52121</v>
      </c>
      <c r="W119">
        <v>342.75082400000002</v>
      </c>
      <c r="X119">
        <v>359.222015</v>
      </c>
      <c r="Y119">
        <v>375.88857999999999</v>
      </c>
      <c r="Z119">
        <v>392.71475199999998</v>
      </c>
      <c r="AA119">
        <v>409.70007299999997</v>
      </c>
      <c r="AB119">
        <v>426.86462399999999</v>
      </c>
      <c r="AC119">
        <v>444.17263800000001</v>
      </c>
      <c r="AD119">
        <v>461.59219400000001</v>
      </c>
      <c r="AE119">
        <v>479.09149200000002</v>
      </c>
      <c r="AF119">
        <v>496.63552900000002</v>
      </c>
      <c r="AG119" s="144">
        <v>6.0999999999999999E-2</v>
      </c>
    </row>
    <row r="120" spans="1:33">
      <c r="A120" t="s">
        <v>2377</v>
      </c>
      <c r="B120" t="s">
        <v>3205</v>
      </c>
      <c r="C120" t="s">
        <v>3204</v>
      </c>
      <c r="D120" t="s">
        <v>2349</v>
      </c>
      <c r="F120">
        <v>2183.2055660000001</v>
      </c>
      <c r="G120">
        <v>2276.0361330000001</v>
      </c>
      <c r="H120">
        <v>2391.3476559999999</v>
      </c>
      <c r="I120">
        <v>2510.9250489999999</v>
      </c>
      <c r="J120">
        <v>2632.3710940000001</v>
      </c>
      <c r="K120">
        <v>2755.9204100000002</v>
      </c>
      <c r="L120">
        <v>2879.9262699999999</v>
      </c>
      <c r="M120">
        <v>3007.6364749999998</v>
      </c>
      <c r="N120">
        <v>3138.9848630000001</v>
      </c>
      <c r="O120">
        <v>3273.5327149999998</v>
      </c>
      <c r="P120">
        <v>3410.77124</v>
      </c>
      <c r="Q120">
        <v>3550.289307</v>
      </c>
      <c r="R120">
        <v>3692.22876</v>
      </c>
      <c r="S120">
        <v>3836.0913089999999</v>
      </c>
      <c r="T120">
        <v>3983.8161620000001</v>
      </c>
      <c r="U120">
        <v>4135.5429690000001</v>
      </c>
      <c r="V120">
        <v>4291.1005859999996</v>
      </c>
      <c r="W120">
        <v>4450.0659180000002</v>
      </c>
      <c r="X120">
        <v>4612.7158200000003</v>
      </c>
      <c r="Y120">
        <v>4778.9794920000004</v>
      </c>
      <c r="Z120">
        <v>4948.6977539999998</v>
      </c>
      <c r="AA120">
        <v>5121.7568359999996</v>
      </c>
      <c r="AB120">
        <v>5297.8920900000003</v>
      </c>
      <c r="AC120">
        <v>5476.6547849999997</v>
      </c>
      <c r="AD120">
        <v>5658.2578119999998</v>
      </c>
      <c r="AE120">
        <v>5843.2055659999996</v>
      </c>
      <c r="AF120">
        <v>6032.1796880000002</v>
      </c>
      <c r="AG120" s="144">
        <v>0.04</v>
      </c>
    </row>
    <row r="121" spans="1:33">
      <c r="A121" t="s">
        <v>2420</v>
      </c>
      <c r="B121" t="s">
        <v>3203</v>
      </c>
      <c r="C121" t="s">
        <v>3202</v>
      </c>
      <c r="D121" t="s">
        <v>2349</v>
      </c>
      <c r="F121">
        <v>1129.5357670000001</v>
      </c>
      <c r="G121">
        <v>1166.696289</v>
      </c>
      <c r="H121">
        <v>1227.6469729999999</v>
      </c>
      <c r="I121">
        <v>1291.0070800000001</v>
      </c>
      <c r="J121">
        <v>1355.2924800000001</v>
      </c>
      <c r="K121">
        <v>1420.638428</v>
      </c>
      <c r="L121">
        <v>1486.256592</v>
      </c>
      <c r="M121">
        <v>1553.851807</v>
      </c>
      <c r="N121">
        <v>1623.3919679999999</v>
      </c>
      <c r="O121">
        <v>1694.622192</v>
      </c>
      <c r="P121">
        <v>1767.255371</v>
      </c>
      <c r="Q121">
        <v>1841.059082</v>
      </c>
      <c r="R121">
        <v>1916.1019289999999</v>
      </c>
      <c r="S121">
        <v>1992.093384</v>
      </c>
      <c r="T121">
        <v>2070.1433109999998</v>
      </c>
      <c r="U121">
        <v>2150.3266600000002</v>
      </c>
      <c r="V121">
        <v>2232.546875</v>
      </c>
      <c r="W121">
        <v>2316.5649410000001</v>
      </c>
      <c r="X121">
        <v>2402.5407709999999</v>
      </c>
      <c r="Y121">
        <v>2490.4252929999998</v>
      </c>
      <c r="Z121">
        <v>2580.1232909999999</v>
      </c>
      <c r="AA121">
        <v>2671.5715329999998</v>
      </c>
      <c r="AB121">
        <v>2764.6069339999999</v>
      </c>
      <c r="AC121">
        <v>2858.9875489999999</v>
      </c>
      <c r="AD121">
        <v>2954.8354490000002</v>
      </c>
      <c r="AE121">
        <v>3052.4182129999999</v>
      </c>
      <c r="AF121">
        <v>3152.1362300000001</v>
      </c>
      <c r="AG121" s="144">
        <v>0.04</v>
      </c>
    </row>
    <row r="122" spans="1:33">
      <c r="A122" t="s">
        <v>2417</v>
      </c>
      <c r="B122" t="s">
        <v>3201</v>
      </c>
      <c r="C122" t="s">
        <v>3200</v>
      </c>
      <c r="D122" t="s">
        <v>2349</v>
      </c>
      <c r="F122">
        <v>557.77886999999998</v>
      </c>
      <c r="G122">
        <v>602.93780500000003</v>
      </c>
      <c r="H122">
        <v>629.11163299999998</v>
      </c>
      <c r="I122">
        <v>656.50610400000005</v>
      </c>
      <c r="J122">
        <v>684.46227999999996</v>
      </c>
      <c r="K122">
        <v>713.011169</v>
      </c>
      <c r="L122">
        <v>741.60290499999996</v>
      </c>
      <c r="M122">
        <v>771.01336700000002</v>
      </c>
      <c r="N122">
        <v>801.222351</v>
      </c>
      <c r="O122">
        <v>832.17456100000004</v>
      </c>
      <c r="P122">
        <v>863.790344</v>
      </c>
      <c r="Q122">
        <v>896.00506600000006</v>
      </c>
      <c r="R122">
        <v>928.86535600000002</v>
      </c>
      <c r="S122">
        <v>962.31048599999997</v>
      </c>
      <c r="T122">
        <v>996.61645499999997</v>
      </c>
      <c r="U122">
        <v>1031.8123780000001</v>
      </c>
      <c r="V122">
        <v>1067.871582</v>
      </c>
      <c r="W122">
        <v>1104.7264399999999</v>
      </c>
      <c r="X122">
        <v>1142.4155270000001</v>
      </c>
      <c r="Y122">
        <v>1180.9449460000001</v>
      </c>
      <c r="Z122">
        <v>1220.3004149999999</v>
      </c>
      <c r="AA122">
        <v>1260.463135</v>
      </c>
      <c r="AB122">
        <v>1301.4178469999999</v>
      </c>
      <c r="AC122">
        <v>1343.071533</v>
      </c>
      <c r="AD122">
        <v>1385.4533690000001</v>
      </c>
      <c r="AE122">
        <v>1428.678711</v>
      </c>
      <c r="AF122">
        <v>1472.822754</v>
      </c>
      <c r="AG122" s="144">
        <v>3.7999999999999999E-2</v>
      </c>
    </row>
    <row r="123" spans="1:33">
      <c r="A123" t="s">
        <v>2414</v>
      </c>
      <c r="B123" t="s">
        <v>3199</v>
      </c>
      <c r="C123" t="s">
        <v>3198</v>
      </c>
      <c r="D123" t="s">
        <v>2349</v>
      </c>
      <c r="F123">
        <v>495.89089999999999</v>
      </c>
      <c r="G123">
        <v>506.40213</v>
      </c>
      <c r="H123">
        <v>534.58923300000004</v>
      </c>
      <c r="I123">
        <v>563.41192599999999</v>
      </c>
      <c r="J123">
        <v>592.61633300000005</v>
      </c>
      <c r="K123">
        <v>622.27062999999998</v>
      </c>
      <c r="L123">
        <v>652.06677200000001</v>
      </c>
      <c r="M123">
        <v>682.77124000000003</v>
      </c>
      <c r="N123">
        <v>714.37072799999999</v>
      </c>
      <c r="O123">
        <v>746.73584000000005</v>
      </c>
      <c r="P123">
        <v>779.72552499999995</v>
      </c>
      <c r="Q123">
        <v>813.225098</v>
      </c>
      <c r="R123">
        <v>847.26153599999998</v>
      </c>
      <c r="S123">
        <v>881.68743900000004</v>
      </c>
      <c r="T123">
        <v>917.05639599999995</v>
      </c>
      <c r="U123">
        <v>953.40393100000006</v>
      </c>
      <c r="V123">
        <v>990.68218999999999</v>
      </c>
      <c r="W123">
        <v>1028.7742920000001</v>
      </c>
      <c r="X123">
        <v>1067.7595209999999</v>
      </c>
      <c r="Y123">
        <v>1107.609375</v>
      </c>
      <c r="Z123">
        <v>1148.274048</v>
      </c>
      <c r="AA123">
        <v>1189.7220460000001</v>
      </c>
      <c r="AB123">
        <v>1231.8673100000001</v>
      </c>
      <c r="AC123">
        <v>1274.595581</v>
      </c>
      <c r="AD123">
        <v>1317.9688719999999</v>
      </c>
      <c r="AE123">
        <v>1362.1087649999999</v>
      </c>
      <c r="AF123">
        <v>1407.2204589999999</v>
      </c>
      <c r="AG123" s="144">
        <v>4.1000000000000002E-2</v>
      </c>
    </row>
    <row r="124" spans="1:33">
      <c r="A124" t="s">
        <v>2374</v>
      </c>
      <c r="B124" t="s">
        <v>3197</v>
      </c>
      <c r="C124" t="s">
        <v>3196</v>
      </c>
      <c r="D124" t="s">
        <v>2349</v>
      </c>
      <c r="F124">
        <v>1515.3305660000001</v>
      </c>
      <c r="G124">
        <v>1591.474487</v>
      </c>
      <c r="H124">
        <v>1673.2126459999999</v>
      </c>
      <c r="I124">
        <v>1750.819702</v>
      </c>
      <c r="J124">
        <v>1828.220703</v>
      </c>
      <c r="K124">
        <v>1906.8295900000001</v>
      </c>
      <c r="L124">
        <v>1984.67749</v>
      </c>
      <c r="M124">
        <v>2064.3706050000001</v>
      </c>
      <c r="N124">
        <v>2145.849365</v>
      </c>
      <c r="O124">
        <v>2229.2763669999999</v>
      </c>
      <c r="P124">
        <v>2314.8005370000001</v>
      </c>
      <c r="Q124">
        <v>2402.734375</v>
      </c>
      <c r="R124">
        <v>2493.2495119999999</v>
      </c>
      <c r="S124">
        <v>2586.4716800000001</v>
      </c>
      <c r="T124">
        <v>2682.3937989999999</v>
      </c>
      <c r="U124">
        <v>2781.0759280000002</v>
      </c>
      <c r="V124">
        <v>2882.7692870000001</v>
      </c>
      <c r="W124">
        <v>2987.4375</v>
      </c>
      <c r="X124">
        <v>3095.1916500000002</v>
      </c>
      <c r="Y124">
        <v>3206.0983890000002</v>
      </c>
      <c r="Z124">
        <v>3320.2253420000002</v>
      </c>
      <c r="AA124">
        <v>3437.7265619999998</v>
      </c>
      <c r="AB124">
        <v>3558.475586</v>
      </c>
      <c r="AC124">
        <v>3682.6979980000001</v>
      </c>
      <c r="AD124">
        <v>3810.6567380000001</v>
      </c>
      <c r="AE124">
        <v>3942.4887699999999</v>
      </c>
      <c r="AF124">
        <v>4078.1923830000001</v>
      </c>
      <c r="AG124" s="144">
        <v>3.9E-2</v>
      </c>
    </row>
    <row r="125" spans="1:33">
      <c r="A125" t="s">
        <v>2420</v>
      </c>
      <c r="B125" t="s">
        <v>3195</v>
      </c>
      <c r="C125" t="s">
        <v>3194</v>
      </c>
      <c r="D125" t="s">
        <v>2349</v>
      </c>
      <c r="F125">
        <v>675.58868399999994</v>
      </c>
      <c r="G125">
        <v>710.63824499999998</v>
      </c>
      <c r="H125">
        <v>748.99676499999998</v>
      </c>
      <c r="I125">
        <v>784.25622599999997</v>
      </c>
      <c r="J125">
        <v>819.07214399999998</v>
      </c>
      <c r="K125">
        <v>854.27264400000001</v>
      </c>
      <c r="L125">
        <v>888.956909</v>
      </c>
      <c r="M125">
        <v>924.39386000000002</v>
      </c>
      <c r="N125">
        <v>960.45434599999999</v>
      </c>
      <c r="O125">
        <v>997.23315400000001</v>
      </c>
      <c r="P125">
        <v>1034.807251</v>
      </c>
      <c r="Q125">
        <v>1073.3629149999999</v>
      </c>
      <c r="R125">
        <v>1112.9798579999999</v>
      </c>
      <c r="S125">
        <v>1153.7163089999999</v>
      </c>
      <c r="T125">
        <v>1195.5611570000001</v>
      </c>
      <c r="U125">
        <v>1238.5131839999999</v>
      </c>
      <c r="V125">
        <v>1282.706543</v>
      </c>
      <c r="W125">
        <v>1328.1521</v>
      </c>
      <c r="X125">
        <v>1374.9182129999999</v>
      </c>
      <c r="Y125">
        <v>1423.030029</v>
      </c>
      <c r="Z125">
        <v>1472.5017089999999</v>
      </c>
      <c r="AA125">
        <v>1523.3828120000001</v>
      </c>
      <c r="AB125">
        <v>1575.6235349999999</v>
      </c>
      <c r="AC125">
        <v>1629.3452150000001</v>
      </c>
      <c r="AD125">
        <v>1684.6467290000001</v>
      </c>
      <c r="AE125">
        <v>1741.590942</v>
      </c>
      <c r="AF125">
        <v>1800.1960449999999</v>
      </c>
      <c r="AG125" s="144">
        <v>3.7999999999999999E-2</v>
      </c>
    </row>
    <row r="126" spans="1:33">
      <c r="A126" t="s">
        <v>2417</v>
      </c>
      <c r="B126" t="s">
        <v>3193</v>
      </c>
      <c r="C126" t="s">
        <v>3192</v>
      </c>
      <c r="D126" t="s">
        <v>2349</v>
      </c>
      <c r="F126">
        <v>742.36840800000004</v>
      </c>
      <c r="G126">
        <v>777.59491000000003</v>
      </c>
      <c r="H126">
        <v>813.996399</v>
      </c>
      <c r="I126">
        <v>850.76379399999996</v>
      </c>
      <c r="J126">
        <v>888.09875499999998</v>
      </c>
      <c r="K126">
        <v>926.31811500000003</v>
      </c>
      <c r="L126">
        <v>964.50109899999995</v>
      </c>
      <c r="M126">
        <v>1003.721252</v>
      </c>
      <c r="N126">
        <v>1044.143677</v>
      </c>
      <c r="O126">
        <v>1085.806885</v>
      </c>
      <c r="P126">
        <v>1128.762573</v>
      </c>
      <c r="Q126">
        <v>1173.075073</v>
      </c>
      <c r="R126">
        <v>1218.822754</v>
      </c>
      <c r="S126">
        <v>1266.0625</v>
      </c>
      <c r="T126">
        <v>1314.806519</v>
      </c>
      <c r="U126">
        <v>1365.1373289999999</v>
      </c>
      <c r="V126">
        <v>1417.13501</v>
      </c>
      <c r="W126">
        <v>1470.7314449999999</v>
      </c>
      <c r="X126">
        <v>1525.9448239999999</v>
      </c>
      <c r="Y126">
        <v>1582.8161620000001</v>
      </c>
      <c r="Z126">
        <v>1641.409302</v>
      </c>
      <c r="AA126">
        <v>1701.8364260000001</v>
      </c>
      <c r="AB126">
        <v>1764.0225829999999</v>
      </c>
      <c r="AC126">
        <v>1828.038452</v>
      </c>
      <c r="AD126">
        <v>1894.0485839999999</v>
      </c>
      <c r="AE126">
        <v>1962.115845</v>
      </c>
      <c r="AF126">
        <v>2032.2041019999999</v>
      </c>
      <c r="AG126" s="144">
        <v>3.9E-2</v>
      </c>
    </row>
    <row r="127" spans="1:33">
      <c r="A127" t="s">
        <v>2414</v>
      </c>
      <c r="B127" t="s">
        <v>3191</v>
      </c>
      <c r="C127" t="s">
        <v>3190</v>
      </c>
      <c r="D127" t="s">
        <v>2349</v>
      </c>
      <c r="F127">
        <v>97.373497</v>
      </c>
      <c r="G127">
        <v>103.24137899999999</v>
      </c>
      <c r="H127">
        <v>110.219498</v>
      </c>
      <c r="I127">
        <v>115.799667</v>
      </c>
      <c r="J127">
        <v>121.049751</v>
      </c>
      <c r="K127">
        <v>126.23876199999999</v>
      </c>
      <c r="L127">
        <v>131.21951300000001</v>
      </c>
      <c r="M127">
        <v>136.25561500000001</v>
      </c>
      <c r="N127">
        <v>141.25129699999999</v>
      </c>
      <c r="O127">
        <v>146.23644999999999</v>
      </c>
      <c r="P127">
        <v>151.230682</v>
      </c>
      <c r="Q127">
        <v>156.29637099999999</v>
      </c>
      <c r="R127">
        <v>161.44674699999999</v>
      </c>
      <c r="S127">
        <v>166.69278</v>
      </c>
      <c r="T127">
        <v>172.02603099999999</v>
      </c>
      <c r="U127">
        <v>177.42553699999999</v>
      </c>
      <c r="V127">
        <v>182.927673</v>
      </c>
      <c r="W127">
        <v>188.55389400000001</v>
      </c>
      <c r="X127">
        <v>194.32865899999999</v>
      </c>
      <c r="Y127">
        <v>200.25216699999999</v>
      </c>
      <c r="Z127">
        <v>206.31424000000001</v>
      </c>
      <c r="AA127">
        <v>212.50741600000001</v>
      </c>
      <c r="AB127">
        <v>218.82969700000001</v>
      </c>
      <c r="AC127">
        <v>225.314301</v>
      </c>
      <c r="AD127">
        <v>231.96147199999999</v>
      </c>
      <c r="AE127">
        <v>238.78199799999999</v>
      </c>
      <c r="AF127">
        <v>245.79220599999999</v>
      </c>
      <c r="AG127" s="144">
        <v>3.5999999999999997E-2</v>
      </c>
    </row>
    <row r="128" spans="1:33">
      <c r="A128" t="s">
        <v>197</v>
      </c>
      <c r="B128" t="s">
        <v>3189</v>
      </c>
      <c r="C128" t="s">
        <v>3188</v>
      </c>
      <c r="D128" t="s">
        <v>2349</v>
      </c>
      <c r="F128">
        <v>1136.1445309999999</v>
      </c>
      <c r="G128">
        <v>1184.248047</v>
      </c>
      <c r="H128">
        <v>1246.0073239999999</v>
      </c>
      <c r="I128">
        <v>1305.5864260000001</v>
      </c>
      <c r="J128">
        <v>1366.3435059999999</v>
      </c>
      <c r="K128">
        <v>1428.6166989999999</v>
      </c>
      <c r="L128">
        <v>1491.794189</v>
      </c>
      <c r="M128">
        <v>1557.3066409999999</v>
      </c>
      <c r="N128">
        <v>1624.5908199999999</v>
      </c>
      <c r="O128">
        <v>1693.7398679999999</v>
      </c>
      <c r="P128">
        <v>1765.0092770000001</v>
      </c>
      <c r="Q128">
        <v>1838.5092770000001</v>
      </c>
      <c r="R128">
        <v>1914.406982</v>
      </c>
      <c r="S128">
        <v>1992.6674800000001</v>
      </c>
      <c r="T128">
        <v>2073.2541500000002</v>
      </c>
      <c r="U128">
        <v>2156.2241210000002</v>
      </c>
      <c r="V128">
        <v>2241.5642090000001</v>
      </c>
      <c r="W128">
        <v>2329.3840329999998</v>
      </c>
      <c r="X128">
        <v>2419.6813959999999</v>
      </c>
      <c r="Y128">
        <v>2512.530518</v>
      </c>
      <c r="Z128">
        <v>2608.0190429999998</v>
      </c>
      <c r="AA128">
        <v>2706.185547</v>
      </c>
      <c r="AB128">
        <v>2807.0634770000001</v>
      </c>
      <c r="AC128">
        <v>2910.6791990000002</v>
      </c>
      <c r="AD128">
        <v>3017.0590820000002</v>
      </c>
      <c r="AE128">
        <v>3126.2133789999998</v>
      </c>
      <c r="AF128">
        <v>3238.1760250000002</v>
      </c>
      <c r="AG128" s="144">
        <v>4.1000000000000002E-2</v>
      </c>
    </row>
    <row r="129" spans="1:33">
      <c r="A129" t="s">
        <v>2420</v>
      </c>
      <c r="B129" t="s">
        <v>3187</v>
      </c>
      <c r="C129" t="s">
        <v>3186</v>
      </c>
      <c r="D129" t="s">
        <v>2349</v>
      </c>
      <c r="F129">
        <v>476.73715199999998</v>
      </c>
      <c r="G129">
        <v>497.23812900000001</v>
      </c>
      <c r="H129">
        <v>523.04272500000002</v>
      </c>
      <c r="I129">
        <v>547.87640399999998</v>
      </c>
      <c r="J129">
        <v>573.17797900000005</v>
      </c>
      <c r="K129">
        <v>599.09045400000002</v>
      </c>
      <c r="L129">
        <v>625.34429899999998</v>
      </c>
      <c r="M129">
        <v>652.55114700000001</v>
      </c>
      <c r="N129">
        <v>680.46887200000003</v>
      </c>
      <c r="O129">
        <v>709.13635299999999</v>
      </c>
      <c r="P129">
        <v>738.66058299999997</v>
      </c>
      <c r="Q129">
        <v>769.08673099999999</v>
      </c>
      <c r="R129">
        <v>800.48504600000001</v>
      </c>
      <c r="S129">
        <v>832.83953899999995</v>
      </c>
      <c r="T129">
        <v>866.13201900000001</v>
      </c>
      <c r="U129">
        <v>900.38519299999996</v>
      </c>
      <c r="V129">
        <v>935.59643600000004</v>
      </c>
      <c r="W129">
        <v>971.80822799999999</v>
      </c>
      <c r="X129">
        <v>1009.018188</v>
      </c>
      <c r="Y129">
        <v>1047.255981</v>
      </c>
      <c r="Z129">
        <v>1086.5566409999999</v>
      </c>
      <c r="AA129">
        <v>1126.935913</v>
      </c>
      <c r="AB129">
        <v>1168.4051509999999</v>
      </c>
      <c r="AC129">
        <v>1210.9735109999999</v>
      </c>
      <c r="AD129">
        <v>1254.6499020000001</v>
      </c>
      <c r="AE129">
        <v>1299.4373780000001</v>
      </c>
      <c r="AF129">
        <v>1345.3486330000001</v>
      </c>
      <c r="AG129" s="144">
        <v>4.1000000000000002E-2</v>
      </c>
    </row>
    <row r="130" spans="1:33">
      <c r="A130" t="s">
        <v>2417</v>
      </c>
      <c r="B130" t="s">
        <v>3185</v>
      </c>
      <c r="C130" t="s">
        <v>3184</v>
      </c>
      <c r="D130" t="s">
        <v>2349</v>
      </c>
      <c r="F130">
        <v>195.24876399999999</v>
      </c>
      <c r="G130">
        <v>204.03855899999999</v>
      </c>
      <c r="H130">
        <v>214.46511799999999</v>
      </c>
      <c r="I130">
        <v>224.42157</v>
      </c>
      <c r="J130">
        <v>234.53590399999999</v>
      </c>
      <c r="K130">
        <v>244.868011</v>
      </c>
      <c r="L130">
        <v>255.29125999999999</v>
      </c>
      <c r="M130">
        <v>266.07043499999997</v>
      </c>
      <c r="N130">
        <v>277.09884599999998</v>
      </c>
      <c r="O130">
        <v>288.39202899999998</v>
      </c>
      <c r="P130">
        <v>299.993988</v>
      </c>
      <c r="Q130">
        <v>311.921783</v>
      </c>
      <c r="R130">
        <v>324.20410199999998</v>
      </c>
      <c r="S130">
        <v>336.83221400000002</v>
      </c>
      <c r="T130">
        <v>349.79617300000001</v>
      </c>
      <c r="U130">
        <v>363.10287499999998</v>
      </c>
      <c r="V130">
        <v>376.75500499999998</v>
      </c>
      <c r="W130">
        <v>390.76593000000003</v>
      </c>
      <c r="X130">
        <v>405.132294</v>
      </c>
      <c r="Y130">
        <v>419.86419699999999</v>
      </c>
      <c r="Z130">
        <v>434.97464000000002</v>
      </c>
      <c r="AA130">
        <v>450.46844499999997</v>
      </c>
      <c r="AB130">
        <v>466.34783900000002</v>
      </c>
      <c r="AC130">
        <v>482.61322000000001</v>
      </c>
      <c r="AD130">
        <v>499.26583900000003</v>
      </c>
      <c r="AE130">
        <v>516.30560300000002</v>
      </c>
      <c r="AF130">
        <v>533.73535200000003</v>
      </c>
      <c r="AG130" s="144">
        <v>3.9E-2</v>
      </c>
    </row>
    <row r="131" spans="1:33">
      <c r="A131" t="s">
        <v>2414</v>
      </c>
      <c r="B131" t="s">
        <v>3183</v>
      </c>
      <c r="C131" t="s">
        <v>3182</v>
      </c>
      <c r="D131" t="s">
        <v>2349</v>
      </c>
      <c r="F131">
        <v>464.15859999999998</v>
      </c>
      <c r="G131">
        <v>482.97134399999999</v>
      </c>
      <c r="H131">
        <v>508.49954200000002</v>
      </c>
      <c r="I131">
        <v>533.28845200000001</v>
      </c>
      <c r="J131">
        <v>558.62969999999996</v>
      </c>
      <c r="K131">
        <v>584.65826400000003</v>
      </c>
      <c r="L131">
        <v>611.15869099999998</v>
      </c>
      <c r="M131">
        <v>638.68499799999995</v>
      </c>
      <c r="N131">
        <v>667.02301</v>
      </c>
      <c r="O131">
        <v>696.21148700000003</v>
      </c>
      <c r="P131">
        <v>726.35479699999996</v>
      </c>
      <c r="Q131">
        <v>757.50079300000004</v>
      </c>
      <c r="R131">
        <v>789.71777299999997</v>
      </c>
      <c r="S131">
        <v>822.99572799999999</v>
      </c>
      <c r="T131">
        <v>857.32598900000005</v>
      </c>
      <c r="U131">
        <v>892.73602300000005</v>
      </c>
      <c r="V131">
        <v>929.21276899999998</v>
      </c>
      <c r="W131">
        <v>966.80981399999996</v>
      </c>
      <c r="X131">
        <v>1005.530884</v>
      </c>
      <c r="Y131">
        <v>1045.4104</v>
      </c>
      <c r="Z131">
        <v>1086.4876710000001</v>
      </c>
      <c r="AA131">
        <v>1128.78125</v>
      </c>
      <c r="AB131">
        <v>1172.3104249999999</v>
      </c>
      <c r="AC131">
        <v>1217.0924070000001</v>
      </c>
      <c r="AD131">
        <v>1263.143311</v>
      </c>
      <c r="AE131">
        <v>1310.470337</v>
      </c>
      <c r="AF131">
        <v>1359.0920410000001</v>
      </c>
      <c r="AG131" s="144">
        <v>4.2000000000000003E-2</v>
      </c>
    </row>
    <row r="132" spans="1:33">
      <c r="A132" t="s">
        <v>2369</v>
      </c>
      <c r="B132" t="s">
        <v>3181</v>
      </c>
      <c r="C132" t="s">
        <v>3180</v>
      </c>
      <c r="D132" t="s">
        <v>2349</v>
      </c>
      <c r="F132">
        <v>564.44433600000002</v>
      </c>
      <c r="G132">
        <v>576.91760299999999</v>
      </c>
      <c r="H132">
        <v>587.03411900000003</v>
      </c>
      <c r="I132">
        <v>599.92431599999998</v>
      </c>
      <c r="J132">
        <v>613.916382</v>
      </c>
      <c r="K132">
        <v>627.65014599999995</v>
      </c>
      <c r="L132">
        <v>640.63903800000003</v>
      </c>
      <c r="M132">
        <v>653.44561799999997</v>
      </c>
      <c r="N132">
        <v>666.10162400000002</v>
      </c>
      <c r="O132">
        <v>678.61669900000004</v>
      </c>
      <c r="P132">
        <v>690.97924799999998</v>
      </c>
      <c r="Q132">
        <v>703.17712400000005</v>
      </c>
      <c r="R132">
        <v>715.20135500000004</v>
      </c>
      <c r="S132">
        <v>727.04486099999997</v>
      </c>
      <c r="T132">
        <v>738.69470200000001</v>
      </c>
      <c r="U132">
        <v>750.13500999999997</v>
      </c>
      <c r="V132">
        <v>761.32012899999995</v>
      </c>
      <c r="W132">
        <v>772.25073199999997</v>
      </c>
      <c r="X132">
        <v>782.912598</v>
      </c>
      <c r="Y132">
        <v>793.29070999999999</v>
      </c>
      <c r="Z132">
        <v>803.37023899999997</v>
      </c>
      <c r="AA132">
        <v>813.13647500000002</v>
      </c>
      <c r="AB132">
        <v>822.57592799999998</v>
      </c>
      <c r="AC132">
        <v>831.67358400000001</v>
      </c>
      <c r="AD132">
        <v>840.41625999999997</v>
      </c>
      <c r="AE132">
        <v>848.79101600000001</v>
      </c>
      <c r="AF132">
        <v>856.78576699999996</v>
      </c>
      <c r="AG132" s="144">
        <v>1.6E-2</v>
      </c>
    </row>
    <row r="133" spans="1:33">
      <c r="A133" t="s">
        <v>2420</v>
      </c>
      <c r="B133" t="s">
        <v>3179</v>
      </c>
      <c r="C133" t="s">
        <v>3178</v>
      </c>
      <c r="D133" t="s">
        <v>2349</v>
      </c>
      <c r="F133">
        <v>329.87194799999997</v>
      </c>
      <c r="G133">
        <v>337.11788899999999</v>
      </c>
      <c r="H133">
        <v>343.002411</v>
      </c>
      <c r="I133">
        <v>350.47387700000002</v>
      </c>
      <c r="J133">
        <v>358.57476800000001</v>
      </c>
      <c r="K133">
        <v>366.52639799999997</v>
      </c>
      <c r="L133">
        <v>374.04892000000001</v>
      </c>
      <c r="M133">
        <v>381.46752900000001</v>
      </c>
      <c r="N133">
        <v>388.80020100000002</v>
      </c>
      <c r="O133">
        <v>396.05255099999999</v>
      </c>
      <c r="P133">
        <v>403.217804</v>
      </c>
      <c r="Q133">
        <v>410.289062</v>
      </c>
      <c r="R133">
        <v>417.26110799999998</v>
      </c>
      <c r="S133">
        <v>424.12985200000003</v>
      </c>
      <c r="T133">
        <v>430.887787</v>
      </c>
      <c r="U133">
        <v>437.52578699999998</v>
      </c>
      <c r="V133">
        <v>444.01660199999998</v>
      </c>
      <c r="W133">
        <v>450.36102299999999</v>
      </c>
      <c r="X133">
        <v>456.550568</v>
      </c>
      <c r="Y133">
        <v>462.57659899999999</v>
      </c>
      <c r="Z133">
        <v>468.43081699999999</v>
      </c>
      <c r="AA133">
        <v>474.10455300000001</v>
      </c>
      <c r="AB133">
        <v>479.59036300000002</v>
      </c>
      <c r="AC133">
        <v>484.87957799999998</v>
      </c>
      <c r="AD133">
        <v>489.96466099999998</v>
      </c>
      <c r="AE133">
        <v>494.83813500000002</v>
      </c>
      <c r="AF133">
        <v>499.49310300000002</v>
      </c>
      <c r="AG133" s="144">
        <v>1.6E-2</v>
      </c>
    </row>
    <row r="134" spans="1:33">
      <c r="A134" t="s">
        <v>2417</v>
      </c>
      <c r="B134" t="s">
        <v>3177</v>
      </c>
      <c r="C134" t="s">
        <v>3176</v>
      </c>
      <c r="D134" t="s">
        <v>2349</v>
      </c>
      <c r="F134">
        <v>50.508411000000002</v>
      </c>
      <c r="G134">
        <v>51.801262000000001</v>
      </c>
      <c r="H134">
        <v>52.797375000000002</v>
      </c>
      <c r="I134">
        <v>54.152442999999998</v>
      </c>
      <c r="J134">
        <v>55.653514999999999</v>
      </c>
      <c r="K134">
        <v>57.125625999999997</v>
      </c>
      <c r="L134">
        <v>58.510905999999999</v>
      </c>
      <c r="M134">
        <v>59.871471</v>
      </c>
      <c r="N134">
        <v>61.211731</v>
      </c>
      <c r="O134">
        <v>62.532921000000002</v>
      </c>
      <c r="P134">
        <v>63.833632999999999</v>
      </c>
      <c r="Q134">
        <v>65.112410999999994</v>
      </c>
      <c r="R134">
        <v>66.368294000000006</v>
      </c>
      <c r="S134">
        <v>67.600487000000001</v>
      </c>
      <c r="T134">
        <v>68.807502999999997</v>
      </c>
      <c r="U134">
        <v>69.987617</v>
      </c>
      <c r="V134">
        <v>71.138474000000002</v>
      </c>
      <c r="W134">
        <v>72.258942000000005</v>
      </c>
      <c r="X134">
        <v>73.348404000000002</v>
      </c>
      <c r="Y134">
        <v>74.404708999999997</v>
      </c>
      <c r="Z134">
        <v>75.425858000000005</v>
      </c>
      <c r="AA134">
        <v>76.410163999999995</v>
      </c>
      <c r="AB134">
        <v>77.355498999999995</v>
      </c>
      <c r="AC134">
        <v>78.259781000000004</v>
      </c>
      <c r="AD134">
        <v>79.121536000000006</v>
      </c>
      <c r="AE134">
        <v>79.939445000000006</v>
      </c>
      <c r="AF134">
        <v>80.711342000000002</v>
      </c>
      <c r="AG134" s="144">
        <v>1.7999999999999999E-2</v>
      </c>
    </row>
    <row r="135" spans="1:33">
      <c r="A135" t="s">
        <v>2414</v>
      </c>
      <c r="B135" t="s">
        <v>3175</v>
      </c>
      <c r="C135" t="s">
        <v>3174</v>
      </c>
      <c r="D135" t="s">
        <v>2349</v>
      </c>
      <c r="F135">
        <v>184.06393399999999</v>
      </c>
      <c r="G135">
        <v>187.99842799999999</v>
      </c>
      <c r="H135">
        <v>191.23436000000001</v>
      </c>
      <c r="I135">
        <v>195.29797400000001</v>
      </c>
      <c r="J135">
        <v>199.68810999999999</v>
      </c>
      <c r="K135">
        <v>203.99813800000001</v>
      </c>
      <c r="L135">
        <v>208.07920799999999</v>
      </c>
      <c r="M135">
        <v>212.10664399999999</v>
      </c>
      <c r="N135">
        <v>216.089676</v>
      </c>
      <c r="O135">
        <v>220.03123500000001</v>
      </c>
      <c r="P135">
        <v>223.927795</v>
      </c>
      <c r="Q135">
        <v>227.775665</v>
      </c>
      <c r="R135">
        <v>231.571945</v>
      </c>
      <c r="S135">
        <v>235.31449900000001</v>
      </c>
      <c r="T135">
        <v>238.99943500000001</v>
      </c>
      <c r="U135">
        <v>242.62164300000001</v>
      </c>
      <c r="V135">
        <v>246.16503900000001</v>
      </c>
      <c r="W135">
        <v>249.630753</v>
      </c>
      <c r="X135">
        <v>253.01364100000001</v>
      </c>
      <c r="Y135">
        <v>256.30938700000002</v>
      </c>
      <c r="Z135">
        <v>259.51357999999999</v>
      </c>
      <c r="AA135">
        <v>262.621735</v>
      </c>
      <c r="AB135">
        <v>265.630066</v>
      </c>
      <c r="AC135">
        <v>268.53420999999997</v>
      </c>
      <c r="AD135">
        <v>271.33004799999998</v>
      </c>
      <c r="AE135">
        <v>274.013397</v>
      </c>
      <c r="AF135">
        <v>276.58126800000002</v>
      </c>
      <c r="AG135" s="144">
        <v>1.6E-2</v>
      </c>
    </row>
    <row r="136" spans="1:33">
      <c r="A136" t="s">
        <v>2366</v>
      </c>
      <c r="B136" t="s">
        <v>3173</v>
      </c>
      <c r="C136" t="s">
        <v>3172</v>
      </c>
      <c r="D136" t="s">
        <v>2349</v>
      </c>
      <c r="F136">
        <v>953.38067599999999</v>
      </c>
      <c r="G136">
        <v>984.63324</v>
      </c>
      <c r="H136">
        <v>1017.136841</v>
      </c>
      <c r="I136">
        <v>1049.4233400000001</v>
      </c>
      <c r="J136">
        <v>1081.353149</v>
      </c>
      <c r="K136">
        <v>1113.5239260000001</v>
      </c>
      <c r="L136">
        <v>1145.0198969999999</v>
      </c>
      <c r="M136">
        <v>1176.9780270000001</v>
      </c>
      <c r="N136">
        <v>1209.4343260000001</v>
      </c>
      <c r="O136">
        <v>1242.380737</v>
      </c>
      <c r="P136">
        <v>1275.8007809999999</v>
      </c>
      <c r="Q136">
        <v>1309.64978</v>
      </c>
      <c r="R136">
        <v>1343.914307</v>
      </c>
      <c r="S136">
        <v>1378.658813</v>
      </c>
      <c r="T136">
        <v>1413.9189449999999</v>
      </c>
      <c r="U136">
        <v>1449.7238769999999</v>
      </c>
      <c r="V136">
        <v>1486.0345460000001</v>
      </c>
      <c r="W136">
        <v>1522.8326420000001</v>
      </c>
      <c r="X136">
        <v>1560.1251219999999</v>
      </c>
      <c r="Y136">
        <v>1597.924438</v>
      </c>
      <c r="Z136">
        <v>1636.2231449999999</v>
      </c>
      <c r="AA136">
        <v>1675.023682</v>
      </c>
      <c r="AB136">
        <v>1714.3203120000001</v>
      </c>
      <c r="AC136">
        <v>1754.094971</v>
      </c>
      <c r="AD136">
        <v>1794.3393550000001</v>
      </c>
      <c r="AE136">
        <v>1835.056885</v>
      </c>
      <c r="AF136">
        <v>1876.2849120000001</v>
      </c>
      <c r="AG136" s="144">
        <v>2.5999999999999999E-2</v>
      </c>
    </row>
    <row r="137" spans="1:33">
      <c r="A137" t="s">
        <v>2420</v>
      </c>
      <c r="B137" t="s">
        <v>3171</v>
      </c>
      <c r="C137" t="s">
        <v>3170</v>
      </c>
      <c r="D137" t="s">
        <v>2349</v>
      </c>
      <c r="F137">
        <v>652.95654300000001</v>
      </c>
      <c r="G137">
        <v>674.41473399999995</v>
      </c>
      <c r="H137">
        <v>696.70129399999996</v>
      </c>
      <c r="I137">
        <v>718.84991500000001</v>
      </c>
      <c r="J137">
        <v>740.76605199999995</v>
      </c>
      <c r="K137">
        <v>762.85406499999999</v>
      </c>
      <c r="L137">
        <v>784.48480199999995</v>
      </c>
      <c r="M137">
        <v>806.43676800000003</v>
      </c>
      <c r="N137">
        <v>828.73419200000001</v>
      </c>
      <c r="O137">
        <v>851.37207000000001</v>
      </c>
      <c r="P137">
        <v>874.33935499999995</v>
      </c>
      <c r="Q137">
        <v>897.60565199999996</v>
      </c>
      <c r="R137">
        <v>921.16143799999998</v>
      </c>
      <c r="S137">
        <v>945.05084199999999</v>
      </c>
      <c r="T137">
        <v>969.29791299999999</v>
      </c>
      <c r="U137">
        <v>993.922729</v>
      </c>
      <c r="V137">
        <v>1018.898315</v>
      </c>
      <c r="W137">
        <v>1044.212524</v>
      </c>
      <c r="X137">
        <v>1069.8702390000001</v>
      </c>
      <c r="Y137">
        <v>1095.8801269999999</v>
      </c>
      <c r="Z137">
        <v>1122.236938</v>
      </c>
      <c r="AA137">
        <v>1148.9426269999999</v>
      </c>
      <c r="AB137">
        <v>1175.993408</v>
      </c>
      <c r="AC137">
        <v>1203.3773189999999</v>
      </c>
      <c r="AD137">
        <v>1231.0888669999999</v>
      </c>
      <c r="AE137">
        <v>1259.1301269999999</v>
      </c>
      <c r="AF137">
        <v>1287.5269780000001</v>
      </c>
      <c r="AG137" s="144">
        <v>2.5999999999999999E-2</v>
      </c>
    </row>
    <row r="138" spans="1:33">
      <c r="A138" t="s">
        <v>2417</v>
      </c>
      <c r="B138" t="s">
        <v>3169</v>
      </c>
      <c r="C138" t="s">
        <v>3168</v>
      </c>
      <c r="D138" t="s">
        <v>2349</v>
      </c>
      <c r="F138">
        <v>95.957633999999999</v>
      </c>
      <c r="G138">
        <v>99.246009999999998</v>
      </c>
      <c r="H138">
        <v>102.64946</v>
      </c>
      <c r="I138">
        <v>106.088371</v>
      </c>
      <c r="J138">
        <v>109.555527</v>
      </c>
      <c r="K138">
        <v>113.083557</v>
      </c>
      <c r="L138">
        <v>116.570213</v>
      </c>
      <c r="M138">
        <v>120.128716</v>
      </c>
      <c r="N138">
        <v>123.761383</v>
      </c>
      <c r="O138">
        <v>127.467896</v>
      </c>
      <c r="P138">
        <v>131.248886</v>
      </c>
      <c r="Q138">
        <v>135.10128800000001</v>
      </c>
      <c r="R138">
        <v>139.023224</v>
      </c>
      <c r="S138">
        <v>143.01824999999999</v>
      </c>
      <c r="T138">
        <v>147.090012</v>
      </c>
      <c r="U138">
        <v>151.240768</v>
      </c>
      <c r="V138">
        <v>155.46713299999999</v>
      </c>
      <c r="W138">
        <v>159.76795999999999</v>
      </c>
      <c r="X138">
        <v>164.14505</v>
      </c>
      <c r="Y138">
        <v>168.59942599999999</v>
      </c>
      <c r="Z138">
        <v>173.130966</v>
      </c>
      <c r="AA138">
        <v>177.74101300000001</v>
      </c>
      <c r="AB138">
        <v>182.42971800000001</v>
      </c>
      <c r="AC138">
        <v>187.197632</v>
      </c>
      <c r="AD138">
        <v>192.04452499999999</v>
      </c>
      <c r="AE138">
        <v>196.96958900000001</v>
      </c>
      <c r="AF138">
        <v>201.97718800000001</v>
      </c>
      <c r="AG138" s="144">
        <v>2.9000000000000001E-2</v>
      </c>
    </row>
    <row r="139" spans="1:33">
      <c r="A139" t="s">
        <v>2414</v>
      </c>
      <c r="B139" t="s">
        <v>3167</v>
      </c>
      <c r="C139" t="s">
        <v>3166</v>
      </c>
      <c r="D139" t="s">
        <v>2349</v>
      </c>
      <c r="F139">
        <v>204.46650700000001</v>
      </c>
      <c r="G139">
        <v>210.972488</v>
      </c>
      <c r="H139">
        <v>217.786057</v>
      </c>
      <c r="I139">
        <v>224.48509200000001</v>
      </c>
      <c r="J139">
        <v>231.03160099999999</v>
      </c>
      <c r="K139">
        <v>237.586365</v>
      </c>
      <c r="L139">
        <v>243.964935</v>
      </c>
      <c r="M139">
        <v>250.41258199999999</v>
      </c>
      <c r="N139">
        <v>256.93866000000003</v>
      </c>
      <c r="O139">
        <v>263.54074100000003</v>
      </c>
      <c r="P139">
        <v>270.21255500000001</v>
      </c>
      <c r="Q139">
        <v>276.94287100000003</v>
      </c>
      <c r="R139">
        <v>283.72955300000001</v>
      </c>
      <c r="S139">
        <v>290.58972199999999</v>
      </c>
      <c r="T139">
        <v>297.53097500000001</v>
      </c>
      <c r="U139">
        <v>304.56048600000003</v>
      </c>
      <c r="V139">
        <v>311.66906699999998</v>
      </c>
      <c r="W139">
        <v>318.85214200000001</v>
      </c>
      <c r="X139">
        <v>326.10983299999998</v>
      </c>
      <c r="Y139">
        <v>333.44491599999998</v>
      </c>
      <c r="Z139">
        <v>340.855255</v>
      </c>
      <c r="AA139">
        <v>348.34011800000002</v>
      </c>
      <c r="AB139">
        <v>355.89724699999999</v>
      </c>
      <c r="AC139">
        <v>363.51998900000001</v>
      </c>
      <c r="AD139">
        <v>371.205872</v>
      </c>
      <c r="AE139">
        <v>378.95709199999999</v>
      </c>
      <c r="AF139">
        <v>386.780823</v>
      </c>
      <c r="AG139" s="144">
        <v>2.5000000000000001E-2</v>
      </c>
    </row>
    <row r="140" spans="1:33">
      <c r="A140" t="s">
        <v>153</v>
      </c>
      <c r="B140" t="s">
        <v>3165</v>
      </c>
      <c r="C140" t="s">
        <v>3164</v>
      </c>
      <c r="D140" t="s">
        <v>2349</v>
      </c>
      <c r="F140">
        <v>28660.859375</v>
      </c>
      <c r="G140">
        <v>29611.708984000001</v>
      </c>
      <c r="H140">
        <v>30739.203125</v>
      </c>
      <c r="I140">
        <v>31830.222656000002</v>
      </c>
      <c r="J140">
        <v>32902.949219000002</v>
      </c>
      <c r="K140">
        <v>33986.675780999998</v>
      </c>
      <c r="L140">
        <v>35053.378905999998</v>
      </c>
      <c r="M140">
        <v>36119.550780999998</v>
      </c>
      <c r="N140">
        <v>37225.695312000003</v>
      </c>
      <c r="O140">
        <v>38361.757812000003</v>
      </c>
      <c r="P140">
        <v>39513.167969000002</v>
      </c>
      <c r="Q140">
        <v>40696.800780999998</v>
      </c>
      <c r="R140">
        <v>41899.992187999997</v>
      </c>
      <c r="S140">
        <v>43130.121094000002</v>
      </c>
      <c r="T140">
        <v>44391.996094000002</v>
      </c>
      <c r="U140">
        <v>45675.078125</v>
      </c>
      <c r="V140">
        <v>46980.3125</v>
      </c>
      <c r="W140">
        <v>48305.5</v>
      </c>
      <c r="X140">
        <v>49666.3125</v>
      </c>
      <c r="Y140">
        <v>51043.382812000003</v>
      </c>
      <c r="Z140">
        <v>52427.242187999997</v>
      </c>
      <c r="AA140">
        <v>53825.5625</v>
      </c>
      <c r="AB140">
        <v>55239.125</v>
      </c>
      <c r="AC140">
        <v>56697.40625</v>
      </c>
      <c r="AD140">
        <v>58185.4375</v>
      </c>
      <c r="AE140">
        <v>59683.863280999998</v>
      </c>
      <c r="AF140">
        <v>61198.453125</v>
      </c>
      <c r="AG140" s="144">
        <v>0.03</v>
      </c>
    </row>
    <row r="141" spans="1:33">
      <c r="A141" t="s">
        <v>2420</v>
      </c>
      <c r="B141" t="s">
        <v>3163</v>
      </c>
      <c r="C141" t="s">
        <v>3162</v>
      </c>
      <c r="D141" t="s">
        <v>2349</v>
      </c>
      <c r="F141">
        <v>17443.582031000002</v>
      </c>
      <c r="G141">
        <v>18077.296875</v>
      </c>
      <c r="H141">
        <v>18789.980468999998</v>
      </c>
      <c r="I141">
        <v>19478.15625</v>
      </c>
      <c r="J141">
        <v>20156.488281000002</v>
      </c>
      <c r="K141">
        <v>20843.492188</v>
      </c>
      <c r="L141">
        <v>21521.882812</v>
      </c>
      <c r="M141">
        <v>22200.808593999998</v>
      </c>
      <c r="N141">
        <v>22905.816406000002</v>
      </c>
      <c r="O141">
        <v>23630.015625</v>
      </c>
      <c r="P141">
        <v>24364.136718999998</v>
      </c>
      <c r="Q141">
        <v>25118.683593999998</v>
      </c>
      <c r="R141">
        <v>25884.654297000001</v>
      </c>
      <c r="S141">
        <v>26667.246093999998</v>
      </c>
      <c r="T141">
        <v>27469.445312</v>
      </c>
      <c r="U141">
        <v>28284.539062</v>
      </c>
      <c r="V141">
        <v>29112.765625</v>
      </c>
      <c r="W141">
        <v>29952.630859000001</v>
      </c>
      <c r="X141">
        <v>30814.068359000001</v>
      </c>
      <c r="Y141">
        <v>31684.746093999998</v>
      </c>
      <c r="Z141">
        <v>32558.658202999999</v>
      </c>
      <c r="AA141">
        <v>33440.617187999997</v>
      </c>
      <c r="AB141">
        <v>34331.015625</v>
      </c>
      <c r="AC141">
        <v>35248.214844000002</v>
      </c>
      <c r="AD141">
        <v>36182.429687999997</v>
      </c>
      <c r="AE141">
        <v>37121.128905999998</v>
      </c>
      <c r="AF141">
        <v>38067.804687999997</v>
      </c>
      <c r="AG141" s="144">
        <v>0.03</v>
      </c>
    </row>
    <row r="142" spans="1:33">
      <c r="A142" t="s">
        <v>2417</v>
      </c>
      <c r="B142" t="s">
        <v>3161</v>
      </c>
      <c r="C142" t="s">
        <v>3160</v>
      </c>
      <c r="D142" t="s">
        <v>2349</v>
      </c>
      <c r="F142">
        <v>5219.9575199999999</v>
      </c>
      <c r="G142">
        <v>5372.2182620000003</v>
      </c>
      <c r="H142">
        <v>5582.6982420000004</v>
      </c>
      <c r="I142">
        <v>5788.1289059999999</v>
      </c>
      <c r="J142">
        <v>5989.8315430000002</v>
      </c>
      <c r="K142">
        <v>6190.5664059999999</v>
      </c>
      <c r="L142">
        <v>6388.8222660000001</v>
      </c>
      <c r="M142">
        <v>6588.8964839999999</v>
      </c>
      <c r="N142">
        <v>6794.7441410000001</v>
      </c>
      <c r="O142">
        <v>7005.5322269999997</v>
      </c>
      <c r="P142">
        <v>7219.8759769999997</v>
      </c>
      <c r="Q142">
        <v>7439.3007809999999</v>
      </c>
      <c r="R142">
        <v>7663.1635740000002</v>
      </c>
      <c r="S142">
        <v>7891.8334960000002</v>
      </c>
      <c r="T142">
        <v>8126.2543949999999</v>
      </c>
      <c r="U142">
        <v>8365.4345699999994</v>
      </c>
      <c r="V142">
        <v>8610.0839840000008</v>
      </c>
      <c r="W142">
        <v>8860.1132809999999</v>
      </c>
      <c r="X142">
        <v>9116.5419920000004</v>
      </c>
      <c r="Y142">
        <v>9377.4794920000004</v>
      </c>
      <c r="Z142">
        <v>9641.8447269999997</v>
      </c>
      <c r="AA142">
        <v>9910.1904300000006</v>
      </c>
      <c r="AB142">
        <v>10182.791992</v>
      </c>
      <c r="AC142">
        <v>10462.528319999999</v>
      </c>
      <c r="AD142">
        <v>10748.541992</v>
      </c>
      <c r="AE142">
        <v>11039.524414</v>
      </c>
      <c r="AF142">
        <v>11335.926758</v>
      </c>
      <c r="AG142" s="144">
        <v>0.03</v>
      </c>
    </row>
    <row r="143" spans="1:33">
      <c r="A143" t="s">
        <v>2414</v>
      </c>
      <c r="B143" t="s">
        <v>3159</v>
      </c>
      <c r="C143" t="s">
        <v>3158</v>
      </c>
      <c r="D143" t="s">
        <v>2349</v>
      </c>
      <c r="F143">
        <v>5997.3208009999998</v>
      </c>
      <c r="G143">
        <v>6162.1938479999999</v>
      </c>
      <c r="H143">
        <v>6366.5258789999998</v>
      </c>
      <c r="I143">
        <v>6563.9370120000003</v>
      </c>
      <c r="J143">
        <v>6756.6303710000002</v>
      </c>
      <c r="K143">
        <v>6952.6118159999996</v>
      </c>
      <c r="L143">
        <v>7142.6684569999998</v>
      </c>
      <c r="M143">
        <v>7329.845703</v>
      </c>
      <c r="N143">
        <v>7525.1391599999997</v>
      </c>
      <c r="O143">
        <v>7726.2045900000003</v>
      </c>
      <c r="P143">
        <v>7929.1499020000001</v>
      </c>
      <c r="Q143">
        <v>8138.8125</v>
      </c>
      <c r="R143">
        <v>8352.1767579999996</v>
      </c>
      <c r="S143">
        <v>8571.0341800000006</v>
      </c>
      <c r="T143">
        <v>8796.2880860000005</v>
      </c>
      <c r="U143">
        <v>9025.1113280000009</v>
      </c>
      <c r="V143">
        <v>9257.4638670000004</v>
      </c>
      <c r="W143">
        <v>9492.7636719999991</v>
      </c>
      <c r="X143">
        <v>9735.703125</v>
      </c>
      <c r="Y143">
        <v>9981.1523440000001</v>
      </c>
      <c r="Z143">
        <v>10226.740234000001</v>
      </c>
      <c r="AA143">
        <v>10474.75</v>
      </c>
      <c r="AB143">
        <v>10725.330078000001</v>
      </c>
      <c r="AC143">
        <v>10986.657227</v>
      </c>
      <c r="AD143">
        <v>11254.470703000001</v>
      </c>
      <c r="AE143">
        <v>11523.214844</v>
      </c>
      <c r="AF143">
        <v>11794.717773</v>
      </c>
      <c r="AG143" s="144">
        <v>2.5999999999999999E-2</v>
      </c>
    </row>
    <row r="144" spans="1:33">
      <c r="A144" t="s">
        <v>1249</v>
      </c>
    </row>
    <row r="145" spans="1:33">
      <c r="A145" t="s">
        <v>195</v>
      </c>
      <c r="B145" t="s">
        <v>3157</v>
      </c>
      <c r="C145" t="s">
        <v>3156</v>
      </c>
      <c r="D145" t="s">
        <v>2349</v>
      </c>
      <c r="F145">
        <v>247</v>
      </c>
      <c r="G145">
        <v>247</v>
      </c>
      <c r="H145">
        <v>247</v>
      </c>
      <c r="I145">
        <v>247</v>
      </c>
      <c r="J145">
        <v>247</v>
      </c>
      <c r="K145">
        <v>247</v>
      </c>
      <c r="L145">
        <v>247</v>
      </c>
      <c r="M145">
        <v>247</v>
      </c>
      <c r="N145">
        <v>247</v>
      </c>
      <c r="O145">
        <v>247</v>
      </c>
      <c r="P145">
        <v>247</v>
      </c>
      <c r="Q145">
        <v>247</v>
      </c>
      <c r="R145">
        <v>247</v>
      </c>
      <c r="S145">
        <v>247</v>
      </c>
      <c r="T145">
        <v>247</v>
      </c>
      <c r="U145">
        <v>247</v>
      </c>
      <c r="V145">
        <v>247</v>
      </c>
      <c r="W145">
        <v>247</v>
      </c>
      <c r="X145">
        <v>247</v>
      </c>
      <c r="Y145">
        <v>247</v>
      </c>
      <c r="Z145">
        <v>247</v>
      </c>
      <c r="AA145">
        <v>247</v>
      </c>
      <c r="AB145">
        <v>247</v>
      </c>
      <c r="AC145">
        <v>247</v>
      </c>
      <c r="AD145">
        <v>247</v>
      </c>
      <c r="AE145">
        <v>247</v>
      </c>
      <c r="AF145">
        <v>247</v>
      </c>
      <c r="AG145" s="144">
        <v>0</v>
      </c>
    </row>
    <row r="146" spans="1:33">
      <c r="A146" t="s">
        <v>2420</v>
      </c>
      <c r="B146" t="s">
        <v>3155</v>
      </c>
      <c r="C146" t="s">
        <v>3154</v>
      </c>
      <c r="D146" t="s">
        <v>2349</v>
      </c>
      <c r="F146">
        <v>90</v>
      </c>
      <c r="G146">
        <v>90</v>
      </c>
      <c r="H146">
        <v>90</v>
      </c>
      <c r="I146">
        <v>90</v>
      </c>
      <c r="J146">
        <v>90</v>
      </c>
      <c r="K146">
        <v>90</v>
      </c>
      <c r="L146">
        <v>90</v>
      </c>
      <c r="M146">
        <v>90</v>
      </c>
      <c r="N146">
        <v>90</v>
      </c>
      <c r="O146">
        <v>90</v>
      </c>
      <c r="P146">
        <v>90</v>
      </c>
      <c r="Q146">
        <v>90</v>
      </c>
      <c r="R146">
        <v>90</v>
      </c>
      <c r="S146">
        <v>90</v>
      </c>
      <c r="T146">
        <v>90</v>
      </c>
      <c r="U146">
        <v>90</v>
      </c>
      <c r="V146">
        <v>90</v>
      </c>
      <c r="W146">
        <v>90</v>
      </c>
      <c r="X146">
        <v>90</v>
      </c>
      <c r="Y146">
        <v>90</v>
      </c>
      <c r="Z146">
        <v>90</v>
      </c>
      <c r="AA146">
        <v>90</v>
      </c>
      <c r="AB146">
        <v>90</v>
      </c>
      <c r="AC146">
        <v>90</v>
      </c>
      <c r="AD146">
        <v>90</v>
      </c>
      <c r="AE146">
        <v>90</v>
      </c>
      <c r="AF146">
        <v>90</v>
      </c>
      <c r="AG146" s="144">
        <v>0</v>
      </c>
    </row>
    <row r="147" spans="1:33">
      <c r="A147" t="s">
        <v>2417</v>
      </c>
      <c r="B147" t="s">
        <v>3153</v>
      </c>
      <c r="C147" t="s">
        <v>3152</v>
      </c>
      <c r="D147" t="s">
        <v>2349</v>
      </c>
      <c r="F147">
        <v>22</v>
      </c>
      <c r="G147">
        <v>22</v>
      </c>
      <c r="H147">
        <v>22</v>
      </c>
      <c r="I147">
        <v>22</v>
      </c>
      <c r="J147">
        <v>22</v>
      </c>
      <c r="K147">
        <v>22</v>
      </c>
      <c r="L147">
        <v>22</v>
      </c>
      <c r="M147">
        <v>22</v>
      </c>
      <c r="N147">
        <v>22</v>
      </c>
      <c r="O147">
        <v>22</v>
      </c>
      <c r="P147">
        <v>22</v>
      </c>
      <c r="Q147">
        <v>22</v>
      </c>
      <c r="R147">
        <v>22</v>
      </c>
      <c r="S147">
        <v>22</v>
      </c>
      <c r="T147">
        <v>22</v>
      </c>
      <c r="U147">
        <v>22</v>
      </c>
      <c r="V147">
        <v>22</v>
      </c>
      <c r="W147">
        <v>22</v>
      </c>
      <c r="X147">
        <v>22</v>
      </c>
      <c r="Y147">
        <v>22</v>
      </c>
      <c r="Z147">
        <v>22</v>
      </c>
      <c r="AA147">
        <v>22</v>
      </c>
      <c r="AB147">
        <v>22</v>
      </c>
      <c r="AC147">
        <v>22</v>
      </c>
      <c r="AD147">
        <v>22</v>
      </c>
      <c r="AE147">
        <v>22</v>
      </c>
      <c r="AF147">
        <v>22</v>
      </c>
      <c r="AG147" s="144">
        <v>0</v>
      </c>
    </row>
    <row r="148" spans="1:33">
      <c r="A148" t="s">
        <v>2414</v>
      </c>
      <c r="B148" t="s">
        <v>3151</v>
      </c>
      <c r="C148" t="s">
        <v>3150</v>
      </c>
      <c r="D148" t="s">
        <v>2349</v>
      </c>
      <c r="F148">
        <v>135</v>
      </c>
      <c r="G148">
        <v>135</v>
      </c>
      <c r="H148">
        <v>135</v>
      </c>
      <c r="I148">
        <v>135</v>
      </c>
      <c r="J148">
        <v>135</v>
      </c>
      <c r="K148">
        <v>135</v>
      </c>
      <c r="L148">
        <v>135</v>
      </c>
      <c r="M148">
        <v>135</v>
      </c>
      <c r="N148">
        <v>135</v>
      </c>
      <c r="O148">
        <v>135</v>
      </c>
      <c r="P148">
        <v>135</v>
      </c>
      <c r="Q148">
        <v>135</v>
      </c>
      <c r="R148">
        <v>135</v>
      </c>
      <c r="S148">
        <v>135</v>
      </c>
      <c r="T148">
        <v>135</v>
      </c>
      <c r="U148">
        <v>135</v>
      </c>
      <c r="V148">
        <v>135</v>
      </c>
      <c r="W148">
        <v>135</v>
      </c>
      <c r="X148">
        <v>135</v>
      </c>
      <c r="Y148">
        <v>135</v>
      </c>
      <c r="Z148">
        <v>135</v>
      </c>
      <c r="AA148">
        <v>135</v>
      </c>
      <c r="AB148">
        <v>135</v>
      </c>
      <c r="AC148">
        <v>135</v>
      </c>
      <c r="AD148">
        <v>135</v>
      </c>
      <c r="AE148">
        <v>135</v>
      </c>
      <c r="AF148">
        <v>135</v>
      </c>
      <c r="AG148" s="144">
        <v>0</v>
      </c>
    </row>
    <row r="149" spans="1:33">
      <c r="A149" t="s">
        <v>196</v>
      </c>
      <c r="B149" t="s">
        <v>3149</v>
      </c>
      <c r="C149" t="s">
        <v>3148</v>
      </c>
      <c r="D149" t="s">
        <v>2349</v>
      </c>
      <c r="F149">
        <v>38.933678</v>
      </c>
      <c r="G149">
        <v>38.329009999999997</v>
      </c>
      <c r="H149">
        <v>38.329009999999997</v>
      </c>
      <c r="I149">
        <v>38.329009999999997</v>
      </c>
      <c r="J149">
        <v>38.329009999999997</v>
      </c>
      <c r="K149">
        <v>38.329009999999997</v>
      </c>
      <c r="L149">
        <v>38.329009999999997</v>
      </c>
      <c r="M149">
        <v>38.329009999999997</v>
      </c>
      <c r="N149">
        <v>38.329009999999997</v>
      </c>
      <c r="O149">
        <v>38.329009999999997</v>
      </c>
      <c r="P149">
        <v>38.329009999999997</v>
      </c>
      <c r="Q149">
        <v>38.329009999999997</v>
      </c>
      <c r="R149">
        <v>38.329009999999997</v>
      </c>
      <c r="S149">
        <v>38.329009999999997</v>
      </c>
      <c r="T149">
        <v>38.329009999999997</v>
      </c>
      <c r="U149">
        <v>38.329009999999997</v>
      </c>
      <c r="V149">
        <v>38.329009999999997</v>
      </c>
      <c r="W149">
        <v>38.329009999999997</v>
      </c>
      <c r="X149">
        <v>38.329009999999997</v>
      </c>
      <c r="Y149">
        <v>38.329009999999997</v>
      </c>
      <c r="Z149">
        <v>38.329009999999997</v>
      </c>
      <c r="AA149">
        <v>38.329009999999997</v>
      </c>
      <c r="AB149">
        <v>38.329009999999997</v>
      </c>
      <c r="AC149">
        <v>38.329009999999997</v>
      </c>
      <c r="AD149">
        <v>38.329009999999997</v>
      </c>
      <c r="AE149">
        <v>38.329009999999997</v>
      </c>
      <c r="AF149">
        <v>38.329009999999997</v>
      </c>
      <c r="AG149" s="144">
        <v>-1E-3</v>
      </c>
    </row>
    <row r="150" spans="1:33">
      <c r="A150" t="s">
        <v>2420</v>
      </c>
      <c r="B150" t="s">
        <v>3147</v>
      </c>
      <c r="C150" t="s">
        <v>3146</v>
      </c>
      <c r="D150" t="s">
        <v>2349</v>
      </c>
      <c r="F150">
        <v>9.1442730000000001</v>
      </c>
      <c r="G150">
        <v>8.5694130000000008</v>
      </c>
      <c r="H150">
        <v>8.5694130000000008</v>
      </c>
      <c r="I150">
        <v>8.5694130000000008</v>
      </c>
      <c r="J150">
        <v>8.5694130000000008</v>
      </c>
      <c r="K150">
        <v>8.5694130000000008</v>
      </c>
      <c r="L150">
        <v>8.5694130000000008</v>
      </c>
      <c r="M150">
        <v>8.5694130000000008</v>
      </c>
      <c r="N150">
        <v>8.5694130000000008</v>
      </c>
      <c r="O150">
        <v>8.5694130000000008</v>
      </c>
      <c r="P150">
        <v>8.5694130000000008</v>
      </c>
      <c r="Q150">
        <v>8.5694130000000008</v>
      </c>
      <c r="R150">
        <v>8.5694130000000008</v>
      </c>
      <c r="S150">
        <v>8.5694130000000008</v>
      </c>
      <c r="T150">
        <v>8.5694130000000008</v>
      </c>
      <c r="U150">
        <v>8.5694130000000008</v>
      </c>
      <c r="V150">
        <v>8.5694130000000008</v>
      </c>
      <c r="W150">
        <v>8.5694130000000008</v>
      </c>
      <c r="X150">
        <v>8.5694130000000008</v>
      </c>
      <c r="Y150">
        <v>8.5694130000000008</v>
      </c>
      <c r="Z150">
        <v>8.5694130000000008</v>
      </c>
      <c r="AA150">
        <v>8.5694130000000008</v>
      </c>
      <c r="AB150">
        <v>8.5694130000000008</v>
      </c>
      <c r="AC150">
        <v>8.5694130000000008</v>
      </c>
      <c r="AD150">
        <v>8.5694130000000008</v>
      </c>
      <c r="AE150">
        <v>8.5694130000000008</v>
      </c>
      <c r="AF150">
        <v>8.5694130000000008</v>
      </c>
      <c r="AG150" s="144">
        <v>-2E-3</v>
      </c>
    </row>
    <row r="151" spans="1:33">
      <c r="A151" t="s">
        <v>2417</v>
      </c>
      <c r="B151" t="s">
        <v>3145</v>
      </c>
      <c r="C151" t="s">
        <v>3144</v>
      </c>
      <c r="D151" t="s">
        <v>2349</v>
      </c>
      <c r="F151">
        <v>1.789407</v>
      </c>
      <c r="G151">
        <v>1.759598</v>
      </c>
      <c r="H151">
        <v>1.759598</v>
      </c>
      <c r="I151">
        <v>1.759598</v>
      </c>
      <c r="J151">
        <v>1.759598</v>
      </c>
      <c r="K151">
        <v>1.759598</v>
      </c>
      <c r="L151">
        <v>1.759598</v>
      </c>
      <c r="M151">
        <v>1.759598</v>
      </c>
      <c r="N151">
        <v>1.759598</v>
      </c>
      <c r="O151">
        <v>1.759598</v>
      </c>
      <c r="P151">
        <v>1.759598</v>
      </c>
      <c r="Q151">
        <v>1.759598</v>
      </c>
      <c r="R151">
        <v>1.759598</v>
      </c>
      <c r="S151">
        <v>1.759598</v>
      </c>
      <c r="T151">
        <v>1.759598</v>
      </c>
      <c r="U151">
        <v>1.759598</v>
      </c>
      <c r="V151">
        <v>1.759598</v>
      </c>
      <c r="W151">
        <v>1.759598</v>
      </c>
      <c r="X151">
        <v>1.759598</v>
      </c>
      <c r="Y151">
        <v>1.759598</v>
      </c>
      <c r="Z151">
        <v>1.759598</v>
      </c>
      <c r="AA151">
        <v>1.759598</v>
      </c>
      <c r="AB151">
        <v>1.759598</v>
      </c>
      <c r="AC151">
        <v>1.759598</v>
      </c>
      <c r="AD151">
        <v>1.759598</v>
      </c>
      <c r="AE151">
        <v>1.759598</v>
      </c>
      <c r="AF151">
        <v>1.759598</v>
      </c>
      <c r="AG151" s="144">
        <v>-1E-3</v>
      </c>
    </row>
    <row r="152" spans="1:33">
      <c r="A152" t="s">
        <v>2414</v>
      </c>
      <c r="B152" t="s">
        <v>3143</v>
      </c>
      <c r="C152" t="s">
        <v>3142</v>
      </c>
      <c r="D152" t="s">
        <v>2349</v>
      </c>
      <c r="F152">
        <v>28</v>
      </c>
      <c r="G152">
        <v>28</v>
      </c>
      <c r="H152">
        <v>28</v>
      </c>
      <c r="I152">
        <v>28</v>
      </c>
      <c r="J152">
        <v>28</v>
      </c>
      <c r="K152">
        <v>28</v>
      </c>
      <c r="L152">
        <v>28</v>
      </c>
      <c r="M152">
        <v>28</v>
      </c>
      <c r="N152">
        <v>28</v>
      </c>
      <c r="O152">
        <v>28</v>
      </c>
      <c r="P152">
        <v>28</v>
      </c>
      <c r="Q152">
        <v>28</v>
      </c>
      <c r="R152">
        <v>28</v>
      </c>
      <c r="S152">
        <v>28</v>
      </c>
      <c r="T152">
        <v>28</v>
      </c>
      <c r="U152">
        <v>28</v>
      </c>
      <c r="V152">
        <v>28</v>
      </c>
      <c r="W152">
        <v>28</v>
      </c>
      <c r="X152">
        <v>28</v>
      </c>
      <c r="Y152">
        <v>28</v>
      </c>
      <c r="Z152">
        <v>28</v>
      </c>
      <c r="AA152">
        <v>28</v>
      </c>
      <c r="AB152">
        <v>28</v>
      </c>
      <c r="AC152">
        <v>28</v>
      </c>
      <c r="AD152">
        <v>28</v>
      </c>
      <c r="AE152">
        <v>28</v>
      </c>
      <c r="AF152">
        <v>28</v>
      </c>
      <c r="AG152" s="144">
        <v>0</v>
      </c>
    </row>
    <row r="153" spans="1:33">
      <c r="A153" t="s">
        <v>2403</v>
      </c>
      <c r="B153" t="s">
        <v>3141</v>
      </c>
      <c r="C153" t="s">
        <v>3140</v>
      </c>
      <c r="D153" t="s">
        <v>2349</v>
      </c>
      <c r="F153">
        <v>23.443687000000001</v>
      </c>
      <c r="G153">
        <v>23.443687000000001</v>
      </c>
      <c r="H153">
        <v>23.443687000000001</v>
      </c>
      <c r="I153">
        <v>23.443687000000001</v>
      </c>
      <c r="J153">
        <v>23.443687000000001</v>
      </c>
      <c r="K153">
        <v>23.443687000000001</v>
      </c>
      <c r="L153">
        <v>23.443687000000001</v>
      </c>
      <c r="M153">
        <v>23.443687000000001</v>
      </c>
      <c r="N153">
        <v>23.443687000000001</v>
      </c>
      <c r="O153">
        <v>23.443687000000001</v>
      </c>
      <c r="P153">
        <v>23.443687000000001</v>
      </c>
      <c r="Q153">
        <v>23.443687000000001</v>
      </c>
      <c r="R153">
        <v>23.443687000000001</v>
      </c>
      <c r="S153">
        <v>23.443687000000001</v>
      </c>
      <c r="T153">
        <v>23.443687000000001</v>
      </c>
      <c r="U153">
        <v>23.443687000000001</v>
      </c>
      <c r="V153">
        <v>23.443687000000001</v>
      </c>
      <c r="W153">
        <v>23.443687000000001</v>
      </c>
      <c r="X153">
        <v>23.443687000000001</v>
      </c>
      <c r="Y153">
        <v>23.443687000000001</v>
      </c>
      <c r="Z153">
        <v>23.443687000000001</v>
      </c>
      <c r="AA153">
        <v>23.443687000000001</v>
      </c>
      <c r="AB153">
        <v>23.443687000000001</v>
      </c>
      <c r="AC153">
        <v>23.443687000000001</v>
      </c>
      <c r="AD153">
        <v>23.443687000000001</v>
      </c>
      <c r="AE153">
        <v>23.443687000000001</v>
      </c>
      <c r="AF153">
        <v>23.443687000000001</v>
      </c>
      <c r="AG153" s="144">
        <v>0</v>
      </c>
    </row>
    <row r="154" spans="1:33">
      <c r="A154" t="s">
        <v>2420</v>
      </c>
      <c r="B154" t="s">
        <v>3139</v>
      </c>
      <c r="C154" t="s">
        <v>3138</v>
      </c>
      <c r="D154" t="s">
        <v>2349</v>
      </c>
      <c r="F154">
        <v>16</v>
      </c>
      <c r="G154">
        <v>16</v>
      </c>
      <c r="H154">
        <v>16</v>
      </c>
      <c r="I154">
        <v>16</v>
      </c>
      <c r="J154">
        <v>16</v>
      </c>
      <c r="K154">
        <v>16</v>
      </c>
      <c r="L154">
        <v>16</v>
      </c>
      <c r="M154">
        <v>16</v>
      </c>
      <c r="N154">
        <v>16</v>
      </c>
      <c r="O154">
        <v>16</v>
      </c>
      <c r="P154">
        <v>16</v>
      </c>
      <c r="Q154">
        <v>16</v>
      </c>
      <c r="R154">
        <v>16</v>
      </c>
      <c r="S154">
        <v>16</v>
      </c>
      <c r="T154">
        <v>16</v>
      </c>
      <c r="U154">
        <v>16</v>
      </c>
      <c r="V154">
        <v>16</v>
      </c>
      <c r="W154">
        <v>16</v>
      </c>
      <c r="X154">
        <v>16</v>
      </c>
      <c r="Y154">
        <v>16</v>
      </c>
      <c r="Z154">
        <v>16</v>
      </c>
      <c r="AA154">
        <v>16</v>
      </c>
      <c r="AB154">
        <v>16</v>
      </c>
      <c r="AC154">
        <v>16</v>
      </c>
      <c r="AD154">
        <v>16</v>
      </c>
      <c r="AE154">
        <v>16</v>
      </c>
      <c r="AF154">
        <v>16</v>
      </c>
      <c r="AG154" s="144">
        <v>0</v>
      </c>
    </row>
    <row r="155" spans="1:33">
      <c r="A155" t="s">
        <v>2417</v>
      </c>
      <c r="B155" t="s">
        <v>3137</v>
      </c>
      <c r="C155" t="s">
        <v>3136</v>
      </c>
      <c r="D155" t="s">
        <v>2349</v>
      </c>
      <c r="F155">
        <v>0</v>
      </c>
      <c r="G155">
        <v>0</v>
      </c>
      <c r="H155">
        <v>0</v>
      </c>
      <c r="I155">
        <v>0</v>
      </c>
      <c r="J155">
        <v>0</v>
      </c>
      <c r="K155">
        <v>0</v>
      </c>
      <c r="L155">
        <v>0</v>
      </c>
      <c r="M155">
        <v>0</v>
      </c>
      <c r="N155">
        <v>0</v>
      </c>
      <c r="O155">
        <v>0</v>
      </c>
      <c r="P155">
        <v>0</v>
      </c>
      <c r="Q155">
        <v>0</v>
      </c>
      <c r="R155">
        <v>0</v>
      </c>
      <c r="S155">
        <v>0</v>
      </c>
      <c r="T155">
        <v>0</v>
      </c>
      <c r="U155">
        <v>0</v>
      </c>
      <c r="V155">
        <v>0</v>
      </c>
      <c r="W155">
        <v>0</v>
      </c>
      <c r="X155">
        <v>0</v>
      </c>
      <c r="Y155">
        <v>0</v>
      </c>
      <c r="Z155">
        <v>0</v>
      </c>
      <c r="AA155">
        <v>0</v>
      </c>
      <c r="AB155">
        <v>0</v>
      </c>
      <c r="AC155">
        <v>0</v>
      </c>
      <c r="AD155">
        <v>0</v>
      </c>
      <c r="AE155">
        <v>0</v>
      </c>
      <c r="AF155">
        <v>0</v>
      </c>
      <c r="AG155" t="s">
        <v>1769</v>
      </c>
    </row>
    <row r="156" spans="1:33">
      <c r="A156" t="s">
        <v>2414</v>
      </c>
      <c r="B156" t="s">
        <v>3135</v>
      </c>
      <c r="C156" t="s">
        <v>3134</v>
      </c>
      <c r="D156" t="s">
        <v>2349</v>
      </c>
      <c r="F156">
        <v>7.4436859999999996</v>
      </c>
      <c r="G156">
        <v>7.4436859999999996</v>
      </c>
      <c r="H156">
        <v>7.4436859999999996</v>
      </c>
      <c r="I156">
        <v>7.4436859999999996</v>
      </c>
      <c r="J156">
        <v>7.4436859999999996</v>
      </c>
      <c r="K156">
        <v>7.4436859999999996</v>
      </c>
      <c r="L156">
        <v>7.4436859999999996</v>
      </c>
      <c r="M156">
        <v>7.4436859999999996</v>
      </c>
      <c r="N156">
        <v>7.4436859999999996</v>
      </c>
      <c r="O156">
        <v>7.4436859999999996</v>
      </c>
      <c r="P156">
        <v>7.4436859999999996</v>
      </c>
      <c r="Q156">
        <v>7.4436859999999996</v>
      </c>
      <c r="R156">
        <v>7.4436859999999996</v>
      </c>
      <c r="S156">
        <v>7.4436859999999996</v>
      </c>
      <c r="T156">
        <v>7.4436859999999996</v>
      </c>
      <c r="U156">
        <v>7.4436859999999996</v>
      </c>
      <c r="V156">
        <v>7.4436859999999996</v>
      </c>
      <c r="W156">
        <v>7.4436859999999996</v>
      </c>
      <c r="X156">
        <v>7.4436859999999996</v>
      </c>
      <c r="Y156">
        <v>7.4436859999999996</v>
      </c>
      <c r="Z156">
        <v>7.4436859999999996</v>
      </c>
      <c r="AA156">
        <v>7.4436859999999996</v>
      </c>
      <c r="AB156">
        <v>7.4436859999999996</v>
      </c>
      <c r="AC156">
        <v>7.4436859999999996</v>
      </c>
      <c r="AD156">
        <v>7.4436859999999996</v>
      </c>
      <c r="AE156">
        <v>7.4436859999999996</v>
      </c>
      <c r="AF156">
        <v>7.4436859999999996</v>
      </c>
      <c r="AG156" s="144">
        <v>0</v>
      </c>
    </row>
    <row r="157" spans="1:33">
      <c r="A157" t="s">
        <v>2400</v>
      </c>
      <c r="B157" t="s">
        <v>3133</v>
      </c>
      <c r="C157" t="s">
        <v>3132</v>
      </c>
      <c r="D157" t="s">
        <v>2349</v>
      </c>
      <c r="F157">
        <v>252.87861599999999</v>
      </c>
      <c r="G157">
        <v>251.047653</v>
      </c>
      <c r="H157">
        <v>251.047653</v>
      </c>
      <c r="I157">
        <v>251.047653</v>
      </c>
      <c r="J157">
        <v>251.047653</v>
      </c>
      <c r="K157">
        <v>251.047653</v>
      </c>
      <c r="L157">
        <v>251.047653</v>
      </c>
      <c r="M157">
        <v>251.047653</v>
      </c>
      <c r="N157">
        <v>251.047653</v>
      </c>
      <c r="O157">
        <v>251.047653</v>
      </c>
      <c r="P157">
        <v>251.047653</v>
      </c>
      <c r="Q157">
        <v>251.047653</v>
      </c>
      <c r="R157">
        <v>251.047653</v>
      </c>
      <c r="S157">
        <v>251.047653</v>
      </c>
      <c r="T157">
        <v>251.047653</v>
      </c>
      <c r="U157">
        <v>251.047653</v>
      </c>
      <c r="V157">
        <v>251.047653</v>
      </c>
      <c r="W157">
        <v>251.047653</v>
      </c>
      <c r="X157">
        <v>251.047653</v>
      </c>
      <c r="Y157">
        <v>251.047653</v>
      </c>
      <c r="Z157">
        <v>251.047653</v>
      </c>
      <c r="AA157">
        <v>251.047653</v>
      </c>
      <c r="AB157">
        <v>251.047653</v>
      </c>
      <c r="AC157">
        <v>251.047653</v>
      </c>
      <c r="AD157">
        <v>251.047653</v>
      </c>
      <c r="AE157">
        <v>251.047653</v>
      </c>
      <c r="AF157">
        <v>251.047653</v>
      </c>
      <c r="AG157" s="144">
        <v>0</v>
      </c>
    </row>
    <row r="158" spans="1:33">
      <c r="A158" t="s">
        <v>2420</v>
      </c>
      <c r="B158" t="s">
        <v>3131</v>
      </c>
      <c r="C158" t="s">
        <v>3130</v>
      </c>
      <c r="D158" t="s">
        <v>2349</v>
      </c>
      <c r="F158">
        <v>154.87861599999999</v>
      </c>
      <c r="G158">
        <v>153.047653</v>
      </c>
      <c r="H158">
        <v>153.047653</v>
      </c>
      <c r="I158">
        <v>153.047653</v>
      </c>
      <c r="J158">
        <v>153.047653</v>
      </c>
      <c r="K158">
        <v>153.047653</v>
      </c>
      <c r="L158">
        <v>153.047653</v>
      </c>
      <c r="M158">
        <v>153.047653</v>
      </c>
      <c r="N158">
        <v>153.047653</v>
      </c>
      <c r="O158">
        <v>153.047653</v>
      </c>
      <c r="P158">
        <v>153.047653</v>
      </c>
      <c r="Q158">
        <v>153.047653</v>
      </c>
      <c r="R158">
        <v>153.047653</v>
      </c>
      <c r="S158">
        <v>153.047653</v>
      </c>
      <c r="T158">
        <v>153.047653</v>
      </c>
      <c r="U158">
        <v>153.047653</v>
      </c>
      <c r="V158">
        <v>153.047653</v>
      </c>
      <c r="W158">
        <v>153.047653</v>
      </c>
      <c r="X158">
        <v>153.047653</v>
      </c>
      <c r="Y158">
        <v>153.047653</v>
      </c>
      <c r="Z158">
        <v>153.047653</v>
      </c>
      <c r="AA158">
        <v>153.047653</v>
      </c>
      <c r="AB158">
        <v>153.047653</v>
      </c>
      <c r="AC158">
        <v>153.047653</v>
      </c>
      <c r="AD158">
        <v>153.047653</v>
      </c>
      <c r="AE158">
        <v>153.047653</v>
      </c>
      <c r="AF158">
        <v>153.047653</v>
      </c>
      <c r="AG158" s="144">
        <v>0</v>
      </c>
    </row>
    <row r="159" spans="1:33">
      <c r="A159" t="s">
        <v>2417</v>
      </c>
      <c r="B159" t="s">
        <v>3129</v>
      </c>
      <c r="C159" t="s">
        <v>3128</v>
      </c>
      <c r="D159" t="s">
        <v>2349</v>
      </c>
      <c r="F159">
        <v>50</v>
      </c>
      <c r="G159">
        <v>50</v>
      </c>
      <c r="H159">
        <v>50</v>
      </c>
      <c r="I159">
        <v>50</v>
      </c>
      <c r="J159">
        <v>50</v>
      </c>
      <c r="K159">
        <v>50</v>
      </c>
      <c r="L159">
        <v>50</v>
      </c>
      <c r="M159">
        <v>50</v>
      </c>
      <c r="N159">
        <v>50</v>
      </c>
      <c r="O159">
        <v>50</v>
      </c>
      <c r="P159">
        <v>50</v>
      </c>
      <c r="Q159">
        <v>50</v>
      </c>
      <c r="R159">
        <v>50</v>
      </c>
      <c r="S159">
        <v>50</v>
      </c>
      <c r="T159">
        <v>50</v>
      </c>
      <c r="U159">
        <v>50</v>
      </c>
      <c r="V159">
        <v>50</v>
      </c>
      <c r="W159">
        <v>50</v>
      </c>
      <c r="X159">
        <v>50</v>
      </c>
      <c r="Y159">
        <v>50</v>
      </c>
      <c r="Z159">
        <v>50</v>
      </c>
      <c r="AA159">
        <v>50</v>
      </c>
      <c r="AB159">
        <v>50</v>
      </c>
      <c r="AC159">
        <v>50</v>
      </c>
      <c r="AD159">
        <v>50</v>
      </c>
      <c r="AE159">
        <v>50</v>
      </c>
      <c r="AF159">
        <v>50</v>
      </c>
      <c r="AG159" s="144">
        <v>0</v>
      </c>
    </row>
    <row r="160" spans="1:33">
      <c r="A160" t="s">
        <v>2414</v>
      </c>
      <c r="B160" t="s">
        <v>3127</v>
      </c>
      <c r="C160" t="s">
        <v>3126</v>
      </c>
      <c r="D160" t="s">
        <v>2349</v>
      </c>
      <c r="F160">
        <v>48</v>
      </c>
      <c r="G160">
        <v>48</v>
      </c>
      <c r="H160">
        <v>48</v>
      </c>
      <c r="I160">
        <v>48</v>
      </c>
      <c r="J160">
        <v>48</v>
      </c>
      <c r="K160">
        <v>48</v>
      </c>
      <c r="L160">
        <v>48</v>
      </c>
      <c r="M160">
        <v>48</v>
      </c>
      <c r="N160">
        <v>48</v>
      </c>
      <c r="O160">
        <v>48</v>
      </c>
      <c r="P160">
        <v>48</v>
      </c>
      <c r="Q160">
        <v>48</v>
      </c>
      <c r="R160">
        <v>48</v>
      </c>
      <c r="S160">
        <v>48</v>
      </c>
      <c r="T160">
        <v>48</v>
      </c>
      <c r="U160">
        <v>48</v>
      </c>
      <c r="V160">
        <v>48</v>
      </c>
      <c r="W160">
        <v>48</v>
      </c>
      <c r="X160">
        <v>48</v>
      </c>
      <c r="Y160">
        <v>48</v>
      </c>
      <c r="Z160">
        <v>48</v>
      </c>
      <c r="AA160">
        <v>48</v>
      </c>
      <c r="AB160">
        <v>48</v>
      </c>
      <c r="AC160">
        <v>48</v>
      </c>
      <c r="AD160">
        <v>48</v>
      </c>
      <c r="AE160">
        <v>48</v>
      </c>
      <c r="AF160">
        <v>48</v>
      </c>
      <c r="AG160" s="144">
        <v>0</v>
      </c>
    </row>
    <row r="161" spans="1:33">
      <c r="A161" t="s">
        <v>2397</v>
      </c>
      <c r="B161" t="s">
        <v>3125</v>
      </c>
      <c r="C161" t="s">
        <v>3124</v>
      </c>
      <c r="D161" t="s">
        <v>2349</v>
      </c>
      <c r="F161">
        <v>6.4694820000000002</v>
      </c>
      <c r="G161">
        <v>6.4694820000000002</v>
      </c>
      <c r="H161">
        <v>6.4694820000000002</v>
      </c>
      <c r="I161">
        <v>6.4694820000000002</v>
      </c>
      <c r="J161">
        <v>6.4694820000000002</v>
      </c>
      <c r="K161">
        <v>6.4694820000000002</v>
      </c>
      <c r="L161">
        <v>6.4694820000000002</v>
      </c>
      <c r="M161">
        <v>6.4694820000000002</v>
      </c>
      <c r="N161">
        <v>6.4694820000000002</v>
      </c>
      <c r="O161">
        <v>6.4694820000000002</v>
      </c>
      <c r="P161">
        <v>6.4694820000000002</v>
      </c>
      <c r="Q161">
        <v>6.4694820000000002</v>
      </c>
      <c r="R161">
        <v>6.4694820000000002</v>
      </c>
      <c r="S161">
        <v>6.4694820000000002</v>
      </c>
      <c r="T161">
        <v>6.4694820000000002</v>
      </c>
      <c r="U161">
        <v>6.4694820000000002</v>
      </c>
      <c r="V161">
        <v>6.4694820000000002</v>
      </c>
      <c r="W161">
        <v>6.4694820000000002</v>
      </c>
      <c r="X161">
        <v>6.4694820000000002</v>
      </c>
      <c r="Y161">
        <v>6.4694820000000002</v>
      </c>
      <c r="Z161">
        <v>6.4694820000000002</v>
      </c>
      <c r="AA161">
        <v>6.4694820000000002</v>
      </c>
      <c r="AB161">
        <v>6.4694820000000002</v>
      </c>
      <c r="AC161">
        <v>6.4694820000000002</v>
      </c>
      <c r="AD161">
        <v>6.4694820000000002</v>
      </c>
      <c r="AE161">
        <v>6.4694820000000002</v>
      </c>
      <c r="AF161">
        <v>6.4694820000000002</v>
      </c>
      <c r="AG161" s="144">
        <v>0</v>
      </c>
    </row>
    <row r="162" spans="1:33">
      <c r="A162" t="s">
        <v>2420</v>
      </c>
      <c r="B162" t="s">
        <v>3123</v>
      </c>
      <c r="C162" t="s">
        <v>3122</v>
      </c>
      <c r="D162" t="s">
        <v>2349</v>
      </c>
      <c r="F162">
        <v>3.2954409999999998</v>
      </c>
      <c r="G162">
        <v>3.2954409999999998</v>
      </c>
      <c r="H162">
        <v>3.2954409999999998</v>
      </c>
      <c r="I162">
        <v>3.2954409999999998</v>
      </c>
      <c r="J162">
        <v>3.2954409999999998</v>
      </c>
      <c r="K162">
        <v>3.2954409999999998</v>
      </c>
      <c r="L162">
        <v>3.2954409999999998</v>
      </c>
      <c r="M162">
        <v>3.2954409999999998</v>
      </c>
      <c r="N162">
        <v>3.2954409999999998</v>
      </c>
      <c r="O162">
        <v>3.2954409999999998</v>
      </c>
      <c r="P162">
        <v>3.2954409999999998</v>
      </c>
      <c r="Q162">
        <v>3.2954409999999998</v>
      </c>
      <c r="R162">
        <v>3.2954409999999998</v>
      </c>
      <c r="S162">
        <v>3.2954409999999998</v>
      </c>
      <c r="T162">
        <v>3.2954409999999998</v>
      </c>
      <c r="U162">
        <v>3.2954409999999998</v>
      </c>
      <c r="V162">
        <v>3.2954409999999998</v>
      </c>
      <c r="W162">
        <v>3.2954409999999998</v>
      </c>
      <c r="X162">
        <v>3.2954409999999998</v>
      </c>
      <c r="Y162">
        <v>3.2954409999999998</v>
      </c>
      <c r="Z162">
        <v>3.2954409999999998</v>
      </c>
      <c r="AA162">
        <v>3.2954409999999998</v>
      </c>
      <c r="AB162">
        <v>3.2954409999999998</v>
      </c>
      <c r="AC162">
        <v>3.2954409999999998</v>
      </c>
      <c r="AD162">
        <v>3.2954409999999998</v>
      </c>
      <c r="AE162">
        <v>3.2954409999999998</v>
      </c>
      <c r="AF162">
        <v>3.2954409999999998</v>
      </c>
      <c r="AG162" s="144">
        <v>0</v>
      </c>
    </row>
    <row r="163" spans="1:33">
      <c r="A163" t="s">
        <v>2417</v>
      </c>
      <c r="B163" t="s">
        <v>3121</v>
      </c>
      <c r="C163" t="s">
        <v>3120</v>
      </c>
      <c r="D163" t="s">
        <v>2349</v>
      </c>
      <c r="F163">
        <v>2</v>
      </c>
      <c r="G163">
        <v>2</v>
      </c>
      <c r="H163">
        <v>2</v>
      </c>
      <c r="I163">
        <v>2</v>
      </c>
      <c r="J163">
        <v>2</v>
      </c>
      <c r="K163">
        <v>2</v>
      </c>
      <c r="L163">
        <v>2</v>
      </c>
      <c r="M163">
        <v>2</v>
      </c>
      <c r="N163">
        <v>2</v>
      </c>
      <c r="O163">
        <v>2</v>
      </c>
      <c r="P163">
        <v>2</v>
      </c>
      <c r="Q163">
        <v>2</v>
      </c>
      <c r="R163">
        <v>2</v>
      </c>
      <c r="S163">
        <v>2</v>
      </c>
      <c r="T163">
        <v>2</v>
      </c>
      <c r="U163">
        <v>2</v>
      </c>
      <c r="V163">
        <v>2</v>
      </c>
      <c r="W163">
        <v>2</v>
      </c>
      <c r="X163">
        <v>2</v>
      </c>
      <c r="Y163">
        <v>2</v>
      </c>
      <c r="Z163">
        <v>2</v>
      </c>
      <c r="AA163">
        <v>2</v>
      </c>
      <c r="AB163">
        <v>2</v>
      </c>
      <c r="AC163">
        <v>2</v>
      </c>
      <c r="AD163">
        <v>2</v>
      </c>
      <c r="AE163">
        <v>2</v>
      </c>
      <c r="AF163">
        <v>2</v>
      </c>
      <c r="AG163" s="144">
        <v>0</v>
      </c>
    </row>
    <row r="164" spans="1:33">
      <c r="A164" t="s">
        <v>2414</v>
      </c>
      <c r="B164" t="s">
        <v>3119</v>
      </c>
      <c r="C164" t="s">
        <v>3118</v>
      </c>
      <c r="D164" t="s">
        <v>2349</v>
      </c>
      <c r="F164">
        <v>1.174042</v>
      </c>
      <c r="G164">
        <v>1.174042</v>
      </c>
      <c r="H164">
        <v>1.174042</v>
      </c>
      <c r="I164">
        <v>1.174042</v>
      </c>
      <c r="J164">
        <v>1.174042</v>
      </c>
      <c r="K164">
        <v>1.174042</v>
      </c>
      <c r="L164">
        <v>1.174042</v>
      </c>
      <c r="M164">
        <v>1.174042</v>
      </c>
      <c r="N164">
        <v>1.174042</v>
      </c>
      <c r="O164">
        <v>1.174042</v>
      </c>
      <c r="P164">
        <v>1.174042</v>
      </c>
      <c r="Q164">
        <v>1.174042</v>
      </c>
      <c r="R164">
        <v>1.174042</v>
      </c>
      <c r="S164">
        <v>1.174042</v>
      </c>
      <c r="T164">
        <v>1.174042</v>
      </c>
      <c r="U164">
        <v>1.174042</v>
      </c>
      <c r="V164">
        <v>1.174042</v>
      </c>
      <c r="W164">
        <v>1.174042</v>
      </c>
      <c r="X164">
        <v>1.174042</v>
      </c>
      <c r="Y164">
        <v>1.174042</v>
      </c>
      <c r="Z164">
        <v>1.174042</v>
      </c>
      <c r="AA164">
        <v>1.174042</v>
      </c>
      <c r="AB164">
        <v>1.174042</v>
      </c>
      <c r="AC164">
        <v>1.174042</v>
      </c>
      <c r="AD164">
        <v>1.174042</v>
      </c>
      <c r="AE164">
        <v>1.174042</v>
      </c>
      <c r="AF164">
        <v>1.174042</v>
      </c>
      <c r="AG164" s="144">
        <v>0</v>
      </c>
    </row>
    <row r="165" spans="1:33">
      <c r="A165" t="s">
        <v>2394</v>
      </c>
      <c r="B165" t="s">
        <v>3117</v>
      </c>
      <c r="C165" t="s">
        <v>3116</v>
      </c>
      <c r="D165" t="s">
        <v>2349</v>
      </c>
      <c r="F165">
        <v>21.272784999999999</v>
      </c>
      <c r="G165">
        <v>21.097206</v>
      </c>
      <c r="H165">
        <v>21.097206</v>
      </c>
      <c r="I165">
        <v>21.097206</v>
      </c>
      <c r="J165">
        <v>21.097206</v>
      </c>
      <c r="K165">
        <v>21.097206</v>
      </c>
      <c r="L165">
        <v>21.097206</v>
      </c>
      <c r="M165">
        <v>21.097206</v>
      </c>
      <c r="N165">
        <v>21.097206</v>
      </c>
      <c r="O165">
        <v>21.097206</v>
      </c>
      <c r="P165">
        <v>21.097206</v>
      </c>
      <c r="Q165">
        <v>21.097206</v>
      </c>
      <c r="R165">
        <v>21.097206</v>
      </c>
      <c r="S165">
        <v>21.097206</v>
      </c>
      <c r="T165">
        <v>21.097206</v>
      </c>
      <c r="U165">
        <v>21.097206</v>
      </c>
      <c r="V165">
        <v>21.097206</v>
      </c>
      <c r="W165">
        <v>21.097206</v>
      </c>
      <c r="X165">
        <v>21.097206</v>
      </c>
      <c r="Y165">
        <v>21.097206</v>
      </c>
      <c r="Z165">
        <v>21.097206</v>
      </c>
      <c r="AA165">
        <v>21.097206</v>
      </c>
      <c r="AB165">
        <v>21.097206</v>
      </c>
      <c r="AC165">
        <v>21.097206</v>
      </c>
      <c r="AD165">
        <v>21.097206</v>
      </c>
      <c r="AE165">
        <v>21.097206</v>
      </c>
      <c r="AF165">
        <v>21.097206</v>
      </c>
      <c r="AG165" s="144">
        <v>0</v>
      </c>
    </row>
    <row r="166" spans="1:33">
      <c r="A166" t="s">
        <v>2420</v>
      </c>
      <c r="B166" t="s">
        <v>3115</v>
      </c>
      <c r="C166" t="s">
        <v>3114</v>
      </c>
      <c r="D166" t="s">
        <v>2349</v>
      </c>
      <c r="F166">
        <v>5.272786</v>
      </c>
      <c r="G166">
        <v>5.0972059999999999</v>
      </c>
      <c r="H166">
        <v>5.0972059999999999</v>
      </c>
      <c r="I166">
        <v>5.0972059999999999</v>
      </c>
      <c r="J166">
        <v>5.0972059999999999</v>
      </c>
      <c r="K166">
        <v>5.0972059999999999</v>
      </c>
      <c r="L166">
        <v>5.0972059999999999</v>
      </c>
      <c r="M166">
        <v>5.0972059999999999</v>
      </c>
      <c r="N166">
        <v>5.0972059999999999</v>
      </c>
      <c r="O166">
        <v>5.0972059999999999</v>
      </c>
      <c r="P166">
        <v>5.0972059999999999</v>
      </c>
      <c r="Q166">
        <v>5.0972059999999999</v>
      </c>
      <c r="R166">
        <v>5.0972059999999999</v>
      </c>
      <c r="S166">
        <v>5.0972059999999999</v>
      </c>
      <c r="T166">
        <v>5.0972059999999999</v>
      </c>
      <c r="U166">
        <v>5.0972059999999999</v>
      </c>
      <c r="V166">
        <v>5.0972059999999999</v>
      </c>
      <c r="W166">
        <v>5.0972059999999999</v>
      </c>
      <c r="X166">
        <v>5.0972059999999999</v>
      </c>
      <c r="Y166">
        <v>5.0972059999999999</v>
      </c>
      <c r="Z166">
        <v>5.0972059999999999</v>
      </c>
      <c r="AA166">
        <v>5.0972059999999999</v>
      </c>
      <c r="AB166">
        <v>5.0972059999999999</v>
      </c>
      <c r="AC166">
        <v>5.0972059999999999</v>
      </c>
      <c r="AD166">
        <v>5.0972059999999999</v>
      </c>
      <c r="AE166">
        <v>5.0972059999999999</v>
      </c>
      <c r="AF166">
        <v>5.0972059999999999</v>
      </c>
      <c r="AG166" s="144">
        <v>-1E-3</v>
      </c>
    </row>
    <row r="167" spans="1:33">
      <c r="A167" t="s">
        <v>2417</v>
      </c>
      <c r="B167" t="s">
        <v>3113</v>
      </c>
      <c r="C167" t="s">
        <v>3112</v>
      </c>
      <c r="D167" t="s">
        <v>2349</v>
      </c>
      <c r="F167">
        <v>1</v>
      </c>
      <c r="G167">
        <v>1</v>
      </c>
      <c r="H167">
        <v>1</v>
      </c>
      <c r="I167">
        <v>1</v>
      </c>
      <c r="J167">
        <v>1</v>
      </c>
      <c r="K167">
        <v>1</v>
      </c>
      <c r="L167">
        <v>1</v>
      </c>
      <c r="M167">
        <v>1</v>
      </c>
      <c r="N167">
        <v>1</v>
      </c>
      <c r="O167">
        <v>1</v>
      </c>
      <c r="P167">
        <v>1</v>
      </c>
      <c r="Q167">
        <v>1</v>
      </c>
      <c r="R167">
        <v>1</v>
      </c>
      <c r="S167">
        <v>1</v>
      </c>
      <c r="T167">
        <v>1</v>
      </c>
      <c r="U167">
        <v>1</v>
      </c>
      <c r="V167">
        <v>1</v>
      </c>
      <c r="W167">
        <v>1</v>
      </c>
      <c r="X167">
        <v>1</v>
      </c>
      <c r="Y167">
        <v>1</v>
      </c>
      <c r="Z167">
        <v>1</v>
      </c>
      <c r="AA167">
        <v>1</v>
      </c>
      <c r="AB167">
        <v>1</v>
      </c>
      <c r="AC167">
        <v>1</v>
      </c>
      <c r="AD167">
        <v>1</v>
      </c>
      <c r="AE167">
        <v>1</v>
      </c>
      <c r="AF167">
        <v>1</v>
      </c>
      <c r="AG167" s="144">
        <v>0</v>
      </c>
    </row>
    <row r="168" spans="1:33">
      <c r="A168" t="s">
        <v>2414</v>
      </c>
      <c r="B168" t="s">
        <v>3111</v>
      </c>
      <c r="C168" t="s">
        <v>3110</v>
      </c>
      <c r="D168" t="s">
        <v>2349</v>
      </c>
      <c r="F168">
        <v>15</v>
      </c>
      <c r="G168">
        <v>15</v>
      </c>
      <c r="H168">
        <v>15</v>
      </c>
      <c r="I168">
        <v>15</v>
      </c>
      <c r="J168">
        <v>15</v>
      </c>
      <c r="K168">
        <v>15</v>
      </c>
      <c r="L168">
        <v>15</v>
      </c>
      <c r="M168">
        <v>15</v>
      </c>
      <c r="N168">
        <v>15</v>
      </c>
      <c r="O168">
        <v>15</v>
      </c>
      <c r="P168">
        <v>15</v>
      </c>
      <c r="Q168">
        <v>15</v>
      </c>
      <c r="R168">
        <v>15</v>
      </c>
      <c r="S168">
        <v>15</v>
      </c>
      <c r="T168">
        <v>15</v>
      </c>
      <c r="U168">
        <v>15</v>
      </c>
      <c r="V168">
        <v>15</v>
      </c>
      <c r="W168">
        <v>15</v>
      </c>
      <c r="X168">
        <v>15</v>
      </c>
      <c r="Y168">
        <v>15</v>
      </c>
      <c r="Z168">
        <v>15</v>
      </c>
      <c r="AA168">
        <v>15</v>
      </c>
      <c r="AB168">
        <v>15</v>
      </c>
      <c r="AC168">
        <v>15</v>
      </c>
      <c r="AD168">
        <v>15</v>
      </c>
      <c r="AE168">
        <v>15</v>
      </c>
      <c r="AF168">
        <v>15</v>
      </c>
      <c r="AG168" s="144">
        <v>0</v>
      </c>
    </row>
    <row r="169" spans="1:33">
      <c r="A169" t="s">
        <v>2391</v>
      </c>
      <c r="B169" t="s">
        <v>3109</v>
      </c>
      <c r="C169" t="s">
        <v>3108</v>
      </c>
      <c r="D169" t="s">
        <v>2349</v>
      </c>
      <c r="F169">
        <v>1.626423</v>
      </c>
      <c r="G169">
        <v>1.626423</v>
      </c>
      <c r="H169">
        <v>1.626423</v>
      </c>
      <c r="I169">
        <v>1.626423</v>
      </c>
      <c r="J169">
        <v>1.626423</v>
      </c>
      <c r="K169">
        <v>1.626423</v>
      </c>
      <c r="L169">
        <v>1.626423</v>
      </c>
      <c r="M169">
        <v>1.626423</v>
      </c>
      <c r="N169">
        <v>1.626423</v>
      </c>
      <c r="O169">
        <v>1.626423</v>
      </c>
      <c r="P169">
        <v>1.626423</v>
      </c>
      <c r="Q169">
        <v>1.626423</v>
      </c>
      <c r="R169">
        <v>1.626423</v>
      </c>
      <c r="S169">
        <v>1.626423</v>
      </c>
      <c r="T169">
        <v>1.626423</v>
      </c>
      <c r="U169">
        <v>1.626423</v>
      </c>
      <c r="V169">
        <v>1.626423</v>
      </c>
      <c r="W169">
        <v>1.626423</v>
      </c>
      <c r="X169">
        <v>1.626423</v>
      </c>
      <c r="Y169">
        <v>1.626423</v>
      </c>
      <c r="Z169">
        <v>1.626423</v>
      </c>
      <c r="AA169">
        <v>1.626423</v>
      </c>
      <c r="AB169">
        <v>1.626423</v>
      </c>
      <c r="AC169">
        <v>1.626423</v>
      </c>
      <c r="AD169">
        <v>1.626423</v>
      </c>
      <c r="AE169">
        <v>1.626423</v>
      </c>
      <c r="AF169">
        <v>1.626423</v>
      </c>
      <c r="AG169" s="144">
        <v>0</v>
      </c>
    </row>
    <row r="170" spans="1:33">
      <c r="A170" t="s">
        <v>2420</v>
      </c>
      <c r="B170" t="s">
        <v>3107</v>
      </c>
      <c r="C170" t="s">
        <v>3106</v>
      </c>
      <c r="D170" t="s">
        <v>2349</v>
      </c>
      <c r="F170">
        <v>0</v>
      </c>
      <c r="G170">
        <v>0</v>
      </c>
      <c r="H170">
        <v>0</v>
      </c>
      <c r="I170">
        <v>0</v>
      </c>
      <c r="J170">
        <v>0</v>
      </c>
      <c r="K170">
        <v>0</v>
      </c>
      <c r="L170">
        <v>0</v>
      </c>
      <c r="M170">
        <v>0</v>
      </c>
      <c r="N170">
        <v>0</v>
      </c>
      <c r="O170">
        <v>0</v>
      </c>
      <c r="P170">
        <v>0</v>
      </c>
      <c r="Q170">
        <v>0</v>
      </c>
      <c r="R170">
        <v>0</v>
      </c>
      <c r="S170">
        <v>0</v>
      </c>
      <c r="T170">
        <v>0</v>
      </c>
      <c r="U170">
        <v>0</v>
      </c>
      <c r="V170">
        <v>0</v>
      </c>
      <c r="W170">
        <v>0</v>
      </c>
      <c r="X170">
        <v>0</v>
      </c>
      <c r="Y170">
        <v>0</v>
      </c>
      <c r="Z170">
        <v>0</v>
      </c>
      <c r="AA170">
        <v>0</v>
      </c>
      <c r="AB170">
        <v>0</v>
      </c>
      <c r="AC170">
        <v>0</v>
      </c>
      <c r="AD170">
        <v>0</v>
      </c>
      <c r="AE170">
        <v>0</v>
      </c>
      <c r="AF170">
        <v>0</v>
      </c>
      <c r="AG170" t="s">
        <v>1769</v>
      </c>
    </row>
    <row r="171" spans="1:33">
      <c r="A171" t="s">
        <v>2417</v>
      </c>
      <c r="B171" t="s">
        <v>3105</v>
      </c>
      <c r="C171" t="s">
        <v>3104</v>
      </c>
      <c r="D171" t="s">
        <v>2349</v>
      </c>
      <c r="F171">
        <v>1.626423</v>
      </c>
      <c r="G171">
        <v>1.626423</v>
      </c>
      <c r="H171">
        <v>1.626423</v>
      </c>
      <c r="I171">
        <v>1.626423</v>
      </c>
      <c r="J171">
        <v>1.626423</v>
      </c>
      <c r="K171">
        <v>1.626423</v>
      </c>
      <c r="L171">
        <v>1.626423</v>
      </c>
      <c r="M171">
        <v>1.626423</v>
      </c>
      <c r="N171">
        <v>1.626423</v>
      </c>
      <c r="O171">
        <v>1.626423</v>
      </c>
      <c r="P171">
        <v>1.626423</v>
      </c>
      <c r="Q171">
        <v>1.626423</v>
      </c>
      <c r="R171">
        <v>1.626423</v>
      </c>
      <c r="S171">
        <v>1.626423</v>
      </c>
      <c r="T171">
        <v>1.626423</v>
      </c>
      <c r="U171">
        <v>1.626423</v>
      </c>
      <c r="V171">
        <v>1.626423</v>
      </c>
      <c r="W171">
        <v>1.626423</v>
      </c>
      <c r="X171">
        <v>1.626423</v>
      </c>
      <c r="Y171">
        <v>1.626423</v>
      </c>
      <c r="Z171">
        <v>1.626423</v>
      </c>
      <c r="AA171">
        <v>1.626423</v>
      </c>
      <c r="AB171">
        <v>1.626423</v>
      </c>
      <c r="AC171">
        <v>1.626423</v>
      </c>
      <c r="AD171">
        <v>1.626423</v>
      </c>
      <c r="AE171">
        <v>1.626423</v>
      </c>
      <c r="AF171">
        <v>1.626423</v>
      </c>
      <c r="AG171" s="144">
        <v>0</v>
      </c>
    </row>
    <row r="172" spans="1:33">
      <c r="A172" t="s">
        <v>2414</v>
      </c>
      <c r="B172" t="s">
        <v>3103</v>
      </c>
      <c r="C172" t="s">
        <v>3102</v>
      </c>
      <c r="D172" t="s">
        <v>2349</v>
      </c>
      <c r="F172">
        <v>0</v>
      </c>
      <c r="G172">
        <v>0</v>
      </c>
      <c r="H172">
        <v>0</v>
      </c>
      <c r="I172">
        <v>0</v>
      </c>
      <c r="J172">
        <v>0</v>
      </c>
      <c r="K172">
        <v>0</v>
      </c>
      <c r="L172">
        <v>0</v>
      </c>
      <c r="M172">
        <v>0</v>
      </c>
      <c r="N172">
        <v>0</v>
      </c>
      <c r="O172">
        <v>0</v>
      </c>
      <c r="P172">
        <v>0</v>
      </c>
      <c r="Q172">
        <v>0</v>
      </c>
      <c r="R172">
        <v>0</v>
      </c>
      <c r="S172">
        <v>0</v>
      </c>
      <c r="T172">
        <v>0</v>
      </c>
      <c r="U172">
        <v>0</v>
      </c>
      <c r="V172">
        <v>0</v>
      </c>
      <c r="W172">
        <v>0</v>
      </c>
      <c r="X172">
        <v>0</v>
      </c>
      <c r="Y172">
        <v>0</v>
      </c>
      <c r="Z172">
        <v>0</v>
      </c>
      <c r="AA172">
        <v>0</v>
      </c>
      <c r="AB172">
        <v>0</v>
      </c>
      <c r="AC172">
        <v>0</v>
      </c>
      <c r="AD172">
        <v>0</v>
      </c>
      <c r="AE172">
        <v>0</v>
      </c>
      <c r="AF172">
        <v>0</v>
      </c>
      <c r="AG172" t="s">
        <v>1769</v>
      </c>
    </row>
    <row r="173" spans="1:33">
      <c r="A173" t="s">
        <v>2388</v>
      </c>
      <c r="B173" t="s">
        <v>3101</v>
      </c>
      <c r="C173" t="s">
        <v>3100</v>
      </c>
      <c r="D173" t="s">
        <v>2349</v>
      </c>
      <c r="F173">
        <v>48.046177</v>
      </c>
      <c r="G173">
        <v>48.046177</v>
      </c>
      <c r="H173">
        <v>48.046177</v>
      </c>
      <c r="I173">
        <v>48.046177</v>
      </c>
      <c r="J173">
        <v>48.046177</v>
      </c>
      <c r="K173">
        <v>48.046177</v>
      </c>
      <c r="L173">
        <v>48.046177</v>
      </c>
      <c r="M173">
        <v>48.046177</v>
      </c>
      <c r="N173">
        <v>48.046177</v>
      </c>
      <c r="O173">
        <v>48.046177</v>
      </c>
      <c r="P173">
        <v>48.046177</v>
      </c>
      <c r="Q173">
        <v>48.046177</v>
      </c>
      <c r="R173">
        <v>48.046177</v>
      </c>
      <c r="S173">
        <v>48.046177</v>
      </c>
      <c r="T173">
        <v>48.046177</v>
      </c>
      <c r="U173">
        <v>48.046177</v>
      </c>
      <c r="V173">
        <v>48.046177</v>
      </c>
      <c r="W173">
        <v>48.046177</v>
      </c>
      <c r="X173">
        <v>48.046177</v>
      </c>
      <c r="Y173">
        <v>48.046177</v>
      </c>
      <c r="Z173">
        <v>48.046177</v>
      </c>
      <c r="AA173">
        <v>48.046177</v>
      </c>
      <c r="AB173">
        <v>48.046177</v>
      </c>
      <c r="AC173">
        <v>48.046177</v>
      </c>
      <c r="AD173">
        <v>48.046177</v>
      </c>
      <c r="AE173">
        <v>48.046177</v>
      </c>
      <c r="AF173">
        <v>48.046177</v>
      </c>
      <c r="AG173" s="144">
        <v>0</v>
      </c>
    </row>
    <row r="174" spans="1:33">
      <c r="A174" t="s">
        <v>2420</v>
      </c>
      <c r="B174" t="s">
        <v>3099</v>
      </c>
      <c r="C174" t="s">
        <v>3098</v>
      </c>
      <c r="D174" t="s">
        <v>2349</v>
      </c>
      <c r="F174">
        <v>28.046177</v>
      </c>
      <c r="G174">
        <v>28.046177</v>
      </c>
      <c r="H174">
        <v>28.046177</v>
      </c>
      <c r="I174">
        <v>28.046177</v>
      </c>
      <c r="J174">
        <v>28.046177</v>
      </c>
      <c r="K174">
        <v>28.046177</v>
      </c>
      <c r="L174">
        <v>28.046177</v>
      </c>
      <c r="M174">
        <v>28.046177</v>
      </c>
      <c r="N174">
        <v>28.046177</v>
      </c>
      <c r="O174">
        <v>28.046177</v>
      </c>
      <c r="P174">
        <v>28.046177</v>
      </c>
      <c r="Q174">
        <v>28.046177</v>
      </c>
      <c r="R174">
        <v>28.046177</v>
      </c>
      <c r="S174">
        <v>28.046177</v>
      </c>
      <c r="T174">
        <v>28.046177</v>
      </c>
      <c r="U174">
        <v>28.046177</v>
      </c>
      <c r="V174">
        <v>28.046177</v>
      </c>
      <c r="W174">
        <v>28.046177</v>
      </c>
      <c r="X174">
        <v>28.046177</v>
      </c>
      <c r="Y174">
        <v>28.046177</v>
      </c>
      <c r="Z174">
        <v>28.046177</v>
      </c>
      <c r="AA174">
        <v>28.046177</v>
      </c>
      <c r="AB174">
        <v>28.046177</v>
      </c>
      <c r="AC174">
        <v>28.046177</v>
      </c>
      <c r="AD174">
        <v>28.046177</v>
      </c>
      <c r="AE174">
        <v>28.046177</v>
      </c>
      <c r="AF174">
        <v>28.046177</v>
      </c>
      <c r="AG174" s="144">
        <v>0</v>
      </c>
    </row>
    <row r="175" spans="1:33">
      <c r="A175" t="s">
        <v>2417</v>
      </c>
      <c r="B175" t="s">
        <v>3097</v>
      </c>
      <c r="C175" t="s">
        <v>3096</v>
      </c>
      <c r="D175" t="s">
        <v>2349</v>
      </c>
      <c r="F175">
        <v>13</v>
      </c>
      <c r="G175">
        <v>13</v>
      </c>
      <c r="H175">
        <v>13</v>
      </c>
      <c r="I175">
        <v>13</v>
      </c>
      <c r="J175">
        <v>13</v>
      </c>
      <c r="K175">
        <v>13</v>
      </c>
      <c r="L175">
        <v>13</v>
      </c>
      <c r="M175">
        <v>13</v>
      </c>
      <c r="N175">
        <v>13</v>
      </c>
      <c r="O175">
        <v>13</v>
      </c>
      <c r="P175">
        <v>13</v>
      </c>
      <c r="Q175">
        <v>13</v>
      </c>
      <c r="R175">
        <v>13</v>
      </c>
      <c r="S175">
        <v>13</v>
      </c>
      <c r="T175">
        <v>13</v>
      </c>
      <c r="U175">
        <v>13</v>
      </c>
      <c r="V175">
        <v>13</v>
      </c>
      <c r="W175">
        <v>13</v>
      </c>
      <c r="X175">
        <v>13</v>
      </c>
      <c r="Y175">
        <v>13</v>
      </c>
      <c r="Z175">
        <v>13</v>
      </c>
      <c r="AA175">
        <v>13</v>
      </c>
      <c r="AB175">
        <v>13</v>
      </c>
      <c r="AC175">
        <v>13</v>
      </c>
      <c r="AD175">
        <v>13</v>
      </c>
      <c r="AE175">
        <v>13</v>
      </c>
      <c r="AF175">
        <v>13</v>
      </c>
      <c r="AG175" s="144">
        <v>0</v>
      </c>
    </row>
    <row r="176" spans="1:33">
      <c r="A176" t="s">
        <v>2414</v>
      </c>
      <c r="B176" t="s">
        <v>3095</v>
      </c>
      <c r="C176" t="s">
        <v>3094</v>
      </c>
      <c r="D176" t="s">
        <v>2349</v>
      </c>
      <c r="F176">
        <v>7</v>
      </c>
      <c r="G176">
        <v>7</v>
      </c>
      <c r="H176">
        <v>7</v>
      </c>
      <c r="I176">
        <v>7</v>
      </c>
      <c r="J176">
        <v>7</v>
      </c>
      <c r="K176">
        <v>7</v>
      </c>
      <c r="L176">
        <v>7</v>
      </c>
      <c r="M176">
        <v>7</v>
      </c>
      <c r="N176">
        <v>7</v>
      </c>
      <c r="O176">
        <v>7</v>
      </c>
      <c r="P176">
        <v>7</v>
      </c>
      <c r="Q176">
        <v>7</v>
      </c>
      <c r="R176">
        <v>7</v>
      </c>
      <c r="S176">
        <v>7</v>
      </c>
      <c r="T176">
        <v>7</v>
      </c>
      <c r="U176">
        <v>7</v>
      </c>
      <c r="V176">
        <v>7</v>
      </c>
      <c r="W176">
        <v>7</v>
      </c>
      <c r="X176">
        <v>7</v>
      </c>
      <c r="Y176">
        <v>7</v>
      </c>
      <c r="Z176">
        <v>7</v>
      </c>
      <c r="AA176">
        <v>7</v>
      </c>
      <c r="AB176">
        <v>7</v>
      </c>
      <c r="AC176">
        <v>7</v>
      </c>
      <c r="AD176">
        <v>7</v>
      </c>
      <c r="AE176">
        <v>7</v>
      </c>
      <c r="AF176">
        <v>7</v>
      </c>
      <c r="AG176" s="144">
        <v>0</v>
      </c>
    </row>
    <row r="177" spans="1:33">
      <c r="A177" t="s">
        <v>2385</v>
      </c>
      <c r="B177" t="s">
        <v>3093</v>
      </c>
      <c r="C177" t="s">
        <v>3092</v>
      </c>
      <c r="D177" t="s">
        <v>2349</v>
      </c>
      <c r="F177">
        <v>41.920853000000001</v>
      </c>
      <c r="G177">
        <v>41.920853000000001</v>
      </c>
      <c r="H177">
        <v>41.920853000000001</v>
      </c>
      <c r="I177">
        <v>41.920853000000001</v>
      </c>
      <c r="J177">
        <v>41.920853000000001</v>
      </c>
      <c r="K177">
        <v>41.920853000000001</v>
      </c>
      <c r="L177">
        <v>41.920853000000001</v>
      </c>
      <c r="M177">
        <v>41.920853000000001</v>
      </c>
      <c r="N177">
        <v>41.920853000000001</v>
      </c>
      <c r="O177">
        <v>41.920853000000001</v>
      </c>
      <c r="P177">
        <v>41.920853000000001</v>
      </c>
      <c r="Q177">
        <v>41.920853000000001</v>
      </c>
      <c r="R177">
        <v>41.920853000000001</v>
      </c>
      <c r="S177">
        <v>41.920853000000001</v>
      </c>
      <c r="T177">
        <v>41.920853000000001</v>
      </c>
      <c r="U177">
        <v>41.920853000000001</v>
      </c>
      <c r="V177">
        <v>41.920853000000001</v>
      </c>
      <c r="W177">
        <v>41.920853000000001</v>
      </c>
      <c r="X177">
        <v>41.920853000000001</v>
      </c>
      <c r="Y177">
        <v>41.920853000000001</v>
      </c>
      <c r="Z177">
        <v>41.920853000000001</v>
      </c>
      <c r="AA177">
        <v>41.920853000000001</v>
      </c>
      <c r="AB177">
        <v>41.920853000000001</v>
      </c>
      <c r="AC177">
        <v>41.920853000000001</v>
      </c>
      <c r="AD177">
        <v>41.920853000000001</v>
      </c>
      <c r="AE177">
        <v>41.920853000000001</v>
      </c>
      <c r="AF177">
        <v>41.920853000000001</v>
      </c>
      <c r="AG177" s="144">
        <v>0</v>
      </c>
    </row>
    <row r="178" spans="1:33">
      <c r="A178" t="s">
        <v>2420</v>
      </c>
      <c r="B178" t="s">
        <v>3091</v>
      </c>
      <c r="C178" t="s">
        <v>3090</v>
      </c>
      <c r="D178" t="s">
        <v>2349</v>
      </c>
      <c r="F178">
        <v>27</v>
      </c>
      <c r="G178">
        <v>27</v>
      </c>
      <c r="H178">
        <v>27</v>
      </c>
      <c r="I178">
        <v>27</v>
      </c>
      <c r="J178">
        <v>27</v>
      </c>
      <c r="K178">
        <v>27</v>
      </c>
      <c r="L178">
        <v>27</v>
      </c>
      <c r="M178">
        <v>27</v>
      </c>
      <c r="N178">
        <v>27</v>
      </c>
      <c r="O178">
        <v>27</v>
      </c>
      <c r="P178">
        <v>27</v>
      </c>
      <c r="Q178">
        <v>27</v>
      </c>
      <c r="R178">
        <v>27</v>
      </c>
      <c r="S178">
        <v>27</v>
      </c>
      <c r="T178">
        <v>27</v>
      </c>
      <c r="U178">
        <v>27</v>
      </c>
      <c r="V178">
        <v>27</v>
      </c>
      <c r="W178">
        <v>27</v>
      </c>
      <c r="X178">
        <v>27</v>
      </c>
      <c r="Y178">
        <v>27</v>
      </c>
      <c r="Z178">
        <v>27</v>
      </c>
      <c r="AA178">
        <v>27</v>
      </c>
      <c r="AB178">
        <v>27</v>
      </c>
      <c r="AC178">
        <v>27</v>
      </c>
      <c r="AD178">
        <v>27</v>
      </c>
      <c r="AE178">
        <v>27</v>
      </c>
      <c r="AF178">
        <v>27</v>
      </c>
      <c r="AG178" s="144">
        <v>0</v>
      </c>
    </row>
    <row r="179" spans="1:33">
      <c r="A179" t="s">
        <v>2417</v>
      </c>
      <c r="B179" t="s">
        <v>3089</v>
      </c>
      <c r="C179" t="s">
        <v>3088</v>
      </c>
      <c r="D179" t="s">
        <v>2349</v>
      </c>
      <c r="F179">
        <v>4.2145299999999999</v>
      </c>
      <c r="G179">
        <v>4.2145299999999999</v>
      </c>
      <c r="H179">
        <v>4.2145299999999999</v>
      </c>
      <c r="I179">
        <v>4.2145299999999999</v>
      </c>
      <c r="J179">
        <v>4.2145299999999999</v>
      </c>
      <c r="K179">
        <v>4.2145299999999999</v>
      </c>
      <c r="L179">
        <v>4.2145299999999999</v>
      </c>
      <c r="M179">
        <v>4.2145299999999999</v>
      </c>
      <c r="N179">
        <v>4.2145299999999999</v>
      </c>
      <c r="O179">
        <v>4.2145299999999999</v>
      </c>
      <c r="P179">
        <v>4.2145299999999999</v>
      </c>
      <c r="Q179">
        <v>4.2145299999999999</v>
      </c>
      <c r="R179">
        <v>4.2145299999999999</v>
      </c>
      <c r="S179">
        <v>4.2145299999999999</v>
      </c>
      <c r="T179">
        <v>4.2145299999999999</v>
      </c>
      <c r="U179">
        <v>4.2145299999999999</v>
      </c>
      <c r="V179">
        <v>4.2145299999999999</v>
      </c>
      <c r="W179">
        <v>4.2145299999999999</v>
      </c>
      <c r="X179">
        <v>4.2145299999999999</v>
      </c>
      <c r="Y179">
        <v>4.2145299999999999</v>
      </c>
      <c r="Z179">
        <v>4.2145299999999999</v>
      </c>
      <c r="AA179">
        <v>4.2145299999999999</v>
      </c>
      <c r="AB179">
        <v>4.2145299999999999</v>
      </c>
      <c r="AC179">
        <v>4.2145299999999999</v>
      </c>
      <c r="AD179">
        <v>4.2145299999999999</v>
      </c>
      <c r="AE179">
        <v>4.2145299999999999</v>
      </c>
      <c r="AF179">
        <v>4.2145299999999999</v>
      </c>
      <c r="AG179" s="144">
        <v>0</v>
      </c>
    </row>
    <row r="180" spans="1:33">
      <c r="A180" t="s">
        <v>2414</v>
      </c>
      <c r="B180" t="s">
        <v>3087</v>
      </c>
      <c r="C180" t="s">
        <v>3086</v>
      </c>
      <c r="D180" t="s">
        <v>2349</v>
      </c>
      <c r="F180">
        <v>10.706321000000001</v>
      </c>
      <c r="G180">
        <v>10.706321000000001</v>
      </c>
      <c r="H180">
        <v>10.706321000000001</v>
      </c>
      <c r="I180">
        <v>10.706321000000001</v>
      </c>
      <c r="J180">
        <v>10.706321000000001</v>
      </c>
      <c r="K180">
        <v>10.706321000000001</v>
      </c>
      <c r="L180">
        <v>10.706321000000001</v>
      </c>
      <c r="M180">
        <v>10.706321000000001</v>
      </c>
      <c r="N180">
        <v>10.706321000000001</v>
      </c>
      <c r="O180">
        <v>10.706321000000001</v>
      </c>
      <c r="P180">
        <v>10.706321000000001</v>
      </c>
      <c r="Q180">
        <v>10.706321000000001</v>
      </c>
      <c r="R180">
        <v>10.706321000000001</v>
      </c>
      <c r="S180">
        <v>10.706321000000001</v>
      </c>
      <c r="T180">
        <v>10.706321000000001</v>
      </c>
      <c r="U180">
        <v>10.706321000000001</v>
      </c>
      <c r="V180">
        <v>10.706321000000001</v>
      </c>
      <c r="W180">
        <v>10.706321000000001</v>
      </c>
      <c r="X180">
        <v>10.706321000000001</v>
      </c>
      <c r="Y180">
        <v>10.706321000000001</v>
      </c>
      <c r="Z180">
        <v>10.706321000000001</v>
      </c>
      <c r="AA180">
        <v>10.706321000000001</v>
      </c>
      <c r="AB180">
        <v>10.706321000000001</v>
      </c>
      <c r="AC180">
        <v>10.706321000000001</v>
      </c>
      <c r="AD180">
        <v>10.706321000000001</v>
      </c>
      <c r="AE180">
        <v>10.706321000000001</v>
      </c>
      <c r="AF180">
        <v>10.706321000000001</v>
      </c>
      <c r="AG180" s="144">
        <v>0</v>
      </c>
    </row>
    <row r="181" spans="1:33">
      <c r="A181" t="s">
        <v>198</v>
      </c>
      <c r="B181" t="s">
        <v>3085</v>
      </c>
      <c r="C181" t="s">
        <v>3084</v>
      </c>
      <c r="D181" t="s">
        <v>2349</v>
      </c>
      <c r="F181">
        <v>86.580048000000005</v>
      </c>
      <c r="G181">
        <v>81.986000000000004</v>
      </c>
      <c r="H181">
        <v>81.986000000000004</v>
      </c>
      <c r="I181">
        <v>81.986000000000004</v>
      </c>
      <c r="J181">
        <v>81.986000000000004</v>
      </c>
      <c r="K181">
        <v>81.986000000000004</v>
      </c>
      <c r="L181">
        <v>81.986000000000004</v>
      </c>
      <c r="M181">
        <v>81.986000000000004</v>
      </c>
      <c r="N181">
        <v>81.986000000000004</v>
      </c>
      <c r="O181">
        <v>81.986000000000004</v>
      </c>
      <c r="P181">
        <v>81.986000000000004</v>
      </c>
      <c r="Q181">
        <v>81.986000000000004</v>
      </c>
      <c r="R181">
        <v>81.986000000000004</v>
      </c>
      <c r="S181">
        <v>81.986000000000004</v>
      </c>
      <c r="T181">
        <v>81.986000000000004</v>
      </c>
      <c r="U181">
        <v>81.986000000000004</v>
      </c>
      <c r="V181">
        <v>81.986000000000004</v>
      </c>
      <c r="W181">
        <v>81.986000000000004</v>
      </c>
      <c r="X181">
        <v>81.986000000000004</v>
      </c>
      <c r="Y181">
        <v>81.986000000000004</v>
      </c>
      <c r="Z181">
        <v>81.986000000000004</v>
      </c>
      <c r="AA181">
        <v>81.986000000000004</v>
      </c>
      <c r="AB181">
        <v>81.986000000000004</v>
      </c>
      <c r="AC181">
        <v>81.986000000000004</v>
      </c>
      <c r="AD181">
        <v>81.986000000000004</v>
      </c>
      <c r="AE181">
        <v>81.986000000000004</v>
      </c>
      <c r="AF181">
        <v>81.986000000000004</v>
      </c>
      <c r="AG181" s="144">
        <v>-2E-3</v>
      </c>
    </row>
    <row r="182" spans="1:33">
      <c r="A182" t="s">
        <v>2420</v>
      </c>
      <c r="B182" t="s">
        <v>3083</v>
      </c>
      <c r="C182" t="s">
        <v>3082</v>
      </c>
      <c r="D182" t="s">
        <v>2349</v>
      </c>
      <c r="F182">
        <v>40.181313000000003</v>
      </c>
      <c r="G182">
        <v>35.587260999999998</v>
      </c>
      <c r="H182">
        <v>35.587260999999998</v>
      </c>
      <c r="I182">
        <v>35.587260999999998</v>
      </c>
      <c r="J182">
        <v>35.587260999999998</v>
      </c>
      <c r="K182">
        <v>35.587260999999998</v>
      </c>
      <c r="L182">
        <v>35.587260999999998</v>
      </c>
      <c r="M182">
        <v>35.587260999999998</v>
      </c>
      <c r="N182">
        <v>35.587260999999998</v>
      </c>
      <c r="O182">
        <v>35.587260999999998</v>
      </c>
      <c r="P182">
        <v>35.587260999999998</v>
      </c>
      <c r="Q182">
        <v>35.587260999999998</v>
      </c>
      <c r="R182">
        <v>35.587260999999998</v>
      </c>
      <c r="S182">
        <v>35.587260999999998</v>
      </c>
      <c r="T182">
        <v>35.587260999999998</v>
      </c>
      <c r="U182">
        <v>35.587260999999998</v>
      </c>
      <c r="V182">
        <v>35.587260999999998</v>
      </c>
      <c r="W182">
        <v>35.587260999999998</v>
      </c>
      <c r="X182">
        <v>35.587260999999998</v>
      </c>
      <c r="Y182">
        <v>35.587260999999998</v>
      </c>
      <c r="Z182">
        <v>35.587260999999998</v>
      </c>
      <c r="AA182">
        <v>35.587260999999998</v>
      </c>
      <c r="AB182">
        <v>35.587260999999998</v>
      </c>
      <c r="AC182">
        <v>35.587260999999998</v>
      </c>
      <c r="AD182">
        <v>35.587260999999998</v>
      </c>
      <c r="AE182">
        <v>35.587260999999998</v>
      </c>
      <c r="AF182">
        <v>35.587260999999998</v>
      </c>
      <c r="AG182" s="144">
        <v>-5.0000000000000001E-3</v>
      </c>
    </row>
    <row r="183" spans="1:33">
      <c r="A183" t="s">
        <v>2417</v>
      </c>
      <c r="B183" t="s">
        <v>3081</v>
      </c>
      <c r="C183" t="s">
        <v>3080</v>
      </c>
      <c r="D183" t="s">
        <v>2349</v>
      </c>
      <c r="F183">
        <v>19.398737000000001</v>
      </c>
      <c r="G183">
        <v>19.398737000000001</v>
      </c>
      <c r="H183">
        <v>19.398737000000001</v>
      </c>
      <c r="I183">
        <v>19.398737000000001</v>
      </c>
      <c r="J183">
        <v>19.398737000000001</v>
      </c>
      <c r="K183">
        <v>19.398737000000001</v>
      </c>
      <c r="L183">
        <v>19.398737000000001</v>
      </c>
      <c r="M183">
        <v>19.398737000000001</v>
      </c>
      <c r="N183">
        <v>19.398737000000001</v>
      </c>
      <c r="O183">
        <v>19.398737000000001</v>
      </c>
      <c r="P183">
        <v>19.398737000000001</v>
      </c>
      <c r="Q183">
        <v>19.398737000000001</v>
      </c>
      <c r="R183">
        <v>19.398737000000001</v>
      </c>
      <c r="S183">
        <v>19.398737000000001</v>
      </c>
      <c r="T183">
        <v>19.398737000000001</v>
      </c>
      <c r="U183">
        <v>19.398737000000001</v>
      </c>
      <c r="V183">
        <v>19.398737000000001</v>
      </c>
      <c r="W183">
        <v>19.398737000000001</v>
      </c>
      <c r="X183">
        <v>19.398737000000001</v>
      </c>
      <c r="Y183">
        <v>19.398737000000001</v>
      </c>
      <c r="Z183">
        <v>19.398737000000001</v>
      </c>
      <c r="AA183">
        <v>19.398737000000001</v>
      </c>
      <c r="AB183">
        <v>19.398737000000001</v>
      </c>
      <c r="AC183">
        <v>19.398737000000001</v>
      </c>
      <c r="AD183">
        <v>19.398737000000001</v>
      </c>
      <c r="AE183">
        <v>19.398737000000001</v>
      </c>
      <c r="AF183">
        <v>19.398737000000001</v>
      </c>
      <c r="AG183" s="144">
        <v>0</v>
      </c>
    </row>
    <row r="184" spans="1:33">
      <c r="A184" t="s">
        <v>2414</v>
      </c>
      <c r="B184" t="s">
        <v>3079</v>
      </c>
      <c r="C184" t="s">
        <v>3078</v>
      </c>
      <c r="D184" t="s">
        <v>2349</v>
      </c>
      <c r="F184">
        <v>27</v>
      </c>
      <c r="G184">
        <v>27</v>
      </c>
      <c r="H184">
        <v>27</v>
      </c>
      <c r="I184">
        <v>27</v>
      </c>
      <c r="J184">
        <v>27</v>
      </c>
      <c r="K184">
        <v>27</v>
      </c>
      <c r="L184">
        <v>27</v>
      </c>
      <c r="M184">
        <v>27</v>
      </c>
      <c r="N184">
        <v>27</v>
      </c>
      <c r="O184">
        <v>27</v>
      </c>
      <c r="P184">
        <v>27</v>
      </c>
      <c r="Q184">
        <v>27</v>
      </c>
      <c r="R184">
        <v>27</v>
      </c>
      <c r="S184">
        <v>27</v>
      </c>
      <c r="T184">
        <v>27</v>
      </c>
      <c r="U184">
        <v>27</v>
      </c>
      <c r="V184">
        <v>27</v>
      </c>
      <c r="W184">
        <v>27</v>
      </c>
      <c r="X184">
        <v>27</v>
      </c>
      <c r="Y184">
        <v>27</v>
      </c>
      <c r="Z184">
        <v>27</v>
      </c>
      <c r="AA184">
        <v>27</v>
      </c>
      <c r="AB184">
        <v>27</v>
      </c>
      <c r="AC184">
        <v>27</v>
      </c>
      <c r="AD184">
        <v>27</v>
      </c>
      <c r="AE184">
        <v>27</v>
      </c>
      <c r="AF184">
        <v>27</v>
      </c>
      <c r="AG184" s="144">
        <v>0</v>
      </c>
    </row>
    <row r="185" spans="1:33">
      <c r="A185" t="s">
        <v>2380</v>
      </c>
      <c r="B185" t="s">
        <v>3077</v>
      </c>
      <c r="C185" t="s">
        <v>3076</v>
      </c>
      <c r="D185" t="s">
        <v>2349</v>
      </c>
      <c r="F185">
        <v>29.658901</v>
      </c>
      <c r="G185">
        <v>29.658901</v>
      </c>
      <c r="H185">
        <v>29.658901</v>
      </c>
      <c r="I185">
        <v>29.658901</v>
      </c>
      <c r="J185">
        <v>29.658901</v>
      </c>
      <c r="K185">
        <v>29.658901</v>
      </c>
      <c r="L185">
        <v>29.658901</v>
      </c>
      <c r="M185">
        <v>29.658901</v>
      </c>
      <c r="N185">
        <v>29.658901</v>
      </c>
      <c r="O185">
        <v>29.658901</v>
      </c>
      <c r="P185">
        <v>29.658901</v>
      </c>
      <c r="Q185">
        <v>29.658901</v>
      </c>
      <c r="R185">
        <v>29.658901</v>
      </c>
      <c r="S185">
        <v>29.658901</v>
      </c>
      <c r="T185">
        <v>29.658901</v>
      </c>
      <c r="U185">
        <v>29.658901</v>
      </c>
      <c r="V185">
        <v>29.658901</v>
      </c>
      <c r="W185">
        <v>29.658901</v>
      </c>
      <c r="X185">
        <v>29.658901</v>
      </c>
      <c r="Y185">
        <v>29.658901</v>
      </c>
      <c r="Z185">
        <v>29.658901</v>
      </c>
      <c r="AA185">
        <v>29.658901</v>
      </c>
      <c r="AB185">
        <v>29.658901</v>
      </c>
      <c r="AC185">
        <v>29.658901</v>
      </c>
      <c r="AD185">
        <v>29.658901</v>
      </c>
      <c r="AE185">
        <v>29.658901</v>
      </c>
      <c r="AF185">
        <v>29.658901</v>
      </c>
      <c r="AG185" s="144">
        <v>0</v>
      </c>
    </row>
    <row r="186" spans="1:33">
      <c r="A186" t="s">
        <v>2420</v>
      </c>
      <c r="B186" t="s">
        <v>3075</v>
      </c>
      <c r="C186" t="s">
        <v>3074</v>
      </c>
      <c r="D186" t="s">
        <v>2349</v>
      </c>
      <c r="F186">
        <v>16.658901</v>
      </c>
      <c r="G186">
        <v>16.658901</v>
      </c>
      <c r="H186">
        <v>16.658901</v>
      </c>
      <c r="I186">
        <v>16.658901</v>
      </c>
      <c r="J186">
        <v>16.658901</v>
      </c>
      <c r="K186">
        <v>16.658901</v>
      </c>
      <c r="L186">
        <v>16.658901</v>
      </c>
      <c r="M186">
        <v>16.658901</v>
      </c>
      <c r="N186">
        <v>16.658901</v>
      </c>
      <c r="O186">
        <v>16.658901</v>
      </c>
      <c r="P186">
        <v>16.658901</v>
      </c>
      <c r="Q186">
        <v>16.658901</v>
      </c>
      <c r="R186">
        <v>16.658901</v>
      </c>
      <c r="S186">
        <v>16.658901</v>
      </c>
      <c r="T186">
        <v>16.658901</v>
      </c>
      <c r="U186">
        <v>16.658901</v>
      </c>
      <c r="V186">
        <v>16.658901</v>
      </c>
      <c r="W186">
        <v>16.658901</v>
      </c>
      <c r="X186">
        <v>16.658901</v>
      </c>
      <c r="Y186">
        <v>16.658901</v>
      </c>
      <c r="Z186">
        <v>16.658901</v>
      </c>
      <c r="AA186">
        <v>16.658901</v>
      </c>
      <c r="AB186">
        <v>16.658901</v>
      </c>
      <c r="AC186">
        <v>16.658901</v>
      </c>
      <c r="AD186">
        <v>16.658901</v>
      </c>
      <c r="AE186">
        <v>16.658901</v>
      </c>
      <c r="AF186">
        <v>16.658901</v>
      </c>
      <c r="AG186" s="144">
        <v>0</v>
      </c>
    </row>
    <row r="187" spans="1:33">
      <c r="A187" t="s">
        <v>2417</v>
      </c>
      <c r="B187" t="s">
        <v>3073</v>
      </c>
      <c r="C187" t="s">
        <v>3072</v>
      </c>
      <c r="D187" t="s">
        <v>2349</v>
      </c>
      <c r="F187">
        <v>1</v>
      </c>
      <c r="G187">
        <v>1</v>
      </c>
      <c r="H187">
        <v>1</v>
      </c>
      <c r="I187">
        <v>1</v>
      </c>
      <c r="J187">
        <v>1</v>
      </c>
      <c r="K187">
        <v>1</v>
      </c>
      <c r="L187">
        <v>1</v>
      </c>
      <c r="M187">
        <v>1</v>
      </c>
      <c r="N187">
        <v>1</v>
      </c>
      <c r="O187">
        <v>1</v>
      </c>
      <c r="P187">
        <v>1</v>
      </c>
      <c r="Q187">
        <v>1</v>
      </c>
      <c r="R187">
        <v>1</v>
      </c>
      <c r="S187">
        <v>1</v>
      </c>
      <c r="T187">
        <v>1</v>
      </c>
      <c r="U187">
        <v>1</v>
      </c>
      <c r="V187">
        <v>1</v>
      </c>
      <c r="W187">
        <v>1</v>
      </c>
      <c r="X187">
        <v>1</v>
      </c>
      <c r="Y187">
        <v>1</v>
      </c>
      <c r="Z187">
        <v>1</v>
      </c>
      <c r="AA187">
        <v>1</v>
      </c>
      <c r="AB187">
        <v>1</v>
      </c>
      <c r="AC187">
        <v>1</v>
      </c>
      <c r="AD187">
        <v>1</v>
      </c>
      <c r="AE187">
        <v>1</v>
      </c>
      <c r="AF187">
        <v>1</v>
      </c>
      <c r="AG187" s="144">
        <v>0</v>
      </c>
    </row>
    <row r="188" spans="1:33">
      <c r="A188" t="s">
        <v>2414</v>
      </c>
      <c r="B188" t="s">
        <v>3071</v>
      </c>
      <c r="C188" t="s">
        <v>3070</v>
      </c>
      <c r="D188" t="s">
        <v>2349</v>
      </c>
      <c r="F188">
        <v>12</v>
      </c>
      <c r="G188">
        <v>12</v>
      </c>
      <c r="H188">
        <v>12</v>
      </c>
      <c r="I188">
        <v>12</v>
      </c>
      <c r="J188">
        <v>12</v>
      </c>
      <c r="K188">
        <v>12</v>
      </c>
      <c r="L188">
        <v>12</v>
      </c>
      <c r="M188">
        <v>12</v>
      </c>
      <c r="N188">
        <v>12</v>
      </c>
      <c r="O188">
        <v>12</v>
      </c>
      <c r="P188">
        <v>12</v>
      </c>
      <c r="Q188">
        <v>12</v>
      </c>
      <c r="R188">
        <v>12</v>
      </c>
      <c r="S188">
        <v>12</v>
      </c>
      <c r="T188">
        <v>12</v>
      </c>
      <c r="U188">
        <v>12</v>
      </c>
      <c r="V188">
        <v>12</v>
      </c>
      <c r="W188">
        <v>12</v>
      </c>
      <c r="X188">
        <v>12</v>
      </c>
      <c r="Y188">
        <v>12</v>
      </c>
      <c r="Z188">
        <v>12</v>
      </c>
      <c r="AA188">
        <v>12</v>
      </c>
      <c r="AB188">
        <v>12</v>
      </c>
      <c r="AC188">
        <v>12</v>
      </c>
      <c r="AD188">
        <v>12</v>
      </c>
      <c r="AE188">
        <v>12</v>
      </c>
      <c r="AF188">
        <v>12</v>
      </c>
      <c r="AG188" s="144">
        <v>0</v>
      </c>
    </row>
    <row r="189" spans="1:33">
      <c r="A189" t="s">
        <v>2377</v>
      </c>
      <c r="B189" t="s">
        <v>3069</v>
      </c>
      <c r="C189" t="s">
        <v>3068</v>
      </c>
      <c r="D189" t="s">
        <v>2349</v>
      </c>
      <c r="F189">
        <v>87</v>
      </c>
      <c r="G189">
        <v>87</v>
      </c>
      <c r="H189">
        <v>87</v>
      </c>
      <c r="I189">
        <v>87</v>
      </c>
      <c r="J189">
        <v>87</v>
      </c>
      <c r="K189">
        <v>87</v>
      </c>
      <c r="L189">
        <v>87</v>
      </c>
      <c r="M189">
        <v>87</v>
      </c>
      <c r="N189">
        <v>87</v>
      </c>
      <c r="O189">
        <v>87</v>
      </c>
      <c r="P189">
        <v>87</v>
      </c>
      <c r="Q189">
        <v>87</v>
      </c>
      <c r="R189">
        <v>87</v>
      </c>
      <c r="S189">
        <v>87</v>
      </c>
      <c r="T189">
        <v>87</v>
      </c>
      <c r="U189">
        <v>87</v>
      </c>
      <c r="V189">
        <v>87</v>
      </c>
      <c r="W189">
        <v>87</v>
      </c>
      <c r="X189">
        <v>87</v>
      </c>
      <c r="Y189">
        <v>87</v>
      </c>
      <c r="Z189">
        <v>87</v>
      </c>
      <c r="AA189">
        <v>87</v>
      </c>
      <c r="AB189">
        <v>87</v>
      </c>
      <c r="AC189">
        <v>87</v>
      </c>
      <c r="AD189">
        <v>87</v>
      </c>
      <c r="AE189">
        <v>87</v>
      </c>
      <c r="AF189">
        <v>87</v>
      </c>
      <c r="AG189" s="144">
        <v>0</v>
      </c>
    </row>
    <row r="190" spans="1:33">
      <c r="A190" t="s">
        <v>2420</v>
      </c>
      <c r="B190" t="s">
        <v>3067</v>
      </c>
      <c r="C190" t="s">
        <v>3066</v>
      </c>
      <c r="D190" t="s">
        <v>2349</v>
      </c>
      <c r="F190">
        <v>34</v>
      </c>
      <c r="G190">
        <v>34</v>
      </c>
      <c r="H190">
        <v>34</v>
      </c>
      <c r="I190">
        <v>34</v>
      </c>
      <c r="J190">
        <v>34</v>
      </c>
      <c r="K190">
        <v>34</v>
      </c>
      <c r="L190">
        <v>34</v>
      </c>
      <c r="M190">
        <v>34</v>
      </c>
      <c r="N190">
        <v>34</v>
      </c>
      <c r="O190">
        <v>34</v>
      </c>
      <c r="P190">
        <v>34</v>
      </c>
      <c r="Q190">
        <v>34</v>
      </c>
      <c r="R190">
        <v>34</v>
      </c>
      <c r="S190">
        <v>34</v>
      </c>
      <c r="T190">
        <v>34</v>
      </c>
      <c r="U190">
        <v>34</v>
      </c>
      <c r="V190">
        <v>34</v>
      </c>
      <c r="W190">
        <v>34</v>
      </c>
      <c r="X190">
        <v>34</v>
      </c>
      <c r="Y190">
        <v>34</v>
      </c>
      <c r="Z190">
        <v>34</v>
      </c>
      <c r="AA190">
        <v>34</v>
      </c>
      <c r="AB190">
        <v>34</v>
      </c>
      <c r="AC190">
        <v>34</v>
      </c>
      <c r="AD190">
        <v>34</v>
      </c>
      <c r="AE190">
        <v>34</v>
      </c>
      <c r="AF190">
        <v>34</v>
      </c>
      <c r="AG190" s="144">
        <v>0</v>
      </c>
    </row>
    <row r="191" spans="1:33">
      <c r="A191" t="s">
        <v>2417</v>
      </c>
      <c r="B191" t="s">
        <v>3065</v>
      </c>
      <c r="C191" t="s">
        <v>3064</v>
      </c>
      <c r="D191" t="s">
        <v>2349</v>
      </c>
      <c r="F191">
        <v>15</v>
      </c>
      <c r="G191">
        <v>15</v>
      </c>
      <c r="H191">
        <v>15</v>
      </c>
      <c r="I191">
        <v>15</v>
      </c>
      <c r="J191">
        <v>15</v>
      </c>
      <c r="K191">
        <v>15</v>
      </c>
      <c r="L191">
        <v>15</v>
      </c>
      <c r="M191">
        <v>15</v>
      </c>
      <c r="N191">
        <v>15</v>
      </c>
      <c r="O191">
        <v>15</v>
      </c>
      <c r="P191">
        <v>15</v>
      </c>
      <c r="Q191">
        <v>15</v>
      </c>
      <c r="R191">
        <v>15</v>
      </c>
      <c r="S191">
        <v>15</v>
      </c>
      <c r="T191">
        <v>15</v>
      </c>
      <c r="U191">
        <v>15</v>
      </c>
      <c r="V191">
        <v>15</v>
      </c>
      <c r="W191">
        <v>15</v>
      </c>
      <c r="X191">
        <v>15</v>
      </c>
      <c r="Y191">
        <v>15</v>
      </c>
      <c r="Z191">
        <v>15</v>
      </c>
      <c r="AA191">
        <v>15</v>
      </c>
      <c r="AB191">
        <v>15</v>
      </c>
      <c r="AC191">
        <v>15</v>
      </c>
      <c r="AD191">
        <v>15</v>
      </c>
      <c r="AE191">
        <v>15</v>
      </c>
      <c r="AF191">
        <v>15</v>
      </c>
      <c r="AG191" s="144">
        <v>0</v>
      </c>
    </row>
    <row r="192" spans="1:33">
      <c r="A192" t="s">
        <v>2414</v>
      </c>
      <c r="B192" t="s">
        <v>3063</v>
      </c>
      <c r="C192" t="s">
        <v>3062</v>
      </c>
      <c r="D192" t="s">
        <v>2349</v>
      </c>
      <c r="F192">
        <v>38</v>
      </c>
      <c r="G192">
        <v>38</v>
      </c>
      <c r="H192">
        <v>38</v>
      </c>
      <c r="I192">
        <v>38</v>
      </c>
      <c r="J192">
        <v>38</v>
      </c>
      <c r="K192">
        <v>38</v>
      </c>
      <c r="L192">
        <v>38</v>
      </c>
      <c r="M192">
        <v>38</v>
      </c>
      <c r="N192">
        <v>38</v>
      </c>
      <c r="O192">
        <v>38</v>
      </c>
      <c r="P192">
        <v>38</v>
      </c>
      <c r="Q192">
        <v>38</v>
      </c>
      <c r="R192">
        <v>38</v>
      </c>
      <c r="S192">
        <v>38</v>
      </c>
      <c r="T192">
        <v>38</v>
      </c>
      <c r="U192">
        <v>38</v>
      </c>
      <c r="V192">
        <v>38</v>
      </c>
      <c r="W192">
        <v>38</v>
      </c>
      <c r="X192">
        <v>38</v>
      </c>
      <c r="Y192">
        <v>38</v>
      </c>
      <c r="Z192">
        <v>38</v>
      </c>
      <c r="AA192">
        <v>38</v>
      </c>
      <c r="AB192">
        <v>38</v>
      </c>
      <c r="AC192">
        <v>38</v>
      </c>
      <c r="AD192">
        <v>38</v>
      </c>
      <c r="AE192">
        <v>38</v>
      </c>
      <c r="AF192">
        <v>38</v>
      </c>
      <c r="AG192" s="144">
        <v>0</v>
      </c>
    </row>
    <row r="193" spans="1:33">
      <c r="A193" t="s">
        <v>2374</v>
      </c>
      <c r="B193" t="s">
        <v>3061</v>
      </c>
      <c r="C193" t="s">
        <v>3060</v>
      </c>
      <c r="D193" t="s">
        <v>2349</v>
      </c>
      <c r="F193">
        <v>69</v>
      </c>
      <c r="G193">
        <v>69</v>
      </c>
      <c r="H193">
        <v>69</v>
      </c>
      <c r="I193">
        <v>69</v>
      </c>
      <c r="J193">
        <v>69</v>
      </c>
      <c r="K193">
        <v>69</v>
      </c>
      <c r="L193">
        <v>69</v>
      </c>
      <c r="M193">
        <v>69</v>
      </c>
      <c r="N193">
        <v>69</v>
      </c>
      <c r="O193">
        <v>69</v>
      </c>
      <c r="P193">
        <v>69</v>
      </c>
      <c r="Q193">
        <v>69</v>
      </c>
      <c r="R193">
        <v>69</v>
      </c>
      <c r="S193">
        <v>69</v>
      </c>
      <c r="T193">
        <v>69</v>
      </c>
      <c r="U193">
        <v>69</v>
      </c>
      <c r="V193">
        <v>69</v>
      </c>
      <c r="W193">
        <v>69</v>
      </c>
      <c r="X193">
        <v>69</v>
      </c>
      <c r="Y193">
        <v>69</v>
      </c>
      <c r="Z193">
        <v>69</v>
      </c>
      <c r="AA193">
        <v>69</v>
      </c>
      <c r="AB193">
        <v>69</v>
      </c>
      <c r="AC193">
        <v>69</v>
      </c>
      <c r="AD193">
        <v>69</v>
      </c>
      <c r="AE193">
        <v>69</v>
      </c>
      <c r="AF193">
        <v>69</v>
      </c>
      <c r="AG193" s="144">
        <v>0</v>
      </c>
    </row>
    <row r="194" spans="1:33">
      <c r="A194" t="s">
        <v>2420</v>
      </c>
      <c r="B194" t="s">
        <v>3059</v>
      </c>
      <c r="C194" t="s">
        <v>3058</v>
      </c>
      <c r="D194" t="s">
        <v>2349</v>
      </c>
      <c r="F194">
        <v>34</v>
      </c>
      <c r="G194">
        <v>34</v>
      </c>
      <c r="H194">
        <v>34</v>
      </c>
      <c r="I194">
        <v>34</v>
      </c>
      <c r="J194">
        <v>34</v>
      </c>
      <c r="K194">
        <v>34</v>
      </c>
      <c r="L194">
        <v>34</v>
      </c>
      <c r="M194">
        <v>34</v>
      </c>
      <c r="N194">
        <v>34</v>
      </c>
      <c r="O194">
        <v>34</v>
      </c>
      <c r="P194">
        <v>34</v>
      </c>
      <c r="Q194">
        <v>34</v>
      </c>
      <c r="R194">
        <v>34</v>
      </c>
      <c r="S194">
        <v>34</v>
      </c>
      <c r="T194">
        <v>34</v>
      </c>
      <c r="U194">
        <v>34</v>
      </c>
      <c r="V194">
        <v>34</v>
      </c>
      <c r="W194">
        <v>34</v>
      </c>
      <c r="X194">
        <v>34</v>
      </c>
      <c r="Y194">
        <v>34</v>
      </c>
      <c r="Z194">
        <v>34</v>
      </c>
      <c r="AA194">
        <v>34</v>
      </c>
      <c r="AB194">
        <v>34</v>
      </c>
      <c r="AC194">
        <v>34</v>
      </c>
      <c r="AD194">
        <v>34</v>
      </c>
      <c r="AE194">
        <v>34</v>
      </c>
      <c r="AF194">
        <v>34</v>
      </c>
      <c r="AG194" s="144">
        <v>0</v>
      </c>
    </row>
    <row r="195" spans="1:33">
      <c r="A195" t="s">
        <v>2417</v>
      </c>
      <c r="B195" t="s">
        <v>3057</v>
      </c>
      <c r="C195" t="s">
        <v>3056</v>
      </c>
      <c r="D195" t="s">
        <v>2349</v>
      </c>
      <c r="F195">
        <v>22</v>
      </c>
      <c r="G195">
        <v>22</v>
      </c>
      <c r="H195">
        <v>22</v>
      </c>
      <c r="I195">
        <v>22</v>
      </c>
      <c r="J195">
        <v>22</v>
      </c>
      <c r="K195">
        <v>22</v>
      </c>
      <c r="L195">
        <v>22</v>
      </c>
      <c r="M195">
        <v>22</v>
      </c>
      <c r="N195">
        <v>22</v>
      </c>
      <c r="O195">
        <v>22</v>
      </c>
      <c r="P195">
        <v>22</v>
      </c>
      <c r="Q195">
        <v>22</v>
      </c>
      <c r="R195">
        <v>22</v>
      </c>
      <c r="S195">
        <v>22</v>
      </c>
      <c r="T195">
        <v>22</v>
      </c>
      <c r="U195">
        <v>22</v>
      </c>
      <c r="V195">
        <v>22</v>
      </c>
      <c r="W195">
        <v>22</v>
      </c>
      <c r="X195">
        <v>22</v>
      </c>
      <c r="Y195">
        <v>22</v>
      </c>
      <c r="Z195">
        <v>22</v>
      </c>
      <c r="AA195">
        <v>22</v>
      </c>
      <c r="AB195">
        <v>22</v>
      </c>
      <c r="AC195">
        <v>22</v>
      </c>
      <c r="AD195">
        <v>22</v>
      </c>
      <c r="AE195">
        <v>22</v>
      </c>
      <c r="AF195">
        <v>22</v>
      </c>
      <c r="AG195" s="144">
        <v>0</v>
      </c>
    </row>
    <row r="196" spans="1:33">
      <c r="A196" t="s">
        <v>2414</v>
      </c>
      <c r="B196" t="s">
        <v>3055</v>
      </c>
      <c r="C196" t="s">
        <v>3054</v>
      </c>
      <c r="D196" t="s">
        <v>2349</v>
      </c>
      <c r="F196">
        <v>13</v>
      </c>
      <c r="G196">
        <v>13</v>
      </c>
      <c r="H196">
        <v>13</v>
      </c>
      <c r="I196">
        <v>13</v>
      </c>
      <c r="J196">
        <v>13</v>
      </c>
      <c r="K196">
        <v>13</v>
      </c>
      <c r="L196">
        <v>13</v>
      </c>
      <c r="M196">
        <v>13</v>
      </c>
      <c r="N196">
        <v>13</v>
      </c>
      <c r="O196">
        <v>13</v>
      </c>
      <c r="P196">
        <v>13</v>
      </c>
      <c r="Q196">
        <v>13</v>
      </c>
      <c r="R196">
        <v>13</v>
      </c>
      <c r="S196">
        <v>13</v>
      </c>
      <c r="T196">
        <v>13</v>
      </c>
      <c r="U196">
        <v>13</v>
      </c>
      <c r="V196">
        <v>13</v>
      </c>
      <c r="W196">
        <v>13</v>
      </c>
      <c r="X196">
        <v>13</v>
      </c>
      <c r="Y196">
        <v>13</v>
      </c>
      <c r="Z196">
        <v>13</v>
      </c>
      <c r="AA196">
        <v>13</v>
      </c>
      <c r="AB196">
        <v>13</v>
      </c>
      <c r="AC196">
        <v>13</v>
      </c>
      <c r="AD196">
        <v>13</v>
      </c>
      <c r="AE196">
        <v>13</v>
      </c>
      <c r="AF196">
        <v>13</v>
      </c>
      <c r="AG196" s="144">
        <v>0</v>
      </c>
    </row>
    <row r="197" spans="1:33">
      <c r="A197" t="s">
        <v>197</v>
      </c>
      <c r="B197" t="s">
        <v>3053</v>
      </c>
      <c r="C197" t="s">
        <v>3052</v>
      </c>
      <c r="D197" t="s">
        <v>2349</v>
      </c>
      <c r="F197">
        <v>100</v>
      </c>
      <c r="G197">
        <v>100</v>
      </c>
      <c r="H197">
        <v>100</v>
      </c>
      <c r="I197">
        <v>100</v>
      </c>
      <c r="J197">
        <v>100</v>
      </c>
      <c r="K197">
        <v>100</v>
      </c>
      <c r="L197">
        <v>100</v>
      </c>
      <c r="M197">
        <v>100</v>
      </c>
      <c r="N197">
        <v>100</v>
      </c>
      <c r="O197">
        <v>100</v>
      </c>
      <c r="P197">
        <v>100</v>
      </c>
      <c r="Q197">
        <v>100</v>
      </c>
      <c r="R197">
        <v>100</v>
      </c>
      <c r="S197">
        <v>100</v>
      </c>
      <c r="T197">
        <v>100</v>
      </c>
      <c r="U197">
        <v>100</v>
      </c>
      <c r="V197">
        <v>100</v>
      </c>
      <c r="W197">
        <v>100</v>
      </c>
      <c r="X197">
        <v>100</v>
      </c>
      <c r="Y197">
        <v>100</v>
      </c>
      <c r="Z197">
        <v>100</v>
      </c>
      <c r="AA197">
        <v>100</v>
      </c>
      <c r="AB197">
        <v>100</v>
      </c>
      <c r="AC197">
        <v>100</v>
      </c>
      <c r="AD197">
        <v>100</v>
      </c>
      <c r="AE197">
        <v>100</v>
      </c>
      <c r="AF197">
        <v>100</v>
      </c>
      <c r="AG197" s="144">
        <v>0</v>
      </c>
    </row>
    <row r="198" spans="1:33">
      <c r="A198" t="s">
        <v>2420</v>
      </c>
      <c r="B198" t="s">
        <v>3051</v>
      </c>
      <c r="C198" t="s">
        <v>3050</v>
      </c>
      <c r="D198" t="s">
        <v>2349</v>
      </c>
      <c r="F198">
        <v>41</v>
      </c>
      <c r="G198">
        <v>41</v>
      </c>
      <c r="H198">
        <v>41</v>
      </c>
      <c r="I198">
        <v>41</v>
      </c>
      <c r="J198">
        <v>41</v>
      </c>
      <c r="K198">
        <v>41</v>
      </c>
      <c r="L198">
        <v>41</v>
      </c>
      <c r="M198">
        <v>41</v>
      </c>
      <c r="N198">
        <v>41</v>
      </c>
      <c r="O198">
        <v>41</v>
      </c>
      <c r="P198">
        <v>41</v>
      </c>
      <c r="Q198">
        <v>41</v>
      </c>
      <c r="R198">
        <v>41</v>
      </c>
      <c r="S198">
        <v>41</v>
      </c>
      <c r="T198">
        <v>41</v>
      </c>
      <c r="U198">
        <v>41</v>
      </c>
      <c r="V198">
        <v>41</v>
      </c>
      <c r="W198">
        <v>41</v>
      </c>
      <c r="X198">
        <v>41</v>
      </c>
      <c r="Y198">
        <v>41</v>
      </c>
      <c r="Z198">
        <v>41</v>
      </c>
      <c r="AA198">
        <v>41</v>
      </c>
      <c r="AB198">
        <v>41</v>
      </c>
      <c r="AC198">
        <v>41</v>
      </c>
      <c r="AD198">
        <v>41</v>
      </c>
      <c r="AE198">
        <v>41</v>
      </c>
      <c r="AF198">
        <v>41</v>
      </c>
      <c r="AG198" s="144">
        <v>0</v>
      </c>
    </row>
    <row r="199" spans="1:33">
      <c r="A199" t="s">
        <v>2417</v>
      </c>
      <c r="B199" t="s">
        <v>3049</v>
      </c>
      <c r="C199" t="s">
        <v>3048</v>
      </c>
      <c r="D199" t="s">
        <v>2349</v>
      </c>
      <c r="F199">
        <v>9</v>
      </c>
      <c r="G199">
        <v>9</v>
      </c>
      <c r="H199">
        <v>9</v>
      </c>
      <c r="I199">
        <v>9</v>
      </c>
      <c r="J199">
        <v>9</v>
      </c>
      <c r="K199">
        <v>9</v>
      </c>
      <c r="L199">
        <v>9</v>
      </c>
      <c r="M199">
        <v>9</v>
      </c>
      <c r="N199">
        <v>9</v>
      </c>
      <c r="O199">
        <v>9</v>
      </c>
      <c r="P199">
        <v>9</v>
      </c>
      <c r="Q199">
        <v>9</v>
      </c>
      <c r="R199">
        <v>9</v>
      </c>
      <c r="S199">
        <v>9</v>
      </c>
      <c r="T199">
        <v>9</v>
      </c>
      <c r="U199">
        <v>9</v>
      </c>
      <c r="V199">
        <v>9</v>
      </c>
      <c r="W199">
        <v>9</v>
      </c>
      <c r="X199">
        <v>9</v>
      </c>
      <c r="Y199">
        <v>9</v>
      </c>
      <c r="Z199">
        <v>9</v>
      </c>
      <c r="AA199">
        <v>9</v>
      </c>
      <c r="AB199">
        <v>9</v>
      </c>
      <c r="AC199">
        <v>9</v>
      </c>
      <c r="AD199">
        <v>9</v>
      </c>
      <c r="AE199">
        <v>9</v>
      </c>
      <c r="AF199">
        <v>9</v>
      </c>
      <c r="AG199" s="144">
        <v>0</v>
      </c>
    </row>
    <row r="200" spans="1:33">
      <c r="A200" t="s">
        <v>2414</v>
      </c>
      <c r="B200" t="s">
        <v>3047</v>
      </c>
      <c r="C200" t="s">
        <v>3046</v>
      </c>
      <c r="D200" t="s">
        <v>2349</v>
      </c>
      <c r="F200">
        <v>50</v>
      </c>
      <c r="G200">
        <v>50</v>
      </c>
      <c r="H200">
        <v>50</v>
      </c>
      <c r="I200">
        <v>50</v>
      </c>
      <c r="J200">
        <v>50</v>
      </c>
      <c r="K200">
        <v>50</v>
      </c>
      <c r="L200">
        <v>50</v>
      </c>
      <c r="M200">
        <v>50</v>
      </c>
      <c r="N200">
        <v>50</v>
      </c>
      <c r="O200">
        <v>50</v>
      </c>
      <c r="P200">
        <v>50</v>
      </c>
      <c r="Q200">
        <v>50</v>
      </c>
      <c r="R200">
        <v>50</v>
      </c>
      <c r="S200">
        <v>50</v>
      </c>
      <c r="T200">
        <v>50</v>
      </c>
      <c r="U200">
        <v>50</v>
      </c>
      <c r="V200">
        <v>50</v>
      </c>
      <c r="W200">
        <v>50</v>
      </c>
      <c r="X200">
        <v>50</v>
      </c>
      <c r="Y200">
        <v>50</v>
      </c>
      <c r="Z200">
        <v>50</v>
      </c>
      <c r="AA200">
        <v>50</v>
      </c>
      <c r="AB200">
        <v>50</v>
      </c>
      <c r="AC200">
        <v>50</v>
      </c>
      <c r="AD200">
        <v>50</v>
      </c>
      <c r="AE200">
        <v>50</v>
      </c>
      <c r="AF200">
        <v>50</v>
      </c>
      <c r="AG200" s="144">
        <v>0</v>
      </c>
    </row>
    <row r="201" spans="1:33">
      <c r="A201" t="s">
        <v>2369</v>
      </c>
      <c r="B201" t="s">
        <v>3045</v>
      </c>
      <c r="C201" t="s">
        <v>3044</v>
      </c>
      <c r="D201" t="s">
        <v>2349</v>
      </c>
      <c r="F201">
        <v>18.334454000000001</v>
      </c>
      <c r="G201">
        <v>18.334454000000001</v>
      </c>
      <c r="H201">
        <v>18.334454000000001</v>
      </c>
      <c r="I201">
        <v>18.334454000000001</v>
      </c>
      <c r="J201">
        <v>18.334454000000001</v>
      </c>
      <c r="K201">
        <v>18.334454000000001</v>
      </c>
      <c r="L201">
        <v>18.334454000000001</v>
      </c>
      <c r="M201">
        <v>18.334454000000001</v>
      </c>
      <c r="N201">
        <v>18.334454000000001</v>
      </c>
      <c r="O201">
        <v>18.334454000000001</v>
      </c>
      <c r="P201">
        <v>18.334454000000001</v>
      </c>
      <c r="Q201">
        <v>18.334454000000001</v>
      </c>
      <c r="R201">
        <v>18.334454000000001</v>
      </c>
      <c r="S201">
        <v>18.334454000000001</v>
      </c>
      <c r="T201">
        <v>18.334454000000001</v>
      </c>
      <c r="U201">
        <v>18.334454000000001</v>
      </c>
      <c r="V201">
        <v>18.334454000000001</v>
      </c>
      <c r="W201">
        <v>18.334454000000001</v>
      </c>
      <c r="X201">
        <v>18.334454000000001</v>
      </c>
      <c r="Y201">
        <v>18.334454000000001</v>
      </c>
      <c r="Z201">
        <v>18.334454000000001</v>
      </c>
      <c r="AA201">
        <v>18.334454000000001</v>
      </c>
      <c r="AB201">
        <v>18.334454000000001</v>
      </c>
      <c r="AC201">
        <v>18.334454000000001</v>
      </c>
      <c r="AD201">
        <v>18.334454000000001</v>
      </c>
      <c r="AE201">
        <v>18.334454000000001</v>
      </c>
      <c r="AF201">
        <v>18.334454000000001</v>
      </c>
      <c r="AG201" s="144">
        <v>0</v>
      </c>
    </row>
    <row r="202" spans="1:33">
      <c r="A202" t="s">
        <v>2420</v>
      </c>
      <c r="B202" t="s">
        <v>3043</v>
      </c>
      <c r="C202" t="s">
        <v>3042</v>
      </c>
      <c r="D202" t="s">
        <v>2349</v>
      </c>
      <c r="F202">
        <v>7</v>
      </c>
      <c r="G202">
        <v>7</v>
      </c>
      <c r="H202">
        <v>7</v>
      </c>
      <c r="I202">
        <v>7</v>
      </c>
      <c r="J202">
        <v>7</v>
      </c>
      <c r="K202">
        <v>7</v>
      </c>
      <c r="L202">
        <v>7</v>
      </c>
      <c r="M202">
        <v>7</v>
      </c>
      <c r="N202">
        <v>7</v>
      </c>
      <c r="O202">
        <v>7</v>
      </c>
      <c r="P202">
        <v>7</v>
      </c>
      <c r="Q202">
        <v>7</v>
      </c>
      <c r="R202">
        <v>7</v>
      </c>
      <c r="S202">
        <v>7</v>
      </c>
      <c r="T202">
        <v>7</v>
      </c>
      <c r="U202">
        <v>7</v>
      </c>
      <c r="V202">
        <v>7</v>
      </c>
      <c r="W202">
        <v>7</v>
      </c>
      <c r="X202">
        <v>7</v>
      </c>
      <c r="Y202">
        <v>7</v>
      </c>
      <c r="Z202">
        <v>7</v>
      </c>
      <c r="AA202">
        <v>7</v>
      </c>
      <c r="AB202">
        <v>7</v>
      </c>
      <c r="AC202">
        <v>7</v>
      </c>
      <c r="AD202">
        <v>7</v>
      </c>
      <c r="AE202">
        <v>7</v>
      </c>
      <c r="AF202">
        <v>7</v>
      </c>
      <c r="AG202" s="144">
        <v>0</v>
      </c>
    </row>
    <row r="203" spans="1:33">
      <c r="A203" t="s">
        <v>2417</v>
      </c>
      <c r="B203" t="s">
        <v>3041</v>
      </c>
      <c r="C203" t="s">
        <v>3040</v>
      </c>
      <c r="D203" t="s">
        <v>2349</v>
      </c>
      <c r="F203">
        <v>2.3344529999999999</v>
      </c>
      <c r="G203">
        <v>2.3344529999999999</v>
      </c>
      <c r="H203">
        <v>2.3344529999999999</v>
      </c>
      <c r="I203">
        <v>2.3344529999999999</v>
      </c>
      <c r="J203">
        <v>2.3344529999999999</v>
      </c>
      <c r="K203">
        <v>2.3344529999999999</v>
      </c>
      <c r="L203">
        <v>2.3344529999999999</v>
      </c>
      <c r="M203">
        <v>2.3344529999999999</v>
      </c>
      <c r="N203">
        <v>2.3344529999999999</v>
      </c>
      <c r="O203">
        <v>2.3344529999999999</v>
      </c>
      <c r="P203">
        <v>2.3344529999999999</v>
      </c>
      <c r="Q203">
        <v>2.3344529999999999</v>
      </c>
      <c r="R203">
        <v>2.3344529999999999</v>
      </c>
      <c r="S203">
        <v>2.3344529999999999</v>
      </c>
      <c r="T203">
        <v>2.3344529999999999</v>
      </c>
      <c r="U203">
        <v>2.3344529999999999</v>
      </c>
      <c r="V203">
        <v>2.3344529999999999</v>
      </c>
      <c r="W203">
        <v>2.3344529999999999</v>
      </c>
      <c r="X203">
        <v>2.3344529999999999</v>
      </c>
      <c r="Y203">
        <v>2.3344529999999999</v>
      </c>
      <c r="Z203">
        <v>2.3344529999999999</v>
      </c>
      <c r="AA203">
        <v>2.3344529999999999</v>
      </c>
      <c r="AB203">
        <v>2.3344529999999999</v>
      </c>
      <c r="AC203">
        <v>2.3344529999999999</v>
      </c>
      <c r="AD203">
        <v>2.3344529999999999</v>
      </c>
      <c r="AE203">
        <v>2.3344529999999999</v>
      </c>
      <c r="AF203">
        <v>2.3344529999999999</v>
      </c>
      <c r="AG203" s="144">
        <v>0</v>
      </c>
    </row>
    <row r="204" spans="1:33">
      <c r="A204" t="s">
        <v>2414</v>
      </c>
      <c r="B204" t="s">
        <v>3039</v>
      </c>
      <c r="C204" t="s">
        <v>3038</v>
      </c>
      <c r="D204" t="s">
        <v>2349</v>
      </c>
      <c r="F204">
        <v>9</v>
      </c>
      <c r="G204">
        <v>9</v>
      </c>
      <c r="H204">
        <v>9</v>
      </c>
      <c r="I204">
        <v>9</v>
      </c>
      <c r="J204">
        <v>9</v>
      </c>
      <c r="K204">
        <v>9</v>
      </c>
      <c r="L204">
        <v>9</v>
      </c>
      <c r="M204">
        <v>9</v>
      </c>
      <c r="N204">
        <v>9</v>
      </c>
      <c r="O204">
        <v>9</v>
      </c>
      <c r="P204">
        <v>9</v>
      </c>
      <c r="Q204">
        <v>9</v>
      </c>
      <c r="R204">
        <v>9</v>
      </c>
      <c r="S204">
        <v>9</v>
      </c>
      <c r="T204">
        <v>9</v>
      </c>
      <c r="U204">
        <v>9</v>
      </c>
      <c r="V204">
        <v>9</v>
      </c>
      <c r="W204">
        <v>9</v>
      </c>
      <c r="X204">
        <v>9</v>
      </c>
      <c r="Y204">
        <v>9</v>
      </c>
      <c r="Z204">
        <v>9</v>
      </c>
      <c r="AA204">
        <v>9</v>
      </c>
      <c r="AB204">
        <v>9</v>
      </c>
      <c r="AC204">
        <v>9</v>
      </c>
      <c r="AD204">
        <v>9</v>
      </c>
      <c r="AE204">
        <v>9</v>
      </c>
      <c r="AF204">
        <v>9</v>
      </c>
      <c r="AG204" s="144">
        <v>0</v>
      </c>
    </row>
    <row r="205" spans="1:33">
      <c r="A205" t="s">
        <v>2366</v>
      </c>
      <c r="B205" t="s">
        <v>3037</v>
      </c>
      <c r="C205" t="s">
        <v>3036</v>
      </c>
      <c r="D205" t="s">
        <v>2349</v>
      </c>
      <c r="F205">
        <v>48</v>
      </c>
      <c r="G205">
        <v>48</v>
      </c>
      <c r="H205">
        <v>48</v>
      </c>
      <c r="I205">
        <v>48</v>
      </c>
      <c r="J205">
        <v>48</v>
      </c>
      <c r="K205">
        <v>48</v>
      </c>
      <c r="L205">
        <v>48</v>
      </c>
      <c r="M205">
        <v>48</v>
      </c>
      <c r="N205">
        <v>48</v>
      </c>
      <c r="O205">
        <v>48</v>
      </c>
      <c r="P205">
        <v>48</v>
      </c>
      <c r="Q205">
        <v>48</v>
      </c>
      <c r="R205">
        <v>48</v>
      </c>
      <c r="S205">
        <v>48</v>
      </c>
      <c r="T205">
        <v>48</v>
      </c>
      <c r="U205">
        <v>48</v>
      </c>
      <c r="V205">
        <v>48</v>
      </c>
      <c r="W205">
        <v>48</v>
      </c>
      <c r="X205">
        <v>48</v>
      </c>
      <c r="Y205">
        <v>48</v>
      </c>
      <c r="Z205">
        <v>48</v>
      </c>
      <c r="AA205">
        <v>48</v>
      </c>
      <c r="AB205">
        <v>48</v>
      </c>
      <c r="AC205">
        <v>48</v>
      </c>
      <c r="AD205">
        <v>48</v>
      </c>
      <c r="AE205">
        <v>48</v>
      </c>
      <c r="AF205">
        <v>48</v>
      </c>
      <c r="AG205" s="144">
        <v>0</v>
      </c>
    </row>
    <row r="206" spans="1:33">
      <c r="A206" t="s">
        <v>2420</v>
      </c>
      <c r="B206" t="s">
        <v>3035</v>
      </c>
      <c r="C206" t="s">
        <v>3034</v>
      </c>
      <c r="D206" t="s">
        <v>2349</v>
      </c>
      <c r="F206">
        <v>22</v>
      </c>
      <c r="G206">
        <v>22</v>
      </c>
      <c r="H206">
        <v>22</v>
      </c>
      <c r="I206">
        <v>22</v>
      </c>
      <c r="J206">
        <v>22</v>
      </c>
      <c r="K206">
        <v>22</v>
      </c>
      <c r="L206">
        <v>22</v>
      </c>
      <c r="M206">
        <v>22</v>
      </c>
      <c r="N206">
        <v>22</v>
      </c>
      <c r="O206">
        <v>22</v>
      </c>
      <c r="P206">
        <v>22</v>
      </c>
      <c r="Q206">
        <v>22</v>
      </c>
      <c r="R206">
        <v>22</v>
      </c>
      <c r="S206">
        <v>22</v>
      </c>
      <c r="T206">
        <v>22</v>
      </c>
      <c r="U206">
        <v>22</v>
      </c>
      <c r="V206">
        <v>22</v>
      </c>
      <c r="W206">
        <v>22</v>
      </c>
      <c r="X206">
        <v>22</v>
      </c>
      <c r="Y206">
        <v>22</v>
      </c>
      <c r="Z206">
        <v>22</v>
      </c>
      <c r="AA206">
        <v>22</v>
      </c>
      <c r="AB206">
        <v>22</v>
      </c>
      <c r="AC206">
        <v>22</v>
      </c>
      <c r="AD206">
        <v>22</v>
      </c>
      <c r="AE206">
        <v>22</v>
      </c>
      <c r="AF206">
        <v>22</v>
      </c>
      <c r="AG206" s="144">
        <v>0</v>
      </c>
    </row>
    <row r="207" spans="1:33">
      <c r="A207" t="s">
        <v>2417</v>
      </c>
      <c r="B207" t="s">
        <v>3033</v>
      </c>
      <c r="C207" t="s">
        <v>3032</v>
      </c>
      <c r="D207" t="s">
        <v>2349</v>
      </c>
      <c r="F207">
        <v>8</v>
      </c>
      <c r="G207">
        <v>8</v>
      </c>
      <c r="H207">
        <v>8</v>
      </c>
      <c r="I207">
        <v>8</v>
      </c>
      <c r="J207">
        <v>8</v>
      </c>
      <c r="K207">
        <v>8</v>
      </c>
      <c r="L207">
        <v>8</v>
      </c>
      <c r="M207">
        <v>8</v>
      </c>
      <c r="N207">
        <v>8</v>
      </c>
      <c r="O207">
        <v>8</v>
      </c>
      <c r="P207">
        <v>8</v>
      </c>
      <c r="Q207">
        <v>8</v>
      </c>
      <c r="R207">
        <v>8</v>
      </c>
      <c r="S207">
        <v>8</v>
      </c>
      <c r="T207">
        <v>8</v>
      </c>
      <c r="U207">
        <v>8</v>
      </c>
      <c r="V207">
        <v>8</v>
      </c>
      <c r="W207">
        <v>8</v>
      </c>
      <c r="X207">
        <v>8</v>
      </c>
      <c r="Y207">
        <v>8</v>
      </c>
      <c r="Z207">
        <v>8</v>
      </c>
      <c r="AA207">
        <v>8</v>
      </c>
      <c r="AB207">
        <v>8</v>
      </c>
      <c r="AC207">
        <v>8</v>
      </c>
      <c r="AD207">
        <v>8</v>
      </c>
      <c r="AE207">
        <v>8</v>
      </c>
      <c r="AF207">
        <v>8</v>
      </c>
      <c r="AG207" s="144">
        <v>0</v>
      </c>
    </row>
    <row r="208" spans="1:33">
      <c r="A208" t="s">
        <v>2414</v>
      </c>
      <c r="B208" t="s">
        <v>3031</v>
      </c>
      <c r="C208" t="s">
        <v>3030</v>
      </c>
      <c r="D208" t="s">
        <v>2349</v>
      </c>
      <c r="F208">
        <v>18</v>
      </c>
      <c r="G208">
        <v>18</v>
      </c>
      <c r="H208">
        <v>18</v>
      </c>
      <c r="I208">
        <v>18</v>
      </c>
      <c r="J208">
        <v>18</v>
      </c>
      <c r="K208">
        <v>18</v>
      </c>
      <c r="L208">
        <v>18</v>
      </c>
      <c r="M208">
        <v>18</v>
      </c>
      <c r="N208">
        <v>18</v>
      </c>
      <c r="O208">
        <v>18</v>
      </c>
      <c r="P208">
        <v>18</v>
      </c>
      <c r="Q208">
        <v>18</v>
      </c>
      <c r="R208">
        <v>18</v>
      </c>
      <c r="S208">
        <v>18</v>
      </c>
      <c r="T208">
        <v>18</v>
      </c>
      <c r="U208">
        <v>18</v>
      </c>
      <c r="V208">
        <v>18</v>
      </c>
      <c r="W208">
        <v>18</v>
      </c>
      <c r="X208">
        <v>18</v>
      </c>
      <c r="Y208">
        <v>18</v>
      </c>
      <c r="Z208">
        <v>18</v>
      </c>
      <c r="AA208">
        <v>18</v>
      </c>
      <c r="AB208">
        <v>18</v>
      </c>
      <c r="AC208">
        <v>18</v>
      </c>
      <c r="AD208">
        <v>18</v>
      </c>
      <c r="AE208">
        <v>18</v>
      </c>
      <c r="AF208">
        <v>18</v>
      </c>
      <c r="AG208" s="144">
        <v>0</v>
      </c>
    </row>
    <row r="209" spans="1:33">
      <c r="A209" t="s">
        <v>153</v>
      </c>
      <c r="B209" t="s">
        <v>3029</v>
      </c>
      <c r="C209" t="s">
        <v>3028</v>
      </c>
      <c r="D209" t="s">
        <v>2349</v>
      </c>
      <c r="F209">
        <v>1120.1651609999999</v>
      </c>
      <c r="G209">
        <v>1112.959717</v>
      </c>
      <c r="H209">
        <v>1112.959717</v>
      </c>
      <c r="I209">
        <v>1112.959717</v>
      </c>
      <c r="J209">
        <v>1112.959717</v>
      </c>
      <c r="K209">
        <v>1112.959717</v>
      </c>
      <c r="L209">
        <v>1112.959717</v>
      </c>
      <c r="M209">
        <v>1112.959717</v>
      </c>
      <c r="N209">
        <v>1112.959717</v>
      </c>
      <c r="O209">
        <v>1112.959717</v>
      </c>
      <c r="P209">
        <v>1112.959717</v>
      </c>
      <c r="Q209">
        <v>1112.959717</v>
      </c>
      <c r="R209">
        <v>1112.959717</v>
      </c>
      <c r="S209">
        <v>1112.959717</v>
      </c>
      <c r="T209">
        <v>1112.959717</v>
      </c>
      <c r="U209">
        <v>1112.959717</v>
      </c>
      <c r="V209">
        <v>1112.959717</v>
      </c>
      <c r="W209">
        <v>1112.959717</v>
      </c>
      <c r="X209">
        <v>1112.959717</v>
      </c>
      <c r="Y209">
        <v>1112.959717</v>
      </c>
      <c r="Z209">
        <v>1112.959717</v>
      </c>
      <c r="AA209">
        <v>1112.959717</v>
      </c>
      <c r="AB209">
        <v>1112.959717</v>
      </c>
      <c r="AC209">
        <v>1112.959717</v>
      </c>
      <c r="AD209">
        <v>1112.959717</v>
      </c>
      <c r="AE209">
        <v>1112.959717</v>
      </c>
      <c r="AF209">
        <v>1112.959717</v>
      </c>
      <c r="AG209" s="144">
        <v>0</v>
      </c>
    </row>
    <row r="210" spans="1:33">
      <c r="A210" t="s">
        <v>2420</v>
      </c>
      <c r="B210" t="s">
        <v>3027</v>
      </c>
      <c r="C210" t="s">
        <v>3026</v>
      </c>
      <c r="D210" t="s">
        <v>2349</v>
      </c>
      <c r="F210">
        <v>528.47753899999998</v>
      </c>
      <c r="G210">
        <v>521.30200200000002</v>
      </c>
      <c r="H210">
        <v>521.30200200000002</v>
      </c>
      <c r="I210">
        <v>521.30200200000002</v>
      </c>
      <c r="J210">
        <v>521.30200200000002</v>
      </c>
      <c r="K210">
        <v>521.30200200000002</v>
      </c>
      <c r="L210">
        <v>521.30200200000002</v>
      </c>
      <c r="M210">
        <v>521.30200200000002</v>
      </c>
      <c r="N210">
        <v>521.30200200000002</v>
      </c>
      <c r="O210">
        <v>521.30200200000002</v>
      </c>
      <c r="P210">
        <v>521.30200200000002</v>
      </c>
      <c r="Q210">
        <v>521.30200200000002</v>
      </c>
      <c r="R210">
        <v>521.30200200000002</v>
      </c>
      <c r="S210">
        <v>521.30200200000002</v>
      </c>
      <c r="T210">
        <v>521.30200200000002</v>
      </c>
      <c r="U210">
        <v>521.30200200000002</v>
      </c>
      <c r="V210">
        <v>521.30200200000002</v>
      </c>
      <c r="W210">
        <v>521.30200200000002</v>
      </c>
      <c r="X210">
        <v>521.30200200000002</v>
      </c>
      <c r="Y210">
        <v>521.30200200000002</v>
      </c>
      <c r="Z210">
        <v>521.30200200000002</v>
      </c>
      <c r="AA210">
        <v>521.30200200000002</v>
      </c>
      <c r="AB210">
        <v>521.30200200000002</v>
      </c>
      <c r="AC210">
        <v>521.30200200000002</v>
      </c>
      <c r="AD210">
        <v>521.30200200000002</v>
      </c>
      <c r="AE210">
        <v>521.30200200000002</v>
      </c>
      <c r="AF210">
        <v>521.30200200000002</v>
      </c>
      <c r="AG210" s="144">
        <v>-1E-3</v>
      </c>
    </row>
    <row r="211" spans="1:33">
      <c r="A211" t="s">
        <v>2417</v>
      </c>
      <c r="B211" t="s">
        <v>3025</v>
      </c>
      <c r="C211" t="s">
        <v>3024</v>
      </c>
      <c r="D211" t="s">
        <v>2349</v>
      </c>
      <c r="F211">
        <v>172.363541</v>
      </c>
      <c r="G211">
        <v>172.33374000000001</v>
      </c>
      <c r="H211">
        <v>172.33374000000001</v>
      </c>
      <c r="I211">
        <v>172.33374000000001</v>
      </c>
      <c r="J211">
        <v>172.33374000000001</v>
      </c>
      <c r="K211">
        <v>172.33374000000001</v>
      </c>
      <c r="L211">
        <v>172.33374000000001</v>
      </c>
      <c r="M211">
        <v>172.33374000000001</v>
      </c>
      <c r="N211">
        <v>172.33374000000001</v>
      </c>
      <c r="O211">
        <v>172.33374000000001</v>
      </c>
      <c r="P211">
        <v>172.33374000000001</v>
      </c>
      <c r="Q211">
        <v>172.33374000000001</v>
      </c>
      <c r="R211">
        <v>172.33374000000001</v>
      </c>
      <c r="S211">
        <v>172.33374000000001</v>
      </c>
      <c r="T211">
        <v>172.33374000000001</v>
      </c>
      <c r="U211">
        <v>172.33374000000001</v>
      </c>
      <c r="V211">
        <v>172.33374000000001</v>
      </c>
      <c r="W211">
        <v>172.33374000000001</v>
      </c>
      <c r="X211">
        <v>172.33374000000001</v>
      </c>
      <c r="Y211">
        <v>172.33374000000001</v>
      </c>
      <c r="Z211">
        <v>172.33374000000001</v>
      </c>
      <c r="AA211">
        <v>172.33374000000001</v>
      </c>
      <c r="AB211">
        <v>172.33374000000001</v>
      </c>
      <c r="AC211">
        <v>172.33374000000001</v>
      </c>
      <c r="AD211">
        <v>172.33374000000001</v>
      </c>
      <c r="AE211">
        <v>172.33374000000001</v>
      </c>
      <c r="AF211">
        <v>172.33374000000001</v>
      </c>
      <c r="AG211" s="144">
        <v>0</v>
      </c>
    </row>
    <row r="212" spans="1:33">
      <c r="A212" t="s">
        <v>2414</v>
      </c>
      <c r="B212" t="s">
        <v>3023</v>
      </c>
      <c r="C212" t="s">
        <v>3022</v>
      </c>
      <c r="D212" t="s">
        <v>2349</v>
      </c>
      <c r="F212">
        <v>419.32403599999998</v>
      </c>
      <c r="G212">
        <v>419.32403599999998</v>
      </c>
      <c r="H212">
        <v>419.32403599999998</v>
      </c>
      <c r="I212">
        <v>419.32403599999998</v>
      </c>
      <c r="J212">
        <v>419.32403599999998</v>
      </c>
      <c r="K212">
        <v>419.32403599999998</v>
      </c>
      <c r="L212">
        <v>419.32403599999998</v>
      </c>
      <c r="M212">
        <v>419.32403599999998</v>
      </c>
      <c r="N212">
        <v>419.32403599999998</v>
      </c>
      <c r="O212">
        <v>419.32403599999998</v>
      </c>
      <c r="P212">
        <v>419.32403599999998</v>
      </c>
      <c r="Q212">
        <v>419.32403599999998</v>
      </c>
      <c r="R212">
        <v>419.32403599999998</v>
      </c>
      <c r="S212">
        <v>419.32403599999998</v>
      </c>
      <c r="T212">
        <v>419.32403599999998</v>
      </c>
      <c r="U212">
        <v>419.32403599999998</v>
      </c>
      <c r="V212">
        <v>419.32403599999998</v>
      </c>
      <c r="W212">
        <v>419.32403599999998</v>
      </c>
      <c r="X212">
        <v>419.32403599999998</v>
      </c>
      <c r="Y212">
        <v>419.32403599999998</v>
      </c>
      <c r="Z212">
        <v>419.32403599999998</v>
      </c>
      <c r="AA212">
        <v>419.32403599999998</v>
      </c>
      <c r="AB212">
        <v>419.32403599999998</v>
      </c>
      <c r="AC212">
        <v>419.32403599999998</v>
      </c>
      <c r="AD212">
        <v>419.32403599999998</v>
      </c>
      <c r="AE212">
        <v>419.32403599999998</v>
      </c>
      <c r="AF212">
        <v>419.32403599999998</v>
      </c>
      <c r="AG212" s="144">
        <v>0</v>
      </c>
    </row>
    <row r="213" spans="1:33">
      <c r="A213" t="s">
        <v>1303</v>
      </c>
    </row>
    <row r="214" spans="1:33" s="277" customFormat="1">
      <c r="A214" s="277" t="s">
        <v>195</v>
      </c>
      <c r="B214" s="277" t="s">
        <v>3021</v>
      </c>
      <c r="C214" s="277" t="s">
        <v>3020</v>
      </c>
      <c r="D214" s="277" t="s">
        <v>2349</v>
      </c>
      <c r="F214" s="277">
        <v>1068.7120359999999</v>
      </c>
      <c r="G214" s="277">
        <v>1079.8138429999999</v>
      </c>
      <c r="H214" s="277">
        <v>1093.642456</v>
      </c>
      <c r="I214" s="277">
        <v>1106.2845460000001</v>
      </c>
      <c r="J214" s="277">
        <v>1117.290039</v>
      </c>
      <c r="K214" s="277">
        <v>1129.9379879999999</v>
      </c>
      <c r="L214" s="277">
        <v>1142.154663</v>
      </c>
      <c r="M214" s="277">
        <v>1152.991577</v>
      </c>
      <c r="N214" s="277">
        <v>1165.8289789999999</v>
      </c>
      <c r="O214" s="277">
        <v>1179.8967290000001</v>
      </c>
      <c r="P214" s="277">
        <v>1193.9592290000001</v>
      </c>
      <c r="Q214" s="277">
        <v>1209.5074460000001</v>
      </c>
      <c r="R214" s="277">
        <v>1225.6295170000001</v>
      </c>
      <c r="S214" s="277">
        <v>1242.8675539999999</v>
      </c>
      <c r="T214" s="277">
        <v>1261.404297</v>
      </c>
      <c r="U214" s="277">
        <v>1280.2581789999999</v>
      </c>
      <c r="V214" s="277">
        <v>1299.432251</v>
      </c>
      <c r="W214" s="277">
        <v>1318.6405030000001</v>
      </c>
      <c r="X214" s="277">
        <v>1339.2829589999999</v>
      </c>
      <c r="Y214" s="277">
        <v>1359.8707280000001</v>
      </c>
      <c r="Z214" s="277">
        <v>1379.740967</v>
      </c>
      <c r="AA214" s="277">
        <v>1399.6171879999999</v>
      </c>
      <c r="AB214" s="277">
        <v>1419.5272219999999</v>
      </c>
      <c r="AC214" s="277">
        <v>1441.9884030000001</v>
      </c>
      <c r="AD214" s="277">
        <v>1465.759155</v>
      </c>
      <c r="AE214" s="277">
        <v>1489.1166989999999</v>
      </c>
      <c r="AF214" s="277">
        <v>1512.543823</v>
      </c>
      <c r="AG214" s="278">
        <v>1.2999999999999999E-2</v>
      </c>
    </row>
    <row r="215" spans="1:33">
      <c r="A215" t="s">
        <v>196</v>
      </c>
      <c r="B215" t="s">
        <v>3019</v>
      </c>
      <c r="C215" t="s">
        <v>3018</v>
      </c>
      <c r="D215" t="s">
        <v>2349</v>
      </c>
      <c r="F215">
        <v>132.915482</v>
      </c>
      <c r="G215">
        <v>156.08609000000001</v>
      </c>
      <c r="H215">
        <v>156.22795099999999</v>
      </c>
      <c r="I215">
        <v>155.81109599999999</v>
      </c>
      <c r="J215">
        <v>154.88443000000001</v>
      </c>
      <c r="K215">
        <v>153.54672199999999</v>
      </c>
      <c r="L215">
        <v>153.17749000000001</v>
      </c>
      <c r="M215">
        <v>153.45387299999999</v>
      </c>
      <c r="N215">
        <v>153.97297699999999</v>
      </c>
      <c r="O215">
        <v>154.38398699999999</v>
      </c>
      <c r="P215">
        <v>154.70695499999999</v>
      </c>
      <c r="Q215">
        <v>154.958282</v>
      </c>
      <c r="R215">
        <v>155.149689</v>
      </c>
      <c r="S215">
        <v>155.29624899999999</v>
      </c>
      <c r="T215">
        <v>155.40820299999999</v>
      </c>
      <c r="U215">
        <v>155.50103799999999</v>
      </c>
      <c r="V215">
        <v>155.58050499999999</v>
      </c>
      <c r="W215">
        <v>155.65486100000001</v>
      </c>
      <c r="X215">
        <v>155.72615099999999</v>
      </c>
      <c r="Y215">
        <v>155.79496800000001</v>
      </c>
      <c r="Z215">
        <v>155.86035200000001</v>
      </c>
      <c r="AA215">
        <v>155.92169200000001</v>
      </c>
      <c r="AB215">
        <v>155.987808</v>
      </c>
      <c r="AC215">
        <v>156.060394</v>
      </c>
      <c r="AD215">
        <v>156.13699299999999</v>
      </c>
      <c r="AE215">
        <v>156.220856</v>
      </c>
      <c r="AF215">
        <v>156.307602</v>
      </c>
      <c r="AG215" s="144">
        <v>6.0000000000000001E-3</v>
      </c>
    </row>
    <row r="216" spans="1:33">
      <c r="A216" t="s">
        <v>2403</v>
      </c>
      <c r="B216" t="s">
        <v>3017</v>
      </c>
      <c r="C216" t="s">
        <v>3016</v>
      </c>
      <c r="D216" t="s">
        <v>2349</v>
      </c>
      <c r="F216">
        <v>39.470367000000003</v>
      </c>
      <c r="G216">
        <v>38.578346000000003</v>
      </c>
      <c r="H216">
        <v>39.031796</v>
      </c>
      <c r="I216">
        <v>39.322944999999997</v>
      </c>
      <c r="J216">
        <v>40.422919999999998</v>
      </c>
      <c r="K216">
        <v>41.492843999999998</v>
      </c>
      <c r="L216">
        <v>42.495624999999997</v>
      </c>
      <c r="M216">
        <v>43.444656000000002</v>
      </c>
      <c r="N216">
        <v>44.359977999999998</v>
      </c>
      <c r="O216">
        <v>45.253849000000002</v>
      </c>
      <c r="P216">
        <v>46.132506999999997</v>
      </c>
      <c r="Q216">
        <v>47.001151999999998</v>
      </c>
      <c r="R216">
        <v>47.864117</v>
      </c>
      <c r="S216">
        <v>48.725098000000003</v>
      </c>
      <c r="T216">
        <v>49.587139000000001</v>
      </c>
      <c r="U216">
        <v>50.452759</v>
      </c>
      <c r="V216">
        <v>51.324112</v>
      </c>
      <c r="W216">
        <v>52.202990999999997</v>
      </c>
      <c r="X216">
        <v>53.090885</v>
      </c>
      <c r="Y216">
        <v>53.988995000000003</v>
      </c>
      <c r="Z216">
        <v>54.898384</v>
      </c>
      <c r="AA216">
        <v>55.819896999999997</v>
      </c>
      <c r="AB216">
        <v>56.754241999999998</v>
      </c>
      <c r="AC216">
        <v>57.701988</v>
      </c>
      <c r="AD216">
        <v>58.663601</v>
      </c>
      <c r="AE216">
        <v>59.639465000000001</v>
      </c>
      <c r="AF216">
        <v>60.629883</v>
      </c>
      <c r="AG216" s="144">
        <v>1.7000000000000001E-2</v>
      </c>
    </row>
    <row r="217" spans="1:33">
      <c r="A217" t="s">
        <v>2400</v>
      </c>
      <c r="B217" t="s">
        <v>3015</v>
      </c>
      <c r="C217" t="s">
        <v>3014</v>
      </c>
      <c r="D217" t="s">
        <v>2349</v>
      </c>
      <c r="F217">
        <v>351.79846199999997</v>
      </c>
      <c r="G217">
        <v>347.22686800000002</v>
      </c>
      <c r="H217">
        <v>341.37847900000003</v>
      </c>
      <c r="I217">
        <v>333.76101699999998</v>
      </c>
      <c r="J217">
        <v>324.215057</v>
      </c>
      <c r="K217">
        <v>324.16601600000001</v>
      </c>
      <c r="L217">
        <v>325.75012199999998</v>
      </c>
      <c r="M217">
        <v>326.65777600000001</v>
      </c>
      <c r="N217">
        <v>326.77359000000001</v>
      </c>
      <c r="O217">
        <v>326.37832600000002</v>
      </c>
      <c r="P217">
        <v>325.55432100000002</v>
      </c>
      <c r="Q217">
        <v>324.33483899999999</v>
      </c>
      <c r="R217">
        <v>322.86025999999998</v>
      </c>
      <c r="S217">
        <v>321.08843999999999</v>
      </c>
      <c r="T217">
        <v>320.535461</v>
      </c>
      <c r="U217">
        <v>326.03189099999997</v>
      </c>
      <c r="V217">
        <v>331.51406900000001</v>
      </c>
      <c r="W217">
        <v>336.96887199999998</v>
      </c>
      <c r="X217">
        <v>342.47375499999998</v>
      </c>
      <c r="Y217">
        <v>348.022491</v>
      </c>
      <c r="Z217">
        <v>353.57299799999998</v>
      </c>
      <c r="AA217">
        <v>359.10760499999998</v>
      </c>
      <c r="AB217">
        <v>364.67617799999999</v>
      </c>
      <c r="AC217">
        <v>370.28241000000003</v>
      </c>
      <c r="AD217">
        <v>375.94250499999998</v>
      </c>
      <c r="AE217">
        <v>381.71017499999999</v>
      </c>
      <c r="AF217">
        <v>387.63009599999998</v>
      </c>
      <c r="AG217" s="144">
        <v>4.0000000000000001E-3</v>
      </c>
    </row>
    <row r="218" spans="1:33">
      <c r="A218" t="s">
        <v>2397</v>
      </c>
      <c r="B218" t="s">
        <v>3013</v>
      </c>
      <c r="C218" t="s">
        <v>3012</v>
      </c>
      <c r="D218" t="s">
        <v>2349</v>
      </c>
      <c r="F218">
        <v>30.853753999999999</v>
      </c>
      <c r="G218">
        <v>30.835121000000001</v>
      </c>
      <c r="H218">
        <v>30.801939000000001</v>
      </c>
      <c r="I218">
        <v>30.752548000000001</v>
      </c>
      <c r="J218">
        <v>30.684322000000002</v>
      </c>
      <c r="K218">
        <v>30.593862999999999</v>
      </c>
      <c r="L218">
        <v>30.472643000000001</v>
      </c>
      <c r="M218">
        <v>30.313831</v>
      </c>
      <c r="N218">
        <v>30.111460000000001</v>
      </c>
      <c r="O218">
        <v>29.853003999999999</v>
      </c>
      <c r="P218">
        <v>29.522874999999999</v>
      </c>
      <c r="Q218">
        <v>29.111189</v>
      </c>
      <c r="R218">
        <v>28.672053999999999</v>
      </c>
      <c r="S218">
        <v>28.139961</v>
      </c>
      <c r="T218">
        <v>27.489930999999999</v>
      </c>
      <c r="U218">
        <v>26.712475000000001</v>
      </c>
      <c r="V218">
        <v>25.794857</v>
      </c>
      <c r="W218">
        <v>24.736955999999999</v>
      </c>
      <c r="X218">
        <v>24.599174000000001</v>
      </c>
      <c r="Y218">
        <v>24.569887000000001</v>
      </c>
      <c r="Z218">
        <v>24.527773</v>
      </c>
      <c r="AA218">
        <v>24.465796999999998</v>
      </c>
      <c r="AB218">
        <v>24.385829999999999</v>
      </c>
      <c r="AC218">
        <v>24.293483999999999</v>
      </c>
      <c r="AD218">
        <v>24.194262999999999</v>
      </c>
      <c r="AE218">
        <v>24.092171</v>
      </c>
      <c r="AF218">
        <v>23.978573000000001</v>
      </c>
      <c r="AG218" s="144">
        <v>-0.01</v>
      </c>
    </row>
    <row r="219" spans="1:33">
      <c r="A219" t="s">
        <v>2394</v>
      </c>
      <c r="B219" t="s">
        <v>3011</v>
      </c>
      <c r="C219" t="s">
        <v>3010</v>
      </c>
      <c r="D219" t="s">
        <v>2349</v>
      </c>
      <c r="F219">
        <v>33.868324000000001</v>
      </c>
      <c r="G219">
        <v>32.3339</v>
      </c>
      <c r="H219">
        <v>31.483974</v>
      </c>
      <c r="I219">
        <v>30.401091000000001</v>
      </c>
      <c r="J219">
        <v>29.331173</v>
      </c>
      <c r="K219">
        <v>28.272756999999999</v>
      </c>
      <c r="L219">
        <v>27.222967000000001</v>
      </c>
      <c r="M219">
        <v>26.178460999999999</v>
      </c>
      <c r="N219">
        <v>25.134487</v>
      </c>
      <c r="O219">
        <v>24.087973000000002</v>
      </c>
      <c r="P219">
        <v>23.273859000000002</v>
      </c>
      <c r="Q219">
        <v>22.969951999999999</v>
      </c>
      <c r="R219">
        <v>22.613674</v>
      </c>
      <c r="S219">
        <v>22.197554</v>
      </c>
      <c r="T219">
        <v>21.714466000000002</v>
      </c>
      <c r="U219">
        <v>21.166426000000001</v>
      </c>
      <c r="V219">
        <v>20.553412999999999</v>
      </c>
      <c r="W219">
        <v>19.874576999999999</v>
      </c>
      <c r="X219">
        <v>19.133963000000001</v>
      </c>
      <c r="Y219">
        <v>18.334309000000001</v>
      </c>
      <c r="Z219">
        <v>17.532314</v>
      </c>
      <c r="AA219">
        <v>17.557898999999999</v>
      </c>
      <c r="AB219">
        <v>17.695678999999998</v>
      </c>
      <c r="AC219">
        <v>17.831437999999999</v>
      </c>
      <c r="AD219">
        <v>17.965572000000002</v>
      </c>
      <c r="AE219">
        <v>18.098368000000001</v>
      </c>
      <c r="AF219">
        <v>18.230098999999999</v>
      </c>
      <c r="AG219" s="144">
        <v>-2.4E-2</v>
      </c>
    </row>
    <row r="220" spans="1:33">
      <c r="A220" t="s">
        <v>2391</v>
      </c>
      <c r="B220" t="s">
        <v>3009</v>
      </c>
      <c r="C220" t="s">
        <v>3008</v>
      </c>
      <c r="D220" t="s">
        <v>2349</v>
      </c>
      <c r="F220">
        <v>43.027500000000003</v>
      </c>
      <c r="G220">
        <v>42.543514000000002</v>
      </c>
      <c r="H220">
        <v>41.989468000000002</v>
      </c>
      <c r="I220">
        <v>41.238289000000002</v>
      </c>
      <c r="J220">
        <v>41.764175000000002</v>
      </c>
      <c r="K220">
        <v>42.317875000000001</v>
      </c>
      <c r="L220">
        <v>42.859005000000003</v>
      </c>
      <c r="M220">
        <v>43.367778999999999</v>
      </c>
      <c r="N220">
        <v>43.843539999999997</v>
      </c>
      <c r="O220">
        <v>44.291012000000002</v>
      </c>
      <c r="P220">
        <v>44.707993000000002</v>
      </c>
      <c r="Q220">
        <v>45.106892000000002</v>
      </c>
      <c r="R220">
        <v>45.494090999999997</v>
      </c>
      <c r="S220">
        <v>45.845455000000001</v>
      </c>
      <c r="T220">
        <v>46.175601999999998</v>
      </c>
      <c r="U220">
        <v>46.479877000000002</v>
      </c>
      <c r="V220">
        <v>46.771796999999999</v>
      </c>
      <c r="W220">
        <v>47.054904999999998</v>
      </c>
      <c r="X220">
        <v>47.266894999999998</v>
      </c>
      <c r="Y220">
        <v>47.414161999999997</v>
      </c>
      <c r="Z220">
        <v>47.479968999999997</v>
      </c>
      <c r="AA220">
        <v>47.533690999999997</v>
      </c>
      <c r="AB220">
        <v>47.654991000000003</v>
      </c>
      <c r="AC220">
        <v>47.743149000000003</v>
      </c>
      <c r="AD220">
        <v>47.815441</v>
      </c>
      <c r="AE220">
        <v>47.889622000000003</v>
      </c>
      <c r="AF220">
        <v>47.957282999999997</v>
      </c>
      <c r="AG220" s="144">
        <v>4.0000000000000001E-3</v>
      </c>
    </row>
    <row r="221" spans="1:33">
      <c r="A221" t="s">
        <v>2388</v>
      </c>
      <c r="B221" t="s">
        <v>3007</v>
      </c>
      <c r="C221" t="s">
        <v>3006</v>
      </c>
      <c r="D221" t="s">
        <v>2349</v>
      </c>
      <c r="F221">
        <v>5.8656930000000003</v>
      </c>
      <c r="G221">
        <v>5.9438170000000001</v>
      </c>
      <c r="H221">
        <v>6.0396130000000001</v>
      </c>
      <c r="I221">
        <v>6.0954810000000004</v>
      </c>
      <c r="J221">
        <v>6.2190399999999997</v>
      </c>
      <c r="K221">
        <v>6.3319770000000002</v>
      </c>
      <c r="L221">
        <v>6.428928</v>
      </c>
      <c r="M221">
        <v>6.5131350000000001</v>
      </c>
      <c r="N221">
        <v>6.5907920000000004</v>
      </c>
      <c r="O221">
        <v>6.6640280000000001</v>
      </c>
      <c r="P221">
        <v>6.735392</v>
      </c>
      <c r="Q221">
        <v>6.8034109999999997</v>
      </c>
      <c r="R221">
        <v>6.8596279999999998</v>
      </c>
      <c r="S221">
        <v>6.9036799999999996</v>
      </c>
      <c r="T221">
        <v>6.9387549999999996</v>
      </c>
      <c r="U221">
        <v>6.9665809999999997</v>
      </c>
      <c r="V221">
        <v>6.9901989999999996</v>
      </c>
      <c r="W221">
        <v>7.0293700000000001</v>
      </c>
      <c r="X221">
        <v>7.0729980000000001</v>
      </c>
      <c r="Y221">
        <v>7.1234960000000003</v>
      </c>
      <c r="Z221">
        <v>7.1781930000000003</v>
      </c>
      <c r="AA221">
        <v>7.2289729999999999</v>
      </c>
      <c r="AB221">
        <v>7.2818899999999998</v>
      </c>
      <c r="AC221">
        <v>7.3410489999999999</v>
      </c>
      <c r="AD221">
        <v>7.394247</v>
      </c>
      <c r="AE221">
        <v>7.4414930000000004</v>
      </c>
      <c r="AF221">
        <v>7.4886369999999998</v>
      </c>
      <c r="AG221" s="144">
        <v>8.9999999999999993E-3</v>
      </c>
    </row>
    <row r="222" spans="1:33">
      <c r="A222" t="s">
        <v>2385</v>
      </c>
      <c r="B222" t="s">
        <v>3005</v>
      </c>
      <c r="C222" t="s">
        <v>3004</v>
      </c>
      <c r="D222" t="s">
        <v>2349</v>
      </c>
      <c r="F222">
        <v>71.692939999999993</v>
      </c>
      <c r="G222">
        <v>71.578902999999997</v>
      </c>
      <c r="H222">
        <v>71.574973999999997</v>
      </c>
      <c r="I222">
        <v>71.520538000000002</v>
      </c>
      <c r="J222">
        <v>71.504958999999999</v>
      </c>
      <c r="K222">
        <v>71.481612999999996</v>
      </c>
      <c r="L222">
        <v>71.467010000000002</v>
      </c>
      <c r="M222">
        <v>71.466865999999996</v>
      </c>
      <c r="N222">
        <v>71.466865999999996</v>
      </c>
      <c r="O222">
        <v>71.465652000000006</v>
      </c>
      <c r="P222">
        <v>71.461310999999995</v>
      </c>
      <c r="Q222">
        <v>71.450316999999998</v>
      </c>
      <c r="R222">
        <v>71.427054999999996</v>
      </c>
      <c r="S222">
        <v>71.389694000000006</v>
      </c>
      <c r="T222">
        <v>71.335967999999994</v>
      </c>
      <c r="U222">
        <v>71.263214000000005</v>
      </c>
      <c r="V222">
        <v>71.168380999999997</v>
      </c>
      <c r="W222">
        <v>71.048255999999995</v>
      </c>
      <c r="X222">
        <v>70.619583000000006</v>
      </c>
      <c r="Y222">
        <v>70.367171999999997</v>
      </c>
      <c r="Z222">
        <v>70.063231999999999</v>
      </c>
      <c r="AA222">
        <v>69.704787999999994</v>
      </c>
      <c r="AB222">
        <v>69.289978000000005</v>
      </c>
      <c r="AC222">
        <v>68.818152999999995</v>
      </c>
      <c r="AD222">
        <v>68.289764000000005</v>
      </c>
      <c r="AE222">
        <v>67.702797000000004</v>
      </c>
      <c r="AF222">
        <v>67.054642000000001</v>
      </c>
      <c r="AG222" s="144">
        <v>-3.0000000000000001E-3</v>
      </c>
    </row>
    <row r="223" spans="1:33">
      <c r="A223" t="s">
        <v>198</v>
      </c>
      <c r="B223" t="s">
        <v>3003</v>
      </c>
      <c r="C223" t="s">
        <v>3002</v>
      </c>
      <c r="D223" t="s">
        <v>2349</v>
      </c>
      <c r="F223">
        <v>227.26521299999999</v>
      </c>
      <c r="G223">
        <v>236.54174800000001</v>
      </c>
      <c r="H223">
        <v>246.73268100000001</v>
      </c>
      <c r="I223">
        <v>255.876724</v>
      </c>
      <c r="J223">
        <v>264.42346199999997</v>
      </c>
      <c r="K223">
        <v>272.549622</v>
      </c>
      <c r="L223">
        <v>280.30380200000002</v>
      </c>
      <c r="M223">
        <v>287.70437600000002</v>
      </c>
      <c r="N223">
        <v>294.832855</v>
      </c>
      <c r="O223">
        <v>301.68414300000001</v>
      </c>
      <c r="P223">
        <v>308.29424999999998</v>
      </c>
      <c r="Q223">
        <v>314.69094799999999</v>
      </c>
      <c r="R223">
        <v>320.83840900000001</v>
      </c>
      <c r="S223">
        <v>326.80569500000001</v>
      </c>
      <c r="T223">
        <v>332.64733899999999</v>
      </c>
      <c r="U223">
        <v>338.37478599999997</v>
      </c>
      <c r="V223">
        <v>343.99597199999999</v>
      </c>
      <c r="W223">
        <v>349.51705900000002</v>
      </c>
      <c r="X223">
        <v>354.94125400000001</v>
      </c>
      <c r="Y223">
        <v>360.270782</v>
      </c>
      <c r="Z223">
        <v>365.50567599999999</v>
      </c>
      <c r="AA223">
        <v>370.64529399999998</v>
      </c>
      <c r="AB223">
        <v>375.68746900000002</v>
      </c>
      <c r="AC223">
        <v>380.62994400000002</v>
      </c>
      <c r="AD223">
        <v>385.46871900000002</v>
      </c>
      <c r="AE223">
        <v>390.20007299999997</v>
      </c>
      <c r="AF223">
        <v>394.819458</v>
      </c>
      <c r="AG223" s="144">
        <v>2.1000000000000001E-2</v>
      </c>
    </row>
    <row r="224" spans="1:33">
      <c r="A224" t="s">
        <v>2380</v>
      </c>
      <c r="B224" t="s">
        <v>3001</v>
      </c>
      <c r="C224" t="s">
        <v>3000</v>
      </c>
      <c r="D224" t="s">
        <v>2349</v>
      </c>
      <c r="F224">
        <v>26.973841</v>
      </c>
      <c r="G224">
        <v>27.671703000000001</v>
      </c>
      <c r="H224">
        <v>28.339081</v>
      </c>
      <c r="I224">
        <v>28.958245999999999</v>
      </c>
      <c r="J224">
        <v>29.504189</v>
      </c>
      <c r="K224">
        <v>30.453517999999999</v>
      </c>
      <c r="L224">
        <v>31.611022999999999</v>
      </c>
      <c r="M224">
        <v>32.756599000000001</v>
      </c>
      <c r="N224">
        <v>33.886898000000002</v>
      </c>
      <c r="O224">
        <v>34.998702999999999</v>
      </c>
      <c r="P224">
        <v>36.092711999999999</v>
      </c>
      <c r="Q224">
        <v>37.168556000000002</v>
      </c>
      <c r="R224">
        <v>38.223624999999998</v>
      </c>
      <c r="S224">
        <v>39.267825999999999</v>
      </c>
      <c r="T224">
        <v>40.297339999999998</v>
      </c>
      <c r="U224">
        <v>41.317191999999999</v>
      </c>
      <c r="V224">
        <v>42.336517000000001</v>
      </c>
      <c r="W224">
        <v>43.354568</v>
      </c>
      <c r="X224">
        <v>44.370956</v>
      </c>
      <c r="Y224">
        <v>45.384295999999999</v>
      </c>
      <c r="Z224">
        <v>46.394053999999997</v>
      </c>
      <c r="AA224">
        <v>47.401381999999998</v>
      </c>
      <c r="AB224">
        <v>48.408081000000003</v>
      </c>
      <c r="AC224">
        <v>49.413181000000002</v>
      </c>
      <c r="AD224">
        <v>50.415962</v>
      </c>
      <c r="AE224">
        <v>51.415871000000003</v>
      </c>
      <c r="AF224">
        <v>52.412242999999997</v>
      </c>
      <c r="AG224" s="144">
        <v>2.5999999999999999E-2</v>
      </c>
    </row>
    <row r="225" spans="1:33">
      <c r="A225" t="s">
        <v>2377</v>
      </c>
      <c r="B225" t="s">
        <v>2999</v>
      </c>
      <c r="C225" t="s">
        <v>2998</v>
      </c>
      <c r="D225" t="s">
        <v>2349</v>
      </c>
      <c r="F225">
        <v>98.431381000000002</v>
      </c>
      <c r="G225">
        <v>96.286888000000005</v>
      </c>
      <c r="H225">
        <v>93.764602999999994</v>
      </c>
      <c r="I225">
        <v>90.751732000000004</v>
      </c>
      <c r="J225">
        <v>87.230530000000002</v>
      </c>
      <c r="K225">
        <v>83.097137000000004</v>
      </c>
      <c r="L225">
        <v>81.891861000000006</v>
      </c>
      <c r="M225">
        <v>81.952911</v>
      </c>
      <c r="N225">
        <v>82.105643999999998</v>
      </c>
      <c r="O225">
        <v>82.493431000000001</v>
      </c>
      <c r="P225">
        <v>82.780403000000007</v>
      </c>
      <c r="Q225">
        <v>82.983924999999999</v>
      </c>
      <c r="R225">
        <v>83.119018999999994</v>
      </c>
      <c r="S225">
        <v>83.197638999999995</v>
      </c>
      <c r="T225">
        <v>83.231872999999993</v>
      </c>
      <c r="U225">
        <v>83.245834000000002</v>
      </c>
      <c r="V225">
        <v>83.318481000000006</v>
      </c>
      <c r="W225">
        <v>83.370604999999998</v>
      </c>
      <c r="X225">
        <v>83.407211000000004</v>
      </c>
      <c r="Y225">
        <v>83.431931000000006</v>
      </c>
      <c r="Z225">
        <v>83.447624000000005</v>
      </c>
      <c r="AA225">
        <v>83.456710999999999</v>
      </c>
      <c r="AB225">
        <v>83.460907000000006</v>
      </c>
      <c r="AC225">
        <v>83.461426000000003</v>
      </c>
      <c r="AD225">
        <v>83.459975999999997</v>
      </c>
      <c r="AE225">
        <v>83.458290000000005</v>
      </c>
      <c r="AF225">
        <v>83.458045999999996</v>
      </c>
      <c r="AG225" s="144">
        <v>-6.0000000000000001E-3</v>
      </c>
    </row>
    <row r="226" spans="1:33">
      <c r="A226" t="s">
        <v>2374</v>
      </c>
      <c r="B226" t="s">
        <v>2997</v>
      </c>
      <c r="C226" t="s">
        <v>2996</v>
      </c>
      <c r="D226" t="s">
        <v>2349</v>
      </c>
      <c r="F226">
        <v>69.162650999999997</v>
      </c>
      <c r="G226">
        <v>69.133217000000002</v>
      </c>
      <c r="H226">
        <v>69.105698000000004</v>
      </c>
      <c r="I226">
        <v>69.080237999999994</v>
      </c>
      <c r="J226">
        <v>69.056160000000006</v>
      </c>
      <c r="K226">
        <v>69.032195999999999</v>
      </c>
      <c r="L226">
        <v>69.009476000000006</v>
      </c>
      <c r="M226">
        <v>68.986571999999995</v>
      </c>
      <c r="N226">
        <v>68.961205000000007</v>
      </c>
      <c r="O226">
        <v>68.937622000000005</v>
      </c>
      <c r="P226">
        <v>68.913428999999994</v>
      </c>
      <c r="Q226">
        <v>68.889847000000003</v>
      </c>
      <c r="R226">
        <v>68.867508000000001</v>
      </c>
      <c r="S226">
        <v>68.845230000000001</v>
      </c>
      <c r="T226">
        <v>68.821228000000005</v>
      </c>
      <c r="U226">
        <v>68.779701000000003</v>
      </c>
      <c r="V226">
        <v>68.706940000000003</v>
      </c>
      <c r="W226">
        <v>68.589157</v>
      </c>
      <c r="X226">
        <v>68.408989000000005</v>
      </c>
      <c r="Y226">
        <v>68.154228000000003</v>
      </c>
      <c r="Z226">
        <v>67.811913000000004</v>
      </c>
      <c r="AA226">
        <v>67.368744000000007</v>
      </c>
      <c r="AB226">
        <v>66.811942999999999</v>
      </c>
      <c r="AC226">
        <v>66.13015</v>
      </c>
      <c r="AD226">
        <v>65.307418999999996</v>
      </c>
      <c r="AE226">
        <v>64.337378999999999</v>
      </c>
      <c r="AF226">
        <v>63.218811000000002</v>
      </c>
      <c r="AG226" s="144">
        <v>-3.0000000000000001E-3</v>
      </c>
    </row>
    <row r="227" spans="1:33">
      <c r="A227" t="s">
        <v>197</v>
      </c>
      <c r="B227" t="s">
        <v>2995</v>
      </c>
      <c r="C227" t="s">
        <v>2994</v>
      </c>
      <c r="D227" t="s">
        <v>2349</v>
      </c>
      <c r="F227">
        <v>45.555087999999998</v>
      </c>
      <c r="G227">
        <v>44.288277000000001</v>
      </c>
      <c r="H227">
        <v>42.693657000000002</v>
      </c>
      <c r="I227">
        <v>40.863514000000002</v>
      </c>
      <c r="J227">
        <v>40.202713000000003</v>
      </c>
      <c r="K227">
        <v>40.720066000000003</v>
      </c>
      <c r="L227">
        <v>41.165913000000003</v>
      </c>
      <c r="M227">
        <v>41.535041999999997</v>
      </c>
      <c r="N227">
        <v>41.802132</v>
      </c>
      <c r="O227">
        <v>41.944332000000003</v>
      </c>
      <c r="P227">
        <v>42.396895999999998</v>
      </c>
      <c r="Q227">
        <v>43.268017</v>
      </c>
      <c r="R227">
        <v>44.137531000000003</v>
      </c>
      <c r="S227">
        <v>45.457313999999997</v>
      </c>
      <c r="T227">
        <v>46.874431999999999</v>
      </c>
      <c r="U227">
        <v>48.312438999999998</v>
      </c>
      <c r="V227">
        <v>49.771999000000001</v>
      </c>
      <c r="W227">
        <v>51.254669</v>
      </c>
      <c r="X227">
        <v>52.759189999999997</v>
      </c>
      <c r="Y227">
        <v>54.286628999999998</v>
      </c>
      <c r="Z227">
        <v>55.838417</v>
      </c>
      <c r="AA227">
        <v>57.414535999999998</v>
      </c>
      <c r="AB227">
        <v>59.014408000000003</v>
      </c>
      <c r="AC227">
        <v>60.637042999999998</v>
      </c>
      <c r="AD227">
        <v>62.281654000000003</v>
      </c>
      <c r="AE227">
        <v>63.947215999999997</v>
      </c>
      <c r="AF227">
        <v>65.633049</v>
      </c>
      <c r="AG227" s="144">
        <v>1.4E-2</v>
      </c>
    </row>
    <row r="228" spans="1:33">
      <c r="A228" t="s">
        <v>2369</v>
      </c>
      <c r="B228" t="s">
        <v>2993</v>
      </c>
      <c r="C228" t="s">
        <v>2992</v>
      </c>
      <c r="D228" t="s">
        <v>2349</v>
      </c>
      <c r="F228">
        <v>24.987777999999999</v>
      </c>
      <c r="G228">
        <v>23.947465999999999</v>
      </c>
      <c r="H228">
        <v>23.157568000000001</v>
      </c>
      <c r="I228">
        <v>23.075527000000001</v>
      </c>
      <c r="J228">
        <v>23.221912</v>
      </c>
      <c r="K228">
        <v>23.351085999999999</v>
      </c>
      <c r="L228">
        <v>23.461169999999999</v>
      </c>
      <c r="M228">
        <v>23.551729000000002</v>
      </c>
      <c r="N228">
        <v>23.621749999999999</v>
      </c>
      <c r="O228">
        <v>23.666267000000001</v>
      </c>
      <c r="P228">
        <v>23.681307</v>
      </c>
      <c r="Q228">
        <v>23.666156999999998</v>
      </c>
      <c r="R228">
        <v>23.621361</v>
      </c>
      <c r="S228">
        <v>23.548549999999999</v>
      </c>
      <c r="T228">
        <v>23.607903</v>
      </c>
      <c r="U228">
        <v>23.746576000000001</v>
      </c>
      <c r="V228">
        <v>23.881052</v>
      </c>
      <c r="W228">
        <v>24.010957999999999</v>
      </c>
      <c r="X228">
        <v>24.135933000000001</v>
      </c>
      <c r="Y228">
        <v>24.255631999999999</v>
      </c>
      <c r="Z228">
        <v>24.36974</v>
      </c>
      <c r="AA228">
        <v>24.477909</v>
      </c>
      <c r="AB228">
        <v>24.579861000000001</v>
      </c>
      <c r="AC228">
        <v>24.675291000000001</v>
      </c>
      <c r="AD228">
        <v>24.763909999999999</v>
      </c>
      <c r="AE228">
        <v>24.845462999999999</v>
      </c>
      <c r="AF228">
        <v>24.919722</v>
      </c>
      <c r="AG228" s="144">
        <v>0</v>
      </c>
    </row>
    <row r="229" spans="1:33">
      <c r="A229" t="s">
        <v>2366</v>
      </c>
      <c r="B229" t="s">
        <v>2991</v>
      </c>
      <c r="C229" t="s">
        <v>2990</v>
      </c>
      <c r="D229" t="s">
        <v>2349</v>
      </c>
      <c r="F229">
        <v>37.473072000000002</v>
      </c>
      <c r="G229">
        <v>36.646126000000002</v>
      </c>
      <c r="H229">
        <v>35.596091999999999</v>
      </c>
      <c r="I229">
        <v>34.334980000000002</v>
      </c>
      <c r="J229">
        <v>32.841492000000002</v>
      </c>
      <c r="K229">
        <v>31.981773</v>
      </c>
      <c r="L229">
        <v>31.368206000000001</v>
      </c>
      <c r="M229">
        <v>32.386046999999998</v>
      </c>
      <c r="N229">
        <v>33.422974000000004</v>
      </c>
      <c r="O229">
        <v>34.474251000000002</v>
      </c>
      <c r="P229">
        <v>35.536628999999998</v>
      </c>
      <c r="Q229">
        <v>36.606574999999999</v>
      </c>
      <c r="R229">
        <v>37.685116000000001</v>
      </c>
      <c r="S229">
        <v>38.818778999999999</v>
      </c>
      <c r="T229">
        <v>39.991055000000003</v>
      </c>
      <c r="U229">
        <v>41.187018999999999</v>
      </c>
      <c r="V229">
        <v>42.404778</v>
      </c>
      <c r="W229">
        <v>43.642929000000002</v>
      </c>
      <c r="X229">
        <v>44.900925000000001</v>
      </c>
      <c r="Y229">
        <v>46.180613999999998</v>
      </c>
      <c r="Z229">
        <v>47.481422000000002</v>
      </c>
      <c r="AA229">
        <v>48.802287999999997</v>
      </c>
      <c r="AB229">
        <v>50.142395</v>
      </c>
      <c r="AC229">
        <v>51.497101000000001</v>
      </c>
      <c r="AD229">
        <v>52.865577999999999</v>
      </c>
      <c r="AE229">
        <v>54.250819999999997</v>
      </c>
      <c r="AF229">
        <v>55.654525999999997</v>
      </c>
      <c r="AG229" s="144">
        <v>1.4999999999999999E-2</v>
      </c>
    </row>
    <row r="230" spans="1:33">
      <c r="A230" t="s">
        <v>153</v>
      </c>
      <c r="B230" t="s">
        <v>2989</v>
      </c>
      <c r="C230" t="s">
        <v>2988</v>
      </c>
      <c r="D230" t="s">
        <v>2349</v>
      </c>
      <c r="F230">
        <v>2308.053711</v>
      </c>
      <c r="G230">
        <v>2339.4560550000001</v>
      </c>
      <c r="H230">
        <v>2351.5598140000002</v>
      </c>
      <c r="I230">
        <v>2358.1291500000002</v>
      </c>
      <c r="J230">
        <v>2362.7963869999999</v>
      </c>
      <c r="K230">
        <v>2379.3271479999999</v>
      </c>
      <c r="L230">
        <v>2400.8400879999999</v>
      </c>
      <c r="M230">
        <v>2423.2609859999998</v>
      </c>
      <c r="N230">
        <v>2446.7163089999999</v>
      </c>
      <c r="O230">
        <v>2470.4733890000002</v>
      </c>
      <c r="P230">
        <v>2493.750732</v>
      </c>
      <c r="Q230">
        <v>2518.517578</v>
      </c>
      <c r="R230">
        <v>2543.0629880000001</v>
      </c>
      <c r="S230">
        <v>2568.3947750000002</v>
      </c>
      <c r="T230">
        <v>2596.0610350000002</v>
      </c>
      <c r="U230">
        <v>2629.796143</v>
      </c>
      <c r="V230">
        <v>2663.5454100000002</v>
      </c>
      <c r="W230">
        <v>2696.9509280000002</v>
      </c>
      <c r="X230">
        <v>2732.1911620000001</v>
      </c>
      <c r="Y230">
        <v>2767.4501949999999</v>
      </c>
      <c r="Z230">
        <v>2801.703125</v>
      </c>
      <c r="AA230">
        <v>2836.5249020000001</v>
      </c>
      <c r="AB230">
        <v>2871.359375</v>
      </c>
      <c r="AC230">
        <v>2908.5046390000002</v>
      </c>
      <c r="AD230">
        <v>2946.7248540000001</v>
      </c>
      <c r="AE230">
        <v>2984.3664549999999</v>
      </c>
      <c r="AF230">
        <v>3021.936768</v>
      </c>
      <c r="AG230" s="144">
        <v>0.01</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6466FA-6EF9-43D7-A66B-74976B9B6E66}">
  <dimension ref="A1:AG309"/>
  <sheetViews>
    <sheetView workbookViewId="0"/>
    <sheetView workbookViewId="1"/>
  </sheetViews>
  <sheetFormatPr defaultRowHeight="14.75"/>
  <cols>
    <col min="1" max="1" width="30" customWidth="1"/>
    <col min="2" max="2" width="56.1328125" customWidth="1"/>
  </cols>
  <sheetData>
    <row r="1" spans="1:33">
      <c r="A1" t="s">
        <v>2355</v>
      </c>
    </row>
    <row r="2" spans="1:33">
      <c r="A2" t="s">
        <v>2354</v>
      </c>
    </row>
    <row r="3" spans="1:33">
      <c r="A3" t="s">
        <v>2353</v>
      </c>
    </row>
    <row r="4" spans="1:33">
      <c r="A4" t="s">
        <v>2352</v>
      </c>
    </row>
    <row r="5" spans="1:33">
      <c r="B5" t="s">
        <v>2351</v>
      </c>
      <c r="C5" t="s">
        <v>2350</v>
      </c>
      <c r="D5" t="s">
        <v>2349</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2348</v>
      </c>
    </row>
    <row r="6" spans="1:33">
      <c r="A6" t="s">
        <v>2347</v>
      </c>
    </row>
    <row r="7" spans="1:33">
      <c r="A7" t="s">
        <v>2346</v>
      </c>
    </row>
    <row r="8" spans="1:33">
      <c r="A8" t="s">
        <v>1905</v>
      </c>
    </row>
    <row r="9" spans="1:33">
      <c r="A9" t="s">
        <v>201</v>
      </c>
      <c r="B9" t="s">
        <v>2345</v>
      </c>
      <c r="C9" t="s">
        <v>2344</v>
      </c>
      <c r="D9" t="s">
        <v>2264</v>
      </c>
      <c r="F9">
        <v>54.137805999999998</v>
      </c>
      <c r="G9">
        <v>54.071216999999997</v>
      </c>
      <c r="H9">
        <v>53.457313999999997</v>
      </c>
      <c r="I9">
        <v>52.647182000000001</v>
      </c>
      <c r="J9">
        <v>51.595882000000003</v>
      </c>
      <c r="K9">
        <v>50.530312000000002</v>
      </c>
      <c r="L9">
        <v>49.352173000000001</v>
      </c>
      <c r="M9">
        <v>47.958195000000003</v>
      </c>
      <c r="N9">
        <v>46.364254000000003</v>
      </c>
      <c r="O9">
        <v>44.630927999999997</v>
      </c>
      <c r="P9">
        <v>42.877257999999998</v>
      </c>
      <c r="Q9">
        <v>41.088706999999999</v>
      </c>
      <c r="R9">
        <v>39.341450000000002</v>
      </c>
      <c r="S9">
        <v>37.609543000000002</v>
      </c>
      <c r="T9">
        <v>35.849299999999999</v>
      </c>
      <c r="U9">
        <v>34.028595000000003</v>
      </c>
      <c r="V9">
        <v>32.296920999999998</v>
      </c>
      <c r="W9">
        <v>30.546603999999999</v>
      </c>
      <c r="X9">
        <v>28.828039</v>
      </c>
      <c r="Y9">
        <v>27.093805</v>
      </c>
      <c r="Z9">
        <v>25.4589</v>
      </c>
      <c r="AA9">
        <v>23.970109999999998</v>
      </c>
      <c r="AB9">
        <v>22.591919000000001</v>
      </c>
      <c r="AC9">
        <v>21.348120000000002</v>
      </c>
      <c r="AD9">
        <v>20.125426999999998</v>
      </c>
      <c r="AE9">
        <v>18.939999</v>
      </c>
      <c r="AF9">
        <v>17.824724</v>
      </c>
      <c r="AG9" s="144">
        <v>-4.2000000000000003E-2</v>
      </c>
    </row>
    <row r="10" spans="1:33">
      <c r="A10" t="s">
        <v>202</v>
      </c>
      <c r="B10" t="s">
        <v>2343</v>
      </c>
      <c r="C10" t="s">
        <v>2342</v>
      </c>
      <c r="D10" t="s">
        <v>2264</v>
      </c>
      <c r="F10">
        <v>24.34918</v>
      </c>
      <c r="G10">
        <v>26.157592999999999</v>
      </c>
      <c r="H10">
        <v>27.731414999999998</v>
      </c>
      <c r="I10">
        <v>29.117968000000001</v>
      </c>
      <c r="J10">
        <v>30.147932000000001</v>
      </c>
      <c r="K10">
        <v>30.947813</v>
      </c>
      <c r="L10">
        <v>31.490299</v>
      </c>
      <c r="M10">
        <v>31.687159999999999</v>
      </c>
      <c r="N10">
        <v>31.595020000000002</v>
      </c>
      <c r="O10">
        <v>31.298421999999999</v>
      </c>
      <c r="P10">
        <v>30.888570999999999</v>
      </c>
      <c r="Q10">
        <v>30.361319000000002</v>
      </c>
      <c r="R10">
        <v>29.795849</v>
      </c>
      <c r="S10">
        <v>29.181716999999999</v>
      </c>
      <c r="T10">
        <v>28.457778999999999</v>
      </c>
      <c r="U10">
        <v>27.608362</v>
      </c>
      <c r="V10">
        <v>26.763168</v>
      </c>
      <c r="W10">
        <v>25.832671999999999</v>
      </c>
      <c r="X10">
        <v>24.834416999999998</v>
      </c>
      <c r="Y10">
        <v>23.746389000000001</v>
      </c>
      <c r="Z10">
        <v>22.699881000000001</v>
      </c>
      <c r="AA10">
        <v>21.744126999999999</v>
      </c>
      <c r="AB10">
        <v>20.840295999999999</v>
      </c>
      <c r="AC10">
        <v>20.011322</v>
      </c>
      <c r="AD10">
        <v>19.174472999999999</v>
      </c>
      <c r="AE10">
        <v>18.349557999999998</v>
      </c>
      <c r="AF10">
        <v>17.565284999999999</v>
      </c>
      <c r="AG10" s="144">
        <v>-1.2E-2</v>
      </c>
    </row>
    <row r="11" spans="1:33">
      <c r="A11" t="s">
        <v>203</v>
      </c>
      <c r="B11" t="s">
        <v>2341</v>
      </c>
      <c r="C11" t="s">
        <v>2340</v>
      </c>
      <c r="D11" t="s">
        <v>2264</v>
      </c>
      <c r="F11">
        <v>7.2999999999999996E-4</v>
      </c>
      <c r="G11">
        <v>7.3099999999999999E-4</v>
      </c>
      <c r="H11">
        <v>7.3200000000000001E-4</v>
      </c>
      <c r="I11">
        <v>7.3499999999999998E-4</v>
      </c>
      <c r="J11">
        <v>7.4899999999999999E-4</v>
      </c>
      <c r="K11">
        <v>7.6800000000000002E-4</v>
      </c>
      <c r="L11">
        <v>7.8799999999999996E-4</v>
      </c>
      <c r="M11">
        <v>8.0999999999999996E-4</v>
      </c>
      <c r="N11">
        <v>8.3500000000000002E-4</v>
      </c>
      <c r="O11">
        <v>8.3000000000000001E-4</v>
      </c>
      <c r="P11">
        <v>8.1499999999999997E-4</v>
      </c>
      <c r="Q11">
        <v>8.1700000000000002E-4</v>
      </c>
      <c r="R11">
        <v>8.3000000000000001E-4</v>
      </c>
      <c r="S11">
        <v>8.4999999999999995E-4</v>
      </c>
      <c r="T11">
        <v>8.7500000000000002E-4</v>
      </c>
      <c r="U11">
        <v>9.0200000000000002E-4</v>
      </c>
      <c r="V11">
        <v>9.3000000000000005E-4</v>
      </c>
      <c r="W11">
        <v>9.5799999999999998E-4</v>
      </c>
      <c r="X11">
        <v>9.8299999999999993E-4</v>
      </c>
      <c r="Y11">
        <v>1.0070000000000001E-3</v>
      </c>
      <c r="Z11">
        <v>1.0280000000000001E-3</v>
      </c>
      <c r="AA11">
        <v>1.0510000000000001E-3</v>
      </c>
      <c r="AB11">
        <v>1.073E-3</v>
      </c>
      <c r="AC11">
        <v>1.0970000000000001E-3</v>
      </c>
      <c r="AD11">
        <v>1.119E-3</v>
      </c>
      <c r="AE11">
        <v>1.139E-3</v>
      </c>
      <c r="AF11">
        <v>1.158E-3</v>
      </c>
      <c r="AG11" s="144">
        <v>1.7999999999999999E-2</v>
      </c>
    </row>
    <row r="12" spans="1:33">
      <c r="A12" t="s">
        <v>204</v>
      </c>
      <c r="B12" t="s">
        <v>2339</v>
      </c>
      <c r="C12" t="s">
        <v>2338</v>
      </c>
      <c r="D12" t="s">
        <v>2264</v>
      </c>
      <c r="F12">
        <v>7.9604999999999995E-2</v>
      </c>
      <c r="G12">
        <v>0.21027499999999999</v>
      </c>
      <c r="H12">
        <v>0.35547800000000002</v>
      </c>
      <c r="I12">
        <v>0.50833300000000003</v>
      </c>
      <c r="J12">
        <v>0.60356399999999999</v>
      </c>
      <c r="K12">
        <v>0.70265</v>
      </c>
      <c r="L12">
        <v>0.77752100000000002</v>
      </c>
      <c r="M12">
        <v>0.81933999999999996</v>
      </c>
      <c r="N12">
        <v>0.84735300000000002</v>
      </c>
      <c r="O12">
        <v>0.85540499999999997</v>
      </c>
      <c r="P12">
        <v>0.87202400000000002</v>
      </c>
      <c r="Q12">
        <v>0.90455399999999997</v>
      </c>
      <c r="R12">
        <v>0.94545400000000002</v>
      </c>
      <c r="S12">
        <v>0.99856599999999995</v>
      </c>
      <c r="T12">
        <v>1.076068</v>
      </c>
      <c r="U12">
        <v>1.161184</v>
      </c>
      <c r="V12">
        <v>1.2678579999999999</v>
      </c>
      <c r="W12">
        <v>1.4032100000000001</v>
      </c>
      <c r="X12">
        <v>1.557526</v>
      </c>
      <c r="Y12">
        <v>1.728326</v>
      </c>
      <c r="Z12">
        <v>1.898649</v>
      </c>
      <c r="AA12">
        <v>2.0823230000000001</v>
      </c>
      <c r="AB12">
        <v>2.2790659999999998</v>
      </c>
      <c r="AC12">
        <v>2.5033970000000001</v>
      </c>
      <c r="AD12">
        <v>2.7353589999999999</v>
      </c>
      <c r="AE12">
        <v>2.980953</v>
      </c>
      <c r="AF12">
        <v>3.2338290000000001</v>
      </c>
      <c r="AG12" s="144">
        <v>0.153</v>
      </c>
    </row>
    <row r="13" spans="1:33">
      <c r="A13" t="s">
        <v>205</v>
      </c>
      <c r="B13" t="s">
        <v>2337</v>
      </c>
      <c r="C13" t="s">
        <v>2336</v>
      </c>
      <c r="D13" t="s">
        <v>2264</v>
      </c>
      <c r="F13">
        <v>3.2588729999999999</v>
      </c>
      <c r="G13">
        <v>2.9694029999999998</v>
      </c>
      <c r="H13">
        <v>2.670283</v>
      </c>
      <c r="I13">
        <v>2.3920520000000001</v>
      </c>
      <c r="J13">
        <v>2.1450879999999999</v>
      </c>
      <c r="K13">
        <v>1.9372720000000001</v>
      </c>
      <c r="L13">
        <v>1.7542489999999999</v>
      </c>
      <c r="M13">
        <v>1.591224</v>
      </c>
      <c r="N13">
        <v>1.443881</v>
      </c>
      <c r="O13">
        <v>1.3078000000000001</v>
      </c>
      <c r="P13">
        <v>1.183535</v>
      </c>
      <c r="Q13">
        <v>1.0700609999999999</v>
      </c>
      <c r="R13">
        <v>0.96449200000000002</v>
      </c>
      <c r="S13">
        <v>0.86558299999999999</v>
      </c>
      <c r="T13">
        <v>0.77333399999999997</v>
      </c>
      <c r="U13">
        <v>0.68865200000000004</v>
      </c>
      <c r="V13">
        <v>0.61294800000000005</v>
      </c>
      <c r="W13">
        <v>0.54637000000000002</v>
      </c>
      <c r="X13">
        <v>0.48824699999999999</v>
      </c>
      <c r="Y13">
        <v>0.43711</v>
      </c>
      <c r="Z13">
        <v>0.388071</v>
      </c>
      <c r="AA13">
        <v>0.34228599999999998</v>
      </c>
      <c r="AB13">
        <v>0.29872399999999999</v>
      </c>
      <c r="AC13">
        <v>0.26012600000000002</v>
      </c>
      <c r="AD13">
        <v>0.21887200000000001</v>
      </c>
      <c r="AE13">
        <v>0.17858399999999999</v>
      </c>
      <c r="AF13">
        <v>0.14052200000000001</v>
      </c>
      <c r="AG13" s="144">
        <v>-0.114</v>
      </c>
    </row>
    <row r="14" spans="1:33">
      <c r="A14" t="s">
        <v>206</v>
      </c>
      <c r="B14" t="s">
        <v>2335</v>
      </c>
      <c r="C14" t="s">
        <v>2334</v>
      </c>
      <c r="D14" t="s">
        <v>2264</v>
      </c>
      <c r="F14">
        <v>8.7280999999999997E-2</v>
      </c>
      <c r="G14">
        <v>0.119507</v>
      </c>
      <c r="H14">
        <v>0.14918300000000001</v>
      </c>
      <c r="I14">
        <v>0.17560000000000001</v>
      </c>
      <c r="J14">
        <v>0.198771</v>
      </c>
      <c r="K14">
        <v>0.22067600000000001</v>
      </c>
      <c r="L14">
        <v>0.24584900000000001</v>
      </c>
      <c r="M14">
        <v>0.31488500000000003</v>
      </c>
      <c r="N14">
        <v>0.43936399999999998</v>
      </c>
      <c r="O14">
        <v>0.55638799999999999</v>
      </c>
      <c r="P14">
        <v>0.74443599999999999</v>
      </c>
      <c r="Q14">
        <v>1.0531710000000001</v>
      </c>
      <c r="R14">
        <v>1.4948330000000001</v>
      </c>
      <c r="S14">
        <v>2.0432519999999998</v>
      </c>
      <c r="T14">
        <v>2.7092320000000001</v>
      </c>
      <c r="U14">
        <v>3.4966200000000001</v>
      </c>
      <c r="V14">
        <v>4.4216449999999998</v>
      </c>
      <c r="W14">
        <v>5.5475440000000003</v>
      </c>
      <c r="X14">
        <v>6.8312460000000002</v>
      </c>
      <c r="Y14">
        <v>8.2411890000000003</v>
      </c>
      <c r="Z14">
        <v>9.6649480000000008</v>
      </c>
      <c r="AA14">
        <v>11.152545999999999</v>
      </c>
      <c r="AB14">
        <v>12.684813</v>
      </c>
      <c r="AC14">
        <v>14.333284000000001</v>
      </c>
      <c r="AD14">
        <v>16.026073</v>
      </c>
      <c r="AE14">
        <v>17.724495000000001</v>
      </c>
      <c r="AF14">
        <v>19.422892000000001</v>
      </c>
      <c r="AG14" s="144">
        <v>0.23100000000000001</v>
      </c>
    </row>
    <row r="15" spans="1:33">
      <c r="A15" t="s">
        <v>207</v>
      </c>
      <c r="B15" t="s">
        <v>2333</v>
      </c>
      <c r="C15" t="s">
        <v>2332</v>
      </c>
      <c r="D15" t="s">
        <v>2264</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t="s">
        <v>1769</v>
      </c>
    </row>
    <row r="16" spans="1:33">
      <c r="A16" t="s">
        <v>208</v>
      </c>
      <c r="B16" t="s">
        <v>2331</v>
      </c>
      <c r="C16" t="s">
        <v>2330</v>
      </c>
      <c r="D16" t="s">
        <v>2264</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t="s">
        <v>1769</v>
      </c>
    </row>
    <row r="17" spans="1:33">
      <c r="A17" t="s">
        <v>209</v>
      </c>
      <c r="B17" t="s">
        <v>2329</v>
      </c>
      <c r="C17" t="s">
        <v>2328</v>
      </c>
      <c r="D17" t="s">
        <v>2264</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c r="AG17" t="s">
        <v>1769</v>
      </c>
    </row>
    <row r="18" spans="1:33">
      <c r="A18" t="s">
        <v>1830</v>
      </c>
      <c r="B18" t="s">
        <v>2327</v>
      </c>
      <c r="C18" t="s">
        <v>2326</v>
      </c>
      <c r="D18" t="s">
        <v>2264</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1769</v>
      </c>
    </row>
    <row r="19" spans="1:33">
      <c r="A19" t="s">
        <v>1827</v>
      </c>
      <c r="B19" t="s">
        <v>2325</v>
      </c>
      <c r="C19" t="s">
        <v>2324</v>
      </c>
      <c r="D19" t="s">
        <v>2264</v>
      </c>
      <c r="F19">
        <v>0</v>
      </c>
      <c r="G19">
        <v>0.109322</v>
      </c>
      <c r="H19">
        <v>0.28561399999999998</v>
      </c>
      <c r="I19">
        <v>0.52429300000000001</v>
      </c>
      <c r="J19">
        <v>1.3492900000000001</v>
      </c>
      <c r="K19">
        <v>2.8503099999999999</v>
      </c>
      <c r="L19">
        <v>5.0136310000000002</v>
      </c>
      <c r="M19">
        <v>7.7647050000000002</v>
      </c>
      <c r="N19">
        <v>11.073954000000001</v>
      </c>
      <c r="O19">
        <v>14.758941</v>
      </c>
      <c r="P19">
        <v>18.660900000000002</v>
      </c>
      <c r="Q19">
        <v>22.600832</v>
      </c>
      <c r="R19">
        <v>26.474253000000001</v>
      </c>
      <c r="S19">
        <v>30.237411000000002</v>
      </c>
      <c r="T19">
        <v>34.006458000000002</v>
      </c>
      <c r="U19">
        <v>37.792834999999997</v>
      </c>
      <c r="V19">
        <v>41.462817999999999</v>
      </c>
      <c r="W19">
        <v>44.911160000000002</v>
      </c>
      <c r="X19">
        <v>48.150188</v>
      </c>
      <c r="Y19">
        <v>51.148192999999999</v>
      </c>
      <c r="Z19">
        <v>53.948368000000002</v>
      </c>
      <c r="AA19">
        <v>56.632454000000003</v>
      </c>
      <c r="AB19">
        <v>59.163367999999998</v>
      </c>
      <c r="AC19">
        <v>61.704948000000002</v>
      </c>
      <c r="AD19">
        <v>64.027450999999999</v>
      </c>
      <c r="AE19">
        <v>66.138740999999996</v>
      </c>
      <c r="AF19">
        <v>68.037430000000001</v>
      </c>
      <c r="AG19" t="s">
        <v>1769</v>
      </c>
    </row>
    <row r="20" spans="1:33">
      <c r="A20" t="s">
        <v>1824</v>
      </c>
      <c r="B20" t="s">
        <v>2323</v>
      </c>
      <c r="C20" t="s">
        <v>2322</v>
      </c>
      <c r="D20" t="s">
        <v>2264</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t="s">
        <v>1769</v>
      </c>
    </row>
    <row r="21" spans="1:33" s="260" customFormat="1">
      <c r="A21" s="260" t="s">
        <v>1880</v>
      </c>
      <c r="B21" s="260" t="s">
        <v>2321</v>
      </c>
      <c r="C21" s="260" t="s">
        <v>2320</v>
      </c>
      <c r="D21" s="260" t="s">
        <v>2264</v>
      </c>
      <c r="F21" s="260">
        <v>81.913414000000003</v>
      </c>
      <c r="G21" s="260">
        <v>83.637932000000006</v>
      </c>
      <c r="H21" s="260">
        <v>84.649970999999994</v>
      </c>
      <c r="I21" s="260">
        <v>85.366112000000001</v>
      </c>
      <c r="J21" s="260">
        <v>86.041008000000005</v>
      </c>
      <c r="K21" s="260">
        <v>87.189673999999997</v>
      </c>
      <c r="L21" s="260">
        <v>88.634345999999994</v>
      </c>
      <c r="M21" s="260">
        <v>90.136009000000001</v>
      </c>
      <c r="N21" s="260">
        <v>91.764342999999997</v>
      </c>
      <c r="O21" s="260">
        <v>93.408591999999999</v>
      </c>
      <c r="P21" s="260">
        <v>95.227249</v>
      </c>
      <c r="Q21" s="260">
        <v>97.079216000000002</v>
      </c>
      <c r="R21" s="260">
        <v>99.016814999999994</v>
      </c>
      <c r="S21" s="260">
        <v>100.936539</v>
      </c>
      <c r="T21" s="260">
        <v>102.872658</v>
      </c>
      <c r="U21" s="260">
        <v>104.776962</v>
      </c>
      <c r="V21" s="260">
        <v>106.826088</v>
      </c>
      <c r="W21" s="260">
        <v>108.78827699999999</v>
      </c>
      <c r="X21" s="260">
        <v>110.690437</v>
      </c>
      <c r="Y21" s="260">
        <v>112.395782</v>
      </c>
      <c r="Z21" s="260">
        <v>114.059608</v>
      </c>
      <c r="AA21" s="260">
        <v>115.924751</v>
      </c>
      <c r="AB21" s="260">
        <v>117.859016</v>
      </c>
      <c r="AC21" s="260">
        <v>120.16201</v>
      </c>
      <c r="AD21" s="260">
        <v>122.30836499999999</v>
      </c>
      <c r="AE21" s="260">
        <v>124.313187</v>
      </c>
      <c r="AF21" s="260">
        <v>126.225555</v>
      </c>
      <c r="AG21" s="261">
        <v>1.7000000000000001E-2</v>
      </c>
    </row>
    <row r="22" spans="1:33">
      <c r="A22" t="s">
        <v>1877</v>
      </c>
    </row>
    <row r="23" spans="1:33">
      <c r="A23" t="s">
        <v>201</v>
      </c>
      <c r="B23" t="s">
        <v>2319</v>
      </c>
      <c r="C23" t="s">
        <v>2318</v>
      </c>
      <c r="D23" t="s">
        <v>2264</v>
      </c>
      <c r="F23">
        <v>37.131771000000001</v>
      </c>
      <c r="G23">
        <v>36.594059000000001</v>
      </c>
      <c r="H23">
        <v>35.836998000000001</v>
      </c>
      <c r="I23">
        <v>35.128596999999999</v>
      </c>
      <c r="J23">
        <v>34.429993000000003</v>
      </c>
      <c r="K23">
        <v>33.848514999999999</v>
      </c>
      <c r="L23">
        <v>33.334881000000003</v>
      </c>
      <c r="M23">
        <v>32.813395999999997</v>
      </c>
      <c r="N23">
        <v>32.307029999999997</v>
      </c>
      <c r="O23">
        <v>31.735132</v>
      </c>
      <c r="P23">
        <v>31.138124000000001</v>
      </c>
      <c r="Q23">
        <v>30.495702999999999</v>
      </c>
      <c r="R23">
        <v>29.854996</v>
      </c>
      <c r="S23">
        <v>29.198588999999998</v>
      </c>
      <c r="T23">
        <v>28.521305000000002</v>
      </c>
      <c r="U23">
        <v>27.823361999999999</v>
      </c>
      <c r="V23">
        <v>27.163891</v>
      </c>
      <c r="W23">
        <v>26.519552000000001</v>
      </c>
      <c r="X23">
        <v>25.929789</v>
      </c>
      <c r="Y23">
        <v>25.381256</v>
      </c>
      <c r="Z23">
        <v>24.876940000000001</v>
      </c>
      <c r="AA23">
        <v>24.434802999999999</v>
      </c>
      <c r="AB23">
        <v>24.024281999999999</v>
      </c>
      <c r="AC23">
        <v>23.739571000000002</v>
      </c>
      <c r="AD23">
        <v>23.487732000000001</v>
      </c>
      <c r="AE23">
        <v>23.243437</v>
      </c>
      <c r="AF23">
        <v>22.989767000000001</v>
      </c>
      <c r="AG23" s="144">
        <v>-1.7999999999999999E-2</v>
      </c>
    </row>
    <row r="24" spans="1:33">
      <c r="A24" t="s">
        <v>202</v>
      </c>
      <c r="B24" t="s">
        <v>2317</v>
      </c>
      <c r="C24" t="s">
        <v>2316</v>
      </c>
      <c r="D24" t="s">
        <v>2264</v>
      </c>
      <c r="F24">
        <v>24.710927999999999</v>
      </c>
      <c r="G24">
        <v>24.792711000000001</v>
      </c>
      <c r="H24">
        <v>24.766380000000002</v>
      </c>
      <c r="I24">
        <v>24.778901999999999</v>
      </c>
      <c r="J24">
        <v>24.779399999999999</v>
      </c>
      <c r="K24">
        <v>24.825973999999999</v>
      </c>
      <c r="L24">
        <v>24.892790000000002</v>
      </c>
      <c r="M24">
        <v>24.93458</v>
      </c>
      <c r="N24">
        <v>24.980650000000001</v>
      </c>
      <c r="O24">
        <v>24.957380000000001</v>
      </c>
      <c r="P24">
        <v>24.906849000000001</v>
      </c>
      <c r="Q24">
        <v>24.796883000000001</v>
      </c>
      <c r="R24">
        <v>24.652761000000002</v>
      </c>
      <c r="S24">
        <v>24.494171000000001</v>
      </c>
      <c r="T24">
        <v>24.287745999999999</v>
      </c>
      <c r="U24">
        <v>24.046125</v>
      </c>
      <c r="V24">
        <v>23.807701000000002</v>
      </c>
      <c r="W24">
        <v>23.569877999999999</v>
      </c>
      <c r="X24">
        <v>23.351219</v>
      </c>
      <c r="Y24">
        <v>23.130773999999999</v>
      </c>
      <c r="Z24">
        <v>22.915935999999999</v>
      </c>
      <c r="AA24">
        <v>22.730301000000001</v>
      </c>
      <c r="AB24">
        <v>22.550166999999998</v>
      </c>
      <c r="AC24">
        <v>22.463426999999999</v>
      </c>
      <c r="AD24">
        <v>22.392613999999998</v>
      </c>
      <c r="AE24">
        <v>22.314965999999998</v>
      </c>
      <c r="AF24">
        <v>22.208449999999999</v>
      </c>
      <c r="AG24" s="144">
        <v>-4.0000000000000001E-3</v>
      </c>
    </row>
    <row r="25" spans="1:33">
      <c r="A25" t="s">
        <v>203</v>
      </c>
      <c r="B25" t="s">
        <v>2315</v>
      </c>
      <c r="C25" t="s">
        <v>2314</v>
      </c>
      <c r="D25" t="s">
        <v>2264</v>
      </c>
      <c r="F25">
        <v>2.5683000000000001E-2</v>
      </c>
      <c r="G25">
        <v>2.2918999999999998E-2</v>
      </c>
      <c r="H25">
        <v>2.0313999999999999E-2</v>
      </c>
      <c r="I25">
        <v>1.7925E-2</v>
      </c>
      <c r="J25">
        <v>1.5859000000000002E-2</v>
      </c>
      <c r="K25">
        <v>1.3155999999999999E-2</v>
      </c>
      <c r="L25">
        <v>1.1735000000000001E-2</v>
      </c>
      <c r="M25">
        <v>1.0444E-2</v>
      </c>
      <c r="N25">
        <v>9.3609999999999995E-3</v>
      </c>
      <c r="O25">
        <v>8.4089999999999998E-3</v>
      </c>
      <c r="P25">
        <v>7.3990000000000002E-3</v>
      </c>
      <c r="Q25">
        <v>6.6379999999999998E-3</v>
      </c>
      <c r="R25">
        <v>6.0309999999999999E-3</v>
      </c>
      <c r="S25">
        <v>5.5360000000000001E-3</v>
      </c>
      <c r="T25">
        <v>5.097E-3</v>
      </c>
      <c r="U25">
        <v>4.7149999999999996E-3</v>
      </c>
      <c r="V25">
        <v>4.4050000000000001E-3</v>
      </c>
      <c r="W25">
        <v>4.1209999999999997E-3</v>
      </c>
      <c r="X25">
        <v>3.8730000000000001E-3</v>
      </c>
      <c r="Y25">
        <v>3.6489999999999999E-3</v>
      </c>
      <c r="Z25">
        <v>3.4320000000000002E-3</v>
      </c>
      <c r="AA25">
        <v>3.297E-3</v>
      </c>
      <c r="AB25">
        <v>3.143E-3</v>
      </c>
      <c r="AC25">
        <v>3.0079999999999998E-3</v>
      </c>
      <c r="AD25">
        <v>2.6610000000000002E-3</v>
      </c>
      <c r="AE25">
        <v>2.1099999999999999E-3</v>
      </c>
      <c r="AF25">
        <v>1.676E-3</v>
      </c>
      <c r="AG25" s="144">
        <v>-0.1</v>
      </c>
    </row>
    <row r="26" spans="1:33">
      <c r="A26" t="s">
        <v>204</v>
      </c>
      <c r="B26" t="s">
        <v>2313</v>
      </c>
      <c r="C26" t="s">
        <v>2312</v>
      </c>
      <c r="D26" t="s">
        <v>2264</v>
      </c>
      <c r="F26">
        <v>0.21660399999999999</v>
      </c>
      <c r="G26">
        <v>0.29153400000000002</v>
      </c>
      <c r="H26">
        <v>0.36267500000000003</v>
      </c>
      <c r="I26">
        <v>0.42705700000000002</v>
      </c>
      <c r="J26">
        <v>0.483323</v>
      </c>
      <c r="K26">
        <v>0.533188</v>
      </c>
      <c r="L26">
        <v>0.57804699999999998</v>
      </c>
      <c r="M26">
        <v>0.61812299999999998</v>
      </c>
      <c r="N26">
        <v>0.65573599999999999</v>
      </c>
      <c r="O26">
        <v>0.691272</v>
      </c>
      <c r="P26">
        <v>0.72470299999999999</v>
      </c>
      <c r="Q26">
        <v>0.75561</v>
      </c>
      <c r="R26">
        <v>0.78383000000000003</v>
      </c>
      <c r="S26">
        <v>0.81074299999999999</v>
      </c>
      <c r="T26">
        <v>0.83725300000000002</v>
      </c>
      <c r="U26">
        <v>0.86216999999999999</v>
      </c>
      <c r="V26">
        <v>0.885768</v>
      </c>
      <c r="W26">
        <v>0.90606100000000001</v>
      </c>
      <c r="X26">
        <v>0.92689299999999997</v>
      </c>
      <c r="Y26">
        <v>0.94793899999999998</v>
      </c>
      <c r="Z26">
        <v>0.96773900000000002</v>
      </c>
      <c r="AA26">
        <v>0.98745300000000003</v>
      </c>
      <c r="AB26">
        <v>1.006273</v>
      </c>
      <c r="AC26">
        <v>1.030934</v>
      </c>
      <c r="AD26">
        <v>1.0588070000000001</v>
      </c>
      <c r="AE26">
        <v>1.0924590000000001</v>
      </c>
      <c r="AF26">
        <v>1.1249199999999999</v>
      </c>
      <c r="AG26" s="144">
        <v>6.5000000000000002E-2</v>
      </c>
    </row>
    <row r="27" spans="1:33">
      <c r="A27" t="s">
        <v>205</v>
      </c>
      <c r="B27" t="s">
        <v>2311</v>
      </c>
      <c r="C27" t="s">
        <v>2310</v>
      </c>
      <c r="D27" t="s">
        <v>2264</v>
      </c>
      <c r="F27">
        <v>0.56315499999999996</v>
      </c>
      <c r="G27">
        <v>0.50854999999999995</v>
      </c>
      <c r="H27">
        <v>0.45326300000000003</v>
      </c>
      <c r="I27">
        <v>0.40201100000000001</v>
      </c>
      <c r="J27">
        <v>0.35692600000000002</v>
      </c>
      <c r="K27">
        <v>0.320183</v>
      </c>
      <c r="L27">
        <v>0.28773399999999999</v>
      </c>
      <c r="M27">
        <v>0.25882300000000003</v>
      </c>
      <c r="N27">
        <v>0.233901</v>
      </c>
      <c r="O27">
        <v>0.21024899999999999</v>
      </c>
      <c r="P27">
        <v>0.1898</v>
      </c>
      <c r="Q27">
        <v>0.17246700000000001</v>
      </c>
      <c r="R27">
        <v>0.15728500000000001</v>
      </c>
      <c r="S27">
        <v>0.144478</v>
      </c>
      <c r="T27">
        <v>0.13336400000000001</v>
      </c>
      <c r="U27">
        <v>0.12360599999999999</v>
      </c>
      <c r="V27">
        <v>0.11543100000000001</v>
      </c>
      <c r="W27">
        <v>0.10784100000000001</v>
      </c>
      <c r="X27">
        <v>0.100605</v>
      </c>
      <c r="Y27">
        <v>9.3598000000000001E-2</v>
      </c>
      <c r="Z27">
        <v>8.6728E-2</v>
      </c>
      <c r="AA27">
        <v>7.9933000000000004E-2</v>
      </c>
      <c r="AB27">
        <v>7.2932999999999998E-2</v>
      </c>
      <c r="AC27">
        <v>6.5624000000000002E-2</v>
      </c>
      <c r="AD27">
        <v>5.7986999999999997E-2</v>
      </c>
      <c r="AE27">
        <v>5.0445999999999998E-2</v>
      </c>
      <c r="AF27">
        <v>4.2520000000000002E-2</v>
      </c>
      <c r="AG27" s="144">
        <v>-9.5000000000000001E-2</v>
      </c>
    </row>
    <row r="28" spans="1:33">
      <c r="A28" t="s">
        <v>206</v>
      </c>
      <c r="B28" t="s">
        <v>2309</v>
      </c>
      <c r="C28" t="s">
        <v>2308</v>
      </c>
      <c r="D28" t="s">
        <v>2264</v>
      </c>
      <c r="F28">
        <v>2.1684999999999999E-2</v>
      </c>
      <c r="G28">
        <v>2.3281E-2</v>
      </c>
      <c r="H28">
        <v>2.4604000000000001E-2</v>
      </c>
      <c r="I28">
        <v>2.5850999999999999E-2</v>
      </c>
      <c r="J28">
        <v>2.6849999999999999E-2</v>
      </c>
      <c r="K28">
        <v>2.7718E-2</v>
      </c>
      <c r="L28">
        <v>2.8584999999999999E-2</v>
      </c>
      <c r="M28">
        <v>2.93E-2</v>
      </c>
      <c r="N28">
        <v>3.0084E-2</v>
      </c>
      <c r="O28">
        <v>3.0797999999999999E-2</v>
      </c>
      <c r="P28">
        <v>3.1477999999999999E-2</v>
      </c>
      <c r="Q28">
        <v>3.2091000000000001E-2</v>
      </c>
      <c r="R28">
        <v>3.2672E-2</v>
      </c>
      <c r="S28">
        <v>3.3252999999999998E-2</v>
      </c>
      <c r="T28">
        <v>3.3787999999999999E-2</v>
      </c>
      <c r="U28">
        <v>3.4255000000000001E-2</v>
      </c>
      <c r="V28">
        <v>3.4696999999999999E-2</v>
      </c>
      <c r="W28">
        <v>3.5131999999999997E-2</v>
      </c>
      <c r="X28">
        <v>3.5562999999999997E-2</v>
      </c>
      <c r="Y28">
        <v>3.5920000000000001E-2</v>
      </c>
      <c r="Z28">
        <v>3.6223999999999999E-2</v>
      </c>
      <c r="AA28">
        <v>3.6521999999999999E-2</v>
      </c>
      <c r="AB28">
        <v>3.6776999999999997E-2</v>
      </c>
      <c r="AC28">
        <v>3.7164000000000003E-2</v>
      </c>
      <c r="AD28">
        <v>3.7578E-2</v>
      </c>
      <c r="AE28">
        <v>3.7975000000000002E-2</v>
      </c>
      <c r="AF28">
        <v>3.8295000000000003E-2</v>
      </c>
      <c r="AG28" s="144">
        <v>2.1999999999999999E-2</v>
      </c>
    </row>
    <row r="29" spans="1:33">
      <c r="A29" t="s">
        <v>207</v>
      </c>
      <c r="B29" t="s">
        <v>2307</v>
      </c>
      <c r="C29" t="s">
        <v>2306</v>
      </c>
      <c r="D29" t="s">
        <v>2264</v>
      </c>
      <c r="F29">
        <v>0</v>
      </c>
      <c r="G29">
        <v>0</v>
      </c>
      <c r="H29">
        <v>1.812E-3</v>
      </c>
      <c r="I29">
        <v>4.4209999999999996E-3</v>
      </c>
      <c r="J29">
        <v>8.4100000000000008E-3</v>
      </c>
      <c r="K29">
        <v>1.3413E-2</v>
      </c>
      <c r="L29">
        <v>1.8973E-2</v>
      </c>
      <c r="M29">
        <v>2.5016E-2</v>
      </c>
      <c r="N29">
        <v>3.1123999999999999E-2</v>
      </c>
      <c r="O29">
        <v>2.8725000000000001E-2</v>
      </c>
      <c r="P29">
        <v>2.6502000000000001E-2</v>
      </c>
      <c r="Q29">
        <v>2.4417999999999999E-2</v>
      </c>
      <c r="R29">
        <v>2.2536E-2</v>
      </c>
      <c r="S29">
        <v>2.0787E-2</v>
      </c>
      <c r="T29">
        <v>1.9154999999999998E-2</v>
      </c>
      <c r="U29">
        <v>1.7624999999999998E-2</v>
      </c>
      <c r="V29">
        <v>1.6230000000000001E-2</v>
      </c>
      <c r="W29">
        <v>1.4954E-2</v>
      </c>
      <c r="X29">
        <v>1.3782000000000001E-2</v>
      </c>
      <c r="Y29">
        <v>1.2718E-2</v>
      </c>
      <c r="Z29">
        <v>1.1752E-2</v>
      </c>
      <c r="AA29">
        <v>1.0893E-2</v>
      </c>
      <c r="AB29">
        <v>1.0121E-2</v>
      </c>
      <c r="AC29">
        <v>9.3299999999999998E-3</v>
      </c>
      <c r="AD29">
        <v>8.5830000000000004E-3</v>
      </c>
      <c r="AE29">
        <v>7.9159999999999994E-3</v>
      </c>
      <c r="AF29">
        <v>7.3150000000000003E-3</v>
      </c>
      <c r="AG29" t="s">
        <v>1769</v>
      </c>
    </row>
    <row r="30" spans="1:33">
      <c r="A30" t="s">
        <v>208</v>
      </c>
      <c r="B30" t="s">
        <v>2305</v>
      </c>
      <c r="C30" t="s">
        <v>2304</v>
      </c>
      <c r="D30" t="s">
        <v>2264</v>
      </c>
      <c r="F30">
        <v>0</v>
      </c>
      <c r="G30">
        <v>8.5570000000000004E-3</v>
      </c>
      <c r="H30">
        <v>1.7385999999999999E-2</v>
      </c>
      <c r="I30">
        <v>2.0511000000000001E-2</v>
      </c>
      <c r="J30">
        <v>1.9573E-2</v>
      </c>
      <c r="K30">
        <v>1.7939E-2</v>
      </c>
      <c r="L30">
        <v>1.6412E-2</v>
      </c>
      <c r="M30">
        <v>1.5066E-2</v>
      </c>
      <c r="N30">
        <v>1.3932999999999999E-2</v>
      </c>
      <c r="O30">
        <v>1.2857E-2</v>
      </c>
      <c r="P30">
        <v>1.1854999999999999E-2</v>
      </c>
      <c r="Q30">
        <v>1.0898E-2</v>
      </c>
      <c r="R30">
        <v>1.0045999999999999E-2</v>
      </c>
      <c r="S30">
        <v>9.2049999999999996E-3</v>
      </c>
      <c r="T30">
        <v>8.4309999999999993E-3</v>
      </c>
      <c r="U30">
        <v>7.7409999999999996E-3</v>
      </c>
      <c r="V30">
        <v>7.1500000000000001E-3</v>
      </c>
      <c r="W30">
        <v>6.6150000000000002E-3</v>
      </c>
      <c r="X30">
        <v>6.071E-3</v>
      </c>
      <c r="Y30">
        <v>5.5319999999999996E-3</v>
      </c>
      <c r="Z30">
        <v>5.0140000000000002E-3</v>
      </c>
      <c r="AA30">
        <v>4.6039999999999996E-3</v>
      </c>
      <c r="AB30">
        <v>4.2789999999999998E-3</v>
      </c>
      <c r="AC30">
        <v>4.006E-3</v>
      </c>
      <c r="AD30">
        <v>3.7469999999999999E-3</v>
      </c>
      <c r="AE30">
        <v>3.4919999999999999E-3</v>
      </c>
      <c r="AF30">
        <v>3.2469999999999999E-3</v>
      </c>
      <c r="AG30" t="s">
        <v>1769</v>
      </c>
    </row>
    <row r="31" spans="1:33">
      <c r="A31" t="s">
        <v>209</v>
      </c>
      <c r="B31" t="s">
        <v>2303</v>
      </c>
      <c r="C31" t="s">
        <v>2302</v>
      </c>
      <c r="D31" t="s">
        <v>2264</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t="s">
        <v>1769</v>
      </c>
    </row>
    <row r="32" spans="1:33">
      <c r="A32" t="s">
        <v>1830</v>
      </c>
      <c r="B32" t="s">
        <v>2301</v>
      </c>
      <c r="C32" t="s">
        <v>2300</v>
      </c>
      <c r="D32" t="s">
        <v>2264</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t="s">
        <v>1769</v>
      </c>
    </row>
    <row r="33" spans="1:33">
      <c r="A33" t="s">
        <v>1827</v>
      </c>
      <c r="B33" t="s">
        <v>2299</v>
      </c>
      <c r="C33" t="s">
        <v>2298</v>
      </c>
      <c r="D33" t="s">
        <v>2264</v>
      </c>
      <c r="F33">
        <v>0</v>
      </c>
      <c r="G33">
        <v>6.4962000000000006E-2</v>
      </c>
      <c r="H33">
        <v>0.15284300000000001</v>
      </c>
      <c r="I33">
        <v>0.26397999999999999</v>
      </c>
      <c r="J33">
        <v>0.39148899999999998</v>
      </c>
      <c r="K33">
        <v>0.54012800000000005</v>
      </c>
      <c r="L33">
        <v>0.72535000000000005</v>
      </c>
      <c r="M33">
        <v>0.96550199999999997</v>
      </c>
      <c r="N33">
        <v>1.2885960000000001</v>
      </c>
      <c r="O33">
        <v>1.7231620000000001</v>
      </c>
      <c r="P33">
        <v>2.2904900000000001</v>
      </c>
      <c r="Q33">
        <v>2.9959259999999999</v>
      </c>
      <c r="R33">
        <v>3.8416109999999999</v>
      </c>
      <c r="S33">
        <v>4.8051320000000004</v>
      </c>
      <c r="T33">
        <v>5.8463799999999999</v>
      </c>
      <c r="U33">
        <v>6.9121439999999996</v>
      </c>
      <c r="V33">
        <v>7.9788759999999996</v>
      </c>
      <c r="W33">
        <v>9.0158009999999997</v>
      </c>
      <c r="X33">
        <v>10.012964</v>
      </c>
      <c r="Y33">
        <v>10.950036000000001</v>
      </c>
      <c r="Z33">
        <v>11.814178999999999</v>
      </c>
      <c r="AA33">
        <v>12.617074000000001</v>
      </c>
      <c r="AB33">
        <v>13.349224</v>
      </c>
      <c r="AC33">
        <v>14.081083</v>
      </c>
      <c r="AD33">
        <v>14.773883</v>
      </c>
      <c r="AE33">
        <v>15.412091</v>
      </c>
      <c r="AF33">
        <v>15.978241000000001</v>
      </c>
      <c r="AG33" t="s">
        <v>1769</v>
      </c>
    </row>
    <row r="34" spans="1:33">
      <c r="A34" t="s">
        <v>1824</v>
      </c>
      <c r="B34" t="s">
        <v>2297</v>
      </c>
      <c r="C34" t="s">
        <v>2296</v>
      </c>
      <c r="D34" t="s">
        <v>2264</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c r="AF34">
        <v>0</v>
      </c>
      <c r="AG34" t="s">
        <v>1769</v>
      </c>
    </row>
    <row r="35" spans="1:33" s="260" customFormat="1">
      <c r="A35" s="260" t="s">
        <v>1852</v>
      </c>
      <c r="B35" s="260" t="s">
        <v>2295</v>
      </c>
      <c r="C35" s="260" t="s">
        <v>2294</v>
      </c>
      <c r="D35" s="260" t="s">
        <v>2264</v>
      </c>
      <c r="F35" s="260">
        <v>62.669761999999999</v>
      </c>
      <c r="G35" s="260">
        <v>62.306469</v>
      </c>
      <c r="H35" s="260">
        <v>61.636169000000002</v>
      </c>
      <c r="I35" s="260">
        <v>61.069248000000002</v>
      </c>
      <c r="J35" s="260">
        <v>60.511715000000002</v>
      </c>
      <c r="K35" s="260">
        <v>60.140095000000002</v>
      </c>
      <c r="L35" s="260">
        <v>59.894455000000001</v>
      </c>
      <c r="M35" s="260">
        <v>59.670211999999999</v>
      </c>
      <c r="N35" s="260">
        <v>59.550327000000003</v>
      </c>
      <c r="O35" s="260">
        <v>59.398045000000003</v>
      </c>
      <c r="P35" s="260">
        <v>59.327106000000001</v>
      </c>
      <c r="Q35" s="260">
        <v>59.290576999999999</v>
      </c>
      <c r="R35" s="260">
        <v>59.361587999999998</v>
      </c>
      <c r="S35" s="260">
        <v>59.521720999999999</v>
      </c>
      <c r="T35" s="260">
        <v>59.692307</v>
      </c>
      <c r="U35" s="260">
        <v>59.831532000000003</v>
      </c>
      <c r="V35" s="260">
        <v>60.013888999999999</v>
      </c>
      <c r="W35" s="260">
        <v>60.179622999999999</v>
      </c>
      <c r="X35" s="260">
        <v>60.380524000000001</v>
      </c>
      <c r="Y35" s="260">
        <v>60.561053999999999</v>
      </c>
      <c r="Z35" s="260">
        <v>60.717669999999998</v>
      </c>
      <c r="AA35" s="260">
        <v>60.904583000000002</v>
      </c>
      <c r="AB35" s="260">
        <v>61.056731999999997</v>
      </c>
      <c r="AC35" s="260">
        <v>61.433689000000001</v>
      </c>
      <c r="AD35" s="260">
        <v>61.823250000000002</v>
      </c>
      <c r="AE35" s="260">
        <v>62.164485999999997</v>
      </c>
      <c r="AF35" s="260">
        <v>62.394100000000002</v>
      </c>
      <c r="AG35" s="261">
        <v>0</v>
      </c>
    </row>
    <row r="36" spans="1:33">
      <c r="A36" t="s">
        <v>1849</v>
      </c>
    </row>
    <row r="37" spans="1:33">
      <c r="A37" t="s">
        <v>201</v>
      </c>
      <c r="B37" t="s">
        <v>2293</v>
      </c>
      <c r="C37" t="s">
        <v>2292</v>
      </c>
      <c r="D37" t="s">
        <v>2264</v>
      </c>
      <c r="F37">
        <v>192.94982899999999</v>
      </c>
      <c r="G37">
        <v>197.59063699999999</v>
      </c>
      <c r="H37">
        <v>200.97595200000001</v>
      </c>
      <c r="I37">
        <v>204.19201699999999</v>
      </c>
      <c r="J37">
        <v>206.488708</v>
      </c>
      <c r="K37">
        <v>208.58886699999999</v>
      </c>
      <c r="L37">
        <v>210.49195900000001</v>
      </c>
      <c r="M37">
        <v>211.89570599999999</v>
      </c>
      <c r="N37">
        <v>213.206253</v>
      </c>
      <c r="O37">
        <v>214.241714</v>
      </c>
      <c r="P37">
        <v>215.399506</v>
      </c>
      <c r="Q37">
        <v>216.51177999999999</v>
      </c>
      <c r="R37">
        <v>217.892349</v>
      </c>
      <c r="S37">
        <v>219.42524700000001</v>
      </c>
      <c r="T37">
        <v>220.96220400000001</v>
      </c>
      <c r="U37">
        <v>222.213562</v>
      </c>
      <c r="V37">
        <v>223.48240699999999</v>
      </c>
      <c r="W37">
        <v>224.63845800000001</v>
      </c>
      <c r="X37">
        <v>225.79357899999999</v>
      </c>
      <c r="Y37">
        <v>226.73658800000001</v>
      </c>
      <c r="Z37">
        <v>227.47717299999999</v>
      </c>
      <c r="AA37">
        <v>228.256531</v>
      </c>
      <c r="AB37">
        <v>228.81037900000001</v>
      </c>
      <c r="AC37">
        <v>230.14291399999999</v>
      </c>
      <c r="AD37">
        <v>231.487762</v>
      </c>
      <c r="AE37">
        <v>232.64764400000001</v>
      </c>
      <c r="AF37">
        <v>233.4263</v>
      </c>
      <c r="AG37" s="144">
        <v>7.0000000000000001E-3</v>
      </c>
    </row>
    <row r="38" spans="1:33">
      <c r="A38" t="s">
        <v>202</v>
      </c>
      <c r="B38" t="s">
        <v>2291</v>
      </c>
      <c r="C38" t="s">
        <v>2290</v>
      </c>
      <c r="D38" t="s">
        <v>2264</v>
      </c>
      <c r="F38">
        <v>0.17944199999999999</v>
      </c>
      <c r="G38">
        <v>0.15498799999999999</v>
      </c>
      <c r="H38">
        <v>0.13519600000000001</v>
      </c>
      <c r="I38">
        <v>0.119259</v>
      </c>
      <c r="J38">
        <v>0.106646</v>
      </c>
      <c r="K38">
        <v>9.7213999999999995E-2</v>
      </c>
      <c r="L38">
        <v>8.9940000000000006E-2</v>
      </c>
      <c r="M38">
        <v>8.3801E-2</v>
      </c>
      <c r="N38">
        <v>7.8592999999999996E-2</v>
      </c>
      <c r="O38">
        <v>7.3761999999999994E-2</v>
      </c>
      <c r="P38">
        <v>7.0135000000000003E-2</v>
      </c>
      <c r="Q38">
        <v>6.7147999999999999E-2</v>
      </c>
      <c r="R38">
        <v>6.4902000000000001E-2</v>
      </c>
      <c r="S38">
        <v>6.2685000000000005E-2</v>
      </c>
      <c r="T38">
        <v>6.0434000000000002E-2</v>
      </c>
      <c r="U38">
        <v>5.8535999999999998E-2</v>
      </c>
      <c r="V38">
        <v>5.7188000000000003E-2</v>
      </c>
      <c r="W38">
        <v>5.5987000000000002E-2</v>
      </c>
      <c r="X38">
        <v>5.4594999999999998E-2</v>
      </c>
      <c r="Y38">
        <v>5.3534999999999999E-2</v>
      </c>
      <c r="Z38">
        <v>5.2807E-2</v>
      </c>
      <c r="AA38">
        <v>5.2412E-2</v>
      </c>
      <c r="AB38">
        <v>5.2122000000000002E-2</v>
      </c>
      <c r="AC38">
        <v>5.2130000000000003E-2</v>
      </c>
      <c r="AD38">
        <v>5.2162E-2</v>
      </c>
      <c r="AE38">
        <v>5.2194999999999998E-2</v>
      </c>
      <c r="AF38">
        <v>5.2098999999999999E-2</v>
      </c>
      <c r="AG38" s="144">
        <v>-4.5999999999999999E-2</v>
      </c>
    </row>
    <row r="39" spans="1:33">
      <c r="A39" t="s">
        <v>203</v>
      </c>
      <c r="B39" t="s">
        <v>2289</v>
      </c>
      <c r="C39" t="s">
        <v>2288</v>
      </c>
      <c r="D39" t="s">
        <v>2264</v>
      </c>
      <c r="F39">
        <v>4.7856000000000003E-2</v>
      </c>
      <c r="G39">
        <v>5.7736999999999997E-2</v>
      </c>
      <c r="H39">
        <v>6.6908999999999996E-2</v>
      </c>
      <c r="I39">
        <v>7.5483999999999996E-2</v>
      </c>
      <c r="J39">
        <v>8.2448999999999995E-2</v>
      </c>
      <c r="K39">
        <v>8.8404999999999997E-2</v>
      </c>
      <c r="L39">
        <v>9.3265000000000001E-2</v>
      </c>
      <c r="M39">
        <v>9.6863000000000005E-2</v>
      </c>
      <c r="N39">
        <v>9.9866999999999997E-2</v>
      </c>
      <c r="O39">
        <v>0.102191</v>
      </c>
      <c r="P39">
        <v>0.104356</v>
      </c>
      <c r="Q39">
        <v>0.105952</v>
      </c>
      <c r="R39">
        <v>0.10739799999999999</v>
      </c>
      <c r="S39">
        <v>0.108672</v>
      </c>
      <c r="T39">
        <v>0.109947</v>
      </c>
      <c r="U39">
        <v>0.111064</v>
      </c>
      <c r="V39">
        <v>0.11217199999999999</v>
      </c>
      <c r="W39">
        <v>0.11304699999999999</v>
      </c>
      <c r="X39">
        <v>0.113818</v>
      </c>
      <c r="Y39">
        <v>0.114437</v>
      </c>
      <c r="Z39">
        <v>0.114983</v>
      </c>
      <c r="AA39">
        <v>0.115591</v>
      </c>
      <c r="AB39">
        <v>0.11615499999999999</v>
      </c>
      <c r="AC39">
        <v>0.11715</v>
      </c>
      <c r="AD39">
        <v>0.118132</v>
      </c>
      <c r="AE39">
        <v>0.118927</v>
      </c>
      <c r="AF39">
        <v>0.119593</v>
      </c>
      <c r="AG39" s="144">
        <v>3.5999999999999997E-2</v>
      </c>
    </row>
    <row r="40" spans="1:33">
      <c r="A40" t="s">
        <v>204</v>
      </c>
      <c r="B40" t="s">
        <v>2287</v>
      </c>
      <c r="C40" t="s">
        <v>2286</v>
      </c>
      <c r="D40" t="s">
        <v>2264</v>
      </c>
      <c r="F40">
        <v>2.1094580000000001</v>
      </c>
      <c r="G40">
        <v>2.214413</v>
      </c>
      <c r="H40">
        <v>2.3001610000000001</v>
      </c>
      <c r="I40">
        <v>2.3472629999999999</v>
      </c>
      <c r="J40">
        <v>2.3785280000000002</v>
      </c>
      <c r="K40">
        <v>2.4064909999999999</v>
      </c>
      <c r="L40">
        <v>2.4318550000000001</v>
      </c>
      <c r="M40">
        <v>2.4521289999999998</v>
      </c>
      <c r="N40">
        <v>2.4740410000000002</v>
      </c>
      <c r="O40">
        <v>2.4960559999999998</v>
      </c>
      <c r="P40">
        <v>2.521617</v>
      </c>
      <c r="Q40">
        <v>2.5483570000000002</v>
      </c>
      <c r="R40">
        <v>2.5778829999999999</v>
      </c>
      <c r="S40">
        <v>2.617191</v>
      </c>
      <c r="T40">
        <v>2.654404</v>
      </c>
      <c r="U40">
        <v>2.6962579999999998</v>
      </c>
      <c r="V40">
        <v>2.7533029999999998</v>
      </c>
      <c r="W40">
        <v>2.8257400000000001</v>
      </c>
      <c r="X40">
        <v>2.9015680000000001</v>
      </c>
      <c r="Y40">
        <v>2.9739230000000001</v>
      </c>
      <c r="Z40">
        <v>3.0567959999999998</v>
      </c>
      <c r="AA40">
        <v>3.1516289999999998</v>
      </c>
      <c r="AB40">
        <v>3.2652610000000002</v>
      </c>
      <c r="AC40">
        <v>3.4182450000000002</v>
      </c>
      <c r="AD40">
        <v>3.6164770000000002</v>
      </c>
      <c r="AE40">
        <v>3.8481260000000002</v>
      </c>
      <c r="AF40">
        <v>4.1315439999999999</v>
      </c>
      <c r="AG40" s="144">
        <v>2.5999999999999999E-2</v>
      </c>
    </row>
    <row r="41" spans="1:33">
      <c r="A41" t="s">
        <v>205</v>
      </c>
      <c r="B41" t="s">
        <v>2285</v>
      </c>
      <c r="C41" t="s">
        <v>2284</v>
      </c>
      <c r="D41" t="s">
        <v>2264</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t="s">
        <v>1769</v>
      </c>
    </row>
    <row r="42" spans="1:33">
      <c r="A42" t="s">
        <v>206</v>
      </c>
      <c r="B42" t="s">
        <v>2283</v>
      </c>
      <c r="C42" t="s">
        <v>2282</v>
      </c>
      <c r="D42" t="s">
        <v>2264</v>
      </c>
      <c r="F42">
        <v>0.18515499999999999</v>
      </c>
      <c r="G42">
        <v>0.24551999999999999</v>
      </c>
      <c r="H42">
        <v>0.30169099999999999</v>
      </c>
      <c r="I42">
        <v>0.35297400000000001</v>
      </c>
      <c r="J42">
        <v>0.39618599999999998</v>
      </c>
      <c r="K42">
        <v>0.43319400000000002</v>
      </c>
      <c r="L42">
        <v>0.46518399999999999</v>
      </c>
      <c r="M42">
        <v>0.49213899999999999</v>
      </c>
      <c r="N42">
        <v>0.51570899999999997</v>
      </c>
      <c r="O42">
        <v>0.53597600000000001</v>
      </c>
      <c r="P42">
        <v>0.55396900000000004</v>
      </c>
      <c r="Q42">
        <v>0.56943999999999995</v>
      </c>
      <c r="R42">
        <v>0.58362599999999998</v>
      </c>
      <c r="S42">
        <v>0.596418</v>
      </c>
      <c r="T42">
        <v>0.60785299999999998</v>
      </c>
      <c r="U42">
        <v>0.61746599999999996</v>
      </c>
      <c r="V42">
        <v>0.62655300000000003</v>
      </c>
      <c r="W42">
        <v>0.63464799999999999</v>
      </c>
      <c r="X42">
        <v>0.64217500000000005</v>
      </c>
      <c r="Y42">
        <v>0.64864299999999997</v>
      </c>
      <c r="Z42">
        <v>0.65428299999999995</v>
      </c>
      <c r="AA42">
        <v>0.66003299999999998</v>
      </c>
      <c r="AB42">
        <v>0.66523100000000002</v>
      </c>
      <c r="AC42">
        <v>0.67273099999999997</v>
      </c>
      <c r="AD42">
        <v>0.68039099999999997</v>
      </c>
      <c r="AE42">
        <v>0.68770299999999995</v>
      </c>
      <c r="AF42">
        <v>0.69397600000000004</v>
      </c>
      <c r="AG42" s="144">
        <v>5.1999999999999998E-2</v>
      </c>
    </row>
    <row r="43" spans="1:33">
      <c r="A43" t="s">
        <v>207</v>
      </c>
      <c r="B43" t="s">
        <v>2281</v>
      </c>
      <c r="C43" t="s">
        <v>2280</v>
      </c>
      <c r="D43" t="s">
        <v>2264</v>
      </c>
      <c r="F43">
        <v>0</v>
      </c>
      <c r="G43">
        <v>0</v>
      </c>
      <c r="H43">
        <v>1.5969999999999999E-3</v>
      </c>
      <c r="I43">
        <v>4.424E-3</v>
      </c>
      <c r="J43">
        <v>7.4520000000000003E-3</v>
      </c>
      <c r="K43">
        <v>1.0940999999999999E-2</v>
      </c>
      <c r="L43">
        <v>1.4944000000000001E-2</v>
      </c>
      <c r="M43">
        <v>1.9642E-2</v>
      </c>
      <c r="N43">
        <v>2.5437999999999999E-2</v>
      </c>
      <c r="O43">
        <v>2.3895E-2</v>
      </c>
      <c r="P43">
        <v>2.2523999999999999E-2</v>
      </c>
      <c r="Q43">
        <v>2.1420999999999999E-2</v>
      </c>
      <c r="R43">
        <v>2.0462999999999999E-2</v>
      </c>
      <c r="S43">
        <v>1.9831000000000001E-2</v>
      </c>
      <c r="T43">
        <v>1.9446999999999999E-2</v>
      </c>
      <c r="U43">
        <v>1.9268E-2</v>
      </c>
      <c r="V43">
        <v>1.9012999999999999E-2</v>
      </c>
      <c r="W43">
        <v>1.8571000000000001E-2</v>
      </c>
      <c r="X43">
        <v>1.7878000000000002E-2</v>
      </c>
      <c r="Y43">
        <v>1.6910999999999999E-2</v>
      </c>
      <c r="Z43">
        <v>1.5798E-2</v>
      </c>
      <c r="AA43">
        <v>1.456E-2</v>
      </c>
      <c r="AB43">
        <v>1.3139E-2</v>
      </c>
      <c r="AC43">
        <v>1.1603E-2</v>
      </c>
      <c r="AD43">
        <v>1.0300999999999999E-2</v>
      </c>
      <c r="AE43">
        <v>9.221E-3</v>
      </c>
      <c r="AF43">
        <v>8.345E-3</v>
      </c>
      <c r="AG43" t="s">
        <v>1769</v>
      </c>
    </row>
    <row r="44" spans="1:33">
      <c r="A44" t="s">
        <v>208</v>
      </c>
      <c r="B44" t="s">
        <v>2279</v>
      </c>
      <c r="C44" t="s">
        <v>2278</v>
      </c>
      <c r="D44" t="s">
        <v>2264</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t="s">
        <v>1769</v>
      </c>
    </row>
    <row r="45" spans="1:33">
      <c r="A45" t="s">
        <v>209</v>
      </c>
      <c r="B45" t="s">
        <v>2277</v>
      </c>
      <c r="C45" t="s">
        <v>2276</v>
      </c>
      <c r="D45" t="s">
        <v>2264</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t="s">
        <v>1769</v>
      </c>
    </row>
    <row r="46" spans="1:33">
      <c r="A46" t="s">
        <v>1830</v>
      </c>
      <c r="B46" t="s">
        <v>2275</v>
      </c>
      <c r="C46" t="s">
        <v>2274</v>
      </c>
      <c r="D46" t="s">
        <v>2264</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1769</v>
      </c>
    </row>
    <row r="47" spans="1:33">
      <c r="A47" t="s">
        <v>1827</v>
      </c>
      <c r="B47" t="s">
        <v>2273</v>
      </c>
      <c r="C47" t="s">
        <v>2272</v>
      </c>
      <c r="D47" t="s">
        <v>2264</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1769</v>
      </c>
    </row>
    <row r="48" spans="1:33">
      <c r="A48" t="s">
        <v>1824</v>
      </c>
      <c r="B48" t="s">
        <v>2271</v>
      </c>
      <c r="C48" t="s">
        <v>2270</v>
      </c>
      <c r="D48" t="s">
        <v>2264</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t="s">
        <v>1769</v>
      </c>
    </row>
    <row r="49" spans="1:33" s="260" customFormat="1">
      <c r="A49" s="260" t="s">
        <v>1821</v>
      </c>
      <c r="B49" s="260" t="s">
        <v>2269</v>
      </c>
      <c r="C49" s="260" t="s">
        <v>2268</v>
      </c>
      <c r="D49" s="260" t="s">
        <v>2264</v>
      </c>
      <c r="F49" s="260">
        <v>195.47178600000001</v>
      </c>
      <c r="G49" s="260">
        <v>200.263214</v>
      </c>
      <c r="H49" s="260">
        <v>203.781387</v>
      </c>
      <c r="I49" s="260">
        <v>207.091309</v>
      </c>
      <c r="J49" s="260">
        <v>209.459946</v>
      </c>
      <c r="K49" s="260">
        <v>211.624908</v>
      </c>
      <c r="L49" s="260">
        <v>213.58685299999999</v>
      </c>
      <c r="M49" s="260">
        <v>215.039703</v>
      </c>
      <c r="N49" s="260">
        <v>216.39988700000001</v>
      </c>
      <c r="O49" s="260">
        <v>217.47335799999999</v>
      </c>
      <c r="P49" s="260">
        <v>218.671783</v>
      </c>
      <c r="Q49" s="260">
        <v>219.823669</v>
      </c>
      <c r="R49" s="260">
        <v>221.246475</v>
      </c>
      <c r="S49" s="260">
        <v>222.829758</v>
      </c>
      <c r="T49" s="260">
        <v>224.413895</v>
      </c>
      <c r="U49" s="260">
        <v>225.715836</v>
      </c>
      <c r="V49" s="260">
        <v>227.05023199999999</v>
      </c>
      <c r="W49" s="260">
        <v>228.286179</v>
      </c>
      <c r="X49" s="260">
        <v>229.52342200000001</v>
      </c>
      <c r="Y49" s="260">
        <v>230.54377700000001</v>
      </c>
      <c r="Z49" s="260">
        <v>231.37148999999999</v>
      </c>
      <c r="AA49" s="260">
        <v>232.25056499999999</v>
      </c>
      <c r="AB49" s="260">
        <v>232.92233300000001</v>
      </c>
      <c r="AC49" s="260">
        <v>234.414322</v>
      </c>
      <c r="AD49" s="260">
        <v>235.96463</v>
      </c>
      <c r="AE49" s="260">
        <v>237.36372399999999</v>
      </c>
      <c r="AF49" s="260">
        <v>238.431488</v>
      </c>
      <c r="AG49" s="261">
        <v>8.0000000000000002E-3</v>
      </c>
    </row>
    <row r="50" spans="1:33">
      <c r="A50" t="s">
        <v>2267</v>
      </c>
      <c r="B50" t="s">
        <v>2266</v>
      </c>
      <c r="C50" t="s">
        <v>2265</v>
      </c>
      <c r="D50" t="s">
        <v>2264</v>
      </c>
      <c r="F50">
        <v>340.05352800000003</v>
      </c>
      <c r="G50">
        <v>346.20687900000001</v>
      </c>
      <c r="H50">
        <v>350.06643700000001</v>
      </c>
      <c r="I50">
        <v>353.524384</v>
      </c>
      <c r="J50">
        <v>356.01034499999997</v>
      </c>
      <c r="K50">
        <v>358.95349099999999</v>
      </c>
      <c r="L50">
        <v>362.113586</v>
      </c>
      <c r="M50">
        <v>364.84457400000002</v>
      </c>
      <c r="N50">
        <v>367.71246300000001</v>
      </c>
      <c r="O50">
        <v>370.27838100000002</v>
      </c>
      <c r="P50">
        <v>373.22351099999997</v>
      </c>
      <c r="Q50">
        <v>376.19232199999999</v>
      </c>
      <c r="R50">
        <v>379.62286399999999</v>
      </c>
      <c r="S50">
        <v>383.28610200000003</v>
      </c>
      <c r="T50">
        <v>386.97692899999998</v>
      </c>
      <c r="U50">
        <v>390.32254</v>
      </c>
      <c r="V50">
        <v>393.88848899999999</v>
      </c>
      <c r="W50">
        <v>397.25256300000001</v>
      </c>
      <c r="X50">
        <v>400.59161399999999</v>
      </c>
      <c r="Y50">
        <v>403.49899299999998</v>
      </c>
      <c r="Z50">
        <v>406.14782700000001</v>
      </c>
      <c r="AA50">
        <v>409.07757600000002</v>
      </c>
      <c r="AB50">
        <v>411.83511399999998</v>
      </c>
      <c r="AC50">
        <v>416.007904</v>
      </c>
      <c r="AD50">
        <v>420.09542800000003</v>
      </c>
      <c r="AE50">
        <v>423.83947799999999</v>
      </c>
      <c r="AF50">
        <v>427.049103</v>
      </c>
      <c r="AG50" s="144">
        <v>8.9999999999999993E-3</v>
      </c>
    </row>
    <row r="51" spans="1:33">
      <c r="A51" t="s">
        <v>2263</v>
      </c>
    </row>
    <row r="52" spans="1:33">
      <c r="A52" t="s">
        <v>1905</v>
      </c>
    </row>
    <row r="53" spans="1:33">
      <c r="A53" t="s">
        <v>201</v>
      </c>
      <c r="B53" t="s">
        <v>2262</v>
      </c>
      <c r="C53" t="s">
        <v>2261</v>
      </c>
      <c r="D53" t="s">
        <v>1766</v>
      </c>
      <c r="F53">
        <v>539.32830799999999</v>
      </c>
      <c r="G53">
        <v>535.87744099999998</v>
      </c>
      <c r="H53">
        <v>526.47082499999999</v>
      </c>
      <c r="I53">
        <v>514.90979000000004</v>
      </c>
      <c r="J53">
        <v>500.66012599999999</v>
      </c>
      <c r="K53">
        <v>487.09197999999998</v>
      </c>
      <c r="L53">
        <v>472.83761600000003</v>
      </c>
      <c r="M53">
        <v>456.98330700000002</v>
      </c>
      <c r="N53">
        <v>439.54986600000001</v>
      </c>
      <c r="O53">
        <v>421.112213</v>
      </c>
      <c r="P53">
        <v>402.77359000000001</v>
      </c>
      <c r="Q53">
        <v>384.41812099999999</v>
      </c>
      <c r="R53">
        <v>366.71688799999998</v>
      </c>
      <c r="S53">
        <v>349.36556999999999</v>
      </c>
      <c r="T53">
        <v>331.83755500000001</v>
      </c>
      <c r="U53">
        <v>313.92739899999998</v>
      </c>
      <c r="V53">
        <v>297.00720200000001</v>
      </c>
      <c r="W53">
        <v>280.08450299999998</v>
      </c>
      <c r="X53">
        <v>263.625</v>
      </c>
      <c r="Y53">
        <v>247.19342</v>
      </c>
      <c r="Z53">
        <v>231.70181299999999</v>
      </c>
      <c r="AA53">
        <v>217.603363</v>
      </c>
      <c r="AB53">
        <v>204.607315</v>
      </c>
      <c r="AC53">
        <v>192.892731</v>
      </c>
      <c r="AD53">
        <v>181.41439800000001</v>
      </c>
      <c r="AE53">
        <v>170.285416</v>
      </c>
      <c r="AF53">
        <v>159.76902799999999</v>
      </c>
      <c r="AG53" s="144">
        <v>-4.5999999999999999E-2</v>
      </c>
    </row>
    <row r="54" spans="1:33">
      <c r="A54" t="s">
        <v>202</v>
      </c>
      <c r="B54" t="s">
        <v>2260</v>
      </c>
      <c r="C54" t="s">
        <v>2259</v>
      </c>
      <c r="D54" t="s">
        <v>1766</v>
      </c>
      <c r="F54">
        <v>270.20654300000001</v>
      </c>
      <c r="G54">
        <v>286.74316399999998</v>
      </c>
      <c r="H54">
        <v>300.59240699999998</v>
      </c>
      <c r="I54">
        <v>312.42083700000001</v>
      </c>
      <c r="J54">
        <v>320.31881700000002</v>
      </c>
      <c r="K54">
        <v>326.26678500000003</v>
      </c>
      <c r="L54">
        <v>329.71170000000001</v>
      </c>
      <c r="M54">
        <v>329.802032</v>
      </c>
      <c r="N54">
        <v>327.10320999999999</v>
      </c>
      <c r="O54">
        <v>322.50714099999999</v>
      </c>
      <c r="P54">
        <v>316.945312</v>
      </c>
      <c r="Q54">
        <v>310.35699499999998</v>
      </c>
      <c r="R54">
        <v>303.54803500000003</v>
      </c>
      <c r="S54">
        <v>296.39196800000002</v>
      </c>
      <c r="T54">
        <v>288.21630900000002</v>
      </c>
      <c r="U54">
        <v>278.85684199999997</v>
      </c>
      <c r="V54">
        <v>269.63986199999999</v>
      </c>
      <c r="W54">
        <v>259.62844799999999</v>
      </c>
      <c r="X54">
        <v>249.007294</v>
      </c>
      <c r="Y54">
        <v>237.562637</v>
      </c>
      <c r="Z54">
        <v>226.576401</v>
      </c>
      <c r="AA54">
        <v>216.55032299999999</v>
      </c>
      <c r="AB54">
        <v>207.086716</v>
      </c>
      <c r="AC54">
        <v>198.388046</v>
      </c>
      <c r="AD54">
        <v>189.61007699999999</v>
      </c>
      <c r="AE54">
        <v>180.95361299999999</v>
      </c>
      <c r="AF54">
        <v>172.71246300000001</v>
      </c>
      <c r="AG54" s="144">
        <v>-1.7000000000000001E-2</v>
      </c>
    </row>
    <row r="55" spans="1:33">
      <c r="A55" t="s">
        <v>203</v>
      </c>
      <c r="B55" t="s">
        <v>2258</v>
      </c>
      <c r="C55" t="s">
        <v>2257</v>
      </c>
      <c r="D55" t="s">
        <v>1766</v>
      </c>
      <c r="F55">
        <v>9.8759999999999994E-3</v>
      </c>
      <c r="G55">
        <v>9.6780000000000008E-3</v>
      </c>
      <c r="H55">
        <v>9.4769999999999993E-3</v>
      </c>
      <c r="I55">
        <v>9.3229999999999997E-3</v>
      </c>
      <c r="J55">
        <v>9.3380000000000008E-3</v>
      </c>
      <c r="K55">
        <v>9.4339999999999997E-3</v>
      </c>
      <c r="L55">
        <v>9.5499999999999995E-3</v>
      </c>
      <c r="M55">
        <v>9.6950000000000005E-3</v>
      </c>
      <c r="N55">
        <v>9.8689999999999993E-3</v>
      </c>
      <c r="O55">
        <v>9.639E-3</v>
      </c>
      <c r="P55">
        <v>9.2820000000000003E-3</v>
      </c>
      <c r="Q55">
        <v>9.1350000000000008E-3</v>
      </c>
      <c r="R55">
        <v>9.1500000000000001E-3</v>
      </c>
      <c r="S55">
        <v>9.2680000000000002E-3</v>
      </c>
      <c r="T55">
        <v>9.4549999999999999E-3</v>
      </c>
      <c r="U55">
        <v>9.6740000000000003E-3</v>
      </c>
      <c r="V55">
        <v>9.9190000000000007E-3</v>
      </c>
      <c r="W55">
        <v>1.0160000000000001E-2</v>
      </c>
      <c r="X55">
        <v>1.0387E-2</v>
      </c>
      <c r="Y55">
        <v>1.0591E-2</v>
      </c>
      <c r="Z55">
        <v>1.0782E-2</v>
      </c>
      <c r="AA55">
        <v>1.0982E-2</v>
      </c>
      <c r="AB55">
        <v>1.1176999999999999E-2</v>
      </c>
      <c r="AC55">
        <v>1.14E-2</v>
      </c>
      <c r="AD55">
        <v>1.1604E-2</v>
      </c>
      <c r="AE55">
        <v>1.1789000000000001E-2</v>
      </c>
      <c r="AF55">
        <v>1.1957000000000001E-2</v>
      </c>
      <c r="AG55" s="144">
        <v>7.0000000000000001E-3</v>
      </c>
    </row>
    <row r="56" spans="1:33">
      <c r="A56" t="s">
        <v>204</v>
      </c>
      <c r="B56" t="s">
        <v>2256</v>
      </c>
      <c r="C56" t="s">
        <v>2255</v>
      </c>
      <c r="D56" t="s">
        <v>1766</v>
      </c>
      <c r="F56">
        <v>0.92232899999999995</v>
      </c>
      <c r="G56">
        <v>2.4081709999999998</v>
      </c>
      <c r="H56">
        <v>4.0482360000000002</v>
      </c>
      <c r="I56">
        <v>5.7588280000000003</v>
      </c>
      <c r="J56">
        <v>6.7716529999999997</v>
      </c>
      <c r="K56">
        <v>7.8335220000000003</v>
      </c>
      <c r="L56">
        <v>8.6189680000000006</v>
      </c>
      <c r="M56">
        <v>9.037191</v>
      </c>
      <c r="N56">
        <v>9.3006480000000007</v>
      </c>
      <c r="O56">
        <v>9.3489950000000004</v>
      </c>
      <c r="P56">
        <v>9.4854869999999991</v>
      </c>
      <c r="Q56">
        <v>9.7867789999999992</v>
      </c>
      <c r="R56">
        <v>10.174992</v>
      </c>
      <c r="S56">
        <v>10.690709</v>
      </c>
      <c r="T56">
        <v>11.461022</v>
      </c>
      <c r="U56">
        <v>12.313684</v>
      </c>
      <c r="V56">
        <v>13.393580999999999</v>
      </c>
      <c r="W56">
        <v>14.774547999999999</v>
      </c>
      <c r="X56">
        <v>16.355795000000001</v>
      </c>
      <c r="Y56">
        <v>18.112090999999999</v>
      </c>
      <c r="Z56">
        <v>19.866278000000001</v>
      </c>
      <c r="AA56">
        <v>21.762203</v>
      </c>
      <c r="AB56">
        <v>23.796016999999999</v>
      </c>
      <c r="AC56">
        <v>26.11871</v>
      </c>
      <c r="AD56">
        <v>28.521559</v>
      </c>
      <c r="AE56">
        <v>31.067458999999999</v>
      </c>
      <c r="AF56">
        <v>33.688952999999998</v>
      </c>
      <c r="AG56" s="144">
        <v>0.14799999999999999</v>
      </c>
    </row>
    <row r="57" spans="1:33">
      <c r="A57" t="s">
        <v>205</v>
      </c>
      <c r="B57" t="s">
        <v>2254</v>
      </c>
      <c r="C57" t="s">
        <v>2253</v>
      </c>
      <c r="D57" t="s">
        <v>1766</v>
      </c>
      <c r="F57">
        <v>40.716315999999999</v>
      </c>
      <c r="G57">
        <v>37.109366999999999</v>
      </c>
      <c r="H57">
        <v>33.380229999999997</v>
      </c>
      <c r="I57">
        <v>29.907885</v>
      </c>
      <c r="J57">
        <v>26.824255000000001</v>
      </c>
      <c r="K57">
        <v>24.225940999999999</v>
      </c>
      <c r="L57">
        <v>21.93648</v>
      </c>
      <c r="M57">
        <v>19.895927</v>
      </c>
      <c r="N57">
        <v>18.051977000000001</v>
      </c>
      <c r="O57">
        <v>16.351952000000001</v>
      </c>
      <c r="P57">
        <v>14.802211</v>
      </c>
      <c r="Q57">
        <v>13.389184</v>
      </c>
      <c r="R57">
        <v>12.073988999999999</v>
      </c>
      <c r="S57">
        <v>10.838914000000001</v>
      </c>
      <c r="T57">
        <v>9.6831160000000001</v>
      </c>
      <c r="U57">
        <v>8.6211570000000002</v>
      </c>
      <c r="V57">
        <v>7.6712660000000001</v>
      </c>
      <c r="W57">
        <v>6.8364719999999997</v>
      </c>
      <c r="X57">
        <v>6.1080100000000002</v>
      </c>
      <c r="Y57">
        <v>5.4671849999999997</v>
      </c>
      <c r="Z57">
        <v>4.8528729999999998</v>
      </c>
      <c r="AA57">
        <v>4.2811690000000002</v>
      </c>
      <c r="AB57">
        <v>3.7411020000000001</v>
      </c>
      <c r="AC57">
        <v>3.2653530000000002</v>
      </c>
      <c r="AD57">
        <v>2.7555480000000001</v>
      </c>
      <c r="AE57">
        <v>2.2511809999999999</v>
      </c>
      <c r="AF57">
        <v>1.7685310000000001</v>
      </c>
      <c r="AG57" s="144">
        <v>-0.114</v>
      </c>
    </row>
    <row r="58" spans="1:33">
      <c r="A58" t="s">
        <v>206</v>
      </c>
      <c r="B58" t="s">
        <v>2252</v>
      </c>
      <c r="C58" t="s">
        <v>2251</v>
      </c>
      <c r="D58" t="s">
        <v>1766</v>
      </c>
      <c r="F58">
        <v>0.29254200000000002</v>
      </c>
      <c r="G58">
        <v>0.39745999999999998</v>
      </c>
      <c r="H58">
        <v>0.494035</v>
      </c>
      <c r="I58">
        <v>0.57998000000000005</v>
      </c>
      <c r="J58">
        <v>0.65522100000000005</v>
      </c>
      <c r="K58">
        <v>0.72641299999999998</v>
      </c>
      <c r="L58">
        <v>0.80841700000000005</v>
      </c>
      <c r="M58">
        <v>1.033936</v>
      </c>
      <c r="N58">
        <v>1.440906</v>
      </c>
      <c r="O58">
        <v>1.823518</v>
      </c>
      <c r="P58">
        <v>2.43858</v>
      </c>
      <c r="Q58">
        <v>3.4486059999999998</v>
      </c>
      <c r="R58">
        <v>4.8937140000000001</v>
      </c>
      <c r="S58">
        <v>6.688231</v>
      </c>
      <c r="T58">
        <v>8.867578</v>
      </c>
      <c r="U58">
        <v>11.444328000000001</v>
      </c>
      <c r="V58">
        <v>14.47161</v>
      </c>
      <c r="W58">
        <v>18.156417999999999</v>
      </c>
      <c r="X58">
        <v>22.357728999999999</v>
      </c>
      <c r="Y58">
        <v>26.97221</v>
      </c>
      <c r="Z58">
        <v>31.631969000000002</v>
      </c>
      <c r="AA58">
        <v>36.500670999999997</v>
      </c>
      <c r="AB58">
        <v>41.514029999999998</v>
      </c>
      <c r="AC58">
        <v>46.904494999999997</v>
      </c>
      <c r="AD58">
        <v>52.434565999999997</v>
      </c>
      <c r="AE58">
        <v>57.970725999999999</v>
      </c>
      <c r="AF58">
        <v>63.491337000000001</v>
      </c>
      <c r="AG58" s="144">
        <v>0.23</v>
      </c>
    </row>
    <row r="59" spans="1:33">
      <c r="A59" t="s">
        <v>207</v>
      </c>
      <c r="B59" t="s">
        <v>2250</v>
      </c>
      <c r="C59" t="s">
        <v>2249</v>
      </c>
      <c r="D59" t="s">
        <v>1766</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t="s">
        <v>1769</v>
      </c>
    </row>
    <row r="60" spans="1:33">
      <c r="A60" t="s">
        <v>208</v>
      </c>
      <c r="B60" t="s">
        <v>2248</v>
      </c>
      <c r="C60" t="s">
        <v>2247</v>
      </c>
      <c r="D60" t="s">
        <v>1766</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t="s">
        <v>1769</v>
      </c>
    </row>
    <row r="61" spans="1:33">
      <c r="A61" t="s">
        <v>209</v>
      </c>
      <c r="B61" t="s">
        <v>2246</v>
      </c>
      <c r="C61" t="s">
        <v>2245</v>
      </c>
      <c r="D61" t="s">
        <v>1766</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t="s">
        <v>1769</v>
      </c>
    </row>
    <row r="62" spans="1:33">
      <c r="A62" t="s">
        <v>1830</v>
      </c>
      <c r="B62" t="s">
        <v>2244</v>
      </c>
      <c r="C62" t="s">
        <v>2243</v>
      </c>
      <c r="D62" t="s">
        <v>1766</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1769</v>
      </c>
    </row>
    <row r="63" spans="1:33">
      <c r="A63" t="s">
        <v>1827</v>
      </c>
      <c r="B63" t="s">
        <v>2242</v>
      </c>
      <c r="C63" t="s">
        <v>2241</v>
      </c>
      <c r="D63" t="s">
        <v>1766</v>
      </c>
      <c r="F63">
        <v>0</v>
      </c>
      <c r="G63">
        <v>0.95440199999999997</v>
      </c>
      <c r="H63">
        <v>2.4927169999999998</v>
      </c>
      <c r="I63">
        <v>4.5722139999999998</v>
      </c>
      <c r="J63">
        <v>11.711790000000001</v>
      </c>
      <c r="K63">
        <v>24.769062000000002</v>
      </c>
      <c r="L63">
        <v>43.507514999999998</v>
      </c>
      <c r="M63">
        <v>67.176765000000003</v>
      </c>
      <c r="N63">
        <v>95.398871999999997</v>
      </c>
      <c r="O63">
        <v>126.438271</v>
      </c>
      <c r="P63">
        <v>158.769058</v>
      </c>
      <c r="Q63">
        <v>191.04911799999999</v>
      </c>
      <c r="R63">
        <v>222.48751799999999</v>
      </c>
      <c r="S63">
        <v>252.82922400000001</v>
      </c>
      <c r="T63">
        <v>283.12927200000001</v>
      </c>
      <c r="U63">
        <v>313.562836</v>
      </c>
      <c r="V63">
        <v>343.07336400000003</v>
      </c>
      <c r="W63">
        <v>370.79885899999999</v>
      </c>
      <c r="X63">
        <v>396.84454299999999</v>
      </c>
      <c r="Y63">
        <v>420.95086700000002</v>
      </c>
      <c r="Z63">
        <v>443.47396900000001</v>
      </c>
      <c r="AA63">
        <v>465.08380099999999</v>
      </c>
      <c r="AB63">
        <v>485.47805799999998</v>
      </c>
      <c r="AC63">
        <v>505.99935900000003</v>
      </c>
      <c r="AD63">
        <v>524.76403800000003</v>
      </c>
      <c r="AE63">
        <v>541.83367899999996</v>
      </c>
      <c r="AF63">
        <v>557.18951400000003</v>
      </c>
      <c r="AG63" t="s">
        <v>1769</v>
      </c>
    </row>
    <row r="64" spans="1:33">
      <c r="A64" t="s">
        <v>1824</v>
      </c>
      <c r="B64" t="s">
        <v>2240</v>
      </c>
      <c r="C64" t="s">
        <v>2239</v>
      </c>
      <c r="D64" t="s">
        <v>1766</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t="s">
        <v>1769</v>
      </c>
    </row>
    <row r="65" spans="1:33">
      <c r="A65" t="s">
        <v>1880</v>
      </c>
      <c r="B65" t="s">
        <v>2238</v>
      </c>
      <c r="C65" t="s">
        <v>2237</v>
      </c>
      <c r="D65" t="s">
        <v>1766</v>
      </c>
      <c r="F65">
        <v>851.47570800000005</v>
      </c>
      <c r="G65">
        <v>863.49969499999997</v>
      </c>
      <c r="H65">
        <v>867.48779300000001</v>
      </c>
      <c r="I65">
        <v>868.15893600000004</v>
      </c>
      <c r="J65">
        <v>866.95111099999997</v>
      </c>
      <c r="K65">
        <v>870.92315699999995</v>
      </c>
      <c r="L65">
        <v>877.43029799999999</v>
      </c>
      <c r="M65">
        <v>883.93908699999997</v>
      </c>
      <c r="N65">
        <v>890.85497999999995</v>
      </c>
      <c r="O65">
        <v>897.59155299999998</v>
      </c>
      <c r="P65">
        <v>905.22363299999995</v>
      </c>
      <c r="Q65">
        <v>912.45806900000002</v>
      </c>
      <c r="R65">
        <v>919.90423599999997</v>
      </c>
      <c r="S65">
        <v>926.81359899999995</v>
      </c>
      <c r="T65">
        <v>933.20452899999998</v>
      </c>
      <c r="U65">
        <v>938.73590100000001</v>
      </c>
      <c r="V65">
        <v>945.26709000000005</v>
      </c>
      <c r="W65">
        <v>950.28949</v>
      </c>
      <c r="X65">
        <v>954.308899</v>
      </c>
      <c r="Y65">
        <v>956.26916500000004</v>
      </c>
      <c r="Z65">
        <v>958.11425799999995</v>
      </c>
      <c r="AA65">
        <v>961.79260299999999</v>
      </c>
      <c r="AB65">
        <v>966.23419200000001</v>
      </c>
      <c r="AC65">
        <v>973.58013900000003</v>
      </c>
      <c r="AD65">
        <v>979.51165800000001</v>
      </c>
      <c r="AE65">
        <v>984.37377900000001</v>
      </c>
      <c r="AF65">
        <v>988.63177499999995</v>
      </c>
      <c r="AG65" s="144">
        <v>6.0000000000000001E-3</v>
      </c>
    </row>
    <row r="66" spans="1:33">
      <c r="A66" t="s">
        <v>1877</v>
      </c>
    </row>
    <row r="67" spans="1:33">
      <c r="A67" t="s">
        <v>201</v>
      </c>
      <c r="B67" t="s">
        <v>2236</v>
      </c>
      <c r="C67" t="s">
        <v>2235</v>
      </c>
      <c r="D67" t="s">
        <v>1766</v>
      </c>
      <c r="F67">
        <v>572.37652600000001</v>
      </c>
      <c r="G67">
        <v>558.80456500000003</v>
      </c>
      <c r="H67">
        <v>541.12286400000005</v>
      </c>
      <c r="I67">
        <v>523.78063999999995</v>
      </c>
      <c r="J67">
        <v>506.713165</v>
      </c>
      <c r="K67">
        <v>491.63479599999999</v>
      </c>
      <c r="L67">
        <v>477.74710099999999</v>
      </c>
      <c r="M67">
        <v>464.060181</v>
      </c>
      <c r="N67">
        <v>450.953217</v>
      </c>
      <c r="O67">
        <v>437.35858200000001</v>
      </c>
      <c r="P67">
        <v>423.99996900000002</v>
      </c>
      <c r="Q67">
        <v>410.70755000000003</v>
      </c>
      <c r="R67">
        <v>398.23928799999999</v>
      </c>
      <c r="S67">
        <v>386.23608400000001</v>
      </c>
      <c r="T67">
        <v>374.49648999999999</v>
      </c>
      <c r="U67">
        <v>362.95611600000001</v>
      </c>
      <c r="V67">
        <v>352.30072000000001</v>
      </c>
      <c r="W67">
        <v>342.16351300000002</v>
      </c>
      <c r="X67">
        <v>333.05093399999998</v>
      </c>
      <c r="Y67">
        <v>324.80343599999998</v>
      </c>
      <c r="Z67">
        <v>317.37185699999998</v>
      </c>
      <c r="AA67">
        <v>310.901184</v>
      </c>
      <c r="AB67">
        <v>304.93978900000002</v>
      </c>
      <c r="AC67">
        <v>300.66876200000002</v>
      </c>
      <c r="AD67">
        <v>296.874573</v>
      </c>
      <c r="AE67">
        <v>293.21627799999999</v>
      </c>
      <c r="AF67">
        <v>289.48172</v>
      </c>
      <c r="AG67" s="144">
        <v>-2.5999999999999999E-2</v>
      </c>
    </row>
    <row r="68" spans="1:33">
      <c r="A68" t="s">
        <v>202</v>
      </c>
      <c r="B68" t="s">
        <v>2234</v>
      </c>
      <c r="C68" t="s">
        <v>2233</v>
      </c>
      <c r="D68" t="s">
        <v>1766</v>
      </c>
      <c r="F68">
        <v>359.68539399999997</v>
      </c>
      <c r="G68">
        <v>360.30960099999999</v>
      </c>
      <c r="H68">
        <v>358.48315400000001</v>
      </c>
      <c r="I68">
        <v>356.47775300000001</v>
      </c>
      <c r="J68">
        <v>353.87088</v>
      </c>
      <c r="K68">
        <v>351.62857100000002</v>
      </c>
      <c r="L68">
        <v>349.46173099999999</v>
      </c>
      <c r="M68">
        <v>346.85674999999998</v>
      </c>
      <c r="N68">
        <v>344.34634399999999</v>
      </c>
      <c r="O68">
        <v>341.01715100000001</v>
      </c>
      <c r="P68">
        <v>337.59548999999998</v>
      </c>
      <c r="Q68">
        <v>333.75140399999998</v>
      </c>
      <c r="R68">
        <v>329.916473</v>
      </c>
      <c r="S68">
        <v>326.27279700000003</v>
      </c>
      <c r="T68">
        <v>322.26357999999999</v>
      </c>
      <c r="U68">
        <v>318.03363000000002</v>
      </c>
      <c r="V68">
        <v>314.02862499999998</v>
      </c>
      <c r="W68">
        <v>310.18368500000003</v>
      </c>
      <c r="X68">
        <v>306.739441</v>
      </c>
      <c r="Y68">
        <v>303.39968900000002</v>
      </c>
      <c r="Z68">
        <v>300.22131300000001</v>
      </c>
      <c r="AA68">
        <v>297.467285</v>
      </c>
      <c r="AB68">
        <v>294.79830900000002</v>
      </c>
      <c r="AC68">
        <v>293.383667</v>
      </c>
      <c r="AD68">
        <v>292.20773300000002</v>
      </c>
      <c r="AE68">
        <v>290.96585099999999</v>
      </c>
      <c r="AF68">
        <v>289.34399400000001</v>
      </c>
      <c r="AG68" s="144">
        <v>-8.0000000000000002E-3</v>
      </c>
    </row>
    <row r="69" spans="1:33">
      <c r="A69" t="s">
        <v>203</v>
      </c>
      <c r="B69" t="s">
        <v>2232</v>
      </c>
      <c r="C69" t="s">
        <v>2231</v>
      </c>
      <c r="D69" t="s">
        <v>1766</v>
      </c>
      <c r="F69">
        <v>0.47085199999999999</v>
      </c>
      <c r="G69">
        <v>0.41935099999999997</v>
      </c>
      <c r="H69">
        <v>0.37104700000000002</v>
      </c>
      <c r="I69">
        <v>0.32684800000000003</v>
      </c>
      <c r="J69">
        <v>0.28870000000000001</v>
      </c>
      <c r="K69">
        <v>0.238845</v>
      </c>
      <c r="L69">
        <v>0.21263199999999999</v>
      </c>
      <c r="M69">
        <v>0.188775</v>
      </c>
      <c r="N69">
        <v>0.168763</v>
      </c>
      <c r="O69">
        <v>0.15124199999999999</v>
      </c>
      <c r="P69">
        <v>0.13289300000000001</v>
      </c>
      <c r="Q69">
        <v>0.11908299999999999</v>
      </c>
      <c r="R69">
        <v>0.107998</v>
      </c>
      <c r="S69">
        <v>9.8922999999999997E-2</v>
      </c>
      <c r="T69">
        <v>9.0830999999999995E-2</v>
      </c>
      <c r="U69">
        <v>8.3752999999999994E-2</v>
      </c>
      <c r="V69">
        <v>7.8001000000000001E-2</v>
      </c>
      <c r="W69">
        <v>7.2731000000000004E-2</v>
      </c>
      <c r="X69">
        <v>6.8098000000000006E-2</v>
      </c>
      <c r="Y69">
        <v>6.3923999999999995E-2</v>
      </c>
      <c r="Z69">
        <v>5.9880999999999997E-2</v>
      </c>
      <c r="AA69">
        <v>5.7341000000000003E-2</v>
      </c>
      <c r="AB69">
        <v>5.4455000000000003E-2</v>
      </c>
      <c r="AC69">
        <v>5.1909999999999998E-2</v>
      </c>
      <c r="AD69">
        <v>4.5478999999999999E-2</v>
      </c>
      <c r="AE69">
        <v>3.5347999999999997E-2</v>
      </c>
      <c r="AF69">
        <v>2.7369999999999998E-2</v>
      </c>
      <c r="AG69" s="144">
        <v>-0.104</v>
      </c>
    </row>
    <row r="70" spans="1:33">
      <c r="A70" t="s">
        <v>204</v>
      </c>
      <c r="B70" t="s">
        <v>2230</v>
      </c>
      <c r="C70" t="s">
        <v>2229</v>
      </c>
      <c r="D70" t="s">
        <v>1766</v>
      </c>
      <c r="F70">
        <v>3.8930639999999999</v>
      </c>
      <c r="G70">
        <v>5.1351810000000002</v>
      </c>
      <c r="H70">
        <v>6.2655669999999999</v>
      </c>
      <c r="I70">
        <v>7.246683</v>
      </c>
      <c r="J70">
        <v>8.0653629999999996</v>
      </c>
      <c r="K70">
        <v>8.758089</v>
      </c>
      <c r="L70">
        <v>9.3531890000000004</v>
      </c>
      <c r="M70">
        <v>9.8592479999999991</v>
      </c>
      <c r="N70">
        <v>10.31508</v>
      </c>
      <c r="O70">
        <v>10.730149000000001</v>
      </c>
      <c r="P70">
        <v>11.108435999999999</v>
      </c>
      <c r="Q70">
        <v>11.447547</v>
      </c>
      <c r="R70">
        <v>11.750847</v>
      </c>
      <c r="S70">
        <v>12.036473000000001</v>
      </c>
      <c r="T70">
        <v>12.319575</v>
      </c>
      <c r="U70">
        <v>12.586885000000001</v>
      </c>
      <c r="V70">
        <v>12.844605</v>
      </c>
      <c r="W70">
        <v>13.062322999999999</v>
      </c>
      <c r="X70">
        <v>13.289071</v>
      </c>
      <c r="Y70">
        <v>13.52201</v>
      </c>
      <c r="Z70">
        <v>13.743242</v>
      </c>
      <c r="AA70">
        <v>13.97</v>
      </c>
      <c r="AB70">
        <v>14.187524</v>
      </c>
      <c r="AC70">
        <v>14.488526999999999</v>
      </c>
      <c r="AD70">
        <v>14.832860999999999</v>
      </c>
      <c r="AE70">
        <v>15.254797999999999</v>
      </c>
      <c r="AF70">
        <v>15.66183</v>
      </c>
      <c r="AG70" s="144">
        <v>5.5E-2</v>
      </c>
    </row>
    <row r="71" spans="1:33">
      <c r="A71" t="s">
        <v>205</v>
      </c>
      <c r="B71" t="s">
        <v>2228</v>
      </c>
      <c r="C71" t="s">
        <v>2227</v>
      </c>
      <c r="D71" t="s">
        <v>1766</v>
      </c>
      <c r="F71">
        <v>9.0335409999999996</v>
      </c>
      <c r="G71">
        <v>8.1573930000000008</v>
      </c>
      <c r="H71">
        <v>7.269139</v>
      </c>
      <c r="I71">
        <v>6.4449149999999999</v>
      </c>
      <c r="J71">
        <v>5.7201279999999999</v>
      </c>
      <c r="K71">
        <v>5.1299650000000003</v>
      </c>
      <c r="L71">
        <v>4.6090689999999999</v>
      </c>
      <c r="M71">
        <v>4.1451770000000003</v>
      </c>
      <c r="N71">
        <v>3.7455750000000001</v>
      </c>
      <c r="O71">
        <v>3.3678439999999998</v>
      </c>
      <c r="P71">
        <v>3.0418370000000001</v>
      </c>
      <c r="Q71">
        <v>2.7652130000000001</v>
      </c>
      <c r="R71">
        <v>2.5227219999999999</v>
      </c>
      <c r="S71">
        <v>2.3180540000000001</v>
      </c>
      <c r="T71">
        <v>2.140215</v>
      </c>
      <c r="U71">
        <v>1.9839070000000001</v>
      </c>
      <c r="V71">
        <v>1.8526009999999999</v>
      </c>
      <c r="W71">
        <v>1.7306029999999999</v>
      </c>
      <c r="X71">
        <v>1.61426</v>
      </c>
      <c r="Y71">
        <v>1.5015909999999999</v>
      </c>
      <c r="Z71">
        <v>1.3909229999999999</v>
      </c>
      <c r="AA71">
        <v>1.2808109999999999</v>
      </c>
      <c r="AB71">
        <v>1.1661630000000001</v>
      </c>
      <c r="AC71">
        <v>1.0466299999999999</v>
      </c>
      <c r="AD71">
        <v>0.92224600000000001</v>
      </c>
      <c r="AE71">
        <v>0.80049199999999998</v>
      </c>
      <c r="AF71">
        <v>0.67332499999999995</v>
      </c>
      <c r="AG71" s="144">
        <v>-9.5000000000000001E-2</v>
      </c>
    </row>
    <row r="72" spans="1:33">
      <c r="A72" t="s">
        <v>206</v>
      </c>
      <c r="B72" t="s">
        <v>2226</v>
      </c>
      <c r="C72" t="s">
        <v>2225</v>
      </c>
      <c r="D72" t="s">
        <v>1766</v>
      </c>
      <c r="F72">
        <v>0.124458</v>
      </c>
      <c r="G72">
        <v>0.13747599999999999</v>
      </c>
      <c r="H72">
        <v>0.148559</v>
      </c>
      <c r="I72">
        <v>0.15875900000000001</v>
      </c>
      <c r="J72">
        <v>0.16692299999999999</v>
      </c>
      <c r="K72">
        <v>0.17386299999999999</v>
      </c>
      <c r="L72">
        <v>0.18042900000000001</v>
      </c>
      <c r="M72">
        <v>0.18590899999999999</v>
      </c>
      <c r="N72">
        <v>0.191583</v>
      </c>
      <c r="O72">
        <v>0.19669300000000001</v>
      </c>
      <c r="P72">
        <v>0.20150699999999999</v>
      </c>
      <c r="Q72">
        <v>0.20583699999999999</v>
      </c>
      <c r="R72">
        <v>0.20995</v>
      </c>
      <c r="S72">
        <v>0.21395600000000001</v>
      </c>
      <c r="T72">
        <v>0.21765999999999999</v>
      </c>
      <c r="U72">
        <v>0.22089800000000001</v>
      </c>
      <c r="V72">
        <v>0.22397800000000001</v>
      </c>
      <c r="W72">
        <v>0.226935</v>
      </c>
      <c r="X72">
        <v>0.22981099999999999</v>
      </c>
      <c r="Y72">
        <v>0.23222400000000001</v>
      </c>
      <c r="Z72">
        <v>0.23428499999999999</v>
      </c>
      <c r="AA72">
        <v>0.236315</v>
      </c>
      <c r="AB72">
        <v>0.23807500000000001</v>
      </c>
      <c r="AC72">
        <v>0.240677</v>
      </c>
      <c r="AD72">
        <v>0.243424</v>
      </c>
      <c r="AE72">
        <v>0.246055</v>
      </c>
      <c r="AF72">
        <v>0.2482</v>
      </c>
      <c r="AG72" s="144">
        <v>2.7E-2</v>
      </c>
    </row>
    <row r="73" spans="1:33">
      <c r="A73" t="s">
        <v>207</v>
      </c>
      <c r="B73" t="s">
        <v>2224</v>
      </c>
      <c r="C73" t="s">
        <v>2223</v>
      </c>
      <c r="D73" t="s">
        <v>1766</v>
      </c>
      <c r="F73">
        <v>0</v>
      </c>
      <c r="G73">
        <v>0</v>
      </c>
      <c r="H73">
        <v>2.5073000000000002E-2</v>
      </c>
      <c r="I73">
        <v>6.0426000000000001E-2</v>
      </c>
      <c r="J73">
        <v>0.113721</v>
      </c>
      <c r="K73">
        <v>0.179671</v>
      </c>
      <c r="L73">
        <v>0.25176300000000001</v>
      </c>
      <c r="M73">
        <v>0.32860099999999998</v>
      </c>
      <c r="N73">
        <v>0.404474</v>
      </c>
      <c r="O73">
        <v>0.37326100000000001</v>
      </c>
      <c r="P73">
        <v>0.34434900000000002</v>
      </c>
      <c r="Q73">
        <v>0.31725999999999999</v>
      </c>
      <c r="R73">
        <v>0.29278799999999999</v>
      </c>
      <c r="S73">
        <v>0.27005200000000001</v>
      </c>
      <c r="T73">
        <v>0.24882099999999999</v>
      </c>
      <c r="U73">
        <v>0.22892100000000001</v>
      </c>
      <c r="V73">
        <v>0.210812</v>
      </c>
      <c r="W73">
        <v>0.19425799999999999</v>
      </c>
      <c r="X73">
        <v>0.179063</v>
      </c>
      <c r="Y73">
        <v>0.16525899999999999</v>
      </c>
      <c r="Z73">
        <v>0.152697</v>
      </c>
      <c r="AA73">
        <v>0.141516</v>
      </c>
      <c r="AB73">
        <v>0.131435</v>
      </c>
      <c r="AC73">
        <v>0.121158</v>
      </c>
      <c r="AD73">
        <v>0.11146499999999999</v>
      </c>
      <c r="AE73">
        <v>0.10281899999999999</v>
      </c>
      <c r="AF73">
        <v>9.5043000000000002E-2</v>
      </c>
      <c r="AG73" t="s">
        <v>1769</v>
      </c>
    </row>
    <row r="74" spans="1:33">
      <c r="A74" t="s">
        <v>208</v>
      </c>
      <c r="B74" t="s">
        <v>2222</v>
      </c>
      <c r="C74" t="s">
        <v>2221</v>
      </c>
      <c r="D74" t="s">
        <v>1766</v>
      </c>
      <c r="F74">
        <v>0</v>
      </c>
      <c r="G74">
        <v>0.115331</v>
      </c>
      <c r="H74">
        <v>0.231573</v>
      </c>
      <c r="I74">
        <v>0.27211000000000002</v>
      </c>
      <c r="J74">
        <v>0.25937199999999999</v>
      </c>
      <c r="K74">
        <v>0.23771500000000001</v>
      </c>
      <c r="L74">
        <v>0.21748300000000001</v>
      </c>
      <c r="M74">
        <v>0.19966</v>
      </c>
      <c r="N74">
        <v>0.18464700000000001</v>
      </c>
      <c r="O74">
        <v>0.17038800000000001</v>
      </c>
      <c r="P74">
        <v>0.157113</v>
      </c>
      <c r="Q74">
        <v>0.144426</v>
      </c>
      <c r="R74">
        <v>0.133132</v>
      </c>
      <c r="S74">
        <v>0.12199</v>
      </c>
      <c r="T74">
        <v>0.11172899999999999</v>
      </c>
      <c r="U74">
        <v>0.10259</v>
      </c>
      <c r="V74">
        <v>9.4766000000000003E-2</v>
      </c>
      <c r="W74">
        <v>8.7656999999999999E-2</v>
      </c>
      <c r="X74">
        <v>8.0437999999999996E-2</v>
      </c>
      <c r="Y74">
        <v>7.3296E-2</v>
      </c>
      <c r="Z74">
        <v>6.6423999999999997E-2</v>
      </c>
      <c r="AA74">
        <v>6.1006999999999999E-2</v>
      </c>
      <c r="AB74">
        <v>5.67E-2</v>
      </c>
      <c r="AC74">
        <v>5.3085E-2</v>
      </c>
      <c r="AD74">
        <v>4.9660999999999997E-2</v>
      </c>
      <c r="AE74">
        <v>4.6268999999999998E-2</v>
      </c>
      <c r="AF74">
        <v>4.3032000000000001E-2</v>
      </c>
      <c r="AG74" t="s">
        <v>1769</v>
      </c>
    </row>
    <row r="75" spans="1:33">
      <c r="A75" t="s">
        <v>209</v>
      </c>
      <c r="B75" t="s">
        <v>2220</v>
      </c>
      <c r="C75" t="s">
        <v>2219</v>
      </c>
      <c r="D75" t="s">
        <v>1766</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t="s">
        <v>1769</v>
      </c>
    </row>
    <row r="76" spans="1:33">
      <c r="A76" t="s">
        <v>1830</v>
      </c>
      <c r="B76" t="s">
        <v>2218</v>
      </c>
      <c r="C76" t="s">
        <v>2217</v>
      </c>
      <c r="D76" t="s">
        <v>1766</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t="s">
        <v>1769</v>
      </c>
    </row>
    <row r="77" spans="1:33">
      <c r="A77" t="s">
        <v>1827</v>
      </c>
      <c r="B77" t="s">
        <v>2216</v>
      </c>
      <c r="C77" t="s">
        <v>2215</v>
      </c>
      <c r="D77" t="s">
        <v>1766</v>
      </c>
      <c r="F77">
        <v>0</v>
      </c>
      <c r="G77">
        <v>0.82384199999999996</v>
      </c>
      <c r="H77">
        <v>1.9341729999999999</v>
      </c>
      <c r="I77">
        <v>3.335515</v>
      </c>
      <c r="J77">
        <v>4.9386640000000002</v>
      </c>
      <c r="K77">
        <v>6.8005509999999996</v>
      </c>
      <c r="L77">
        <v>9.1020889999999994</v>
      </c>
      <c r="M77">
        <v>12.05625</v>
      </c>
      <c r="N77">
        <v>16.004729999999999</v>
      </c>
      <c r="O77">
        <v>21.257300999999998</v>
      </c>
      <c r="P77">
        <v>28.049462999999999</v>
      </c>
      <c r="Q77">
        <v>36.463977999999997</v>
      </c>
      <c r="R77">
        <v>46.535229000000001</v>
      </c>
      <c r="S77">
        <v>57.997871000000004</v>
      </c>
      <c r="T77">
        <v>70.372337000000002</v>
      </c>
      <c r="U77">
        <v>83.024604999999994</v>
      </c>
      <c r="V77">
        <v>95.680374</v>
      </c>
      <c r="W77">
        <v>107.98371899999999</v>
      </c>
      <c r="X77">
        <v>119.816109</v>
      </c>
      <c r="Y77">
        <v>130.934631</v>
      </c>
      <c r="Z77">
        <v>141.18704199999999</v>
      </c>
      <c r="AA77">
        <v>150.71357699999999</v>
      </c>
      <c r="AB77">
        <v>159.40013099999999</v>
      </c>
      <c r="AC77">
        <v>168.087479</v>
      </c>
      <c r="AD77">
        <v>176.31300400000001</v>
      </c>
      <c r="AE77">
        <v>183.890884</v>
      </c>
      <c r="AF77">
        <v>190.61299099999999</v>
      </c>
      <c r="AG77" t="s">
        <v>1769</v>
      </c>
    </row>
    <row r="78" spans="1:33">
      <c r="A78" t="s">
        <v>1824</v>
      </c>
      <c r="B78" t="s">
        <v>2214</v>
      </c>
      <c r="C78" t="s">
        <v>2213</v>
      </c>
      <c r="D78" t="s">
        <v>1766</v>
      </c>
      <c r="F78">
        <v>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c r="AC78">
        <v>0</v>
      </c>
      <c r="AD78">
        <v>0</v>
      </c>
      <c r="AE78">
        <v>0</v>
      </c>
      <c r="AF78">
        <v>0</v>
      </c>
      <c r="AG78" t="s">
        <v>1769</v>
      </c>
    </row>
    <row r="79" spans="1:33">
      <c r="A79" t="s">
        <v>1852</v>
      </c>
      <c r="B79" t="s">
        <v>2212</v>
      </c>
      <c r="C79" t="s">
        <v>2211</v>
      </c>
      <c r="D79" t="s">
        <v>1766</v>
      </c>
      <c r="F79">
        <v>945.583618</v>
      </c>
      <c r="G79">
        <v>933.902649</v>
      </c>
      <c r="H79">
        <v>915.85144000000003</v>
      </c>
      <c r="I79">
        <v>898.10369900000001</v>
      </c>
      <c r="J79">
        <v>880.13720699999999</v>
      </c>
      <c r="K79">
        <v>864.78234899999995</v>
      </c>
      <c r="L79">
        <v>851.13555899999994</v>
      </c>
      <c r="M79">
        <v>837.88061500000003</v>
      </c>
      <c r="N79">
        <v>826.31481900000006</v>
      </c>
      <c r="O79">
        <v>814.62268100000006</v>
      </c>
      <c r="P79">
        <v>804.63085899999999</v>
      </c>
      <c r="Q79">
        <v>795.92236300000002</v>
      </c>
      <c r="R79">
        <v>789.70843500000001</v>
      </c>
      <c r="S79">
        <v>785.566284</v>
      </c>
      <c r="T79">
        <v>782.26110800000004</v>
      </c>
      <c r="U79">
        <v>779.22161900000003</v>
      </c>
      <c r="V79">
        <v>777.314392</v>
      </c>
      <c r="W79">
        <v>775.70519999999999</v>
      </c>
      <c r="X79">
        <v>775.06707800000004</v>
      </c>
      <c r="Y79">
        <v>774.69598399999995</v>
      </c>
      <c r="Z79">
        <v>774.42779499999995</v>
      </c>
      <c r="AA79">
        <v>774.82928500000003</v>
      </c>
      <c r="AB79">
        <v>774.97283900000002</v>
      </c>
      <c r="AC79">
        <v>778.14209000000005</v>
      </c>
      <c r="AD79">
        <v>781.60040300000003</v>
      </c>
      <c r="AE79">
        <v>784.55853300000001</v>
      </c>
      <c r="AF79">
        <v>786.18713400000001</v>
      </c>
      <c r="AG79" s="144">
        <v>-7.0000000000000001E-3</v>
      </c>
    </row>
    <row r="80" spans="1:33">
      <c r="A80" t="s">
        <v>1849</v>
      </c>
    </row>
    <row r="81" spans="1:33">
      <c r="A81" t="s">
        <v>201</v>
      </c>
      <c r="B81" t="s">
        <v>2210</v>
      </c>
      <c r="C81" t="s">
        <v>2209</v>
      </c>
      <c r="D81" t="s">
        <v>1766</v>
      </c>
      <c r="F81">
        <v>4150.3491210000002</v>
      </c>
      <c r="G81">
        <v>4200.8354490000002</v>
      </c>
      <c r="H81">
        <v>4216.7382809999999</v>
      </c>
      <c r="I81">
        <v>4222.3842770000001</v>
      </c>
      <c r="J81">
        <v>4207.3222660000001</v>
      </c>
      <c r="K81">
        <v>4188.4086909999996</v>
      </c>
      <c r="L81">
        <v>4166.4912109999996</v>
      </c>
      <c r="M81">
        <v>4136.4614259999998</v>
      </c>
      <c r="N81">
        <v>4106.701172</v>
      </c>
      <c r="O81">
        <v>4073.8461910000001</v>
      </c>
      <c r="P81">
        <v>4046.6755370000001</v>
      </c>
      <c r="Q81">
        <v>4022.7158199999999</v>
      </c>
      <c r="R81">
        <v>4007.9099120000001</v>
      </c>
      <c r="S81">
        <v>3999.3498540000001</v>
      </c>
      <c r="T81">
        <v>3993.8400879999999</v>
      </c>
      <c r="U81">
        <v>3985.8237300000001</v>
      </c>
      <c r="V81">
        <v>3980.5234380000002</v>
      </c>
      <c r="W81">
        <v>3976.482422</v>
      </c>
      <c r="X81">
        <v>3975.83374</v>
      </c>
      <c r="Y81">
        <v>3974.7204590000001</v>
      </c>
      <c r="Z81">
        <v>3972.9650879999999</v>
      </c>
      <c r="AA81">
        <v>3974.0261230000001</v>
      </c>
      <c r="AB81">
        <v>3972.735596</v>
      </c>
      <c r="AC81">
        <v>3986.054443</v>
      </c>
      <c r="AD81">
        <v>4000.4877929999998</v>
      </c>
      <c r="AE81">
        <v>4012.3010250000002</v>
      </c>
      <c r="AF81">
        <v>4018.320068</v>
      </c>
      <c r="AG81" s="144">
        <v>-1E-3</v>
      </c>
    </row>
    <row r="82" spans="1:33">
      <c r="A82" t="s">
        <v>202</v>
      </c>
      <c r="B82" t="s">
        <v>2208</v>
      </c>
      <c r="C82" t="s">
        <v>2207</v>
      </c>
      <c r="D82" t="s">
        <v>1766</v>
      </c>
      <c r="F82">
        <v>4.4349259999999999</v>
      </c>
      <c r="G82">
        <v>3.817758</v>
      </c>
      <c r="H82">
        <v>3.316071</v>
      </c>
      <c r="I82">
        <v>2.9103439999999998</v>
      </c>
      <c r="J82">
        <v>2.588219</v>
      </c>
      <c r="K82">
        <v>2.3451490000000002</v>
      </c>
      <c r="L82">
        <v>2.1555719999999998</v>
      </c>
      <c r="M82">
        <v>1.9943740000000001</v>
      </c>
      <c r="N82">
        <v>1.8554980000000001</v>
      </c>
      <c r="O82">
        <v>1.7244470000000001</v>
      </c>
      <c r="P82">
        <v>1.6221479999999999</v>
      </c>
      <c r="Q82">
        <v>1.5351790000000001</v>
      </c>
      <c r="R82">
        <v>1.466385</v>
      </c>
      <c r="S82">
        <v>1.398488</v>
      </c>
      <c r="T82">
        <v>1.330443</v>
      </c>
      <c r="U82">
        <v>1.2710809999999999</v>
      </c>
      <c r="V82">
        <v>1.225886</v>
      </c>
      <c r="W82">
        <v>1.1849799999999999</v>
      </c>
      <c r="X82">
        <v>1.1403030000000001</v>
      </c>
      <c r="Y82">
        <v>1.1049929999999999</v>
      </c>
      <c r="Z82">
        <v>1.0789299999999999</v>
      </c>
      <c r="AA82">
        <v>1.0615270000000001</v>
      </c>
      <c r="AB82">
        <v>1.0475140000000001</v>
      </c>
      <c r="AC82">
        <v>1.040597</v>
      </c>
      <c r="AD82">
        <v>1.034845</v>
      </c>
      <c r="AE82">
        <v>1.029752</v>
      </c>
      <c r="AF82">
        <v>1.022197</v>
      </c>
      <c r="AG82" s="144">
        <v>-5.5E-2</v>
      </c>
    </row>
    <row r="83" spans="1:33">
      <c r="A83" t="s">
        <v>203</v>
      </c>
      <c r="B83" t="s">
        <v>2206</v>
      </c>
      <c r="C83" t="s">
        <v>2205</v>
      </c>
      <c r="D83" t="s">
        <v>1766</v>
      </c>
      <c r="F83">
        <v>1.1561319999999999</v>
      </c>
      <c r="G83">
        <v>1.374889</v>
      </c>
      <c r="H83">
        <v>1.574821</v>
      </c>
      <c r="I83">
        <v>1.759158</v>
      </c>
      <c r="J83">
        <v>1.904928</v>
      </c>
      <c r="K83">
        <v>2.026071</v>
      </c>
      <c r="L83">
        <v>2.1195029999999999</v>
      </c>
      <c r="M83">
        <v>2.1808689999999999</v>
      </c>
      <c r="N83">
        <v>2.2254740000000002</v>
      </c>
      <c r="O83">
        <v>2.2515000000000001</v>
      </c>
      <c r="P83">
        <v>2.2717139999999998</v>
      </c>
      <c r="Q83">
        <v>2.2773460000000001</v>
      </c>
      <c r="R83">
        <v>2.2784260000000001</v>
      </c>
      <c r="S83">
        <v>2.2754490000000001</v>
      </c>
      <c r="T83">
        <v>2.2735300000000001</v>
      </c>
      <c r="U83">
        <v>2.2699210000000001</v>
      </c>
      <c r="V83">
        <v>2.268214</v>
      </c>
      <c r="W83">
        <v>2.2635719999999999</v>
      </c>
      <c r="X83">
        <v>2.2589600000000001</v>
      </c>
      <c r="Y83">
        <v>2.2537240000000001</v>
      </c>
      <c r="Z83">
        <v>2.2496350000000001</v>
      </c>
      <c r="AA83">
        <v>2.2491400000000001</v>
      </c>
      <c r="AB83">
        <v>2.2497500000000001</v>
      </c>
      <c r="AC83">
        <v>2.2599909999999999</v>
      </c>
      <c r="AD83">
        <v>2.2705250000000001</v>
      </c>
      <c r="AE83">
        <v>2.2775180000000002</v>
      </c>
      <c r="AF83">
        <v>2.2828889999999999</v>
      </c>
      <c r="AG83" s="144">
        <v>2.7E-2</v>
      </c>
    </row>
    <row r="84" spans="1:33">
      <c r="A84" t="s">
        <v>204</v>
      </c>
      <c r="B84" t="s">
        <v>2204</v>
      </c>
      <c r="C84" t="s">
        <v>2203</v>
      </c>
      <c r="D84" t="s">
        <v>1766</v>
      </c>
      <c r="F84">
        <v>50.291285999999999</v>
      </c>
      <c r="G84">
        <v>52.723258999999999</v>
      </c>
      <c r="H84">
        <v>54.526027999999997</v>
      </c>
      <c r="I84">
        <v>55.344116</v>
      </c>
      <c r="J84">
        <v>55.688533999999997</v>
      </c>
      <c r="K84">
        <v>55.878203999999997</v>
      </c>
      <c r="L84">
        <v>55.951027000000003</v>
      </c>
      <c r="M84">
        <v>55.872238000000003</v>
      </c>
      <c r="N84">
        <v>55.809218999999999</v>
      </c>
      <c r="O84">
        <v>55.741230000000002</v>
      </c>
      <c r="P84">
        <v>55.755974000000002</v>
      </c>
      <c r="Q84">
        <v>55.805816999999998</v>
      </c>
      <c r="R84">
        <v>55.951450000000001</v>
      </c>
      <c r="S84">
        <v>56.315952000000003</v>
      </c>
      <c r="T84">
        <v>56.670273000000002</v>
      </c>
      <c r="U84">
        <v>57.133186000000002</v>
      </c>
      <c r="V84">
        <v>57.910736</v>
      </c>
      <c r="W84">
        <v>59.007088000000003</v>
      </c>
      <c r="X84">
        <v>60.194412</v>
      </c>
      <c r="Y84">
        <v>61.343024999999997</v>
      </c>
      <c r="Z84">
        <v>62.705348999999998</v>
      </c>
      <c r="AA84">
        <v>64.327826999999999</v>
      </c>
      <c r="AB84">
        <v>66.300811999999993</v>
      </c>
      <c r="AC84">
        <v>69.019630000000006</v>
      </c>
      <c r="AD84">
        <v>72.545906000000002</v>
      </c>
      <c r="AE84">
        <v>76.672927999999999</v>
      </c>
      <c r="AF84">
        <v>81.713440000000006</v>
      </c>
      <c r="AG84" s="144">
        <v>1.9E-2</v>
      </c>
    </row>
    <row r="85" spans="1:33">
      <c r="A85" t="s">
        <v>205</v>
      </c>
      <c r="B85" t="s">
        <v>2202</v>
      </c>
      <c r="C85" t="s">
        <v>2201</v>
      </c>
      <c r="D85" t="s">
        <v>1766</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t="s">
        <v>1769</v>
      </c>
    </row>
    <row r="86" spans="1:33">
      <c r="A86" t="s">
        <v>206</v>
      </c>
      <c r="B86" t="s">
        <v>2200</v>
      </c>
      <c r="C86" t="s">
        <v>2199</v>
      </c>
      <c r="D86" t="s">
        <v>1766</v>
      </c>
      <c r="F86">
        <v>1.835842</v>
      </c>
      <c r="G86">
        <v>2.4526810000000001</v>
      </c>
      <c r="H86">
        <v>3.0207929999999998</v>
      </c>
      <c r="I86">
        <v>3.5318879999999999</v>
      </c>
      <c r="J86">
        <v>3.9540489999999999</v>
      </c>
      <c r="K86">
        <v>4.3047269999999997</v>
      </c>
      <c r="L86">
        <v>4.5975380000000001</v>
      </c>
      <c r="M86">
        <v>4.8346179999999999</v>
      </c>
      <c r="N86">
        <v>5.0316390000000002</v>
      </c>
      <c r="O86">
        <v>5.1899280000000001</v>
      </c>
      <c r="P86">
        <v>5.3246770000000003</v>
      </c>
      <c r="Q86">
        <v>5.4344979999999996</v>
      </c>
      <c r="R86">
        <v>5.5320679999999998</v>
      </c>
      <c r="S86">
        <v>5.6165799999999999</v>
      </c>
      <c r="T86">
        <v>5.6888759999999996</v>
      </c>
      <c r="U86">
        <v>5.7453709999999996</v>
      </c>
      <c r="V86">
        <v>5.7989449999999998</v>
      </c>
      <c r="W86">
        <v>5.846025</v>
      </c>
      <c r="X86">
        <v>5.8912269999999998</v>
      </c>
      <c r="Y86">
        <v>5.930237</v>
      </c>
      <c r="Z86">
        <v>5.9651719999999999</v>
      </c>
      <c r="AA86">
        <v>6.0043030000000002</v>
      </c>
      <c r="AB86">
        <v>6.041099</v>
      </c>
      <c r="AC86">
        <v>6.100841</v>
      </c>
      <c r="AD86">
        <v>6.1635619999999998</v>
      </c>
      <c r="AE86">
        <v>6.2244010000000003</v>
      </c>
      <c r="AF86">
        <v>6.2765719999999998</v>
      </c>
      <c r="AG86" s="144">
        <v>4.8000000000000001E-2</v>
      </c>
    </row>
    <row r="87" spans="1:33">
      <c r="A87" t="s">
        <v>207</v>
      </c>
      <c r="B87" t="s">
        <v>2198</v>
      </c>
      <c r="C87" t="s">
        <v>2197</v>
      </c>
      <c r="D87" t="s">
        <v>1766</v>
      </c>
      <c r="F87">
        <v>0</v>
      </c>
      <c r="G87">
        <v>0</v>
      </c>
      <c r="H87">
        <v>2.4901E-2</v>
      </c>
      <c r="I87">
        <v>6.8081000000000003E-2</v>
      </c>
      <c r="J87">
        <v>0.113634</v>
      </c>
      <c r="K87">
        <v>0.165435</v>
      </c>
      <c r="L87">
        <v>0.223909</v>
      </c>
      <c r="M87">
        <v>0.291244</v>
      </c>
      <c r="N87">
        <v>0.37263299999999999</v>
      </c>
      <c r="O87">
        <v>0.35006199999999998</v>
      </c>
      <c r="P87">
        <v>0.33010299999999998</v>
      </c>
      <c r="Q87">
        <v>0.314085</v>
      </c>
      <c r="R87">
        <v>0.30023300000000003</v>
      </c>
      <c r="S87">
        <v>0.29104400000000002</v>
      </c>
      <c r="T87">
        <v>0.28536400000000001</v>
      </c>
      <c r="U87">
        <v>0.28249800000000003</v>
      </c>
      <c r="V87">
        <v>0.278528</v>
      </c>
      <c r="W87">
        <v>0.27172800000000003</v>
      </c>
      <c r="X87">
        <v>0.261187</v>
      </c>
      <c r="Y87">
        <v>0.246643</v>
      </c>
      <c r="Z87">
        <v>0.23005400000000001</v>
      </c>
      <c r="AA87">
        <v>0.21174999999999999</v>
      </c>
      <c r="AB87">
        <v>0.19095899999999999</v>
      </c>
      <c r="AC87">
        <v>0.16870399999999999</v>
      </c>
      <c r="AD87">
        <v>0.14982000000000001</v>
      </c>
      <c r="AE87">
        <v>0.13414200000000001</v>
      </c>
      <c r="AF87">
        <v>0.121348</v>
      </c>
      <c r="AG87" t="s">
        <v>1769</v>
      </c>
    </row>
    <row r="88" spans="1:33">
      <c r="A88" t="s">
        <v>208</v>
      </c>
      <c r="B88" t="s">
        <v>2196</v>
      </c>
      <c r="C88" t="s">
        <v>2195</v>
      </c>
      <c r="D88" t="s">
        <v>1766</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v>0</v>
      </c>
      <c r="AF88">
        <v>0</v>
      </c>
      <c r="AG88" t="s">
        <v>1769</v>
      </c>
    </row>
    <row r="89" spans="1:33">
      <c r="A89" t="s">
        <v>209</v>
      </c>
      <c r="B89" t="s">
        <v>2194</v>
      </c>
      <c r="C89" t="s">
        <v>2193</v>
      </c>
      <c r="D89" t="s">
        <v>1766</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c r="AF89">
        <v>0</v>
      </c>
      <c r="AG89" t="s">
        <v>1769</v>
      </c>
    </row>
    <row r="90" spans="1:33">
      <c r="A90" t="s">
        <v>1830</v>
      </c>
      <c r="B90" t="s">
        <v>2192</v>
      </c>
      <c r="C90" t="s">
        <v>2191</v>
      </c>
      <c r="D90" t="s">
        <v>1766</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t="s">
        <v>1769</v>
      </c>
    </row>
    <row r="91" spans="1:33">
      <c r="A91" t="s">
        <v>1827</v>
      </c>
      <c r="B91" t="s">
        <v>2190</v>
      </c>
      <c r="C91" t="s">
        <v>2189</v>
      </c>
      <c r="D91" t="s">
        <v>1766</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t="s">
        <v>1769</v>
      </c>
    </row>
    <row r="92" spans="1:33">
      <c r="A92" t="s">
        <v>1824</v>
      </c>
      <c r="B92" t="s">
        <v>2188</v>
      </c>
      <c r="C92" t="s">
        <v>2187</v>
      </c>
      <c r="D92" t="s">
        <v>1766</v>
      </c>
      <c r="F92">
        <v>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c r="AD92">
        <v>0</v>
      </c>
      <c r="AE92">
        <v>0</v>
      </c>
      <c r="AF92">
        <v>0</v>
      </c>
      <c r="AG92" t="s">
        <v>1769</v>
      </c>
    </row>
    <row r="93" spans="1:33">
      <c r="A93" t="s">
        <v>1821</v>
      </c>
      <c r="B93" t="s">
        <v>2186</v>
      </c>
      <c r="C93" t="s">
        <v>2185</v>
      </c>
      <c r="D93" t="s">
        <v>1766</v>
      </c>
      <c r="F93">
        <v>4208.0673829999996</v>
      </c>
      <c r="G93">
        <v>4261.2026370000003</v>
      </c>
      <c r="H93">
        <v>4279.1987300000001</v>
      </c>
      <c r="I93">
        <v>4285.9965819999998</v>
      </c>
      <c r="J93">
        <v>4271.5712890000004</v>
      </c>
      <c r="K93">
        <v>4253.1284180000002</v>
      </c>
      <c r="L93">
        <v>4231.5385740000002</v>
      </c>
      <c r="M93">
        <v>4201.6323240000002</v>
      </c>
      <c r="N93">
        <v>4171.9951170000004</v>
      </c>
      <c r="O93">
        <v>4139.1025390000004</v>
      </c>
      <c r="P93">
        <v>4111.9794920000004</v>
      </c>
      <c r="Q93">
        <v>4088.0834960000002</v>
      </c>
      <c r="R93">
        <v>4073.4372560000002</v>
      </c>
      <c r="S93">
        <v>4065.2475589999999</v>
      </c>
      <c r="T93">
        <v>4060.0888669999999</v>
      </c>
      <c r="U93">
        <v>4052.5258789999998</v>
      </c>
      <c r="V93">
        <v>4048.0051269999999</v>
      </c>
      <c r="W93">
        <v>4045.056885</v>
      </c>
      <c r="X93">
        <v>4045.580078</v>
      </c>
      <c r="Y93">
        <v>4045.5986330000001</v>
      </c>
      <c r="Z93">
        <v>4045.1948240000002</v>
      </c>
      <c r="AA93">
        <v>4047.8803710000002</v>
      </c>
      <c r="AB93">
        <v>4048.5656739999999</v>
      </c>
      <c r="AC93">
        <v>4064.6430660000001</v>
      </c>
      <c r="AD93">
        <v>4082.6523440000001</v>
      </c>
      <c r="AE93">
        <v>4098.6396480000003</v>
      </c>
      <c r="AF93">
        <v>4109.7368159999996</v>
      </c>
      <c r="AG93" s="144">
        <v>-1E-3</v>
      </c>
    </row>
    <row r="94" spans="1:33">
      <c r="A94" t="s">
        <v>1905</v>
      </c>
      <c r="B94" t="s">
        <v>210</v>
      </c>
      <c r="C94" t="s">
        <v>2184</v>
      </c>
    </row>
    <row r="95" spans="1:33">
      <c r="A95" t="s">
        <v>201</v>
      </c>
      <c r="B95" t="s">
        <v>2183</v>
      </c>
      <c r="C95" t="s">
        <v>2182</v>
      </c>
      <c r="D95" t="s">
        <v>1766</v>
      </c>
      <c r="F95">
        <v>5262.0537109999996</v>
      </c>
      <c r="G95">
        <v>5295.517578</v>
      </c>
      <c r="H95">
        <v>5284.3320309999999</v>
      </c>
      <c r="I95">
        <v>5261.0747069999998</v>
      </c>
      <c r="J95">
        <v>5214.6953119999998</v>
      </c>
      <c r="K95">
        <v>5167.1357420000004</v>
      </c>
      <c r="L95">
        <v>5117.076172</v>
      </c>
      <c r="M95">
        <v>5057.5048829999996</v>
      </c>
      <c r="N95">
        <v>4997.2041019999997</v>
      </c>
      <c r="O95">
        <v>4932.3168949999999</v>
      </c>
      <c r="P95">
        <v>4873.4492190000001</v>
      </c>
      <c r="Q95">
        <v>4817.8413090000004</v>
      </c>
      <c r="R95">
        <v>4772.8662109999996</v>
      </c>
      <c r="S95">
        <v>4734.9516599999997</v>
      </c>
      <c r="T95">
        <v>4700.1743159999996</v>
      </c>
      <c r="U95">
        <v>4662.7070309999999</v>
      </c>
      <c r="V95">
        <v>4629.8315430000002</v>
      </c>
      <c r="W95">
        <v>4598.7304690000001</v>
      </c>
      <c r="X95">
        <v>4572.5097660000001</v>
      </c>
      <c r="Y95">
        <v>4546.7172849999997</v>
      </c>
      <c r="Z95">
        <v>4522.0385740000002</v>
      </c>
      <c r="AA95">
        <v>4502.5307620000003</v>
      </c>
      <c r="AB95">
        <v>4482.2827150000003</v>
      </c>
      <c r="AC95">
        <v>4479.6157229999999</v>
      </c>
      <c r="AD95">
        <v>4478.7768550000001</v>
      </c>
      <c r="AE95">
        <v>4475.8027339999999</v>
      </c>
      <c r="AF95">
        <v>4467.5708009999998</v>
      </c>
      <c r="AG95" s="144">
        <v>-6.0000000000000001E-3</v>
      </c>
    </row>
    <row r="96" spans="1:33">
      <c r="A96" t="s">
        <v>202</v>
      </c>
      <c r="B96" t="s">
        <v>2181</v>
      </c>
      <c r="C96" t="s">
        <v>2180</v>
      </c>
      <c r="D96" t="s">
        <v>1766</v>
      </c>
      <c r="F96">
        <v>634.32690400000001</v>
      </c>
      <c r="G96">
        <v>650.87048300000004</v>
      </c>
      <c r="H96">
        <v>662.39166299999999</v>
      </c>
      <c r="I96">
        <v>671.808899</v>
      </c>
      <c r="J96">
        <v>676.77789299999995</v>
      </c>
      <c r="K96">
        <v>680.24054000000001</v>
      </c>
      <c r="L96">
        <v>681.32904099999996</v>
      </c>
      <c r="M96">
        <v>678.65319799999997</v>
      </c>
      <c r="N96">
        <v>673.30505400000004</v>
      </c>
      <c r="O96">
        <v>665.24871800000005</v>
      </c>
      <c r="P96">
        <v>656.16290300000003</v>
      </c>
      <c r="Q96">
        <v>645.64355499999999</v>
      </c>
      <c r="R96">
        <v>634.93084699999997</v>
      </c>
      <c r="S96">
        <v>624.06329300000004</v>
      </c>
      <c r="T96">
        <v>611.81030299999998</v>
      </c>
      <c r="U96">
        <v>598.16156000000001</v>
      </c>
      <c r="V96">
        <v>584.89434800000004</v>
      </c>
      <c r="W96">
        <v>570.99713099999997</v>
      </c>
      <c r="X96">
        <v>556.887024</v>
      </c>
      <c r="Y96">
        <v>542.06732199999999</v>
      </c>
      <c r="Z96">
        <v>527.87664800000005</v>
      </c>
      <c r="AA96">
        <v>515.07910200000003</v>
      </c>
      <c r="AB96">
        <v>502.932526</v>
      </c>
      <c r="AC96">
        <v>492.81231700000001</v>
      </c>
      <c r="AD96">
        <v>482.85266100000001</v>
      </c>
      <c r="AE96">
        <v>472.94921900000003</v>
      </c>
      <c r="AF96">
        <v>463.078644</v>
      </c>
      <c r="AG96" s="144">
        <v>-1.2E-2</v>
      </c>
    </row>
    <row r="97" spans="1:33">
      <c r="A97" t="s">
        <v>203</v>
      </c>
      <c r="B97" t="s">
        <v>2179</v>
      </c>
      <c r="C97" t="s">
        <v>2178</v>
      </c>
      <c r="D97" t="s">
        <v>1766</v>
      </c>
      <c r="F97">
        <v>1.63686</v>
      </c>
      <c r="G97">
        <v>1.8039179999999999</v>
      </c>
      <c r="H97">
        <v>1.9553450000000001</v>
      </c>
      <c r="I97">
        <v>2.095329</v>
      </c>
      <c r="J97">
        <v>2.202966</v>
      </c>
      <c r="K97">
        <v>2.2743500000000001</v>
      </c>
      <c r="L97">
        <v>2.341685</v>
      </c>
      <c r="M97">
        <v>2.3793389999999999</v>
      </c>
      <c r="N97">
        <v>2.4041060000000001</v>
      </c>
      <c r="O97">
        <v>2.4123800000000002</v>
      </c>
      <c r="P97">
        <v>2.4138890000000002</v>
      </c>
      <c r="Q97">
        <v>2.405564</v>
      </c>
      <c r="R97">
        <v>2.3955739999999999</v>
      </c>
      <c r="S97">
        <v>2.3836390000000001</v>
      </c>
      <c r="T97">
        <v>2.3738160000000001</v>
      </c>
      <c r="U97">
        <v>2.3633479999999998</v>
      </c>
      <c r="V97">
        <v>2.356134</v>
      </c>
      <c r="W97">
        <v>2.346463</v>
      </c>
      <c r="X97">
        <v>2.3374450000000002</v>
      </c>
      <c r="Y97">
        <v>2.3282379999999998</v>
      </c>
      <c r="Z97">
        <v>2.3202970000000001</v>
      </c>
      <c r="AA97">
        <v>2.3174630000000001</v>
      </c>
      <c r="AB97">
        <v>2.3153820000000001</v>
      </c>
      <c r="AC97">
        <v>2.3233009999999998</v>
      </c>
      <c r="AD97">
        <v>2.327607</v>
      </c>
      <c r="AE97">
        <v>2.3246549999999999</v>
      </c>
      <c r="AF97">
        <v>2.3222160000000001</v>
      </c>
      <c r="AG97" s="144">
        <v>1.4E-2</v>
      </c>
    </row>
    <row r="98" spans="1:33">
      <c r="A98" t="s">
        <v>204</v>
      </c>
      <c r="B98" t="s">
        <v>2177</v>
      </c>
      <c r="C98" t="s">
        <v>2176</v>
      </c>
      <c r="D98" t="s">
        <v>1766</v>
      </c>
      <c r="F98">
        <v>55.106678000000002</v>
      </c>
      <c r="G98">
        <v>60.266609000000003</v>
      </c>
      <c r="H98">
        <v>64.839827999999997</v>
      </c>
      <c r="I98">
        <v>68.349625000000003</v>
      </c>
      <c r="J98">
        <v>70.525550999999993</v>
      </c>
      <c r="K98">
        <v>72.469818000000004</v>
      </c>
      <c r="L98">
        <v>73.923186999999999</v>
      </c>
      <c r="M98">
        <v>74.768676999999997</v>
      </c>
      <c r="N98">
        <v>75.424942000000001</v>
      </c>
      <c r="O98">
        <v>75.820374000000001</v>
      </c>
      <c r="P98">
        <v>76.349898999999994</v>
      </c>
      <c r="Q98">
        <v>77.040145999999993</v>
      </c>
      <c r="R98">
        <v>77.877289000000005</v>
      </c>
      <c r="S98">
        <v>79.043137000000002</v>
      </c>
      <c r="T98">
        <v>80.450867000000002</v>
      </c>
      <c r="U98">
        <v>82.033752000000007</v>
      </c>
      <c r="V98">
        <v>84.148926000000003</v>
      </c>
      <c r="W98">
        <v>86.843956000000006</v>
      </c>
      <c r="X98">
        <v>89.839279000000005</v>
      </c>
      <c r="Y98">
        <v>92.977126999999996</v>
      </c>
      <c r="Z98">
        <v>96.314864999999998</v>
      </c>
      <c r="AA98">
        <v>100.060028</v>
      </c>
      <c r="AB98">
        <v>104.28434799999999</v>
      </c>
      <c r="AC98">
        <v>109.626869</v>
      </c>
      <c r="AD98">
        <v>115.90033</v>
      </c>
      <c r="AE98">
        <v>122.995186</v>
      </c>
      <c r="AF98">
        <v>131.064224</v>
      </c>
      <c r="AG98" s="144">
        <v>3.4000000000000002E-2</v>
      </c>
    </row>
    <row r="99" spans="1:33">
      <c r="A99" t="s">
        <v>205</v>
      </c>
      <c r="B99" t="s">
        <v>2175</v>
      </c>
      <c r="C99" t="s">
        <v>2174</v>
      </c>
      <c r="D99" t="s">
        <v>1766</v>
      </c>
      <c r="F99">
        <v>49.749854999999997</v>
      </c>
      <c r="G99">
        <v>45.266762</v>
      </c>
      <c r="H99">
        <v>40.649368000000003</v>
      </c>
      <c r="I99">
        <v>36.352798</v>
      </c>
      <c r="J99">
        <v>32.544384000000001</v>
      </c>
      <c r="K99">
        <v>29.355906000000001</v>
      </c>
      <c r="L99">
        <v>26.545546999999999</v>
      </c>
      <c r="M99">
        <v>24.041105000000002</v>
      </c>
      <c r="N99">
        <v>21.797552</v>
      </c>
      <c r="O99">
        <v>19.719795000000001</v>
      </c>
      <c r="P99">
        <v>17.844048000000001</v>
      </c>
      <c r="Q99">
        <v>16.154398</v>
      </c>
      <c r="R99">
        <v>14.596711000000001</v>
      </c>
      <c r="S99">
        <v>13.156967</v>
      </c>
      <c r="T99">
        <v>11.823331</v>
      </c>
      <c r="U99">
        <v>10.605062999999999</v>
      </c>
      <c r="V99">
        <v>9.5238669999999992</v>
      </c>
      <c r="W99">
        <v>8.5670750000000009</v>
      </c>
      <c r="X99">
        <v>7.72227</v>
      </c>
      <c r="Y99">
        <v>6.9687770000000002</v>
      </c>
      <c r="Z99">
        <v>6.2437959999999997</v>
      </c>
      <c r="AA99">
        <v>5.5619810000000003</v>
      </c>
      <c r="AB99">
        <v>4.9072649999999998</v>
      </c>
      <c r="AC99">
        <v>4.3119829999999997</v>
      </c>
      <c r="AD99">
        <v>3.677794</v>
      </c>
      <c r="AE99">
        <v>3.0516730000000001</v>
      </c>
      <c r="AF99">
        <v>2.441856</v>
      </c>
      <c r="AG99" s="144">
        <v>-0.109</v>
      </c>
    </row>
    <row r="100" spans="1:33">
      <c r="A100" t="s">
        <v>206</v>
      </c>
      <c r="B100" t="s">
        <v>2173</v>
      </c>
      <c r="C100" t="s">
        <v>2172</v>
      </c>
      <c r="D100" t="s">
        <v>1766</v>
      </c>
      <c r="F100">
        <v>2.2528419999999998</v>
      </c>
      <c r="G100">
        <v>2.9876170000000002</v>
      </c>
      <c r="H100">
        <v>3.663386</v>
      </c>
      <c r="I100">
        <v>4.270626</v>
      </c>
      <c r="J100">
        <v>4.7761940000000003</v>
      </c>
      <c r="K100">
        <v>5.2050029999999996</v>
      </c>
      <c r="L100">
        <v>5.5863839999999998</v>
      </c>
      <c r="M100">
        <v>6.0544630000000002</v>
      </c>
      <c r="N100">
        <v>6.6641269999999997</v>
      </c>
      <c r="O100">
        <v>7.2101389999999999</v>
      </c>
      <c r="P100">
        <v>7.9647639999999997</v>
      </c>
      <c r="Q100">
        <v>9.0889410000000002</v>
      </c>
      <c r="R100">
        <v>10.635733</v>
      </c>
      <c r="S100">
        <v>12.518767</v>
      </c>
      <c r="T100">
        <v>14.774114000000001</v>
      </c>
      <c r="U100">
        <v>17.410596999999999</v>
      </c>
      <c r="V100">
        <v>20.494534000000002</v>
      </c>
      <c r="W100">
        <v>24.229378000000001</v>
      </c>
      <c r="X100">
        <v>28.478767000000001</v>
      </c>
      <c r="Y100">
        <v>33.13467</v>
      </c>
      <c r="Z100">
        <v>37.831429</v>
      </c>
      <c r="AA100">
        <v>42.741287</v>
      </c>
      <c r="AB100">
        <v>47.793205</v>
      </c>
      <c r="AC100">
        <v>53.246014000000002</v>
      </c>
      <c r="AD100">
        <v>58.841552999999998</v>
      </c>
      <c r="AE100">
        <v>64.441185000000004</v>
      </c>
      <c r="AF100">
        <v>70.016105999999994</v>
      </c>
      <c r="AG100" s="144">
        <v>0.14099999999999999</v>
      </c>
    </row>
    <row r="101" spans="1:33">
      <c r="A101" t="s">
        <v>207</v>
      </c>
      <c r="B101" t="s">
        <v>2171</v>
      </c>
      <c r="C101" t="s">
        <v>2170</v>
      </c>
      <c r="D101" t="s">
        <v>1766</v>
      </c>
      <c r="F101">
        <v>0</v>
      </c>
      <c r="G101">
        <v>0</v>
      </c>
      <c r="H101">
        <v>4.9972999999999997E-2</v>
      </c>
      <c r="I101">
        <v>0.12850700000000001</v>
      </c>
      <c r="J101">
        <v>0.227355</v>
      </c>
      <c r="K101">
        <v>0.34510600000000002</v>
      </c>
      <c r="L101">
        <v>0.47567100000000001</v>
      </c>
      <c r="M101">
        <v>0.61984499999999998</v>
      </c>
      <c r="N101">
        <v>0.77710699999999999</v>
      </c>
      <c r="O101">
        <v>0.72332300000000005</v>
      </c>
      <c r="P101">
        <v>0.67445299999999997</v>
      </c>
      <c r="Q101">
        <v>0.63134599999999996</v>
      </c>
      <c r="R101">
        <v>0.59302100000000002</v>
      </c>
      <c r="S101">
        <v>0.56109699999999996</v>
      </c>
      <c r="T101">
        <v>0.53418500000000002</v>
      </c>
      <c r="U101">
        <v>0.51141899999999996</v>
      </c>
      <c r="V101">
        <v>0.48934100000000003</v>
      </c>
      <c r="W101">
        <v>0.46598600000000001</v>
      </c>
      <c r="X101">
        <v>0.44024999999999997</v>
      </c>
      <c r="Y101">
        <v>0.41190199999999999</v>
      </c>
      <c r="Z101">
        <v>0.38275100000000001</v>
      </c>
      <c r="AA101">
        <v>0.35326600000000002</v>
      </c>
      <c r="AB101">
        <v>0.32239400000000001</v>
      </c>
      <c r="AC101">
        <v>0.28986200000000001</v>
      </c>
      <c r="AD101">
        <v>0.26128499999999999</v>
      </c>
      <c r="AE101">
        <v>0.236961</v>
      </c>
      <c r="AF101">
        <v>0.216391</v>
      </c>
      <c r="AG101" t="s">
        <v>1769</v>
      </c>
    </row>
    <row r="102" spans="1:33">
      <c r="A102" t="s">
        <v>208</v>
      </c>
      <c r="B102" t="s">
        <v>2169</v>
      </c>
      <c r="C102" t="s">
        <v>2168</v>
      </c>
      <c r="D102" t="s">
        <v>1766</v>
      </c>
      <c r="F102">
        <v>0</v>
      </c>
      <c r="G102">
        <v>0.115331</v>
      </c>
      <c r="H102">
        <v>0.231573</v>
      </c>
      <c r="I102">
        <v>0.27211000000000002</v>
      </c>
      <c r="J102">
        <v>0.25937199999999999</v>
      </c>
      <c r="K102">
        <v>0.23771500000000001</v>
      </c>
      <c r="L102">
        <v>0.21748300000000001</v>
      </c>
      <c r="M102">
        <v>0.19966</v>
      </c>
      <c r="N102">
        <v>0.18464700000000001</v>
      </c>
      <c r="O102">
        <v>0.17038800000000001</v>
      </c>
      <c r="P102">
        <v>0.157113</v>
      </c>
      <c r="Q102">
        <v>0.144426</v>
      </c>
      <c r="R102">
        <v>0.133132</v>
      </c>
      <c r="S102">
        <v>0.12199</v>
      </c>
      <c r="T102">
        <v>0.11172899999999999</v>
      </c>
      <c r="U102">
        <v>0.10259</v>
      </c>
      <c r="V102">
        <v>9.4766000000000003E-2</v>
      </c>
      <c r="W102">
        <v>8.7656999999999999E-2</v>
      </c>
      <c r="X102">
        <v>8.0437999999999996E-2</v>
      </c>
      <c r="Y102">
        <v>7.3296E-2</v>
      </c>
      <c r="Z102">
        <v>6.6423999999999997E-2</v>
      </c>
      <c r="AA102">
        <v>6.1006999999999999E-2</v>
      </c>
      <c r="AB102">
        <v>5.67E-2</v>
      </c>
      <c r="AC102">
        <v>5.3085E-2</v>
      </c>
      <c r="AD102">
        <v>4.9660999999999997E-2</v>
      </c>
      <c r="AE102">
        <v>4.6268999999999998E-2</v>
      </c>
      <c r="AF102">
        <v>4.3032000000000001E-2</v>
      </c>
      <c r="AG102" t="s">
        <v>1769</v>
      </c>
    </row>
    <row r="103" spans="1:33">
      <c r="A103" t="s">
        <v>209</v>
      </c>
      <c r="B103" t="s">
        <v>2167</v>
      </c>
      <c r="C103" t="s">
        <v>2166</v>
      </c>
      <c r="D103" t="s">
        <v>1766</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c r="AD103">
        <v>0</v>
      </c>
      <c r="AE103">
        <v>0</v>
      </c>
      <c r="AF103">
        <v>0</v>
      </c>
      <c r="AG103" t="s">
        <v>1769</v>
      </c>
    </row>
    <row r="104" spans="1:33">
      <c r="A104" t="s">
        <v>1830</v>
      </c>
      <c r="B104" t="s">
        <v>2165</v>
      </c>
      <c r="C104" t="s">
        <v>2164</v>
      </c>
      <c r="D104" t="s">
        <v>1766</v>
      </c>
      <c r="F104">
        <v>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c r="AC104">
        <v>0</v>
      </c>
      <c r="AD104">
        <v>0</v>
      </c>
      <c r="AE104">
        <v>0</v>
      </c>
      <c r="AF104">
        <v>0</v>
      </c>
      <c r="AG104" t="s">
        <v>1769</v>
      </c>
    </row>
    <row r="105" spans="1:33">
      <c r="A105" t="s">
        <v>1827</v>
      </c>
      <c r="B105" t="s">
        <v>2163</v>
      </c>
      <c r="C105" t="s">
        <v>2162</v>
      </c>
      <c r="D105" t="s">
        <v>1766</v>
      </c>
      <c r="F105">
        <v>0</v>
      </c>
      <c r="G105">
        <v>1.7782450000000001</v>
      </c>
      <c r="H105">
        <v>4.4268890000000001</v>
      </c>
      <c r="I105">
        <v>7.9077299999999999</v>
      </c>
      <c r="J105">
        <v>16.650454</v>
      </c>
      <c r="K105">
        <v>31.569614000000001</v>
      </c>
      <c r="L105">
        <v>52.609603999999997</v>
      </c>
      <c r="M105">
        <v>79.233017000000004</v>
      </c>
      <c r="N105">
        <v>111.403603</v>
      </c>
      <c r="O105">
        <v>147.695572</v>
      </c>
      <c r="P105">
        <v>186.81852699999999</v>
      </c>
      <c r="Q105">
        <v>227.513092</v>
      </c>
      <c r="R105">
        <v>269.02273600000001</v>
      </c>
      <c r="S105">
        <v>310.82708700000001</v>
      </c>
      <c r="T105">
        <v>353.50161700000001</v>
      </c>
      <c r="U105">
        <v>396.58743299999998</v>
      </c>
      <c r="V105">
        <v>438.75372299999998</v>
      </c>
      <c r="W105">
        <v>478.78259300000002</v>
      </c>
      <c r="X105">
        <v>516.66064500000005</v>
      </c>
      <c r="Y105">
        <v>551.88549799999998</v>
      </c>
      <c r="Z105">
        <v>584.66101100000003</v>
      </c>
      <c r="AA105">
        <v>615.79736300000002</v>
      </c>
      <c r="AB105">
        <v>644.87817399999994</v>
      </c>
      <c r="AC105">
        <v>674.08685300000002</v>
      </c>
      <c r="AD105">
        <v>701.07702600000005</v>
      </c>
      <c r="AE105">
        <v>725.72454800000003</v>
      </c>
      <c r="AF105">
        <v>747.80249000000003</v>
      </c>
      <c r="AG105" t="s">
        <v>1769</v>
      </c>
    </row>
    <row r="106" spans="1:33">
      <c r="A106" t="s">
        <v>1824</v>
      </c>
      <c r="B106" t="s">
        <v>2161</v>
      </c>
      <c r="C106" t="s">
        <v>2160</v>
      </c>
      <c r="D106" t="s">
        <v>1766</v>
      </c>
      <c r="F106">
        <v>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c r="AE106">
        <v>0</v>
      </c>
      <c r="AF106">
        <v>0</v>
      </c>
      <c r="AG106" t="s">
        <v>1769</v>
      </c>
    </row>
    <row r="107" spans="1:33">
      <c r="A107" t="s">
        <v>2159</v>
      </c>
      <c r="B107" t="s">
        <v>2158</v>
      </c>
      <c r="C107" t="s">
        <v>2157</v>
      </c>
      <c r="D107" t="s">
        <v>1766</v>
      </c>
      <c r="F107">
        <v>6005.1274409999996</v>
      </c>
      <c r="G107">
        <v>6058.6044920000004</v>
      </c>
      <c r="H107">
        <v>6062.5385740000002</v>
      </c>
      <c r="I107">
        <v>6052.2592770000001</v>
      </c>
      <c r="J107">
        <v>6018.6591799999997</v>
      </c>
      <c r="K107">
        <v>5988.8334960000002</v>
      </c>
      <c r="L107">
        <v>5960.1040039999998</v>
      </c>
      <c r="M107">
        <v>5923.4521480000003</v>
      </c>
      <c r="N107">
        <v>5889.1645509999998</v>
      </c>
      <c r="O107">
        <v>5851.3164059999999</v>
      </c>
      <c r="P107">
        <v>5821.8344729999999</v>
      </c>
      <c r="Q107">
        <v>5796.4619140000004</v>
      </c>
      <c r="R107">
        <v>5783.0546880000002</v>
      </c>
      <c r="S107">
        <v>5777.6264650000003</v>
      </c>
      <c r="T107">
        <v>5775.5551759999998</v>
      </c>
      <c r="U107">
        <v>5770.4799800000001</v>
      </c>
      <c r="V107">
        <v>5770.5864259999998</v>
      </c>
      <c r="W107">
        <v>5771.0493159999996</v>
      </c>
      <c r="X107">
        <v>5774.9580079999996</v>
      </c>
      <c r="Y107">
        <v>5776.5678710000002</v>
      </c>
      <c r="Z107">
        <v>5777.7348629999997</v>
      </c>
      <c r="AA107">
        <v>5784.5034180000002</v>
      </c>
      <c r="AB107">
        <v>5789.7714839999999</v>
      </c>
      <c r="AC107">
        <v>5816.3671880000002</v>
      </c>
      <c r="AD107">
        <v>5843.7641599999997</v>
      </c>
      <c r="AE107">
        <v>5867.5698240000002</v>
      </c>
      <c r="AF107">
        <v>5884.5581050000001</v>
      </c>
      <c r="AG107" s="144">
        <v>-1E-3</v>
      </c>
    </row>
    <row r="108" spans="1:33">
      <c r="A108" t="s">
        <v>1994</v>
      </c>
    </row>
    <row r="109" spans="1:33">
      <c r="A109" t="s">
        <v>1905</v>
      </c>
    </row>
    <row r="110" spans="1:33">
      <c r="A110" t="s">
        <v>201</v>
      </c>
      <c r="B110" t="s">
        <v>2156</v>
      </c>
      <c r="C110" t="s">
        <v>2155</v>
      </c>
      <c r="D110" t="s">
        <v>1913</v>
      </c>
      <c r="F110">
        <v>13.922707000000001</v>
      </c>
      <c r="G110">
        <v>13.995139999999999</v>
      </c>
      <c r="H110">
        <v>14.083459</v>
      </c>
      <c r="I110">
        <v>14.181444000000001</v>
      </c>
      <c r="J110">
        <v>14.293834</v>
      </c>
      <c r="K110">
        <v>14.38857</v>
      </c>
      <c r="L110">
        <v>14.476728</v>
      </c>
      <c r="M110">
        <v>14.555897</v>
      </c>
      <c r="N110">
        <v>14.630239</v>
      </c>
      <c r="O110">
        <v>14.699897999999999</v>
      </c>
      <c r="P110">
        <v>14.765326</v>
      </c>
      <c r="Q110">
        <v>14.825015</v>
      </c>
      <c r="R110">
        <v>14.879754999999999</v>
      </c>
      <c r="S110">
        <v>14.931191999999999</v>
      </c>
      <c r="T110">
        <v>14.984135999999999</v>
      </c>
      <c r="U110">
        <v>15.034584000000001</v>
      </c>
      <c r="V110">
        <v>15.082407999999999</v>
      </c>
      <c r="W110">
        <v>15.126908</v>
      </c>
      <c r="X110">
        <v>15.167199</v>
      </c>
      <c r="Y110">
        <v>15.202306999999999</v>
      </c>
      <c r="Z110">
        <v>15.240062</v>
      </c>
      <c r="AA110">
        <v>15.278491000000001</v>
      </c>
      <c r="AB110">
        <v>15.314698</v>
      </c>
      <c r="AC110">
        <v>15.350427</v>
      </c>
      <c r="AD110">
        <v>15.386863</v>
      </c>
      <c r="AE110">
        <v>15.426907999999999</v>
      </c>
      <c r="AF110">
        <v>15.474148</v>
      </c>
      <c r="AG110" s="144">
        <v>4.0000000000000001E-3</v>
      </c>
    </row>
    <row r="111" spans="1:33">
      <c r="A111" t="s">
        <v>202</v>
      </c>
      <c r="B111" t="s">
        <v>2154</v>
      </c>
      <c r="C111" t="s">
        <v>2153</v>
      </c>
      <c r="D111" t="s">
        <v>1916</v>
      </c>
      <c r="F111">
        <v>11.270543999999999</v>
      </c>
      <c r="G111">
        <v>11.409352999999999</v>
      </c>
      <c r="H111">
        <v>11.538529</v>
      </c>
      <c r="I111">
        <v>11.656753</v>
      </c>
      <c r="J111">
        <v>11.771490999999999</v>
      </c>
      <c r="K111">
        <v>11.863529</v>
      </c>
      <c r="L111">
        <v>11.945356</v>
      </c>
      <c r="M111">
        <v>12.01674</v>
      </c>
      <c r="N111">
        <v>12.080651</v>
      </c>
      <c r="O111">
        <v>12.137786999999999</v>
      </c>
      <c r="P111">
        <v>12.189059</v>
      </c>
      <c r="Q111">
        <v>12.235332</v>
      </c>
      <c r="R111">
        <v>12.2768</v>
      </c>
      <c r="S111">
        <v>12.314057999999999</v>
      </c>
      <c r="T111">
        <v>12.349204</v>
      </c>
      <c r="U111">
        <v>12.382721</v>
      </c>
      <c r="V111">
        <v>12.413944000000001</v>
      </c>
      <c r="W111">
        <v>12.444386</v>
      </c>
      <c r="X111">
        <v>12.473788000000001</v>
      </c>
      <c r="Y111">
        <v>12.501901</v>
      </c>
      <c r="Z111">
        <v>12.530419999999999</v>
      </c>
      <c r="AA111">
        <v>12.558555999999999</v>
      </c>
      <c r="AB111">
        <v>12.586591</v>
      </c>
      <c r="AC111">
        <v>12.615855</v>
      </c>
      <c r="AD111">
        <v>12.647904</v>
      </c>
      <c r="AE111">
        <v>12.682796</v>
      </c>
      <c r="AF111">
        <v>12.720029</v>
      </c>
      <c r="AG111" s="144">
        <v>5.0000000000000001E-3</v>
      </c>
    </row>
    <row r="112" spans="1:33">
      <c r="A112" t="s">
        <v>203</v>
      </c>
      <c r="B112" t="s">
        <v>2152</v>
      </c>
      <c r="C112" t="s">
        <v>2151</v>
      </c>
      <c r="D112" t="s">
        <v>1916</v>
      </c>
      <c r="F112">
        <v>9.2423020000000005</v>
      </c>
      <c r="G112">
        <v>9.4532989999999995</v>
      </c>
      <c r="H112">
        <v>9.6632979999999993</v>
      </c>
      <c r="I112">
        <v>9.8595740000000003</v>
      </c>
      <c r="J112">
        <v>10.033324</v>
      </c>
      <c r="K112">
        <v>10.184858</v>
      </c>
      <c r="L112">
        <v>10.326045000000001</v>
      </c>
      <c r="M112">
        <v>10.45519</v>
      </c>
      <c r="N112">
        <v>10.576914</v>
      </c>
      <c r="O112">
        <v>10.765653</v>
      </c>
      <c r="P112">
        <v>10.988288000000001</v>
      </c>
      <c r="Q112">
        <v>11.18052</v>
      </c>
      <c r="R112">
        <v>11.338896</v>
      </c>
      <c r="S112">
        <v>11.467409999999999</v>
      </c>
      <c r="T112">
        <v>11.571596</v>
      </c>
      <c r="U112">
        <v>11.657355000000001</v>
      </c>
      <c r="V112">
        <v>11.728928</v>
      </c>
      <c r="W112">
        <v>11.789823999999999</v>
      </c>
      <c r="X112">
        <v>11.842496000000001</v>
      </c>
      <c r="Y112">
        <v>11.888781</v>
      </c>
      <c r="Z112">
        <v>11.930044000000001</v>
      </c>
      <c r="AA112">
        <v>11.967499</v>
      </c>
      <c r="AB112">
        <v>12.001614999999999</v>
      </c>
      <c r="AC112">
        <v>12.032393000000001</v>
      </c>
      <c r="AD112">
        <v>12.060304</v>
      </c>
      <c r="AE112">
        <v>12.085634000000001</v>
      </c>
      <c r="AF112">
        <v>12.108743</v>
      </c>
      <c r="AG112" s="144">
        <v>0.01</v>
      </c>
    </row>
    <row r="113" spans="1:33">
      <c r="A113" t="s">
        <v>204</v>
      </c>
      <c r="B113" t="s">
        <v>2150</v>
      </c>
      <c r="C113" t="s">
        <v>2149</v>
      </c>
      <c r="D113" t="s">
        <v>1916</v>
      </c>
      <c r="F113">
        <v>10.79466</v>
      </c>
      <c r="G113">
        <v>10.920845</v>
      </c>
      <c r="H113">
        <v>10.982545999999999</v>
      </c>
      <c r="I113">
        <v>11.040056</v>
      </c>
      <c r="J113">
        <v>11.1477</v>
      </c>
      <c r="K113">
        <v>11.218605</v>
      </c>
      <c r="L113">
        <v>11.282717</v>
      </c>
      <c r="M113">
        <v>11.33933</v>
      </c>
      <c r="N113">
        <v>11.394833</v>
      </c>
      <c r="O113">
        <v>11.443618000000001</v>
      </c>
      <c r="P113">
        <v>11.49808</v>
      </c>
      <c r="Q113">
        <v>11.559828</v>
      </c>
      <c r="R113">
        <v>11.62152</v>
      </c>
      <c r="S113">
        <v>11.682252</v>
      </c>
      <c r="T113">
        <v>11.742834</v>
      </c>
      <c r="U113">
        <v>11.794235</v>
      </c>
      <c r="V113">
        <v>11.839415000000001</v>
      </c>
      <c r="W113">
        <v>11.878601</v>
      </c>
      <c r="X113">
        <v>11.910233</v>
      </c>
      <c r="Y113">
        <v>11.934759</v>
      </c>
      <c r="Z113">
        <v>11.953211</v>
      </c>
      <c r="AA113">
        <v>11.967457</v>
      </c>
      <c r="AB113">
        <v>11.978687000000001</v>
      </c>
      <c r="AC113">
        <v>11.987667999999999</v>
      </c>
      <c r="AD113">
        <v>11.994937999999999</v>
      </c>
      <c r="AE113">
        <v>12.000684</v>
      </c>
      <c r="AF113">
        <v>12.005663</v>
      </c>
      <c r="AG113" s="144">
        <v>4.0000000000000001E-3</v>
      </c>
    </row>
    <row r="114" spans="1:33">
      <c r="A114" t="s">
        <v>205</v>
      </c>
      <c r="B114" t="s">
        <v>2148</v>
      </c>
      <c r="C114" t="s">
        <v>2147</v>
      </c>
      <c r="D114" t="s">
        <v>1916</v>
      </c>
      <c r="F114">
        <v>10.010496</v>
      </c>
      <c r="G114">
        <v>10.00788</v>
      </c>
      <c r="H114">
        <v>10.005171000000001</v>
      </c>
      <c r="I114">
        <v>10.003261999999999</v>
      </c>
      <c r="J114">
        <v>10.001704999999999</v>
      </c>
      <c r="K114">
        <v>10.001531</v>
      </c>
      <c r="L114">
        <v>10.001868999999999</v>
      </c>
      <c r="M114">
        <v>10.002848999999999</v>
      </c>
      <c r="N114">
        <v>10.00376</v>
      </c>
      <c r="O114">
        <v>10.002958</v>
      </c>
      <c r="P114">
        <v>10.000252</v>
      </c>
      <c r="Q114">
        <v>9.9956479999999992</v>
      </c>
      <c r="R114">
        <v>9.9909009999999991</v>
      </c>
      <c r="S114">
        <v>9.9880270000000007</v>
      </c>
      <c r="T114">
        <v>9.9886970000000002</v>
      </c>
      <c r="U114">
        <v>9.9905819999999999</v>
      </c>
      <c r="V114">
        <v>9.9933890000000005</v>
      </c>
      <c r="W114">
        <v>9.9956650000000007</v>
      </c>
      <c r="X114">
        <v>9.9976199999999995</v>
      </c>
      <c r="Y114">
        <v>9.9996279999999995</v>
      </c>
      <c r="Z114">
        <v>10.001576</v>
      </c>
      <c r="AA114">
        <v>9.9996310000000008</v>
      </c>
      <c r="AB114">
        <v>9.9868240000000004</v>
      </c>
      <c r="AC114">
        <v>9.9634610000000006</v>
      </c>
      <c r="AD114">
        <v>9.9343210000000006</v>
      </c>
      <c r="AE114">
        <v>9.9217340000000007</v>
      </c>
      <c r="AF114">
        <v>9.9377790000000008</v>
      </c>
      <c r="AG114" s="144">
        <v>0</v>
      </c>
    </row>
    <row r="115" spans="1:33">
      <c r="A115" t="s">
        <v>206</v>
      </c>
      <c r="B115" t="s">
        <v>2146</v>
      </c>
      <c r="C115" t="s">
        <v>2145</v>
      </c>
      <c r="D115" t="s">
        <v>1913</v>
      </c>
      <c r="F115">
        <v>41.381866000000002</v>
      </c>
      <c r="G115">
        <v>41.703876000000001</v>
      </c>
      <c r="H115">
        <v>41.883159999999997</v>
      </c>
      <c r="I115">
        <v>41.993983999999998</v>
      </c>
      <c r="J115">
        <v>42.076790000000003</v>
      </c>
      <c r="K115">
        <v>42.135531999999998</v>
      </c>
      <c r="L115">
        <v>42.180328000000003</v>
      </c>
      <c r="M115">
        <v>42.241095999999999</v>
      </c>
      <c r="N115">
        <v>42.292721</v>
      </c>
      <c r="O115">
        <v>42.319889000000003</v>
      </c>
      <c r="P115">
        <v>42.341545000000004</v>
      </c>
      <c r="Q115">
        <v>42.357627999999998</v>
      </c>
      <c r="R115">
        <v>42.367283</v>
      </c>
      <c r="S115">
        <v>42.372826000000003</v>
      </c>
      <c r="T115">
        <v>42.375796999999999</v>
      </c>
      <c r="U115">
        <v>42.377429999999997</v>
      </c>
      <c r="V115">
        <v>42.378261999999999</v>
      </c>
      <c r="W115">
        <v>42.378647000000001</v>
      </c>
      <c r="X115">
        <v>42.378807000000002</v>
      </c>
      <c r="Y115">
        <v>42.378898999999997</v>
      </c>
      <c r="Z115">
        <v>42.378914000000002</v>
      </c>
      <c r="AA115">
        <v>42.378886999999999</v>
      </c>
      <c r="AB115">
        <v>42.380459000000002</v>
      </c>
      <c r="AC115">
        <v>42.38456</v>
      </c>
      <c r="AD115">
        <v>42.392181000000001</v>
      </c>
      <c r="AE115">
        <v>42.407435999999997</v>
      </c>
      <c r="AF115">
        <v>42.430264000000001</v>
      </c>
      <c r="AG115" s="144">
        <v>1E-3</v>
      </c>
    </row>
    <row r="116" spans="1:33">
      <c r="A116" t="s">
        <v>207</v>
      </c>
      <c r="B116" t="s">
        <v>2144</v>
      </c>
      <c r="C116" t="s">
        <v>2143</v>
      </c>
      <c r="D116" t="s">
        <v>1913</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c r="AD116">
        <v>0</v>
      </c>
      <c r="AE116">
        <v>0</v>
      </c>
      <c r="AF116">
        <v>0</v>
      </c>
      <c r="AG116" t="s">
        <v>1769</v>
      </c>
    </row>
    <row r="117" spans="1:33">
      <c r="A117" t="s">
        <v>208</v>
      </c>
      <c r="B117" t="s">
        <v>2142</v>
      </c>
      <c r="C117" t="s">
        <v>2141</v>
      </c>
      <c r="D117" t="s">
        <v>1916</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c r="AC117">
        <v>0</v>
      </c>
      <c r="AD117">
        <v>0</v>
      </c>
      <c r="AE117">
        <v>0</v>
      </c>
      <c r="AF117">
        <v>0</v>
      </c>
      <c r="AG117" t="s">
        <v>1769</v>
      </c>
    </row>
    <row r="118" spans="1:33">
      <c r="A118" t="s">
        <v>209</v>
      </c>
      <c r="B118" t="s">
        <v>2140</v>
      </c>
      <c r="C118" t="s">
        <v>2139</v>
      </c>
      <c r="D118" t="s">
        <v>1913</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t="s">
        <v>1769</v>
      </c>
    </row>
    <row r="119" spans="1:33">
      <c r="A119" t="s">
        <v>1830</v>
      </c>
      <c r="B119" t="s">
        <v>2138</v>
      </c>
      <c r="C119" t="s">
        <v>2137</v>
      </c>
      <c r="D119" t="s">
        <v>1913</v>
      </c>
      <c r="F119">
        <v>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c r="AD119">
        <v>0</v>
      </c>
      <c r="AE119">
        <v>0</v>
      </c>
      <c r="AF119">
        <v>0</v>
      </c>
      <c r="AG119" t="s">
        <v>1769</v>
      </c>
    </row>
    <row r="120" spans="1:33">
      <c r="A120" t="s">
        <v>1827</v>
      </c>
      <c r="B120" t="s">
        <v>2136</v>
      </c>
      <c r="C120" t="s">
        <v>2135</v>
      </c>
      <c r="D120" t="s">
        <v>1916</v>
      </c>
      <c r="F120">
        <v>0</v>
      </c>
      <c r="G120">
        <v>14.326266</v>
      </c>
      <c r="H120">
        <v>14.330572999999999</v>
      </c>
      <c r="I120">
        <v>14.341824000000001</v>
      </c>
      <c r="J120">
        <v>14.40915</v>
      </c>
      <c r="K120">
        <v>14.392595999999999</v>
      </c>
      <c r="L120">
        <v>14.412682999999999</v>
      </c>
      <c r="M120">
        <v>14.456479</v>
      </c>
      <c r="N120">
        <v>14.518309</v>
      </c>
      <c r="O120">
        <v>14.599339000000001</v>
      </c>
      <c r="P120">
        <v>14.700199</v>
      </c>
      <c r="Q120">
        <v>14.795714</v>
      </c>
      <c r="R120">
        <v>14.882458</v>
      </c>
      <c r="S120">
        <v>14.958017999999999</v>
      </c>
      <c r="T120">
        <v>15.022192</v>
      </c>
      <c r="U120">
        <v>15.074443</v>
      </c>
      <c r="V120">
        <v>15.115707</v>
      </c>
      <c r="W120">
        <v>15.148602</v>
      </c>
      <c r="X120">
        <v>15.175196</v>
      </c>
      <c r="Y120">
        <v>15.196916</v>
      </c>
      <c r="Z120">
        <v>15.214817999999999</v>
      </c>
      <c r="AA120">
        <v>15.229673</v>
      </c>
      <c r="AB120">
        <v>15.241925</v>
      </c>
      <c r="AC120">
        <v>15.251994</v>
      </c>
      <c r="AD120">
        <v>15.260142</v>
      </c>
      <c r="AE120">
        <v>15.266747000000001</v>
      </c>
      <c r="AF120">
        <v>15.272197999999999</v>
      </c>
      <c r="AG120" t="s">
        <v>1769</v>
      </c>
    </row>
    <row r="121" spans="1:33">
      <c r="A121" t="s">
        <v>1824</v>
      </c>
      <c r="B121" t="s">
        <v>2134</v>
      </c>
      <c r="C121" t="s">
        <v>2133</v>
      </c>
      <c r="D121" t="s">
        <v>1913</v>
      </c>
      <c r="F121">
        <v>0</v>
      </c>
      <c r="G121">
        <v>0</v>
      </c>
      <c r="H121">
        <v>0</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c r="AC121">
        <v>0</v>
      </c>
      <c r="AD121">
        <v>0</v>
      </c>
      <c r="AE121">
        <v>0</v>
      </c>
      <c r="AF121">
        <v>0</v>
      </c>
      <c r="AG121" t="s">
        <v>1769</v>
      </c>
    </row>
    <row r="122" spans="1:33">
      <c r="A122" t="s">
        <v>1969</v>
      </c>
      <c r="B122" t="s">
        <v>2132</v>
      </c>
      <c r="C122" t="s">
        <v>2131</v>
      </c>
      <c r="F122">
        <v>12.831079000000001</v>
      </c>
      <c r="G122">
        <v>12.901629</v>
      </c>
      <c r="H122">
        <v>12.979244</v>
      </c>
      <c r="I122">
        <v>13.060256000000001</v>
      </c>
      <c r="J122">
        <v>13.160561</v>
      </c>
      <c r="K122">
        <v>13.250387</v>
      </c>
      <c r="L122">
        <v>13.341866</v>
      </c>
      <c r="M122">
        <v>13.437830999999999</v>
      </c>
      <c r="N122">
        <v>13.541937000000001</v>
      </c>
      <c r="O122">
        <v>13.647505000000001</v>
      </c>
      <c r="P122">
        <v>13.762563</v>
      </c>
      <c r="Q122">
        <v>13.886763</v>
      </c>
      <c r="R122">
        <v>14.018940000000001</v>
      </c>
      <c r="S122">
        <v>14.155526999999999</v>
      </c>
      <c r="T122">
        <v>14.300395</v>
      </c>
      <c r="U122">
        <v>14.452030000000001</v>
      </c>
      <c r="V122">
        <v>14.607469</v>
      </c>
      <c r="W122">
        <v>14.773649000000001</v>
      </c>
      <c r="X122">
        <v>14.947186</v>
      </c>
      <c r="Y122">
        <v>15.126486999999999</v>
      </c>
      <c r="Z122">
        <v>15.302503</v>
      </c>
      <c r="AA122">
        <v>15.47659</v>
      </c>
      <c r="AB122">
        <v>15.647549</v>
      </c>
      <c r="AC122">
        <v>15.819523999999999</v>
      </c>
      <c r="AD122">
        <v>15.992418000000001</v>
      </c>
      <c r="AE122">
        <v>16.163097</v>
      </c>
      <c r="AF122">
        <v>16.331121</v>
      </c>
      <c r="AG122" s="144">
        <v>8.9999999999999993E-3</v>
      </c>
    </row>
    <row r="123" spans="1:33">
      <c r="A123" t="s">
        <v>1877</v>
      </c>
    </row>
    <row r="124" spans="1:33">
      <c r="A124" t="s">
        <v>201</v>
      </c>
      <c r="B124" t="s">
        <v>2130</v>
      </c>
      <c r="C124" t="s">
        <v>2129</v>
      </c>
      <c r="D124" t="s">
        <v>1913</v>
      </c>
      <c r="F124">
        <v>8.9978890000000007</v>
      </c>
      <c r="G124">
        <v>9.0829520000000006</v>
      </c>
      <c r="H124">
        <v>9.1856989999999996</v>
      </c>
      <c r="I124">
        <v>9.302251</v>
      </c>
      <c r="J124">
        <v>9.4243500000000004</v>
      </c>
      <c r="K124">
        <v>9.5493419999999993</v>
      </c>
      <c r="L124">
        <v>9.6778139999999997</v>
      </c>
      <c r="M124">
        <v>9.8073920000000001</v>
      </c>
      <c r="N124">
        <v>9.9367000000000001</v>
      </c>
      <c r="O124">
        <v>10.064192</v>
      </c>
      <c r="P124">
        <v>10.185987000000001</v>
      </c>
      <c r="Q124">
        <v>10.298703</v>
      </c>
      <c r="R124">
        <v>10.397989000000001</v>
      </c>
      <c r="S124">
        <v>10.485415</v>
      </c>
      <c r="T124">
        <v>10.563262</v>
      </c>
      <c r="U124">
        <v>10.632419000000001</v>
      </c>
      <c r="V124">
        <v>10.694361000000001</v>
      </c>
      <c r="W124">
        <v>10.750007999999999</v>
      </c>
      <c r="X124">
        <v>10.79853</v>
      </c>
      <c r="Y124">
        <v>10.838488</v>
      </c>
      <c r="Z124">
        <v>10.87189</v>
      </c>
      <c r="AA124">
        <v>10.900912</v>
      </c>
      <c r="AB124">
        <v>10.927300000000001</v>
      </c>
      <c r="AC124">
        <v>10.951186</v>
      </c>
      <c r="AD124">
        <v>10.973481</v>
      </c>
      <c r="AE124">
        <v>10.994838</v>
      </c>
      <c r="AF124">
        <v>11.015133000000001</v>
      </c>
      <c r="AG124" s="144">
        <v>8.0000000000000002E-3</v>
      </c>
    </row>
    <row r="125" spans="1:33">
      <c r="A125" t="s">
        <v>202</v>
      </c>
      <c r="B125" t="s">
        <v>2128</v>
      </c>
      <c r="C125" t="s">
        <v>2127</v>
      </c>
      <c r="D125" t="s">
        <v>1916</v>
      </c>
      <c r="F125">
        <v>8.592568</v>
      </c>
      <c r="G125">
        <v>8.606071</v>
      </c>
      <c r="H125">
        <v>8.6407279999999993</v>
      </c>
      <c r="I125">
        <v>8.6937289999999994</v>
      </c>
      <c r="J125">
        <v>8.7579480000000007</v>
      </c>
      <c r="K125">
        <v>8.8303630000000002</v>
      </c>
      <c r="L125">
        <v>8.9090279999999993</v>
      </c>
      <c r="M125">
        <v>8.9910139999999998</v>
      </c>
      <c r="N125">
        <v>9.0732940000000006</v>
      </c>
      <c r="O125">
        <v>9.1533490000000004</v>
      </c>
      <c r="P125">
        <v>9.2273899999999998</v>
      </c>
      <c r="Q125">
        <v>9.2924640000000007</v>
      </c>
      <c r="R125">
        <v>9.3458290000000002</v>
      </c>
      <c r="S125">
        <v>9.3894179999999992</v>
      </c>
      <c r="T125">
        <v>9.426107</v>
      </c>
      <c r="U125">
        <v>9.4564690000000002</v>
      </c>
      <c r="V125">
        <v>9.4821089999999995</v>
      </c>
      <c r="W125">
        <v>9.5037509999999994</v>
      </c>
      <c r="X125">
        <v>9.5213079999999994</v>
      </c>
      <c r="Y125">
        <v>9.5352370000000004</v>
      </c>
      <c r="Z125">
        <v>9.5466929999999994</v>
      </c>
      <c r="AA125">
        <v>9.5570179999999993</v>
      </c>
      <c r="AB125">
        <v>9.5671199999999992</v>
      </c>
      <c r="AC125">
        <v>9.5762730000000005</v>
      </c>
      <c r="AD125">
        <v>9.5845059999999993</v>
      </c>
      <c r="AE125">
        <v>9.5920339999999999</v>
      </c>
      <c r="AF125">
        <v>9.5997579999999996</v>
      </c>
      <c r="AG125" s="144">
        <v>4.0000000000000001E-3</v>
      </c>
    </row>
    <row r="126" spans="1:33">
      <c r="A126" t="s">
        <v>203</v>
      </c>
      <c r="B126" t="s">
        <v>2126</v>
      </c>
      <c r="C126" t="s">
        <v>2125</v>
      </c>
      <c r="D126" t="s">
        <v>1916</v>
      </c>
      <c r="F126">
        <v>6.8220650000000003</v>
      </c>
      <c r="G126">
        <v>6.8356219999999999</v>
      </c>
      <c r="H126">
        <v>6.8474570000000003</v>
      </c>
      <c r="I126">
        <v>6.8590809999999998</v>
      </c>
      <c r="J126">
        <v>6.8706709999999998</v>
      </c>
      <c r="K126">
        <v>6.8888879999999997</v>
      </c>
      <c r="L126">
        <v>6.9028039999999997</v>
      </c>
      <c r="M126">
        <v>6.9194360000000001</v>
      </c>
      <c r="N126">
        <v>6.9374929999999999</v>
      </c>
      <c r="O126">
        <v>6.9537370000000003</v>
      </c>
      <c r="P126">
        <v>6.9632969999999998</v>
      </c>
      <c r="Q126">
        <v>6.9714309999999999</v>
      </c>
      <c r="R126">
        <v>6.9840410000000004</v>
      </c>
      <c r="S126">
        <v>6.9995570000000003</v>
      </c>
      <c r="T126">
        <v>7.0186469999999996</v>
      </c>
      <c r="U126">
        <v>7.0403880000000001</v>
      </c>
      <c r="V126">
        <v>7.0628229999999999</v>
      </c>
      <c r="W126">
        <v>7.0873840000000001</v>
      </c>
      <c r="X126">
        <v>7.1132809999999997</v>
      </c>
      <c r="Y126">
        <v>7.1400220000000001</v>
      </c>
      <c r="Z126">
        <v>7.1690750000000003</v>
      </c>
      <c r="AA126">
        <v>7.192005</v>
      </c>
      <c r="AB126">
        <v>7.2187939999999999</v>
      </c>
      <c r="AC126">
        <v>7.2469020000000004</v>
      </c>
      <c r="AD126">
        <v>7.3173399999999997</v>
      </c>
      <c r="AE126">
        <v>7.4649669999999997</v>
      </c>
      <c r="AF126">
        <v>7.6597530000000003</v>
      </c>
      <c r="AG126" s="144">
        <v>4.0000000000000001E-3</v>
      </c>
    </row>
    <row r="127" spans="1:33">
      <c r="A127" t="s">
        <v>204</v>
      </c>
      <c r="B127" t="s">
        <v>2124</v>
      </c>
      <c r="C127" t="s">
        <v>2123</v>
      </c>
      <c r="D127" t="s">
        <v>1916</v>
      </c>
      <c r="F127">
        <v>6.9587450000000004</v>
      </c>
      <c r="G127">
        <v>7.1005240000000001</v>
      </c>
      <c r="H127">
        <v>7.2395759999999996</v>
      </c>
      <c r="I127">
        <v>7.3705959999999999</v>
      </c>
      <c r="J127">
        <v>7.4949719999999997</v>
      </c>
      <c r="K127">
        <v>7.6142539999999999</v>
      </c>
      <c r="L127">
        <v>7.7296529999999999</v>
      </c>
      <c r="M127">
        <v>7.8412980000000001</v>
      </c>
      <c r="N127">
        <v>7.9508369999999999</v>
      </c>
      <c r="O127">
        <v>8.0574860000000008</v>
      </c>
      <c r="P127">
        <v>8.1595089999999999</v>
      </c>
      <c r="Q127">
        <v>8.2554759999999998</v>
      </c>
      <c r="R127">
        <v>8.3427430000000005</v>
      </c>
      <c r="S127">
        <v>8.4244380000000003</v>
      </c>
      <c r="T127">
        <v>8.4999819999999993</v>
      </c>
      <c r="U127">
        <v>8.5670479999999998</v>
      </c>
      <c r="V127">
        <v>8.6249350000000007</v>
      </c>
      <c r="W127">
        <v>8.6754809999999996</v>
      </c>
      <c r="X127">
        <v>8.7235139999999998</v>
      </c>
      <c r="Y127">
        <v>8.7679089999999995</v>
      </c>
      <c r="Z127">
        <v>8.8069520000000008</v>
      </c>
      <c r="AA127">
        <v>8.8404869999999995</v>
      </c>
      <c r="AB127">
        <v>8.8708639999999992</v>
      </c>
      <c r="AC127">
        <v>8.8994520000000001</v>
      </c>
      <c r="AD127">
        <v>8.9278849999999998</v>
      </c>
      <c r="AE127">
        <v>8.9568460000000005</v>
      </c>
      <c r="AF127">
        <v>8.9833010000000009</v>
      </c>
      <c r="AG127" s="144">
        <v>0.01</v>
      </c>
    </row>
    <row r="128" spans="1:33">
      <c r="A128" t="s">
        <v>205</v>
      </c>
      <c r="B128" t="s">
        <v>2122</v>
      </c>
      <c r="C128" t="s">
        <v>2121</v>
      </c>
      <c r="D128" t="s">
        <v>1956</v>
      </c>
      <c r="F128">
        <v>7.796983</v>
      </c>
      <c r="G128">
        <v>7.7971940000000002</v>
      </c>
      <c r="H128">
        <v>7.7987250000000001</v>
      </c>
      <c r="I128">
        <v>7.801488</v>
      </c>
      <c r="J128">
        <v>7.8042069999999999</v>
      </c>
      <c r="K128">
        <v>7.8062139999999998</v>
      </c>
      <c r="L128">
        <v>7.8079090000000004</v>
      </c>
      <c r="M128">
        <v>7.8093599999999999</v>
      </c>
      <c r="N128">
        <v>7.8103420000000003</v>
      </c>
      <c r="O128">
        <v>7.8079689999999999</v>
      </c>
      <c r="P128">
        <v>7.8039969999999999</v>
      </c>
      <c r="Q128">
        <v>7.8007169999999997</v>
      </c>
      <c r="R128">
        <v>7.797841</v>
      </c>
      <c r="S128">
        <v>7.7953469999999996</v>
      </c>
      <c r="T128">
        <v>7.7935889999999999</v>
      </c>
      <c r="U128">
        <v>7.7924810000000004</v>
      </c>
      <c r="V128">
        <v>7.7928889999999997</v>
      </c>
      <c r="W128">
        <v>7.7937029999999998</v>
      </c>
      <c r="X128">
        <v>7.79474</v>
      </c>
      <c r="Y128">
        <v>7.7960089999999997</v>
      </c>
      <c r="Z128">
        <v>7.7985680000000004</v>
      </c>
      <c r="AA128">
        <v>7.8054160000000001</v>
      </c>
      <c r="AB128">
        <v>7.8220879999999999</v>
      </c>
      <c r="AC128">
        <v>7.8419610000000004</v>
      </c>
      <c r="AD128">
        <v>7.8639159999999997</v>
      </c>
      <c r="AE128">
        <v>7.8818760000000001</v>
      </c>
      <c r="AF128">
        <v>7.8981960000000004</v>
      </c>
      <c r="AG128" s="144">
        <v>0</v>
      </c>
    </row>
    <row r="129" spans="1:33">
      <c r="A129" t="s">
        <v>206</v>
      </c>
      <c r="B129" t="s">
        <v>2120</v>
      </c>
      <c r="C129" t="s">
        <v>2119</v>
      </c>
      <c r="D129" t="s">
        <v>1916</v>
      </c>
      <c r="F129">
        <v>24.166793999999999</v>
      </c>
      <c r="G129">
        <v>23.488609</v>
      </c>
      <c r="H129">
        <v>22.970822999999999</v>
      </c>
      <c r="I129">
        <v>22.584382999999999</v>
      </c>
      <c r="J129">
        <v>22.309833999999999</v>
      </c>
      <c r="K129">
        <v>22.112442000000001</v>
      </c>
      <c r="L129">
        <v>21.974169</v>
      </c>
      <c r="M129">
        <v>21.859919000000001</v>
      </c>
      <c r="N129">
        <v>21.779983999999999</v>
      </c>
      <c r="O129">
        <v>21.717737</v>
      </c>
      <c r="P129">
        <v>21.666831999999999</v>
      </c>
      <c r="Q129">
        <v>21.623701000000001</v>
      </c>
      <c r="R129">
        <v>21.584246</v>
      </c>
      <c r="S129">
        <v>21.556746</v>
      </c>
      <c r="T129">
        <v>21.530912000000001</v>
      </c>
      <c r="U129">
        <v>21.508230000000001</v>
      </c>
      <c r="V129">
        <v>21.486397</v>
      </c>
      <c r="W129">
        <v>21.472149000000002</v>
      </c>
      <c r="X129">
        <v>21.463833000000001</v>
      </c>
      <c r="Y129">
        <v>21.454124</v>
      </c>
      <c r="Z129">
        <v>21.444941</v>
      </c>
      <c r="AA129">
        <v>21.435572000000001</v>
      </c>
      <c r="AB129">
        <v>21.425909000000001</v>
      </c>
      <c r="AC129">
        <v>21.417406</v>
      </c>
      <c r="AD129">
        <v>21.411480000000001</v>
      </c>
      <c r="AE129">
        <v>21.406433</v>
      </c>
      <c r="AF129">
        <v>21.400034000000002</v>
      </c>
      <c r="AG129" s="144">
        <v>-5.0000000000000001E-3</v>
      </c>
    </row>
    <row r="130" spans="1:33">
      <c r="A130" t="s">
        <v>207</v>
      </c>
      <c r="B130" t="s">
        <v>2118</v>
      </c>
      <c r="C130" t="s">
        <v>2117</v>
      </c>
      <c r="D130" t="s">
        <v>1916</v>
      </c>
      <c r="F130">
        <v>0</v>
      </c>
      <c r="G130">
        <v>0</v>
      </c>
      <c r="H130">
        <v>10.021416</v>
      </c>
      <c r="I130">
        <v>10.148141000000001</v>
      </c>
      <c r="J130">
        <v>10.257020000000001</v>
      </c>
      <c r="K130">
        <v>10.35416</v>
      </c>
      <c r="L130">
        <v>10.452347</v>
      </c>
      <c r="M130">
        <v>10.558968</v>
      </c>
      <c r="N130">
        <v>10.672829</v>
      </c>
      <c r="O130">
        <v>10.673995</v>
      </c>
      <c r="P130">
        <v>10.674879000000001</v>
      </c>
      <c r="Q130">
        <v>10.674975999999999</v>
      </c>
      <c r="R130">
        <v>10.675637</v>
      </c>
      <c r="S130">
        <v>10.676446</v>
      </c>
      <c r="T130">
        <v>10.677424999999999</v>
      </c>
      <c r="U130">
        <v>10.678618</v>
      </c>
      <c r="V130">
        <v>10.678158</v>
      </c>
      <c r="W130">
        <v>10.677065000000001</v>
      </c>
      <c r="X130">
        <v>10.675454999999999</v>
      </c>
      <c r="Y130">
        <v>10.674443</v>
      </c>
      <c r="Z130">
        <v>10.674431999999999</v>
      </c>
      <c r="AA130">
        <v>10.676520999999999</v>
      </c>
      <c r="AB130">
        <v>10.680699000000001</v>
      </c>
      <c r="AC130">
        <v>10.681051</v>
      </c>
      <c r="AD130">
        <v>10.679695000000001</v>
      </c>
      <c r="AE130">
        <v>10.677787</v>
      </c>
      <c r="AF130">
        <v>10.675386</v>
      </c>
      <c r="AG130" t="s">
        <v>1769</v>
      </c>
    </row>
    <row r="131" spans="1:33">
      <c r="A131" t="s">
        <v>208</v>
      </c>
      <c r="B131" t="s">
        <v>2116</v>
      </c>
      <c r="C131" t="s">
        <v>2115</v>
      </c>
      <c r="D131" t="s">
        <v>1916</v>
      </c>
      <c r="F131">
        <v>0</v>
      </c>
      <c r="G131">
        <v>9.2793500000000009</v>
      </c>
      <c r="H131">
        <v>9.3903090000000002</v>
      </c>
      <c r="I131">
        <v>9.4275889999999993</v>
      </c>
      <c r="J131">
        <v>9.4380749999999995</v>
      </c>
      <c r="K131">
        <v>9.4384440000000005</v>
      </c>
      <c r="L131">
        <v>9.4383389999999991</v>
      </c>
      <c r="M131">
        <v>9.4377980000000008</v>
      </c>
      <c r="N131">
        <v>9.4372070000000008</v>
      </c>
      <c r="O131">
        <v>9.4371589999999994</v>
      </c>
      <c r="P131">
        <v>9.4370309999999993</v>
      </c>
      <c r="Q131">
        <v>9.4372480000000003</v>
      </c>
      <c r="R131">
        <v>9.4374789999999997</v>
      </c>
      <c r="S131">
        <v>9.4374090000000006</v>
      </c>
      <c r="T131">
        <v>9.4373679999999993</v>
      </c>
      <c r="U131">
        <v>9.4368029999999994</v>
      </c>
      <c r="V131">
        <v>9.4368730000000003</v>
      </c>
      <c r="W131">
        <v>9.4382909999999995</v>
      </c>
      <c r="X131">
        <v>9.4389240000000001</v>
      </c>
      <c r="Y131">
        <v>9.4395220000000002</v>
      </c>
      <c r="Z131">
        <v>9.4401240000000008</v>
      </c>
      <c r="AA131">
        <v>9.4384189999999997</v>
      </c>
      <c r="AB131">
        <v>9.4378630000000001</v>
      </c>
      <c r="AC131">
        <v>9.4376599999999993</v>
      </c>
      <c r="AD131">
        <v>9.4378349999999998</v>
      </c>
      <c r="AE131">
        <v>9.4380550000000003</v>
      </c>
      <c r="AF131">
        <v>9.4382800000000007</v>
      </c>
      <c r="AG131" t="s">
        <v>1769</v>
      </c>
    </row>
    <row r="132" spans="1:33">
      <c r="A132" t="s">
        <v>209</v>
      </c>
      <c r="B132" t="s">
        <v>2114</v>
      </c>
      <c r="C132" t="s">
        <v>2113</v>
      </c>
      <c r="D132" t="s">
        <v>1916</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t="s">
        <v>1769</v>
      </c>
    </row>
    <row r="133" spans="1:33">
      <c r="A133" t="s">
        <v>1830</v>
      </c>
      <c r="B133" t="s">
        <v>2112</v>
      </c>
      <c r="C133" t="s">
        <v>2111</v>
      </c>
      <c r="D133" t="s">
        <v>1913</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c r="AC133">
        <v>0</v>
      </c>
      <c r="AD133">
        <v>0</v>
      </c>
      <c r="AE133">
        <v>0</v>
      </c>
      <c r="AF133">
        <v>0</v>
      </c>
      <c r="AG133" t="s">
        <v>1769</v>
      </c>
    </row>
    <row r="134" spans="1:33">
      <c r="A134" t="s">
        <v>1827</v>
      </c>
      <c r="B134" t="s">
        <v>2110</v>
      </c>
      <c r="C134" t="s">
        <v>2109</v>
      </c>
      <c r="D134" t="s">
        <v>1916</v>
      </c>
      <c r="F134">
        <v>0</v>
      </c>
      <c r="G134">
        <v>9.8621339999999993</v>
      </c>
      <c r="H134">
        <v>9.8833859999999998</v>
      </c>
      <c r="I134">
        <v>9.8984020000000008</v>
      </c>
      <c r="J134">
        <v>9.914415</v>
      </c>
      <c r="K134">
        <v>9.9336549999999999</v>
      </c>
      <c r="L134">
        <v>9.9669659999999993</v>
      </c>
      <c r="M134">
        <v>10.016080000000001</v>
      </c>
      <c r="N134">
        <v>10.069900000000001</v>
      </c>
      <c r="O134">
        <v>10.138522999999999</v>
      </c>
      <c r="P134">
        <v>10.213169000000001</v>
      </c>
      <c r="Q134">
        <v>10.27599</v>
      </c>
      <c r="R134">
        <v>10.324953000000001</v>
      </c>
      <c r="S134">
        <v>10.362147</v>
      </c>
      <c r="T134">
        <v>10.390623</v>
      </c>
      <c r="U134">
        <v>10.412682999999999</v>
      </c>
      <c r="V134">
        <v>10.429790000000001</v>
      </c>
      <c r="W134">
        <v>10.442456999999999</v>
      </c>
      <c r="X134">
        <v>10.452116999999999</v>
      </c>
      <c r="Y134">
        <v>10.459664</v>
      </c>
      <c r="Z134">
        <v>10.465630000000001</v>
      </c>
      <c r="AA134">
        <v>10.470389000000001</v>
      </c>
      <c r="AB134">
        <v>10.474275</v>
      </c>
      <c r="AC134">
        <v>10.47749</v>
      </c>
      <c r="AD134">
        <v>10.480141</v>
      </c>
      <c r="AE134">
        <v>10.482335000000001</v>
      </c>
      <c r="AF134">
        <v>10.484144000000001</v>
      </c>
      <c r="AG134" t="s">
        <v>1769</v>
      </c>
    </row>
    <row r="135" spans="1:33">
      <c r="A135" t="s">
        <v>1824</v>
      </c>
      <c r="B135" t="s">
        <v>2108</v>
      </c>
      <c r="C135" t="s">
        <v>2107</v>
      </c>
      <c r="D135" t="s">
        <v>1913</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t="s">
        <v>1769</v>
      </c>
    </row>
    <row r="136" spans="1:33">
      <c r="A136" t="s">
        <v>1941</v>
      </c>
      <c r="B136" t="s">
        <v>2106</v>
      </c>
      <c r="C136" t="s">
        <v>2105</v>
      </c>
      <c r="F136">
        <v>8.8135969999999997</v>
      </c>
      <c r="G136">
        <v>8.8656690000000005</v>
      </c>
      <c r="H136">
        <v>8.9361870000000003</v>
      </c>
      <c r="I136">
        <v>9.0218129999999999</v>
      </c>
      <c r="J136">
        <v>9.1149059999999995</v>
      </c>
      <c r="K136">
        <v>9.2129379999999994</v>
      </c>
      <c r="L136">
        <v>9.3155249999999992</v>
      </c>
      <c r="M136">
        <v>9.4202680000000001</v>
      </c>
      <c r="N136">
        <v>9.5250190000000003</v>
      </c>
      <c r="O136">
        <v>9.6281189999999999</v>
      </c>
      <c r="P136">
        <v>9.7260120000000008</v>
      </c>
      <c r="Q136">
        <v>9.8152310000000007</v>
      </c>
      <c r="R136">
        <v>9.8922919999999994</v>
      </c>
      <c r="S136">
        <v>9.9582700000000006</v>
      </c>
      <c r="T136">
        <v>10.015612000000001</v>
      </c>
      <c r="U136">
        <v>10.064689</v>
      </c>
      <c r="V136">
        <v>10.107037</v>
      </c>
      <c r="W136">
        <v>10.143312</v>
      </c>
      <c r="X136">
        <v>10.173615</v>
      </c>
      <c r="Y136">
        <v>10.198003</v>
      </c>
      <c r="Z136">
        <v>10.217998</v>
      </c>
      <c r="AA136">
        <v>10.235155000000001</v>
      </c>
      <c r="AB136">
        <v>10.250697000000001</v>
      </c>
      <c r="AC136">
        <v>10.264521999999999</v>
      </c>
      <c r="AD136">
        <v>10.276980999999999</v>
      </c>
      <c r="AE136">
        <v>10.288339000000001</v>
      </c>
      <c r="AF136">
        <v>10.299118999999999</v>
      </c>
      <c r="AG136" s="144">
        <v>6.0000000000000001E-3</v>
      </c>
    </row>
    <row r="137" spans="1:33">
      <c r="A137" t="s">
        <v>1849</v>
      </c>
    </row>
    <row r="138" spans="1:33">
      <c r="A138" t="s">
        <v>201</v>
      </c>
      <c r="B138" t="s">
        <v>2104</v>
      </c>
      <c r="C138" t="s">
        <v>2103</v>
      </c>
      <c r="D138" t="s">
        <v>1913</v>
      </c>
      <c r="F138">
        <v>6.4481590000000004</v>
      </c>
      <c r="G138">
        <v>6.5237150000000002</v>
      </c>
      <c r="H138">
        <v>6.610277</v>
      </c>
      <c r="I138">
        <v>6.7069049999999999</v>
      </c>
      <c r="J138">
        <v>6.8064679999999997</v>
      </c>
      <c r="K138">
        <v>6.9066099999999997</v>
      </c>
      <c r="L138">
        <v>7.0061400000000003</v>
      </c>
      <c r="M138">
        <v>7.1038860000000001</v>
      </c>
      <c r="N138">
        <v>7.1993840000000002</v>
      </c>
      <c r="O138">
        <v>7.2923330000000002</v>
      </c>
      <c r="P138">
        <v>7.3804069999999999</v>
      </c>
      <c r="Q138">
        <v>7.4618279999999997</v>
      </c>
      <c r="R138">
        <v>7.5358000000000001</v>
      </c>
      <c r="S138">
        <v>7.6030470000000001</v>
      </c>
      <c r="T138">
        <v>7.664059</v>
      </c>
      <c r="U138">
        <v>7.7193630000000004</v>
      </c>
      <c r="V138">
        <v>7.769641</v>
      </c>
      <c r="W138">
        <v>7.8135589999999997</v>
      </c>
      <c r="X138">
        <v>7.8512329999999997</v>
      </c>
      <c r="Y138">
        <v>7.8831619999999996</v>
      </c>
      <c r="Z138">
        <v>7.910139</v>
      </c>
      <c r="AA138">
        <v>7.9335370000000003</v>
      </c>
      <c r="AB138">
        <v>7.9543119999999998</v>
      </c>
      <c r="AC138">
        <v>7.9732010000000004</v>
      </c>
      <c r="AD138">
        <v>7.990386</v>
      </c>
      <c r="AE138">
        <v>8.0064489999999999</v>
      </c>
      <c r="AF138">
        <v>8.0207669999999993</v>
      </c>
      <c r="AG138" s="144">
        <v>8.0000000000000002E-3</v>
      </c>
    </row>
    <row r="139" spans="1:33">
      <c r="A139" t="s">
        <v>202</v>
      </c>
      <c r="B139" t="s">
        <v>2102</v>
      </c>
      <c r="C139" t="s">
        <v>2101</v>
      </c>
      <c r="D139" t="s">
        <v>1916</v>
      </c>
      <c r="F139">
        <v>5.0604979999999999</v>
      </c>
      <c r="G139">
        <v>5.0774359999999996</v>
      </c>
      <c r="H139">
        <v>5.0991439999999999</v>
      </c>
      <c r="I139">
        <v>5.1250900000000001</v>
      </c>
      <c r="J139">
        <v>5.1534420000000001</v>
      </c>
      <c r="K139">
        <v>5.1845939999999997</v>
      </c>
      <c r="L139">
        <v>5.2184819999999998</v>
      </c>
      <c r="M139">
        <v>5.2552859999999999</v>
      </c>
      <c r="N139">
        <v>5.2975779999999997</v>
      </c>
      <c r="O139">
        <v>5.3497630000000003</v>
      </c>
      <c r="P139">
        <v>5.4074600000000004</v>
      </c>
      <c r="Q139">
        <v>5.4704280000000001</v>
      </c>
      <c r="R139">
        <v>5.5354279999999996</v>
      </c>
      <c r="S139">
        <v>5.6057940000000004</v>
      </c>
      <c r="T139">
        <v>5.680758</v>
      </c>
      <c r="U139">
        <v>5.7590899999999996</v>
      </c>
      <c r="V139">
        <v>5.8335530000000002</v>
      </c>
      <c r="W139">
        <v>5.9079370000000004</v>
      </c>
      <c r="X139">
        <v>5.9863949999999999</v>
      </c>
      <c r="Y139">
        <v>6.0574680000000001</v>
      </c>
      <c r="Z139">
        <v>6.1193</v>
      </c>
      <c r="AA139">
        <v>6.1728969999999999</v>
      </c>
      <c r="AB139">
        <v>6.2207470000000002</v>
      </c>
      <c r="AC139">
        <v>6.2629130000000002</v>
      </c>
      <c r="AD139">
        <v>6.3015109999999996</v>
      </c>
      <c r="AE139">
        <v>6.3367149999999999</v>
      </c>
      <c r="AF139">
        <v>6.3716860000000004</v>
      </c>
      <c r="AG139" s="144">
        <v>8.9999999999999993E-3</v>
      </c>
    </row>
    <row r="140" spans="1:33">
      <c r="A140" t="s">
        <v>203</v>
      </c>
      <c r="B140" t="s">
        <v>2100</v>
      </c>
      <c r="C140" t="s">
        <v>2099</v>
      </c>
      <c r="D140" t="s">
        <v>1916</v>
      </c>
      <c r="F140">
        <v>5.1770810000000003</v>
      </c>
      <c r="G140">
        <v>5.2519499999999999</v>
      </c>
      <c r="H140">
        <v>5.3134009999999998</v>
      </c>
      <c r="I140">
        <v>5.3660629999999996</v>
      </c>
      <c r="J140">
        <v>5.4125629999999996</v>
      </c>
      <c r="K140">
        <v>5.4564050000000002</v>
      </c>
      <c r="L140">
        <v>5.5025110000000002</v>
      </c>
      <c r="M140">
        <v>5.553839</v>
      </c>
      <c r="N140">
        <v>5.6110850000000001</v>
      </c>
      <c r="O140">
        <v>5.6749489999999998</v>
      </c>
      <c r="P140">
        <v>5.7430880000000002</v>
      </c>
      <c r="Q140">
        <v>5.815677</v>
      </c>
      <c r="R140">
        <v>5.8909649999999996</v>
      </c>
      <c r="S140">
        <v>5.9667110000000001</v>
      </c>
      <c r="T140">
        <v>6.0391219999999999</v>
      </c>
      <c r="U140">
        <v>6.1066419999999999</v>
      </c>
      <c r="V140">
        <v>6.168126</v>
      </c>
      <c r="W140">
        <v>6.2248260000000002</v>
      </c>
      <c r="X140">
        <v>6.2762650000000004</v>
      </c>
      <c r="Y140">
        <v>6.3219269999999996</v>
      </c>
      <c r="Z140">
        <v>6.3612109999999999</v>
      </c>
      <c r="AA140">
        <v>6.3945879999999997</v>
      </c>
      <c r="AB140">
        <v>6.4228620000000003</v>
      </c>
      <c r="AC140">
        <v>6.4477200000000003</v>
      </c>
      <c r="AD140">
        <v>6.471025</v>
      </c>
      <c r="AE140">
        <v>6.4940899999999999</v>
      </c>
      <c r="AF140">
        <v>6.5145</v>
      </c>
      <c r="AG140" s="144">
        <v>8.9999999999999993E-3</v>
      </c>
    </row>
    <row r="141" spans="1:33">
      <c r="A141" t="s">
        <v>204</v>
      </c>
      <c r="B141" t="s">
        <v>2098</v>
      </c>
      <c r="C141" t="s">
        <v>2097</v>
      </c>
      <c r="D141" t="s">
        <v>1913</v>
      </c>
      <c r="F141">
        <v>5.8177469999999998</v>
      </c>
      <c r="G141">
        <v>5.8252810000000004</v>
      </c>
      <c r="H141">
        <v>5.8505969999999996</v>
      </c>
      <c r="I141">
        <v>5.8820009999999998</v>
      </c>
      <c r="J141">
        <v>5.923349</v>
      </c>
      <c r="K141">
        <v>5.9725099999999998</v>
      </c>
      <c r="L141">
        <v>6.0274619999999999</v>
      </c>
      <c r="M141">
        <v>6.0861039999999997</v>
      </c>
      <c r="N141">
        <v>6.1471739999999997</v>
      </c>
      <c r="O141">
        <v>6.2090630000000004</v>
      </c>
      <c r="P141">
        <v>6.2704079999999998</v>
      </c>
      <c r="Q141">
        <v>6.3303279999999997</v>
      </c>
      <c r="R141">
        <v>6.3855779999999998</v>
      </c>
      <c r="S141">
        <v>6.4388249999999996</v>
      </c>
      <c r="T141">
        <v>6.4865199999999996</v>
      </c>
      <c r="U141">
        <v>6.5314629999999996</v>
      </c>
      <c r="V141">
        <v>6.5754039999999998</v>
      </c>
      <c r="W141">
        <v>6.6179860000000001</v>
      </c>
      <c r="X141">
        <v>6.6568529999999999</v>
      </c>
      <c r="Y141">
        <v>6.6910489999999996</v>
      </c>
      <c r="Z141">
        <v>6.7246829999999997</v>
      </c>
      <c r="AA141">
        <v>6.7557660000000004</v>
      </c>
      <c r="AB141">
        <v>6.7887440000000003</v>
      </c>
      <c r="AC141">
        <v>6.8248379999999997</v>
      </c>
      <c r="AD141">
        <v>6.8676399999999997</v>
      </c>
      <c r="AE141">
        <v>6.9122810000000001</v>
      </c>
      <c r="AF141">
        <v>6.9615030000000004</v>
      </c>
      <c r="AG141" s="144">
        <v>7.0000000000000001E-3</v>
      </c>
    </row>
    <row r="142" spans="1:33">
      <c r="A142" t="s">
        <v>205</v>
      </c>
      <c r="B142" t="s">
        <v>2096</v>
      </c>
      <c r="C142" t="s">
        <v>2095</v>
      </c>
      <c r="D142" t="s">
        <v>1916</v>
      </c>
      <c r="F142">
        <v>0</v>
      </c>
      <c r="G142">
        <v>0</v>
      </c>
      <c r="H142">
        <v>0</v>
      </c>
      <c r="I142">
        <v>0</v>
      </c>
      <c r="J142">
        <v>0</v>
      </c>
      <c r="K142">
        <v>0</v>
      </c>
      <c r="L142">
        <v>0</v>
      </c>
      <c r="M142">
        <v>0</v>
      </c>
      <c r="N142">
        <v>0</v>
      </c>
      <c r="O142">
        <v>0</v>
      </c>
      <c r="P142">
        <v>0</v>
      </c>
      <c r="Q142">
        <v>0</v>
      </c>
      <c r="R142">
        <v>0</v>
      </c>
      <c r="S142">
        <v>0</v>
      </c>
      <c r="T142">
        <v>0</v>
      </c>
      <c r="U142">
        <v>0</v>
      </c>
      <c r="V142">
        <v>0</v>
      </c>
      <c r="W142">
        <v>0</v>
      </c>
      <c r="X142">
        <v>0</v>
      </c>
      <c r="Y142">
        <v>0</v>
      </c>
      <c r="Z142">
        <v>0</v>
      </c>
      <c r="AA142">
        <v>0</v>
      </c>
      <c r="AB142">
        <v>0</v>
      </c>
      <c r="AC142">
        <v>0</v>
      </c>
      <c r="AD142">
        <v>0</v>
      </c>
      <c r="AE142">
        <v>0</v>
      </c>
      <c r="AF142">
        <v>0</v>
      </c>
      <c r="AG142" t="s">
        <v>1769</v>
      </c>
    </row>
    <row r="143" spans="1:33">
      <c r="A143" t="s">
        <v>206</v>
      </c>
      <c r="B143" t="s">
        <v>2094</v>
      </c>
      <c r="C143" t="s">
        <v>2093</v>
      </c>
      <c r="D143" t="s">
        <v>1913</v>
      </c>
      <c r="F143">
        <v>13.988659</v>
      </c>
      <c r="G143">
        <v>13.883277</v>
      </c>
      <c r="H143">
        <v>13.850619999999999</v>
      </c>
      <c r="I143">
        <v>13.859565999999999</v>
      </c>
      <c r="J143">
        <v>13.895028999999999</v>
      </c>
      <c r="K143">
        <v>13.954997000000001</v>
      </c>
      <c r="L143">
        <v>14.030798000000001</v>
      </c>
      <c r="M143">
        <v>14.115463999999999</v>
      </c>
      <c r="N143">
        <v>14.211738</v>
      </c>
      <c r="O143">
        <v>14.318835999999999</v>
      </c>
      <c r="P143">
        <v>14.423564000000001</v>
      </c>
      <c r="Q143">
        <v>14.524480000000001</v>
      </c>
      <c r="R143">
        <v>14.620310999999999</v>
      </c>
      <c r="S143">
        <v>14.710813999999999</v>
      </c>
      <c r="T143">
        <v>14.79519</v>
      </c>
      <c r="U143">
        <v>14.872324000000001</v>
      </c>
      <c r="V143">
        <v>14.941452999999999</v>
      </c>
      <c r="W143">
        <v>15.002162</v>
      </c>
      <c r="X143">
        <v>15.054307</v>
      </c>
      <c r="Y143">
        <v>15.098464999999999</v>
      </c>
      <c r="Z143">
        <v>15.13503</v>
      </c>
      <c r="AA143">
        <v>15.16474</v>
      </c>
      <c r="AB143">
        <v>15.188535</v>
      </c>
      <c r="AC143">
        <v>15.207722</v>
      </c>
      <c r="AD143">
        <v>15.223267</v>
      </c>
      <c r="AE143">
        <v>15.235799</v>
      </c>
      <c r="AF143">
        <v>15.245944</v>
      </c>
      <c r="AG143" s="144">
        <v>3.0000000000000001E-3</v>
      </c>
    </row>
    <row r="144" spans="1:33">
      <c r="A144" t="s">
        <v>207</v>
      </c>
      <c r="B144" t="s">
        <v>2092</v>
      </c>
      <c r="C144" t="s">
        <v>2091</v>
      </c>
      <c r="D144" t="s">
        <v>1913</v>
      </c>
      <c r="F144">
        <v>0</v>
      </c>
      <c r="G144">
        <v>0</v>
      </c>
      <c r="H144">
        <v>8.8917629999999992</v>
      </c>
      <c r="I144">
        <v>9.0109379999999994</v>
      </c>
      <c r="J144">
        <v>9.0930579999999992</v>
      </c>
      <c r="K144">
        <v>9.1704240000000006</v>
      </c>
      <c r="L144">
        <v>9.2546510000000008</v>
      </c>
      <c r="M144">
        <v>9.3515370000000004</v>
      </c>
      <c r="N144">
        <v>9.4650669999999995</v>
      </c>
      <c r="O144">
        <v>9.4638760000000008</v>
      </c>
      <c r="P144">
        <v>9.4589940000000006</v>
      </c>
      <c r="Q144">
        <v>9.4530069999999995</v>
      </c>
      <c r="R144">
        <v>9.4444230000000005</v>
      </c>
      <c r="S144">
        <v>9.438231</v>
      </c>
      <c r="T144">
        <v>9.4353920000000002</v>
      </c>
      <c r="U144">
        <v>9.4374330000000004</v>
      </c>
      <c r="V144">
        <v>9.4385729999999999</v>
      </c>
      <c r="W144">
        <v>9.443244</v>
      </c>
      <c r="X144">
        <v>9.4517179999999996</v>
      </c>
      <c r="Y144">
        <v>9.4627800000000004</v>
      </c>
      <c r="Z144">
        <v>9.4740059999999993</v>
      </c>
      <c r="AA144">
        <v>9.4837299999999995</v>
      </c>
      <c r="AB144">
        <v>9.4882910000000003</v>
      </c>
      <c r="AC144">
        <v>9.4838109999999993</v>
      </c>
      <c r="AD144">
        <v>9.4798200000000001</v>
      </c>
      <c r="AE144">
        <v>9.4780770000000008</v>
      </c>
      <c r="AF144">
        <v>9.4804750000000002</v>
      </c>
      <c r="AG144" t="s">
        <v>1769</v>
      </c>
    </row>
    <row r="145" spans="1:33">
      <c r="A145" t="s">
        <v>208</v>
      </c>
      <c r="B145" t="s">
        <v>2090</v>
      </c>
      <c r="C145" t="s">
        <v>2089</v>
      </c>
      <c r="D145" t="s">
        <v>1916</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t="s">
        <v>1769</v>
      </c>
    </row>
    <row r="146" spans="1:33">
      <c r="A146" t="s">
        <v>209</v>
      </c>
      <c r="B146" t="s">
        <v>2088</v>
      </c>
      <c r="C146" t="s">
        <v>2087</v>
      </c>
      <c r="D146" t="s">
        <v>1913</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t="s">
        <v>1769</v>
      </c>
    </row>
    <row r="147" spans="1:33">
      <c r="A147" t="s">
        <v>1830</v>
      </c>
      <c r="B147" t="s">
        <v>2086</v>
      </c>
      <c r="C147" t="s">
        <v>2085</v>
      </c>
      <c r="D147" t="s">
        <v>1913</v>
      </c>
      <c r="F147">
        <v>0</v>
      </c>
      <c r="G147">
        <v>0</v>
      </c>
      <c r="H147">
        <v>0</v>
      </c>
      <c r="I147">
        <v>0</v>
      </c>
      <c r="J147">
        <v>0</v>
      </c>
      <c r="K147">
        <v>0</v>
      </c>
      <c r="L147">
        <v>0</v>
      </c>
      <c r="M147">
        <v>0</v>
      </c>
      <c r="N147">
        <v>0</v>
      </c>
      <c r="O147">
        <v>0</v>
      </c>
      <c r="P147">
        <v>0</v>
      </c>
      <c r="Q147">
        <v>0</v>
      </c>
      <c r="R147">
        <v>0</v>
      </c>
      <c r="S147">
        <v>0</v>
      </c>
      <c r="T147">
        <v>0</v>
      </c>
      <c r="U147">
        <v>0</v>
      </c>
      <c r="V147">
        <v>0</v>
      </c>
      <c r="W147">
        <v>0</v>
      </c>
      <c r="X147">
        <v>0</v>
      </c>
      <c r="Y147">
        <v>0</v>
      </c>
      <c r="Z147">
        <v>0</v>
      </c>
      <c r="AA147">
        <v>0</v>
      </c>
      <c r="AB147">
        <v>0</v>
      </c>
      <c r="AC147">
        <v>0</v>
      </c>
      <c r="AD147">
        <v>0</v>
      </c>
      <c r="AE147">
        <v>0</v>
      </c>
      <c r="AF147">
        <v>0</v>
      </c>
      <c r="AG147" t="s">
        <v>1769</v>
      </c>
    </row>
    <row r="148" spans="1:33">
      <c r="A148" t="s">
        <v>1827</v>
      </c>
      <c r="B148" t="s">
        <v>2084</v>
      </c>
      <c r="C148" t="s">
        <v>2083</v>
      </c>
      <c r="D148" t="s">
        <v>1916</v>
      </c>
      <c r="F148">
        <v>0</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c r="AC148">
        <v>0</v>
      </c>
      <c r="AD148">
        <v>0</v>
      </c>
      <c r="AE148">
        <v>0</v>
      </c>
      <c r="AF148">
        <v>0</v>
      </c>
      <c r="AG148" t="s">
        <v>1769</v>
      </c>
    </row>
    <row r="149" spans="1:33">
      <c r="A149" t="s">
        <v>1824</v>
      </c>
      <c r="B149" t="s">
        <v>2082</v>
      </c>
      <c r="C149" t="s">
        <v>2081</v>
      </c>
      <c r="D149" t="s">
        <v>1913</v>
      </c>
      <c r="F149">
        <v>0</v>
      </c>
      <c r="G149">
        <v>0</v>
      </c>
      <c r="H149">
        <v>0</v>
      </c>
      <c r="I149">
        <v>0</v>
      </c>
      <c r="J149">
        <v>0</v>
      </c>
      <c r="K149">
        <v>0</v>
      </c>
      <c r="L149">
        <v>0</v>
      </c>
      <c r="M149">
        <v>0</v>
      </c>
      <c r="N149">
        <v>0</v>
      </c>
      <c r="O149">
        <v>0</v>
      </c>
      <c r="P149">
        <v>0</v>
      </c>
      <c r="Q149">
        <v>0</v>
      </c>
      <c r="R149">
        <v>0</v>
      </c>
      <c r="S149">
        <v>0</v>
      </c>
      <c r="T149">
        <v>0</v>
      </c>
      <c r="U149">
        <v>0</v>
      </c>
      <c r="V149">
        <v>0</v>
      </c>
      <c r="W149">
        <v>0</v>
      </c>
      <c r="X149">
        <v>0</v>
      </c>
      <c r="Y149">
        <v>0</v>
      </c>
      <c r="Z149">
        <v>0</v>
      </c>
      <c r="AA149">
        <v>0</v>
      </c>
      <c r="AB149">
        <v>0</v>
      </c>
      <c r="AC149">
        <v>0</v>
      </c>
      <c r="AD149">
        <v>0</v>
      </c>
      <c r="AE149">
        <v>0</v>
      </c>
      <c r="AF149">
        <v>0</v>
      </c>
      <c r="AG149" t="s">
        <v>1769</v>
      </c>
    </row>
    <row r="150" spans="1:33">
      <c r="A150" t="s">
        <v>1912</v>
      </c>
      <c r="B150" t="s">
        <v>2080</v>
      </c>
      <c r="C150" t="s">
        <v>2079</v>
      </c>
      <c r="F150">
        <v>6.4419060000000004</v>
      </c>
      <c r="G150">
        <v>6.517417</v>
      </c>
      <c r="H150">
        <v>6.6038949999999996</v>
      </c>
      <c r="I150">
        <v>6.7003839999999997</v>
      </c>
      <c r="J150">
        <v>6.799779</v>
      </c>
      <c r="K150">
        <v>6.8997419999999998</v>
      </c>
      <c r="L150">
        <v>6.9991070000000004</v>
      </c>
      <c r="M150">
        <v>7.096711</v>
      </c>
      <c r="N150">
        <v>7.1920929999999998</v>
      </c>
      <c r="O150">
        <v>7.2848660000000001</v>
      </c>
      <c r="P150">
        <v>7.3727790000000004</v>
      </c>
      <c r="Q150">
        <v>7.4540790000000001</v>
      </c>
      <c r="R150">
        <v>7.527946</v>
      </c>
      <c r="S150">
        <v>7.5950939999999996</v>
      </c>
      <c r="T150">
        <v>7.6560100000000002</v>
      </c>
      <c r="U150">
        <v>7.7111929999999997</v>
      </c>
      <c r="V150">
        <v>7.761298</v>
      </c>
      <c r="W150">
        <v>7.8050090000000001</v>
      </c>
      <c r="X150">
        <v>7.8424889999999996</v>
      </c>
      <c r="Y150">
        <v>7.8742320000000001</v>
      </c>
      <c r="Z150">
        <v>7.901008</v>
      </c>
      <c r="AA150">
        <v>7.9241510000000002</v>
      </c>
      <c r="AB150">
        <v>7.9446289999999999</v>
      </c>
      <c r="AC150">
        <v>7.9631720000000001</v>
      </c>
      <c r="AD150">
        <v>7.9799680000000004</v>
      </c>
      <c r="AE150">
        <v>7.9955740000000004</v>
      </c>
      <c r="AF150">
        <v>8.0093580000000006</v>
      </c>
      <c r="AG150" s="144">
        <v>8.0000000000000002E-3</v>
      </c>
    </row>
    <row r="151" spans="1:33">
      <c r="A151" t="s">
        <v>1909</v>
      </c>
      <c r="B151" t="s">
        <v>2078</v>
      </c>
      <c r="C151" t="s">
        <v>2077</v>
      </c>
      <c r="F151">
        <v>7.7570209999999999</v>
      </c>
      <c r="G151">
        <v>7.8260290000000001</v>
      </c>
      <c r="H151">
        <v>7.9062919999999997</v>
      </c>
      <c r="I151">
        <v>7.9960300000000002</v>
      </c>
      <c r="J151">
        <v>8.0947870000000002</v>
      </c>
      <c r="K151">
        <v>8.1991739999999993</v>
      </c>
      <c r="L151">
        <v>8.3074709999999996</v>
      </c>
      <c r="M151">
        <v>8.4176070000000003</v>
      </c>
      <c r="N151">
        <v>8.5283189999999998</v>
      </c>
      <c r="O151">
        <v>8.6380090000000003</v>
      </c>
      <c r="P151">
        <v>8.7450670000000006</v>
      </c>
      <c r="Q151">
        <v>8.8470680000000002</v>
      </c>
      <c r="R151">
        <v>8.9420520000000003</v>
      </c>
      <c r="S151">
        <v>9.0299519999999998</v>
      </c>
      <c r="T151">
        <v>9.1127310000000001</v>
      </c>
      <c r="U151">
        <v>9.1914829999999998</v>
      </c>
      <c r="V151">
        <v>9.2668909999999993</v>
      </c>
      <c r="W151">
        <v>9.3372069999999994</v>
      </c>
      <c r="X151">
        <v>9.4020569999999992</v>
      </c>
      <c r="Y151">
        <v>9.4613689999999995</v>
      </c>
      <c r="Z151">
        <v>9.5162099999999992</v>
      </c>
      <c r="AA151">
        <v>9.5691070000000007</v>
      </c>
      <c r="AB151">
        <v>9.6208849999999995</v>
      </c>
      <c r="AC151">
        <v>9.6705679999999994</v>
      </c>
      <c r="AD151">
        <v>9.7169779999999992</v>
      </c>
      <c r="AE151">
        <v>9.7613669999999999</v>
      </c>
      <c r="AF151">
        <v>9.8045439999999999</v>
      </c>
      <c r="AG151" s="144">
        <v>8.9999999999999993E-3</v>
      </c>
    </row>
    <row r="152" spans="1:33">
      <c r="A152" t="s">
        <v>2076</v>
      </c>
    </row>
    <row r="153" spans="1:33">
      <c r="A153" t="s">
        <v>1905</v>
      </c>
    </row>
    <row r="154" spans="1:33">
      <c r="A154" t="s">
        <v>201</v>
      </c>
      <c r="B154" t="s">
        <v>2075</v>
      </c>
      <c r="C154" t="s">
        <v>2074</v>
      </c>
      <c r="D154" t="s">
        <v>1995</v>
      </c>
      <c r="F154">
        <v>3.3905850000000002</v>
      </c>
      <c r="G154">
        <v>3.486351</v>
      </c>
      <c r="H154">
        <v>3.5834139999999999</v>
      </c>
      <c r="I154">
        <v>3.6768480000000001</v>
      </c>
      <c r="J154">
        <v>3.7508810000000001</v>
      </c>
      <c r="K154">
        <v>3.8030469999999998</v>
      </c>
      <c r="L154">
        <v>3.834028</v>
      </c>
      <c r="M154">
        <v>3.8420770000000002</v>
      </c>
      <c r="N154">
        <v>3.8310469999999999</v>
      </c>
      <c r="O154">
        <v>3.8013629999999998</v>
      </c>
      <c r="P154">
        <v>3.7583890000000002</v>
      </c>
      <c r="Q154">
        <v>3.7012700000000001</v>
      </c>
      <c r="R154">
        <v>3.6357650000000001</v>
      </c>
      <c r="S154">
        <v>3.5635560000000002</v>
      </c>
      <c r="T154">
        <v>3.482507</v>
      </c>
      <c r="U154">
        <v>3.3883709999999998</v>
      </c>
      <c r="V154">
        <v>3.2845849999999999</v>
      </c>
      <c r="W154">
        <v>3.1761979999999999</v>
      </c>
      <c r="X154">
        <v>3.0619679999999998</v>
      </c>
      <c r="Y154">
        <v>2.9523220000000001</v>
      </c>
      <c r="Z154">
        <v>2.8473959999999998</v>
      </c>
      <c r="AA154">
        <v>2.7389570000000001</v>
      </c>
      <c r="AB154">
        <v>2.6264699999999999</v>
      </c>
      <c r="AC154">
        <v>2.51606</v>
      </c>
      <c r="AD154">
        <v>2.4064749999999999</v>
      </c>
      <c r="AE154">
        <v>2.2915329999999998</v>
      </c>
      <c r="AF154">
        <v>2.1755209999999998</v>
      </c>
      <c r="AG154" s="144">
        <v>-1.7000000000000001E-2</v>
      </c>
    </row>
    <row r="155" spans="1:33">
      <c r="A155" t="s">
        <v>202</v>
      </c>
      <c r="B155" t="s">
        <v>2073</v>
      </c>
      <c r="C155" t="s">
        <v>2072</v>
      </c>
      <c r="D155" t="s">
        <v>1995</v>
      </c>
      <c r="F155">
        <v>1.4982899999999999</v>
      </c>
      <c r="G155">
        <v>1.5895760000000001</v>
      </c>
      <c r="H155">
        <v>1.693641</v>
      </c>
      <c r="I155">
        <v>1.804721</v>
      </c>
      <c r="J155">
        <v>1.9074690000000001</v>
      </c>
      <c r="K155">
        <v>1.997787</v>
      </c>
      <c r="L155">
        <v>2.0758009999999998</v>
      </c>
      <c r="M155">
        <v>2.1368490000000002</v>
      </c>
      <c r="N155">
        <v>2.1833619999999998</v>
      </c>
      <c r="O155">
        <v>2.2201759999999999</v>
      </c>
      <c r="P155">
        <v>2.2482600000000001</v>
      </c>
      <c r="Q155">
        <v>2.265781</v>
      </c>
      <c r="R155">
        <v>2.2771539999999999</v>
      </c>
      <c r="S155">
        <v>2.2832889999999999</v>
      </c>
      <c r="T155">
        <v>2.2795169999999998</v>
      </c>
      <c r="U155">
        <v>2.2650090000000001</v>
      </c>
      <c r="V155">
        <v>2.2445900000000001</v>
      </c>
      <c r="W155">
        <v>2.218207</v>
      </c>
      <c r="X155">
        <v>2.1835680000000002</v>
      </c>
      <c r="Y155">
        <v>2.143459</v>
      </c>
      <c r="Z155">
        <v>2.1011060000000001</v>
      </c>
      <c r="AA155">
        <v>2.056289</v>
      </c>
      <c r="AB155">
        <v>2.0091060000000001</v>
      </c>
      <c r="AC155">
        <v>1.960016</v>
      </c>
      <c r="AD155">
        <v>1.908291</v>
      </c>
      <c r="AE155">
        <v>1.853021</v>
      </c>
      <c r="AF155">
        <v>1.796217</v>
      </c>
      <c r="AG155" s="144">
        <v>7.0000000000000001E-3</v>
      </c>
    </row>
    <row r="156" spans="1:33">
      <c r="A156" t="s">
        <v>203</v>
      </c>
      <c r="B156" t="s">
        <v>2071</v>
      </c>
      <c r="C156" t="s">
        <v>2070</v>
      </c>
      <c r="D156" t="s">
        <v>1995</v>
      </c>
      <c r="F156">
        <v>1.06E-4</v>
      </c>
      <c r="G156">
        <v>1.03E-4</v>
      </c>
      <c r="H156">
        <v>1E-4</v>
      </c>
      <c r="I156">
        <v>9.7E-5</v>
      </c>
      <c r="J156">
        <v>9.5000000000000005E-5</v>
      </c>
      <c r="K156">
        <v>9.2999999999999997E-5</v>
      </c>
      <c r="L156">
        <v>9.2E-5</v>
      </c>
      <c r="M156">
        <v>9.1000000000000003E-5</v>
      </c>
      <c r="N156">
        <v>9.0000000000000006E-5</v>
      </c>
      <c r="O156">
        <v>9.0000000000000006E-5</v>
      </c>
      <c r="P156">
        <v>8.2000000000000001E-5</v>
      </c>
      <c r="Q156">
        <v>7.1000000000000005E-5</v>
      </c>
      <c r="R156">
        <v>6.4999999999999994E-5</v>
      </c>
      <c r="S156">
        <v>6.0999999999999999E-5</v>
      </c>
      <c r="T156">
        <v>6.0000000000000002E-5</v>
      </c>
      <c r="U156">
        <v>6.0000000000000002E-5</v>
      </c>
      <c r="V156">
        <v>6.0000000000000002E-5</v>
      </c>
      <c r="W156">
        <v>6.2000000000000003E-5</v>
      </c>
      <c r="X156">
        <v>6.3999999999999997E-5</v>
      </c>
      <c r="Y156">
        <v>6.6000000000000005E-5</v>
      </c>
      <c r="Z156">
        <v>6.7999999999999999E-5</v>
      </c>
      <c r="AA156">
        <v>6.9999999999999994E-5</v>
      </c>
      <c r="AB156">
        <v>7.2000000000000002E-5</v>
      </c>
      <c r="AC156">
        <v>7.4999999999999993E-5</v>
      </c>
      <c r="AD156">
        <v>7.7000000000000001E-5</v>
      </c>
      <c r="AE156">
        <v>7.8999999999999996E-5</v>
      </c>
      <c r="AF156">
        <v>8.1000000000000004E-5</v>
      </c>
      <c r="AG156" s="144">
        <v>-1.0999999999999999E-2</v>
      </c>
    </row>
    <row r="157" spans="1:33">
      <c r="A157" t="s">
        <v>204</v>
      </c>
      <c r="B157" t="s">
        <v>2069</v>
      </c>
      <c r="C157" t="s">
        <v>2068</v>
      </c>
      <c r="D157" t="s">
        <v>1995</v>
      </c>
      <c r="F157">
        <v>2.6129999999999999E-3</v>
      </c>
      <c r="G157">
        <v>5.9820000000000003E-3</v>
      </c>
      <c r="H157">
        <v>9.7140000000000004E-3</v>
      </c>
      <c r="I157">
        <v>1.3611E-2</v>
      </c>
      <c r="J157">
        <v>1.6615000000000001E-2</v>
      </c>
      <c r="K157">
        <v>1.9800000000000002E-2</v>
      </c>
      <c r="L157">
        <v>2.2692E-2</v>
      </c>
      <c r="M157">
        <v>2.5092E-2</v>
      </c>
      <c r="N157">
        <v>2.7334000000000001E-2</v>
      </c>
      <c r="O157">
        <v>2.9357000000000001E-2</v>
      </c>
      <c r="P157">
        <v>3.1753000000000003E-2</v>
      </c>
      <c r="Q157">
        <v>3.4562000000000002E-2</v>
      </c>
      <c r="R157">
        <v>3.7726999999999997E-2</v>
      </c>
      <c r="S157">
        <v>4.1474999999999998E-2</v>
      </c>
      <c r="T157">
        <v>4.6141000000000001E-2</v>
      </c>
      <c r="U157">
        <v>5.135E-2</v>
      </c>
      <c r="V157">
        <v>5.7452000000000003E-2</v>
      </c>
      <c r="W157">
        <v>6.4610000000000001E-2</v>
      </c>
      <c r="X157">
        <v>7.2647000000000003E-2</v>
      </c>
      <c r="Y157">
        <v>8.1342999999999999E-2</v>
      </c>
      <c r="Z157">
        <v>9.06E-2</v>
      </c>
      <c r="AA157">
        <v>0.10058300000000001</v>
      </c>
      <c r="AB157">
        <v>0.11129600000000001</v>
      </c>
      <c r="AC157">
        <v>0.122808</v>
      </c>
      <c r="AD157">
        <v>0.134797</v>
      </c>
      <c r="AE157">
        <v>0.14738200000000001</v>
      </c>
      <c r="AF157">
        <v>0.16040199999999999</v>
      </c>
      <c r="AG157" s="144">
        <v>0.17199999999999999</v>
      </c>
    </row>
    <row r="158" spans="1:33">
      <c r="A158" t="s">
        <v>205</v>
      </c>
      <c r="B158" t="s">
        <v>2067</v>
      </c>
      <c r="C158" t="s">
        <v>2066</v>
      </c>
      <c r="D158" t="s">
        <v>1995</v>
      </c>
      <c r="F158">
        <v>0.21093400000000001</v>
      </c>
      <c r="G158">
        <v>0.20787800000000001</v>
      </c>
      <c r="H158">
        <v>0.20425199999999999</v>
      </c>
      <c r="I158">
        <v>0.199938</v>
      </c>
      <c r="J158">
        <v>0.194773</v>
      </c>
      <c r="K158">
        <v>0.18897900000000001</v>
      </c>
      <c r="L158">
        <v>0.182667</v>
      </c>
      <c r="M158">
        <v>0.17594399999999999</v>
      </c>
      <c r="N158">
        <v>0.16902500000000001</v>
      </c>
      <c r="O158">
        <v>0.161879</v>
      </c>
      <c r="P158">
        <v>0.15459100000000001</v>
      </c>
      <c r="Q158">
        <v>0.147121</v>
      </c>
      <c r="R158">
        <v>0.139652</v>
      </c>
      <c r="S158">
        <v>0.132075</v>
      </c>
      <c r="T158">
        <v>0.12452299999999999</v>
      </c>
      <c r="U158">
        <v>0.117046</v>
      </c>
      <c r="V158">
        <v>0.109762</v>
      </c>
      <c r="W158">
        <v>0.102717</v>
      </c>
      <c r="X158">
        <v>9.6032000000000006E-2</v>
      </c>
      <c r="Y158">
        <v>8.9762999999999996E-2</v>
      </c>
      <c r="Z158">
        <v>8.3586999999999995E-2</v>
      </c>
      <c r="AA158">
        <v>7.6545000000000002E-2</v>
      </c>
      <c r="AB158">
        <v>6.9138000000000005E-2</v>
      </c>
      <c r="AC158">
        <v>6.1460000000000001E-2</v>
      </c>
      <c r="AD158">
        <v>5.4272000000000001E-2</v>
      </c>
      <c r="AE158">
        <v>4.5946000000000001E-2</v>
      </c>
      <c r="AF158">
        <v>3.7659999999999999E-2</v>
      </c>
      <c r="AG158" s="144">
        <v>-6.4000000000000001E-2</v>
      </c>
    </row>
    <row r="159" spans="1:33">
      <c r="A159" t="s">
        <v>206</v>
      </c>
      <c r="B159" t="s">
        <v>2065</v>
      </c>
      <c r="C159" t="s">
        <v>2064</v>
      </c>
      <c r="D159" t="s">
        <v>1995</v>
      </c>
      <c r="F159">
        <v>3.3530000000000001E-3</v>
      </c>
      <c r="G159">
        <v>4.712E-3</v>
      </c>
      <c r="H159">
        <v>6.1380000000000002E-3</v>
      </c>
      <c r="I159">
        <v>7.5929999999999999E-3</v>
      </c>
      <c r="J159">
        <v>9.0279999999999996E-3</v>
      </c>
      <c r="K159">
        <v>1.0449999999999999E-2</v>
      </c>
      <c r="L159">
        <v>1.2096000000000001E-2</v>
      </c>
      <c r="M159">
        <v>1.6115999999999998E-2</v>
      </c>
      <c r="N159">
        <v>2.3144000000000001E-2</v>
      </c>
      <c r="O159">
        <v>3.0137000000000001E-2</v>
      </c>
      <c r="P159">
        <v>4.1231999999999998E-2</v>
      </c>
      <c r="Q159">
        <v>5.9050999999999999E-2</v>
      </c>
      <c r="R159">
        <v>8.4289000000000003E-2</v>
      </c>
      <c r="S159">
        <v>0.11565400000000001</v>
      </c>
      <c r="T159">
        <v>0.153889</v>
      </c>
      <c r="U159">
        <v>0.199877</v>
      </c>
      <c r="V159">
        <v>0.25327300000000003</v>
      </c>
      <c r="W159">
        <v>0.31786300000000001</v>
      </c>
      <c r="X159">
        <v>0.39220500000000003</v>
      </c>
      <c r="Y159">
        <v>0.475219</v>
      </c>
      <c r="Z159">
        <v>0.56319900000000001</v>
      </c>
      <c r="AA159">
        <v>0.65591299999999997</v>
      </c>
      <c r="AB159">
        <v>0.75208399999999997</v>
      </c>
      <c r="AC159">
        <v>0.85373900000000003</v>
      </c>
      <c r="AD159">
        <v>0.95974700000000002</v>
      </c>
      <c r="AE159">
        <v>1.069048</v>
      </c>
      <c r="AF159">
        <v>1.181</v>
      </c>
      <c r="AG159" s="144">
        <v>0.253</v>
      </c>
    </row>
    <row r="160" spans="1:33">
      <c r="A160" t="s">
        <v>207</v>
      </c>
      <c r="B160" t="s">
        <v>2063</v>
      </c>
      <c r="C160" t="s">
        <v>2062</v>
      </c>
      <c r="D160" t="s">
        <v>1995</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t="s">
        <v>1769</v>
      </c>
    </row>
    <row r="161" spans="1:33">
      <c r="A161" t="s">
        <v>208</v>
      </c>
      <c r="B161" t="s">
        <v>2061</v>
      </c>
      <c r="C161" t="s">
        <v>2060</v>
      </c>
      <c r="D161" t="s">
        <v>1995</v>
      </c>
      <c r="F161">
        <v>0</v>
      </c>
      <c r="G161">
        <v>0</v>
      </c>
      <c r="H161">
        <v>0</v>
      </c>
      <c r="I161">
        <v>0</v>
      </c>
      <c r="J161">
        <v>0</v>
      </c>
      <c r="K161">
        <v>0</v>
      </c>
      <c r="L161">
        <v>0</v>
      </c>
      <c r="M161">
        <v>0</v>
      </c>
      <c r="N161">
        <v>0</v>
      </c>
      <c r="O161">
        <v>0</v>
      </c>
      <c r="P161">
        <v>0</v>
      </c>
      <c r="Q161">
        <v>0</v>
      </c>
      <c r="R161">
        <v>0</v>
      </c>
      <c r="S161">
        <v>0</v>
      </c>
      <c r="T161">
        <v>0</v>
      </c>
      <c r="U161">
        <v>0</v>
      </c>
      <c r="V161">
        <v>0</v>
      </c>
      <c r="W161">
        <v>0</v>
      </c>
      <c r="X161">
        <v>0</v>
      </c>
      <c r="Y161">
        <v>0</v>
      </c>
      <c r="Z161">
        <v>0</v>
      </c>
      <c r="AA161">
        <v>0</v>
      </c>
      <c r="AB161">
        <v>0</v>
      </c>
      <c r="AC161">
        <v>0</v>
      </c>
      <c r="AD161">
        <v>0</v>
      </c>
      <c r="AE161">
        <v>0</v>
      </c>
      <c r="AF161">
        <v>0</v>
      </c>
      <c r="AG161" t="s">
        <v>1769</v>
      </c>
    </row>
    <row r="162" spans="1:33">
      <c r="A162" t="s">
        <v>209</v>
      </c>
      <c r="B162" t="s">
        <v>2059</v>
      </c>
      <c r="C162" t="s">
        <v>2058</v>
      </c>
      <c r="D162" t="s">
        <v>1995</v>
      </c>
      <c r="F162">
        <v>0</v>
      </c>
      <c r="G162">
        <v>0</v>
      </c>
      <c r="H162">
        <v>0</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c r="AC162">
        <v>0</v>
      </c>
      <c r="AD162">
        <v>0</v>
      </c>
      <c r="AE162">
        <v>0</v>
      </c>
      <c r="AF162">
        <v>0</v>
      </c>
      <c r="AG162" t="s">
        <v>1769</v>
      </c>
    </row>
    <row r="163" spans="1:33">
      <c r="A163" t="s">
        <v>1830</v>
      </c>
      <c r="B163" t="s">
        <v>2057</v>
      </c>
      <c r="C163" t="s">
        <v>2056</v>
      </c>
      <c r="D163" t="s">
        <v>1995</v>
      </c>
      <c r="F163">
        <v>0</v>
      </c>
      <c r="G163">
        <v>0</v>
      </c>
      <c r="H163">
        <v>0</v>
      </c>
      <c r="I163">
        <v>0</v>
      </c>
      <c r="J163">
        <v>0</v>
      </c>
      <c r="K163">
        <v>0</v>
      </c>
      <c r="L163">
        <v>0</v>
      </c>
      <c r="M163">
        <v>0</v>
      </c>
      <c r="N163">
        <v>0</v>
      </c>
      <c r="O163">
        <v>0</v>
      </c>
      <c r="P163">
        <v>0</v>
      </c>
      <c r="Q163">
        <v>0</v>
      </c>
      <c r="R163">
        <v>0</v>
      </c>
      <c r="S163">
        <v>0</v>
      </c>
      <c r="T163">
        <v>0</v>
      </c>
      <c r="U163">
        <v>0</v>
      </c>
      <c r="V163">
        <v>0</v>
      </c>
      <c r="W163">
        <v>0</v>
      </c>
      <c r="X163">
        <v>0</v>
      </c>
      <c r="Y163">
        <v>0</v>
      </c>
      <c r="Z163">
        <v>0</v>
      </c>
      <c r="AA163">
        <v>0</v>
      </c>
      <c r="AB163">
        <v>0</v>
      </c>
      <c r="AC163">
        <v>0</v>
      </c>
      <c r="AD163">
        <v>0</v>
      </c>
      <c r="AE163">
        <v>0</v>
      </c>
      <c r="AF163">
        <v>0</v>
      </c>
      <c r="AG163" t="s">
        <v>1769</v>
      </c>
    </row>
    <row r="164" spans="1:33">
      <c r="A164" t="s">
        <v>1827</v>
      </c>
      <c r="B164" t="s">
        <v>2055</v>
      </c>
      <c r="C164" t="s">
        <v>2054</v>
      </c>
      <c r="D164" t="s">
        <v>1995</v>
      </c>
      <c r="F164">
        <v>0</v>
      </c>
      <c r="G164">
        <v>2.0379999999999999E-3</v>
      </c>
      <c r="H164">
        <v>5.3639999999999998E-3</v>
      </c>
      <c r="I164">
        <v>1.0276E-2</v>
      </c>
      <c r="J164">
        <v>3.6535999999999999E-2</v>
      </c>
      <c r="K164">
        <v>9.0727000000000002E-2</v>
      </c>
      <c r="L164">
        <v>0.174703</v>
      </c>
      <c r="M164">
        <v>0.28721799999999997</v>
      </c>
      <c r="N164">
        <v>0.42857600000000001</v>
      </c>
      <c r="O164">
        <v>0.59094800000000003</v>
      </c>
      <c r="P164">
        <v>0.77014400000000005</v>
      </c>
      <c r="Q164">
        <v>0.96182400000000001</v>
      </c>
      <c r="R164">
        <v>1.160407</v>
      </c>
      <c r="S164">
        <v>1.36402</v>
      </c>
      <c r="T164">
        <v>1.5784469999999999</v>
      </c>
      <c r="U164">
        <v>1.805226</v>
      </c>
      <c r="V164">
        <v>2.0337710000000002</v>
      </c>
      <c r="W164">
        <v>2.2612679999999998</v>
      </c>
      <c r="X164">
        <v>2.488102</v>
      </c>
      <c r="Y164">
        <v>2.7142050000000002</v>
      </c>
      <c r="Z164">
        <v>2.9380959999999998</v>
      </c>
      <c r="AA164">
        <v>3.1570019999999999</v>
      </c>
      <c r="AB164">
        <v>3.3707229999999999</v>
      </c>
      <c r="AC164">
        <v>3.578576</v>
      </c>
      <c r="AD164">
        <v>3.7794880000000002</v>
      </c>
      <c r="AE164">
        <v>3.9730300000000001</v>
      </c>
      <c r="AF164">
        <v>4.1586670000000003</v>
      </c>
      <c r="AG164" t="s">
        <v>1769</v>
      </c>
    </row>
    <row r="165" spans="1:33">
      <c r="A165" t="s">
        <v>1824</v>
      </c>
      <c r="B165" t="s">
        <v>2053</v>
      </c>
      <c r="C165" t="s">
        <v>2052</v>
      </c>
      <c r="D165" t="s">
        <v>1995</v>
      </c>
      <c r="F165">
        <v>0</v>
      </c>
      <c r="G165">
        <v>0</v>
      </c>
      <c r="H165">
        <v>0</v>
      </c>
      <c r="I165">
        <v>0</v>
      </c>
      <c r="J165">
        <v>0</v>
      </c>
      <c r="K165">
        <v>0</v>
      </c>
      <c r="L165">
        <v>0</v>
      </c>
      <c r="M165">
        <v>0</v>
      </c>
      <c r="N165">
        <v>0</v>
      </c>
      <c r="O165">
        <v>0</v>
      </c>
      <c r="P165">
        <v>0</v>
      </c>
      <c r="Q165">
        <v>0</v>
      </c>
      <c r="R165">
        <v>0</v>
      </c>
      <c r="S165">
        <v>0</v>
      </c>
      <c r="T165">
        <v>0</v>
      </c>
      <c r="U165">
        <v>0</v>
      </c>
      <c r="V165">
        <v>0</v>
      </c>
      <c r="W165">
        <v>0</v>
      </c>
      <c r="X165">
        <v>0</v>
      </c>
      <c r="Y165">
        <v>0</v>
      </c>
      <c r="Z165">
        <v>0</v>
      </c>
      <c r="AA165">
        <v>0</v>
      </c>
      <c r="AB165">
        <v>0</v>
      </c>
      <c r="AC165">
        <v>0</v>
      </c>
      <c r="AD165">
        <v>0</v>
      </c>
      <c r="AE165">
        <v>0</v>
      </c>
      <c r="AF165">
        <v>0</v>
      </c>
      <c r="AG165" t="s">
        <v>1769</v>
      </c>
    </row>
    <row r="166" spans="1:33" s="260" customFormat="1">
      <c r="A166" s="260" t="s">
        <v>1880</v>
      </c>
      <c r="B166" s="260" t="s">
        <v>2051</v>
      </c>
      <c r="C166" s="260" t="s">
        <v>2050</v>
      </c>
      <c r="D166" s="260" t="s">
        <v>1995</v>
      </c>
      <c r="F166" s="260">
        <v>5.1058789999999998</v>
      </c>
      <c r="G166" s="260">
        <v>5.29664</v>
      </c>
      <c r="H166" s="260">
        <v>5.5026190000000001</v>
      </c>
      <c r="I166" s="260">
        <v>5.7130809999999999</v>
      </c>
      <c r="J166" s="260">
        <v>5.9153969999999996</v>
      </c>
      <c r="K166" s="260">
        <v>6.110881</v>
      </c>
      <c r="L166" s="260">
        <v>6.302073</v>
      </c>
      <c r="M166" s="260">
        <v>6.4833819999999998</v>
      </c>
      <c r="N166" s="260">
        <v>6.6625709999999998</v>
      </c>
      <c r="O166" s="260">
        <v>6.8339429999999997</v>
      </c>
      <c r="P166" s="260">
        <v>7.0044469999999999</v>
      </c>
      <c r="Q166" s="260">
        <v>7.1696759999999999</v>
      </c>
      <c r="R166" s="260">
        <v>7.3350530000000003</v>
      </c>
      <c r="S166" s="260">
        <v>7.500127</v>
      </c>
      <c r="T166" s="260">
        <v>7.6650790000000004</v>
      </c>
      <c r="U166" s="260">
        <v>7.8269320000000002</v>
      </c>
      <c r="V166" s="260">
        <v>7.9834909999999999</v>
      </c>
      <c r="W166" s="260">
        <v>8.1409230000000008</v>
      </c>
      <c r="X166" s="260">
        <v>8.2945799999999998</v>
      </c>
      <c r="Y166" s="260">
        <v>8.4563760000000006</v>
      </c>
      <c r="Z166" s="260">
        <v>8.6240450000000006</v>
      </c>
      <c r="AA166" s="260">
        <v>8.7853530000000006</v>
      </c>
      <c r="AB166" s="260">
        <v>8.9388819999999996</v>
      </c>
      <c r="AC166" s="260">
        <v>9.092746</v>
      </c>
      <c r="AD166" s="260">
        <v>9.24315</v>
      </c>
      <c r="AE166" s="260">
        <v>9.3800469999999994</v>
      </c>
      <c r="AF166" s="260">
        <v>9.5095489999999998</v>
      </c>
      <c r="AG166" s="261">
        <v>2.4E-2</v>
      </c>
    </row>
    <row r="167" spans="1:33">
      <c r="A167" t="s">
        <v>1877</v>
      </c>
    </row>
    <row r="168" spans="1:33">
      <c r="A168" t="s">
        <v>201</v>
      </c>
      <c r="B168" t="s">
        <v>2049</v>
      </c>
      <c r="C168" t="s">
        <v>2048</v>
      </c>
      <c r="D168" t="s">
        <v>1995</v>
      </c>
      <c r="F168">
        <v>2.3430569999999999</v>
      </c>
      <c r="G168">
        <v>2.3601730000000001</v>
      </c>
      <c r="H168">
        <v>2.383213</v>
      </c>
      <c r="I168">
        <v>2.4088270000000001</v>
      </c>
      <c r="J168">
        <v>2.4287920000000001</v>
      </c>
      <c r="K168">
        <v>2.438984</v>
      </c>
      <c r="L168">
        <v>2.4438149999999998</v>
      </c>
      <c r="M168">
        <v>2.4413939999999998</v>
      </c>
      <c r="N168">
        <v>2.4343599999999999</v>
      </c>
      <c r="O168">
        <v>2.418981</v>
      </c>
      <c r="P168">
        <v>2.3954230000000001</v>
      </c>
      <c r="Q168">
        <v>2.3676149999999998</v>
      </c>
      <c r="R168">
        <v>2.3380269999999999</v>
      </c>
      <c r="S168">
        <v>2.3065199999999999</v>
      </c>
      <c r="T168">
        <v>2.2718259999999999</v>
      </c>
      <c r="U168">
        <v>2.2329409999999998</v>
      </c>
      <c r="V168">
        <v>2.1898680000000001</v>
      </c>
      <c r="W168">
        <v>2.1439339999999998</v>
      </c>
      <c r="X168">
        <v>2.0985369999999999</v>
      </c>
      <c r="Y168">
        <v>2.059526</v>
      </c>
      <c r="Z168">
        <v>2.0253060000000001</v>
      </c>
      <c r="AA168">
        <v>1.9918910000000001</v>
      </c>
      <c r="AB168">
        <v>1.9569749999999999</v>
      </c>
      <c r="AC168">
        <v>1.9238310000000001</v>
      </c>
      <c r="AD168">
        <v>1.892142</v>
      </c>
      <c r="AE168">
        <v>1.859585</v>
      </c>
      <c r="AF168">
        <v>1.825566</v>
      </c>
      <c r="AG168" s="144">
        <v>-0.01</v>
      </c>
    </row>
    <row r="169" spans="1:33">
      <c r="A169" t="s">
        <v>202</v>
      </c>
      <c r="B169" t="s">
        <v>2047</v>
      </c>
      <c r="C169" t="s">
        <v>2046</v>
      </c>
      <c r="D169" t="s">
        <v>1995</v>
      </c>
      <c r="F169">
        <v>1.585955</v>
      </c>
      <c r="G169">
        <v>1.6031569999999999</v>
      </c>
      <c r="H169">
        <v>1.6305590000000001</v>
      </c>
      <c r="I169">
        <v>1.665565</v>
      </c>
      <c r="J169">
        <v>1.6999679999999999</v>
      </c>
      <c r="K169">
        <v>1.7294670000000001</v>
      </c>
      <c r="L169">
        <v>1.756974</v>
      </c>
      <c r="M169">
        <v>1.779245</v>
      </c>
      <c r="N169">
        <v>1.8013349999999999</v>
      </c>
      <c r="O169">
        <v>1.81704</v>
      </c>
      <c r="P169">
        <v>1.8287150000000001</v>
      </c>
      <c r="Q169">
        <v>1.838938</v>
      </c>
      <c r="R169">
        <v>1.8455870000000001</v>
      </c>
      <c r="S169">
        <v>1.8517380000000001</v>
      </c>
      <c r="T169">
        <v>1.852997</v>
      </c>
      <c r="U169">
        <v>1.8526800000000001</v>
      </c>
      <c r="V169">
        <v>1.8467750000000001</v>
      </c>
      <c r="W169">
        <v>1.8396710000000001</v>
      </c>
      <c r="X169">
        <v>1.8324419999999999</v>
      </c>
      <c r="Y169">
        <v>1.8273280000000001</v>
      </c>
      <c r="Z169">
        <v>1.8227979999999999</v>
      </c>
      <c r="AA169">
        <v>1.815434</v>
      </c>
      <c r="AB169">
        <v>1.805024</v>
      </c>
      <c r="AC169">
        <v>1.7930740000000001</v>
      </c>
      <c r="AD169">
        <v>1.7802450000000001</v>
      </c>
      <c r="AE169">
        <v>1.7660819999999999</v>
      </c>
      <c r="AF169">
        <v>1.7487239999999999</v>
      </c>
      <c r="AG169" s="144">
        <v>4.0000000000000001E-3</v>
      </c>
    </row>
    <row r="170" spans="1:33">
      <c r="A170" t="s">
        <v>203</v>
      </c>
      <c r="B170" t="s">
        <v>2045</v>
      </c>
      <c r="C170" t="s">
        <v>2044</v>
      </c>
      <c r="D170" t="s">
        <v>1995</v>
      </c>
      <c r="F170">
        <v>2.1900000000000001E-3</v>
      </c>
      <c r="G170">
        <v>2.039E-3</v>
      </c>
      <c r="H170">
        <v>1.923E-3</v>
      </c>
      <c r="I170">
        <v>1.818E-3</v>
      </c>
      <c r="J170">
        <v>1.725E-3</v>
      </c>
      <c r="K170">
        <v>1.531E-3</v>
      </c>
      <c r="L170">
        <v>1.441E-3</v>
      </c>
      <c r="M170">
        <v>1.346E-3</v>
      </c>
      <c r="N170">
        <v>1.2639999999999999E-3</v>
      </c>
      <c r="O170">
        <v>1.2030000000000001E-3</v>
      </c>
      <c r="P170">
        <v>1.1180000000000001E-3</v>
      </c>
      <c r="Q170">
        <v>1.0169999999999999E-3</v>
      </c>
      <c r="R170">
        <v>9.3400000000000004E-4</v>
      </c>
      <c r="S170">
        <v>8.6700000000000004E-4</v>
      </c>
      <c r="T170">
        <v>8.0699999999999999E-4</v>
      </c>
      <c r="U170">
        <v>7.5299999999999998E-4</v>
      </c>
      <c r="V170">
        <v>7.0799999999999997E-4</v>
      </c>
      <c r="W170">
        <v>6.6399999999999999E-4</v>
      </c>
      <c r="X170">
        <v>6.2299999999999996E-4</v>
      </c>
      <c r="Y170">
        <v>5.8500000000000002E-4</v>
      </c>
      <c r="Z170">
        <v>5.4699999999999996E-4</v>
      </c>
      <c r="AA170">
        <v>5.2099999999999998E-4</v>
      </c>
      <c r="AB170">
        <v>4.9200000000000003E-4</v>
      </c>
      <c r="AC170">
        <v>4.6500000000000003E-4</v>
      </c>
      <c r="AD170">
        <v>4.4000000000000002E-4</v>
      </c>
      <c r="AE170">
        <v>3.3799999999999998E-4</v>
      </c>
      <c r="AF170">
        <v>2.5099999999999998E-4</v>
      </c>
      <c r="AG170" s="144">
        <v>-0.08</v>
      </c>
    </row>
    <row r="171" spans="1:33">
      <c r="A171" t="s">
        <v>204</v>
      </c>
      <c r="B171" t="s">
        <v>2043</v>
      </c>
      <c r="C171" t="s">
        <v>2042</v>
      </c>
      <c r="D171" t="s">
        <v>1995</v>
      </c>
      <c r="F171">
        <v>8.0219999999999996E-3</v>
      </c>
      <c r="G171">
        <v>1.0805E-2</v>
      </c>
      <c r="H171">
        <v>1.3792E-2</v>
      </c>
      <c r="I171">
        <v>1.6891E-2</v>
      </c>
      <c r="J171">
        <v>1.9911999999999999E-2</v>
      </c>
      <c r="K171">
        <v>2.2794999999999999E-2</v>
      </c>
      <c r="L171">
        <v>2.5595E-2</v>
      </c>
      <c r="M171">
        <v>2.8303999999999999E-2</v>
      </c>
      <c r="N171">
        <v>3.0956000000000001E-2</v>
      </c>
      <c r="O171">
        <v>3.3620999999999998E-2</v>
      </c>
      <c r="P171">
        <v>3.6246E-2</v>
      </c>
      <c r="Q171">
        <v>3.8836000000000002E-2</v>
      </c>
      <c r="R171">
        <v>4.1377999999999998E-2</v>
      </c>
      <c r="S171">
        <v>4.3868999999999998E-2</v>
      </c>
      <c r="T171">
        <v>4.6358000000000003E-2</v>
      </c>
      <c r="U171">
        <v>4.8814999999999997E-2</v>
      </c>
      <c r="V171">
        <v>5.1213000000000002E-2</v>
      </c>
      <c r="W171">
        <v>5.3511000000000003E-2</v>
      </c>
      <c r="X171">
        <v>5.5780999999999997E-2</v>
      </c>
      <c r="Y171">
        <v>5.7986000000000003E-2</v>
      </c>
      <c r="Z171">
        <v>6.0061999999999997E-2</v>
      </c>
      <c r="AA171">
        <v>6.2019999999999999E-2</v>
      </c>
      <c r="AB171">
        <v>6.3844999999999999E-2</v>
      </c>
      <c r="AC171">
        <v>6.5603999999999996E-2</v>
      </c>
      <c r="AD171">
        <v>6.7313999999999999E-2</v>
      </c>
      <c r="AE171">
        <v>6.9006999999999999E-2</v>
      </c>
      <c r="AF171">
        <v>7.059E-2</v>
      </c>
      <c r="AG171" s="144">
        <v>8.6999999999999994E-2</v>
      </c>
    </row>
    <row r="172" spans="1:33">
      <c r="A172" t="s">
        <v>205</v>
      </c>
      <c r="B172" t="s">
        <v>2041</v>
      </c>
      <c r="C172" t="s">
        <v>2040</v>
      </c>
      <c r="D172" t="s">
        <v>1995</v>
      </c>
      <c r="F172">
        <v>3.0175E-2</v>
      </c>
      <c r="G172">
        <v>2.9818000000000001E-2</v>
      </c>
      <c r="H172">
        <v>2.9425E-2</v>
      </c>
      <c r="I172">
        <v>2.8955999999999999E-2</v>
      </c>
      <c r="J172">
        <v>2.8405E-2</v>
      </c>
      <c r="K172">
        <v>2.7910999999999998E-2</v>
      </c>
      <c r="L172">
        <v>2.7310000000000001E-2</v>
      </c>
      <c r="M172">
        <v>2.6641000000000001E-2</v>
      </c>
      <c r="N172">
        <v>2.5982000000000002E-2</v>
      </c>
      <c r="O172">
        <v>2.5176E-2</v>
      </c>
      <c r="P172">
        <v>2.4344999999999999E-2</v>
      </c>
      <c r="Q172">
        <v>2.3564000000000002E-2</v>
      </c>
      <c r="R172">
        <v>2.2744E-2</v>
      </c>
      <c r="S172">
        <v>2.1894E-2</v>
      </c>
      <c r="T172">
        <v>2.1017999999999998E-2</v>
      </c>
      <c r="U172">
        <v>2.0091999999999999E-2</v>
      </c>
      <c r="V172">
        <v>1.9136E-2</v>
      </c>
      <c r="W172">
        <v>1.8169999999999999E-2</v>
      </c>
      <c r="X172">
        <v>1.7172E-2</v>
      </c>
      <c r="Y172">
        <v>1.6177E-2</v>
      </c>
      <c r="Z172">
        <v>1.5131E-2</v>
      </c>
      <c r="AA172">
        <v>1.4052E-2</v>
      </c>
      <c r="AB172">
        <v>1.2877E-2</v>
      </c>
      <c r="AC172">
        <v>1.1648E-2</v>
      </c>
      <c r="AD172">
        <v>1.0281E-2</v>
      </c>
      <c r="AE172">
        <v>8.9499999999999996E-3</v>
      </c>
      <c r="AF172">
        <v>7.6639999999999998E-3</v>
      </c>
      <c r="AG172" s="144">
        <v>-5.0999999999999997E-2</v>
      </c>
    </row>
    <row r="173" spans="1:33">
      <c r="A173" t="s">
        <v>206</v>
      </c>
      <c r="B173" t="s">
        <v>2039</v>
      </c>
      <c r="C173" t="s">
        <v>2038</v>
      </c>
      <c r="D173" t="s">
        <v>1995</v>
      </c>
      <c r="F173">
        <v>8.1800000000000004E-4</v>
      </c>
      <c r="G173">
        <v>9.2199999999999997E-4</v>
      </c>
      <c r="H173">
        <v>1.0300000000000001E-3</v>
      </c>
      <c r="I173">
        <v>1.145E-3</v>
      </c>
      <c r="J173">
        <v>1.2539999999999999E-3</v>
      </c>
      <c r="K173">
        <v>1.353E-3</v>
      </c>
      <c r="L173">
        <v>1.4519999999999999E-3</v>
      </c>
      <c r="M173">
        <v>1.5399999999999999E-3</v>
      </c>
      <c r="N173">
        <v>1.6329999999999999E-3</v>
      </c>
      <c r="O173">
        <v>1.725E-3</v>
      </c>
      <c r="P173">
        <v>1.815E-3</v>
      </c>
      <c r="Q173">
        <v>1.9009999999999999E-3</v>
      </c>
      <c r="R173">
        <v>1.9840000000000001E-3</v>
      </c>
      <c r="S173">
        <v>2.0669999999999998E-3</v>
      </c>
      <c r="T173">
        <v>2.1459999999999999E-3</v>
      </c>
      <c r="U173">
        <v>2.2209999999999999E-3</v>
      </c>
      <c r="V173">
        <v>2.2910000000000001E-3</v>
      </c>
      <c r="W173">
        <v>2.3570000000000002E-3</v>
      </c>
      <c r="X173">
        <v>2.4199999999999998E-3</v>
      </c>
      <c r="Y173">
        <v>2.4789999999999999E-3</v>
      </c>
      <c r="Z173">
        <v>2.5300000000000001E-3</v>
      </c>
      <c r="AA173">
        <v>2.5769999999999999E-3</v>
      </c>
      <c r="AB173">
        <v>2.6159999999999998E-3</v>
      </c>
      <c r="AC173">
        <v>2.6519999999999998E-3</v>
      </c>
      <c r="AD173">
        <v>2.6909999999999998E-3</v>
      </c>
      <c r="AE173">
        <v>2.7290000000000001E-3</v>
      </c>
      <c r="AF173">
        <v>2.761E-3</v>
      </c>
      <c r="AG173" s="144">
        <v>4.8000000000000001E-2</v>
      </c>
    </row>
    <row r="174" spans="1:33">
      <c r="A174" t="s">
        <v>207</v>
      </c>
      <c r="B174" t="s">
        <v>2037</v>
      </c>
      <c r="C174" t="s">
        <v>2036</v>
      </c>
      <c r="D174" t="s">
        <v>1995</v>
      </c>
      <c r="F174">
        <v>0</v>
      </c>
      <c r="G174">
        <v>0</v>
      </c>
      <c r="H174">
        <v>1.22E-4</v>
      </c>
      <c r="I174">
        <v>3.1500000000000001E-4</v>
      </c>
      <c r="J174">
        <v>6.2699999999999995E-4</v>
      </c>
      <c r="K174">
        <v>1.0369999999999999E-3</v>
      </c>
      <c r="L174">
        <v>1.516E-3</v>
      </c>
      <c r="M174">
        <v>2.0600000000000002E-3</v>
      </c>
      <c r="N174">
        <v>2.637E-3</v>
      </c>
      <c r="O174">
        <v>2.6210000000000001E-3</v>
      </c>
      <c r="P174">
        <v>2.601E-3</v>
      </c>
      <c r="Q174">
        <v>2.578E-3</v>
      </c>
      <c r="R174">
        <v>2.5579999999999999E-3</v>
      </c>
      <c r="S174">
        <v>2.5379999999999999E-3</v>
      </c>
      <c r="T174">
        <v>2.5170000000000001E-3</v>
      </c>
      <c r="U174">
        <v>2.4940000000000001E-3</v>
      </c>
      <c r="V174">
        <v>2.4729999999999999E-3</v>
      </c>
      <c r="W174">
        <v>2.4559999999999998E-3</v>
      </c>
      <c r="X174">
        <v>2.441E-3</v>
      </c>
      <c r="Y174">
        <v>2.4320000000000001E-3</v>
      </c>
      <c r="Z174">
        <v>2.4260000000000002E-3</v>
      </c>
      <c r="AA174">
        <v>2.421E-3</v>
      </c>
      <c r="AB174">
        <v>2.4139999999999999E-3</v>
      </c>
      <c r="AC174">
        <v>2.3779999999999999E-3</v>
      </c>
      <c r="AD174">
        <v>2.3280000000000002E-3</v>
      </c>
      <c r="AE174">
        <v>2.2699999999999999E-3</v>
      </c>
      <c r="AF174">
        <v>2.2000000000000001E-3</v>
      </c>
      <c r="AG174" t="s">
        <v>1769</v>
      </c>
    </row>
    <row r="175" spans="1:33">
      <c r="A175" t="s">
        <v>208</v>
      </c>
      <c r="B175" t="s">
        <v>2035</v>
      </c>
      <c r="C175" t="s">
        <v>2034</v>
      </c>
      <c r="D175" t="s">
        <v>1995</v>
      </c>
      <c r="F175">
        <v>0</v>
      </c>
      <c r="G175">
        <v>5.62E-4</v>
      </c>
      <c r="H175">
        <v>1.2110000000000001E-3</v>
      </c>
      <c r="I175">
        <v>1.542E-3</v>
      </c>
      <c r="J175">
        <v>1.609E-3</v>
      </c>
      <c r="K175">
        <v>1.609E-3</v>
      </c>
      <c r="L175">
        <v>1.598E-3</v>
      </c>
      <c r="M175">
        <v>1.588E-3</v>
      </c>
      <c r="N175">
        <v>1.586E-3</v>
      </c>
      <c r="O175">
        <v>1.5809999999999999E-3</v>
      </c>
      <c r="P175">
        <v>1.572E-3</v>
      </c>
      <c r="Q175">
        <v>1.5590000000000001E-3</v>
      </c>
      <c r="R175">
        <v>1.5499999999999999E-3</v>
      </c>
      <c r="S175">
        <v>1.5319999999999999E-3</v>
      </c>
      <c r="T175">
        <v>1.5139999999999999E-3</v>
      </c>
      <c r="U175">
        <v>1.5020000000000001E-3</v>
      </c>
      <c r="V175">
        <v>1.4970000000000001E-3</v>
      </c>
      <c r="W175">
        <v>1.493E-3</v>
      </c>
      <c r="X175">
        <v>1.477E-3</v>
      </c>
      <c r="Y175">
        <v>1.454E-3</v>
      </c>
      <c r="Z175">
        <v>1.4220000000000001E-3</v>
      </c>
      <c r="AA175">
        <v>1.387E-3</v>
      </c>
      <c r="AB175">
        <v>1.3420000000000001E-3</v>
      </c>
      <c r="AC175">
        <v>1.289E-3</v>
      </c>
      <c r="AD175">
        <v>1.232E-3</v>
      </c>
      <c r="AE175">
        <v>1.17E-3</v>
      </c>
      <c r="AF175">
        <v>1.1050000000000001E-3</v>
      </c>
      <c r="AG175" t="s">
        <v>1769</v>
      </c>
    </row>
    <row r="176" spans="1:33">
      <c r="A176" t="s">
        <v>209</v>
      </c>
      <c r="B176" t="s">
        <v>2033</v>
      </c>
      <c r="C176" t="s">
        <v>2032</v>
      </c>
      <c r="D176" t="s">
        <v>1995</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t="s">
        <v>1769</v>
      </c>
    </row>
    <row r="177" spans="1:33">
      <c r="A177" t="s">
        <v>1830</v>
      </c>
      <c r="B177" t="s">
        <v>2031</v>
      </c>
      <c r="C177" t="s">
        <v>2030</v>
      </c>
      <c r="D177" t="s">
        <v>1995</v>
      </c>
      <c r="F177">
        <v>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c r="AC177">
        <v>0</v>
      </c>
      <c r="AD177">
        <v>0</v>
      </c>
      <c r="AE177">
        <v>0</v>
      </c>
      <c r="AF177">
        <v>0</v>
      </c>
      <c r="AG177" t="s">
        <v>1769</v>
      </c>
    </row>
    <row r="178" spans="1:33">
      <c r="A178" t="s">
        <v>1827</v>
      </c>
      <c r="B178" t="s">
        <v>2029</v>
      </c>
      <c r="C178" t="s">
        <v>2028</v>
      </c>
      <c r="D178" t="s">
        <v>1995</v>
      </c>
      <c r="F178">
        <v>0</v>
      </c>
      <c r="G178">
        <v>1.714E-3</v>
      </c>
      <c r="H178">
        <v>4.0610000000000004E-3</v>
      </c>
      <c r="I178">
        <v>7.2750000000000002E-3</v>
      </c>
      <c r="J178">
        <v>1.1434E-2</v>
      </c>
      <c r="K178">
        <v>1.6846E-2</v>
      </c>
      <c r="L178">
        <v>2.4177000000000001E-2</v>
      </c>
      <c r="M178">
        <v>3.4250000000000003E-2</v>
      </c>
      <c r="N178">
        <v>4.8252999999999997E-2</v>
      </c>
      <c r="O178">
        <v>6.7613000000000006E-2</v>
      </c>
      <c r="P178">
        <v>9.3364000000000003E-2</v>
      </c>
      <c r="Q178">
        <v>0.12609000000000001</v>
      </c>
      <c r="R178">
        <v>0.16609399999999999</v>
      </c>
      <c r="S178">
        <v>0.212897</v>
      </c>
      <c r="T178">
        <v>0.26521899999999998</v>
      </c>
      <c r="U178">
        <v>0.32117800000000002</v>
      </c>
      <c r="V178">
        <v>0.37935200000000002</v>
      </c>
      <c r="W178">
        <v>0.43880200000000003</v>
      </c>
      <c r="X178">
        <v>0.49908999999999998</v>
      </c>
      <c r="Y178">
        <v>0.55974599999999997</v>
      </c>
      <c r="Z178">
        <v>0.61965000000000003</v>
      </c>
      <c r="AA178">
        <v>0.67806999999999995</v>
      </c>
      <c r="AB178">
        <v>0.73476300000000005</v>
      </c>
      <c r="AC178">
        <v>0.79071899999999995</v>
      </c>
      <c r="AD178">
        <v>0.84615200000000002</v>
      </c>
      <c r="AE178">
        <v>0.90025699999999997</v>
      </c>
      <c r="AF178">
        <v>0.95221999999999996</v>
      </c>
      <c r="AG178" t="s">
        <v>1769</v>
      </c>
    </row>
    <row r="179" spans="1:33">
      <c r="A179" t="s">
        <v>1824</v>
      </c>
      <c r="B179" t="s">
        <v>2027</v>
      </c>
      <c r="C179" t="s">
        <v>2026</v>
      </c>
      <c r="D179" t="s">
        <v>1995</v>
      </c>
      <c r="F179">
        <v>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c r="AC179">
        <v>0</v>
      </c>
      <c r="AD179">
        <v>0</v>
      </c>
      <c r="AE179">
        <v>0</v>
      </c>
      <c r="AF179">
        <v>0</v>
      </c>
      <c r="AG179" t="s">
        <v>1769</v>
      </c>
    </row>
    <row r="180" spans="1:33" s="260" customFormat="1">
      <c r="A180" s="260" t="s">
        <v>1852</v>
      </c>
      <c r="B180" s="260" t="s">
        <v>2025</v>
      </c>
      <c r="C180" s="260" t="s">
        <v>2024</v>
      </c>
      <c r="D180" s="260" t="s">
        <v>1995</v>
      </c>
      <c r="F180" s="260">
        <v>3.970215</v>
      </c>
      <c r="G180" s="260">
        <v>4.0091910000000004</v>
      </c>
      <c r="H180" s="260">
        <v>4.0653360000000003</v>
      </c>
      <c r="I180" s="260">
        <v>4.1323340000000002</v>
      </c>
      <c r="J180" s="260">
        <v>4.1937249999999997</v>
      </c>
      <c r="K180" s="260">
        <v>4.2415349999999998</v>
      </c>
      <c r="L180" s="260">
        <v>4.2838779999999996</v>
      </c>
      <c r="M180" s="260">
        <v>4.3163669999999996</v>
      </c>
      <c r="N180" s="260">
        <v>4.348007</v>
      </c>
      <c r="O180" s="260">
        <v>4.369561</v>
      </c>
      <c r="P180" s="260">
        <v>4.3852000000000002</v>
      </c>
      <c r="Q180" s="260">
        <v>4.4020970000000004</v>
      </c>
      <c r="R180" s="260">
        <v>4.4208569999999998</v>
      </c>
      <c r="S180" s="260">
        <v>4.4439219999999997</v>
      </c>
      <c r="T180" s="260">
        <v>4.4644000000000004</v>
      </c>
      <c r="U180" s="260">
        <v>4.4826800000000002</v>
      </c>
      <c r="V180" s="260">
        <v>4.4933120000000004</v>
      </c>
      <c r="W180" s="260">
        <v>4.5010579999999996</v>
      </c>
      <c r="X180" s="260">
        <v>4.5099869999999997</v>
      </c>
      <c r="Y180" s="260">
        <v>4.527717</v>
      </c>
      <c r="Z180" s="260">
        <v>4.5498729999999998</v>
      </c>
      <c r="AA180" s="260">
        <v>4.5683740000000004</v>
      </c>
      <c r="AB180" s="260">
        <v>4.5803440000000002</v>
      </c>
      <c r="AC180" s="260">
        <v>4.5916600000000001</v>
      </c>
      <c r="AD180" s="260">
        <v>4.6028260000000003</v>
      </c>
      <c r="AE180" s="260">
        <v>4.6103870000000002</v>
      </c>
      <c r="AF180" s="260">
        <v>4.6110850000000001</v>
      </c>
      <c r="AG180" s="261">
        <v>6.0000000000000001E-3</v>
      </c>
    </row>
    <row r="181" spans="1:33">
      <c r="A181" t="s">
        <v>1849</v>
      </c>
    </row>
    <row r="182" spans="1:33">
      <c r="A182" t="s">
        <v>201</v>
      </c>
      <c r="B182" t="s">
        <v>2023</v>
      </c>
      <c r="C182" t="s">
        <v>2022</v>
      </c>
      <c r="D182" t="s">
        <v>1995</v>
      </c>
      <c r="F182">
        <v>5.4532230000000004</v>
      </c>
      <c r="G182">
        <v>5.54474</v>
      </c>
      <c r="H182">
        <v>5.6681350000000004</v>
      </c>
      <c r="I182">
        <v>5.8111879999999996</v>
      </c>
      <c r="J182">
        <v>5.9438380000000004</v>
      </c>
      <c r="K182">
        <v>6.0549759999999999</v>
      </c>
      <c r="L182">
        <v>6.1551280000000004</v>
      </c>
      <c r="M182">
        <v>6.2453989999999999</v>
      </c>
      <c r="N182">
        <v>6.3268560000000003</v>
      </c>
      <c r="O182">
        <v>6.4006259999999999</v>
      </c>
      <c r="P182">
        <v>6.4616090000000002</v>
      </c>
      <c r="Q182">
        <v>6.5220029999999998</v>
      </c>
      <c r="R182">
        <v>6.5889709999999999</v>
      </c>
      <c r="S182">
        <v>6.6581659999999996</v>
      </c>
      <c r="T182">
        <v>6.7268949999999998</v>
      </c>
      <c r="U182">
        <v>6.785615</v>
      </c>
      <c r="V182">
        <v>6.8349149999999996</v>
      </c>
      <c r="W182">
        <v>6.8703469999999998</v>
      </c>
      <c r="X182">
        <v>6.9170680000000004</v>
      </c>
      <c r="Y182">
        <v>6.9704490000000003</v>
      </c>
      <c r="Z182">
        <v>7.0275299999999996</v>
      </c>
      <c r="AA182">
        <v>7.0818209999999997</v>
      </c>
      <c r="AB182">
        <v>7.1251420000000003</v>
      </c>
      <c r="AC182">
        <v>7.1636379999999997</v>
      </c>
      <c r="AD182">
        <v>7.1999880000000003</v>
      </c>
      <c r="AE182">
        <v>7.227563</v>
      </c>
      <c r="AF182">
        <v>7.2418500000000003</v>
      </c>
      <c r="AG182" s="144">
        <v>1.0999999999999999E-2</v>
      </c>
    </row>
    <row r="183" spans="1:33">
      <c r="A183" t="s">
        <v>202</v>
      </c>
      <c r="B183" t="s">
        <v>2021</v>
      </c>
      <c r="C183" t="s">
        <v>2020</v>
      </c>
      <c r="D183" t="s">
        <v>1995</v>
      </c>
      <c r="F183">
        <v>3.8136000000000003E-2</v>
      </c>
      <c r="G183">
        <v>3.1983999999999999E-2</v>
      </c>
      <c r="H183">
        <v>2.7276000000000002E-2</v>
      </c>
      <c r="I183">
        <v>2.3623000000000002E-2</v>
      </c>
      <c r="J183">
        <v>2.0743000000000001E-2</v>
      </c>
      <c r="K183">
        <v>1.8360999999999999E-2</v>
      </c>
      <c r="L183">
        <v>1.6451E-2</v>
      </c>
      <c r="M183">
        <v>1.4766E-2</v>
      </c>
      <c r="N183">
        <v>1.3356E-2</v>
      </c>
      <c r="O183">
        <v>1.2163999999999999E-2</v>
      </c>
      <c r="P183">
        <v>1.123E-2</v>
      </c>
      <c r="Q183">
        <v>1.0534E-2</v>
      </c>
      <c r="R183">
        <v>9.9780000000000008E-3</v>
      </c>
      <c r="S183">
        <v>9.5230000000000002E-3</v>
      </c>
      <c r="T183">
        <v>9.1430000000000001E-3</v>
      </c>
      <c r="U183">
        <v>8.8090000000000009E-3</v>
      </c>
      <c r="V183">
        <v>8.4720000000000004E-3</v>
      </c>
      <c r="W183">
        <v>8.2249999999999997E-3</v>
      </c>
      <c r="X183">
        <v>7.9209999999999992E-3</v>
      </c>
      <c r="Y183">
        <v>7.6280000000000002E-3</v>
      </c>
      <c r="Z183">
        <v>7.4219999999999998E-3</v>
      </c>
      <c r="AA183">
        <v>7.2960000000000004E-3</v>
      </c>
      <c r="AB183">
        <v>7.2110000000000004E-3</v>
      </c>
      <c r="AC183">
        <v>7.1520000000000004E-3</v>
      </c>
      <c r="AD183">
        <v>7.1180000000000002E-3</v>
      </c>
      <c r="AE183">
        <v>7.0850000000000002E-3</v>
      </c>
      <c r="AF183">
        <v>7.051E-3</v>
      </c>
      <c r="AG183" s="144">
        <v>-6.3E-2</v>
      </c>
    </row>
    <row r="184" spans="1:33">
      <c r="A184" t="s">
        <v>203</v>
      </c>
      <c r="B184" t="s">
        <v>2019</v>
      </c>
      <c r="C184" t="s">
        <v>2018</v>
      </c>
      <c r="D184" t="s">
        <v>1995</v>
      </c>
      <c r="F184">
        <v>3.0569999999999998E-3</v>
      </c>
      <c r="G184">
        <v>3.0070000000000001E-3</v>
      </c>
      <c r="H184">
        <v>3.0309999999999998E-3</v>
      </c>
      <c r="I184">
        <v>3.107E-3</v>
      </c>
      <c r="J184">
        <v>3.1909999999999998E-3</v>
      </c>
      <c r="K184">
        <v>3.241E-3</v>
      </c>
      <c r="L184">
        <v>3.297E-3</v>
      </c>
      <c r="M184">
        <v>3.3300000000000001E-3</v>
      </c>
      <c r="N184">
        <v>3.346E-3</v>
      </c>
      <c r="O184">
        <v>3.3730000000000001E-3</v>
      </c>
      <c r="P184">
        <v>3.4280000000000001E-3</v>
      </c>
      <c r="Q184">
        <v>3.4710000000000001E-3</v>
      </c>
      <c r="R184">
        <v>3.5140000000000002E-3</v>
      </c>
      <c r="S184">
        <v>3.5530000000000002E-3</v>
      </c>
      <c r="T184">
        <v>3.6020000000000002E-3</v>
      </c>
      <c r="U184">
        <v>3.6579999999999998E-3</v>
      </c>
      <c r="V184">
        <v>3.715E-3</v>
      </c>
      <c r="W184">
        <v>3.7629999999999999E-3</v>
      </c>
      <c r="X184">
        <v>3.8070000000000001E-3</v>
      </c>
      <c r="Y184">
        <v>3.8449999999999999E-3</v>
      </c>
      <c r="Z184">
        <v>3.8839999999999999E-3</v>
      </c>
      <c r="AA184">
        <v>3.9179999999999996E-3</v>
      </c>
      <c r="AB184">
        <v>3.9500000000000004E-3</v>
      </c>
      <c r="AC184">
        <v>3.98E-3</v>
      </c>
      <c r="AD184">
        <v>4.0140000000000002E-3</v>
      </c>
      <c r="AE184">
        <v>4.0249999999999999E-3</v>
      </c>
      <c r="AF184">
        <v>4.0070000000000001E-3</v>
      </c>
      <c r="AG184" s="144">
        <v>0.01</v>
      </c>
    </row>
    <row r="185" spans="1:33">
      <c r="A185" t="s">
        <v>204</v>
      </c>
      <c r="B185" t="s">
        <v>2017</v>
      </c>
      <c r="C185" t="s">
        <v>2016</v>
      </c>
      <c r="D185" t="s">
        <v>1995</v>
      </c>
      <c r="F185">
        <v>5.7391999999999999E-2</v>
      </c>
      <c r="G185">
        <v>6.1581999999999998E-2</v>
      </c>
      <c r="H185">
        <v>6.6053000000000001E-2</v>
      </c>
      <c r="I185">
        <v>7.0393999999999998E-2</v>
      </c>
      <c r="J185">
        <v>7.4439000000000005E-2</v>
      </c>
      <c r="K185">
        <v>7.8131999999999993E-2</v>
      </c>
      <c r="L185">
        <v>8.1558000000000005E-2</v>
      </c>
      <c r="M185">
        <v>8.4717000000000001E-2</v>
      </c>
      <c r="N185">
        <v>8.7696999999999997E-2</v>
      </c>
      <c r="O185">
        <v>9.0575000000000003E-2</v>
      </c>
      <c r="P185">
        <v>9.3313999999999994E-2</v>
      </c>
      <c r="Q185">
        <v>9.5942E-2</v>
      </c>
      <c r="R185">
        <v>9.8466999999999999E-2</v>
      </c>
      <c r="S185">
        <v>0.10101300000000001</v>
      </c>
      <c r="T185">
        <v>0.103474</v>
      </c>
      <c r="U185">
        <v>0.10592500000000001</v>
      </c>
      <c r="V185">
        <v>0.108441</v>
      </c>
      <c r="W185">
        <v>0.11104899999999999</v>
      </c>
      <c r="X185">
        <v>0.11365</v>
      </c>
      <c r="Y185">
        <v>0.11616600000000001</v>
      </c>
      <c r="Z185">
        <v>0.118715</v>
      </c>
      <c r="AA185">
        <v>0.12114999999999999</v>
      </c>
      <c r="AB185">
        <v>0.12349</v>
      </c>
      <c r="AC185">
        <v>0.12600500000000001</v>
      </c>
      <c r="AD185">
        <v>0.12883</v>
      </c>
      <c r="AE185">
        <v>0.13184399999999999</v>
      </c>
      <c r="AF185">
        <v>0.13523499999999999</v>
      </c>
      <c r="AG185" s="144">
        <v>3.4000000000000002E-2</v>
      </c>
    </row>
    <row r="186" spans="1:33">
      <c r="A186" t="s">
        <v>205</v>
      </c>
      <c r="B186" t="s">
        <v>2015</v>
      </c>
      <c r="C186" t="s">
        <v>2014</v>
      </c>
      <c r="D186" t="s">
        <v>1995</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t="s">
        <v>1769</v>
      </c>
    </row>
    <row r="187" spans="1:33">
      <c r="A187" t="s">
        <v>206</v>
      </c>
      <c r="B187" t="s">
        <v>2013</v>
      </c>
      <c r="C187" t="s">
        <v>2012</v>
      </c>
      <c r="D187" t="s">
        <v>1995</v>
      </c>
      <c r="F187">
        <v>2.114E-3</v>
      </c>
      <c r="G187">
        <v>2.921E-3</v>
      </c>
      <c r="H187">
        <v>3.8010000000000001E-3</v>
      </c>
      <c r="I187">
        <v>4.7330000000000002E-3</v>
      </c>
      <c r="J187">
        <v>5.6499999999999996E-3</v>
      </c>
      <c r="K187">
        <v>6.5319999999999996E-3</v>
      </c>
      <c r="L187">
        <v>7.3819999999999997E-3</v>
      </c>
      <c r="M187">
        <v>8.1930000000000006E-3</v>
      </c>
      <c r="N187">
        <v>8.9680000000000003E-3</v>
      </c>
      <c r="O187">
        <v>9.7109999999999991E-3</v>
      </c>
      <c r="P187">
        <v>1.0414E-2</v>
      </c>
      <c r="Q187">
        <v>1.1073E-2</v>
      </c>
      <c r="R187">
        <v>1.1696E-2</v>
      </c>
      <c r="S187">
        <v>1.2281E-2</v>
      </c>
      <c r="T187">
        <v>1.2834E-2</v>
      </c>
      <c r="U187">
        <v>1.3354E-2</v>
      </c>
      <c r="V187">
        <v>1.3842E-2</v>
      </c>
      <c r="W187">
        <v>1.4302E-2</v>
      </c>
      <c r="X187">
        <v>1.4742E-2</v>
      </c>
      <c r="Y187">
        <v>1.5167E-2</v>
      </c>
      <c r="Z187">
        <v>1.5570000000000001E-2</v>
      </c>
      <c r="AA187">
        <v>1.5951E-2</v>
      </c>
      <c r="AB187">
        <v>1.6309000000000001E-2</v>
      </c>
      <c r="AC187">
        <v>1.6659E-2</v>
      </c>
      <c r="AD187">
        <v>1.7006E-2</v>
      </c>
      <c r="AE187">
        <v>1.7343000000000001E-2</v>
      </c>
      <c r="AF187">
        <v>1.7661E-2</v>
      </c>
      <c r="AG187" s="144">
        <v>8.5000000000000006E-2</v>
      </c>
    </row>
    <row r="188" spans="1:33">
      <c r="A188" t="s">
        <v>207</v>
      </c>
      <c r="B188" t="s">
        <v>2011</v>
      </c>
      <c r="C188" t="s">
        <v>2010</v>
      </c>
      <c r="D188" t="s">
        <v>1995</v>
      </c>
      <c r="F188">
        <v>0</v>
      </c>
      <c r="G188">
        <v>0</v>
      </c>
      <c r="H188">
        <v>1.22E-4</v>
      </c>
      <c r="I188">
        <v>3.5199999999999999E-4</v>
      </c>
      <c r="J188">
        <v>6.2E-4</v>
      </c>
      <c r="K188">
        <v>9.41E-4</v>
      </c>
      <c r="L188">
        <v>1.3209999999999999E-3</v>
      </c>
      <c r="M188">
        <v>1.7750000000000001E-3</v>
      </c>
      <c r="N188">
        <v>2.336E-3</v>
      </c>
      <c r="O188">
        <v>2.3189999999999999E-3</v>
      </c>
      <c r="P188">
        <v>2.313E-3</v>
      </c>
      <c r="Q188">
        <v>2.33E-3</v>
      </c>
      <c r="R188">
        <v>2.3609999999999998E-3</v>
      </c>
      <c r="S188">
        <v>2.4290000000000002E-3</v>
      </c>
      <c r="T188">
        <v>2.5279999999999999E-3</v>
      </c>
      <c r="U188">
        <v>2.6589999999999999E-3</v>
      </c>
      <c r="V188">
        <v>2.7859999999999998E-3</v>
      </c>
      <c r="W188">
        <v>2.8890000000000001E-3</v>
      </c>
      <c r="X188">
        <v>2.9499999999999999E-3</v>
      </c>
      <c r="Y188">
        <v>2.9640000000000001E-3</v>
      </c>
      <c r="Z188">
        <v>2.9450000000000001E-3</v>
      </c>
      <c r="AA188">
        <v>2.8879999999999999E-3</v>
      </c>
      <c r="AB188">
        <v>2.7810000000000001E-3</v>
      </c>
      <c r="AC188">
        <v>2.6259999999999999E-3</v>
      </c>
      <c r="AD188">
        <v>2.4940000000000001E-3</v>
      </c>
      <c r="AE188">
        <v>2.3879999999999999E-3</v>
      </c>
      <c r="AF188">
        <v>2.3059999999999999E-3</v>
      </c>
      <c r="AG188" t="s">
        <v>1769</v>
      </c>
    </row>
    <row r="189" spans="1:33">
      <c r="A189" t="s">
        <v>208</v>
      </c>
      <c r="B189" t="s">
        <v>2009</v>
      </c>
      <c r="C189" t="s">
        <v>2008</v>
      </c>
      <c r="D189" t="s">
        <v>1995</v>
      </c>
      <c r="F189">
        <v>0</v>
      </c>
      <c r="G189">
        <v>0</v>
      </c>
      <c r="H189">
        <v>0</v>
      </c>
      <c r="I189">
        <v>0</v>
      </c>
      <c r="J189">
        <v>0</v>
      </c>
      <c r="K189">
        <v>0</v>
      </c>
      <c r="L189">
        <v>0</v>
      </c>
      <c r="M189">
        <v>0</v>
      </c>
      <c r="N189">
        <v>0</v>
      </c>
      <c r="O189">
        <v>0</v>
      </c>
      <c r="P189">
        <v>0</v>
      </c>
      <c r="Q189">
        <v>0</v>
      </c>
      <c r="R189">
        <v>0</v>
      </c>
      <c r="S189">
        <v>0</v>
      </c>
      <c r="T189">
        <v>0</v>
      </c>
      <c r="U189">
        <v>0</v>
      </c>
      <c r="V189">
        <v>0</v>
      </c>
      <c r="W189">
        <v>0</v>
      </c>
      <c r="X189">
        <v>0</v>
      </c>
      <c r="Y189">
        <v>0</v>
      </c>
      <c r="Z189">
        <v>0</v>
      </c>
      <c r="AA189">
        <v>0</v>
      </c>
      <c r="AB189">
        <v>0</v>
      </c>
      <c r="AC189">
        <v>0</v>
      </c>
      <c r="AD189">
        <v>0</v>
      </c>
      <c r="AE189">
        <v>0</v>
      </c>
      <c r="AF189">
        <v>0</v>
      </c>
      <c r="AG189" t="s">
        <v>1769</v>
      </c>
    </row>
    <row r="190" spans="1:33">
      <c r="A190" t="s">
        <v>209</v>
      </c>
      <c r="B190" t="s">
        <v>2007</v>
      </c>
      <c r="C190" t="s">
        <v>2006</v>
      </c>
      <c r="D190" t="s">
        <v>1995</v>
      </c>
      <c r="F190">
        <v>0</v>
      </c>
      <c r="G190">
        <v>0</v>
      </c>
      <c r="H190">
        <v>0</v>
      </c>
      <c r="I190">
        <v>0</v>
      </c>
      <c r="J190">
        <v>0</v>
      </c>
      <c r="K190">
        <v>0</v>
      </c>
      <c r="L190">
        <v>0</v>
      </c>
      <c r="M190">
        <v>0</v>
      </c>
      <c r="N190">
        <v>0</v>
      </c>
      <c r="O190">
        <v>0</v>
      </c>
      <c r="P190">
        <v>0</v>
      </c>
      <c r="Q190">
        <v>0</v>
      </c>
      <c r="R190">
        <v>0</v>
      </c>
      <c r="S190">
        <v>0</v>
      </c>
      <c r="T190">
        <v>0</v>
      </c>
      <c r="U190">
        <v>0</v>
      </c>
      <c r="V190">
        <v>0</v>
      </c>
      <c r="W190">
        <v>0</v>
      </c>
      <c r="X190">
        <v>0</v>
      </c>
      <c r="Y190">
        <v>0</v>
      </c>
      <c r="Z190">
        <v>0</v>
      </c>
      <c r="AA190">
        <v>0</v>
      </c>
      <c r="AB190">
        <v>0</v>
      </c>
      <c r="AC190">
        <v>0</v>
      </c>
      <c r="AD190">
        <v>0</v>
      </c>
      <c r="AE190">
        <v>0</v>
      </c>
      <c r="AF190">
        <v>0</v>
      </c>
      <c r="AG190" t="s">
        <v>1769</v>
      </c>
    </row>
    <row r="191" spans="1:33">
      <c r="A191" t="s">
        <v>1830</v>
      </c>
      <c r="B191" t="s">
        <v>2005</v>
      </c>
      <c r="C191" t="s">
        <v>2004</v>
      </c>
      <c r="D191" t="s">
        <v>1995</v>
      </c>
      <c r="F191">
        <v>0</v>
      </c>
      <c r="G191">
        <v>0</v>
      </c>
      <c r="H191">
        <v>0</v>
      </c>
      <c r="I191">
        <v>0</v>
      </c>
      <c r="J191">
        <v>0</v>
      </c>
      <c r="K191">
        <v>0</v>
      </c>
      <c r="L191">
        <v>0</v>
      </c>
      <c r="M191">
        <v>0</v>
      </c>
      <c r="N191">
        <v>0</v>
      </c>
      <c r="O191">
        <v>0</v>
      </c>
      <c r="P191">
        <v>0</v>
      </c>
      <c r="Q191">
        <v>0</v>
      </c>
      <c r="R191">
        <v>0</v>
      </c>
      <c r="S191">
        <v>0</v>
      </c>
      <c r="T191">
        <v>0</v>
      </c>
      <c r="U191">
        <v>0</v>
      </c>
      <c r="V191">
        <v>0</v>
      </c>
      <c r="W191">
        <v>0</v>
      </c>
      <c r="X191">
        <v>0</v>
      </c>
      <c r="Y191">
        <v>0</v>
      </c>
      <c r="Z191">
        <v>0</v>
      </c>
      <c r="AA191">
        <v>0</v>
      </c>
      <c r="AB191">
        <v>0</v>
      </c>
      <c r="AC191">
        <v>0</v>
      </c>
      <c r="AD191">
        <v>0</v>
      </c>
      <c r="AE191">
        <v>0</v>
      </c>
      <c r="AF191">
        <v>0</v>
      </c>
      <c r="AG191" t="s">
        <v>1769</v>
      </c>
    </row>
    <row r="192" spans="1:33">
      <c r="A192" t="s">
        <v>1827</v>
      </c>
      <c r="B192" t="s">
        <v>2003</v>
      </c>
      <c r="C192" t="s">
        <v>2002</v>
      </c>
      <c r="D192" t="s">
        <v>1995</v>
      </c>
      <c r="F192">
        <v>0</v>
      </c>
      <c r="G192">
        <v>0</v>
      </c>
      <c r="H192">
        <v>0</v>
      </c>
      <c r="I192">
        <v>0</v>
      </c>
      <c r="J192">
        <v>0</v>
      </c>
      <c r="K192">
        <v>0</v>
      </c>
      <c r="L192">
        <v>0</v>
      </c>
      <c r="M192">
        <v>0</v>
      </c>
      <c r="N192">
        <v>0</v>
      </c>
      <c r="O192">
        <v>0</v>
      </c>
      <c r="P192">
        <v>0</v>
      </c>
      <c r="Q192">
        <v>0</v>
      </c>
      <c r="R192">
        <v>0</v>
      </c>
      <c r="S192">
        <v>0</v>
      </c>
      <c r="T192">
        <v>0</v>
      </c>
      <c r="U192">
        <v>0</v>
      </c>
      <c r="V192">
        <v>0</v>
      </c>
      <c r="W192">
        <v>0</v>
      </c>
      <c r="X192">
        <v>0</v>
      </c>
      <c r="Y192">
        <v>0</v>
      </c>
      <c r="Z192">
        <v>0</v>
      </c>
      <c r="AA192">
        <v>0</v>
      </c>
      <c r="AB192">
        <v>0</v>
      </c>
      <c r="AC192">
        <v>0</v>
      </c>
      <c r="AD192">
        <v>0</v>
      </c>
      <c r="AE192">
        <v>0</v>
      </c>
      <c r="AF192">
        <v>0</v>
      </c>
      <c r="AG192" t="s">
        <v>1769</v>
      </c>
    </row>
    <row r="193" spans="1:33">
      <c r="A193" t="s">
        <v>1824</v>
      </c>
      <c r="B193" t="s">
        <v>2001</v>
      </c>
      <c r="C193" t="s">
        <v>2000</v>
      </c>
      <c r="D193" t="s">
        <v>1995</v>
      </c>
      <c r="F193">
        <v>0</v>
      </c>
      <c r="G193">
        <v>0</v>
      </c>
      <c r="H193">
        <v>0</v>
      </c>
      <c r="I193">
        <v>0</v>
      </c>
      <c r="J193">
        <v>0</v>
      </c>
      <c r="K193">
        <v>0</v>
      </c>
      <c r="L193">
        <v>0</v>
      </c>
      <c r="M193">
        <v>0</v>
      </c>
      <c r="N193">
        <v>0</v>
      </c>
      <c r="O193">
        <v>0</v>
      </c>
      <c r="P193">
        <v>0</v>
      </c>
      <c r="Q193">
        <v>0</v>
      </c>
      <c r="R193">
        <v>0</v>
      </c>
      <c r="S193">
        <v>0</v>
      </c>
      <c r="T193">
        <v>0</v>
      </c>
      <c r="U193">
        <v>0</v>
      </c>
      <c r="V193">
        <v>0</v>
      </c>
      <c r="W193">
        <v>0</v>
      </c>
      <c r="X193">
        <v>0</v>
      </c>
      <c r="Y193">
        <v>0</v>
      </c>
      <c r="Z193">
        <v>0</v>
      </c>
      <c r="AA193">
        <v>0</v>
      </c>
      <c r="AB193">
        <v>0</v>
      </c>
      <c r="AC193">
        <v>0</v>
      </c>
      <c r="AD193">
        <v>0</v>
      </c>
      <c r="AE193">
        <v>0</v>
      </c>
      <c r="AF193">
        <v>0</v>
      </c>
      <c r="AG193" t="s">
        <v>1769</v>
      </c>
    </row>
    <row r="194" spans="1:33">
      <c r="A194" t="s">
        <v>1821</v>
      </c>
      <c r="B194" t="s">
        <v>1999</v>
      </c>
      <c r="C194" t="s">
        <v>1998</v>
      </c>
      <c r="D194" t="s">
        <v>1995</v>
      </c>
      <c r="F194">
        <v>5.5539240000000003</v>
      </c>
      <c r="G194">
        <v>5.6442329999999998</v>
      </c>
      <c r="H194">
        <v>5.7684139999999999</v>
      </c>
      <c r="I194">
        <v>5.9133979999999999</v>
      </c>
      <c r="J194">
        <v>6.0484790000000004</v>
      </c>
      <c r="K194">
        <v>6.1621829999999997</v>
      </c>
      <c r="L194">
        <v>6.2651370000000002</v>
      </c>
      <c r="M194">
        <v>6.3581779999999997</v>
      </c>
      <c r="N194">
        <v>6.4425569999999999</v>
      </c>
      <c r="O194">
        <v>6.5187679999999997</v>
      </c>
      <c r="P194">
        <v>6.5823070000000001</v>
      </c>
      <c r="Q194">
        <v>6.6453530000000001</v>
      </c>
      <c r="R194">
        <v>6.7149859999999997</v>
      </c>
      <c r="S194">
        <v>6.7869659999999996</v>
      </c>
      <c r="T194">
        <v>6.8584779999999999</v>
      </c>
      <c r="U194">
        <v>6.9200189999999999</v>
      </c>
      <c r="V194">
        <v>6.9721710000000003</v>
      </c>
      <c r="W194">
        <v>7.01058</v>
      </c>
      <c r="X194">
        <v>7.0601390000000004</v>
      </c>
      <c r="Y194">
        <v>7.1162190000000001</v>
      </c>
      <c r="Z194">
        <v>7.1760700000000002</v>
      </c>
      <c r="AA194">
        <v>7.2330199999999998</v>
      </c>
      <c r="AB194">
        <v>7.2788839999999997</v>
      </c>
      <c r="AC194">
        <v>7.3200570000000003</v>
      </c>
      <c r="AD194">
        <v>7.3594530000000002</v>
      </c>
      <c r="AE194">
        <v>7.390244</v>
      </c>
      <c r="AF194">
        <v>7.408112</v>
      </c>
      <c r="AG194" s="144">
        <v>1.0999999999999999E-2</v>
      </c>
    </row>
    <row r="195" spans="1:33">
      <c r="A195" t="s">
        <v>211</v>
      </c>
      <c r="B195" t="s">
        <v>1997</v>
      </c>
      <c r="C195" t="s">
        <v>1996</v>
      </c>
      <c r="D195" t="s">
        <v>1995</v>
      </c>
      <c r="F195">
        <v>14.630017</v>
      </c>
      <c r="G195">
        <v>14.950063999999999</v>
      </c>
      <c r="H195">
        <v>15.336373999999999</v>
      </c>
      <c r="I195">
        <v>15.758817000000001</v>
      </c>
      <c r="J195">
        <v>16.157616000000001</v>
      </c>
      <c r="K195">
        <v>16.514610000000001</v>
      </c>
      <c r="L195">
        <v>16.851102999999998</v>
      </c>
      <c r="M195">
        <v>17.157919</v>
      </c>
      <c r="N195">
        <v>17.453142</v>
      </c>
      <c r="O195">
        <v>17.722261</v>
      </c>
      <c r="P195">
        <v>17.971948999999999</v>
      </c>
      <c r="Q195">
        <v>18.217116999999998</v>
      </c>
      <c r="R195">
        <v>18.470904999999998</v>
      </c>
      <c r="S195">
        <v>18.730982000000001</v>
      </c>
      <c r="T195">
        <v>18.987928</v>
      </c>
      <c r="U195">
        <v>19.229583999999999</v>
      </c>
      <c r="V195">
        <v>19.448927000000001</v>
      </c>
      <c r="W195">
        <v>19.6525</v>
      </c>
      <c r="X195">
        <v>19.864656</v>
      </c>
      <c r="Y195">
        <v>20.100263999999999</v>
      </c>
      <c r="Z195">
        <v>20.349910999999999</v>
      </c>
      <c r="AA195">
        <v>20.586701999999999</v>
      </c>
      <c r="AB195">
        <v>20.79805</v>
      </c>
      <c r="AC195">
        <v>21.004408000000002</v>
      </c>
      <c r="AD195">
        <v>21.205359999999999</v>
      </c>
      <c r="AE195">
        <v>21.380649999999999</v>
      </c>
      <c r="AF195">
        <v>21.528708000000002</v>
      </c>
      <c r="AG195" s="144">
        <v>1.4999999999999999E-2</v>
      </c>
    </row>
    <row r="196" spans="1:33">
      <c r="A196" t="s">
        <v>191</v>
      </c>
    </row>
    <row r="197" spans="1:33">
      <c r="A197" t="s">
        <v>1994</v>
      </c>
    </row>
    <row r="198" spans="1:33">
      <c r="A198" t="s">
        <v>1905</v>
      </c>
    </row>
    <row r="199" spans="1:33">
      <c r="A199" t="s">
        <v>201</v>
      </c>
      <c r="B199" t="s">
        <v>1993</v>
      </c>
      <c r="C199" t="s">
        <v>1992</v>
      </c>
      <c r="D199" t="s">
        <v>1913</v>
      </c>
      <c r="F199">
        <v>14.400703999999999</v>
      </c>
      <c r="G199">
        <v>14.660596</v>
      </c>
      <c r="H199">
        <v>14.909394000000001</v>
      </c>
      <c r="I199">
        <v>15.148808000000001</v>
      </c>
      <c r="J199">
        <v>15.587316</v>
      </c>
      <c r="K199">
        <v>15.569564</v>
      </c>
      <c r="L199">
        <v>15.706894999999999</v>
      </c>
      <c r="M199">
        <v>15.808894</v>
      </c>
      <c r="N199">
        <v>15.874243</v>
      </c>
      <c r="O199">
        <v>15.908842999999999</v>
      </c>
      <c r="P199">
        <v>15.928421</v>
      </c>
      <c r="Q199">
        <v>15.940676</v>
      </c>
      <c r="R199">
        <v>15.931882999999999</v>
      </c>
      <c r="S199">
        <v>15.918108999999999</v>
      </c>
      <c r="T199">
        <v>15.923935</v>
      </c>
      <c r="U199">
        <v>15.946382</v>
      </c>
      <c r="V199">
        <v>15.949452000000001</v>
      </c>
      <c r="W199">
        <v>15.974583000000001</v>
      </c>
      <c r="X199">
        <v>16.011904000000001</v>
      </c>
      <c r="Y199">
        <v>16.067564000000001</v>
      </c>
      <c r="Z199">
        <v>16.092542999999999</v>
      </c>
      <c r="AA199">
        <v>16.10285</v>
      </c>
      <c r="AB199">
        <v>16.070187000000001</v>
      </c>
      <c r="AC199">
        <v>16.117353000000001</v>
      </c>
      <c r="AD199">
        <v>16.17164</v>
      </c>
      <c r="AE199">
        <v>16.204170000000001</v>
      </c>
      <c r="AF199">
        <v>16.214468</v>
      </c>
      <c r="AG199" s="144">
        <v>5.0000000000000001E-3</v>
      </c>
    </row>
    <row r="200" spans="1:33">
      <c r="A200" t="s">
        <v>202</v>
      </c>
      <c r="B200" t="s">
        <v>1991</v>
      </c>
      <c r="C200" t="s">
        <v>1990</v>
      </c>
      <c r="D200" t="s">
        <v>1916</v>
      </c>
      <c r="F200">
        <v>12.031425</v>
      </c>
      <c r="G200">
        <v>12.120165999999999</v>
      </c>
      <c r="H200">
        <v>12.218216999999999</v>
      </c>
      <c r="I200">
        <v>12.314306</v>
      </c>
      <c r="J200">
        <v>12.519958000000001</v>
      </c>
      <c r="K200">
        <v>12.526904</v>
      </c>
      <c r="L200">
        <v>12.614868</v>
      </c>
      <c r="M200">
        <v>12.696854999999999</v>
      </c>
      <c r="N200">
        <v>12.776363</v>
      </c>
      <c r="O200">
        <v>12.810620999999999</v>
      </c>
      <c r="P200">
        <v>12.829993999999999</v>
      </c>
      <c r="Q200">
        <v>12.839169999999999</v>
      </c>
      <c r="R200">
        <v>12.820976</v>
      </c>
      <c r="S200">
        <v>12.785634999999999</v>
      </c>
      <c r="T200">
        <v>12.802814</v>
      </c>
      <c r="U200">
        <v>12.846814</v>
      </c>
      <c r="V200">
        <v>12.852778000000001</v>
      </c>
      <c r="W200">
        <v>12.900325</v>
      </c>
      <c r="X200">
        <v>12.970843</v>
      </c>
      <c r="Y200">
        <v>13.073732</v>
      </c>
      <c r="Z200">
        <v>13.11858</v>
      </c>
      <c r="AA200">
        <v>13.137976999999999</v>
      </c>
      <c r="AB200">
        <v>13.165692999999999</v>
      </c>
      <c r="AC200">
        <v>13.248922</v>
      </c>
      <c r="AD200">
        <v>13.34107</v>
      </c>
      <c r="AE200">
        <v>13.395440000000001</v>
      </c>
      <c r="AF200">
        <v>13.397116</v>
      </c>
      <c r="AG200" s="144">
        <v>4.0000000000000001E-3</v>
      </c>
    </row>
    <row r="201" spans="1:33">
      <c r="A201" t="s">
        <v>203</v>
      </c>
      <c r="B201" t="s">
        <v>1989</v>
      </c>
      <c r="C201" t="s">
        <v>1988</v>
      </c>
      <c r="D201" t="s">
        <v>1916</v>
      </c>
      <c r="F201">
        <v>11.1304</v>
      </c>
      <c r="G201">
        <v>11.18446</v>
      </c>
      <c r="H201">
        <v>11.218819999999999</v>
      </c>
      <c r="I201">
        <v>11.255887</v>
      </c>
      <c r="J201">
        <v>11.412219</v>
      </c>
      <c r="K201">
        <v>11.400475999999999</v>
      </c>
      <c r="L201">
        <v>11.479112000000001</v>
      </c>
      <c r="M201">
        <v>11.570024</v>
      </c>
      <c r="N201">
        <v>11.661617</v>
      </c>
      <c r="O201">
        <v>11.750628000000001</v>
      </c>
      <c r="P201">
        <v>11.847393</v>
      </c>
      <c r="Q201">
        <v>11.933859</v>
      </c>
      <c r="R201">
        <v>12.002807000000001</v>
      </c>
      <c r="S201">
        <v>12.054949000000001</v>
      </c>
      <c r="T201">
        <v>12.095764000000001</v>
      </c>
      <c r="U201">
        <v>12.138782000000001</v>
      </c>
      <c r="V201">
        <v>12.178782</v>
      </c>
      <c r="W201">
        <v>12.217374</v>
      </c>
      <c r="X201">
        <v>12.250284000000001</v>
      </c>
      <c r="Y201">
        <v>12.276258</v>
      </c>
      <c r="Z201">
        <v>12.298315000000001</v>
      </c>
      <c r="AA201">
        <v>12.314526000000001</v>
      </c>
      <c r="AB201">
        <v>12.324564000000001</v>
      </c>
      <c r="AC201">
        <v>12.324909</v>
      </c>
      <c r="AD201">
        <v>12.324966999999999</v>
      </c>
      <c r="AE201">
        <v>12.326323</v>
      </c>
      <c r="AF201">
        <v>12.328670000000001</v>
      </c>
      <c r="AG201" s="144">
        <v>4.0000000000000001E-3</v>
      </c>
    </row>
    <row r="202" spans="1:33">
      <c r="A202" t="s">
        <v>204</v>
      </c>
      <c r="B202" t="s">
        <v>1987</v>
      </c>
      <c r="C202" t="s">
        <v>1986</v>
      </c>
      <c r="D202" t="s">
        <v>1916</v>
      </c>
      <c r="F202">
        <v>10.947818</v>
      </c>
      <c r="G202">
        <v>10.990493000000001</v>
      </c>
      <c r="H202">
        <v>11.056637</v>
      </c>
      <c r="I202">
        <v>11.142770000000001</v>
      </c>
      <c r="J202">
        <v>11.533828</v>
      </c>
      <c r="K202">
        <v>11.485296999999999</v>
      </c>
      <c r="L202">
        <v>11.616588999999999</v>
      </c>
      <c r="M202">
        <v>11.763449</v>
      </c>
      <c r="N202">
        <v>11.902488999999999</v>
      </c>
      <c r="O202">
        <v>12.032113000000001</v>
      </c>
      <c r="P202">
        <v>12.096603999999999</v>
      </c>
      <c r="Q202">
        <v>12.130247000000001</v>
      </c>
      <c r="R202">
        <v>12.148973</v>
      </c>
      <c r="S202">
        <v>12.149476</v>
      </c>
      <c r="T202">
        <v>12.133198999999999</v>
      </c>
      <c r="U202">
        <v>12.114938</v>
      </c>
      <c r="V202">
        <v>12.096787000000001</v>
      </c>
      <c r="W202">
        <v>12.080774999999999</v>
      </c>
      <c r="X202">
        <v>12.068275999999999</v>
      </c>
      <c r="Y202">
        <v>12.056754</v>
      </c>
      <c r="Z202">
        <v>12.050371</v>
      </c>
      <c r="AA202">
        <v>12.042301</v>
      </c>
      <c r="AB202">
        <v>12.03565</v>
      </c>
      <c r="AC202">
        <v>12.029597000000001</v>
      </c>
      <c r="AD202">
        <v>12.026527</v>
      </c>
      <c r="AE202">
        <v>12.023883</v>
      </c>
      <c r="AF202">
        <v>12.026020000000001</v>
      </c>
      <c r="AG202" s="144">
        <v>4.0000000000000001E-3</v>
      </c>
    </row>
    <row r="203" spans="1:33">
      <c r="A203" t="s">
        <v>205</v>
      </c>
      <c r="B203" t="s">
        <v>1985</v>
      </c>
      <c r="C203" t="s">
        <v>1984</v>
      </c>
      <c r="D203" t="s">
        <v>1916</v>
      </c>
      <c r="F203">
        <v>11.410875000000001</v>
      </c>
      <c r="G203">
        <v>11.497379</v>
      </c>
      <c r="H203">
        <v>11.591085</v>
      </c>
      <c r="I203">
        <v>11.68336</v>
      </c>
      <c r="J203">
        <v>11.866866999999999</v>
      </c>
      <c r="K203">
        <v>11.851042</v>
      </c>
      <c r="L203">
        <v>11.905309000000001</v>
      </c>
      <c r="M203">
        <v>11.944247000000001</v>
      </c>
      <c r="N203">
        <v>11.971857</v>
      </c>
      <c r="O203">
        <v>11.984635000000001</v>
      </c>
      <c r="P203">
        <v>11.987278</v>
      </c>
      <c r="Q203">
        <v>11.987494</v>
      </c>
      <c r="R203">
        <v>11.984787000000001</v>
      </c>
      <c r="S203">
        <v>11.975884000000001</v>
      </c>
      <c r="T203">
        <v>11.981134000000001</v>
      </c>
      <c r="U203">
        <v>11.985151</v>
      </c>
      <c r="V203">
        <v>11.989549</v>
      </c>
      <c r="W203">
        <v>11.995281</v>
      </c>
      <c r="X203">
        <v>12.000392</v>
      </c>
      <c r="Y203">
        <v>12.00244</v>
      </c>
      <c r="Z203">
        <v>12.002852000000001</v>
      </c>
      <c r="AA203">
        <v>12.003465</v>
      </c>
      <c r="AB203">
        <v>12.005936</v>
      </c>
      <c r="AC203">
        <v>12.007431</v>
      </c>
      <c r="AD203">
        <v>12.006736999999999</v>
      </c>
      <c r="AE203">
        <v>12.007421000000001</v>
      </c>
      <c r="AF203">
        <v>12.009321</v>
      </c>
      <c r="AG203" s="144">
        <v>2E-3</v>
      </c>
    </row>
    <row r="204" spans="1:33">
      <c r="A204" t="s">
        <v>206</v>
      </c>
      <c r="B204" t="s">
        <v>1983</v>
      </c>
      <c r="C204" t="s">
        <v>1982</v>
      </c>
      <c r="D204" t="s">
        <v>1913</v>
      </c>
      <c r="F204">
        <v>42.360385999999998</v>
      </c>
      <c r="G204">
        <v>42.360390000000002</v>
      </c>
      <c r="H204">
        <v>42.360385999999998</v>
      </c>
      <c r="I204">
        <v>42.360385999999998</v>
      </c>
      <c r="J204">
        <v>42.416671999999998</v>
      </c>
      <c r="K204">
        <v>42.410789000000001</v>
      </c>
      <c r="L204">
        <v>42.405189999999997</v>
      </c>
      <c r="M204">
        <v>42.400252999999999</v>
      </c>
      <c r="N204">
        <v>42.396197999999998</v>
      </c>
      <c r="O204">
        <v>42.392837999999998</v>
      </c>
      <c r="P204">
        <v>42.389648000000001</v>
      </c>
      <c r="Q204">
        <v>42.387165000000003</v>
      </c>
      <c r="R204">
        <v>42.385235000000002</v>
      </c>
      <c r="S204">
        <v>42.383716999999997</v>
      </c>
      <c r="T204">
        <v>42.382415999999999</v>
      </c>
      <c r="U204">
        <v>42.381301999999998</v>
      </c>
      <c r="V204">
        <v>42.380360000000003</v>
      </c>
      <c r="W204">
        <v>42.379612000000002</v>
      </c>
      <c r="X204">
        <v>42.379097000000002</v>
      </c>
      <c r="Y204">
        <v>42.378754000000001</v>
      </c>
      <c r="Z204">
        <v>42.378543999999998</v>
      </c>
      <c r="AA204">
        <v>42.378436999999998</v>
      </c>
      <c r="AB204">
        <v>42.387768000000001</v>
      </c>
      <c r="AC204">
        <v>42.405109000000003</v>
      </c>
      <c r="AD204">
        <v>42.432685999999997</v>
      </c>
      <c r="AE204">
        <v>42.494225</v>
      </c>
      <c r="AF204">
        <v>42.567383</v>
      </c>
      <c r="AG204" s="144">
        <v>0</v>
      </c>
    </row>
    <row r="205" spans="1:33">
      <c r="A205" t="s">
        <v>207</v>
      </c>
      <c r="B205" t="s">
        <v>1981</v>
      </c>
      <c r="C205" t="s">
        <v>1980</v>
      </c>
      <c r="D205" t="s">
        <v>1913</v>
      </c>
      <c r="F205">
        <v>0</v>
      </c>
      <c r="G205">
        <v>0</v>
      </c>
      <c r="H205">
        <v>0</v>
      </c>
      <c r="I205">
        <v>0</v>
      </c>
      <c r="J205">
        <v>0</v>
      </c>
      <c r="K205">
        <v>0</v>
      </c>
      <c r="L205">
        <v>0</v>
      </c>
      <c r="M205">
        <v>0</v>
      </c>
      <c r="N205">
        <v>0</v>
      </c>
      <c r="O205">
        <v>0</v>
      </c>
      <c r="P205">
        <v>0</v>
      </c>
      <c r="Q205">
        <v>0</v>
      </c>
      <c r="R205">
        <v>0</v>
      </c>
      <c r="S205">
        <v>0</v>
      </c>
      <c r="T205">
        <v>0</v>
      </c>
      <c r="U205">
        <v>0</v>
      </c>
      <c r="V205">
        <v>0</v>
      </c>
      <c r="W205">
        <v>0</v>
      </c>
      <c r="X205">
        <v>0</v>
      </c>
      <c r="Y205">
        <v>0</v>
      </c>
      <c r="Z205">
        <v>0</v>
      </c>
      <c r="AA205">
        <v>0</v>
      </c>
      <c r="AB205">
        <v>0</v>
      </c>
      <c r="AC205">
        <v>0</v>
      </c>
      <c r="AD205">
        <v>0</v>
      </c>
      <c r="AE205">
        <v>0</v>
      </c>
      <c r="AF205">
        <v>0</v>
      </c>
      <c r="AG205" t="s">
        <v>1769</v>
      </c>
    </row>
    <row r="206" spans="1:33">
      <c r="A206" t="s">
        <v>208</v>
      </c>
      <c r="B206" t="s">
        <v>1979</v>
      </c>
      <c r="C206" t="s">
        <v>1978</v>
      </c>
      <c r="D206" t="s">
        <v>1916</v>
      </c>
      <c r="F206">
        <v>0</v>
      </c>
      <c r="G206">
        <v>0</v>
      </c>
      <c r="H206">
        <v>0</v>
      </c>
      <c r="I206">
        <v>0</v>
      </c>
      <c r="J206">
        <v>0</v>
      </c>
      <c r="K206">
        <v>0</v>
      </c>
      <c r="L206">
        <v>0</v>
      </c>
      <c r="M206">
        <v>0</v>
      </c>
      <c r="N206">
        <v>0</v>
      </c>
      <c r="O206">
        <v>0</v>
      </c>
      <c r="P206">
        <v>0</v>
      </c>
      <c r="Q206">
        <v>0</v>
      </c>
      <c r="R206">
        <v>0</v>
      </c>
      <c r="S206">
        <v>0</v>
      </c>
      <c r="T206">
        <v>0</v>
      </c>
      <c r="U206">
        <v>0</v>
      </c>
      <c r="V206">
        <v>0</v>
      </c>
      <c r="W206">
        <v>0</v>
      </c>
      <c r="X206">
        <v>0</v>
      </c>
      <c r="Y206">
        <v>0</v>
      </c>
      <c r="Z206">
        <v>0</v>
      </c>
      <c r="AA206">
        <v>0</v>
      </c>
      <c r="AB206">
        <v>0</v>
      </c>
      <c r="AC206">
        <v>0</v>
      </c>
      <c r="AD206">
        <v>0</v>
      </c>
      <c r="AE206">
        <v>0</v>
      </c>
      <c r="AF206">
        <v>0</v>
      </c>
      <c r="AG206" t="s">
        <v>1769</v>
      </c>
    </row>
    <row r="207" spans="1:33">
      <c r="A207" t="s">
        <v>209</v>
      </c>
      <c r="B207" t="s">
        <v>1977</v>
      </c>
      <c r="C207" t="s">
        <v>1976</v>
      </c>
      <c r="D207" t="s">
        <v>1913</v>
      </c>
      <c r="F207">
        <v>0</v>
      </c>
      <c r="G207">
        <v>0</v>
      </c>
      <c r="H207">
        <v>0</v>
      </c>
      <c r="I207">
        <v>0</v>
      </c>
      <c r="J207">
        <v>0</v>
      </c>
      <c r="K207">
        <v>0</v>
      </c>
      <c r="L207">
        <v>0</v>
      </c>
      <c r="M207">
        <v>0</v>
      </c>
      <c r="N207">
        <v>0</v>
      </c>
      <c r="O207">
        <v>0</v>
      </c>
      <c r="P207">
        <v>0</v>
      </c>
      <c r="Q207">
        <v>0</v>
      </c>
      <c r="R207">
        <v>0</v>
      </c>
      <c r="S207">
        <v>0</v>
      </c>
      <c r="T207">
        <v>0</v>
      </c>
      <c r="U207">
        <v>0</v>
      </c>
      <c r="V207">
        <v>0</v>
      </c>
      <c r="W207">
        <v>0</v>
      </c>
      <c r="X207">
        <v>0</v>
      </c>
      <c r="Y207">
        <v>0</v>
      </c>
      <c r="Z207">
        <v>0</v>
      </c>
      <c r="AA207">
        <v>0</v>
      </c>
      <c r="AB207">
        <v>0</v>
      </c>
      <c r="AC207">
        <v>0</v>
      </c>
      <c r="AD207">
        <v>0</v>
      </c>
      <c r="AE207">
        <v>0</v>
      </c>
      <c r="AF207">
        <v>0</v>
      </c>
      <c r="AG207" t="s">
        <v>1769</v>
      </c>
    </row>
    <row r="208" spans="1:33">
      <c r="A208" t="s">
        <v>1830</v>
      </c>
      <c r="B208" t="s">
        <v>1975</v>
      </c>
      <c r="C208" t="s">
        <v>1974</v>
      </c>
      <c r="D208" t="s">
        <v>1913</v>
      </c>
      <c r="F208">
        <v>0</v>
      </c>
      <c r="G208">
        <v>0</v>
      </c>
      <c r="H208">
        <v>0</v>
      </c>
      <c r="I208">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c r="AD208">
        <v>0</v>
      </c>
      <c r="AE208">
        <v>0</v>
      </c>
      <c r="AF208">
        <v>0</v>
      </c>
      <c r="AG208" t="s">
        <v>1769</v>
      </c>
    </row>
    <row r="209" spans="1:33">
      <c r="A209" t="s">
        <v>1827</v>
      </c>
      <c r="B209" t="s">
        <v>1973</v>
      </c>
      <c r="C209" t="s">
        <v>1972</v>
      </c>
      <c r="D209" t="s">
        <v>1916</v>
      </c>
      <c r="F209">
        <v>0</v>
      </c>
      <c r="G209">
        <v>14.326266</v>
      </c>
      <c r="H209">
        <v>14.333030000000001</v>
      </c>
      <c r="I209">
        <v>14.353346999999999</v>
      </c>
      <c r="J209">
        <v>14.447293999999999</v>
      </c>
      <c r="K209">
        <v>14.378346000000001</v>
      </c>
      <c r="L209">
        <v>14.436540000000001</v>
      </c>
      <c r="M209">
        <v>14.524727</v>
      </c>
      <c r="N209">
        <v>14.638783</v>
      </c>
      <c r="O209">
        <v>14.794591</v>
      </c>
      <c r="P209">
        <v>14.996159</v>
      </c>
      <c r="Q209">
        <v>15.127234</v>
      </c>
      <c r="R209">
        <v>15.234635000000001</v>
      </c>
      <c r="S209">
        <v>15.307149000000001</v>
      </c>
      <c r="T209">
        <v>15.344830999999999</v>
      </c>
      <c r="U209">
        <v>15.355515</v>
      </c>
      <c r="V209">
        <v>15.359513</v>
      </c>
      <c r="W209">
        <v>15.360636</v>
      </c>
      <c r="X209">
        <v>15.358568</v>
      </c>
      <c r="Y209">
        <v>15.354512</v>
      </c>
      <c r="Z209">
        <v>15.350286000000001</v>
      </c>
      <c r="AA209">
        <v>15.346555</v>
      </c>
      <c r="AB209">
        <v>15.341411000000001</v>
      </c>
      <c r="AC209">
        <v>15.336034</v>
      </c>
      <c r="AD209">
        <v>15.330036</v>
      </c>
      <c r="AE209">
        <v>15.324598</v>
      </c>
      <c r="AF209">
        <v>15.319876000000001</v>
      </c>
      <c r="AG209" t="s">
        <v>1769</v>
      </c>
    </row>
    <row r="210" spans="1:33">
      <c r="A210" t="s">
        <v>1824</v>
      </c>
      <c r="B210" t="s">
        <v>1971</v>
      </c>
      <c r="C210" t="s">
        <v>1970</v>
      </c>
      <c r="D210" t="s">
        <v>1913</v>
      </c>
      <c r="F210">
        <v>0</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t="s">
        <v>1769</v>
      </c>
    </row>
    <row r="211" spans="1:33">
      <c r="A211" t="s">
        <v>1969</v>
      </c>
      <c r="B211" t="s">
        <v>1968</v>
      </c>
      <c r="C211" t="s">
        <v>1967</v>
      </c>
      <c r="F211">
        <v>13.24691</v>
      </c>
      <c r="G211">
        <v>13.387729</v>
      </c>
      <c r="H211">
        <v>13.526486</v>
      </c>
      <c r="I211">
        <v>13.658398</v>
      </c>
      <c r="J211">
        <v>13.988308</v>
      </c>
      <c r="K211">
        <v>13.992438999999999</v>
      </c>
      <c r="L211">
        <v>14.126111999999999</v>
      </c>
      <c r="M211">
        <v>14.305666</v>
      </c>
      <c r="N211">
        <v>14.499096</v>
      </c>
      <c r="O211">
        <v>14.622809999999999</v>
      </c>
      <c r="P211">
        <v>14.85224</v>
      </c>
      <c r="Q211">
        <v>15.099515999999999</v>
      </c>
      <c r="R211">
        <v>15.341229999999999</v>
      </c>
      <c r="S211">
        <v>15.5327</v>
      </c>
      <c r="T211">
        <v>15.755352999999999</v>
      </c>
      <c r="U211">
        <v>15.990437</v>
      </c>
      <c r="V211">
        <v>16.206022000000001</v>
      </c>
      <c r="W211">
        <v>16.530912000000001</v>
      </c>
      <c r="X211">
        <v>16.825386000000002</v>
      </c>
      <c r="Y211">
        <v>17.108689999999999</v>
      </c>
      <c r="Z211">
        <v>17.222024999999999</v>
      </c>
      <c r="AA211">
        <v>17.366146000000001</v>
      </c>
      <c r="AB211">
        <v>17.496670000000002</v>
      </c>
      <c r="AC211">
        <v>17.688658</v>
      </c>
      <c r="AD211">
        <v>17.867958000000002</v>
      </c>
      <c r="AE211">
        <v>17.986695999999998</v>
      </c>
      <c r="AF211">
        <v>18.089565</v>
      </c>
      <c r="AG211" s="144">
        <v>1.2E-2</v>
      </c>
    </row>
    <row r="212" spans="1:33">
      <c r="A212" t="s">
        <v>1877</v>
      </c>
    </row>
    <row r="213" spans="1:33">
      <c r="A213" t="s">
        <v>201</v>
      </c>
      <c r="B213" t="s">
        <v>1966</v>
      </c>
      <c r="C213" t="s">
        <v>1965</v>
      </c>
      <c r="D213" t="s">
        <v>1913</v>
      </c>
      <c r="F213">
        <v>9.7849989999999991</v>
      </c>
      <c r="G213">
        <v>10.026484999999999</v>
      </c>
      <c r="H213">
        <v>10.297043</v>
      </c>
      <c r="I213">
        <v>10.544124</v>
      </c>
      <c r="J213">
        <v>10.791912999999999</v>
      </c>
      <c r="K213">
        <v>11.033872000000001</v>
      </c>
      <c r="L213">
        <v>11.261635</v>
      </c>
      <c r="M213">
        <v>11.455491</v>
      </c>
      <c r="N213">
        <v>11.601601</v>
      </c>
      <c r="O213">
        <v>11.682551</v>
      </c>
      <c r="P213">
        <v>11.723087</v>
      </c>
      <c r="Q213">
        <v>11.713308</v>
      </c>
      <c r="R213">
        <v>11.615100999999999</v>
      </c>
      <c r="S213">
        <v>11.513228</v>
      </c>
      <c r="T213">
        <v>11.43233</v>
      </c>
      <c r="U213">
        <v>11.366671999999999</v>
      </c>
      <c r="V213">
        <v>11.317329000000001</v>
      </c>
      <c r="W213">
        <v>11.281013</v>
      </c>
      <c r="X213">
        <v>11.255193999999999</v>
      </c>
      <c r="Y213">
        <v>11.238102</v>
      </c>
      <c r="Z213">
        <v>11.227041</v>
      </c>
      <c r="AA213">
        <v>11.220007000000001</v>
      </c>
      <c r="AB213">
        <v>11.215096000000001</v>
      </c>
      <c r="AC213">
        <v>11.211975000000001</v>
      </c>
      <c r="AD213">
        <v>11.209434999999999</v>
      </c>
      <c r="AE213">
        <v>11.207504</v>
      </c>
      <c r="AF213">
        <v>11.206441999999999</v>
      </c>
      <c r="AG213" s="144">
        <v>5.0000000000000001E-3</v>
      </c>
    </row>
    <row r="214" spans="1:33">
      <c r="A214" t="s">
        <v>202</v>
      </c>
      <c r="B214" t="s">
        <v>1964</v>
      </c>
      <c r="C214" t="s">
        <v>1963</v>
      </c>
      <c r="D214" t="s">
        <v>1916</v>
      </c>
      <c r="F214">
        <v>8.4680619999999998</v>
      </c>
      <c r="G214">
        <v>8.6707540000000005</v>
      </c>
      <c r="H214">
        <v>8.8990670000000005</v>
      </c>
      <c r="I214">
        <v>9.1109399999999994</v>
      </c>
      <c r="J214">
        <v>9.3181930000000008</v>
      </c>
      <c r="K214">
        <v>9.5216189999999994</v>
      </c>
      <c r="L214">
        <v>9.7092709999999993</v>
      </c>
      <c r="M214">
        <v>9.8688789999999997</v>
      </c>
      <c r="N214">
        <v>9.989236</v>
      </c>
      <c r="O214">
        <v>10.056124000000001</v>
      </c>
      <c r="P214">
        <v>10.090163</v>
      </c>
      <c r="Q214">
        <v>10.084135</v>
      </c>
      <c r="R214">
        <v>10.00173</v>
      </c>
      <c r="S214">
        <v>9.9210449999999994</v>
      </c>
      <c r="T214">
        <v>9.849278</v>
      </c>
      <c r="U214">
        <v>9.7908279999999994</v>
      </c>
      <c r="V214">
        <v>9.7466910000000002</v>
      </c>
      <c r="W214">
        <v>9.7147670000000002</v>
      </c>
      <c r="X214">
        <v>9.6919889999999995</v>
      </c>
      <c r="Y214">
        <v>9.6765349999999994</v>
      </c>
      <c r="Z214">
        <v>9.6673709999999993</v>
      </c>
      <c r="AA214">
        <v>9.6616359999999997</v>
      </c>
      <c r="AB214">
        <v>9.6577310000000001</v>
      </c>
      <c r="AC214">
        <v>9.6552410000000002</v>
      </c>
      <c r="AD214">
        <v>9.653378</v>
      </c>
      <c r="AE214">
        <v>9.6519560000000002</v>
      </c>
      <c r="AF214">
        <v>9.6513120000000008</v>
      </c>
      <c r="AG214" s="144">
        <v>5.0000000000000001E-3</v>
      </c>
    </row>
    <row r="215" spans="1:33">
      <c r="A215" t="s">
        <v>203</v>
      </c>
      <c r="B215" t="s">
        <v>1962</v>
      </c>
      <c r="C215" t="s">
        <v>1961</v>
      </c>
      <c r="D215" t="s">
        <v>1916</v>
      </c>
      <c r="F215">
        <v>7.468928</v>
      </c>
      <c r="G215">
        <v>7.6975340000000001</v>
      </c>
      <c r="H215">
        <v>7.835801</v>
      </c>
      <c r="I215">
        <v>7.9895449999999997</v>
      </c>
      <c r="J215">
        <v>8.1724920000000001</v>
      </c>
      <c r="K215">
        <v>8.3751320000000007</v>
      </c>
      <c r="L215">
        <v>8.5944050000000001</v>
      </c>
      <c r="M215">
        <v>8.8283649999999998</v>
      </c>
      <c r="N215">
        <v>9.0630760000000006</v>
      </c>
      <c r="O215">
        <v>9.2916950000000007</v>
      </c>
      <c r="P215">
        <v>9.4915249999999993</v>
      </c>
      <c r="Q215">
        <v>9.6633849999999999</v>
      </c>
      <c r="R215">
        <v>9.8078500000000002</v>
      </c>
      <c r="S215">
        <v>9.9150539999999996</v>
      </c>
      <c r="T215">
        <v>9.9733809999999998</v>
      </c>
      <c r="U215">
        <v>10.013802</v>
      </c>
      <c r="V215">
        <v>10.013801000000001</v>
      </c>
      <c r="W215">
        <v>10.013802</v>
      </c>
      <c r="X215">
        <v>10.013802</v>
      </c>
      <c r="Y215">
        <v>10.013801000000001</v>
      </c>
      <c r="Z215">
        <v>10.013802</v>
      </c>
      <c r="AA215">
        <v>10.013802</v>
      </c>
      <c r="AB215">
        <v>10.013802</v>
      </c>
      <c r="AC215">
        <v>10.013802</v>
      </c>
      <c r="AD215">
        <v>10.017586</v>
      </c>
      <c r="AE215">
        <v>10.022081</v>
      </c>
      <c r="AF215">
        <v>10.025565</v>
      </c>
      <c r="AG215" s="144">
        <v>1.0999999999999999E-2</v>
      </c>
    </row>
    <row r="216" spans="1:33">
      <c r="A216" t="s">
        <v>204</v>
      </c>
      <c r="B216" t="s">
        <v>1960</v>
      </c>
      <c r="C216" t="s">
        <v>1959</v>
      </c>
      <c r="D216" t="s">
        <v>1916</v>
      </c>
      <c r="F216">
        <v>7.2163789999999999</v>
      </c>
      <c r="G216">
        <v>7.416461</v>
      </c>
      <c r="H216">
        <v>7.6319780000000002</v>
      </c>
      <c r="I216">
        <v>7.825393</v>
      </c>
      <c r="J216">
        <v>8.0266669999999998</v>
      </c>
      <c r="K216">
        <v>8.235671</v>
      </c>
      <c r="L216">
        <v>8.4316169999999993</v>
      </c>
      <c r="M216">
        <v>8.6047229999999999</v>
      </c>
      <c r="N216">
        <v>8.7581489999999995</v>
      </c>
      <c r="O216">
        <v>8.8879529999999995</v>
      </c>
      <c r="P216">
        <v>8.9932660000000002</v>
      </c>
      <c r="Q216">
        <v>9.0730699999999995</v>
      </c>
      <c r="R216">
        <v>9.1100340000000006</v>
      </c>
      <c r="S216">
        <v>9.1353430000000007</v>
      </c>
      <c r="T216">
        <v>9.155996</v>
      </c>
      <c r="U216">
        <v>9.1489290000000008</v>
      </c>
      <c r="V216">
        <v>9.1335929999999994</v>
      </c>
      <c r="W216">
        <v>9.1254559999999998</v>
      </c>
      <c r="X216">
        <v>9.1447719999999997</v>
      </c>
      <c r="Y216">
        <v>9.1544419999999995</v>
      </c>
      <c r="Z216">
        <v>9.1553930000000001</v>
      </c>
      <c r="AA216">
        <v>9.1520589999999995</v>
      </c>
      <c r="AB216">
        <v>9.1620259999999991</v>
      </c>
      <c r="AC216">
        <v>9.1698070000000005</v>
      </c>
      <c r="AD216">
        <v>9.1916449999999994</v>
      </c>
      <c r="AE216">
        <v>9.2168109999999999</v>
      </c>
      <c r="AF216">
        <v>9.2265280000000001</v>
      </c>
      <c r="AG216" s="144">
        <v>8.9999999999999993E-3</v>
      </c>
    </row>
    <row r="217" spans="1:33">
      <c r="A217" t="s">
        <v>205</v>
      </c>
      <c r="B217" t="s">
        <v>1958</v>
      </c>
      <c r="C217" t="s">
        <v>1957</v>
      </c>
      <c r="D217" t="s">
        <v>1956</v>
      </c>
      <c r="F217">
        <v>8.0342880000000001</v>
      </c>
      <c r="G217">
        <v>8.2322190000000006</v>
      </c>
      <c r="H217">
        <v>8.4505730000000003</v>
      </c>
      <c r="I217">
        <v>8.6575150000000001</v>
      </c>
      <c r="J217">
        <v>8.8608019999999996</v>
      </c>
      <c r="K217">
        <v>9.0625509999999991</v>
      </c>
      <c r="L217">
        <v>9.2542179999999998</v>
      </c>
      <c r="M217">
        <v>9.4266679999999994</v>
      </c>
      <c r="N217">
        <v>9.5723140000000004</v>
      </c>
      <c r="O217">
        <v>9.6850860000000001</v>
      </c>
      <c r="P217">
        <v>9.7758880000000001</v>
      </c>
      <c r="Q217">
        <v>9.8407579999999992</v>
      </c>
      <c r="R217">
        <v>9.8381159999999994</v>
      </c>
      <c r="S217">
        <v>9.8358609999999995</v>
      </c>
      <c r="T217">
        <v>9.8339459999999992</v>
      </c>
      <c r="U217">
        <v>9.8322900000000004</v>
      </c>
      <c r="V217">
        <v>9.8308420000000005</v>
      </c>
      <c r="W217">
        <v>9.8295639999999995</v>
      </c>
      <c r="X217">
        <v>9.8284210000000005</v>
      </c>
      <c r="Y217">
        <v>9.8273869999999999</v>
      </c>
      <c r="Z217">
        <v>9.8272980000000008</v>
      </c>
      <c r="AA217">
        <v>9.8272980000000008</v>
      </c>
      <c r="AB217">
        <v>9.8272980000000008</v>
      </c>
      <c r="AC217">
        <v>9.8272980000000008</v>
      </c>
      <c r="AD217">
        <v>9.8272980000000008</v>
      </c>
      <c r="AE217">
        <v>9.827299</v>
      </c>
      <c r="AF217">
        <v>9.8272980000000008</v>
      </c>
      <c r="AG217" s="144">
        <v>8.0000000000000002E-3</v>
      </c>
    </row>
    <row r="218" spans="1:33">
      <c r="A218" t="s">
        <v>206</v>
      </c>
      <c r="B218" t="s">
        <v>1955</v>
      </c>
      <c r="C218" t="s">
        <v>1954</v>
      </c>
      <c r="D218" t="s">
        <v>1916</v>
      </c>
      <c r="F218">
        <v>20.468603000000002</v>
      </c>
      <c r="G218">
        <v>20.532591</v>
      </c>
      <c r="H218">
        <v>20.616028</v>
      </c>
      <c r="I218">
        <v>20.719861999999999</v>
      </c>
      <c r="J218">
        <v>20.841422999999999</v>
      </c>
      <c r="K218">
        <v>20.971781</v>
      </c>
      <c r="L218">
        <v>21.093063000000001</v>
      </c>
      <c r="M218">
        <v>21.147656999999999</v>
      </c>
      <c r="N218">
        <v>21.195461000000002</v>
      </c>
      <c r="O218">
        <v>21.235396999999999</v>
      </c>
      <c r="P218">
        <v>21.265718</v>
      </c>
      <c r="Q218">
        <v>21.284417999999999</v>
      </c>
      <c r="R218">
        <v>21.296794999999999</v>
      </c>
      <c r="S218">
        <v>21.296386999999999</v>
      </c>
      <c r="T218">
        <v>21.296099000000002</v>
      </c>
      <c r="U218">
        <v>21.295897</v>
      </c>
      <c r="V218">
        <v>21.295755</v>
      </c>
      <c r="W218">
        <v>21.295658</v>
      </c>
      <c r="X218">
        <v>21.295591000000002</v>
      </c>
      <c r="Y218">
        <v>21.295546000000002</v>
      </c>
      <c r="Z218">
        <v>21.295513</v>
      </c>
      <c r="AA218">
        <v>21.295490000000001</v>
      </c>
      <c r="AB218">
        <v>21.295477000000002</v>
      </c>
      <c r="AC218">
        <v>21.295466999999999</v>
      </c>
      <c r="AD218">
        <v>21.295462000000001</v>
      </c>
      <c r="AE218">
        <v>21.295456000000001</v>
      </c>
      <c r="AF218">
        <v>21.295452000000001</v>
      </c>
      <c r="AG218" s="144">
        <v>2E-3</v>
      </c>
    </row>
    <row r="219" spans="1:33">
      <c r="A219" t="s">
        <v>207</v>
      </c>
      <c r="B219" t="s">
        <v>1953</v>
      </c>
      <c r="C219" t="s">
        <v>1952</v>
      </c>
      <c r="D219" t="s">
        <v>1916</v>
      </c>
      <c r="F219">
        <v>0</v>
      </c>
      <c r="G219">
        <v>0</v>
      </c>
      <c r="H219">
        <v>10.021416</v>
      </c>
      <c r="I219">
        <v>10.224057</v>
      </c>
      <c r="J219">
        <v>10.358897000000001</v>
      </c>
      <c r="K219">
        <v>10.486587999999999</v>
      </c>
      <c r="L219">
        <v>10.638026</v>
      </c>
      <c r="M219">
        <v>10.812464</v>
      </c>
      <c r="N219">
        <v>11.011009</v>
      </c>
      <c r="O219">
        <v>11.011009</v>
      </c>
      <c r="P219">
        <v>11.011009</v>
      </c>
      <c r="Q219">
        <v>11.011009</v>
      </c>
      <c r="R219">
        <v>11.011009</v>
      </c>
      <c r="S219">
        <v>11.011009</v>
      </c>
      <c r="T219">
        <v>11.011009</v>
      </c>
      <c r="U219">
        <v>11.011009</v>
      </c>
      <c r="V219">
        <v>11.011009</v>
      </c>
      <c r="W219">
        <v>11.011009</v>
      </c>
      <c r="X219">
        <v>11.011009</v>
      </c>
      <c r="Y219">
        <v>11.011009</v>
      </c>
      <c r="Z219">
        <v>11.011009</v>
      </c>
      <c r="AA219">
        <v>11.011009</v>
      </c>
      <c r="AB219">
        <v>11.011009</v>
      </c>
      <c r="AC219">
        <v>11.011009</v>
      </c>
      <c r="AD219">
        <v>11.011009</v>
      </c>
      <c r="AE219">
        <v>11.011009</v>
      </c>
      <c r="AF219">
        <v>11.011009</v>
      </c>
      <c r="AG219" t="s">
        <v>1769</v>
      </c>
    </row>
    <row r="220" spans="1:33">
      <c r="A220" t="s">
        <v>208</v>
      </c>
      <c r="B220" t="s">
        <v>1951</v>
      </c>
      <c r="C220" t="s">
        <v>1950</v>
      </c>
      <c r="D220" t="s">
        <v>1916</v>
      </c>
      <c r="F220">
        <v>0</v>
      </c>
      <c r="G220">
        <v>9.2793500000000009</v>
      </c>
      <c r="H220">
        <v>9.4812709999999996</v>
      </c>
      <c r="I220">
        <v>9.5533289999999997</v>
      </c>
      <c r="J220">
        <v>9.6466309999999993</v>
      </c>
      <c r="K220">
        <v>9.6466309999999993</v>
      </c>
      <c r="L220">
        <v>9.6466309999999993</v>
      </c>
      <c r="M220">
        <v>9.6466309999999993</v>
      </c>
      <c r="N220">
        <v>9.6466309999999993</v>
      </c>
      <c r="O220">
        <v>9.6466309999999993</v>
      </c>
      <c r="P220">
        <v>9.6466309999999993</v>
      </c>
      <c r="Q220">
        <v>9.6466309999999993</v>
      </c>
      <c r="R220">
        <v>9.6466309999999993</v>
      </c>
      <c r="S220">
        <v>9.6466309999999993</v>
      </c>
      <c r="T220">
        <v>9.6466309999999993</v>
      </c>
      <c r="U220">
        <v>9.6466309999999993</v>
      </c>
      <c r="V220">
        <v>9.6466309999999993</v>
      </c>
      <c r="W220">
        <v>9.6466309999999993</v>
      </c>
      <c r="X220">
        <v>9.6466309999999993</v>
      </c>
      <c r="Y220">
        <v>9.6466309999999993</v>
      </c>
      <c r="Z220">
        <v>9.6466309999999993</v>
      </c>
      <c r="AA220">
        <v>9.6466309999999993</v>
      </c>
      <c r="AB220">
        <v>9.6466309999999993</v>
      </c>
      <c r="AC220">
        <v>9.6466309999999993</v>
      </c>
      <c r="AD220">
        <v>9.6466309999999993</v>
      </c>
      <c r="AE220">
        <v>9.6466309999999993</v>
      </c>
      <c r="AF220">
        <v>9.6466309999999993</v>
      </c>
      <c r="AG220" t="s">
        <v>1769</v>
      </c>
    </row>
    <row r="221" spans="1:33">
      <c r="A221" t="s">
        <v>209</v>
      </c>
      <c r="B221" t="s">
        <v>1949</v>
      </c>
      <c r="C221" t="s">
        <v>1948</v>
      </c>
      <c r="D221" t="s">
        <v>1916</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t="s">
        <v>1769</v>
      </c>
    </row>
    <row r="222" spans="1:33">
      <c r="A222" t="s">
        <v>1830</v>
      </c>
      <c r="B222" t="s">
        <v>1947</v>
      </c>
      <c r="C222" t="s">
        <v>1946</v>
      </c>
      <c r="D222" t="s">
        <v>1913</v>
      </c>
      <c r="F222">
        <v>0</v>
      </c>
      <c r="G222">
        <v>0</v>
      </c>
      <c r="H222">
        <v>0</v>
      </c>
      <c r="I222">
        <v>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c r="AD222">
        <v>0</v>
      </c>
      <c r="AE222">
        <v>0</v>
      </c>
      <c r="AF222">
        <v>0</v>
      </c>
      <c r="AG222" t="s">
        <v>1769</v>
      </c>
    </row>
    <row r="223" spans="1:33">
      <c r="A223" t="s">
        <v>1827</v>
      </c>
      <c r="B223" t="s">
        <v>1945</v>
      </c>
      <c r="C223" t="s">
        <v>1944</v>
      </c>
      <c r="D223" t="s">
        <v>1916</v>
      </c>
      <c r="F223">
        <v>0</v>
      </c>
      <c r="G223">
        <v>9.8621339999999993</v>
      </c>
      <c r="H223">
        <v>9.8967150000000004</v>
      </c>
      <c r="I223">
        <v>9.9150019999999994</v>
      </c>
      <c r="J223">
        <v>9.9396450000000005</v>
      </c>
      <c r="K223">
        <v>9.9715810000000005</v>
      </c>
      <c r="L223">
        <v>10.039865000000001</v>
      </c>
      <c r="M223">
        <v>10.128325</v>
      </c>
      <c r="N223">
        <v>10.193020000000001</v>
      </c>
      <c r="O223">
        <v>10.295206</v>
      </c>
      <c r="P223">
        <v>10.388249999999999</v>
      </c>
      <c r="Q223">
        <v>10.430880999999999</v>
      </c>
      <c r="R223">
        <v>10.45384</v>
      </c>
      <c r="S223">
        <v>10.468995</v>
      </c>
      <c r="T223">
        <v>10.481465999999999</v>
      </c>
      <c r="U223">
        <v>10.491256999999999</v>
      </c>
      <c r="V223">
        <v>10.497921</v>
      </c>
      <c r="W223">
        <v>10.497920000000001</v>
      </c>
      <c r="X223">
        <v>10.497921</v>
      </c>
      <c r="Y223">
        <v>10.497921</v>
      </c>
      <c r="Z223">
        <v>10.497921</v>
      </c>
      <c r="AA223">
        <v>10.497921</v>
      </c>
      <c r="AB223">
        <v>10.497921</v>
      </c>
      <c r="AC223">
        <v>10.497921</v>
      </c>
      <c r="AD223">
        <v>10.497921</v>
      </c>
      <c r="AE223">
        <v>10.497921</v>
      </c>
      <c r="AF223">
        <v>10.497921</v>
      </c>
      <c r="AG223" t="s">
        <v>1769</v>
      </c>
    </row>
    <row r="224" spans="1:33">
      <c r="A224" t="s">
        <v>1824</v>
      </c>
      <c r="B224" t="s">
        <v>1943</v>
      </c>
      <c r="C224" t="s">
        <v>1942</v>
      </c>
      <c r="D224" t="s">
        <v>1913</v>
      </c>
      <c r="F224">
        <v>0</v>
      </c>
      <c r="G224">
        <v>0</v>
      </c>
      <c r="H224">
        <v>0</v>
      </c>
      <c r="I224">
        <v>0</v>
      </c>
      <c r="J224">
        <v>0</v>
      </c>
      <c r="K224">
        <v>0</v>
      </c>
      <c r="L224">
        <v>0</v>
      </c>
      <c r="M224">
        <v>0</v>
      </c>
      <c r="N224">
        <v>0</v>
      </c>
      <c r="O224">
        <v>0</v>
      </c>
      <c r="P224">
        <v>0</v>
      </c>
      <c r="Q224">
        <v>0</v>
      </c>
      <c r="R224">
        <v>0</v>
      </c>
      <c r="S224">
        <v>0</v>
      </c>
      <c r="T224">
        <v>0</v>
      </c>
      <c r="U224">
        <v>0</v>
      </c>
      <c r="V224">
        <v>0</v>
      </c>
      <c r="W224">
        <v>0</v>
      </c>
      <c r="X224">
        <v>0</v>
      </c>
      <c r="Y224">
        <v>0</v>
      </c>
      <c r="Z224">
        <v>0</v>
      </c>
      <c r="AA224">
        <v>0</v>
      </c>
      <c r="AB224">
        <v>0</v>
      </c>
      <c r="AC224">
        <v>0</v>
      </c>
      <c r="AD224">
        <v>0</v>
      </c>
      <c r="AE224">
        <v>0</v>
      </c>
      <c r="AF224">
        <v>0</v>
      </c>
      <c r="AG224" t="s">
        <v>1769</v>
      </c>
    </row>
    <row r="225" spans="1:33">
      <c r="A225" t="s">
        <v>1941</v>
      </c>
      <c r="B225" t="s">
        <v>1940</v>
      </c>
      <c r="C225" t="s">
        <v>1939</v>
      </c>
      <c r="F225">
        <v>9.1279810000000001</v>
      </c>
      <c r="G225">
        <v>9.3468029999999995</v>
      </c>
      <c r="H225">
        <v>9.5876459999999994</v>
      </c>
      <c r="I225">
        <v>9.8079889999999992</v>
      </c>
      <c r="J225">
        <v>10.023955000000001</v>
      </c>
      <c r="K225">
        <v>10.233446000000001</v>
      </c>
      <c r="L225">
        <v>10.426334000000001</v>
      </c>
      <c r="M225">
        <v>10.585993999999999</v>
      </c>
      <c r="N225">
        <v>10.698321999999999</v>
      </c>
      <c r="O225">
        <v>10.756053</v>
      </c>
      <c r="P225">
        <v>10.781209</v>
      </c>
      <c r="Q225">
        <v>10.763572999999999</v>
      </c>
      <c r="R225">
        <v>10.683064</v>
      </c>
      <c r="S225">
        <v>10.608274</v>
      </c>
      <c r="T225">
        <v>10.550203</v>
      </c>
      <c r="U225">
        <v>10.505644999999999</v>
      </c>
      <c r="V225">
        <v>10.473542999999999</v>
      </c>
      <c r="W225">
        <v>10.449609000000001</v>
      </c>
      <c r="X225">
        <v>10.432373</v>
      </c>
      <c r="Y225">
        <v>10.420355000000001</v>
      </c>
      <c r="Z225">
        <v>10.412753</v>
      </c>
      <c r="AA225">
        <v>10.407598</v>
      </c>
      <c r="AB225">
        <v>10.404016</v>
      </c>
      <c r="AC225">
        <v>10.400836</v>
      </c>
      <c r="AD225">
        <v>10.39828</v>
      </c>
      <c r="AE225">
        <v>10.395341999999999</v>
      </c>
      <c r="AF225">
        <v>10.393948</v>
      </c>
      <c r="AG225" s="144">
        <v>5.0000000000000001E-3</v>
      </c>
    </row>
    <row r="226" spans="1:33">
      <c r="A226" t="s">
        <v>1849</v>
      </c>
    </row>
    <row r="227" spans="1:33">
      <c r="A227" t="s">
        <v>201</v>
      </c>
      <c r="B227" t="s">
        <v>1938</v>
      </c>
      <c r="C227" t="s">
        <v>1937</v>
      </c>
      <c r="D227" t="s">
        <v>1913</v>
      </c>
      <c r="F227">
        <v>6.8624530000000004</v>
      </c>
      <c r="G227">
        <v>7.0176189999999998</v>
      </c>
      <c r="H227">
        <v>7.1843830000000004</v>
      </c>
      <c r="I227">
        <v>7.3522480000000003</v>
      </c>
      <c r="J227">
        <v>7.5117200000000004</v>
      </c>
      <c r="K227">
        <v>7.6655379999999997</v>
      </c>
      <c r="L227">
        <v>7.7929139999999997</v>
      </c>
      <c r="M227">
        <v>7.9047320000000001</v>
      </c>
      <c r="N227">
        <v>7.9926409999999999</v>
      </c>
      <c r="O227">
        <v>8.0601009999999995</v>
      </c>
      <c r="P227">
        <v>8.1108750000000001</v>
      </c>
      <c r="Q227">
        <v>8.1426850000000002</v>
      </c>
      <c r="R227">
        <v>8.1450519999999997</v>
      </c>
      <c r="S227">
        <v>8.1467080000000003</v>
      </c>
      <c r="T227">
        <v>8.1442990000000002</v>
      </c>
      <c r="U227">
        <v>8.1463560000000008</v>
      </c>
      <c r="V227">
        <v>8.1463929999999998</v>
      </c>
      <c r="W227">
        <v>8.1463429999999999</v>
      </c>
      <c r="X227">
        <v>8.1464379999999998</v>
      </c>
      <c r="Y227">
        <v>8.1440920000000006</v>
      </c>
      <c r="Z227">
        <v>8.1438550000000003</v>
      </c>
      <c r="AA227">
        <v>8.1438740000000003</v>
      </c>
      <c r="AB227">
        <v>8.1432500000000001</v>
      </c>
      <c r="AC227">
        <v>8.1429019999999994</v>
      </c>
      <c r="AD227">
        <v>8.1380999999999997</v>
      </c>
      <c r="AE227">
        <v>8.1375489999999999</v>
      </c>
      <c r="AF227">
        <v>8.1374619999999993</v>
      </c>
      <c r="AG227" s="144">
        <v>7.0000000000000001E-3</v>
      </c>
    </row>
    <row r="228" spans="1:33">
      <c r="A228" t="s">
        <v>202</v>
      </c>
      <c r="B228" t="s">
        <v>1936</v>
      </c>
      <c r="C228" t="s">
        <v>1935</v>
      </c>
      <c r="D228" t="s">
        <v>1916</v>
      </c>
      <c r="F228">
        <v>5.5283899999999999</v>
      </c>
      <c r="G228">
        <v>5.6677540000000004</v>
      </c>
      <c r="H228">
        <v>5.8193339999999996</v>
      </c>
      <c r="I228">
        <v>5.9614390000000004</v>
      </c>
      <c r="J228">
        <v>6.0965199999999999</v>
      </c>
      <c r="K228">
        <v>6.2297969999999996</v>
      </c>
      <c r="L228">
        <v>6.3555460000000004</v>
      </c>
      <c r="M228">
        <v>6.4679209999999996</v>
      </c>
      <c r="N228">
        <v>6.5620820000000002</v>
      </c>
      <c r="O228">
        <v>6.6345039999999997</v>
      </c>
      <c r="P228">
        <v>6.6923459999999997</v>
      </c>
      <c r="Q228">
        <v>6.7331079999999996</v>
      </c>
      <c r="R228">
        <v>6.7294159999999996</v>
      </c>
      <c r="S228">
        <v>6.7262579999999996</v>
      </c>
      <c r="T228">
        <v>6.723573</v>
      </c>
      <c r="U228">
        <v>6.7212490000000003</v>
      </c>
      <c r="V228">
        <v>6.7192170000000004</v>
      </c>
      <c r="W228">
        <v>6.7174230000000001</v>
      </c>
      <c r="X228">
        <v>6.7158129999999998</v>
      </c>
      <c r="Y228">
        <v>6.7143459999999999</v>
      </c>
      <c r="Z228">
        <v>6.7129890000000003</v>
      </c>
      <c r="AA228">
        <v>6.7117690000000003</v>
      </c>
      <c r="AB228">
        <v>6.7106870000000001</v>
      </c>
      <c r="AC228">
        <v>6.7097610000000003</v>
      </c>
      <c r="AD228">
        <v>6.7089619999999996</v>
      </c>
      <c r="AE228">
        <v>6.7082750000000004</v>
      </c>
      <c r="AF228">
        <v>6.7077359999999997</v>
      </c>
      <c r="AG228" s="144">
        <v>7.0000000000000001E-3</v>
      </c>
    </row>
    <row r="229" spans="1:33">
      <c r="A229" t="s">
        <v>203</v>
      </c>
      <c r="B229" t="s">
        <v>1934</v>
      </c>
      <c r="C229" t="s">
        <v>1933</v>
      </c>
      <c r="D229" t="s">
        <v>1916</v>
      </c>
      <c r="F229">
        <v>5.4372439999999997</v>
      </c>
      <c r="G229">
        <v>5.5245800000000003</v>
      </c>
      <c r="H229">
        <v>5.5677580000000004</v>
      </c>
      <c r="I229">
        <v>5.6220689999999998</v>
      </c>
      <c r="J229">
        <v>5.6845129999999999</v>
      </c>
      <c r="K229">
        <v>5.7616360000000002</v>
      </c>
      <c r="L229">
        <v>5.8562839999999996</v>
      </c>
      <c r="M229">
        <v>5.9682110000000002</v>
      </c>
      <c r="N229">
        <v>6.0886110000000002</v>
      </c>
      <c r="O229">
        <v>6.2060690000000003</v>
      </c>
      <c r="P229">
        <v>6.3273029999999997</v>
      </c>
      <c r="Q229">
        <v>6.4255699999999996</v>
      </c>
      <c r="R229">
        <v>6.5132250000000003</v>
      </c>
      <c r="S229">
        <v>6.5731999999999999</v>
      </c>
      <c r="T229">
        <v>6.6169479999999998</v>
      </c>
      <c r="U229">
        <v>6.6467029999999996</v>
      </c>
      <c r="V229">
        <v>6.659745</v>
      </c>
      <c r="W229">
        <v>6.6698519999999997</v>
      </c>
      <c r="X229">
        <v>6.6757249999999999</v>
      </c>
      <c r="Y229">
        <v>6.675643</v>
      </c>
      <c r="Z229">
        <v>6.6756099999999998</v>
      </c>
      <c r="AA229">
        <v>6.6746559999999997</v>
      </c>
      <c r="AB229">
        <v>6.6771929999999999</v>
      </c>
      <c r="AC229">
        <v>6.6810499999999999</v>
      </c>
      <c r="AD229">
        <v>6.6854810000000002</v>
      </c>
      <c r="AE229">
        <v>6.6909190000000001</v>
      </c>
      <c r="AF229">
        <v>6.6984519999999996</v>
      </c>
      <c r="AG229" s="144">
        <v>8.0000000000000002E-3</v>
      </c>
    </row>
    <row r="230" spans="1:33">
      <c r="A230" t="s">
        <v>204</v>
      </c>
      <c r="B230" t="s">
        <v>1932</v>
      </c>
      <c r="C230" t="s">
        <v>1931</v>
      </c>
      <c r="D230" t="s">
        <v>1913</v>
      </c>
      <c r="F230">
        <v>5.6899410000000001</v>
      </c>
      <c r="G230">
        <v>5.8690319999999998</v>
      </c>
      <c r="H230">
        <v>6.0111840000000001</v>
      </c>
      <c r="I230">
        <v>6.1010439999999999</v>
      </c>
      <c r="J230">
        <v>6.2319899999999997</v>
      </c>
      <c r="K230">
        <v>6.36381</v>
      </c>
      <c r="L230">
        <v>6.480442</v>
      </c>
      <c r="M230">
        <v>6.5830200000000003</v>
      </c>
      <c r="N230">
        <v>6.6688960000000002</v>
      </c>
      <c r="O230">
        <v>6.7348330000000001</v>
      </c>
      <c r="P230">
        <v>6.7896280000000004</v>
      </c>
      <c r="Q230">
        <v>6.8331369999999998</v>
      </c>
      <c r="R230">
        <v>6.8360130000000003</v>
      </c>
      <c r="S230">
        <v>6.8514400000000002</v>
      </c>
      <c r="T230">
        <v>6.8495600000000003</v>
      </c>
      <c r="U230">
        <v>6.8668829999999996</v>
      </c>
      <c r="V230">
        <v>6.8978650000000004</v>
      </c>
      <c r="W230">
        <v>6.922809</v>
      </c>
      <c r="X230">
        <v>6.9350180000000003</v>
      </c>
      <c r="Y230">
        <v>6.9377930000000001</v>
      </c>
      <c r="Z230">
        <v>6.9690779999999997</v>
      </c>
      <c r="AA230">
        <v>6.9773649999999998</v>
      </c>
      <c r="AB230">
        <v>7.0204279999999999</v>
      </c>
      <c r="AC230">
        <v>7.0619449999999997</v>
      </c>
      <c r="AD230">
        <v>7.1275449999999996</v>
      </c>
      <c r="AE230">
        <v>7.1666280000000002</v>
      </c>
      <c r="AF230">
        <v>7.2303740000000003</v>
      </c>
      <c r="AG230" s="144">
        <v>8.9999999999999993E-3</v>
      </c>
    </row>
    <row r="231" spans="1:33">
      <c r="A231" t="s">
        <v>205</v>
      </c>
      <c r="B231" t="s">
        <v>1930</v>
      </c>
      <c r="C231" t="s">
        <v>1929</v>
      </c>
      <c r="D231" t="s">
        <v>1916</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t="s">
        <v>1769</v>
      </c>
    </row>
    <row r="232" spans="1:33">
      <c r="A232" t="s">
        <v>206</v>
      </c>
      <c r="B232" t="s">
        <v>1928</v>
      </c>
      <c r="C232" t="s">
        <v>1927</v>
      </c>
      <c r="D232" t="s">
        <v>1913</v>
      </c>
      <c r="F232">
        <v>13.553058</v>
      </c>
      <c r="G232">
        <v>13.654142999999999</v>
      </c>
      <c r="H232">
        <v>13.78584</v>
      </c>
      <c r="I232">
        <v>13.926949</v>
      </c>
      <c r="J232">
        <v>14.084097</v>
      </c>
      <c r="K232">
        <v>14.299403999999999</v>
      </c>
      <c r="L232">
        <v>14.499537999999999</v>
      </c>
      <c r="M232">
        <v>14.670741</v>
      </c>
      <c r="N232">
        <v>14.874043</v>
      </c>
      <c r="O232">
        <v>15.077652</v>
      </c>
      <c r="P232">
        <v>15.165792</v>
      </c>
      <c r="Q232">
        <v>15.2387</v>
      </c>
      <c r="R232">
        <v>15.287716</v>
      </c>
      <c r="S232">
        <v>15.326226999999999</v>
      </c>
      <c r="T232">
        <v>15.354395</v>
      </c>
      <c r="U232">
        <v>15.370070999999999</v>
      </c>
      <c r="V232">
        <v>15.375595000000001</v>
      </c>
      <c r="W232">
        <v>15.377668999999999</v>
      </c>
      <c r="X232">
        <v>15.379139</v>
      </c>
      <c r="Y232">
        <v>15.380027</v>
      </c>
      <c r="Z232">
        <v>15.380454</v>
      </c>
      <c r="AA232">
        <v>15.380836</v>
      </c>
      <c r="AB232">
        <v>15.380919</v>
      </c>
      <c r="AC232">
        <v>15.380917</v>
      </c>
      <c r="AD232">
        <v>15.380915</v>
      </c>
      <c r="AE232">
        <v>15.380915</v>
      </c>
      <c r="AF232">
        <v>15.380915999999999</v>
      </c>
      <c r="AG232" s="144">
        <v>5.0000000000000001E-3</v>
      </c>
    </row>
    <row r="233" spans="1:33">
      <c r="A233" t="s">
        <v>207</v>
      </c>
      <c r="B233" t="s">
        <v>1926</v>
      </c>
      <c r="C233" t="s">
        <v>1925</v>
      </c>
      <c r="D233" t="s">
        <v>1913</v>
      </c>
      <c r="F233">
        <v>0</v>
      </c>
      <c r="G233">
        <v>0</v>
      </c>
      <c r="H233">
        <v>8.8917629999999992</v>
      </c>
      <c r="I233">
        <v>9.0715620000000001</v>
      </c>
      <c r="J233">
        <v>9.1912020000000005</v>
      </c>
      <c r="K233">
        <v>9.3044989999999999</v>
      </c>
      <c r="L233">
        <v>9.4388670000000001</v>
      </c>
      <c r="M233">
        <v>9.5936409999999999</v>
      </c>
      <c r="N233">
        <v>9.7698049999999999</v>
      </c>
      <c r="O233">
        <v>9.7698049999999999</v>
      </c>
      <c r="P233">
        <v>9.7698049999999999</v>
      </c>
      <c r="Q233">
        <v>9.7698049999999999</v>
      </c>
      <c r="R233">
        <v>9.7698049999999999</v>
      </c>
      <c r="S233">
        <v>9.7698049999999999</v>
      </c>
      <c r="T233">
        <v>9.7698049999999999</v>
      </c>
      <c r="U233">
        <v>9.7698049999999999</v>
      </c>
      <c r="V233">
        <v>9.7698049999999999</v>
      </c>
      <c r="W233">
        <v>9.7698049999999999</v>
      </c>
      <c r="X233">
        <v>9.7698049999999999</v>
      </c>
      <c r="Y233">
        <v>9.7698049999999999</v>
      </c>
      <c r="Z233">
        <v>9.7698049999999999</v>
      </c>
      <c r="AA233">
        <v>9.7698049999999999</v>
      </c>
      <c r="AB233">
        <v>9.7698049999999999</v>
      </c>
      <c r="AC233">
        <v>9.7698049999999999</v>
      </c>
      <c r="AD233">
        <v>9.7698049999999999</v>
      </c>
      <c r="AE233">
        <v>9.7698049999999999</v>
      </c>
      <c r="AF233">
        <v>9.7698049999999999</v>
      </c>
      <c r="AG233" t="s">
        <v>1769</v>
      </c>
    </row>
    <row r="234" spans="1:33">
      <c r="A234" t="s">
        <v>208</v>
      </c>
      <c r="B234" t="s">
        <v>1924</v>
      </c>
      <c r="C234" t="s">
        <v>1923</v>
      </c>
      <c r="D234" t="s">
        <v>1916</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v>0</v>
      </c>
      <c r="AF234">
        <v>0</v>
      </c>
      <c r="AG234" t="s">
        <v>1769</v>
      </c>
    </row>
    <row r="235" spans="1:33">
      <c r="A235" t="s">
        <v>209</v>
      </c>
      <c r="B235" t="s">
        <v>1922</v>
      </c>
      <c r="C235" t="s">
        <v>1921</v>
      </c>
      <c r="D235" t="s">
        <v>1913</v>
      </c>
      <c r="F235">
        <v>0</v>
      </c>
      <c r="G235">
        <v>0</v>
      </c>
      <c r="H235">
        <v>0</v>
      </c>
      <c r="I235">
        <v>0</v>
      </c>
      <c r="J235">
        <v>0</v>
      </c>
      <c r="K235">
        <v>0</v>
      </c>
      <c r="L235">
        <v>0</v>
      </c>
      <c r="M235">
        <v>0</v>
      </c>
      <c r="N235">
        <v>0</v>
      </c>
      <c r="O235">
        <v>0</v>
      </c>
      <c r="P235">
        <v>0</v>
      </c>
      <c r="Q235">
        <v>0</v>
      </c>
      <c r="R235">
        <v>0</v>
      </c>
      <c r="S235">
        <v>0</v>
      </c>
      <c r="T235">
        <v>0</v>
      </c>
      <c r="U235">
        <v>0</v>
      </c>
      <c r="V235">
        <v>0</v>
      </c>
      <c r="W235">
        <v>0</v>
      </c>
      <c r="X235">
        <v>0</v>
      </c>
      <c r="Y235">
        <v>0</v>
      </c>
      <c r="Z235">
        <v>0</v>
      </c>
      <c r="AA235">
        <v>0</v>
      </c>
      <c r="AB235">
        <v>0</v>
      </c>
      <c r="AC235">
        <v>0</v>
      </c>
      <c r="AD235">
        <v>0</v>
      </c>
      <c r="AE235">
        <v>0</v>
      </c>
      <c r="AF235">
        <v>0</v>
      </c>
      <c r="AG235" t="s">
        <v>1769</v>
      </c>
    </row>
    <row r="236" spans="1:33">
      <c r="A236" t="s">
        <v>1830</v>
      </c>
      <c r="B236" t="s">
        <v>1920</v>
      </c>
      <c r="C236" t="s">
        <v>1919</v>
      </c>
      <c r="D236" t="s">
        <v>1913</v>
      </c>
      <c r="F236">
        <v>0</v>
      </c>
      <c r="G236">
        <v>0</v>
      </c>
      <c r="H236">
        <v>0</v>
      </c>
      <c r="I236">
        <v>0</v>
      </c>
      <c r="J236">
        <v>0</v>
      </c>
      <c r="K236">
        <v>0</v>
      </c>
      <c r="L236">
        <v>0</v>
      </c>
      <c r="M236">
        <v>0</v>
      </c>
      <c r="N236">
        <v>0</v>
      </c>
      <c r="O236">
        <v>0</v>
      </c>
      <c r="P236">
        <v>0</v>
      </c>
      <c r="Q236">
        <v>0</v>
      </c>
      <c r="R236">
        <v>0</v>
      </c>
      <c r="S236">
        <v>0</v>
      </c>
      <c r="T236">
        <v>0</v>
      </c>
      <c r="U236">
        <v>0</v>
      </c>
      <c r="V236">
        <v>0</v>
      </c>
      <c r="W236">
        <v>0</v>
      </c>
      <c r="X236">
        <v>0</v>
      </c>
      <c r="Y236">
        <v>0</v>
      </c>
      <c r="Z236">
        <v>0</v>
      </c>
      <c r="AA236">
        <v>0</v>
      </c>
      <c r="AB236">
        <v>0</v>
      </c>
      <c r="AC236">
        <v>0</v>
      </c>
      <c r="AD236">
        <v>0</v>
      </c>
      <c r="AE236">
        <v>0</v>
      </c>
      <c r="AF236">
        <v>0</v>
      </c>
      <c r="AG236" t="s">
        <v>1769</v>
      </c>
    </row>
    <row r="237" spans="1:33">
      <c r="A237" t="s">
        <v>1827</v>
      </c>
      <c r="B237" t="s">
        <v>1918</v>
      </c>
      <c r="C237" t="s">
        <v>1917</v>
      </c>
      <c r="D237" t="s">
        <v>1916</v>
      </c>
      <c r="F237">
        <v>0</v>
      </c>
      <c r="G237">
        <v>0</v>
      </c>
      <c r="H237">
        <v>0</v>
      </c>
      <c r="I237">
        <v>0</v>
      </c>
      <c r="J237">
        <v>0</v>
      </c>
      <c r="K237">
        <v>0</v>
      </c>
      <c r="L237">
        <v>0</v>
      </c>
      <c r="M237">
        <v>0</v>
      </c>
      <c r="N237">
        <v>0</v>
      </c>
      <c r="O237">
        <v>0</v>
      </c>
      <c r="P237">
        <v>0</v>
      </c>
      <c r="Q237">
        <v>0</v>
      </c>
      <c r="R237">
        <v>0</v>
      </c>
      <c r="S237">
        <v>0</v>
      </c>
      <c r="T237">
        <v>0</v>
      </c>
      <c r="U237">
        <v>0</v>
      </c>
      <c r="V237">
        <v>0</v>
      </c>
      <c r="W237">
        <v>0</v>
      </c>
      <c r="X237">
        <v>0</v>
      </c>
      <c r="Y237">
        <v>0</v>
      </c>
      <c r="Z237">
        <v>0</v>
      </c>
      <c r="AA237">
        <v>0</v>
      </c>
      <c r="AB237">
        <v>0</v>
      </c>
      <c r="AC237">
        <v>0</v>
      </c>
      <c r="AD237">
        <v>0</v>
      </c>
      <c r="AE237">
        <v>0</v>
      </c>
      <c r="AF237">
        <v>0</v>
      </c>
      <c r="AG237" t="s">
        <v>1769</v>
      </c>
    </row>
    <row r="238" spans="1:33">
      <c r="A238" t="s">
        <v>1824</v>
      </c>
      <c r="B238" t="s">
        <v>1915</v>
      </c>
      <c r="C238" t="s">
        <v>1914</v>
      </c>
      <c r="D238" t="s">
        <v>1913</v>
      </c>
      <c r="F238">
        <v>0</v>
      </c>
      <c r="G238">
        <v>0</v>
      </c>
      <c r="H238">
        <v>0</v>
      </c>
      <c r="I238">
        <v>0</v>
      </c>
      <c r="J238">
        <v>0</v>
      </c>
      <c r="K238">
        <v>0</v>
      </c>
      <c r="L238">
        <v>0</v>
      </c>
      <c r="M238">
        <v>0</v>
      </c>
      <c r="N238">
        <v>0</v>
      </c>
      <c r="O238">
        <v>0</v>
      </c>
      <c r="P238">
        <v>0</v>
      </c>
      <c r="Q238">
        <v>0</v>
      </c>
      <c r="R238">
        <v>0</v>
      </c>
      <c r="S238">
        <v>0</v>
      </c>
      <c r="T238">
        <v>0</v>
      </c>
      <c r="U238">
        <v>0</v>
      </c>
      <c r="V238">
        <v>0</v>
      </c>
      <c r="W238">
        <v>0</v>
      </c>
      <c r="X238">
        <v>0</v>
      </c>
      <c r="Y238">
        <v>0</v>
      </c>
      <c r="Z238">
        <v>0</v>
      </c>
      <c r="AA238">
        <v>0</v>
      </c>
      <c r="AB238">
        <v>0</v>
      </c>
      <c r="AC238">
        <v>0</v>
      </c>
      <c r="AD238">
        <v>0</v>
      </c>
      <c r="AE238">
        <v>0</v>
      </c>
      <c r="AF238">
        <v>0</v>
      </c>
      <c r="AG238" t="s">
        <v>1769</v>
      </c>
    </row>
    <row r="239" spans="1:33">
      <c r="A239" t="s">
        <v>1912</v>
      </c>
      <c r="B239" t="s">
        <v>1911</v>
      </c>
      <c r="C239" t="s">
        <v>1910</v>
      </c>
      <c r="F239">
        <v>6.8548869999999997</v>
      </c>
      <c r="G239">
        <v>7.008928</v>
      </c>
      <c r="H239">
        <v>7.1755069999999996</v>
      </c>
      <c r="I239">
        <v>7.3440310000000002</v>
      </c>
      <c r="J239">
        <v>7.5033560000000001</v>
      </c>
      <c r="K239">
        <v>7.6570200000000002</v>
      </c>
      <c r="L239">
        <v>7.7844319999999998</v>
      </c>
      <c r="M239">
        <v>7.8963190000000001</v>
      </c>
      <c r="N239">
        <v>7.9844039999999996</v>
      </c>
      <c r="O239">
        <v>8.0514679999999998</v>
      </c>
      <c r="P239">
        <v>8.1022870000000005</v>
      </c>
      <c r="Q239">
        <v>8.1342009999999991</v>
      </c>
      <c r="R239">
        <v>8.1366180000000004</v>
      </c>
      <c r="S239">
        <v>8.1379459999999995</v>
      </c>
      <c r="T239">
        <v>8.1357149999999994</v>
      </c>
      <c r="U239">
        <v>8.1375189999999993</v>
      </c>
      <c r="V239">
        <v>8.1371649999999995</v>
      </c>
      <c r="W239">
        <v>8.1364129999999992</v>
      </c>
      <c r="X239">
        <v>8.1363679999999992</v>
      </c>
      <c r="Y239">
        <v>8.1339330000000007</v>
      </c>
      <c r="Z239">
        <v>8.1331659999999992</v>
      </c>
      <c r="AA239">
        <v>8.1322799999999997</v>
      </c>
      <c r="AB239">
        <v>8.1308959999999999</v>
      </c>
      <c r="AC239">
        <v>8.1295079999999995</v>
      </c>
      <c r="AD239">
        <v>8.123742</v>
      </c>
      <c r="AE239">
        <v>8.1220119999999998</v>
      </c>
      <c r="AF239">
        <v>8.1205160000000003</v>
      </c>
      <c r="AG239" s="144">
        <v>7.0000000000000001E-3</v>
      </c>
    </row>
    <row r="240" spans="1:33">
      <c r="A240" t="s">
        <v>1909</v>
      </c>
      <c r="B240" t="s">
        <v>1908</v>
      </c>
      <c r="C240" t="s">
        <v>1907</v>
      </c>
      <c r="F240">
        <v>7.7845329999999997</v>
      </c>
      <c r="G240">
        <v>8.1700400000000002</v>
      </c>
      <c r="H240">
        <v>8.3375160000000008</v>
      </c>
      <c r="I240">
        <v>8.4989089999999994</v>
      </c>
      <c r="J240">
        <v>8.694566</v>
      </c>
      <c r="K240">
        <v>8.8765870000000007</v>
      </c>
      <c r="L240">
        <v>9.0367379999999997</v>
      </c>
      <c r="M240">
        <v>9.1778119999999994</v>
      </c>
      <c r="N240">
        <v>9.2946340000000003</v>
      </c>
      <c r="O240">
        <v>9.3798370000000002</v>
      </c>
      <c r="P240">
        <v>9.462923</v>
      </c>
      <c r="Q240">
        <v>9.5250459999999997</v>
      </c>
      <c r="R240">
        <v>9.545712</v>
      </c>
      <c r="S240">
        <v>9.5580890000000007</v>
      </c>
      <c r="T240">
        <v>9.5769409999999997</v>
      </c>
      <c r="U240">
        <v>9.6088719999999999</v>
      </c>
      <c r="V240">
        <v>9.6380960000000009</v>
      </c>
      <c r="W240">
        <v>9.6714420000000008</v>
      </c>
      <c r="X240">
        <v>9.6972349999999992</v>
      </c>
      <c r="Y240">
        <v>9.7202509999999993</v>
      </c>
      <c r="Z240">
        <v>9.7451000000000008</v>
      </c>
      <c r="AA240">
        <v>9.7827490000000008</v>
      </c>
      <c r="AB240">
        <v>9.8186359999999997</v>
      </c>
      <c r="AC240">
        <v>9.8371399999999998</v>
      </c>
      <c r="AD240">
        <v>9.8385599999999993</v>
      </c>
      <c r="AE240">
        <v>9.8505929999999999</v>
      </c>
      <c r="AF240">
        <v>9.8773979999999995</v>
      </c>
      <c r="AG240" s="144">
        <v>8.9999999999999993E-3</v>
      </c>
    </row>
    <row r="241" spans="1:33">
      <c r="A241" t="s">
        <v>1906</v>
      </c>
    </row>
    <row r="242" spans="1:33">
      <c r="A242" t="s">
        <v>1905</v>
      </c>
    </row>
    <row r="243" spans="1:33">
      <c r="A243" t="s">
        <v>201</v>
      </c>
      <c r="B243" t="s">
        <v>1904</v>
      </c>
      <c r="C243" t="s">
        <v>1903</v>
      </c>
      <c r="D243" t="s">
        <v>1815</v>
      </c>
      <c r="F243">
        <v>119.36211400000001</v>
      </c>
      <c r="G243">
        <v>168.04504399999999</v>
      </c>
      <c r="H243">
        <v>172.93017599999999</v>
      </c>
      <c r="I243">
        <v>173.02984599999999</v>
      </c>
      <c r="J243">
        <v>157.32209800000001</v>
      </c>
      <c r="K243">
        <v>139.67721599999999</v>
      </c>
      <c r="L243">
        <v>122.53037999999999</v>
      </c>
      <c r="M243">
        <v>104.252419</v>
      </c>
      <c r="N243">
        <v>88.038826</v>
      </c>
      <c r="O243">
        <v>79.593902999999997</v>
      </c>
      <c r="P243">
        <v>71.125832000000003</v>
      </c>
      <c r="Q243">
        <v>62.814281000000001</v>
      </c>
      <c r="R243">
        <v>56.953330999999999</v>
      </c>
      <c r="S243">
        <v>52.718108999999998</v>
      </c>
      <c r="T243">
        <v>45.731597999999998</v>
      </c>
      <c r="U243">
        <v>38.088886000000002</v>
      </c>
      <c r="V243">
        <v>34.851616</v>
      </c>
      <c r="W243">
        <v>30.140041</v>
      </c>
      <c r="X243">
        <v>25.780429999999999</v>
      </c>
      <c r="Y243">
        <v>21.591252999999998</v>
      </c>
      <c r="Z243">
        <v>19.974440000000001</v>
      </c>
      <c r="AA243">
        <v>19.347550999999999</v>
      </c>
      <c r="AB243">
        <v>18.670155999999999</v>
      </c>
      <c r="AC243">
        <v>16.993980000000001</v>
      </c>
      <c r="AD243">
        <v>15.383893</v>
      </c>
      <c r="AE243">
        <v>14.574971</v>
      </c>
      <c r="AF243">
        <v>14.517200000000001</v>
      </c>
      <c r="AG243" s="144">
        <v>-7.8E-2</v>
      </c>
    </row>
    <row r="244" spans="1:33">
      <c r="A244" t="s">
        <v>202</v>
      </c>
      <c r="B244" t="s">
        <v>1902</v>
      </c>
      <c r="C244" t="s">
        <v>1901</v>
      </c>
      <c r="D244" t="s">
        <v>1815</v>
      </c>
      <c r="F244">
        <v>96.207825</v>
      </c>
      <c r="G244">
        <v>140.926468</v>
      </c>
      <c r="H244">
        <v>150.30540500000001</v>
      </c>
      <c r="I244">
        <v>155.36149599999999</v>
      </c>
      <c r="J244">
        <v>145.78999300000001</v>
      </c>
      <c r="K244">
        <v>133.32659899999999</v>
      </c>
      <c r="L244">
        <v>120.12693</v>
      </c>
      <c r="M244">
        <v>104.729378</v>
      </c>
      <c r="N244">
        <v>90.536331000000004</v>
      </c>
      <c r="O244">
        <v>83.471191000000005</v>
      </c>
      <c r="P244">
        <v>75.916870000000003</v>
      </c>
      <c r="Q244">
        <v>68.160194000000004</v>
      </c>
      <c r="R244">
        <v>62.740749000000001</v>
      </c>
      <c r="S244">
        <v>58.886211000000003</v>
      </c>
      <c r="T244">
        <v>51.738425999999997</v>
      </c>
      <c r="U244">
        <v>43.728943000000001</v>
      </c>
      <c r="V244">
        <v>40.399540000000002</v>
      </c>
      <c r="W244">
        <v>35.366146000000001</v>
      </c>
      <c r="X244">
        <v>30.567242</v>
      </c>
      <c r="Y244">
        <v>25.960905</v>
      </c>
      <c r="Z244">
        <v>24.193511999999998</v>
      </c>
      <c r="AA244">
        <v>23.534416</v>
      </c>
      <c r="AB244">
        <v>22.799233999999998</v>
      </c>
      <c r="AC244">
        <v>20.943881999999999</v>
      </c>
      <c r="AD244">
        <v>19.132334</v>
      </c>
      <c r="AE244">
        <v>18.236712000000001</v>
      </c>
      <c r="AF244">
        <v>18.209972</v>
      </c>
      <c r="AG244" s="144">
        <v>-6.2E-2</v>
      </c>
    </row>
    <row r="245" spans="1:33">
      <c r="A245" t="s">
        <v>203</v>
      </c>
      <c r="B245" t="s">
        <v>1900</v>
      </c>
      <c r="C245" t="s">
        <v>1899</v>
      </c>
      <c r="D245" t="s">
        <v>1815</v>
      </c>
      <c r="F245">
        <v>2.1840000000000002E-3</v>
      </c>
      <c r="G245">
        <v>3.1580000000000002E-3</v>
      </c>
      <c r="H245">
        <v>3.3180000000000002E-3</v>
      </c>
      <c r="I245">
        <v>3.3869999999999998E-3</v>
      </c>
      <c r="J245">
        <v>3.339E-3</v>
      </c>
      <c r="K245">
        <v>3.3189999999999999E-3</v>
      </c>
      <c r="L245">
        <v>3.3140000000000001E-3</v>
      </c>
      <c r="M245">
        <v>3.2829999999999999E-3</v>
      </c>
      <c r="N245">
        <v>3.297E-3</v>
      </c>
      <c r="O245">
        <v>3.3509999999999998E-3</v>
      </c>
      <c r="P245">
        <v>3.4060000000000002E-3</v>
      </c>
      <c r="Q245">
        <v>3.4459999999999998E-3</v>
      </c>
      <c r="R245">
        <v>3.4849999999999998E-3</v>
      </c>
      <c r="S245">
        <v>3.5249999999999999E-3</v>
      </c>
      <c r="T245">
        <v>3.5739999999999999E-3</v>
      </c>
      <c r="U245">
        <v>3.5969999999999999E-3</v>
      </c>
      <c r="V245">
        <v>3.5799999999999998E-3</v>
      </c>
      <c r="W245">
        <v>3.5400000000000002E-3</v>
      </c>
      <c r="X245">
        <v>3.49E-3</v>
      </c>
      <c r="Y245">
        <v>3.4650000000000002E-3</v>
      </c>
      <c r="Z245">
        <v>3.4420000000000002E-3</v>
      </c>
      <c r="AA245">
        <v>3.4429999999999999E-3</v>
      </c>
      <c r="AB245">
        <v>3.444E-3</v>
      </c>
      <c r="AC245">
        <v>3.46E-3</v>
      </c>
      <c r="AD245">
        <v>3.4650000000000002E-3</v>
      </c>
      <c r="AE245">
        <v>3.46E-3</v>
      </c>
      <c r="AF245">
        <v>3.4520000000000002E-3</v>
      </c>
      <c r="AG245" s="144">
        <v>1.7999999999999999E-2</v>
      </c>
    </row>
    <row r="246" spans="1:33">
      <c r="A246" t="s">
        <v>204</v>
      </c>
      <c r="B246" t="s">
        <v>1898</v>
      </c>
      <c r="C246" t="s">
        <v>1897</v>
      </c>
      <c r="D246" t="s">
        <v>1815</v>
      </c>
      <c r="F246">
        <v>1.8444510000000001</v>
      </c>
      <c r="G246">
        <v>3.3833199999999999</v>
      </c>
      <c r="H246">
        <v>3.7551990000000002</v>
      </c>
      <c r="I246">
        <v>3.9225240000000001</v>
      </c>
      <c r="J246">
        <v>3.0337079999999998</v>
      </c>
      <c r="K246">
        <v>3.2252130000000001</v>
      </c>
      <c r="L246">
        <v>2.9592960000000001</v>
      </c>
      <c r="M246">
        <v>2.4964080000000002</v>
      </c>
      <c r="N246">
        <v>2.3470780000000002</v>
      </c>
      <c r="O246">
        <v>2.1422949999999998</v>
      </c>
      <c r="P246">
        <v>2.5325519999999999</v>
      </c>
      <c r="Q246">
        <v>2.9827849999999998</v>
      </c>
      <c r="R246">
        <v>3.393907</v>
      </c>
      <c r="S246">
        <v>4.0493690000000004</v>
      </c>
      <c r="T246">
        <v>5.0462020000000001</v>
      </c>
      <c r="U246">
        <v>5.6631039999999997</v>
      </c>
      <c r="V246">
        <v>6.637721</v>
      </c>
      <c r="W246">
        <v>7.7824429999999998</v>
      </c>
      <c r="X246">
        <v>8.7570530000000009</v>
      </c>
      <c r="Y246">
        <v>9.5117189999999994</v>
      </c>
      <c r="Z246">
        <v>10.158861999999999</v>
      </c>
      <c r="AA246">
        <v>10.974225000000001</v>
      </c>
      <c r="AB246">
        <v>11.79744</v>
      </c>
      <c r="AC246">
        <v>12.722552</v>
      </c>
      <c r="AD246">
        <v>13.328785</v>
      </c>
      <c r="AE246">
        <v>14.058415999999999</v>
      </c>
      <c r="AF246">
        <v>14.624667000000001</v>
      </c>
      <c r="AG246" s="144">
        <v>8.3000000000000004E-2</v>
      </c>
    </row>
    <row r="247" spans="1:33">
      <c r="A247" t="s">
        <v>205</v>
      </c>
      <c r="B247" t="s">
        <v>1896</v>
      </c>
      <c r="C247" t="s">
        <v>1895</v>
      </c>
      <c r="D247" t="s">
        <v>1815</v>
      </c>
      <c r="F247">
        <v>2.1840000000000002E-3</v>
      </c>
      <c r="G247">
        <v>3.1580000000000002E-3</v>
      </c>
      <c r="H247">
        <v>3.3180000000000002E-3</v>
      </c>
      <c r="I247">
        <v>3.3869999999999998E-3</v>
      </c>
      <c r="J247">
        <v>3.339E-3</v>
      </c>
      <c r="K247">
        <v>3.3189999999999999E-3</v>
      </c>
      <c r="L247">
        <v>3.3140000000000001E-3</v>
      </c>
      <c r="M247">
        <v>3.2829999999999999E-3</v>
      </c>
      <c r="N247">
        <v>3.297E-3</v>
      </c>
      <c r="O247">
        <v>3.3509999999999998E-3</v>
      </c>
      <c r="P247">
        <v>3.4060000000000002E-3</v>
      </c>
      <c r="Q247">
        <v>3.4459999999999998E-3</v>
      </c>
      <c r="R247">
        <v>3.4849999999999998E-3</v>
      </c>
      <c r="S247">
        <v>3.5249999999999999E-3</v>
      </c>
      <c r="T247">
        <v>3.5739999999999999E-3</v>
      </c>
      <c r="U247">
        <v>3.5969999999999999E-3</v>
      </c>
      <c r="V247">
        <v>3.5799999999999998E-3</v>
      </c>
      <c r="W247">
        <v>3.5400000000000002E-3</v>
      </c>
      <c r="X247">
        <v>3.49E-3</v>
      </c>
      <c r="Y247">
        <v>3.4650000000000002E-3</v>
      </c>
      <c r="Z247">
        <v>3.4420000000000002E-3</v>
      </c>
      <c r="AA247">
        <v>3.4429999999999999E-3</v>
      </c>
      <c r="AB247">
        <v>3.444E-3</v>
      </c>
      <c r="AC247">
        <v>3.46E-3</v>
      </c>
      <c r="AD247">
        <v>3.4650000000000002E-3</v>
      </c>
      <c r="AE247">
        <v>3.46E-3</v>
      </c>
      <c r="AF247">
        <v>3.4520000000000002E-3</v>
      </c>
      <c r="AG247" s="144">
        <v>1.7999999999999999E-2</v>
      </c>
    </row>
    <row r="248" spans="1:33">
      <c r="A248" t="s">
        <v>206</v>
      </c>
      <c r="B248" t="s">
        <v>1894</v>
      </c>
      <c r="C248" t="s">
        <v>1893</v>
      </c>
      <c r="D248" t="s">
        <v>1815</v>
      </c>
      <c r="F248">
        <v>0.94423100000000004</v>
      </c>
      <c r="G248">
        <v>1.365408</v>
      </c>
      <c r="H248">
        <v>1.4345939999999999</v>
      </c>
      <c r="I248">
        <v>1.464623</v>
      </c>
      <c r="J248">
        <v>1.4437329999999999</v>
      </c>
      <c r="K248">
        <v>1.4353499999999999</v>
      </c>
      <c r="L248">
        <v>1.650101</v>
      </c>
      <c r="M248">
        <v>4.0234750000000004</v>
      </c>
      <c r="N248">
        <v>7.0397679999999996</v>
      </c>
      <c r="O248">
        <v>7.0255640000000001</v>
      </c>
      <c r="P248">
        <v>11.163259999999999</v>
      </c>
      <c r="Q248">
        <v>17.926338000000001</v>
      </c>
      <c r="R248">
        <v>25.431442000000001</v>
      </c>
      <c r="S248">
        <v>31.65118</v>
      </c>
      <c r="T248">
        <v>38.719349000000001</v>
      </c>
      <c r="U248">
        <v>46.610855000000001</v>
      </c>
      <c r="V248">
        <v>54.171871000000003</v>
      </c>
      <c r="W248">
        <v>65.451530000000005</v>
      </c>
      <c r="X248">
        <v>75.256614999999996</v>
      </c>
      <c r="Y248">
        <v>83.868813000000003</v>
      </c>
      <c r="Z248">
        <v>88.847701999999998</v>
      </c>
      <c r="AA248">
        <v>93.758324000000002</v>
      </c>
      <c r="AB248">
        <v>97.673721</v>
      </c>
      <c r="AC248">
        <v>103.783997</v>
      </c>
      <c r="AD248">
        <v>109.08074999999999</v>
      </c>
      <c r="AE248">
        <v>113.297623</v>
      </c>
      <c r="AF248">
        <v>116.983017</v>
      </c>
      <c r="AG248" s="144">
        <v>0.20399999999999999</v>
      </c>
    </row>
    <row r="249" spans="1:33">
      <c r="A249" t="s">
        <v>207</v>
      </c>
      <c r="B249" t="s">
        <v>1892</v>
      </c>
      <c r="C249" t="s">
        <v>1891</v>
      </c>
      <c r="D249" t="s">
        <v>1815</v>
      </c>
      <c r="F249">
        <v>0</v>
      </c>
      <c r="G249">
        <v>0</v>
      </c>
      <c r="H249">
        <v>0</v>
      </c>
      <c r="I249">
        <v>0</v>
      </c>
      <c r="J249">
        <v>0</v>
      </c>
      <c r="K249">
        <v>0</v>
      </c>
      <c r="L249">
        <v>0</v>
      </c>
      <c r="M249">
        <v>0</v>
      </c>
      <c r="N249">
        <v>0</v>
      </c>
      <c r="O249">
        <v>0</v>
      </c>
      <c r="P249">
        <v>0</v>
      </c>
      <c r="Q249">
        <v>0</v>
      </c>
      <c r="R249">
        <v>0</v>
      </c>
      <c r="S249">
        <v>0</v>
      </c>
      <c r="T249">
        <v>0</v>
      </c>
      <c r="U249">
        <v>0</v>
      </c>
      <c r="V249">
        <v>0</v>
      </c>
      <c r="W249">
        <v>0</v>
      </c>
      <c r="X249">
        <v>0</v>
      </c>
      <c r="Y249">
        <v>0</v>
      </c>
      <c r="Z249">
        <v>0</v>
      </c>
      <c r="AA249">
        <v>0</v>
      </c>
      <c r="AB249">
        <v>0</v>
      </c>
      <c r="AC249">
        <v>0</v>
      </c>
      <c r="AD249">
        <v>0</v>
      </c>
      <c r="AE249">
        <v>0</v>
      </c>
      <c r="AF249">
        <v>0</v>
      </c>
      <c r="AG249" t="s">
        <v>1769</v>
      </c>
    </row>
    <row r="250" spans="1:33">
      <c r="A250" t="s">
        <v>208</v>
      </c>
      <c r="B250" t="s">
        <v>1890</v>
      </c>
      <c r="C250" t="s">
        <v>1889</v>
      </c>
      <c r="D250" t="s">
        <v>1815</v>
      </c>
      <c r="F250">
        <v>0</v>
      </c>
      <c r="G250">
        <v>0</v>
      </c>
      <c r="H250">
        <v>0</v>
      </c>
      <c r="I250">
        <v>0</v>
      </c>
      <c r="J250">
        <v>0</v>
      </c>
      <c r="K250">
        <v>0</v>
      </c>
      <c r="L250">
        <v>0</v>
      </c>
      <c r="M250">
        <v>0</v>
      </c>
      <c r="N250">
        <v>0</v>
      </c>
      <c r="O250">
        <v>0</v>
      </c>
      <c r="P250">
        <v>0</v>
      </c>
      <c r="Q250">
        <v>0</v>
      </c>
      <c r="R250">
        <v>0</v>
      </c>
      <c r="S250">
        <v>0</v>
      </c>
      <c r="T250">
        <v>0</v>
      </c>
      <c r="U250">
        <v>0</v>
      </c>
      <c r="V250">
        <v>0</v>
      </c>
      <c r="W250">
        <v>0</v>
      </c>
      <c r="X250">
        <v>0</v>
      </c>
      <c r="Y250">
        <v>0</v>
      </c>
      <c r="Z250">
        <v>0</v>
      </c>
      <c r="AA250">
        <v>0</v>
      </c>
      <c r="AB250">
        <v>0</v>
      </c>
      <c r="AC250">
        <v>0</v>
      </c>
      <c r="AD250">
        <v>0</v>
      </c>
      <c r="AE250">
        <v>0</v>
      </c>
      <c r="AF250">
        <v>0</v>
      </c>
      <c r="AG250" t="s">
        <v>1769</v>
      </c>
    </row>
    <row r="251" spans="1:33">
      <c r="A251" t="s">
        <v>209</v>
      </c>
      <c r="B251" t="s">
        <v>1888</v>
      </c>
      <c r="C251" t="s">
        <v>1887</v>
      </c>
      <c r="D251" t="s">
        <v>1815</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c r="AD251">
        <v>0</v>
      </c>
      <c r="AE251">
        <v>0</v>
      </c>
      <c r="AF251">
        <v>0</v>
      </c>
      <c r="AG251" t="s">
        <v>1769</v>
      </c>
    </row>
    <row r="252" spans="1:33">
      <c r="A252" t="s">
        <v>1830</v>
      </c>
      <c r="B252" t="s">
        <v>1886</v>
      </c>
      <c r="C252" t="s">
        <v>1885</v>
      </c>
      <c r="D252" t="s">
        <v>1815</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t="s">
        <v>1769</v>
      </c>
    </row>
    <row r="253" spans="1:33">
      <c r="A253" t="s">
        <v>1827</v>
      </c>
      <c r="B253" t="s">
        <v>1884</v>
      </c>
      <c r="C253" t="s">
        <v>1883</v>
      </c>
      <c r="D253" t="s">
        <v>1815</v>
      </c>
      <c r="F253">
        <v>0</v>
      </c>
      <c r="G253">
        <v>2.0379999999999998</v>
      </c>
      <c r="H253">
        <v>3.3325499999999999</v>
      </c>
      <c r="I253">
        <v>4.9237310000000001</v>
      </c>
      <c r="J253">
        <v>26.281714999999998</v>
      </c>
      <c r="K253">
        <v>54.287185999999998</v>
      </c>
      <c r="L253">
        <v>84.201340000000002</v>
      </c>
      <c r="M253">
        <v>112.861259</v>
      </c>
      <c r="N253">
        <v>141.79293799999999</v>
      </c>
      <c r="O253">
        <v>162.911743</v>
      </c>
      <c r="P253">
        <v>179.93774400000001</v>
      </c>
      <c r="Q253">
        <v>192.76023900000001</v>
      </c>
      <c r="R253">
        <v>199.99612400000001</v>
      </c>
      <c r="S253">
        <v>205.27304100000001</v>
      </c>
      <c r="T253">
        <v>216.36737099999999</v>
      </c>
      <c r="U253">
        <v>229.177155</v>
      </c>
      <c r="V253">
        <v>231.776825</v>
      </c>
      <c r="W253">
        <v>232.09574900000001</v>
      </c>
      <c r="X253">
        <v>233.31234699999999</v>
      </c>
      <c r="Y253">
        <v>235.00767500000001</v>
      </c>
      <c r="Z253">
        <v>235.77676400000001</v>
      </c>
      <c r="AA253">
        <v>234.52491800000001</v>
      </c>
      <c r="AB253">
        <v>233.47456399999999</v>
      </c>
      <c r="AC253">
        <v>232.177063</v>
      </c>
      <c r="AD253">
        <v>230.277771</v>
      </c>
      <c r="AE253">
        <v>228.13374300000001</v>
      </c>
      <c r="AF253">
        <v>225.89794900000001</v>
      </c>
      <c r="AG253" t="s">
        <v>1769</v>
      </c>
    </row>
    <row r="254" spans="1:33">
      <c r="A254" t="s">
        <v>1824</v>
      </c>
      <c r="B254" t="s">
        <v>1882</v>
      </c>
      <c r="C254" t="s">
        <v>1881</v>
      </c>
      <c r="D254" t="s">
        <v>1815</v>
      </c>
      <c r="F254">
        <v>0</v>
      </c>
      <c r="G254">
        <v>0</v>
      </c>
      <c r="H254">
        <v>0</v>
      </c>
      <c r="I254">
        <v>0</v>
      </c>
      <c r="J254">
        <v>0</v>
      </c>
      <c r="K254">
        <v>0</v>
      </c>
      <c r="L254">
        <v>0</v>
      </c>
      <c r="M254">
        <v>0</v>
      </c>
      <c r="N254">
        <v>0</v>
      </c>
      <c r="O254">
        <v>0</v>
      </c>
      <c r="P254">
        <v>0</v>
      </c>
      <c r="Q254">
        <v>0</v>
      </c>
      <c r="R254">
        <v>0</v>
      </c>
      <c r="S254">
        <v>0</v>
      </c>
      <c r="T254">
        <v>0</v>
      </c>
      <c r="U254">
        <v>0</v>
      </c>
      <c r="V254">
        <v>0</v>
      </c>
      <c r="W254">
        <v>0</v>
      </c>
      <c r="X254">
        <v>0</v>
      </c>
      <c r="Y254">
        <v>0</v>
      </c>
      <c r="Z254">
        <v>0</v>
      </c>
      <c r="AA254">
        <v>0</v>
      </c>
      <c r="AB254">
        <v>0</v>
      </c>
      <c r="AC254">
        <v>0</v>
      </c>
      <c r="AD254">
        <v>0</v>
      </c>
      <c r="AE254">
        <v>0</v>
      </c>
      <c r="AF254">
        <v>0</v>
      </c>
      <c r="AG254" t="s">
        <v>1769</v>
      </c>
    </row>
    <row r="255" spans="1:33">
      <c r="A255" t="s">
        <v>1880</v>
      </c>
      <c r="B255" t="s">
        <v>1879</v>
      </c>
      <c r="C255" t="s">
        <v>1878</v>
      </c>
      <c r="D255" t="s">
        <v>1815</v>
      </c>
      <c r="F255">
        <v>218.36299099999999</v>
      </c>
      <c r="G255">
        <v>315.76449600000001</v>
      </c>
      <c r="H255">
        <v>331.76449600000001</v>
      </c>
      <c r="I255">
        <v>338.70901500000002</v>
      </c>
      <c r="J255">
        <v>333.87792999999999</v>
      </c>
      <c r="K255">
        <v>331.958191</v>
      </c>
      <c r="L255">
        <v>331.47467</v>
      </c>
      <c r="M255">
        <v>328.36953699999998</v>
      </c>
      <c r="N255">
        <v>329.76156600000002</v>
      </c>
      <c r="O255">
        <v>335.15133700000001</v>
      </c>
      <c r="P255">
        <v>340.68307499999997</v>
      </c>
      <c r="Q255">
        <v>344.650757</v>
      </c>
      <c r="R255">
        <v>348.52252199999998</v>
      </c>
      <c r="S255">
        <v>352.58496100000002</v>
      </c>
      <c r="T255">
        <v>357.61010700000003</v>
      </c>
      <c r="U255">
        <v>363.27615400000002</v>
      </c>
      <c r="V255">
        <v>367.84466600000002</v>
      </c>
      <c r="W255">
        <v>370.84301799999997</v>
      </c>
      <c r="X255">
        <v>373.680725</v>
      </c>
      <c r="Y255">
        <v>375.94732699999997</v>
      </c>
      <c r="Z255">
        <v>378.958191</v>
      </c>
      <c r="AA255">
        <v>382.14627100000001</v>
      </c>
      <c r="AB255">
        <v>384.421967</v>
      </c>
      <c r="AC255">
        <v>386.62838699999998</v>
      </c>
      <c r="AD255">
        <v>387.21048000000002</v>
      </c>
      <c r="AE255">
        <v>388.30838</v>
      </c>
      <c r="AF255">
        <v>390.23971599999999</v>
      </c>
      <c r="AG255" s="144">
        <v>2.3E-2</v>
      </c>
    </row>
    <row r="256" spans="1:33">
      <c r="A256" t="s">
        <v>1877</v>
      </c>
    </row>
    <row r="257" spans="1:33">
      <c r="A257" t="s">
        <v>201</v>
      </c>
      <c r="B257" t="s">
        <v>1876</v>
      </c>
      <c r="C257" t="s">
        <v>1875</v>
      </c>
      <c r="D257" t="s">
        <v>1815</v>
      </c>
      <c r="F257">
        <v>98.313300999999996</v>
      </c>
      <c r="G257">
        <v>97.836608999999996</v>
      </c>
      <c r="H257">
        <v>103.452797</v>
      </c>
      <c r="I257">
        <v>107.243362</v>
      </c>
      <c r="J257">
        <v>103.19278</v>
      </c>
      <c r="K257">
        <v>97.216232000000005</v>
      </c>
      <c r="L257">
        <v>92.846428000000003</v>
      </c>
      <c r="M257">
        <v>88.334923000000003</v>
      </c>
      <c r="N257">
        <v>84.694091999999998</v>
      </c>
      <c r="O257">
        <v>82.005225999999993</v>
      </c>
      <c r="P257">
        <v>78.010101000000006</v>
      </c>
      <c r="Q257">
        <v>73.601714999999999</v>
      </c>
      <c r="R257">
        <v>69.995048999999995</v>
      </c>
      <c r="S257">
        <v>66.991837000000004</v>
      </c>
      <c r="T257">
        <v>64.365700000000004</v>
      </c>
      <c r="U257">
        <v>61.897514000000001</v>
      </c>
      <c r="V257">
        <v>59.811084999999999</v>
      </c>
      <c r="W257">
        <v>58.321438000000001</v>
      </c>
      <c r="X257">
        <v>57.454478999999999</v>
      </c>
      <c r="Y257">
        <v>56.892189000000002</v>
      </c>
      <c r="Z257">
        <v>55.89143</v>
      </c>
      <c r="AA257">
        <v>54.660702000000001</v>
      </c>
      <c r="AB257">
        <v>53.547351999999997</v>
      </c>
      <c r="AC257">
        <v>53.545704000000001</v>
      </c>
      <c r="AD257">
        <v>53.922440000000002</v>
      </c>
      <c r="AE257">
        <v>53.735672000000001</v>
      </c>
      <c r="AF257">
        <v>53.022548999999998</v>
      </c>
      <c r="AG257" s="144">
        <v>-2.3E-2</v>
      </c>
    </row>
    <row r="258" spans="1:33">
      <c r="A258" t="s">
        <v>202</v>
      </c>
      <c r="B258" t="s">
        <v>1874</v>
      </c>
      <c r="C258" t="s">
        <v>1873</v>
      </c>
      <c r="D258" t="s">
        <v>1815</v>
      </c>
      <c r="F258">
        <v>76.054267999999993</v>
      </c>
      <c r="G258">
        <v>77.454300000000003</v>
      </c>
      <c r="H258">
        <v>83.635658000000006</v>
      </c>
      <c r="I258">
        <v>88.378853000000007</v>
      </c>
      <c r="J258">
        <v>86.513474000000002</v>
      </c>
      <c r="K258">
        <v>82.790276000000006</v>
      </c>
      <c r="L258">
        <v>80.210464000000002</v>
      </c>
      <c r="M258">
        <v>77.315155000000004</v>
      </c>
      <c r="N258">
        <v>75.013228999999995</v>
      </c>
      <c r="O258">
        <v>73.405411000000001</v>
      </c>
      <c r="P258">
        <v>70.518044000000003</v>
      </c>
      <c r="Q258">
        <v>67.130249000000006</v>
      </c>
      <c r="R258">
        <v>64.362808000000001</v>
      </c>
      <c r="S258">
        <v>62.059382999999997</v>
      </c>
      <c r="T258">
        <v>60.030147999999997</v>
      </c>
      <c r="U258">
        <v>58.084083999999997</v>
      </c>
      <c r="V258">
        <v>56.441662000000001</v>
      </c>
      <c r="W258">
        <v>55.317905000000003</v>
      </c>
      <c r="X258">
        <v>54.749245000000002</v>
      </c>
      <c r="Y258">
        <v>54.443297999999999</v>
      </c>
      <c r="Z258">
        <v>53.692692000000001</v>
      </c>
      <c r="AA258">
        <v>52.695610000000002</v>
      </c>
      <c r="AB258">
        <v>51.788212000000001</v>
      </c>
      <c r="AC258">
        <v>51.938023000000001</v>
      </c>
      <c r="AD258">
        <v>52.443145999999999</v>
      </c>
      <c r="AE258">
        <v>52.388401000000002</v>
      </c>
      <c r="AF258">
        <v>51.808399000000001</v>
      </c>
      <c r="AG258" s="144">
        <v>-1.4999999999999999E-2</v>
      </c>
    </row>
    <row r="259" spans="1:33">
      <c r="A259" t="s">
        <v>203</v>
      </c>
      <c r="B259" t="s">
        <v>1872</v>
      </c>
      <c r="C259" t="s">
        <v>1871</v>
      </c>
      <c r="D259" t="s">
        <v>1815</v>
      </c>
      <c r="F259">
        <v>1.7719999999999999E-3</v>
      </c>
      <c r="G259">
        <v>1.805E-3</v>
      </c>
      <c r="H259">
        <v>1.934E-3</v>
      </c>
      <c r="I259">
        <v>2.0270000000000002E-3</v>
      </c>
      <c r="J259">
        <v>1.9750000000000002E-3</v>
      </c>
      <c r="K259">
        <v>1.89E-3</v>
      </c>
      <c r="L259">
        <v>1.8389999999999999E-3</v>
      </c>
      <c r="M259">
        <v>1.7930000000000001E-3</v>
      </c>
      <c r="N259">
        <v>1.7730000000000001E-3</v>
      </c>
      <c r="O259">
        <v>1.779E-3</v>
      </c>
      <c r="P259">
        <v>1.774E-3</v>
      </c>
      <c r="Q259">
        <v>1.7669999999999999E-3</v>
      </c>
      <c r="R259">
        <v>1.7769999999999999E-3</v>
      </c>
      <c r="S259">
        <v>1.794E-3</v>
      </c>
      <c r="T259">
        <v>1.805E-3</v>
      </c>
      <c r="U259">
        <v>1.802E-3</v>
      </c>
      <c r="V259">
        <v>1.7899999999999999E-3</v>
      </c>
      <c r="W259">
        <v>1.7799999999999999E-3</v>
      </c>
      <c r="X259">
        <v>1.7799999999999999E-3</v>
      </c>
      <c r="Y259">
        <v>1.7799999999999999E-3</v>
      </c>
      <c r="Z259">
        <v>1.761E-3</v>
      </c>
      <c r="AA259">
        <v>1.7309999999999999E-3</v>
      </c>
      <c r="AB259">
        <v>1.7030000000000001E-3</v>
      </c>
      <c r="AC259">
        <v>1.7080000000000001E-3</v>
      </c>
      <c r="AD259">
        <v>1.7240000000000001E-3</v>
      </c>
      <c r="AE259">
        <v>1.7229999999999999E-3</v>
      </c>
      <c r="AF259">
        <v>1.7030000000000001E-3</v>
      </c>
      <c r="AG259" s="144">
        <v>-2E-3</v>
      </c>
    </row>
    <row r="260" spans="1:33">
      <c r="A260" t="s">
        <v>204</v>
      </c>
      <c r="B260" t="s">
        <v>1870</v>
      </c>
      <c r="C260" t="s">
        <v>1869</v>
      </c>
      <c r="D260" t="s">
        <v>1815</v>
      </c>
      <c r="F260">
        <v>2.734982</v>
      </c>
      <c r="G260">
        <v>2.8151139999999999</v>
      </c>
      <c r="H260">
        <v>3.0271919999999999</v>
      </c>
      <c r="I260">
        <v>3.1629010000000002</v>
      </c>
      <c r="J260">
        <v>3.1006689999999999</v>
      </c>
      <c r="K260">
        <v>2.9745460000000001</v>
      </c>
      <c r="L260">
        <v>2.8916620000000002</v>
      </c>
      <c r="M260">
        <v>2.818619</v>
      </c>
      <c r="N260">
        <v>2.7908780000000002</v>
      </c>
      <c r="O260">
        <v>2.8054260000000002</v>
      </c>
      <c r="P260">
        <v>2.799328</v>
      </c>
      <c r="Q260">
        <v>2.78904</v>
      </c>
      <c r="R260">
        <v>2.7893089999999998</v>
      </c>
      <c r="S260">
        <v>2.8199649999999998</v>
      </c>
      <c r="T260">
        <v>2.852411</v>
      </c>
      <c r="U260">
        <v>2.859318</v>
      </c>
      <c r="V260">
        <v>2.8380749999999999</v>
      </c>
      <c r="W260">
        <v>2.8099569999999998</v>
      </c>
      <c r="X260">
        <v>2.8388279999999999</v>
      </c>
      <c r="Y260">
        <v>2.87378</v>
      </c>
      <c r="Z260">
        <v>2.8516379999999999</v>
      </c>
      <c r="AA260">
        <v>2.8105190000000002</v>
      </c>
      <c r="AB260">
        <v>2.7745690000000001</v>
      </c>
      <c r="AC260">
        <v>2.8271250000000001</v>
      </c>
      <c r="AD260">
        <v>2.8986519999999998</v>
      </c>
      <c r="AE260">
        <v>2.9838719999999999</v>
      </c>
      <c r="AF260">
        <v>2.9742109999999999</v>
      </c>
      <c r="AG260" s="144">
        <v>3.0000000000000001E-3</v>
      </c>
    </row>
    <row r="261" spans="1:33">
      <c r="A261" t="s">
        <v>205</v>
      </c>
      <c r="B261" t="s">
        <v>1868</v>
      </c>
      <c r="C261" t="s">
        <v>1867</v>
      </c>
      <c r="D261" t="s">
        <v>1815</v>
      </c>
      <c r="F261">
        <v>1.7719999999999999E-3</v>
      </c>
      <c r="G261">
        <v>1.805E-3</v>
      </c>
      <c r="H261">
        <v>1.934E-3</v>
      </c>
      <c r="I261">
        <v>2.0270000000000002E-3</v>
      </c>
      <c r="J261">
        <v>1.9750000000000002E-3</v>
      </c>
      <c r="K261">
        <v>1.89E-3</v>
      </c>
      <c r="L261">
        <v>1.8389999999999999E-3</v>
      </c>
      <c r="M261">
        <v>1.7930000000000001E-3</v>
      </c>
      <c r="N261">
        <v>1.7730000000000001E-3</v>
      </c>
      <c r="O261">
        <v>1.779E-3</v>
      </c>
      <c r="P261">
        <v>1.774E-3</v>
      </c>
      <c r="Q261">
        <v>1.7669999999999999E-3</v>
      </c>
      <c r="R261">
        <v>1.7769999999999999E-3</v>
      </c>
      <c r="S261">
        <v>1.794E-3</v>
      </c>
      <c r="T261">
        <v>1.805E-3</v>
      </c>
      <c r="U261">
        <v>1.802E-3</v>
      </c>
      <c r="V261">
        <v>1.7899999999999999E-3</v>
      </c>
      <c r="W261">
        <v>1.7799999999999999E-3</v>
      </c>
      <c r="X261">
        <v>1.7799999999999999E-3</v>
      </c>
      <c r="Y261">
        <v>1.7799999999999999E-3</v>
      </c>
      <c r="Z261">
        <v>1.761E-3</v>
      </c>
      <c r="AA261">
        <v>1.7309999999999999E-3</v>
      </c>
      <c r="AB261">
        <v>1.7030000000000001E-3</v>
      </c>
      <c r="AC261">
        <v>1.7080000000000001E-3</v>
      </c>
      <c r="AD261">
        <v>1.7240000000000001E-3</v>
      </c>
      <c r="AE261">
        <v>1.7229999999999999E-3</v>
      </c>
      <c r="AF261">
        <v>1.7030000000000001E-3</v>
      </c>
      <c r="AG261" s="144">
        <v>-2E-3</v>
      </c>
    </row>
    <row r="262" spans="1:33">
      <c r="A262" t="s">
        <v>206</v>
      </c>
      <c r="B262" t="s">
        <v>1866</v>
      </c>
      <c r="C262" t="s">
        <v>1865</v>
      </c>
      <c r="D262" t="s">
        <v>1815</v>
      </c>
      <c r="F262">
        <v>0.113667</v>
      </c>
      <c r="G262">
        <v>0.115771</v>
      </c>
      <c r="H262">
        <v>0.12402299999999999</v>
      </c>
      <c r="I262">
        <v>0.12998299999999999</v>
      </c>
      <c r="J262">
        <v>0.126668</v>
      </c>
      <c r="K262">
        <v>0.121198</v>
      </c>
      <c r="L262">
        <v>0.117975</v>
      </c>
      <c r="M262">
        <v>0.114995</v>
      </c>
      <c r="N262">
        <v>0.113729</v>
      </c>
      <c r="O262">
        <v>0.11407299999999999</v>
      </c>
      <c r="P262">
        <v>0.113798</v>
      </c>
      <c r="Q262">
        <v>0.113326</v>
      </c>
      <c r="R262">
        <v>0.113995</v>
      </c>
      <c r="S262">
        <v>0.115079</v>
      </c>
      <c r="T262">
        <v>0.115797</v>
      </c>
      <c r="U262">
        <v>0.115552</v>
      </c>
      <c r="V262">
        <v>0.1148</v>
      </c>
      <c r="W262">
        <v>0.11419799999999999</v>
      </c>
      <c r="X262">
        <v>0.114139</v>
      </c>
      <c r="Y262">
        <v>0.114187</v>
      </c>
      <c r="Z262">
        <v>0.11297699999999999</v>
      </c>
      <c r="AA262">
        <v>0.111053</v>
      </c>
      <c r="AB262">
        <v>0.10920299999999999</v>
      </c>
      <c r="AC262">
        <v>0.10954899999999999</v>
      </c>
      <c r="AD262">
        <v>0.11060499999999999</v>
      </c>
      <c r="AE262">
        <v>0.110504</v>
      </c>
      <c r="AF262">
        <v>0.109221</v>
      </c>
      <c r="AG262" s="144">
        <v>-2E-3</v>
      </c>
    </row>
    <row r="263" spans="1:33">
      <c r="A263" t="s">
        <v>207</v>
      </c>
      <c r="B263" t="s">
        <v>1864</v>
      </c>
      <c r="C263" t="s">
        <v>1863</v>
      </c>
      <c r="D263" t="s">
        <v>1815</v>
      </c>
      <c r="F263">
        <v>0</v>
      </c>
      <c r="G263">
        <v>0</v>
      </c>
      <c r="H263">
        <v>0.122118</v>
      </c>
      <c r="I263">
        <v>0.193159</v>
      </c>
      <c r="J263">
        <v>0.31195200000000001</v>
      </c>
      <c r="K263">
        <v>0.412692</v>
      </c>
      <c r="L263">
        <v>0.48345900000000003</v>
      </c>
      <c r="M263">
        <v>0.55136799999999997</v>
      </c>
      <c r="N263">
        <v>0.58849499999999999</v>
      </c>
      <c r="O263">
        <v>0</v>
      </c>
      <c r="P263">
        <v>0</v>
      </c>
      <c r="Q263">
        <v>0</v>
      </c>
      <c r="R263">
        <v>0</v>
      </c>
      <c r="S263">
        <v>0</v>
      </c>
      <c r="T263">
        <v>0</v>
      </c>
      <c r="U263">
        <v>0</v>
      </c>
      <c r="V263">
        <v>0</v>
      </c>
      <c r="W263">
        <v>0</v>
      </c>
      <c r="X263">
        <v>0</v>
      </c>
      <c r="Y263">
        <v>0</v>
      </c>
      <c r="Z263">
        <v>0</v>
      </c>
      <c r="AA263">
        <v>0</v>
      </c>
      <c r="AB263">
        <v>0</v>
      </c>
      <c r="AC263">
        <v>0</v>
      </c>
      <c r="AD263">
        <v>0</v>
      </c>
      <c r="AE263">
        <v>0</v>
      </c>
      <c r="AF263">
        <v>0</v>
      </c>
      <c r="AG263" t="s">
        <v>1769</v>
      </c>
    </row>
    <row r="264" spans="1:33">
      <c r="A264" t="s">
        <v>208</v>
      </c>
      <c r="B264" t="s">
        <v>1862</v>
      </c>
      <c r="C264" t="s">
        <v>1861</v>
      </c>
      <c r="D264" t="s">
        <v>1815</v>
      </c>
      <c r="F264">
        <v>0</v>
      </c>
      <c r="G264">
        <v>0.56174199999999996</v>
      </c>
      <c r="H264">
        <v>0.65029199999999998</v>
      </c>
      <c r="I264">
        <v>0.331312</v>
      </c>
      <c r="J264">
        <v>6.5602999999999995E-2</v>
      </c>
      <c r="K264">
        <v>0</v>
      </c>
      <c r="L264">
        <v>0</v>
      </c>
      <c r="M264">
        <v>0</v>
      </c>
      <c r="N264">
        <v>0</v>
      </c>
      <c r="O264">
        <v>0</v>
      </c>
      <c r="P264">
        <v>0</v>
      </c>
      <c r="Q264">
        <v>0</v>
      </c>
      <c r="R264">
        <v>0</v>
      </c>
      <c r="S264">
        <v>0</v>
      </c>
      <c r="T264">
        <v>0</v>
      </c>
      <c r="U264">
        <v>0</v>
      </c>
      <c r="V264">
        <v>0</v>
      </c>
      <c r="W264">
        <v>0</v>
      </c>
      <c r="X264">
        <v>0</v>
      </c>
      <c r="Y264">
        <v>0</v>
      </c>
      <c r="Z264">
        <v>0</v>
      </c>
      <c r="AA264">
        <v>0</v>
      </c>
      <c r="AB264">
        <v>0</v>
      </c>
      <c r="AC264">
        <v>0</v>
      </c>
      <c r="AD264">
        <v>0</v>
      </c>
      <c r="AE264">
        <v>0</v>
      </c>
      <c r="AF264">
        <v>0</v>
      </c>
      <c r="AG264" t="s">
        <v>1769</v>
      </c>
    </row>
    <row r="265" spans="1:33">
      <c r="A265" t="s">
        <v>209</v>
      </c>
      <c r="B265" t="s">
        <v>1860</v>
      </c>
      <c r="C265" t="s">
        <v>1859</v>
      </c>
      <c r="D265" t="s">
        <v>1815</v>
      </c>
      <c r="F265">
        <v>0</v>
      </c>
      <c r="G265">
        <v>0</v>
      </c>
      <c r="H265">
        <v>0</v>
      </c>
      <c r="I265">
        <v>0</v>
      </c>
      <c r="J265">
        <v>0</v>
      </c>
      <c r="K265">
        <v>0</v>
      </c>
      <c r="L265">
        <v>0</v>
      </c>
      <c r="M265">
        <v>0</v>
      </c>
      <c r="N265">
        <v>0</v>
      </c>
      <c r="O265">
        <v>0</v>
      </c>
      <c r="P265">
        <v>0</v>
      </c>
      <c r="Q265">
        <v>0</v>
      </c>
      <c r="R265">
        <v>0</v>
      </c>
      <c r="S265">
        <v>0</v>
      </c>
      <c r="T265">
        <v>0</v>
      </c>
      <c r="U265">
        <v>0</v>
      </c>
      <c r="V265">
        <v>0</v>
      </c>
      <c r="W265">
        <v>0</v>
      </c>
      <c r="X265">
        <v>0</v>
      </c>
      <c r="Y265">
        <v>0</v>
      </c>
      <c r="Z265">
        <v>0</v>
      </c>
      <c r="AA265">
        <v>0</v>
      </c>
      <c r="AB265">
        <v>0</v>
      </c>
      <c r="AC265">
        <v>0</v>
      </c>
      <c r="AD265">
        <v>0</v>
      </c>
      <c r="AE265">
        <v>0</v>
      </c>
      <c r="AF265">
        <v>0</v>
      </c>
      <c r="AG265" t="s">
        <v>1769</v>
      </c>
    </row>
    <row r="266" spans="1:33">
      <c r="A266" t="s">
        <v>1830</v>
      </c>
      <c r="B266" t="s">
        <v>1858</v>
      </c>
      <c r="C266" t="s">
        <v>1857</v>
      </c>
      <c r="D266" t="s">
        <v>1815</v>
      </c>
      <c r="F266">
        <v>0</v>
      </c>
      <c r="G266">
        <v>0</v>
      </c>
      <c r="H266">
        <v>0</v>
      </c>
      <c r="I266">
        <v>0</v>
      </c>
      <c r="J266">
        <v>0</v>
      </c>
      <c r="K266">
        <v>0</v>
      </c>
      <c r="L266">
        <v>0</v>
      </c>
      <c r="M266">
        <v>0</v>
      </c>
      <c r="N266">
        <v>0</v>
      </c>
      <c r="O266">
        <v>0</v>
      </c>
      <c r="P266">
        <v>0</v>
      </c>
      <c r="Q266">
        <v>0</v>
      </c>
      <c r="R266">
        <v>0</v>
      </c>
      <c r="S266">
        <v>0</v>
      </c>
      <c r="T266">
        <v>0</v>
      </c>
      <c r="U266">
        <v>0</v>
      </c>
      <c r="V266">
        <v>0</v>
      </c>
      <c r="W266">
        <v>0</v>
      </c>
      <c r="X266">
        <v>0</v>
      </c>
      <c r="Y266">
        <v>0</v>
      </c>
      <c r="Z266">
        <v>0</v>
      </c>
      <c r="AA266">
        <v>0</v>
      </c>
      <c r="AB266">
        <v>0</v>
      </c>
      <c r="AC266">
        <v>0</v>
      </c>
      <c r="AD266">
        <v>0</v>
      </c>
      <c r="AE266">
        <v>0</v>
      </c>
      <c r="AF266">
        <v>0</v>
      </c>
      <c r="AG266" t="s">
        <v>1769</v>
      </c>
    </row>
    <row r="267" spans="1:33">
      <c r="A267" t="s">
        <v>1827</v>
      </c>
      <c r="B267" t="s">
        <v>1856</v>
      </c>
      <c r="C267" t="s">
        <v>1855</v>
      </c>
      <c r="D267" t="s">
        <v>1815</v>
      </c>
      <c r="F267">
        <v>0</v>
      </c>
      <c r="G267">
        <v>1.7135560000000001</v>
      </c>
      <c r="H267">
        <v>2.350819</v>
      </c>
      <c r="I267">
        <v>3.2148279999999998</v>
      </c>
      <c r="J267">
        <v>4.1746100000000004</v>
      </c>
      <c r="K267">
        <v>5.4425470000000002</v>
      </c>
      <c r="L267">
        <v>7.3824759999999996</v>
      </c>
      <c r="M267">
        <v>10.151320999999999</v>
      </c>
      <c r="N267">
        <v>14.112121999999999</v>
      </c>
      <c r="O267">
        <v>19.519396</v>
      </c>
      <c r="P267">
        <v>25.979019000000001</v>
      </c>
      <c r="Q267">
        <v>33.050400000000003</v>
      </c>
      <c r="R267">
        <v>40.467086999999999</v>
      </c>
      <c r="S267">
        <v>47.431865999999999</v>
      </c>
      <c r="T267">
        <v>53.173378</v>
      </c>
      <c r="U267">
        <v>57.198608</v>
      </c>
      <c r="V267">
        <v>59.776516000000001</v>
      </c>
      <c r="W267">
        <v>61.481461000000003</v>
      </c>
      <c r="X267">
        <v>62.795741999999997</v>
      </c>
      <c r="Y267">
        <v>63.703178000000001</v>
      </c>
      <c r="Z267">
        <v>63.591166999999999</v>
      </c>
      <c r="AA267">
        <v>62.862864999999999</v>
      </c>
      <c r="AB267">
        <v>62.037998000000002</v>
      </c>
      <c r="AC267">
        <v>62.375670999999997</v>
      </c>
      <c r="AD267">
        <v>63.0672</v>
      </c>
      <c r="AE267">
        <v>63.067070000000001</v>
      </c>
      <c r="AF267">
        <v>62.370319000000002</v>
      </c>
      <c r="AG267" t="s">
        <v>1769</v>
      </c>
    </row>
    <row r="268" spans="1:33">
      <c r="A268" t="s">
        <v>1824</v>
      </c>
      <c r="B268" t="s">
        <v>1854</v>
      </c>
      <c r="C268" t="s">
        <v>1853</v>
      </c>
      <c r="D268" t="s">
        <v>1815</v>
      </c>
      <c r="F268">
        <v>0</v>
      </c>
      <c r="G268">
        <v>0</v>
      </c>
      <c r="H268">
        <v>0</v>
      </c>
      <c r="I268">
        <v>0</v>
      </c>
      <c r="J268">
        <v>0</v>
      </c>
      <c r="K268">
        <v>0</v>
      </c>
      <c r="L268">
        <v>0</v>
      </c>
      <c r="M268">
        <v>0</v>
      </c>
      <c r="N268">
        <v>0</v>
      </c>
      <c r="O268">
        <v>0</v>
      </c>
      <c r="P268">
        <v>0</v>
      </c>
      <c r="Q268">
        <v>0</v>
      </c>
      <c r="R268">
        <v>0</v>
      </c>
      <c r="S268">
        <v>0</v>
      </c>
      <c r="T268">
        <v>0</v>
      </c>
      <c r="U268">
        <v>0</v>
      </c>
      <c r="V268">
        <v>0</v>
      </c>
      <c r="W268">
        <v>0</v>
      </c>
      <c r="X268">
        <v>0</v>
      </c>
      <c r="Y268">
        <v>0</v>
      </c>
      <c r="Z268">
        <v>0</v>
      </c>
      <c r="AA268">
        <v>0</v>
      </c>
      <c r="AB268">
        <v>0</v>
      </c>
      <c r="AC268">
        <v>0</v>
      </c>
      <c r="AD268">
        <v>0</v>
      </c>
      <c r="AE268">
        <v>0</v>
      </c>
      <c r="AF268">
        <v>0</v>
      </c>
      <c r="AG268" t="s">
        <v>1769</v>
      </c>
    </row>
    <row r="269" spans="1:33">
      <c r="A269" t="s">
        <v>1852</v>
      </c>
      <c r="B269" t="s">
        <v>1851</v>
      </c>
      <c r="C269" t="s">
        <v>1850</v>
      </c>
      <c r="D269" t="s">
        <v>1815</v>
      </c>
      <c r="F269">
        <v>177.219742</v>
      </c>
      <c r="G269">
        <v>180.500732</v>
      </c>
      <c r="H269">
        <v>193.36677599999999</v>
      </c>
      <c r="I269">
        <v>202.658447</v>
      </c>
      <c r="J269">
        <v>197.48968500000001</v>
      </c>
      <c r="K269">
        <v>188.96127300000001</v>
      </c>
      <c r="L269">
        <v>183.93614199999999</v>
      </c>
      <c r="M269">
        <v>179.28994800000001</v>
      </c>
      <c r="N269">
        <v>177.31608600000001</v>
      </c>
      <c r="O269">
        <v>177.85307299999999</v>
      </c>
      <c r="P269">
        <v>177.42384300000001</v>
      </c>
      <c r="Q269">
        <v>176.68826300000001</v>
      </c>
      <c r="R269">
        <v>177.73182700000001</v>
      </c>
      <c r="S269">
        <v>179.42169200000001</v>
      </c>
      <c r="T269">
        <v>180.54106100000001</v>
      </c>
      <c r="U269">
        <v>180.158661</v>
      </c>
      <c r="V269">
        <v>178.98571799999999</v>
      </c>
      <c r="W269">
        <v>178.04853800000001</v>
      </c>
      <c r="X269">
        <v>177.955994</v>
      </c>
      <c r="Y269">
        <v>178.03021200000001</v>
      </c>
      <c r="Z269">
        <v>176.14343299999999</v>
      </c>
      <c r="AA269">
        <v>173.144226</v>
      </c>
      <c r="AB269">
        <v>170.26071200000001</v>
      </c>
      <c r="AC269">
        <v>170.79948400000001</v>
      </c>
      <c r="AD269">
        <v>172.44551100000001</v>
      </c>
      <c r="AE269">
        <v>172.288971</v>
      </c>
      <c r="AF269">
        <v>170.28810100000001</v>
      </c>
      <c r="AG269" s="144">
        <v>-2E-3</v>
      </c>
    </row>
    <row r="270" spans="1:33">
      <c r="A270" t="s">
        <v>1849</v>
      </c>
    </row>
    <row r="271" spans="1:33">
      <c r="A271" t="s">
        <v>201</v>
      </c>
      <c r="B271" t="s">
        <v>1848</v>
      </c>
      <c r="C271" t="s">
        <v>1847</v>
      </c>
      <c r="D271" t="s">
        <v>1815</v>
      </c>
      <c r="F271">
        <v>307.59622200000001</v>
      </c>
      <c r="G271">
        <v>313.02185100000003</v>
      </c>
      <c r="H271">
        <v>335.22216800000001</v>
      </c>
      <c r="I271">
        <v>351.56460600000003</v>
      </c>
      <c r="J271">
        <v>342.586029</v>
      </c>
      <c r="K271">
        <v>327.72351099999997</v>
      </c>
      <c r="L271">
        <v>318.936554</v>
      </c>
      <c r="M271">
        <v>310.78518700000001</v>
      </c>
      <c r="N271">
        <v>307.22323599999999</v>
      </c>
      <c r="O271">
        <v>308.72027600000001</v>
      </c>
      <c r="P271">
        <v>307.94979899999998</v>
      </c>
      <c r="Q271">
        <v>306.63226300000002</v>
      </c>
      <c r="R271">
        <v>308.43292200000002</v>
      </c>
      <c r="S271">
        <v>311.27868699999999</v>
      </c>
      <c r="T271">
        <v>313.22674599999999</v>
      </c>
      <c r="U271">
        <v>312.47369400000002</v>
      </c>
      <c r="V271">
        <v>310.26293900000002</v>
      </c>
      <c r="W271">
        <v>308.45281999999997</v>
      </c>
      <c r="X271">
        <v>308.23263500000002</v>
      </c>
      <c r="Y271">
        <v>308.30825800000002</v>
      </c>
      <c r="Z271">
        <v>304.84274299999998</v>
      </c>
      <c r="AA271">
        <v>299.50528000000003</v>
      </c>
      <c r="AB271">
        <v>294.25860599999999</v>
      </c>
      <c r="AC271">
        <v>294.85919200000001</v>
      </c>
      <c r="AD271">
        <v>297.13476600000001</v>
      </c>
      <c r="AE271">
        <v>296.41198700000001</v>
      </c>
      <c r="AF271">
        <v>292.27603099999999</v>
      </c>
      <c r="AG271" s="144">
        <v>-2E-3</v>
      </c>
    </row>
    <row r="272" spans="1:33">
      <c r="A272" t="s">
        <v>202</v>
      </c>
      <c r="B272" t="s">
        <v>1846</v>
      </c>
      <c r="C272" t="s">
        <v>1845</v>
      </c>
      <c r="D272" t="s">
        <v>1815</v>
      </c>
      <c r="F272">
        <v>0.164275</v>
      </c>
      <c r="G272">
        <v>0.16734399999999999</v>
      </c>
      <c r="H272">
        <v>0.17882999999999999</v>
      </c>
      <c r="I272">
        <v>0.18709799999999999</v>
      </c>
      <c r="J272">
        <v>0.18209800000000001</v>
      </c>
      <c r="K272">
        <v>0.173901</v>
      </c>
      <c r="L272">
        <v>0.16891500000000001</v>
      </c>
      <c r="M272">
        <v>0.16417200000000001</v>
      </c>
      <c r="N272">
        <v>0.16173799999999999</v>
      </c>
      <c r="O272">
        <v>0.16499900000000001</v>
      </c>
      <c r="P272">
        <v>0.164607</v>
      </c>
      <c r="Q272">
        <v>0.16392899999999999</v>
      </c>
      <c r="R272">
        <v>0.16490099999999999</v>
      </c>
      <c r="S272">
        <v>0.16647300000000001</v>
      </c>
      <c r="T272">
        <v>0.167514</v>
      </c>
      <c r="U272">
        <v>0.16716200000000001</v>
      </c>
      <c r="V272">
        <v>0.166076</v>
      </c>
      <c r="W272">
        <v>0.16520799999999999</v>
      </c>
      <c r="X272">
        <v>0.16512299999999999</v>
      </c>
      <c r="Y272">
        <v>0.16519300000000001</v>
      </c>
      <c r="Z272">
        <v>0.16344400000000001</v>
      </c>
      <c r="AA272">
        <v>0.160662</v>
      </c>
      <c r="AB272">
        <v>0.15798699999999999</v>
      </c>
      <c r="AC272">
        <v>0.15848699999999999</v>
      </c>
      <c r="AD272">
        <v>0.16001499999999999</v>
      </c>
      <c r="AE272">
        <v>0.15987000000000001</v>
      </c>
      <c r="AF272">
        <v>0.15801000000000001</v>
      </c>
      <c r="AG272" s="144">
        <v>-1E-3</v>
      </c>
    </row>
    <row r="273" spans="1:33">
      <c r="A273" t="s">
        <v>203</v>
      </c>
      <c r="B273" t="s">
        <v>1844</v>
      </c>
      <c r="C273" t="s">
        <v>1843</v>
      </c>
      <c r="D273" t="s">
        <v>1815</v>
      </c>
      <c r="F273">
        <v>0.15823000000000001</v>
      </c>
      <c r="G273">
        <v>0.161159</v>
      </c>
      <c r="H273">
        <v>0.17264699999999999</v>
      </c>
      <c r="I273">
        <v>0.18094299999999999</v>
      </c>
      <c r="J273">
        <v>0.17632800000000001</v>
      </c>
      <c r="K273">
        <v>0.168714</v>
      </c>
      <c r="L273">
        <v>0.16422700000000001</v>
      </c>
      <c r="M273">
        <v>0.160079</v>
      </c>
      <c r="N273">
        <v>0.15831600000000001</v>
      </c>
      <c r="O273">
        <v>0.15879699999999999</v>
      </c>
      <c r="P273">
        <v>0.158414</v>
      </c>
      <c r="Q273">
        <v>0.15775800000000001</v>
      </c>
      <c r="R273">
        <v>0.158689</v>
      </c>
      <c r="S273">
        <v>0.16019800000000001</v>
      </c>
      <c r="T273">
        <v>0.16119800000000001</v>
      </c>
      <c r="U273">
        <v>0.160856</v>
      </c>
      <c r="V273">
        <v>0.15980900000000001</v>
      </c>
      <c r="W273">
        <v>0.158972</v>
      </c>
      <c r="X273">
        <v>0.158889</v>
      </c>
      <c r="Y273">
        <v>0.15895599999999999</v>
      </c>
      <c r="Z273">
        <v>0.15727099999999999</v>
      </c>
      <c r="AA273">
        <v>0.15459300000000001</v>
      </c>
      <c r="AB273">
        <v>0.15201799999999999</v>
      </c>
      <c r="AC273">
        <v>0.152499</v>
      </c>
      <c r="AD273">
        <v>0.15396799999999999</v>
      </c>
      <c r="AE273">
        <v>0.15382799999999999</v>
      </c>
      <c r="AF273">
        <v>0.15203900000000001</v>
      </c>
      <c r="AG273" s="144">
        <v>-2E-3</v>
      </c>
    </row>
    <row r="274" spans="1:33">
      <c r="A274" t="s">
        <v>204</v>
      </c>
      <c r="B274" t="s">
        <v>1842</v>
      </c>
      <c r="C274" t="s">
        <v>1841</v>
      </c>
      <c r="D274" t="s">
        <v>1815</v>
      </c>
      <c r="F274">
        <v>4.9517290000000003</v>
      </c>
      <c r="G274">
        <v>5.312443</v>
      </c>
      <c r="H274">
        <v>5.6818520000000001</v>
      </c>
      <c r="I274">
        <v>5.6170330000000002</v>
      </c>
      <c r="J274">
        <v>5.4386429999999999</v>
      </c>
      <c r="K274">
        <v>5.203786</v>
      </c>
      <c r="L274">
        <v>5.0673890000000004</v>
      </c>
      <c r="M274">
        <v>4.9440660000000003</v>
      </c>
      <c r="N274">
        <v>4.9118769999999996</v>
      </c>
      <c r="O274">
        <v>4.9445069999999998</v>
      </c>
      <c r="P274">
        <v>4.9579420000000001</v>
      </c>
      <c r="Q274">
        <v>4.9781510000000004</v>
      </c>
      <c r="R274">
        <v>5.0178739999999999</v>
      </c>
      <c r="S274">
        <v>5.1524660000000004</v>
      </c>
      <c r="T274">
        <v>5.1785119999999996</v>
      </c>
      <c r="U274">
        <v>5.2572320000000001</v>
      </c>
      <c r="V274">
        <v>5.3993229999999999</v>
      </c>
      <c r="W274">
        <v>5.556578</v>
      </c>
      <c r="X274">
        <v>5.6135780000000004</v>
      </c>
      <c r="Y274">
        <v>5.6688020000000003</v>
      </c>
      <c r="Z274">
        <v>5.8067770000000003</v>
      </c>
      <c r="AA274">
        <v>5.8547640000000003</v>
      </c>
      <c r="AB274">
        <v>6.0161300000000004</v>
      </c>
      <c r="AC274">
        <v>6.3656329999999999</v>
      </c>
      <c r="AD274">
        <v>6.993036</v>
      </c>
      <c r="AE274">
        <v>7.4397250000000001</v>
      </c>
      <c r="AF274">
        <v>8.0469609999999996</v>
      </c>
      <c r="AG274" s="144">
        <v>1.9E-2</v>
      </c>
    </row>
    <row r="275" spans="1:33">
      <c r="A275" t="s">
        <v>205</v>
      </c>
      <c r="B275" t="s">
        <v>1840</v>
      </c>
      <c r="C275" t="s">
        <v>1839</v>
      </c>
      <c r="D275" t="s">
        <v>1815</v>
      </c>
      <c r="F275">
        <v>0</v>
      </c>
      <c r="G275">
        <v>0</v>
      </c>
      <c r="H275">
        <v>0</v>
      </c>
      <c r="I275">
        <v>0</v>
      </c>
      <c r="J275">
        <v>0</v>
      </c>
      <c r="K275">
        <v>0</v>
      </c>
      <c r="L275">
        <v>0</v>
      </c>
      <c r="M275">
        <v>0</v>
      </c>
      <c r="N275">
        <v>0</v>
      </c>
      <c r="O275">
        <v>0</v>
      </c>
      <c r="P275">
        <v>0</v>
      </c>
      <c r="Q275">
        <v>0</v>
      </c>
      <c r="R275">
        <v>0</v>
      </c>
      <c r="S275">
        <v>0</v>
      </c>
      <c r="T275">
        <v>0</v>
      </c>
      <c r="U275">
        <v>0</v>
      </c>
      <c r="V275">
        <v>0</v>
      </c>
      <c r="W275">
        <v>0</v>
      </c>
      <c r="X275">
        <v>0</v>
      </c>
      <c r="Y275">
        <v>0</v>
      </c>
      <c r="Z275">
        <v>0</v>
      </c>
      <c r="AA275">
        <v>0</v>
      </c>
      <c r="AB275">
        <v>0</v>
      </c>
      <c r="AC275">
        <v>0</v>
      </c>
      <c r="AD275">
        <v>0</v>
      </c>
      <c r="AE275">
        <v>0</v>
      </c>
      <c r="AF275">
        <v>0</v>
      </c>
      <c r="AG275" t="s">
        <v>1769</v>
      </c>
    </row>
    <row r="276" spans="1:33">
      <c r="A276" t="s">
        <v>206</v>
      </c>
      <c r="B276" t="s">
        <v>1838</v>
      </c>
      <c r="C276" t="s">
        <v>1837</v>
      </c>
      <c r="D276" t="s">
        <v>1815</v>
      </c>
      <c r="F276">
        <v>0.73615900000000001</v>
      </c>
      <c r="G276">
        <v>0.74978900000000004</v>
      </c>
      <c r="H276">
        <v>0.80323500000000003</v>
      </c>
      <c r="I276">
        <v>0.84183300000000005</v>
      </c>
      <c r="J276">
        <v>0.82036399999999998</v>
      </c>
      <c r="K276">
        <v>0.78493800000000002</v>
      </c>
      <c r="L276">
        <v>0.76406399999999997</v>
      </c>
      <c r="M276">
        <v>0.74476500000000001</v>
      </c>
      <c r="N276">
        <v>0.73656500000000003</v>
      </c>
      <c r="O276">
        <v>0.73880100000000004</v>
      </c>
      <c r="P276">
        <v>0.73701899999999998</v>
      </c>
      <c r="Q276">
        <v>0.73396300000000003</v>
      </c>
      <c r="R276">
        <v>0.73829800000000001</v>
      </c>
      <c r="S276">
        <v>0.74531800000000004</v>
      </c>
      <c r="T276">
        <v>0.74996799999999997</v>
      </c>
      <c r="U276">
        <v>0.74838000000000005</v>
      </c>
      <c r="V276">
        <v>0.74350700000000003</v>
      </c>
      <c r="W276">
        <v>0.73961399999999999</v>
      </c>
      <c r="X276">
        <v>0.73922500000000002</v>
      </c>
      <c r="Y276">
        <v>0.73953599999999997</v>
      </c>
      <c r="Z276">
        <v>0.73169799999999996</v>
      </c>
      <c r="AA276">
        <v>0.71923599999999999</v>
      </c>
      <c r="AB276">
        <v>0.70725899999999997</v>
      </c>
      <c r="AC276">
        <v>0.70949399999999996</v>
      </c>
      <c r="AD276">
        <v>0.71632700000000005</v>
      </c>
      <c r="AE276">
        <v>0.71567499999999995</v>
      </c>
      <c r="AF276">
        <v>0.70735400000000004</v>
      </c>
      <c r="AG276" s="144">
        <v>-2E-3</v>
      </c>
    </row>
    <row r="277" spans="1:33">
      <c r="A277" t="s">
        <v>207</v>
      </c>
      <c r="B277" t="s">
        <v>1836</v>
      </c>
      <c r="C277" t="s">
        <v>1835</v>
      </c>
      <c r="D277" t="s">
        <v>1815</v>
      </c>
      <c r="F277">
        <v>0</v>
      </c>
      <c r="G277">
        <v>0</v>
      </c>
      <c r="H277">
        <v>0.121547</v>
      </c>
      <c r="I277">
        <v>0.23117199999999999</v>
      </c>
      <c r="J277">
        <v>0.2727</v>
      </c>
      <c r="K277">
        <v>0.32945400000000002</v>
      </c>
      <c r="L277">
        <v>0.39071099999999997</v>
      </c>
      <c r="M277">
        <v>0.47172500000000001</v>
      </c>
      <c r="N277">
        <v>0.58538199999999996</v>
      </c>
      <c r="O277">
        <v>0</v>
      </c>
      <c r="P277">
        <v>0</v>
      </c>
      <c r="Q277">
        <v>0</v>
      </c>
      <c r="R277">
        <v>0</v>
      </c>
      <c r="S277">
        <v>0</v>
      </c>
      <c r="T277">
        <v>0</v>
      </c>
      <c r="U277">
        <v>0</v>
      </c>
      <c r="V277">
        <v>0</v>
      </c>
      <c r="W277">
        <v>0</v>
      </c>
      <c r="X277">
        <v>0</v>
      </c>
      <c r="Y277">
        <v>0</v>
      </c>
      <c r="Z277">
        <v>0</v>
      </c>
      <c r="AA277">
        <v>0</v>
      </c>
      <c r="AB277">
        <v>0</v>
      </c>
      <c r="AC277">
        <v>0</v>
      </c>
      <c r="AD277">
        <v>0</v>
      </c>
      <c r="AE277">
        <v>0</v>
      </c>
      <c r="AF277">
        <v>0</v>
      </c>
      <c r="AG277" t="s">
        <v>1769</v>
      </c>
    </row>
    <row r="278" spans="1:33">
      <c r="A278" t="s">
        <v>208</v>
      </c>
      <c r="B278" t="s">
        <v>1834</v>
      </c>
      <c r="C278" t="s">
        <v>1833</v>
      </c>
      <c r="D278" t="s">
        <v>1815</v>
      </c>
      <c r="F278">
        <v>0</v>
      </c>
      <c r="G278">
        <v>0</v>
      </c>
      <c r="H278">
        <v>0</v>
      </c>
      <c r="I278">
        <v>0</v>
      </c>
      <c r="J278">
        <v>0</v>
      </c>
      <c r="K278">
        <v>0</v>
      </c>
      <c r="L278">
        <v>0</v>
      </c>
      <c r="M278">
        <v>0</v>
      </c>
      <c r="N278">
        <v>0</v>
      </c>
      <c r="O278">
        <v>0</v>
      </c>
      <c r="P278">
        <v>0</v>
      </c>
      <c r="Q278">
        <v>0</v>
      </c>
      <c r="R278">
        <v>0</v>
      </c>
      <c r="S278">
        <v>0</v>
      </c>
      <c r="T278">
        <v>0</v>
      </c>
      <c r="U278">
        <v>0</v>
      </c>
      <c r="V278">
        <v>0</v>
      </c>
      <c r="W278">
        <v>0</v>
      </c>
      <c r="X278">
        <v>0</v>
      </c>
      <c r="Y278">
        <v>0</v>
      </c>
      <c r="Z278">
        <v>0</v>
      </c>
      <c r="AA278">
        <v>0</v>
      </c>
      <c r="AB278">
        <v>0</v>
      </c>
      <c r="AC278">
        <v>0</v>
      </c>
      <c r="AD278">
        <v>0</v>
      </c>
      <c r="AE278">
        <v>0</v>
      </c>
      <c r="AF278">
        <v>0</v>
      </c>
      <c r="AG278" t="s">
        <v>1769</v>
      </c>
    </row>
    <row r="279" spans="1:33">
      <c r="A279" t="s">
        <v>209</v>
      </c>
      <c r="B279" t="s">
        <v>1832</v>
      </c>
      <c r="C279" t="s">
        <v>1831</v>
      </c>
      <c r="D279" t="s">
        <v>1815</v>
      </c>
      <c r="F279">
        <v>0</v>
      </c>
      <c r="G279">
        <v>0</v>
      </c>
      <c r="H279">
        <v>0</v>
      </c>
      <c r="I279">
        <v>0</v>
      </c>
      <c r="J279">
        <v>0</v>
      </c>
      <c r="K279">
        <v>0</v>
      </c>
      <c r="L279">
        <v>0</v>
      </c>
      <c r="M279">
        <v>0</v>
      </c>
      <c r="N279">
        <v>0</v>
      </c>
      <c r="O279">
        <v>0</v>
      </c>
      <c r="P279">
        <v>0</v>
      </c>
      <c r="Q279">
        <v>0</v>
      </c>
      <c r="R279">
        <v>0</v>
      </c>
      <c r="S279">
        <v>0</v>
      </c>
      <c r="T279">
        <v>0</v>
      </c>
      <c r="U279">
        <v>0</v>
      </c>
      <c r="V279">
        <v>0</v>
      </c>
      <c r="W279">
        <v>0</v>
      </c>
      <c r="X279">
        <v>0</v>
      </c>
      <c r="Y279">
        <v>0</v>
      </c>
      <c r="Z279">
        <v>0</v>
      </c>
      <c r="AA279">
        <v>0</v>
      </c>
      <c r="AB279">
        <v>0</v>
      </c>
      <c r="AC279">
        <v>0</v>
      </c>
      <c r="AD279">
        <v>0</v>
      </c>
      <c r="AE279">
        <v>0</v>
      </c>
      <c r="AF279">
        <v>0</v>
      </c>
      <c r="AG279" t="s">
        <v>1769</v>
      </c>
    </row>
    <row r="280" spans="1:33">
      <c r="A280" t="s">
        <v>1830</v>
      </c>
      <c r="B280" t="s">
        <v>1829</v>
      </c>
      <c r="C280" t="s">
        <v>1828</v>
      </c>
      <c r="D280" t="s">
        <v>1815</v>
      </c>
      <c r="F280">
        <v>0</v>
      </c>
      <c r="G280">
        <v>0</v>
      </c>
      <c r="H280">
        <v>0</v>
      </c>
      <c r="I280">
        <v>0</v>
      </c>
      <c r="J280">
        <v>0</v>
      </c>
      <c r="K280">
        <v>0</v>
      </c>
      <c r="L280">
        <v>0</v>
      </c>
      <c r="M280">
        <v>0</v>
      </c>
      <c r="N280">
        <v>0</v>
      </c>
      <c r="O280">
        <v>0</v>
      </c>
      <c r="P280">
        <v>0</v>
      </c>
      <c r="Q280">
        <v>0</v>
      </c>
      <c r="R280">
        <v>0</v>
      </c>
      <c r="S280">
        <v>0</v>
      </c>
      <c r="T280">
        <v>0</v>
      </c>
      <c r="U280">
        <v>0</v>
      </c>
      <c r="V280">
        <v>0</v>
      </c>
      <c r="W280">
        <v>0</v>
      </c>
      <c r="X280">
        <v>0</v>
      </c>
      <c r="Y280">
        <v>0</v>
      </c>
      <c r="Z280">
        <v>0</v>
      </c>
      <c r="AA280">
        <v>0</v>
      </c>
      <c r="AB280">
        <v>0</v>
      </c>
      <c r="AC280">
        <v>0</v>
      </c>
      <c r="AD280">
        <v>0</v>
      </c>
      <c r="AE280">
        <v>0</v>
      </c>
      <c r="AF280">
        <v>0</v>
      </c>
      <c r="AG280" t="s">
        <v>1769</v>
      </c>
    </row>
    <row r="281" spans="1:33">
      <c r="A281" t="s">
        <v>1827</v>
      </c>
      <c r="B281" t="s">
        <v>1826</v>
      </c>
      <c r="C281" t="s">
        <v>1825</v>
      </c>
      <c r="D281" t="s">
        <v>1815</v>
      </c>
      <c r="F281">
        <v>0</v>
      </c>
      <c r="G281">
        <v>0</v>
      </c>
      <c r="H281">
        <v>0</v>
      </c>
      <c r="I281">
        <v>0</v>
      </c>
      <c r="J281">
        <v>0</v>
      </c>
      <c r="K281">
        <v>0</v>
      </c>
      <c r="L281">
        <v>0</v>
      </c>
      <c r="M281">
        <v>0</v>
      </c>
      <c r="N281">
        <v>0</v>
      </c>
      <c r="O281">
        <v>0</v>
      </c>
      <c r="P281">
        <v>0</v>
      </c>
      <c r="Q281">
        <v>0</v>
      </c>
      <c r="R281">
        <v>0</v>
      </c>
      <c r="S281">
        <v>0</v>
      </c>
      <c r="T281">
        <v>0</v>
      </c>
      <c r="U281">
        <v>0</v>
      </c>
      <c r="V281">
        <v>0</v>
      </c>
      <c r="W281">
        <v>0</v>
      </c>
      <c r="X281">
        <v>0</v>
      </c>
      <c r="Y281">
        <v>0</v>
      </c>
      <c r="Z281">
        <v>0</v>
      </c>
      <c r="AA281">
        <v>0</v>
      </c>
      <c r="AB281">
        <v>0</v>
      </c>
      <c r="AC281">
        <v>0</v>
      </c>
      <c r="AD281">
        <v>0</v>
      </c>
      <c r="AE281">
        <v>0</v>
      </c>
      <c r="AF281">
        <v>0</v>
      </c>
      <c r="AG281" t="s">
        <v>1769</v>
      </c>
    </row>
    <row r="282" spans="1:33">
      <c r="A282" t="s">
        <v>1824</v>
      </c>
      <c r="B282" t="s">
        <v>1823</v>
      </c>
      <c r="C282" t="s">
        <v>1822</v>
      </c>
      <c r="D282" t="s">
        <v>1815</v>
      </c>
      <c r="F282">
        <v>0</v>
      </c>
      <c r="G282">
        <v>0</v>
      </c>
      <c r="H282">
        <v>0</v>
      </c>
      <c r="I282">
        <v>0</v>
      </c>
      <c r="J282">
        <v>0</v>
      </c>
      <c r="K282">
        <v>0</v>
      </c>
      <c r="L282">
        <v>0</v>
      </c>
      <c r="M282">
        <v>0</v>
      </c>
      <c r="N282">
        <v>0</v>
      </c>
      <c r="O282">
        <v>0</v>
      </c>
      <c r="P282">
        <v>0</v>
      </c>
      <c r="Q282">
        <v>0</v>
      </c>
      <c r="R282">
        <v>0</v>
      </c>
      <c r="S282">
        <v>0</v>
      </c>
      <c r="T282">
        <v>0</v>
      </c>
      <c r="U282">
        <v>0</v>
      </c>
      <c r="V282">
        <v>0</v>
      </c>
      <c r="W282">
        <v>0</v>
      </c>
      <c r="X282">
        <v>0</v>
      </c>
      <c r="Y282">
        <v>0</v>
      </c>
      <c r="Z282">
        <v>0</v>
      </c>
      <c r="AA282">
        <v>0</v>
      </c>
      <c r="AB282">
        <v>0</v>
      </c>
      <c r="AC282">
        <v>0</v>
      </c>
      <c r="AD282">
        <v>0</v>
      </c>
      <c r="AE282">
        <v>0</v>
      </c>
      <c r="AF282">
        <v>0</v>
      </c>
      <c r="AG282" t="s">
        <v>1769</v>
      </c>
    </row>
    <row r="283" spans="1:33">
      <c r="A283" t="s">
        <v>1821</v>
      </c>
      <c r="B283" t="s">
        <v>1820</v>
      </c>
      <c r="C283" t="s">
        <v>1819</v>
      </c>
      <c r="D283" t="s">
        <v>1815</v>
      </c>
      <c r="F283">
        <v>313.60665899999998</v>
      </c>
      <c r="G283">
        <v>319.41256700000002</v>
      </c>
      <c r="H283">
        <v>342.18023699999998</v>
      </c>
      <c r="I283">
        <v>358.62271099999998</v>
      </c>
      <c r="J283">
        <v>349.476135</v>
      </c>
      <c r="K283">
        <v>334.38430799999998</v>
      </c>
      <c r="L283">
        <v>325.49188199999998</v>
      </c>
      <c r="M283">
        <v>317.27001999999999</v>
      </c>
      <c r="N283">
        <v>313.77713</v>
      </c>
      <c r="O283">
        <v>314.72732500000001</v>
      </c>
      <c r="P283">
        <v>313.967804</v>
      </c>
      <c r="Q283">
        <v>312.66604599999999</v>
      </c>
      <c r="R283">
        <v>314.51275600000002</v>
      </c>
      <c r="S283">
        <v>317.50311299999998</v>
      </c>
      <c r="T283">
        <v>319.483948</v>
      </c>
      <c r="U283">
        <v>318.80731200000002</v>
      </c>
      <c r="V283">
        <v>316.731628</v>
      </c>
      <c r="W283">
        <v>315.07318099999998</v>
      </c>
      <c r="X283">
        <v>314.909424</v>
      </c>
      <c r="Y283">
        <v>315.04077100000001</v>
      </c>
      <c r="Z283">
        <v>311.70193499999999</v>
      </c>
      <c r="AA283">
        <v>306.39459199999999</v>
      </c>
      <c r="AB283">
        <v>301.29199199999999</v>
      </c>
      <c r="AC283">
        <v>302.245361</v>
      </c>
      <c r="AD283">
        <v>305.15811200000002</v>
      </c>
      <c r="AE283">
        <v>304.88110399999999</v>
      </c>
      <c r="AF283">
        <v>301.34033199999999</v>
      </c>
      <c r="AG283" s="144">
        <v>-2E-3</v>
      </c>
    </row>
    <row r="284" spans="1:33">
      <c r="A284" t="s">
        <v>1818</v>
      </c>
      <c r="B284" t="s">
        <v>1817</v>
      </c>
      <c r="C284" t="s">
        <v>1816</v>
      </c>
      <c r="D284" t="s">
        <v>1815</v>
      </c>
      <c r="F284">
        <v>709.18963599999995</v>
      </c>
      <c r="G284">
        <v>815.67779499999995</v>
      </c>
      <c r="H284">
        <v>867.31158400000004</v>
      </c>
      <c r="I284">
        <v>899.99011199999995</v>
      </c>
      <c r="J284">
        <v>880.84381099999996</v>
      </c>
      <c r="K284">
        <v>855.30389400000001</v>
      </c>
      <c r="L284">
        <v>840.902649</v>
      </c>
      <c r="M284">
        <v>824.92938200000003</v>
      </c>
      <c r="N284">
        <v>820.85467500000004</v>
      </c>
      <c r="O284">
        <v>827.73187299999995</v>
      </c>
      <c r="P284">
        <v>832.07470699999999</v>
      </c>
      <c r="Q284">
        <v>834.00494400000002</v>
      </c>
      <c r="R284">
        <v>840.76702899999998</v>
      </c>
      <c r="S284">
        <v>849.50982699999997</v>
      </c>
      <c r="T284">
        <v>857.63500999999997</v>
      </c>
      <c r="U284">
        <v>862.24194299999999</v>
      </c>
      <c r="V284">
        <v>863.56207300000005</v>
      </c>
      <c r="W284">
        <v>863.96466099999998</v>
      </c>
      <c r="X284">
        <v>866.54614300000003</v>
      </c>
      <c r="Y284">
        <v>869.01824999999997</v>
      </c>
      <c r="Z284">
        <v>866.80364999999995</v>
      </c>
      <c r="AA284">
        <v>861.68536400000005</v>
      </c>
      <c r="AB284">
        <v>855.97473100000002</v>
      </c>
      <c r="AC284">
        <v>859.67327899999998</v>
      </c>
      <c r="AD284">
        <v>864.81408699999997</v>
      </c>
      <c r="AE284">
        <v>865.47839399999998</v>
      </c>
      <c r="AF284">
        <v>861.86840800000004</v>
      </c>
      <c r="AG284" s="144">
        <v>8.0000000000000002E-3</v>
      </c>
    </row>
    <row r="285" spans="1:33">
      <c r="A285" t="s">
        <v>192</v>
      </c>
    </row>
    <row r="286" spans="1:33">
      <c r="A286" t="s">
        <v>1814</v>
      </c>
      <c r="B286" t="s">
        <v>1813</v>
      </c>
      <c r="C286" t="s">
        <v>1812</v>
      </c>
      <c r="D286" t="s">
        <v>1798</v>
      </c>
      <c r="F286">
        <v>1464.855225</v>
      </c>
      <c r="G286">
        <v>1498.5776370000001</v>
      </c>
      <c r="H286">
        <v>1462.373169</v>
      </c>
      <c r="I286">
        <v>1413.733154</v>
      </c>
      <c r="J286">
        <v>1414.115112</v>
      </c>
      <c r="K286">
        <v>1410.565186</v>
      </c>
      <c r="L286">
        <v>1369.7414550000001</v>
      </c>
      <c r="M286">
        <v>1370.1805420000001</v>
      </c>
      <c r="N286">
        <v>1305.8111570000001</v>
      </c>
      <c r="O286">
        <v>1312.2113039999999</v>
      </c>
      <c r="P286">
        <v>1299.8524170000001</v>
      </c>
      <c r="Q286">
        <v>1300.4210210000001</v>
      </c>
      <c r="R286">
        <v>1305.7510990000001</v>
      </c>
      <c r="S286">
        <v>1312.3923339999999</v>
      </c>
      <c r="T286">
        <v>1330.286621</v>
      </c>
      <c r="U286">
        <v>1321.974976</v>
      </c>
      <c r="V286">
        <v>1328.3294679999999</v>
      </c>
      <c r="W286">
        <v>1330.294678</v>
      </c>
      <c r="X286">
        <v>1337.347534</v>
      </c>
      <c r="Y286">
        <v>1345.204712</v>
      </c>
      <c r="Z286">
        <v>1349.7685550000001</v>
      </c>
      <c r="AA286">
        <v>1354.558716</v>
      </c>
      <c r="AB286">
        <v>1355.6860349999999</v>
      </c>
      <c r="AC286">
        <v>1370.355591</v>
      </c>
      <c r="AD286">
        <v>1382.527466</v>
      </c>
      <c r="AE286">
        <v>1392.701904</v>
      </c>
      <c r="AF286">
        <v>1397.21228</v>
      </c>
      <c r="AG286" s="144">
        <v>-2E-3</v>
      </c>
    </row>
    <row r="287" spans="1:33">
      <c r="A287" t="s">
        <v>1797</v>
      </c>
      <c r="B287" t="s">
        <v>1811</v>
      </c>
      <c r="C287" t="s">
        <v>1810</v>
      </c>
      <c r="D287" t="s">
        <v>1794</v>
      </c>
      <c r="F287">
        <v>3.3734500000000001</v>
      </c>
      <c r="G287">
        <v>3.3770099999999998</v>
      </c>
      <c r="H287">
        <v>3.3805740000000002</v>
      </c>
      <c r="I287">
        <v>3.3841420000000002</v>
      </c>
      <c r="J287">
        <v>3.3877130000000002</v>
      </c>
      <c r="K287">
        <v>3.391289</v>
      </c>
      <c r="L287">
        <v>3.3948680000000002</v>
      </c>
      <c r="M287">
        <v>3.3984510000000001</v>
      </c>
      <c r="N287">
        <v>3.402037</v>
      </c>
      <c r="O287">
        <v>3.4056280000000001</v>
      </c>
      <c r="P287">
        <v>3.4092220000000002</v>
      </c>
      <c r="Q287">
        <v>3.41282</v>
      </c>
      <c r="R287">
        <v>3.4164219999999998</v>
      </c>
      <c r="S287">
        <v>3.4200270000000002</v>
      </c>
      <c r="T287">
        <v>3.4236369999999998</v>
      </c>
      <c r="U287">
        <v>3.4272499999999999</v>
      </c>
      <c r="V287">
        <v>3.4308670000000001</v>
      </c>
      <c r="W287">
        <v>3.434488</v>
      </c>
      <c r="X287">
        <v>3.438113</v>
      </c>
      <c r="Y287">
        <v>3.4417409999999999</v>
      </c>
      <c r="Z287">
        <v>3.445373</v>
      </c>
      <c r="AA287">
        <v>3.4490099999999999</v>
      </c>
      <c r="AB287">
        <v>3.4526490000000001</v>
      </c>
      <c r="AC287">
        <v>3.4562930000000001</v>
      </c>
      <c r="AD287">
        <v>3.4599410000000002</v>
      </c>
      <c r="AE287">
        <v>3.4635929999999999</v>
      </c>
      <c r="AF287">
        <v>3.4672480000000001</v>
      </c>
      <c r="AG287" s="144">
        <v>1E-3</v>
      </c>
    </row>
    <row r="288" spans="1:33">
      <c r="A288" t="s">
        <v>154</v>
      </c>
    </row>
    <row r="289" spans="1:33">
      <c r="A289" t="s">
        <v>212</v>
      </c>
      <c r="B289" t="s">
        <v>1809</v>
      </c>
      <c r="C289" t="s">
        <v>1808</v>
      </c>
      <c r="D289" t="s">
        <v>1766</v>
      </c>
      <c r="F289">
        <v>434.230682</v>
      </c>
      <c r="G289">
        <v>443.75869799999998</v>
      </c>
      <c r="H289">
        <v>432.581299</v>
      </c>
      <c r="I289">
        <v>417.75234999999998</v>
      </c>
      <c r="J289">
        <v>417.42465199999998</v>
      </c>
      <c r="K289">
        <v>415.93777499999999</v>
      </c>
      <c r="L289">
        <v>403.47412100000003</v>
      </c>
      <c r="M289">
        <v>403.17804000000001</v>
      </c>
      <c r="N289">
        <v>383.83212300000002</v>
      </c>
      <c r="O289">
        <v>385.30667099999999</v>
      </c>
      <c r="P289">
        <v>381.27539100000001</v>
      </c>
      <c r="Q289">
        <v>381.04003899999998</v>
      </c>
      <c r="R289">
        <v>382.19842499999999</v>
      </c>
      <c r="S289">
        <v>383.73739599999999</v>
      </c>
      <c r="T289">
        <v>388.55950899999999</v>
      </c>
      <c r="U289">
        <v>385.72473100000002</v>
      </c>
      <c r="V289">
        <v>387.17019699999997</v>
      </c>
      <c r="W289">
        <v>387.33422899999999</v>
      </c>
      <c r="X289">
        <v>388.97726399999999</v>
      </c>
      <c r="Y289">
        <v>390.85006700000002</v>
      </c>
      <c r="Z289">
        <v>391.76263399999999</v>
      </c>
      <c r="AA289">
        <v>392.73843399999998</v>
      </c>
      <c r="AB289">
        <v>392.65093999999999</v>
      </c>
      <c r="AC289">
        <v>396.48129299999999</v>
      </c>
      <c r="AD289">
        <v>399.58117700000003</v>
      </c>
      <c r="AE289">
        <v>402.097534</v>
      </c>
      <c r="AF289">
        <v>402.97448700000001</v>
      </c>
      <c r="AG289" s="144">
        <v>-3.0000000000000001E-3</v>
      </c>
    </row>
    <row r="290" spans="1:33">
      <c r="A290" t="s">
        <v>213</v>
      </c>
      <c r="B290" t="s">
        <v>1807</v>
      </c>
      <c r="C290" t="s">
        <v>1806</v>
      </c>
      <c r="D290" t="s">
        <v>1766</v>
      </c>
      <c r="F290">
        <v>0</v>
      </c>
      <c r="G290">
        <v>0</v>
      </c>
      <c r="H290">
        <v>0</v>
      </c>
      <c r="I290">
        <v>0</v>
      </c>
      <c r="J290">
        <v>0</v>
      </c>
      <c r="K290">
        <v>0</v>
      </c>
      <c r="L290">
        <v>0</v>
      </c>
      <c r="M290">
        <v>0</v>
      </c>
      <c r="N290">
        <v>0</v>
      </c>
      <c r="O290">
        <v>0</v>
      </c>
      <c r="P290">
        <v>0</v>
      </c>
      <c r="Q290">
        <v>0</v>
      </c>
      <c r="R290">
        <v>0</v>
      </c>
      <c r="S290">
        <v>0</v>
      </c>
      <c r="T290">
        <v>0</v>
      </c>
      <c r="U290">
        <v>0</v>
      </c>
      <c r="V290">
        <v>0</v>
      </c>
      <c r="W290">
        <v>0</v>
      </c>
      <c r="X290">
        <v>0</v>
      </c>
      <c r="Y290">
        <v>0</v>
      </c>
      <c r="Z290">
        <v>0</v>
      </c>
      <c r="AA290">
        <v>0</v>
      </c>
      <c r="AB290">
        <v>0</v>
      </c>
      <c r="AC290">
        <v>0</v>
      </c>
      <c r="AD290">
        <v>0</v>
      </c>
      <c r="AE290">
        <v>0</v>
      </c>
      <c r="AF290">
        <v>0</v>
      </c>
      <c r="AG290" t="s">
        <v>1769</v>
      </c>
    </row>
    <row r="291" spans="1:33">
      <c r="A291" t="s">
        <v>214</v>
      </c>
      <c r="B291" t="s">
        <v>1805</v>
      </c>
      <c r="C291" t="s">
        <v>1804</v>
      </c>
      <c r="D291" t="s">
        <v>1766</v>
      </c>
      <c r="F291">
        <v>0</v>
      </c>
      <c r="G291">
        <v>0</v>
      </c>
      <c r="H291">
        <v>0</v>
      </c>
      <c r="I291">
        <v>0</v>
      </c>
      <c r="J291">
        <v>0</v>
      </c>
      <c r="K291">
        <v>0</v>
      </c>
      <c r="L291">
        <v>0</v>
      </c>
      <c r="M291">
        <v>0</v>
      </c>
      <c r="N291">
        <v>0</v>
      </c>
      <c r="O291">
        <v>0</v>
      </c>
      <c r="P291">
        <v>0</v>
      </c>
      <c r="Q291">
        <v>0</v>
      </c>
      <c r="R291">
        <v>0</v>
      </c>
      <c r="S291">
        <v>0</v>
      </c>
      <c r="T291">
        <v>0</v>
      </c>
      <c r="U291">
        <v>0</v>
      </c>
      <c r="V291">
        <v>0</v>
      </c>
      <c r="W291">
        <v>0</v>
      </c>
      <c r="X291">
        <v>0</v>
      </c>
      <c r="Y291">
        <v>0</v>
      </c>
      <c r="Z291">
        <v>0</v>
      </c>
      <c r="AA291">
        <v>0</v>
      </c>
      <c r="AB291">
        <v>0</v>
      </c>
      <c r="AC291">
        <v>0</v>
      </c>
      <c r="AD291">
        <v>0</v>
      </c>
      <c r="AE291">
        <v>0</v>
      </c>
      <c r="AF291">
        <v>0</v>
      </c>
      <c r="AG291" t="s">
        <v>1769</v>
      </c>
    </row>
    <row r="292" spans="1:33">
      <c r="A292" t="s">
        <v>215</v>
      </c>
      <c r="B292" t="s">
        <v>1803</v>
      </c>
      <c r="C292" t="s">
        <v>1802</v>
      </c>
      <c r="D292" t="s">
        <v>1766</v>
      </c>
      <c r="F292">
        <v>0</v>
      </c>
      <c r="G292">
        <v>0</v>
      </c>
      <c r="H292">
        <v>0</v>
      </c>
      <c r="I292">
        <v>0</v>
      </c>
      <c r="J292">
        <v>0</v>
      </c>
      <c r="K292">
        <v>0</v>
      </c>
      <c r="L292">
        <v>0</v>
      </c>
      <c r="M292">
        <v>0</v>
      </c>
      <c r="N292">
        <v>0</v>
      </c>
      <c r="O292">
        <v>0</v>
      </c>
      <c r="P292">
        <v>0</v>
      </c>
      <c r="Q292">
        <v>0</v>
      </c>
      <c r="R292">
        <v>0</v>
      </c>
      <c r="S292">
        <v>0</v>
      </c>
      <c r="T292">
        <v>0</v>
      </c>
      <c r="U292">
        <v>0</v>
      </c>
      <c r="V292">
        <v>0</v>
      </c>
      <c r="W292">
        <v>0</v>
      </c>
      <c r="X292">
        <v>0</v>
      </c>
      <c r="Y292">
        <v>0</v>
      </c>
      <c r="Z292">
        <v>0</v>
      </c>
      <c r="AA292">
        <v>0</v>
      </c>
      <c r="AB292">
        <v>0</v>
      </c>
      <c r="AC292">
        <v>0</v>
      </c>
      <c r="AD292">
        <v>0</v>
      </c>
      <c r="AE292">
        <v>0</v>
      </c>
      <c r="AF292">
        <v>0</v>
      </c>
      <c r="AG292" t="s">
        <v>1769</v>
      </c>
    </row>
    <row r="293" spans="1:33">
      <c r="A293" t="s">
        <v>193</v>
      </c>
    </row>
    <row r="294" spans="1:33">
      <c r="A294" t="s">
        <v>1801</v>
      </c>
      <c r="B294" t="s">
        <v>1800</v>
      </c>
      <c r="C294" t="s">
        <v>1799</v>
      </c>
      <c r="D294" t="s">
        <v>1798</v>
      </c>
      <c r="F294">
        <v>458.773346</v>
      </c>
      <c r="G294">
        <v>464.892853</v>
      </c>
      <c r="H294">
        <v>462.96167000000003</v>
      </c>
      <c r="I294">
        <v>460.98571800000002</v>
      </c>
      <c r="J294">
        <v>459.37042200000002</v>
      </c>
      <c r="K294">
        <v>457.35058600000002</v>
      </c>
      <c r="L294">
        <v>454.85974099999999</v>
      </c>
      <c r="M294">
        <v>451.94982900000002</v>
      </c>
      <c r="N294">
        <v>448.29049700000002</v>
      </c>
      <c r="O294">
        <v>446.236603</v>
      </c>
      <c r="P294">
        <v>444.57028200000002</v>
      </c>
      <c r="Q294">
        <v>442.67672700000003</v>
      </c>
      <c r="R294">
        <v>440.63128699999999</v>
      </c>
      <c r="S294">
        <v>439.09964000000002</v>
      </c>
      <c r="T294">
        <v>437.71414199999998</v>
      </c>
      <c r="U294">
        <v>435.98474099999999</v>
      </c>
      <c r="V294">
        <v>434.76898199999999</v>
      </c>
      <c r="W294">
        <v>433.49096700000001</v>
      </c>
      <c r="X294">
        <v>432.22720299999997</v>
      </c>
      <c r="Y294">
        <v>430.67340100000001</v>
      </c>
      <c r="Z294">
        <v>428.801331</v>
      </c>
      <c r="AA294">
        <v>427.06716899999998</v>
      </c>
      <c r="AB294">
        <v>425.27600100000001</v>
      </c>
      <c r="AC294">
        <v>424.65441900000002</v>
      </c>
      <c r="AD294">
        <v>423.51385499999998</v>
      </c>
      <c r="AE294">
        <v>422.14224200000001</v>
      </c>
      <c r="AF294">
        <v>420.62109400000003</v>
      </c>
      <c r="AG294" s="144">
        <v>-3.0000000000000001E-3</v>
      </c>
    </row>
    <row r="295" spans="1:33">
      <c r="A295" t="s">
        <v>1797</v>
      </c>
      <c r="B295" t="s">
        <v>1796</v>
      </c>
      <c r="C295" t="s">
        <v>1795</v>
      </c>
      <c r="D295" t="s">
        <v>1794</v>
      </c>
      <c r="F295">
        <v>4.8577789999999998</v>
      </c>
      <c r="G295">
        <v>4.876665</v>
      </c>
      <c r="H295">
        <v>4.8956239999999998</v>
      </c>
      <c r="I295">
        <v>4.9146570000000001</v>
      </c>
      <c r="J295">
        <v>4.933764</v>
      </c>
      <c r="K295">
        <v>4.9529449999999997</v>
      </c>
      <c r="L295">
        <v>4.9722</v>
      </c>
      <c r="M295">
        <v>4.9915310000000002</v>
      </c>
      <c r="N295">
        <v>5.0109370000000002</v>
      </c>
      <c r="O295">
        <v>5.0304180000000001</v>
      </c>
      <c r="P295">
        <v>5.0499749999999999</v>
      </c>
      <c r="Q295">
        <v>5.0696079999999997</v>
      </c>
      <c r="R295">
        <v>5.0893170000000003</v>
      </c>
      <c r="S295">
        <v>5.1091030000000002</v>
      </c>
      <c r="T295">
        <v>5.1289660000000001</v>
      </c>
      <c r="U295">
        <v>5.1489060000000002</v>
      </c>
      <c r="V295">
        <v>5.1689230000000004</v>
      </c>
      <c r="W295">
        <v>5.189019</v>
      </c>
      <c r="X295">
        <v>5.2091919999999998</v>
      </c>
      <c r="Y295">
        <v>5.2294450000000001</v>
      </c>
      <c r="Z295">
        <v>5.2497749999999996</v>
      </c>
      <c r="AA295">
        <v>5.2701849999999997</v>
      </c>
      <c r="AB295">
        <v>5.2906740000000001</v>
      </c>
      <c r="AC295">
        <v>5.3112430000000002</v>
      </c>
      <c r="AD295">
        <v>5.3318919999999999</v>
      </c>
      <c r="AE295">
        <v>5.3526210000000001</v>
      </c>
      <c r="AF295">
        <v>5.3734299999999999</v>
      </c>
      <c r="AG295" s="144">
        <v>4.0000000000000001E-3</v>
      </c>
    </row>
    <row r="296" spans="1:33">
      <c r="A296" t="s">
        <v>154</v>
      </c>
    </row>
    <row r="297" spans="1:33">
      <c r="A297" t="s">
        <v>212</v>
      </c>
      <c r="B297" t="s">
        <v>1793</v>
      </c>
      <c r="C297" t="s">
        <v>1792</v>
      </c>
      <c r="D297" t="s">
        <v>1766</v>
      </c>
      <c r="F297">
        <v>92.332252999999994</v>
      </c>
      <c r="G297">
        <v>93.278983999999994</v>
      </c>
      <c r="H297">
        <v>92.539314000000005</v>
      </c>
      <c r="I297">
        <v>91.795044000000004</v>
      </c>
      <c r="J297">
        <v>91.125641000000002</v>
      </c>
      <c r="K297">
        <v>90.379990000000006</v>
      </c>
      <c r="L297">
        <v>89.546463000000003</v>
      </c>
      <c r="M297">
        <v>88.635925</v>
      </c>
      <c r="N297">
        <v>87.584746999999993</v>
      </c>
      <c r="O297">
        <v>86.852417000000003</v>
      </c>
      <c r="P297">
        <v>86.199318000000005</v>
      </c>
      <c r="Q297">
        <v>85.505904999999998</v>
      </c>
      <c r="R297">
        <v>84.786452999999995</v>
      </c>
      <c r="S297">
        <v>84.170158000000001</v>
      </c>
      <c r="T297">
        <v>83.586044000000001</v>
      </c>
      <c r="U297">
        <v>82.940169999999995</v>
      </c>
      <c r="V297">
        <v>82.351212000000004</v>
      </c>
      <c r="W297">
        <v>81.693588000000005</v>
      </c>
      <c r="X297">
        <v>81.036438000000004</v>
      </c>
      <c r="Y297">
        <v>80.322616999999994</v>
      </c>
      <c r="Z297">
        <v>79.547393999999997</v>
      </c>
      <c r="AA297">
        <v>78.795531999999994</v>
      </c>
      <c r="AB297">
        <v>78.030472000000003</v>
      </c>
      <c r="AC297">
        <v>77.475707999999997</v>
      </c>
      <c r="AD297">
        <v>76.820853999999997</v>
      </c>
      <c r="AE297">
        <v>76.119011</v>
      </c>
      <c r="AF297">
        <v>75.385009999999994</v>
      </c>
      <c r="AG297" s="144">
        <v>-8.0000000000000002E-3</v>
      </c>
    </row>
    <row r="298" spans="1:33">
      <c r="A298" t="s">
        <v>213</v>
      </c>
      <c r="B298" t="s">
        <v>1791</v>
      </c>
      <c r="C298" t="s">
        <v>1790</v>
      </c>
      <c r="D298" t="s">
        <v>1766</v>
      </c>
      <c r="F298">
        <v>1.3822049999999999</v>
      </c>
      <c r="G298">
        <v>1.2632559999999999</v>
      </c>
      <c r="H298">
        <v>1.198018</v>
      </c>
      <c r="I298">
        <v>1.1309709999999999</v>
      </c>
      <c r="J298">
        <v>1.0674129999999999</v>
      </c>
      <c r="K298">
        <v>1.0042279999999999</v>
      </c>
      <c r="L298">
        <v>0.937581</v>
      </c>
      <c r="M298">
        <v>0.868587</v>
      </c>
      <c r="N298">
        <v>0.80069400000000002</v>
      </c>
      <c r="O298">
        <v>0.73563800000000001</v>
      </c>
      <c r="P298">
        <v>0.673956</v>
      </c>
      <c r="Q298">
        <v>0.61449699999999996</v>
      </c>
      <c r="R298">
        <v>0.56326799999999999</v>
      </c>
      <c r="S298">
        <v>0.50884700000000005</v>
      </c>
      <c r="T298">
        <v>0.44785000000000003</v>
      </c>
      <c r="U298">
        <v>0.38284099999999999</v>
      </c>
      <c r="V298">
        <v>0.32558700000000002</v>
      </c>
      <c r="W298">
        <v>0.32329599999999997</v>
      </c>
      <c r="X298">
        <v>0.321021</v>
      </c>
      <c r="Y298">
        <v>0.31855600000000001</v>
      </c>
      <c r="Z298">
        <v>0.31585600000000003</v>
      </c>
      <c r="AA298">
        <v>0.31325799999999998</v>
      </c>
      <c r="AB298">
        <v>0.310612</v>
      </c>
      <c r="AC298">
        <v>0.30888199999999999</v>
      </c>
      <c r="AD298">
        <v>0.306782</v>
      </c>
      <c r="AE298">
        <v>0.30452499999999999</v>
      </c>
      <c r="AF298">
        <v>0.302176</v>
      </c>
      <c r="AG298" s="144">
        <v>-5.7000000000000002E-2</v>
      </c>
    </row>
    <row r="299" spans="1:33">
      <c r="A299" t="s">
        <v>214</v>
      </c>
      <c r="B299" t="s">
        <v>1789</v>
      </c>
      <c r="C299" t="s">
        <v>1788</v>
      </c>
      <c r="D299" t="s">
        <v>1766</v>
      </c>
      <c r="F299">
        <v>0</v>
      </c>
      <c r="G299">
        <v>0</v>
      </c>
      <c r="H299">
        <v>0</v>
      </c>
      <c r="I299">
        <v>0</v>
      </c>
      <c r="J299">
        <v>0</v>
      </c>
      <c r="K299">
        <v>0</v>
      </c>
      <c r="L299">
        <v>0</v>
      </c>
      <c r="M299">
        <v>0</v>
      </c>
      <c r="N299">
        <v>0</v>
      </c>
      <c r="O299">
        <v>0</v>
      </c>
      <c r="P299">
        <v>0</v>
      </c>
      <c r="Q299">
        <v>0</v>
      </c>
      <c r="R299">
        <v>0</v>
      </c>
      <c r="S299">
        <v>0</v>
      </c>
      <c r="T299">
        <v>0</v>
      </c>
      <c r="U299">
        <v>0</v>
      </c>
      <c r="V299">
        <v>0</v>
      </c>
      <c r="W299">
        <v>0</v>
      </c>
      <c r="X299">
        <v>0</v>
      </c>
      <c r="Y299">
        <v>0</v>
      </c>
      <c r="Z299">
        <v>0</v>
      </c>
      <c r="AA299">
        <v>0</v>
      </c>
      <c r="AB299">
        <v>0</v>
      </c>
      <c r="AC299">
        <v>0</v>
      </c>
      <c r="AD299">
        <v>0</v>
      </c>
      <c r="AE299">
        <v>0</v>
      </c>
      <c r="AF299">
        <v>0</v>
      </c>
      <c r="AG299" t="s">
        <v>1769</v>
      </c>
    </row>
    <row r="300" spans="1:33">
      <c r="A300" t="s">
        <v>215</v>
      </c>
      <c r="B300" t="s">
        <v>1787</v>
      </c>
      <c r="C300" t="s">
        <v>1786</v>
      </c>
      <c r="D300" t="s">
        <v>1766</v>
      </c>
      <c r="F300">
        <v>0.72651399999999999</v>
      </c>
      <c r="G300">
        <v>0.78784500000000002</v>
      </c>
      <c r="H300">
        <v>0.82910799999999996</v>
      </c>
      <c r="I300">
        <v>0.87214700000000001</v>
      </c>
      <c r="J300">
        <v>0.91445100000000001</v>
      </c>
      <c r="K300">
        <v>0.95491099999999995</v>
      </c>
      <c r="L300">
        <v>0.99653099999999994</v>
      </c>
      <c r="M300">
        <v>1.038818</v>
      </c>
      <c r="N300">
        <v>1.0769789999999999</v>
      </c>
      <c r="O300">
        <v>1.119599</v>
      </c>
      <c r="P300">
        <v>1.1608780000000001</v>
      </c>
      <c r="Q300">
        <v>1.199308</v>
      </c>
      <c r="R300">
        <v>1.229924</v>
      </c>
      <c r="S300">
        <v>1.2655670000000001</v>
      </c>
      <c r="T300">
        <v>1.3077129999999999</v>
      </c>
      <c r="U300">
        <v>1.352198</v>
      </c>
      <c r="V300">
        <v>1.4353050000000001</v>
      </c>
      <c r="W300">
        <v>1.5231779999999999</v>
      </c>
      <c r="X300">
        <v>1.616471</v>
      </c>
      <c r="Y300">
        <v>1.7143079999999999</v>
      </c>
      <c r="Z300">
        <v>1.8166960000000001</v>
      </c>
      <c r="AA300">
        <v>1.9257839999999999</v>
      </c>
      <c r="AB300">
        <v>2.0411160000000002</v>
      </c>
      <c r="AC300">
        <v>2.1692900000000002</v>
      </c>
      <c r="AD300">
        <v>2.3026849999999999</v>
      </c>
      <c r="AE300">
        <v>2.44293</v>
      </c>
      <c r="AF300">
        <v>2.590767</v>
      </c>
      <c r="AG300" s="144">
        <v>0.05</v>
      </c>
    </row>
    <row r="301" spans="1:33">
      <c r="A301" t="s">
        <v>194</v>
      </c>
    </row>
    <row r="302" spans="1:33">
      <c r="A302" t="s">
        <v>1785</v>
      </c>
      <c r="B302" t="s">
        <v>1784</v>
      </c>
      <c r="C302" t="s">
        <v>1783</v>
      </c>
      <c r="D302" t="s">
        <v>1776</v>
      </c>
      <c r="F302">
        <v>6023.5166019999997</v>
      </c>
      <c r="G302">
        <v>6248.9067379999997</v>
      </c>
      <c r="H302">
        <v>6421.529297</v>
      </c>
      <c r="I302">
        <v>6659.548828</v>
      </c>
      <c r="J302">
        <v>6864.0795900000003</v>
      </c>
      <c r="K302">
        <v>7079.498047</v>
      </c>
      <c r="L302">
        <v>7297.4252930000002</v>
      </c>
      <c r="M302">
        <v>7503.923828</v>
      </c>
      <c r="N302">
        <v>7740.4560549999997</v>
      </c>
      <c r="O302">
        <v>7974.0815430000002</v>
      </c>
      <c r="P302">
        <v>8222.6484380000002</v>
      </c>
      <c r="Q302">
        <v>8411.9707030000009</v>
      </c>
      <c r="R302">
        <v>8574.0878909999992</v>
      </c>
      <c r="S302">
        <v>8726.2421880000002</v>
      </c>
      <c r="T302">
        <v>8864.3476559999999</v>
      </c>
      <c r="U302">
        <v>9003.0683590000008</v>
      </c>
      <c r="V302">
        <v>9128.03125</v>
      </c>
      <c r="W302">
        <v>9252.5576170000004</v>
      </c>
      <c r="X302">
        <v>9379.8408199999994</v>
      </c>
      <c r="Y302">
        <v>9504.1064449999994</v>
      </c>
      <c r="Z302">
        <v>9625.9179690000001</v>
      </c>
      <c r="AA302">
        <v>9740.8447269999997</v>
      </c>
      <c r="AB302">
        <v>9833.2382809999999</v>
      </c>
      <c r="AC302">
        <v>9964.6669920000004</v>
      </c>
      <c r="AD302">
        <v>10123.741211</v>
      </c>
      <c r="AE302">
        <v>10282.939453000001</v>
      </c>
      <c r="AF302">
        <v>10434.558594</v>
      </c>
      <c r="AG302" s="144">
        <v>2.1000000000000001E-2</v>
      </c>
    </row>
    <row r="303" spans="1:33">
      <c r="A303" t="s">
        <v>1782</v>
      </c>
      <c r="B303" t="s">
        <v>1781</v>
      </c>
      <c r="C303" t="s">
        <v>1780</v>
      </c>
      <c r="D303" t="s">
        <v>1776</v>
      </c>
      <c r="F303">
        <v>1938.3862300000001</v>
      </c>
      <c r="G303">
        <v>2014.6479489999999</v>
      </c>
      <c r="H303">
        <v>2075.9914549999999</v>
      </c>
      <c r="I303">
        <v>2166.7897950000001</v>
      </c>
      <c r="J303">
        <v>2249.5659179999998</v>
      </c>
      <c r="K303">
        <v>2329.5798340000001</v>
      </c>
      <c r="L303">
        <v>2404.4145509999998</v>
      </c>
      <c r="M303">
        <v>2470.181885</v>
      </c>
      <c r="N303">
        <v>2540.5629880000001</v>
      </c>
      <c r="O303">
        <v>2603.9204100000002</v>
      </c>
      <c r="P303">
        <v>2673.7998050000001</v>
      </c>
      <c r="Q303">
        <v>2730.7907709999999</v>
      </c>
      <c r="R303">
        <v>2779.3188479999999</v>
      </c>
      <c r="S303">
        <v>2825.1267090000001</v>
      </c>
      <c r="T303">
        <v>2876.078857</v>
      </c>
      <c r="U303">
        <v>2928.6367190000001</v>
      </c>
      <c r="V303">
        <v>2981.3789059999999</v>
      </c>
      <c r="W303">
        <v>3039.28125</v>
      </c>
      <c r="X303">
        <v>3096.5607909999999</v>
      </c>
      <c r="Y303">
        <v>3154.7770999999998</v>
      </c>
      <c r="Z303">
        <v>3209.8603520000001</v>
      </c>
      <c r="AA303">
        <v>3262.2211910000001</v>
      </c>
      <c r="AB303">
        <v>3305.1987300000001</v>
      </c>
      <c r="AC303">
        <v>3359.7014159999999</v>
      </c>
      <c r="AD303">
        <v>3411.3432619999999</v>
      </c>
      <c r="AE303">
        <v>3458.4096679999998</v>
      </c>
      <c r="AF303">
        <v>3501.953857</v>
      </c>
      <c r="AG303" s="144">
        <v>2.3E-2</v>
      </c>
    </row>
    <row r="304" spans="1:33">
      <c r="A304" t="s">
        <v>1779</v>
      </c>
      <c r="B304" t="s">
        <v>1778</v>
      </c>
      <c r="C304" t="s">
        <v>1777</v>
      </c>
      <c r="D304" t="s">
        <v>1776</v>
      </c>
      <c r="F304">
        <v>4085.1303710000002</v>
      </c>
      <c r="G304">
        <v>4234.2587890000004</v>
      </c>
      <c r="H304">
        <v>4345.5380859999996</v>
      </c>
      <c r="I304">
        <v>4492.7587890000004</v>
      </c>
      <c r="J304">
        <v>4614.513672</v>
      </c>
      <c r="K304">
        <v>4749.9179690000001</v>
      </c>
      <c r="L304">
        <v>4893.0107420000004</v>
      </c>
      <c r="M304">
        <v>5033.7421880000002</v>
      </c>
      <c r="N304">
        <v>5199.8930659999996</v>
      </c>
      <c r="O304">
        <v>5370.1611329999996</v>
      </c>
      <c r="P304">
        <v>5548.8481449999999</v>
      </c>
      <c r="Q304">
        <v>5681.1801759999998</v>
      </c>
      <c r="R304">
        <v>5794.7695309999999</v>
      </c>
      <c r="S304">
        <v>5901.1157229999999</v>
      </c>
      <c r="T304">
        <v>5988.2690430000002</v>
      </c>
      <c r="U304">
        <v>6074.4321289999998</v>
      </c>
      <c r="V304">
        <v>6146.6523440000001</v>
      </c>
      <c r="W304">
        <v>6213.2763670000004</v>
      </c>
      <c r="X304">
        <v>6283.2802730000003</v>
      </c>
      <c r="Y304">
        <v>6349.3295900000003</v>
      </c>
      <c r="Z304">
        <v>6416.0571289999998</v>
      </c>
      <c r="AA304">
        <v>6478.6235349999997</v>
      </c>
      <c r="AB304">
        <v>6528.0390619999998</v>
      </c>
      <c r="AC304">
        <v>6604.9653319999998</v>
      </c>
      <c r="AD304">
        <v>6712.3979490000002</v>
      </c>
      <c r="AE304">
        <v>6824.5302730000003</v>
      </c>
      <c r="AF304">
        <v>6932.6049800000001</v>
      </c>
      <c r="AG304" s="144">
        <v>2.1000000000000001E-2</v>
      </c>
    </row>
    <row r="305" spans="1:33">
      <c r="A305" t="s">
        <v>154</v>
      </c>
    </row>
    <row r="306" spans="1:33">
      <c r="A306" t="s">
        <v>212</v>
      </c>
      <c r="B306" t="s">
        <v>1775</v>
      </c>
      <c r="C306" t="s">
        <v>1774</v>
      </c>
      <c r="D306" t="s">
        <v>1766</v>
      </c>
      <c r="F306">
        <v>195.74534600000001</v>
      </c>
      <c r="G306">
        <v>212.661835</v>
      </c>
      <c r="H306">
        <v>224.314606</v>
      </c>
      <c r="I306">
        <v>228.064087</v>
      </c>
      <c r="J306">
        <v>233.18679800000001</v>
      </c>
      <c r="K306">
        <v>235.61990399999999</v>
      </c>
      <c r="L306">
        <v>238.52423099999999</v>
      </c>
      <c r="M306">
        <v>242.35704000000001</v>
      </c>
      <c r="N306">
        <v>248.63774100000001</v>
      </c>
      <c r="O306">
        <v>254.948486</v>
      </c>
      <c r="P306">
        <v>261.07586700000002</v>
      </c>
      <c r="Q306">
        <v>263.98260499999998</v>
      </c>
      <c r="R306">
        <v>266.61132800000001</v>
      </c>
      <c r="S306">
        <v>268.03750600000001</v>
      </c>
      <c r="T306">
        <v>270.21701000000002</v>
      </c>
      <c r="U306">
        <v>272.002228</v>
      </c>
      <c r="V306">
        <v>273.95889299999999</v>
      </c>
      <c r="W306">
        <v>276.39965799999999</v>
      </c>
      <c r="X306">
        <v>278.885986</v>
      </c>
      <c r="Y306">
        <v>280.99075299999998</v>
      </c>
      <c r="Z306">
        <v>283.009094</v>
      </c>
      <c r="AA306">
        <v>284.52014200000002</v>
      </c>
      <c r="AB306">
        <v>284.75753800000001</v>
      </c>
      <c r="AC306">
        <v>286.24276700000001</v>
      </c>
      <c r="AD306">
        <v>288.10394300000002</v>
      </c>
      <c r="AE306">
        <v>290.23345899999998</v>
      </c>
      <c r="AF306">
        <v>292.11120599999998</v>
      </c>
      <c r="AG306" s="144">
        <v>1.6E-2</v>
      </c>
    </row>
    <row r="307" spans="1:33">
      <c r="A307" t="s">
        <v>213</v>
      </c>
      <c r="B307" t="s">
        <v>1773</v>
      </c>
      <c r="C307" t="s">
        <v>1772</v>
      </c>
      <c r="D307" t="s">
        <v>1766</v>
      </c>
      <c r="F307">
        <v>550.43896500000005</v>
      </c>
      <c r="G307">
        <v>514.18347200000005</v>
      </c>
      <c r="H307">
        <v>510.80633499999999</v>
      </c>
      <c r="I307">
        <v>520.583618</v>
      </c>
      <c r="J307">
        <v>526.08252000000005</v>
      </c>
      <c r="K307">
        <v>535.16064500000005</v>
      </c>
      <c r="L307">
        <v>543.52642800000001</v>
      </c>
      <c r="M307">
        <v>549.77069100000006</v>
      </c>
      <c r="N307">
        <v>554.768372</v>
      </c>
      <c r="O307">
        <v>559.316101</v>
      </c>
      <c r="P307">
        <v>564.45159899999999</v>
      </c>
      <c r="Q307">
        <v>570.71923800000002</v>
      </c>
      <c r="R307">
        <v>575.59594700000002</v>
      </c>
      <c r="S307">
        <v>581.43194600000004</v>
      </c>
      <c r="T307">
        <v>585.571777</v>
      </c>
      <c r="U307">
        <v>590.16540499999996</v>
      </c>
      <c r="V307">
        <v>593.91705300000001</v>
      </c>
      <c r="W307">
        <v>597.12823500000002</v>
      </c>
      <c r="X307">
        <v>600.45532200000002</v>
      </c>
      <c r="Y307">
        <v>603.99230999999997</v>
      </c>
      <c r="Z307">
        <v>607.38354500000003</v>
      </c>
      <c r="AA307">
        <v>610.92431599999998</v>
      </c>
      <c r="AB307">
        <v>615.06170699999996</v>
      </c>
      <c r="AC307">
        <v>619.51269500000001</v>
      </c>
      <c r="AD307">
        <v>624.67334000000005</v>
      </c>
      <c r="AE307">
        <v>629.26171899999997</v>
      </c>
      <c r="AF307">
        <v>633.68322799999999</v>
      </c>
      <c r="AG307" s="144">
        <v>5.0000000000000001E-3</v>
      </c>
    </row>
    <row r="308" spans="1:33">
      <c r="A308" t="s">
        <v>214</v>
      </c>
      <c r="B308" t="s">
        <v>1771</v>
      </c>
      <c r="C308" t="s">
        <v>1770</v>
      </c>
      <c r="D308" t="s">
        <v>1766</v>
      </c>
      <c r="F308">
        <v>0</v>
      </c>
      <c r="G308">
        <v>0</v>
      </c>
      <c r="H308">
        <v>0</v>
      </c>
      <c r="I308">
        <v>0</v>
      </c>
      <c r="J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t="s">
        <v>1769</v>
      </c>
    </row>
    <row r="309" spans="1:33">
      <c r="A309" t="s">
        <v>215</v>
      </c>
      <c r="B309" t="s">
        <v>1768</v>
      </c>
      <c r="C309" t="s">
        <v>1767</v>
      </c>
      <c r="D309" t="s">
        <v>1766</v>
      </c>
      <c r="F309">
        <v>5.9348320000000001</v>
      </c>
      <c r="G309">
        <v>6.5364779999999998</v>
      </c>
      <c r="H309">
        <v>6.6340339999999998</v>
      </c>
      <c r="I309">
        <v>6.6726179999999999</v>
      </c>
      <c r="J309">
        <v>7.0259280000000004</v>
      </c>
      <c r="K309">
        <v>7.4154460000000002</v>
      </c>
      <c r="L309">
        <v>7.8749640000000003</v>
      </c>
      <c r="M309">
        <v>8.4281520000000008</v>
      </c>
      <c r="N309">
        <v>8.7182600000000008</v>
      </c>
      <c r="O309">
        <v>9.0221319999999992</v>
      </c>
      <c r="P309">
        <v>9.4022459999999999</v>
      </c>
      <c r="Q309">
        <v>9.4618070000000003</v>
      </c>
      <c r="R309">
        <v>9.6343019999999999</v>
      </c>
      <c r="S309">
        <v>9.8146550000000001</v>
      </c>
      <c r="T309">
        <v>10.029487</v>
      </c>
      <c r="U309">
        <v>10.238963999999999</v>
      </c>
      <c r="V309">
        <v>10.386210999999999</v>
      </c>
      <c r="W309">
        <v>10.461117</v>
      </c>
      <c r="X309">
        <v>10.493995</v>
      </c>
      <c r="Y309">
        <v>10.588778</v>
      </c>
      <c r="Z309">
        <v>10.700267999999999</v>
      </c>
      <c r="AA309">
        <v>10.871041999999999</v>
      </c>
      <c r="AB309">
        <v>10.939361999999999</v>
      </c>
      <c r="AC309">
        <v>11.028162999999999</v>
      </c>
      <c r="AD309">
        <v>11.141788</v>
      </c>
      <c r="AE309">
        <v>11.308977000000001</v>
      </c>
      <c r="AF309">
        <v>11.478370999999999</v>
      </c>
      <c r="AG309" s="144">
        <v>2.5999999999999999E-2</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G11"/>
  <sheetViews>
    <sheetView workbookViewId="0"/>
    <sheetView workbookViewId="1"/>
  </sheetViews>
  <sheetFormatPr defaultRowHeight="14.75"/>
  <cols>
    <col min="1" max="1" width="26.86328125" customWidth="1"/>
    <col min="2" max="2" width="16.7265625" customWidth="1"/>
    <col min="3" max="3" width="12.54296875" customWidth="1"/>
    <col min="4" max="4" width="14.1328125" customWidth="1"/>
    <col min="5" max="5" width="16.7265625" customWidth="1"/>
    <col min="6" max="6" width="16.26953125" customWidth="1"/>
    <col min="7" max="7" width="15.86328125" customWidth="1"/>
  </cols>
  <sheetData>
    <row r="1" spans="1:7">
      <c r="A1" s="1" t="s">
        <v>13</v>
      </c>
    </row>
    <row r="2" spans="1:7">
      <c r="A2" s="1"/>
    </row>
    <row r="3" spans="1:7" ht="44.25">
      <c r="A3" s="8" t="s">
        <v>14</v>
      </c>
      <c r="B3" s="8" t="s">
        <v>15</v>
      </c>
      <c r="C3" s="8" t="s">
        <v>16</v>
      </c>
      <c r="D3" s="8" t="s">
        <v>17</v>
      </c>
      <c r="E3" s="8" t="s">
        <v>18</v>
      </c>
      <c r="F3" s="8" t="s">
        <v>19</v>
      </c>
      <c r="G3" s="8" t="s">
        <v>20</v>
      </c>
    </row>
    <row r="4" spans="1:7">
      <c r="A4" t="s">
        <v>21</v>
      </c>
      <c r="B4" s="9">
        <v>21611</v>
      </c>
      <c r="C4" s="9">
        <v>244203</v>
      </c>
      <c r="D4" s="9">
        <v>3584</v>
      </c>
      <c r="E4">
        <v>11.3</v>
      </c>
      <c r="F4">
        <v>5.7</v>
      </c>
      <c r="G4">
        <v>2.4</v>
      </c>
    </row>
    <row r="5" spans="1:7">
      <c r="A5" t="s">
        <v>22</v>
      </c>
      <c r="B5" s="9">
        <v>10147</v>
      </c>
      <c r="C5" s="9">
        <v>121865</v>
      </c>
      <c r="D5" s="9">
        <v>2035</v>
      </c>
      <c r="E5">
        <v>12</v>
      </c>
      <c r="F5">
        <v>6</v>
      </c>
      <c r="G5">
        <v>2.7</v>
      </c>
    </row>
    <row r="6" spans="1:7">
      <c r="A6" t="s">
        <v>23</v>
      </c>
      <c r="B6">
        <v>735</v>
      </c>
      <c r="C6" s="9">
        <v>8137</v>
      </c>
      <c r="D6">
        <v>154</v>
      </c>
      <c r="E6">
        <v>11.1</v>
      </c>
      <c r="F6">
        <v>7.8</v>
      </c>
      <c r="G6">
        <v>2.4</v>
      </c>
    </row>
    <row r="7" spans="1:7">
      <c r="A7" t="s">
        <v>24</v>
      </c>
      <c r="B7">
        <v>854</v>
      </c>
      <c r="C7" s="9">
        <v>12694</v>
      </c>
      <c r="D7">
        <v>220</v>
      </c>
      <c r="E7">
        <v>14.9</v>
      </c>
      <c r="F7">
        <v>4.0999999999999996</v>
      </c>
      <c r="G7">
        <v>3.8</v>
      </c>
    </row>
    <row r="8" spans="1:7">
      <c r="A8" t="s">
        <v>25</v>
      </c>
      <c r="B8" s="9">
        <v>1704</v>
      </c>
      <c r="C8" s="9">
        <v>18728</v>
      </c>
      <c r="D8">
        <v>212</v>
      </c>
      <c r="E8">
        <v>11</v>
      </c>
      <c r="F8">
        <v>4.7</v>
      </c>
      <c r="G8">
        <v>2.2999999999999998</v>
      </c>
    </row>
    <row r="9" spans="1:7">
      <c r="A9" t="s">
        <v>26</v>
      </c>
      <c r="B9" s="9">
        <v>2508</v>
      </c>
      <c r="C9" s="9">
        <v>21580</v>
      </c>
      <c r="D9">
        <v>362</v>
      </c>
      <c r="E9">
        <v>8.6</v>
      </c>
      <c r="F9">
        <v>6.3</v>
      </c>
      <c r="G9">
        <v>2.2999999999999998</v>
      </c>
    </row>
    <row r="10" spans="1:7">
      <c r="A10" t="s">
        <v>27</v>
      </c>
      <c r="B10" s="9">
        <v>3916</v>
      </c>
      <c r="C10" s="9">
        <v>43741</v>
      </c>
      <c r="D10">
        <v>280</v>
      </c>
      <c r="E10">
        <v>11.2</v>
      </c>
      <c r="F10">
        <v>4.5999999999999996</v>
      </c>
      <c r="G10">
        <v>1.3</v>
      </c>
    </row>
    <row r="11" spans="1:7">
      <c r="A11" t="s">
        <v>28</v>
      </c>
      <c r="B11" s="9">
        <v>1747</v>
      </c>
      <c r="C11" s="9">
        <v>17458</v>
      </c>
      <c r="D11">
        <v>322</v>
      </c>
      <c r="E11">
        <v>10</v>
      </c>
      <c r="F11">
        <v>6.8</v>
      </c>
      <c r="G11">
        <v>2.4</v>
      </c>
    </row>
  </sheetData>
  <pageMargins left="0.7" right="0.7" top="0.75" bottom="0.75" header="0.3" footer="0.3"/>
  <pageSetup orientation="portrait" horizontalDpi="1200" verticalDpi="1200"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3B558A-C630-47D4-8D42-5826CEC30A4E}">
  <dimension ref="A1:AX71"/>
  <sheetViews>
    <sheetView workbookViewId="0"/>
    <sheetView workbookViewId="1"/>
  </sheetViews>
  <sheetFormatPr defaultRowHeight="14.75"/>
  <cols>
    <col min="14" max="14" width="9.1328125" style="101"/>
    <col min="15" max="23" width="0" hidden="1" customWidth="1"/>
    <col min="24" max="24" width="11.40625" style="101" customWidth="1"/>
    <col min="25" max="45" width="0" hidden="1" customWidth="1"/>
    <col min="46" max="46" width="13.54296875" style="101" customWidth="1"/>
  </cols>
  <sheetData>
    <row r="1" spans="1:50" ht="64.25">
      <c r="A1" s="81" t="s">
        <v>1383</v>
      </c>
      <c r="B1" s="81" t="s">
        <v>1384</v>
      </c>
      <c r="C1" s="81" t="s">
        <v>1385</v>
      </c>
      <c r="D1" s="81" t="s">
        <v>1386</v>
      </c>
      <c r="E1" s="81" t="s">
        <v>1387</v>
      </c>
      <c r="F1" s="81" t="s">
        <v>1388</v>
      </c>
      <c r="G1" s="81" t="s">
        <v>1389</v>
      </c>
      <c r="H1" s="81" t="s">
        <v>1390</v>
      </c>
      <c r="I1" s="81" t="s">
        <v>1391</v>
      </c>
      <c r="J1" s="81" t="s">
        <v>1392</v>
      </c>
      <c r="K1" s="81" t="s">
        <v>1393</v>
      </c>
      <c r="L1" s="81" t="s">
        <v>1394</v>
      </c>
      <c r="M1" s="81" t="s">
        <v>1395</v>
      </c>
      <c r="N1" s="82" t="s">
        <v>1396</v>
      </c>
      <c r="O1" s="81" t="s">
        <v>1397</v>
      </c>
      <c r="P1" s="81" t="s">
        <v>1398</v>
      </c>
      <c r="Q1" s="81" t="s">
        <v>1399</v>
      </c>
      <c r="R1" s="81" t="s">
        <v>1400</v>
      </c>
      <c r="S1" s="81" t="s">
        <v>1401</v>
      </c>
      <c r="T1" s="81" t="s">
        <v>1402</v>
      </c>
      <c r="U1" s="81" t="s">
        <v>1403</v>
      </c>
      <c r="V1" s="81" t="s">
        <v>1404</v>
      </c>
      <c r="W1" s="81" t="s">
        <v>1405</v>
      </c>
      <c r="X1" s="83" t="s">
        <v>1406</v>
      </c>
      <c r="Y1" s="81" t="s">
        <v>1407</v>
      </c>
      <c r="Z1" s="81" t="s">
        <v>1408</v>
      </c>
      <c r="AA1" s="81" t="s">
        <v>1409</v>
      </c>
      <c r="AB1" s="81" t="s">
        <v>1410</v>
      </c>
      <c r="AC1" s="84" t="s">
        <v>1411</v>
      </c>
      <c r="AD1" s="85" t="s">
        <v>1412</v>
      </c>
      <c r="AE1" s="84" t="s">
        <v>1413</v>
      </c>
      <c r="AF1" s="85" t="s">
        <v>1414</v>
      </c>
      <c r="AG1" s="84" t="s">
        <v>1415</v>
      </c>
      <c r="AH1" s="85" t="s">
        <v>1416</v>
      </c>
      <c r="AI1" s="84" t="s">
        <v>1417</v>
      </c>
      <c r="AJ1" s="85" t="s">
        <v>1418</v>
      </c>
      <c r="AK1" s="84" t="s">
        <v>1419</v>
      </c>
      <c r="AL1" s="85" t="s">
        <v>1420</v>
      </c>
      <c r="AM1" s="84" t="s">
        <v>1421</v>
      </c>
      <c r="AN1" s="85" t="s">
        <v>1422</v>
      </c>
      <c r="AO1" s="84" t="s">
        <v>1423</v>
      </c>
      <c r="AP1" s="85" t="s">
        <v>1424</v>
      </c>
      <c r="AQ1" s="84" t="s">
        <v>1425</v>
      </c>
      <c r="AR1" s="85" t="s">
        <v>1426</v>
      </c>
      <c r="AS1" s="84" t="s">
        <v>1427</v>
      </c>
      <c r="AT1" s="86" t="s">
        <v>1428</v>
      </c>
      <c r="AU1" s="87" t="s">
        <v>1429</v>
      </c>
      <c r="AV1" s="88" t="s">
        <v>1430</v>
      </c>
      <c r="AW1" s="87" t="s">
        <v>1431</v>
      </c>
      <c r="AX1" s="81" t="s">
        <v>1432</v>
      </c>
    </row>
    <row r="2" spans="1:50">
      <c r="A2" s="89" t="s">
        <v>1433</v>
      </c>
      <c r="B2" s="89" t="s">
        <v>1434</v>
      </c>
      <c r="C2" s="89" t="s">
        <v>1435</v>
      </c>
      <c r="D2" s="90">
        <v>2008</v>
      </c>
      <c r="E2" s="91">
        <v>20008</v>
      </c>
      <c r="F2" s="89" t="s">
        <v>1436</v>
      </c>
      <c r="G2" s="89" t="s">
        <v>1437</v>
      </c>
      <c r="H2" s="92">
        <v>18351295</v>
      </c>
      <c r="I2" s="93">
        <v>10427</v>
      </c>
      <c r="J2" s="89" t="s">
        <v>1438</v>
      </c>
      <c r="K2" s="89" t="s">
        <v>1439</v>
      </c>
      <c r="L2" s="94">
        <v>5413</v>
      </c>
      <c r="M2" s="89"/>
      <c r="N2" s="95">
        <v>527</v>
      </c>
      <c r="O2" s="93"/>
      <c r="P2" s="96">
        <v>18.215599999999998</v>
      </c>
      <c r="Q2" s="93"/>
      <c r="R2" s="96">
        <v>4.2031999999999998</v>
      </c>
      <c r="S2" s="93"/>
      <c r="T2" s="96">
        <v>62.403700000000001</v>
      </c>
      <c r="U2" s="93"/>
      <c r="V2" s="92">
        <v>376401985</v>
      </c>
      <c r="W2" s="93"/>
      <c r="X2" s="97">
        <v>334949157</v>
      </c>
      <c r="Y2" s="93"/>
      <c r="Z2" s="92">
        <v>324782077</v>
      </c>
      <c r="AA2" s="93"/>
      <c r="AB2" s="92">
        <v>10167080</v>
      </c>
      <c r="AC2" s="93"/>
      <c r="AD2" s="92">
        <v>18782357</v>
      </c>
      <c r="AE2" s="93"/>
      <c r="AF2" s="92">
        <v>17829918</v>
      </c>
      <c r="AG2" s="93"/>
      <c r="AH2" s="92">
        <v>952439</v>
      </c>
      <c r="AI2" s="93"/>
      <c r="AJ2" s="92">
        <v>36770774</v>
      </c>
      <c r="AK2" s="93"/>
      <c r="AL2" s="92">
        <v>35625281</v>
      </c>
      <c r="AM2" s="93"/>
      <c r="AN2" s="92">
        <v>2060234</v>
      </c>
      <c r="AO2" s="93"/>
      <c r="AP2" s="98">
        <v>1955760</v>
      </c>
      <c r="AQ2" s="93"/>
      <c r="AR2" s="92">
        <v>1112653405</v>
      </c>
      <c r="AS2" s="93"/>
      <c r="AT2" s="97">
        <v>4676670633</v>
      </c>
      <c r="AU2" s="89"/>
      <c r="AV2" s="99">
        <v>493.68</v>
      </c>
      <c r="AW2" s="89" t="s">
        <v>39</v>
      </c>
      <c r="AX2" s="89" t="s">
        <v>1440</v>
      </c>
    </row>
    <row r="3" spans="1:50">
      <c r="A3" s="89" t="s">
        <v>1441</v>
      </c>
      <c r="B3" s="89" t="s">
        <v>1442</v>
      </c>
      <c r="C3" s="89" t="s">
        <v>1443</v>
      </c>
      <c r="D3" s="90">
        <v>2080</v>
      </c>
      <c r="E3" s="91">
        <v>20080</v>
      </c>
      <c r="F3" s="89" t="s">
        <v>1444</v>
      </c>
      <c r="G3" s="89" t="s">
        <v>1437</v>
      </c>
      <c r="H3" s="92">
        <v>18351295</v>
      </c>
      <c r="I3" s="93">
        <v>3646</v>
      </c>
      <c r="J3" s="89" t="s">
        <v>1445</v>
      </c>
      <c r="K3" s="89" t="s">
        <v>1446</v>
      </c>
      <c r="L3" s="94">
        <v>42</v>
      </c>
      <c r="M3" s="89"/>
      <c r="N3" s="95">
        <v>20</v>
      </c>
      <c r="O3" s="93"/>
      <c r="P3" s="96">
        <v>16.576499999999999</v>
      </c>
      <c r="Q3" s="93"/>
      <c r="R3" s="96">
        <v>3.7544</v>
      </c>
      <c r="S3" s="93"/>
      <c r="T3" s="96">
        <v>104.70910000000001</v>
      </c>
      <c r="U3" s="93"/>
      <c r="V3" s="92">
        <v>1809860</v>
      </c>
      <c r="W3" s="93"/>
      <c r="X3" s="97">
        <v>1929113</v>
      </c>
      <c r="Y3" s="93"/>
      <c r="Z3" s="92">
        <v>1893039</v>
      </c>
      <c r="AA3" s="93"/>
      <c r="AB3" s="92">
        <v>36074</v>
      </c>
      <c r="AC3" s="93"/>
      <c r="AD3" s="92">
        <v>115699</v>
      </c>
      <c r="AE3" s="93"/>
      <c r="AF3" s="92">
        <v>114200</v>
      </c>
      <c r="AG3" s="93"/>
      <c r="AH3" s="92">
        <v>1499</v>
      </c>
      <c r="AI3" s="93"/>
      <c r="AJ3" s="92">
        <v>1096779</v>
      </c>
      <c r="AK3" s="93"/>
      <c r="AL3" s="92">
        <v>1076347</v>
      </c>
      <c r="AM3" s="93"/>
      <c r="AN3" s="92">
        <v>64689</v>
      </c>
      <c r="AO3" s="93"/>
      <c r="AP3" s="98">
        <v>63804</v>
      </c>
      <c r="AQ3" s="93"/>
      <c r="AR3" s="92">
        <v>11957780</v>
      </c>
      <c r="AS3" s="93"/>
      <c r="AT3" s="97">
        <v>44894834</v>
      </c>
      <c r="AU3" s="89"/>
      <c r="AV3" s="99">
        <v>34.08</v>
      </c>
      <c r="AW3" s="89" t="s">
        <v>39</v>
      </c>
      <c r="AX3" s="89" t="s">
        <v>1440</v>
      </c>
    </row>
    <row r="4" spans="1:50">
      <c r="A4" s="89" t="s">
        <v>1441</v>
      </c>
      <c r="B4" s="89" t="s">
        <v>1442</v>
      </c>
      <c r="C4" s="89" t="s">
        <v>1443</v>
      </c>
      <c r="D4" s="90">
        <v>2080</v>
      </c>
      <c r="E4" s="91">
        <v>20080</v>
      </c>
      <c r="F4" s="89" t="s">
        <v>1444</v>
      </c>
      <c r="G4" s="89" t="s">
        <v>1437</v>
      </c>
      <c r="H4" s="92">
        <v>18351295</v>
      </c>
      <c r="I4" s="93">
        <v>3646</v>
      </c>
      <c r="J4" s="89" t="s">
        <v>1445</v>
      </c>
      <c r="K4" s="89" t="s">
        <v>1439</v>
      </c>
      <c r="L4" s="94">
        <v>15</v>
      </c>
      <c r="M4" s="89"/>
      <c r="N4" s="95">
        <v>15</v>
      </c>
      <c r="O4" s="93"/>
      <c r="P4" s="96">
        <v>9.3912999999999993</v>
      </c>
      <c r="Q4" s="93"/>
      <c r="R4" s="96">
        <v>2.2517</v>
      </c>
      <c r="S4" s="93"/>
      <c r="T4" s="96">
        <v>88.662099999999995</v>
      </c>
      <c r="U4" s="93"/>
      <c r="V4" s="92">
        <v>458806</v>
      </c>
      <c r="W4" s="93"/>
      <c r="X4" s="97">
        <v>481308</v>
      </c>
      <c r="Y4" s="93"/>
      <c r="Z4" s="92">
        <v>470004</v>
      </c>
      <c r="AA4" s="93"/>
      <c r="AB4" s="92">
        <v>11304</v>
      </c>
      <c r="AC4" s="93"/>
      <c r="AD4" s="92">
        <v>55608</v>
      </c>
      <c r="AE4" s="93"/>
      <c r="AF4" s="92">
        <v>50047</v>
      </c>
      <c r="AG4" s="93"/>
      <c r="AH4" s="92">
        <v>5561</v>
      </c>
      <c r="AI4" s="93"/>
      <c r="AJ4" s="92">
        <v>481308</v>
      </c>
      <c r="AK4" s="93"/>
      <c r="AL4" s="92">
        <v>470004</v>
      </c>
      <c r="AM4" s="93"/>
      <c r="AN4" s="92">
        <v>55608</v>
      </c>
      <c r="AO4" s="93"/>
      <c r="AP4" s="98">
        <v>50047</v>
      </c>
      <c r="AQ4" s="93"/>
      <c r="AR4" s="92">
        <v>4437270</v>
      </c>
      <c r="AS4" s="93"/>
      <c r="AT4" s="97">
        <v>9991369</v>
      </c>
      <c r="AU4" s="89"/>
      <c r="AV4" s="99">
        <v>12.42</v>
      </c>
      <c r="AW4" s="89" t="s">
        <v>39</v>
      </c>
      <c r="AX4" s="89" t="s">
        <v>1440</v>
      </c>
    </row>
    <row r="5" spans="1:50">
      <c r="A5" s="89" t="s">
        <v>1441</v>
      </c>
      <c r="B5" s="89" t="s">
        <v>1442</v>
      </c>
      <c r="C5" s="89" t="s">
        <v>1443</v>
      </c>
      <c r="D5" s="90">
        <v>2080</v>
      </c>
      <c r="E5" s="91">
        <v>20080</v>
      </c>
      <c r="F5" s="89" t="s">
        <v>1444</v>
      </c>
      <c r="G5" s="89" t="s">
        <v>1437</v>
      </c>
      <c r="H5" s="92">
        <v>18351295</v>
      </c>
      <c r="I5" s="93">
        <v>3646</v>
      </c>
      <c r="J5" s="89" t="s">
        <v>1447</v>
      </c>
      <c r="K5" s="89" t="s">
        <v>1439</v>
      </c>
      <c r="L5" s="94">
        <v>904</v>
      </c>
      <c r="M5" s="89"/>
      <c r="N5" s="95">
        <v>105</v>
      </c>
      <c r="O5" s="93"/>
      <c r="P5" s="96">
        <v>32.758000000000003</v>
      </c>
      <c r="Q5" s="93"/>
      <c r="R5" s="96">
        <v>22.010100000000001</v>
      </c>
      <c r="S5" s="93"/>
      <c r="T5" s="96">
        <v>40.014699999999998</v>
      </c>
      <c r="U5" s="93"/>
      <c r="V5" s="92">
        <v>54847772</v>
      </c>
      <c r="W5" s="93"/>
      <c r="X5" s="97">
        <v>57155030</v>
      </c>
      <c r="Y5" s="93"/>
      <c r="Z5" s="92">
        <v>54301350</v>
      </c>
      <c r="AA5" s="93"/>
      <c r="AB5" s="92">
        <v>2853680</v>
      </c>
      <c r="AC5" s="93"/>
      <c r="AD5" s="92">
        <v>1953118</v>
      </c>
      <c r="AE5" s="93"/>
      <c r="AF5" s="92">
        <v>1657653</v>
      </c>
      <c r="AG5" s="93"/>
      <c r="AH5" s="92">
        <v>295465</v>
      </c>
      <c r="AI5" s="93"/>
      <c r="AJ5" s="92">
        <v>8422625</v>
      </c>
      <c r="AK5" s="93"/>
      <c r="AL5" s="92">
        <v>7942892</v>
      </c>
      <c r="AM5" s="93"/>
      <c r="AN5" s="92">
        <v>287491</v>
      </c>
      <c r="AO5" s="93"/>
      <c r="AP5" s="98">
        <v>248272</v>
      </c>
      <c r="AQ5" s="93"/>
      <c r="AR5" s="92">
        <v>66330426</v>
      </c>
      <c r="AS5" s="93"/>
      <c r="AT5" s="97">
        <v>1459936301</v>
      </c>
      <c r="AU5" s="89"/>
      <c r="AV5" s="99">
        <v>920.4</v>
      </c>
      <c r="AW5" s="89" t="s">
        <v>39</v>
      </c>
      <c r="AX5" s="89" t="s">
        <v>1440</v>
      </c>
    </row>
    <row r="6" spans="1:50">
      <c r="A6" s="89" t="s">
        <v>1448</v>
      </c>
      <c r="B6" s="89" t="s">
        <v>1449</v>
      </c>
      <c r="C6" s="89" t="s">
        <v>1450</v>
      </c>
      <c r="D6" s="90">
        <v>9154</v>
      </c>
      <c r="E6" s="91">
        <v>90154</v>
      </c>
      <c r="F6" s="89" t="s">
        <v>1451</v>
      </c>
      <c r="G6" s="89" t="s">
        <v>1437</v>
      </c>
      <c r="H6" s="92">
        <v>12150996</v>
      </c>
      <c r="I6" s="93">
        <v>3482</v>
      </c>
      <c r="J6" s="89" t="s">
        <v>1445</v>
      </c>
      <c r="K6" s="89" t="s">
        <v>1439</v>
      </c>
      <c r="L6" s="94">
        <v>203</v>
      </c>
      <c r="M6" s="89"/>
      <c r="N6" s="95">
        <v>74</v>
      </c>
      <c r="O6" s="93"/>
      <c r="P6" s="96">
        <v>20.558</v>
      </c>
      <c r="Q6" s="93"/>
      <c r="R6" s="96">
        <v>7.5712999999999999</v>
      </c>
      <c r="S6" s="93"/>
      <c r="T6" s="96">
        <v>55.704000000000001</v>
      </c>
      <c r="U6" s="93"/>
      <c r="V6" s="92">
        <v>15592469</v>
      </c>
      <c r="W6" s="93"/>
      <c r="X6" s="97">
        <v>16090545</v>
      </c>
      <c r="Y6" s="93"/>
      <c r="Z6" s="92">
        <v>15536688</v>
      </c>
      <c r="AA6" s="93"/>
      <c r="AB6" s="92">
        <v>553857</v>
      </c>
      <c r="AC6" s="93"/>
      <c r="AD6" s="92">
        <v>792734</v>
      </c>
      <c r="AE6" s="93"/>
      <c r="AF6" s="92">
        <v>755749</v>
      </c>
      <c r="AG6" s="93"/>
      <c r="AH6" s="92">
        <v>36985</v>
      </c>
      <c r="AI6" s="93"/>
      <c r="AJ6" s="92">
        <v>6384468</v>
      </c>
      <c r="AK6" s="93"/>
      <c r="AL6" s="92">
        <v>6156417</v>
      </c>
      <c r="AM6" s="93"/>
      <c r="AN6" s="92">
        <v>309440</v>
      </c>
      <c r="AO6" s="93"/>
      <c r="AP6" s="98">
        <v>294220</v>
      </c>
      <c r="AQ6" s="93"/>
      <c r="AR6" s="92">
        <v>42098255</v>
      </c>
      <c r="AS6" s="93"/>
      <c r="AT6" s="97">
        <v>318737668</v>
      </c>
      <c r="AU6" s="89"/>
      <c r="AV6" s="99">
        <v>171.92</v>
      </c>
      <c r="AW6" s="89" t="s">
        <v>39</v>
      </c>
      <c r="AX6" s="89" t="s">
        <v>1440</v>
      </c>
    </row>
    <row r="7" spans="1:50">
      <c r="A7" s="89" t="s">
        <v>1448</v>
      </c>
      <c r="B7" s="89" t="s">
        <v>1449</v>
      </c>
      <c r="C7" s="89" t="s">
        <v>1450</v>
      </c>
      <c r="D7" s="90">
        <v>9154</v>
      </c>
      <c r="E7" s="91">
        <v>90154</v>
      </c>
      <c r="F7" s="89" t="s">
        <v>1451</v>
      </c>
      <c r="G7" s="89" t="s">
        <v>1437</v>
      </c>
      <c r="H7" s="92">
        <v>12150996</v>
      </c>
      <c r="I7" s="93">
        <v>3482</v>
      </c>
      <c r="J7" s="89" t="s">
        <v>1438</v>
      </c>
      <c r="K7" s="89" t="s">
        <v>1439</v>
      </c>
      <c r="L7" s="94">
        <v>68</v>
      </c>
      <c r="M7" s="89"/>
      <c r="N7" s="95">
        <v>13</v>
      </c>
      <c r="O7" s="93"/>
      <c r="P7" s="96">
        <v>21.8993</v>
      </c>
      <c r="Q7" s="93"/>
      <c r="R7" s="96">
        <v>4.8391999999999999</v>
      </c>
      <c r="S7" s="93"/>
      <c r="T7" s="96">
        <v>108.40730000000001</v>
      </c>
      <c r="U7" s="93"/>
      <c r="V7" s="92">
        <v>6821561</v>
      </c>
      <c r="W7" s="93"/>
      <c r="X7" s="97">
        <v>6973555</v>
      </c>
      <c r="Y7" s="93"/>
      <c r="Z7" s="92">
        <v>6801301</v>
      </c>
      <c r="AA7" s="93"/>
      <c r="AB7" s="92">
        <v>172254</v>
      </c>
      <c r="AC7" s="93"/>
      <c r="AD7" s="92">
        <v>327668</v>
      </c>
      <c r="AE7" s="93"/>
      <c r="AF7" s="92">
        <v>310572</v>
      </c>
      <c r="AG7" s="93"/>
      <c r="AH7" s="92">
        <v>17096</v>
      </c>
      <c r="AI7" s="93"/>
      <c r="AJ7" s="92">
        <v>1383514</v>
      </c>
      <c r="AK7" s="93"/>
      <c r="AL7" s="92">
        <v>1350454</v>
      </c>
      <c r="AM7" s="93"/>
      <c r="AN7" s="92">
        <v>66480</v>
      </c>
      <c r="AO7" s="93"/>
      <c r="AP7" s="98">
        <v>63158</v>
      </c>
      <c r="AQ7" s="93"/>
      <c r="AR7" s="92">
        <v>33668265</v>
      </c>
      <c r="AS7" s="93"/>
      <c r="AT7" s="97">
        <v>162927528</v>
      </c>
      <c r="AU7" s="89"/>
      <c r="AV7" s="99">
        <v>31.9</v>
      </c>
      <c r="AW7" s="89" t="s">
        <v>39</v>
      </c>
      <c r="AX7" s="89" t="s">
        <v>1440</v>
      </c>
    </row>
    <row r="8" spans="1:50">
      <c r="A8" s="89" t="s">
        <v>1452</v>
      </c>
      <c r="B8" s="89" t="s">
        <v>1453</v>
      </c>
      <c r="C8" s="89" t="s">
        <v>1454</v>
      </c>
      <c r="D8" s="90">
        <v>3030</v>
      </c>
      <c r="E8" s="91">
        <v>30030</v>
      </c>
      <c r="F8" s="89" t="s">
        <v>1451</v>
      </c>
      <c r="G8" s="89" t="s">
        <v>1437</v>
      </c>
      <c r="H8" s="92">
        <v>4586770</v>
      </c>
      <c r="I8" s="93">
        <v>3304</v>
      </c>
      <c r="J8" s="89" t="s">
        <v>1438</v>
      </c>
      <c r="K8" s="89" t="s">
        <v>1439</v>
      </c>
      <c r="L8" s="94">
        <v>998</v>
      </c>
      <c r="M8" s="89"/>
      <c r="N8" s="95">
        <v>129</v>
      </c>
      <c r="O8" s="93"/>
      <c r="P8" s="96">
        <v>23.3386</v>
      </c>
      <c r="Q8" s="93"/>
      <c r="R8" s="96">
        <v>5.6486999999999998</v>
      </c>
      <c r="S8" s="93"/>
      <c r="T8" s="96">
        <v>51.016399999999997</v>
      </c>
      <c r="U8" s="93"/>
      <c r="V8" s="92">
        <v>81860566</v>
      </c>
      <c r="W8" s="93"/>
      <c r="X8" s="97">
        <v>82234530</v>
      </c>
      <c r="Y8" s="93"/>
      <c r="Z8" s="92">
        <v>79847615</v>
      </c>
      <c r="AA8" s="93"/>
      <c r="AB8" s="92">
        <v>2386915</v>
      </c>
      <c r="AC8" s="93"/>
      <c r="AD8" s="92">
        <v>3524685</v>
      </c>
      <c r="AE8" s="93"/>
      <c r="AF8" s="92">
        <v>3421264</v>
      </c>
      <c r="AG8" s="93"/>
      <c r="AH8" s="92">
        <v>103421</v>
      </c>
      <c r="AI8" s="93"/>
      <c r="AJ8" s="92">
        <v>11770449</v>
      </c>
      <c r="AK8" s="93"/>
      <c r="AL8" s="92">
        <v>11432619</v>
      </c>
      <c r="AM8" s="93"/>
      <c r="AN8" s="92">
        <v>505929</v>
      </c>
      <c r="AO8" s="93"/>
      <c r="AP8" s="98">
        <v>489793</v>
      </c>
      <c r="AQ8" s="93"/>
      <c r="AR8" s="92">
        <v>174540714</v>
      </c>
      <c r="AS8" s="93"/>
      <c r="AT8" s="97">
        <v>985922295</v>
      </c>
      <c r="AU8" s="89"/>
      <c r="AV8" s="99">
        <v>234.2</v>
      </c>
      <c r="AW8" s="89" t="s">
        <v>39</v>
      </c>
      <c r="AX8" s="89" t="s">
        <v>1440</v>
      </c>
    </row>
    <row r="9" spans="1:50">
      <c r="A9" s="89" t="s">
        <v>1455</v>
      </c>
      <c r="B9" s="89" t="s">
        <v>1456</v>
      </c>
      <c r="C9" s="89" t="s">
        <v>1457</v>
      </c>
      <c r="D9" s="90">
        <v>5066</v>
      </c>
      <c r="E9" s="91">
        <v>50066</v>
      </c>
      <c r="F9" s="89" t="s">
        <v>1451</v>
      </c>
      <c r="G9" s="89" t="s">
        <v>1437</v>
      </c>
      <c r="H9" s="92">
        <v>8608208</v>
      </c>
      <c r="I9" s="93">
        <v>2703</v>
      </c>
      <c r="J9" s="89" t="s">
        <v>1438</v>
      </c>
      <c r="K9" s="89" t="s">
        <v>1439</v>
      </c>
      <c r="L9" s="94">
        <v>1148</v>
      </c>
      <c r="M9" s="89"/>
      <c r="N9" s="95">
        <v>158</v>
      </c>
      <c r="O9" s="93"/>
      <c r="P9" s="96">
        <v>18.0276</v>
      </c>
      <c r="Q9" s="93"/>
      <c r="R9" s="96">
        <v>6.3144</v>
      </c>
      <c r="S9" s="93" t="s">
        <v>1458</v>
      </c>
      <c r="T9" s="96">
        <v>19.723500000000001</v>
      </c>
      <c r="U9" s="93"/>
      <c r="V9" s="92">
        <v>82996946</v>
      </c>
      <c r="W9" s="93"/>
      <c r="X9" s="97">
        <v>70519745</v>
      </c>
      <c r="Y9" s="93"/>
      <c r="Z9" s="92">
        <v>69510641</v>
      </c>
      <c r="AA9" s="93"/>
      <c r="AB9" s="92">
        <v>1009104</v>
      </c>
      <c r="AC9" s="93"/>
      <c r="AD9" s="92">
        <v>4177041</v>
      </c>
      <c r="AE9" s="93"/>
      <c r="AF9" s="92">
        <v>3855798</v>
      </c>
      <c r="AG9" s="93"/>
      <c r="AH9" s="92">
        <v>321243</v>
      </c>
      <c r="AI9" s="93"/>
      <c r="AJ9" s="92">
        <v>10533049</v>
      </c>
      <c r="AK9" s="93"/>
      <c r="AL9" s="92">
        <v>10388783</v>
      </c>
      <c r="AM9" s="93"/>
      <c r="AN9" s="92">
        <v>631507</v>
      </c>
      <c r="AO9" s="93"/>
      <c r="AP9" s="98">
        <v>582079</v>
      </c>
      <c r="AQ9" s="93"/>
      <c r="AR9" s="92">
        <v>76049871</v>
      </c>
      <c r="AS9" s="93"/>
      <c r="AT9" s="97">
        <v>480210760</v>
      </c>
      <c r="AU9" s="89" t="s">
        <v>1458</v>
      </c>
      <c r="AV9" s="99">
        <v>207.84</v>
      </c>
      <c r="AW9" s="89" t="s">
        <v>39</v>
      </c>
      <c r="AX9" s="89" t="s">
        <v>1459</v>
      </c>
    </row>
    <row r="10" spans="1:50">
      <c r="A10" s="89" t="s">
        <v>1460</v>
      </c>
      <c r="B10" s="89" t="s">
        <v>1461</v>
      </c>
      <c r="C10" s="89" t="s">
        <v>1462</v>
      </c>
      <c r="D10" s="90">
        <v>1003</v>
      </c>
      <c r="E10" s="91">
        <v>10003</v>
      </c>
      <c r="F10" s="89" t="s">
        <v>1451</v>
      </c>
      <c r="G10" s="89" t="s">
        <v>1437</v>
      </c>
      <c r="H10" s="92">
        <v>4181019</v>
      </c>
      <c r="I10" s="93">
        <v>2428</v>
      </c>
      <c r="J10" s="89" t="s">
        <v>1445</v>
      </c>
      <c r="K10" s="89" t="s">
        <v>1439</v>
      </c>
      <c r="L10" s="94">
        <v>154</v>
      </c>
      <c r="M10" s="89"/>
      <c r="N10" s="95">
        <v>86</v>
      </c>
      <c r="O10" s="93"/>
      <c r="P10" s="96">
        <v>7.3029000000000002</v>
      </c>
      <c r="Q10" s="93"/>
      <c r="R10" s="96">
        <v>2.3538000000000001</v>
      </c>
      <c r="S10" s="93"/>
      <c r="T10" s="96">
        <v>57.774500000000003</v>
      </c>
      <c r="U10" s="93"/>
      <c r="V10" s="92">
        <v>5714964</v>
      </c>
      <c r="W10" s="93"/>
      <c r="X10" s="97">
        <v>5260506</v>
      </c>
      <c r="Y10" s="93"/>
      <c r="Z10" s="92">
        <v>5241369</v>
      </c>
      <c r="AA10" s="93"/>
      <c r="AB10" s="92">
        <v>19137</v>
      </c>
      <c r="AC10" s="93"/>
      <c r="AD10" s="92">
        <v>726323</v>
      </c>
      <c r="AE10" s="93"/>
      <c r="AF10" s="92">
        <v>717709</v>
      </c>
      <c r="AG10" s="93"/>
      <c r="AH10" s="92">
        <v>8614</v>
      </c>
      <c r="AI10" s="93" t="s">
        <v>1463</v>
      </c>
      <c r="AJ10" s="92">
        <v>2876932</v>
      </c>
      <c r="AK10" s="93"/>
      <c r="AL10" s="92">
        <v>2870560</v>
      </c>
      <c r="AM10" s="93"/>
      <c r="AN10" s="92">
        <v>321018</v>
      </c>
      <c r="AO10" s="93"/>
      <c r="AP10" s="98">
        <v>315916</v>
      </c>
      <c r="AQ10" s="93"/>
      <c r="AR10" s="92">
        <v>41465243</v>
      </c>
      <c r="AS10" s="93"/>
      <c r="AT10" s="97">
        <v>97602251</v>
      </c>
      <c r="AU10" s="89"/>
      <c r="AV10" s="99">
        <v>51</v>
      </c>
      <c r="AW10" s="89" t="s">
        <v>39</v>
      </c>
      <c r="AX10" s="89" t="s">
        <v>1459</v>
      </c>
    </row>
    <row r="11" spans="1:50">
      <c r="A11" s="89" t="s">
        <v>1460</v>
      </c>
      <c r="B11" s="89" t="s">
        <v>1461</v>
      </c>
      <c r="C11" s="89" t="s">
        <v>1462</v>
      </c>
      <c r="D11" s="90">
        <v>1003</v>
      </c>
      <c r="E11" s="91">
        <v>10003</v>
      </c>
      <c r="F11" s="89" t="s">
        <v>1451</v>
      </c>
      <c r="G11" s="89" t="s">
        <v>1437</v>
      </c>
      <c r="H11" s="92">
        <v>4181019</v>
      </c>
      <c r="I11" s="93">
        <v>2428</v>
      </c>
      <c r="J11" s="89" t="s">
        <v>1438</v>
      </c>
      <c r="K11" s="89" t="s">
        <v>1439</v>
      </c>
      <c r="L11" s="94">
        <v>338</v>
      </c>
      <c r="M11" s="89"/>
      <c r="N11" s="95">
        <v>56</v>
      </c>
      <c r="O11" s="93"/>
      <c r="P11" s="96">
        <v>16.707100000000001</v>
      </c>
      <c r="Q11" s="93"/>
      <c r="R11" s="96">
        <v>3.5198</v>
      </c>
      <c r="S11" s="93"/>
      <c r="T11" s="96">
        <v>87.046400000000006</v>
      </c>
      <c r="U11" s="93"/>
      <c r="V11" s="92">
        <v>23317516</v>
      </c>
      <c r="W11" s="93"/>
      <c r="X11" s="97">
        <v>22746421</v>
      </c>
      <c r="Y11" s="93"/>
      <c r="Z11" s="92">
        <v>22203578</v>
      </c>
      <c r="AA11" s="93"/>
      <c r="AB11" s="92">
        <v>542843</v>
      </c>
      <c r="AC11" s="93"/>
      <c r="AD11" s="92">
        <v>1393950</v>
      </c>
      <c r="AE11" s="93"/>
      <c r="AF11" s="92">
        <v>1328990</v>
      </c>
      <c r="AG11" s="93"/>
      <c r="AH11" s="92">
        <v>64960</v>
      </c>
      <c r="AI11" s="93"/>
      <c r="AJ11" s="92">
        <v>3791070</v>
      </c>
      <c r="AK11" s="93"/>
      <c r="AL11" s="92">
        <v>3700596</v>
      </c>
      <c r="AM11" s="93"/>
      <c r="AN11" s="92">
        <v>253575</v>
      </c>
      <c r="AO11" s="93"/>
      <c r="AP11" s="98">
        <v>242748</v>
      </c>
      <c r="AQ11" s="93"/>
      <c r="AR11" s="92">
        <v>115683733</v>
      </c>
      <c r="AS11" s="93"/>
      <c r="AT11" s="97">
        <v>407181618</v>
      </c>
      <c r="AU11" s="89"/>
      <c r="AV11" s="99">
        <v>76.3</v>
      </c>
      <c r="AW11" s="89" t="s">
        <v>39</v>
      </c>
      <c r="AX11" s="89" t="s">
        <v>1440</v>
      </c>
    </row>
    <row r="12" spans="1:50">
      <c r="A12" s="89" t="s">
        <v>1460</v>
      </c>
      <c r="B12" s="89" t="s">
        <v>1461</v>
      </c>
      <c r="C12" s="89" t="s">
        <v>1462</v>
      </c>
      <c r="D12" s="90">
        <v>1003</v>
      </c>
      <c r="E12" s="91">
        <v>10003</v>
      </c>
      <c r="F12" s="89" t="s">
        <v>1451</v>
      </c>
      <c r="G12" s="89" t="s">
        <v>1437</v>
      </c>
      <c r="H12" s="92">
        <v>4181019</v>
      </c>
      <c r="I12" s="93">
        <v>2428</v>
      </c>
      <c r="J12" s="89" t="s">
        <v>1447</v>
      </c>
      <c r="K12" s="89" t="s">
        <v>1446</v>
      </c>
      <c r="L12" s="94">
        <v>436</v>
      </c>
      <c r="M12" s="89"/>
      <c r="N12" s="95">
        <v>67</v>
      </c>
      <c r="O12" s="93"/>
      <c r="P12" s="96">
        <v>29.729199999999999</v>
      </c>
      <c r="Q12" s="93"/>
      <c r="R12" s="96">
        <v>20.751000000000001</v>
      </c>
      <c r="S12" s="93"/>
      <c r="T12" s="96">
        <v>33.01</v>
      </c>
      <c r="U12" s="93"/>
      <c r="V12" s="92">
        <v>22195183</v>
      </c>
      <c r="W12" s="93"/>
      <c r="X12" s="97">
        <v>22810502</v>
      </c>
      <c r="Y12" s="93"/>
      <c r="Z12" s="92">
        <v>22300695</v>
      </c>
      <c r="AA12" s="93"/>
      <c r="AB12" s="92">
        <v>509807</v>
      </c>
      <c r="AC12" s="93"/>
      <c r="AD12" s="92">
        <v>768699</v>
      </c>
      <c r="AE12" s="93"/>
      <c r="AF12" s="92">
        <v>750128</v>
      </c>
      <c r="AG12" s="93"/>
      <c r="AH12" s="92">
        <v>18571</v>
      </c>
      <c r="AI12" s="93"/>
      <c r="AJ12" s="92">
        <v>4189947</v>
      </c>
      <c r="AK12" s="93"/>
      <c r="AL12" s="92">
        <v>4093393</v>
      </c>
      <c r="AM12" s="93"/>
      <c r="AN12" s="92">
        <v>141215</v>
      </c>
      <c r="AO12" s="93"/>
      <c r="AP12" s="98">
        <v>137738</v>
      </c>
      <c r="AQ12" s="93"/>
      <c r="AR12" s="92">
        <v>24761705</v>
      </c>
      <c r="AS12" s="93"/>
      <c r="AT12" s="97">
        <v>513830968</v>
      </c>
      <c r="AU12" s="89"/>
      <c r="AV12" s="99">
        <v>776.08</v>
      </c>
      <c r="AW12" s="89" t="s">
        <v>39</v>
      </c>
      <c r="AX12" s="89" t="s">
        <v>1440</v>
      </c>
    </row>
    <row r="13" spans="1:50">
      <c r="A13" s="89" t="s">
        <v>1464</v>
      </c>
      <c r="B13" s="89" t="s">
        <v>1465</v>
      </c>
      <c r="C13" s="89" t="s">
        <v>1466</v>
      </c>
      <c r="D13" s="90">
        <v>3019</v>
      </c>
      <c r="E13" s="91">
        <v>30019</v>
      </c>
      <c r="F13" s="89" t="s">
        <v>1451</v>
      </c>
      <c r="G13" s="89" t="s">
        <v>1437</v>
      </c>
      <c r="H13" s="92">
        <v>5441567</v>
      </c>
      <c r="I13" s="93">
        <v>2406</v>
      </c>
      <c r="J13" s="89" t="s">
        <v>1438</v>
      </c>
      <c r="K13" s="89" t="s">
        <v>1439</v>
      </c>
      <c r="L13" s="94">
        <v>286</v>
      </c>
      <c r="M13" s="89"/>
      <c r="N13" s="95">
        <v>61</v>
      </c>
      <c r="O13" s="93"/>
      <c r="P13" s="96">
        <v>17.097100000000001</v>
      </c>
      <c r="Q13" s="93"/>
      <c r="R13" s="96">
        <v>4.4253999999999998</v>
      </c>
      <c r="S13" s="93" t="s">
        <v>1458</v>
      </c>
      <c r="T13" s="96">
        <v>75.514099999999999</v>
      </c>
      <c r="U13" s="93" t="s">
        <v>1458</v>
      </c>
      <c r="V13" s="92">
        <v>16431036</v>
      </c>
      <c r="W13" s="93"/>
      <c r="X13" s="97">
        <v>16168711</v>
      </c>
      <c r="Y13" s="93"/>
      <c r="Z13" s="92">
        <v>16089713</v>
      </c>
      <c r="AA13" s="93"/>
      <c r="AB13" s="92">
        <v>78998</v>
      </c>
      <c r="AC13" s="93"/>
      <c r="AD13" s="92">
        <v>945947</v>
      </c>
      <c r="AE13" s="93"/>
      <c r="AF13" s="92">
        <v>941080</v>
      </c>
      <c r="AG13" s="93"/>
      <c r="AH13" s="92">
        <v>4867</v>
      </c>
      <c r="AI13" s="93"/>
      <c r="AJ13" s="92">
        <v>3121305</v>
      </c>
      <c r="AK13" s="93"/>
      <c r="AL13" s="92">
        <v>3101700</v>
      </c>
      <c r="AM13" s="93"/>
      <c r="AN13" s="92">
        <v>182557</v>
      </c>
      <c r="AO13" s="93"/>
      <c r="AP13" s="98">
        <v>181391</v>
      </c>
      <c r="AQ13" s="93"/>
      <c r="AR13" s="92">
        <v>71064786</v>
      </c>
      <c r="AS13" s="93" t="s">
        <v>1458</v>
      </c>
      <c r="AT13" s="97">
        <v>314489396</v>
      </c>
      <c r="AU13" s="89" t="s">
        <v>1458</v>
      </c>
      <c r="AV13" s="99">
        <v>74.900000000000006</v>
      </c>
      <c r="AW13" s="89" t="s">
        <v>39</v>
      </c>
      <c r="AX13" s="89" t="s">
        <v>1459</v>
      </c>
    </row>
    <row r="14" spans="1:50">
      <c r="A14" s="89" t="s">
        <v>1464</v>
      </c>
      <c r="B14" s="89" t="s">
        <v>1465</v>
      </c>
      <c r="C14" s="89" t="s">
        <v>1466</v>
      </c>
      <c r="D14" s="90">
        <v>3019</v>
      </c>
      <c r="E14" s="91">
        <v>30019</v>
      </c>
      <c r="F14" s="89" t="s">
        <v>1451</v>
      </c>
      <c r="G14" s="89" t="s">
        <v>1437</v>
      </c>
      <c r="H14" s="92">
        <v>5441567</v>
      </c>
      <c r="I14" s="93">
        <v>2406</v>
      </c>
      <c r="J14" s="89" t="s">
        <v>1447</v>
      </c>
      <c r="K14" s="89" t="s">
        <v>1439</v>
      </c>
      <c r="L14" s="94">
        <v>357</v>
      </c>
      <c r="M14" s="89"/>
      <c r="N14" s="95">
        <v>84</v>
      </c>
      <c r="O14" s="93"/>
      <c r="P14" s="96">
        <v>19.690899999999999</v>
      </c>
      <c r="Q14" s="93"/>
      <c r="R14" s="96">
        <v>13.449400000000001</v>
      </c>
      <c r="S14" s="93" t="s">
        <v>1458</v>
      </c>
      <c r="T14" s="96">
        <v>29.793900000000001</v>
      </c>
      <c r="U14" s="93" t="s">
        <v>1458</v>
      </c>
      <c r="V14" s="92">
        <v>16896038</v>
      </c>
      <c r="W14" s="93"/>
      <c r="X14" s="97">
        <v>17498310</v>
      </c>
      <c r="Y14" s="93"/>
      <c r="Z14" s="92">
        <v>16621821</v>
      </c>
      <c r="AA14" s="93"/>
      <c r="AB14" s="92">
        <v>876489</v>
      </c>
      <c r="AC14" s="93"/>
      <c r="AD14" s="92">
        <v>882766</v>
      </c>
      <c r="AE14" s="93"/>
      <c r="AF14" s="92">
        <v>844136</v>
      </c>
      <c r="AG14" s="93"/>
      <c r="AH14" s="92">
        <v>38630</v>
      </c>
      <c r="AI14" s="93"/>
      <c r="AJ14" s="92">
        <v>4453116</v>
      </c>
      <c r="AK14" s="93"/>
      <c r="AL14" s="92">
        <v>4225898</v>
      </c>
      <c r="AM14" s="93"/>
      <c r="AN14" s="92">
        <v>224140</v>
      </c>
      <c r="AO14" s="93"/>
      <c r="AP14" s="98">
        <v>214329</v>
      </c>
      <c r="AQ14" s="93"/>
      <c r="AR14" s="92">
        <v>25150117</v>
      </c>
      <c r="AS14" s="93" t="s">
        <v>1458</v>
      </c>
      <c r="AT14" s="97">
        <v>338253606</v>
      </c>
      <c r="AU14" s="89" t="s">
        <v>1458</v>
      </c>
      <c r="AV14" s="99">
        <v>446.94</v>
      </c>
      <c r="AW14" s="89" t="s">
        <v>39</v>
      </c>
      <c r="AX14" s="89" t="s">
        <v>1459</v>
      </c>
    </row>
    <row r="15" spans="1:50">
      <c r="A15" s="89" t="s">
        <v>1467</v>
      </c>
      <c r="B15" s="89" t="s">
        <v>1468</v>
      </c>
      <c r="C15" s="89" t="s">
        <v>1469</v>
      </c>
      <c r="D15" s="90">
        <v>6008</v>
      </c>
      <c r="E15" s="91">
        <v>60008</v>
      </c>
      <c r="F15" s="89" t="s">
        <v>1451</v>
      </c>
      <c r="G15" s="89" t="s">
        <v>1437</v>
      </c>
      <c r="H15" s="92">
        <v>4944332</v>
      </c>
      <c r="I15" s="93">
        <v>2157</v>
      </c>
      <c r="J15" s="89" t="s">
        <v>1445</v>
      </c>
      <c r="K15" s="89" t="s">
        <v>1439</v>
      </c>
      <c r="L15" s="94">
        <v>56</v>
      </c>
      <c r="M15" s="89"/>
      <c r="N15" s="95">
        <v>29</v>
      </c>
      <c r="O15" s="93"/>
      <c r="P15" s="96">
        <v>12.147399999999999</v>
      </c>
      <c r="Q15" s="93"/>
      <c r="R15" s="96">
        <v>2.9095</v>
      </c>
      <c r="S15" s="93"/>
      <c r="T15" s="96">
        <v>48.3795</v>
      </c>
      <c r="U15" s="93"/>
      <c r="V15" s="92">
        <v>3257209</v>
      </c>
      <c r="W15" s="93"/>
      <c r="X15" s="97">
        <v>3247125</v>
      </c>
      <c r="Y15" s="93"/>
      <c r="Z15" s="92">
        <v>3236011</v>
      </c>
      <c r="AA15" s="93"/>
      <c r="AB15" s="92">
        <v>11114</v>
      </c>
      <c r="AC15" s="93"/>
      <c r="AD15" s="92">
        <v>268268</v>
      </c>
      <c r="AE15" s="93"/>
      <c r="AF15" s="92">
        <v>266396</v>
      </c>
      <c r="AG15" s="93"/>
      <c r="AH15" s="92">
        <v>1872</v>
      </c>
      <c r="AI15" s="93"/>
      <c r="AJ15" s="92">
        <v>1940638</v>
      </c>
      <c r="AK15" s="93"/>
      <c r="AL15" s="92">
        <v>1929524</v>
      </c>
      <c r="AM15" s="93"/>
      <c r="AN15" s="92">
        <v>176143</v>
      </c>
      <c r="AO15" s="93"/>
      <c r="AP15" s="98">
        <v>174271</v>
      </c>
      <c r="AQ15" s="93"/>
      <c r="AR15" s="92">
        <v>12888105</v>
      </c>
      <c r="AS15" s="93"/>
      <c r="AT15" s="97">
        <v>37497523</v>
      </c>
      <c r="AU15" s="89"/>
      <c r="AV15" s="99">
        <v>43.59</v>
      </c>
      <c r="AW15" s="89" t="s">
        <v>39</v>
      </c>
      <c r="AX15" s="89" t="s">
        <v>1440</v>
      </c>
    </row>
    <row r="16" spans="1:50">
      <c r="A16" s="89" t="s">
        <v>1470</v>
      </c>
      <c r="B16" s="89" t="s">
        <v>1471</v>
      </c>
      <c r="C16" s="89" t="s">
        <v>1472</v>
      </c>
      <c r="D16" s="90">
        <v>3034</v>
      </c>
      <c r="E16" s="91">
        <v>30034</v>
      </c>
      <c r="F16" s="89" t="s">
        <v>1473</v>
      </c>
      <c r="G16" s="89" t="s">
        <v>1437</v>
      </c>
      <c r="H16" s="92">
        <v>2203663</v>
      </c>
      <c r="I16" s="93">
        <v>1888</v>
      </c>
      <c r="J16" s="89" t="s">
        <v>1445</v>
      </c>
      <c r="K16" s="89" t="s">
        <v>1439</v>
      </c>
      <c r="L16" s="94">
        <v>38</v>
      </c>
      <c r="M16" s="89"/>
      <c r="N16" s="95">
        <v>18</v>
      </c>
      <c r="O16" s="93"/>
      <c r="P16" s="96">
        <v>19.6769</v>
      </c>
      <c r="Q16" s="93"/>
      <c r="R16" s="96">
        <v>5.7127999999999997</v>
      </c>
      <c r="S16" s="93" t="s">
        <v>1458</v>
      </c>
      <c r="T16" s="96">
        <v>35.373800000000003</v>
      </c>
      <c r="U16" s="93"/>
      <c r="V16" s="92">
        <v>2774375</v>
      </c>
      <c r="W16" s="93"/>
      <c r="X16" s="97">
        <v>2676810</v>
      </c>
      <c r="Y16" s="93"/>
      <c r="Z16" s="92">
        <v>2588105</v>
      </c>
      <c r="AA16" s="93"/>
      <c r="AB16" s="92">
        <v>88705</v>
      </c>
      <c r="AC16" s="93"/>
      <c r="AD16" s="92">
        <v>138492</v>
      </c>
      <c r="AE16" s="93"/>
      <c r="AF16" s="92">
        <v>131530</v>
      </c>
      <c r="AG16" s="93"/>
      <c r="AH16" s="92">
        <v>6962</v>
      </c>
      <c r="AI16" s="93"/>
      <c r="AJ16" s="92">
        <v>1046361</v>
      </c>
      <c r="AK16" s="93"/>
      <c r="AL16" s="92">
        <v>1044905</v>
      </c>
      <c r="AM16" s="93"/>
      <c r="AN16" s="92">
        <v>58730</v>
      </c>
      <c r="AO16" s="93"/>
      <c r="AP16" s="98">
        <v>58193</v>
      </c>
      <c r="AQ16" s="93"/>
      <c r="AR16" s="92">
        <v>4652718</v>
      </c>
      <c r="AS16" s="93"/>
      <c r="AT16" s="97">
        <v>26579844</v>
      </c>
      <c r="AU16" s="89" t="s">
        <v>1458</v>
      </c>
      <c r="AV16" s="99">
        <v>57.6</v>
      </c>
      <c r="AW16" s="89" t="s">
        <v>39</v>
      </c>
      <c r="AX16" s="89" t="s">
        <v>1459</v>
      </c>
    </row>
    <row r="17" spans="1:50">
      <c r="A17" s="89" t="s">
        <v>1470</v>
      </c>
      <c r="B17" s="89" t="s">
        <v>1471</v>
      </c>
      <c r="C17" s="89" t="s">
        <v>1472</v>
      </c>
      <c r="D17" s="90">
        <v>3034</v>
      </c>
      <c r="E17" s="91">
        <v>30034</v>
      </c>
      <c r="F17" s="89" t="s">
        <v>1473</v>
      </c>
      <c r="G17" s="89" t="s">
        <v>1437</v>
      </c>
      <c r="H17" s="92">
        <v>2203663</v>
      </c>
      <c r="I17" s="93">
        <v>1888</v>
      </c>
      <c r="J17" s="89" t="s">
        <v>1438</v>
      </c>
      <c r="K17" s="89" t="s">
        <v>1439</v>
      </c>
      <c r="L17" s="94">
        <v>54</v>
      </c>
      <c r="M17" s="89"/>
      <c r="N17" s="95">
        <v>9</v>
      </c>
      <c r="O17" s="93"/>
      <c r="P17" s="96">
        <v>26.092600000000001</v>
      </c>
      <c r="Q17" s="93"/>
      <c r="R17" s="96">
        <v>4.7674000000000003</v>
      </c>
      <c r="S17" s="93" t="s">
        <v>1458</v>
      </c>
      <c r="T17" s="96">
        <v>36.698</v>
      </c>
      <c r="U17" s="93"/>
      <c r="V17" s="92">
        <v>4289979</v>
      </c>
      <c r="W17" s="93"/>
      <c r="X17" s="97">
        <v>4659371</v>
      </c>
      <c r="Y17" s="93"/>
      <c r="Z17" s="92">
        <v>4169492</v>
      </c>
      <c r="AA17" s="93"/>
      <c r="AB17" s="92">
        <v>489879</v>
      </c>
      <c r="AC17" s="93"/>
      <c r="AD17" s="92">
        <v>180401</v>
      </c>
      <c r="AE17" s="93"/>
      <c r="AF17" s="92">
        <v>159796</v>
      </c>
      <c r="AG17" s="93"/>
      <c r="AH17" s="92">
        <v>20605</v>
      </c>
      <c r="AI17" s="93"/>
      <c r="AJ17" s="92">
        <v>845652</v>
      </c>
      <c r="AK17" s="93"/>
      <c r="AL17" s="92">
        <v>734915</v>
      </c>
      <c r="AM17" s="93"/>
      <c r="AN17" s="92">
        <v>32887</v>
      </c>
      <c r="AO17" s="93"/>
      <c r="AP17" s="98">
        <v>28462</v>
      </c>
      <c r="AQ17" s="93"/>
      <c r="AR17" s="92">
        <v>5864191</v>
      </c>
      <c r="AS17" s="93"/>
      <c r="AT17" s="97">
        <v>27957087</v>
      </c>
      <c r="AU17" s="89" t="s">
        <v>1458</v>
      </c>
      <c r="AV17" s="99">
        <v>29.4</v>
      </c>
      <c r="AW17" s="89" t="s">
        <v>39</v>
      </c>
      <c r="AX17" s="89" t="s">
        <v>1459</v>
      </c>
    </row>
    <row r="18" spans="1:50">
      <c r="A18" s="89" t="s">
        <v>1470</v>
      </c>
      <c r="B18" s="89" t="s">
        <v>1471</v>
      </c>
      <c r="C18" s="89" t="s">
        <v>1472</v>
      </c>
      <c r="D18" s="90">
        <v>3034</v>
      </c>
      <c r="E18" s="91">
        <v>30034</v>
      </c>
      <c r="F18" s="89" t="s">
        <v>1473</v>
      </c>
      <c r="G18" s="89" t="s">
        <v>1437</v>
      </c>
      <c r="H18" s="92">
        <v>2203663</v>
      </c>
      <c r="I18" s="93">
        <v>1888</v>
      </c>
      <c r="J18" s="89" t="s">
        <v>1447</v>
      </c>
      <c r="K18" s="89" t="s">
        <v>1446</v>
      </c>
      <c r="L18" s="94">
        <v>149</v>
      </c>
      <c r="M18" s="89"/>
      <c r="N18" s="95">
        <v>28</v>
      </c>
      <c r="O18" s="93"/>
      <c r="P18" s="96">
        <v>38.328299999999999</v>
      </c>
      <c r="Q18" s="93"/>
      <c r="R18" s="96">
        <v>29.584599999999998</v>
      </c>
      <c r="S18" s="93" t="s">
        <v>1458</v>
      </c>
      <c r="T18" s="96">
        <v>45.747900000000001</v>
      </c>
      <c r="U18" s="93"/>
      <c r="V18" s="92">
        <v>6001808</v>
      </c>
      <c r="W18" s="93"/>
      <c r="X18" s="97">
        <v>5996542</v>
      </c>
      <c r="Y18" s="93"/>
      <c r="Z18" s="92">
        <v>5596811</v>
      </c>
      <c r="AA18" s="93"/>
      <c r="AB18" s="92">
        <v>399731</v>
      </c>
      <c r="AC18" s="93"/>
      <c r="AD18" s="92">
        <v>155174</v>
      </c>
      <c r="AE18" s="93"/>
      <c r="AF18" s="92">
        <v>146023</v>
      </c>
      <c r="AG18" s="93"/>
      <c r="AH18" s="92">
        <v>9151</v>
      </c>
      <c r="AI18" s="93"/>
      <c r="AJ18" s="92">
        <v>1094365</v>
      </c>
      <c r="AK18" s="93"/>
      <c r="AL18" s="92">
        <v>1036558</v>
      </c>
      <c r="AM18" s="93"/>
      <c r="AN18" s="92">
        <v>30902</v>
      </c>
      <c r="AO18" s="93"/>
      <c r="AP18" s="98">
        <v>28513</v>
      </c>
      <c r="AQ18" s="93"/>
      <c r="AR18" s="92">
        <v>6680248</v>
      </c>
      <c r="AS18" s="93"/>
      <c r="AT18" s="97">
        <v>197632189</v>
      </c>
      <c r="AU18" s="89" t="s">
        <v>1458</v>
      </c>
      <c r="AV18" s="99">
        <v>400.4</v>
      </c>
      <c r="AW18" s="89" t="s">
        <v>39</v>
      </c>
      <c r="AX18" s="89" t="s">
        <v>1459</v>
      </c>
    </row>
    <row r="19" spans="1:50">
      <c r="A19" s="89" t="s">
        <v>1474</v>
      </c>
      <c r="B19" s="89" t="s">
        <v>1475</v>
      </c>
      <c r="C19" s="89" t="s">
        <v>1476</v>
      </c>
      <c r="D19" s="90">
        <v>4034</v>
      </c>
      <c r="E19" s="91">
        <v>40034</v>
      </c>
      <c r="F19" s="89" t="s">
        <v>1477</v>
      </c>
      <c r="G19" s="89" t="s">
        <v>1437</v>
      </c>
      <c r="H19" s="92">
        <v>5502379</v>
      </c>
      <c r="I19" s="93">
        <v>1452</v>
      </c>
      <c r="J19" s="89" t="s">
        <v>1438</v>
      </c>
      <c r="K19" s="89" t="s">
        <v>1439</v>
      </c>
      <c r="L19" s="94">
        <v>76</v>
      </c>
      <c r="M19" s="89"/>
      <c r="N19" s="95">
        <v>18</v>
      </c>
      <c r="O19" s="93"/>
      <c r="P19" s="96">
        <v>21.7622</v>
      </c>
      <c r="Q19" s="93"/>
      <c r="R19" s="96">
        <v>7.3830999999999998</v>
      </c>
      <c r="S19" s="93" t="s">
        <v>1458</v>
      </c>
      <c r="T19" s="96">
        <v>35.960099999999997</v>
      </c>
      <c r="U19" s="93"/>
      <c r="V19" s="92">
        <v>7212362</v>
      </c>
      <c r="W19" s="93"/>
      <c r="X19" s="97">
        <v>7598157</v>
      </c>
      <c r="Y19" s="93"/>
      <c r="Z19" s="92">
        <v>7178627</v>
      </c>
      <c r="AA19" s="93"/>
      <c r="AB19" s="92">
        <v>419530</v>
      </c>
      <c r="AC19" s="93"/>
      <c r="AD19" s="92">
        <v>362201</v>
      </c>
      <c r="AE19" s="93"/>
      <c r="AF19" s="92">
        <v>329867</v>
      </c>
      <c r="AG19" s="93"/>
      <c r="AH19" s="92">
        <v>32334</v>
      </c>
      <c r="AI19" s="93"/>
      <c r="AJ19" s="92">
        <v>1899556</v>
      </c>
      <c r="AK19" s="93"/>
      <c r="AL19" s="92">
        <v>1794673</v>
      </c>
      <c r="AM19" s="93"/>
      <c r="AN19" s="92">
        <v>90549</v>
      </c>
      <c r="AO19" s="93"/>
      <c r="AP19" s="98">
        <v>82465</v>
      </c>
      <c r="AQ19" s="93"/>
      <c r="AR19" s="92">
        <v>11862059</v>
      </c>
      <c r="AS19" s="93"/>
      <c r="AT19" s="97">
        <v>87578321</v>
      </c>
      <c r="AU19" s="89" t="s">
        <v>1458</v>
      </c>
      <c r="AV19" s="99">
        <v>49.84</v>
      </c>
      <c r="AW19" s="89" t="s">
        <v>39</v>
      </c>
      <c r="AX19" s="89" t="s">
        <v>1459</v>
      </c>
    </row>
    <row r="20" spans="1:50">
      <c r="A20" s="89" t="s">
        <v>1478</v>
      </c>
      <c r="B20" s="89" t="s">
        <v>1479</v>
      </c>
      <c r="C20" s="89" t="s">
        <v>1480</v>
      </c>
      <c r="D20" s="90">
        <v>8006</v>
      </c>
      <c r="E20" s="91">
        <v>80006</v>
      </c>
      <c r="F20" s="89" t="s">
        <v>1451</v>
      </c>
      <c r="G20" s="89" t="s">
        <v>1437</v>
      </c>
      <c r="H20" s="92">
        <v>2374203</v>
      </c>
      <c r="I20" s="93">
        <v>1431</v>
      </c>
      <c r="J20" s="89" t="s">
        <v>1445</v>
      </c>
      <c r="K20" s="89" t="s">
        <v>1439</v>
      </c>
      <c r="L20" s="94">
        <v>156</v>
      </c>
      <c r="M20" s="89"/>
      <c r="N20" s="95">
        <v>41</v>
      </c>
      <c r="O20" s="93"/>
      <c r="P20" s="96">
        <v>17.200199999999999</v>
      </c>
      <c r="Q20" s="93"/>
      <c r="R20" s="96">
        <v>6.9672999999999998</v>
      </c>
      <c r="S20" s="93"/>
      <c r="T20" s="96">
        <v>19.858599999999999</v>
      </c>
      <c r="U20" s="93"/>
      <c r="V20" s="92">
        <v>9004264</v>
      </c>
      <c r="W20" s="93"/>
      <c r="X20" s="97">
        <v>9327859</v>
      </c>
      <c r="Y20" s="93"/>
      <c r="Z20" s="92">
        <v>9063803</v>
      </c>
      <c r="AA20" s="93"/>
      <c r="AB20" s="92">
        <v>264056</v>
      </c>
      <c r="AC20" s="93"/>
      <c r="AD20" s="92">
        <v>590892</v>
      </c>
      <c r="AE20" s="93"/>
      <c r="AF20" s="92">
        <v>526960</v>
      </c>
      <c r="AG20" s="93"/>
      <c r="AH20" s="92">
        <v>63932</v>
      </c>
      <c r="AI20" s="93"/>
      <c r="AJ20" s="92">
        <v>3900081</v>
      </c>
      <c r="AK20" s="93"/>
      <c r="AL20" s="92">
        <v>3745938</v>
      </c>
      <c r="AM20" s="93"/>
      <c r="AN20" s="92">
        <v>267096</v>
      </c>
      <c r="AO20" s="93"/>
      <c r="AP20" s="98">
        <v>226007</v>
      </c>
      <c r="AQ20" s="93"/>
      <c r="AR20" s="92">
        <v>10464678</v>
      </c>
      <c r="AS20" s="93"/>
      <c r="AT20" s="97">
        <v>72910951</v>
      </c>
      <c r="AU20" s="89"/>
      <c r="AV20" s="99">
        <v>119.78</v>
      </c>
      <c r="AW20" s="89" t="s">
        <v>39</v>
      </c>
      <c r="AX20" s="89" t="s">
        <v>1440</v>
      </c>
    </row>
    <row r="21" spans="1:50">
      <c r="A21" s="89" t="s">
        <v>1478</v>
      </c>
      <c r="B21" s="89" t="s">
        <v>1479</v>
      </c>
      <c r="C21" s="89" t="s">
        <v>1480</v>
      </c>
      <c r="D21" s="90">
        <v>8006</v>
      </c>
      <c r="E21" s="91">
        <v>80006</v>
      </c>
      <c r="F21" s="89" t="s">
        <v>1451</v>
      </c>
      <c r="G21" s="89" t="s">
        <v>1437</v>
      </c>
      <c r="H21" s="92">
        <v>2374203</v>
      </c>
      <c r="I21" s="93">
        <v>1431</v>
      </c>
      <c r="J21" s="89" t="s">
        <v>1447</v>
      </c>
      <c r="K21" s="89" t="s">
        <v>1446</v>
      </c>
      <c r="L21" s="94">
        <v>44</v>
      </c>
      <c r="M21" s="89"/>
      <c r="N21" s="95">
        <v>12</v>
      </c>
      <c r="O21" s="93"/>
      <c r="P21" s="96">
        <v>27.563099999999999</v>
      </c>
      <c r="Q21" s="93"/>
      <c r="R21" s="96">
        <v>11.5166</v>
      </c>
      <c r="S21" s="93"/>
      <c r="T21" s="96">
        <v>21.7837</v>
      </c>
      <c r="U21" s="93"/>
      <c r="V21" s="92">
        <v>6222945</v>
      </c>
      <c r="W21" s="93"/>
      <c r="X21" s="97">
        <v>6197643</v>
      </c>
      <c r="Y21" s="93"/>
      <c r="Z21" s="92">
        <v>6048702</v>
      </c>
      <c r="AA21" s="93"/>
      <c r="AB21" s="92">
        <v>148941</v>
      </c>
      <c r="AC21" s="93"/>
      <c r="AD21" s="92">
        <v>228257</v>
      </c>
      <c r="AE21" s="93"/>
      <c r="AF21" s="92">
        <v>219449</v>
      </c>
      <c r="AG21" s="93"/>
      <c r="AH21" s="92">
        <v>8808</v>
      </c>
      <c r="AI21" s="93"/>
      <c r="AJ21" s="92">
        <v>2010537</v>
      </c>
      <c r="AK21" s="93"/>
      <c r="AL21" s="92">
        <v>1917204</v>
      </c>
      <c r="AM21" s="93"/>
      <c r="AN21" s="92">
        <v>74540</v>
      </c>
      <c r="AO21" s="93"/>
      <c r="AP21" s="98">
        <v>70293</v>
      </c>
      <c r="AQ21" s="93"/>
      <c r="AR21" s="92">
        <v>4780402</v>
      </c>
      <c r="AS21" s="93"/>
      <c r="AT21" s="97">
        <v>55053882</v>
      </c>
      <c r="AU21" s="89"/>
      <c r="AV21" s="99">
        <v>72.760000000000005</v>
      </c>
      <c r="AW21" s="89" t="s">
        <v>39</v>
      </c>
      <c r="AX21" s="89" t="s">
        <v>1440</v>
      </c>
    </row>
    <row r="22" spans="1:50">
      <c r="A22" s="89" t="s">
        <v>1478</v>
      </c>
      <c r="B22" s="89" t="s">
        <v>1479</v>
      </c>
      <c r="C22" s="89" t="s">
        <v>1480</v>
      </c>
      <c r="D22" s="90">
        <v>8006</v>
      </c>
      <c r="E22" s="91">
        <v>80006</v>
      </c>
      <c r="F22" s="89" t="s">
        <v>1451</v>
      </c>
      <c r="G22" s="89" t="s">
        <v>1437</v>
      </c>
      <c r="H22" s="92">
        <v>2374203</v>
      </c>
      <c r="I22" s="93">
        <v>1431</v>
      </c>
      <c r="J22" s="89" t="s">
        <v>1447</v>
      </c>
      <c r="K22" s="89" t="s">
        <v>1439</v>
      </c>
      <c r="L22" s="94">
        <v>8</v>
      </c>
      <c r="M22" s="89"/>
      <c r="N22" s="95">
        <v>3</v>
      </c>
      <c r="O22" s="93"/>
      <c r="P22" s="96">
        <v>20.484200000000001</v>
      </c>
      <c r="Q22" s="93"/>
      <c r="R22" s="96">
        <v>8.6130999999999993</v>
      </c>
      <c r="S22" s="93"/>
      <c r="T22" s="96">
        <v>18.016100000000002</v>
      </c>
      <c r="U22" s="93"/>
      <c r="V22" s="92">
        <v>203262</v>
      </c>
      <c r="W22" s="93"/>
      <c r="X22" s="97">
        <v>223786</v>
      </c>
      <c r="Y22" s="93"/>
      <c r="Z22" s="92">
        <v>197570</v>
      </c>
      <c r="AA22" s="93"/>
      <c r="AB22" s="92">
        <v>26216</v>
      </c>
      <c r="AC22" s="93"/>
      <c r="AD22" s="92">
        <v>12511</v>
      </c>
      <c r="AE22" s="93"/>
      <c r="AF22" s="92">
        <v>9645</v>
      </c>
      <c r="AG22" s="93"/>
      <c r="AH22" s="92">
        <v>2866</v>
      </c>
      <c r="AI22" s="93"/>
      <c r="AJ22" s="92">
        <v>115030</v>
      </c>
      <c r="AK22" s="93"/>
      <c r="AL22" s="92">
        <v>98743</v>
      </c>
      <c r="AM22" s="93"/>
      <c r="AN22" s="92">
        <v>6243</v>
      </c>
      <c r="AO22" s="93"/>
      <c r="AP22" s="98">
        <v>4937</v>
      </c>
      <c r="AQ22" s="93"/>
      <c r="AR22" s="92">
        <v>173765</v>
      </c>
      <c r="AS22" s="93"/>
      <c r="AT22" s="97">
        <v>1496661</v>
      </c>
      <c r="AU22" s="89"/>
      <c r="AV22" s="99">
        <v>26.32</v>
      </c>
      <c r="AW22" s="89" t="s">
        <v>39</v>
      </c>
      <c r="AX22" s="89" t="s">
        <v>1440</v>
      </c>
    </row>
    <row r="23" spans="1:50">
      <c r="A23" s="89" t="s">
        <v>1481</v>
      </c>
      <c r="B23" s="89" t="s">
        <v>1482</v>
      </c>
      <c r="C23" s="89" t="s">
        <v>1435</v>
      </c>
      <c r="D23" s="90">
        <v>2078</v>
      </c>
      <c r="E23" s="91">
        <v>20078</v>
      </c>
      <c r="F23" s="89" t="s">
        <v>1436</v>
      </c>
      <c r="G23" s="89" t="s">
        <v>1437</v>
      </c>
      <c r="H23" s="92">
        <v>18351295</v>
      </c>
      <c r="I23" s="93">
        <v>1133</v>
      </c>
      <c r="J23" s="89" t="s">
        <v>1447</v>
      </c>
      <c r="K23" s="89" t="s">
        <v>1439</v>
      </c>
      <c r="L23" s="94">
        <v>1122</v>
      </c>
      <c r="M23" s="89"/>
      <c r="N23" s="95">
        <v>135</v>
      </c>
      <c r="O23" s="93"/>
      <c r="P23" s="96">
        <v>31.299700000000001</v>
      </c>
      <c r="Q23" s="93"/>
      <c r="R23" s="96">
        <v>22.852399999999999</v>
      </c>
      <c r="S23" s="93" t="s">
        <v>1458</v>
      </c>
      <c r="T23" s="96">
        <v>18.882400000000001</v>
      </c>
      <c r="U23" s="93"/>
      <c r="V23" s="92">
        <v>47488237</v>
      </c>
      <c r="W23" s="93"/>
      <c r="X23" s="97">
        <v>53139671</v>
      </c>
      <c r="Y23" s="93"/>
      <c r="Z23" s="92">
        <v>48719168</v>
      </c>
      <c r="AA23" s="93"/>
      <c r="AB23" s="92">
        <v>4420503</v>
      </c>
      <c r="AC23" s="93"/>
      <c r="AD23" s="92">
        <v>1709469</v>
      </c>
      <c r="AE23" s="93"/>
      <c r="AF23" s="92">
        <v>1556539</v>
      </c>
      <c r="AG23" s="93"/>
      <c r="AH23" s="92">
        <v>152930</v>
      </c>
      <c r="AI23" s="93"/>
      <c r="AJ23" s="92">
        <v>7201726</v>
      </c>
      <c r="AK23" s="93"/>
      <c r="AL23" s="92">
        <v>6564652</v>
      </c>
      <c r="AM23" s="93"/>
      <c r="AN23" s="92">
        <v>225218</v>
      </c>
      <c r="AO23" s="93"/>
      <c r="AP23" s="98">
        <v>203440</v>
      </c>
      <c r="AQ23" s="93"/>
      <c r="AR23" s="92">
        <v>29391259</v>
      </c>
      <c r="AS23" s="93"/>
      <c r="AT23" s="97">
        <v>671661254</v>
      </c>
      <c r="AU23" s="89" t="s">
        <v>1458</v>
      </c>
      <c r="AV23" s="99">
        <v>545.74</v>
      </c>
      <c r="AW23" s="89" t="s">
        <v>39</v>
      </c>
      <c r="AX23" s="89" t="s">
        <v>1459</v>
      </c>
    </row>
    <row r="24" spans="1:50">
      <c r="A24" s="89" t="s">
        <v>1483</v>
      </c>
      <c r="B24" s="89" t="s">
        <v>1484</v>
      </c>
      <c r="C24" s="89" t="s">
        <v>1469</v>
      </c>
      <c r="D24" s="90">
        <v>6056</v>
      </c>
      <c r="E24" s="91">
        <v>60056</v>
      </c>
      <c r="F24" s="89" t="s">
        <v>1451</v>
      </c>
      <c r="G24" s="89" t="s">
        <v>1437</v>
      </c>
      <c r="H24" s="92">
        <v>5121892</v>
      </c>
      <c r="I24" s="93">
        <v>1082</v>
      </c>
      <c r="J24" s="89" t="s">
        <v>1445</v>
      </c>
      <c r="K24" s="89" t="s">
        <v>1439</v>
      </c>
      <c r="L24" s="94">
        <v>117</v>
      </c>
      <c r="M24" s="89"/>
      <c r="N24" s="95">
        <v>44</v>
      </c>
      <c r="O24" s="93"/>
      <c r="P24" s="96">
        <v>20.510100000000001</v>
      </c>
      <c r="Q24" s="93"/>
      <c r="R24" s="96">
        <v>8.1821999999999999</v>
      </c>
      <c r="S24" s="93"/>
      <c r="T24" s="96">
        <v>41.742400000000004</v>
      </c>
      <c r="U24" s="93"/>
      <c r="V24" s="92">
        <v>9953657</v>
      </c>
      <c r="W24" s="93"/>
      <c r="X24" s="97">
        <v>9937246</v>
      </c>
      <c r="Y24" s="93"/>
      <c r="Z24" s="92">
        <v>9866803</v>
      </c>
      <c r="AA24" s="93"/>
      <c r="AB24" s="92">
        <v>70443</v>
      </c>
      <c r="AC24" s="93"/>
      <c r="AD24" s="92">
        <v>486886</v>
      </c>
      <c r="AE24" s="93"/>
      <c r="AF24" s="92">
        <v>481071</v>
      </c>
      <c r="AG24" s="93"/>
      <c r="AH24" s="92">
        <v>5815</v>
      </c>
      <c r="AI24" s="93"/>
      <c r="AJ24" s="92">
        <v>5348975</v>
      </c>
      <c r="AK24" s="93"/>
      <c r="AL24" s="92">
        <v>5310292</v>
      </c>
      <c r="AM24" s="93"/>
      <c r="AN24" s="92">
        <v>261692</v>
      </c>
      <c r="AO24" s="93"/>
      <c r="AP24" s="98">
        <v>258495</v>
      </c>
      <c r="AQ24" s="93"/>
      <c r="AR24" s="92">
        <v>20081036</v>
      </c>
      <c r="AS24" s="93"/>
      <c r="AT24" s="97">
        <v>164306746</v>
      </c>
      <c r="AU24" s="89"/>
      <c r="AV24" s="99">
        <v>182.44</v>
      </c>
      <c r="AW24" s="89" t="s">
        <v>39</v>
      </c>
      <c r="AX24" s="89" t="s">
        <v>1440</v>
      </c>
    </row>
    <row r="25" spans="1:50">
      <c r="A25" s="89" t="s">
        <v>1483</v>
      </c>
      <c r="B25" s="89" t="s">
        <v>1484</v>
      </c>
      <c r="C25" s="89" t="s">
        <v>1469</v>
      </c>
      <c r="D25" s="90">
        <v>6056</v>
      </c>
      <c r="E25" s="91">
        <v>60056</v>
      </c>
      <c r="F25" s="89" t="s">
        <v>1451</v>
      </c>
      <c r="G25" s="89" t="s">
        <v>1437</v>
      </c>
      <c r="H25" s="92">
        <v>5121892</v>
      </c>
      <c r="I25" s="93">
        <v>1082</v>
      </c>
      <c r="J25" s="89" t="s">
        <v>1447</v>
      </c>
      <c r="K25" s="89" t="s">
        <v>1446</v>
      </c>
      <c r="L25" s="94">
        <v>23</v>
      </c>
      <c r="M25" s="89"/>
      <c r="N25" s="95">
        <v>3</v>
      </c>
      <c r="O25" s="93"/>
      <c r="P25" s="96">
        <v>22.474</v>
      </c>
      <c r="Q25" s="93"/>
      <c r="R25" s="96">
        <v>17.300799999999999</v>
      </c>
      <c r="S25" s="93"/>
      <c r="T25" s="96">
        <v>20.252400000000002</v>
      </c>
      <c r="U25" s="93"/>
      <c r="V25" s="92">
        <v>1390207</v>
      </c>
      <c r="W25" s="93"/>
      <c r="X25" s="97">
        <v>1437340</v>
      </c>
      <c r="Y25" s="93"/>
      <c r="Z25" s="92">
        <v>1404961</v>
      </c>
      <c r="AA25" s="93"/>
      <c r="AB25" s="92">
        <v>32379</v>
      </c>
      <c r="AC25" s="93"/>
      <c r="AD25" s="92">
        <v>63773</v>
      </c>
      <c r="AE25" s="93"/>
      <c r="AF25" s="92">
        <v>62515</v>
      </c>
      <c r="AG25" s="93"/>
      <c r="AH25" s="92">
        <v>1258</v>
      </c>
      <c r="AI25" s="93"/>
      <c r="AJ25" s="92">
        <v>506768</v>
      </c>
      <c r="AK25" s="93"/>
      <c r="AL25" s="92">
        <v>495677</v>
      </c>
      <c r="AM25" s="93"/>
      <c r="AN25" s="92">
        <v>22535</v>
      </c>
      <c r="AO25" s="93"/>
      <c r="AP25" s="98">
        <v>22090</v>
      </c>
      <c r="AQ25" s="93"/>
      <c r="AR25" s="92">
        <v>1266076</v>
      </c>
      <c r="AS25" s="93"/>
      <c r="AT25" s="97">
        <v>21904126</v>
      </c>
      <c r="AU25" s="89"/>
      <c r="AV25" s="99">
        <v>72.3</v>
      </c>
      <c r="AW25" s="89" t="s">
        <v>39</v>
      </c>
      <c r="AX25" s="89" t="s">
        <v>1440</v>
      </c>
    </row>
    <row r="26" spans="1:50">
      <c r="A26" s="89" t="s">
        <v>1485</v>
      </c>
      <c r="B26" s="89" t="s">
        <v>1486</v>
      </c>
      <c r="C26" s="89" t="s">
        <v>1487</v>
      </c>
      <c r="D26" s="90">
        <v>8001</v>
      </c>
      <c r="E26" s="91">
        <v>80001</v>
      </c>
      <c r="F26" s="89" t="s">
        <v>1451</v>
      </c>
      <c r="G26" s="89" t="s">
        <v>1437</v>
      </c>
      <c r="H26" s="92">
        <v>1021243</v>
      </c>
      <c r="I26" s="93">
        <v>1081</v>
      </c>
      <c r="J26" s="89" t="s">
        <v>1445</v>
      </c>
      <c r="K26" s="89" t="s">
        <v>1439</v>
      </c>
      <c r="L26" s="94">
        <v>89</v>
      </c>
      <c r="M26" s="89"/>
      <c r="N26" s="95">
        <v>22</v>
      </c>
      <c r="O26" s="93"/>
      <c r="P26" s="96">
        <v>17.192799999999998</v>
      </c>
      <c r="Q26" s="93"/>
      <c r="R26" s="96">
        <v>4.7436999999999996</v>
      </c>
      <c r="S26" s="93"/>
      <c r="T26" s="96">
        <v>23.191400000000002</v>
      </c>
      <c r="U26" s="93"/>
      <c r="V26" s="92">
        <v>6112222</v>
      </c>
      <c r="W26" s="93"/>
      <c r="X26" s="97">
        <v>6204641</v>
      </c>
      <c r="Y26" s="93"/>
      <c r="Z26" s="92">
        <v>6114108</v>
      </c>
      <c r="AA26" s="93"/>
      <c r="AB26" s="92">
        <v>90533</v>
      </c>
      <c r="AC26" s="93"/>
      <c r="AD26" s="92">
        <v>367255</v>
      </c>
      <c r="AE26" s="93"/>
      <c r="AF26" s="92">
        <v>355621</v>
      </c>
      <c r="AG26" s="93"/>
      <c r="AH26" s="92">
        <v>11634</v>
      </c>
      <c r="AI26" s="93"/>
      <c r="AJ26" s="92">
        <v>2255583</v>
      </c>
      <c r="AK26" s="93"/>
      <c r="AL26" s="92">
        <v>2223959</v>
      </c>
      <c r="AM26" s="93"/>
      <c r="AN26" s="92">
        <v>136213</v>
      </c>
      <c r="AO26" s="93"/>
      <c r="AP26" s="98">
        <v>131989</v>
      </c>
      <c r="AQ26" s="93"/>
      <c r="AR26" s="92">
        <v>8247364</v>
      </c>
      <c r="AS26" s="93"/>
      <c r="AT26" s="97">
        <v>39122864</v>
      </c>
      <c r="AU26" s="89"/>
      <c r="AV26" s="99">
        <v>93.91</v>
      </c>
      <c r="AW26" s="89" t="s">
        <v>39</v>
      </c>
      <c r="AX26" s="89" t="s">
        <v>1440</v>
      </c>
    </row>
    <row r="27" spans="1:50">
      <c r="A27" s="89" t="s">
        <v>1485</v>
      </c>
      <c r="B27" s="89" t="s">
        <v>1486</v>
      </c>
      <c r="C27" s="89" t="s">
        <v>1487</v>
      </c>
      <c r="D27" s="90">
        <v>8001</v>
      </c>
      <c r="E27" s="91">
        <v>80001</v>
      </c>
      <c r="F27" s="89" t="s">
        <v>1451</v>
      </c>
      <c r="G27" s="89" t="s">
        <v>1437</v>
      </c>
      <c r="H27" s="92">
        <v>1021243</v>
      </c>
      <c r="I27" s="93">
        <v>1081</v>
      </c>
      <c r="J27" s="89" t="s">
        <v>1447</v>
      </c>
      <c r="K27" s="89" t="s">
        <v>1439</v>
      </c>
      <c r="L27" s="94">
        <v>50</v>
      </c>
      <c r="M27" s="89"/>
      <c r="N27" s="95">
        <v>9</v>
      </c>
      <c r="O27" s="93"/>
      <c r="P27" s="96">
        <v>32.473599999999998</v>
      </c>
      <c r="Q27" s="93"/>
      <c r="R27" s="96">
        <v>25.643899999999999</v>
      </c>
      <c r="S27" s="93"/>
      <c r="T27" s="96">
        <v>16.274799999999999</v>
      </c>
      <c r="U27" s="93"/>
      <c r="V27" s="92">
        <v>4053946</v>
      </c>
      <c r="W27" s="93"/>
      <c r="X27" s="97">
        <v>4051779</v>
      </c>
      <c r="Y27" s="93"/>
      <c r="Z27" s="92">
        <v>4039581</v>
      </c>
      <c r="AA27" s="93"/>
      <c r="AB27" s="92">
        <v>12198</v>
      </c>
      <c r="AC27" s="93"/>
      <c r="AD27" s="92">
        <v>128674</v>
      </c>
      <c r="AE27" s="93"/>
      <c r="AF27" s="92">
        <v>124396</v>
      </c>
      <c r="AG27" s="93"/>
      <c r="AH27" s="92">
        <v>4278</v>
      </c>
      <c r="AI27" s="93"/>
      <c r="AJ27" s="92">
        <v>1067699</v>
      </c>
      <c r="AK27" s="93"/>
      <c r="AL27" s="92">
        <v>1064546</v>
      </c>
      <c r="AM27" s="93"/>
      <c r="AN27" s="92">
        <v>33846</v>
      </c>
      <c r="AO27" s="93"/>
      <c r="AP27" s="98">
        <v>32741</v>
      </c>
      <c r="AQ27" s="93"/>
      <c r="AR27" s="92">
        <v>2024524</v>
      </c>
      <c r="AS27" s="93"/>
      <c r="AT27" s="97">
        <v>51916777</v>
      </c>
      <c r="AU27" s="89"/>
      <c r="AV27" s="99">
        <v>174.46</v>
      </c>
      <c r="AW27" s="89" t="s">
        <v>39</v>
      </c>
      <c r="AX27" s="89" t="s">
        <v>1440</v>
      </c>
    </row>
    <row r="28" spans="1:50">
      <c r="A28" s="89" t="s">
        <v>1488</v>
      </c>
      <c r="B28" s="89" t="s">
        <v>1456</v>
      </c>
      <c r="C28" s="89" t="s">
        <v>1457</v>
      </c>
      <c r="D28" s="90">
        <v>5118</v>
      </c>
      <c r="E28" s="91">
        <v>50118</v>
      </c>
      <c r="F28" s="89" t="s">
        <v>1451</v>
      </c>
      <c r="G28" s="89" t="s">
        <v>1437</v>
      </c>
      <c r="H28" s="92">
        <v>8608208</v>
      </c>
      <c r="I28" s="93">
        <v>1066</v>
      </c>
      <c r="J28" s="89" t="s">
        <v>1447</v>
      </c>
      <c r="K28" s="89" t="s">
        <v>1446</v>
      </c>
      <c r="L28" s="94">
        <v>527</v>
      </c>
      <c r="M28" s="89"/>
      <c r="N28" s="95">
        <v>40</v>
      </c>
      <c r="O28" s="93"/>
      <c r="P28" s="96">
        <v>30.932500000000001</v>
      </c>
      <c r="Q28" s="93"/>
      <c r="R28" s="96">
        <v>21.712499999999999</v>
      </c>
      <c r="S28" s="93"/>
      <c r="T28" s="96">
        <v>18.979099999999999</v>
      </c>
      <c r="U28" s="93"/>
      <c r="V28" s="92">
        <v>16284231</v>
      </c>
      <c r="W28" s="93"/>
      <c r="X28" s="97">
        <v>16302662</v>
      </c>
      <c r="Y28" s="93"/>
      <c r="Z28" s="92">
        <v>15388572</v>
      </c>
      <c r="AA28" s="93"/>
      <c r="AB28" s="92">
        <v>914090</v>
      </c>
      <c r="AC28" s="93"/>
      <c r="AD28" s="92">
        <v>520340</v>
      </c>
      <c r="AE28" s="93"/>
      <c r="AF28" s="92">
        <v>497488</v>
      </c>
      <c r="AG28" s="93"/>
      <c r="AH28" s="92">
        <v>22852</v>
      </c>
      <c r="AI28" s="93"/>
      <c r="AJ28" s="92">
        <v>2394714</v>
      </c>
      <c r="AK28" s="93"/>
      <c r="AL28" s="92">
        <v>2258067</v>
      </c>
      <c r="AM28" s="93"/>
      <c r="AN28" s="92">
        <v>76862</v>
      </c>
      <c r="AO28" s="93"/>
      <c r="AP28" s="98">
        <v>73504</v>
      </c>
      <c r="AQ28" s="93"/>
      <c r="AR28" s="92">
        <v>9441882</v>
      </c>
      <c r="AS28" s="93"/>
      <c r="AT28" s="97">
        <v>205006670</v>
      </c>
      <c r="AU28" s="89"/>
      <c r="AV28" s="99">
        <v>399.6</v>
      </c>
      <c r="AW28" s="89" t="s">
        <v>39</v>
      </c>
      <c r="AX28" s="89" t="s">
        <v>1440</v>
      </c>
    </row>
    <row r="29" spans="1:50">
      <c r="A29" s="89" t="s">
        <v>1488</v>
      </c>
      <c r="B29" s="89" t="s">
        <v>1456</v>
      </c>
      <c r="C29" s="89" t="s">
        <v>1457</v>
      </c>
      <c r="D29" s="90">
        <v>5118</v>
      </c>
      <c r="E29" s="91">
        <v>50118</v>
      </c>
      <c r="F29" s="89" t="s">
        <v>1451</v>
      </c>
      <c r="G29" s="89" t="s">
        <v>1437</v>
      </c>
      <c r="H29" s="92">
        <v>8608208</v>
      </c>
      <c r="I29" s="93">
        <v>1066</v>
      </c>
      <c r="J29" s="89" t="s">
        <v>1447</v>
      </c>
      <c r="K29" s="89" t="s">
        <v>1439</v>
      </c>
      <c r="L29" s="94">
        <v>539</v>
      </c>
      <c r="M29" s="89"/>
      <c r="N29" s="95">
        <v>53</v>
      </c>
      <c r="O29" s="93"/>
      <c r="P29" s="96">
        <v>29.0824</v>
      </c>
      <c r="Q29" s="93"/>
      <c r="R29" s="96">
        <v>21.172499999999999</v>
      </c>
      <c r="S29" s="93"/>
      <c r="T29" s="96">
        <v>13.8796</v>
      </c>
      <c r="U29" s="93"/>
      <c r="V29" s="92">
        <v>16028080</v>
      </c>
      <c r="W29" s="93"/>
      <c r="X29" s="97">
        <v>15585872</v>
      </c>
      <c r="Y29" s="93"/>
      <c r="Z29" s="92">
        <v>15273179</v>
      </c>
      <c r="AA29" s="93"/>
      <c r="AB29" s="92">
        <v>312693</v>
      </c>
      <c r="AC29" s="93"/>
      <c r="AD29" s="92">
        <v>535954</v>
      </c>
      <c r="AE29" s="93"/>
      <c r="AF29" s="92">
        <v>525169</v>
      </c>
      <c r="AG29" s="93"/>
      <c r="AH29" s="92">
        <v>10785</v>
      </c>
      <c r="AI29" s="93"/>
      <c r="AJ29" s="92">
        <v>2545102</v>
      </c>
      <c r="AK29" s="93"/>
      <c r="AL29" s="92">
        <v>2494601</v>
      </c>
      <c r="AM29" s="93"/>
      <c r="AN29" s="92">
        <v>89035</v>
      </c>
      <c r="AO29" s="93"/>
      <c r="AP29" s="98">
        <v>87312</v>
      </c>
      <c r="AQ29" s="93"/>
      <c r="AR29" s="92">
        <v>7289149</v>
      </c>
      <c r="AS29" s="93"/>
      <c r="AT29" s="97">
        <v>154329520</v>
      </c>
      <c r="AU29" s="89"/>
      <c r="AV29" s="99">
        <v>575.4</v>
      </c>
      <c r="AW29" s="89" t="s">
        <v>39</v>
      </c>
      <c r="AX29" s="89" t="s">
        <v>1440</v>
      </c>
    </row>
    <row r="30" spans="1:50">
      <c r="A30" s="89" t="s">
        <v>1489</v>
      </c>
      <c r="B30" s="89" t="s">
        <v>1490</v>
      </c>
      <c r="C30" s="89" t="s">
        <v>1435</v>
      </c>
      <c r="D30" s="90">
        <v>2100</v>
      </c>
      <c r="E30" s="91">
        <v>20100</v>
      </c>
      <c r="F30" s="89" t="s">
        <v>1436</v>
      </c>
      <c r="G30" s="89" t="s">
        <v>1437</v>
      </c>
      <c r="H30" s="92">
        <v>18351295</v>
      </c>
      <c r="I30" s="93">
        <v>1022</v>
      </c>
      <c r="J30" s="89" t="s">
        <v>1447</v>
      </c>
      <c r="K30" s="89" t="s">
        <v>1439</v>
      </c>
      <c r="L30" s="94">
        <v>1022</v>
      </c>
      <c r="M30" s="89"/>
      <c r="N30" s="95">
        <v>107</v>
      </c>
      <c r="O30" s="93"/>
      <c r="P30" s="96">
        <v>29.212299999999999</v>
      </c>
      <c r="Q30" s="93"/>
      <c r="R30" s="96">
        <v>28.269200000000001</v>
      </c>
      <c r="S30" s="93" t="s">
        <v>1458</v>
      </c>
      <c r="T30" s="96">
        <v>20.565999999999999</v>
      </c>
      <c r="U30" s="93" t="s">
        <v>1458</v>
      </c>
      <c r="V30" s="92">
        <v>61301708</v>
      </c>
      <c r="W30" s="93"/>
      <c r="X30" s="97">
        <v>68469245</v>
      </c>
      <c r="Y30" s="93"/>
      <c r="Z30" s="92">
        <v>61766650</v>
      </c>
      <c r="AA30" s="93"/>
      <c r="AB30" s="92">
        <v>6702595</v>
      </c>
      <c r="AC30" s="93"/>
      <c r="AD30" s="92">
        <v>2305899</v>
      </c>
      <c r="AE30" s="93"/>
      <c r="AF30" s="92">
        <v>2114409</v>
      </c>
      <c r="AG30" s="93"/>
      <c r="AH30" s="92">
        <v>191490</v>
      </c>
      <c r="AI30" s="93"/>
      <c r="AJ30" s="92">
        <v>7765181</v>
      </c>
      <c r="AK30" s="93"/>
      <c r="AL30" s="92">
        <v>6968685</v>
      </c>
      <c r="AM30" s="93"/>
      <c r="AN30" s="92">
        <v>266731</v>
      </c>
      <c r="AO30" s="93"/>
      <c r="AP30" s="98">
        <v>199752</v>
      </c>
      <c r="AQ30" s="93"/>
      <c r="AR30" s="92">
        <v>43484907</v>
      </c>
      <c r="AS30" s="93" t="s">
        <v>1458</v>
      </c>
      <c r="AT30" s="97">
        <v>1229284540</v>
      </c>
      <c r="AU30" s="89" t="s">
        <v>1458</v>
      </c>
      <c r="AV30" s="99">
        <v>638.20000000000005</v>
      </c>
      <c r="AW30" s="89" t="s">
        <v>39</v>
      </c>
      <c r="AX30" s="89" t="s">
        <v>1459</v>
      </c>
    </row>
    <row r="31" spans="1:50">
      <c r="A31" s="89" t="s">
        <v>1491</v>
      </c>
      <c r="B31" s="89" t="s">
        <v>1492</v>
      </c>
      <c r="C31" s="89" t="s">
        <v>1450</v>
      </c>
      <c r="D31" s="90">
        <v>9015</v>
      </c>
      <c r="E31" s="91">
        <v>90015</v>
      </c>
      <c r="F31" s="89" t="s">
        <v>1477</v>
      </c>
      <c r="G31" s="89" t="s">
        <v>1437</v>
      </c>
      <c r="H31" s="92">
        <v>3281212</v>
      </c>
      <c r="I31" s="93">
        <v>996</v>
      </c>
      <c r="J31" s="89" t="s">
        <v>1445</v>
      </c>
      <c r="K31" s="89" t="s">
        <v>1439</v>
      </c>
      <c r="L31" s="94">
        <v>149</v>
      </c>
      <c r="M31" s="89"/>
      <c r="N31" s="95">
        <v>141</v>
      </c>
      <c r="O31" s="93"/>
      <c r="P31" s="96">
        <v>9.4969999999999999</v>
      </c>
      <c r="Q31" s="93"/>
      <c r="R31" s="96">
        <v>2.7421000000000002</v>
      </c>
      <c r="S31" s="93"/>
      <c r="T31" s="96">
        <v>76.584800000000001</v>
      </c>
      <c r="U31" s="93"/>
      <c r="V31" s="92">
        <v>4944335</v>
      </c>
      <c r="W31" s="93"/>
      <c r="X31" s="97">
        <v>4660934</v>
      </c>
      <c r="Y31" s="93"/>
      <c r="Z31" s="92">
        <v>4640244</v>
      </c>
      <c r="AA31" s="93"/>
      <c r="AB31" s="92">
        <v>20690</v>
      </c>
      <c r="AC31" s="93"/>
      <c r="AD31" s="92">
        <v>491748</v>
      </c>
      <c r="AE31" s="93"/>
      <c r="AF31" s="92">
        <v>488601</v>
      </c>
      <c r="AG31" s="93"/>
      <c r="AH31" s="92">
        <v>3147</v>
      </c>
      <c r="AI31" s="93"/>
      <c r="AJ31" s="92">
        <v>3097363</v>
      </c>
      <c r="AK31" s="93"/>
      <c r="AL31" s="92">
        <v>3084167</v>
      </c>
      <c r="AM31" s="93"/>
      <c r="AN31" s="92">
        <v>326422</v>
      </c>
      <c r="AO31" s="93"/>
      <c r="AP31" s="98">
        <v>324323</v>
      </c>
      <c r="AQ31" s="93"/>
      <c r="AR31" s="92">
        <v>37419416</v>
      </c>
      <c r="AS31" s="93"/>
      <c r="AT31" s="97">
        <v>102607757</v>
      </c>
      <c r="AU31" s="89"/>
      <c r="AV31" s="99">
        <v>64.400000000000006</v>
      </c>
      <c r="AW31" s="89" t="s">
        <v>39</v>
      </c>
      <c r="AX31" s="89" t="s">
        <v>1440</v>
      </c>
    </row>
    <row r="32" spans="1:50">
      <c r="A32" s="89" t="s">
        <v>1493</v>
      </c>
      <c r="B32" s="89" t="s">
        <v>1494</v>
      </c>
      <c r="C32" s="89" t="s">
        <v>1495</v>
      </c>
      <c r="D32" s="90">
        <v>8</v>
      </c>
      <c r="E32" s="91">
        <v>8</v>
      </c>
      <c r="F32" s="89" t="s">
        <v>1451</v>
      </c>
      <c r="G32" s="89" t="s">
        <v>1437</v>
      </c>
      <c r="H32" s="92">
        <v>1849898</v>
      </c>
      <c r="I32" s="93">
        <v>982</v>
      </c>
      <c r="J32" s="89" t="s">
        <v>1445</v>
      </c>
      <c r="K32" s="89" t="s">
        <v>1439</v>
      </c>
      <c r="L32" s="94">
        <v>116</v>
      </c>
      <c r="M32" s="89"/>
      <c r="N32" s="95">
        <v>55</v>
      </c>
      <c r="O32" s="93"/>
      <c r="P32" s="96">
        <v>14.136900000000001</v>
      </c>
      <c r="Q32" s="93"/>
      <c r="R32" s="96">
        <v>5.2552000000000003</v>
      </c>
      <c r="S32" s="93"/>
      <c r="T32" s="96">
        <v>48.392400000000002</v>
      </c>
      <c r="U32" s="93"/>
      <c r="V32" s="92">
        <v>8977599</v>
      </c>
      <c r="W32" s="93"/>
      <c r="X32" s="97">
        <v>8981104</v>
      </c>
      <c r="Y32" s="93"/>
      <c r="Z32" s="92">
        <v>8864217</v>
      </c>
      <c r="AA32" s="93"/>
      <c r="AB32" s="92">
        <v>116887</v>
      </c>
      <c r="AC32" s="93"/>
      <c r="AD32" s="92">
        <v>636882</v>
      </c>
      <c r="AE32" s="93"/>
      <c r="AF32" s="92">
        <v>627025</v>
      </c>
      <c r="AG32" s="93"/>
      <c r="AH32" s="92">
        <v>9857</v>
      </c>
      <c r="AI32" s="93"/>
      <c r="AJ32" s="92">
        <v>4501055</v>
      </c>
      <c r="AK32" s="93"/>
      <c r="AL32" s="92">
        <v>4442373</v>
      </c>
      <c r="AM32" s="93"/>
      <c r="AN32" s="92">
        <v>319090</v>
      </c>
      <c r="AO32" s="93"/>
      <c r="AP32" s="98">
        <v>314140</v>
      </c>
      <c r="AQ32" s="93"/>
      <c r="AR32" s="92">
        <v>30343267</v>
      </c>
      <c r="AS32" s="93"/>
      <c r="AT32" s="97">
        <v>159458488</v>
      </c>
      <c r="AU32" s="89"/>
      <c r="AV32" s="99">
        <v>118.91</v>
      </c>
      <c r="AW32" s="89" t="s">
        <v>39</v>
      </c>
      <c r="AX32" s="89" t="s">
        <v>1440</v>
      </c>
    </row>
    <row r="33" spans="1:50">
      <c r="A33" s="89" t="s">
        <v>1496</v>
      </c>
      <c r="B33" s="89" t="s">
        <v>1497</v>
      </c>
      <c r="C33" s="89" t="s">
        <v>1498</v>
      </c>
      <c r="D33" s="90">
        <v>4022</v>
      </c>
      <c r="E33" s="91">
        <v>40022</v>
      </c>
      <c r="F33" s="89" t="s">
        <v>1451</v>
      </c>
      <c r="G33" s="89" t="s">
        <v>1437</v>
      </c>
      <c r="H33" s="92">
        <v>4515419</v>
      </c>
      <c r="I33" s="93">
        <v>943</v>
      </c>
      <c r="J33" s="89" t="s">
        <v>1438</v>
      </c>
      <c r="K33" s="89" t="s">
        <v>1439</v>
      </c>
      <c r="L33" s="94">
        <v>212</v>
      </c>
      <c r="M33" s="89"/>
      <c r="N33" s="95">
        <v>39</v>
      </c>
      <c r="O33" s="93"/>
      <c r="P33" s="96">
        <v>26.494</v>
      </c>
      <c r="Q33" s="93"/>
      <c r="R33" s="96">
        <v>7.2762000000000002</v>
      </c>
      <c r="S33" s="93"/>
      <c r="T33" s="96">
        <v>58.747300000000003</v>
      </c>
      <c r="U33" s="93"/>
      <c r="V33" s="92">
        <v>20499724</v>
      </c>
      <c r="W33" s="93"/>
      <c r="X33" s="97">
        <v>21145309</v>
      </c>
      <c r="Y33" s="93"/>
      <c r="Z33" s="92">
        <v>20430752</v>
      </c>
      <c r="AA33" s="93"/>
      <c r="AB33" s="92">
        <v>714557</v>
      </c>
      <c r="AC33" s="93"/>
      <c r="AD33" s="92">
        <v>794602</v>
      </c>
      <c r="AE33" s="93"/>
      <c r="AF33" s="92">
        <v>771146</v>
      </c>
      <c r="AG33" s="93"/>
      <c r="AH33" s="92">
        <v>23456</v>
      </c>
      <c r="AI33" s="93"/>
      <c r="AJ33" s="92">
        <v>3715370</v>
      </c>
      <c r="AK33" s="93"/>
      <c r="AL33" s="92">
        <v>3628801</v>
      </c>
      <c r="AM33" s="93"/>
      <c r="AN33" s="92">
        <v>143614</v>
      </c>
      <c r="AO33" s="93"/>
      <c r="AP33" s="98">
        <v>139086</v>
      </c>
      <c r="AQ33" s="93"/>
      <c r="AR33" s="92">
        <v>45302714</v>
      </c>
      <c r="AS33" s="93"/>
      <c r="AT33" s="97">
        <v>329631085</v>
      </c>
      <c r="AU33" s="89"/>
      <c r="AV33" s="99">
        <v>96.06</v>
      </c>
      <c r="AW33" s="89" t="s">
        <v>39</v>
      </c>
      <c r="AX33" s="89" t="s">
        <v>1440</v>
      </c>
    </row>
    <row r="34" spans="1:50">
      <c r="A34" s="89" t="s">
        <v>1499</v>
      </c>
      <c r="B34" s="89" t="s">
        <v>1500</v>
      </c>
      <c r="C34" s="89" t="s">
        <v>1466</v>
      </c>
      <c r="D34" s="90">
        <v>3022</v>
      </c>
      <c r="E34" s="91">
        <v>30022</v>
      </c>
      <c r="F34" s="89" t="s">
        <v>1451</v>
      </c>
      <c r="G34" s="89" t="s">
        <v>1437</v>
      </c>
      <c r="H34" s="92">
        <v>1733853</v>
      </c>
      <c r="I34" s="93">
        <v>930</v>
      </c>
      <c r="J34" s="89" t="s">
        <v>1445</v>
      </c>
      <c r="K34" s="89" t="s">
        <v>1439</v>
      </c>
      <c r="L34" s="94">
        <v>58</v>
      </c>
      <c r="M34" s="89"/>
      <c r="N34" s="95">
        <v>29</v>
      </c>
      <c r="O34" s="93"/>
      <c r="P34" s="96">
        <v>12.909700000000001</v>
      </c>
      <c r="Q34" s="93"/>
      <c r="R34" s="96">
        <v>4.0317999999999996</v>
      </c>
      <c r="S34" s="93"/>
      <c r="T34" s="96">
        <v>37.530500000000004</v>
      </c>
      <c r="U34" s="93"/>
      <c r="V34" s="92">
        <v>2027777</v>
      </c>
      <c r="W34" s="93"/>
      <c r="X34" s="97">
        <v>1999310</v>
      </c>
      <c r="Y34" s="93"/>
      <c r="Z34" s="92">
        <v>1916792</v>
      </c>
      <c r="AA34" s="93"/>
      <c r="AB34" s="92">
        <v>82518</v>
      </c>
      <c r="AC34" s="93"/>
      <c r="AD34" s="92">
        <v>155486</v>
      </c>
      <c r="AE34" s="93"/>
      <c r="AF34" s="92">
        <v>148477</v>
      </c>
      <c r="AG34" s="93"/>
      <c r="AH34" s="92">
        <v>7009</v>
      </c>
      <c r="AI34" s="93"/>
      <c r="AJ34" s="92">
        <v>1497766</v>
      </c>
      <c r="AK34" s="93"/>
      <c r="AL34" s="92">
        <v>1442245</v>
      </c>
      <c r="AM34" s="93"/>
      <c r="AN34" s="92">
        <v>116738</v>
      </c>
      <c r="AO34" s="93"/>
      <c r="AP34" s="98">
        <v>112071</v>
      </c>
      <c r="AQ34" s="93"/>
      <c r="AR34" s="92">
        <v>5572417</v>
      </c>
      <c r="AS34" s="93"/>
      <c r="AT34" s="97">
        <v>22466673</v>
      </c>
      <c r="AU34" s="89"/>
      <c r="AV34" s="99">
        <v>49.64</v>
      </c>
      <c r="AW34" s="89" t="s">
        <v>39</v>
      </c>
      <c r="AX34" s="89" t="s">
        <v>1440</v>
      </c>
    </row>
    <row r="35" spans="1:50">
      <c r="A35" s="89" t="s">
        <v>1501</v>
      </c>
      <c r="B35" s="89" t="s">
        <v>1502</v>
      </c>
      <c r="C35" s="89" t="s">
        <v>1450</v>
      </c>
      <c r="D35" s="90">
        <v>9026</v>
      </c>
      <c r="E35" s="91">
        <v>90026</v>
      </c>
      <c r="F35" s="89" t="s">
        <v>1451</v>
      </c>
      <c r="G35" s="89" t="s">
        <v>1437</v>
      </c>
      <c r="H35" s="92">
        <v>2956746</v>
      </c>
      <c r="I35" s="93">
        <v>906</v>
      </c>
      <c r="J35" s="89" t="s">
        <v>1445</v>
      </c>
      <c r="K35" s="89" t="s">
        <v>1439</v>
      </c>
      <c r="L35" s="94">
        <v>103</v>
      </c>
      <c r="M35" s="89"/>
      <c r="N35" s="95">
        <v>35</v>
      </c>
      <c r="O35" s="93"/>
      <c r="P35" s="96">
        <v>18.120799999999999</v>
      </c>
      <c r="Q35" s="93"/>
      <c r="R35" s="96">
        <v>6.0708000000000002</v>
      </c>
      <c r="S35" s="93"/>
      <c r="T35" s="96">
        <v>62.966000000000001</v>
      </c>
      <c r="U35" s="93"/>
      <c r="V35" s="92">
        <v>9662505</v>
      </c>
      <c r="W35" s="93"/>
      <c r="X35" s="97">
        <v>9410942</v>
      </c>
      <c r="Y35" s="93"/>
      <c r="Z35" s="92">
        <v>9210076</v>
      </c>
      <c r="AA35" s="93"/>
      <c r="AB35" s="92">
        <v>200866</v>
      </c>
      <c r="AC35" s="93"/>
      <c r="AD35" s="92">
        <v>527144</v>
      </c>
      <c r="AE35" s="93"/>
      <c r="AF35" s="92">
        <v>508259</v>
      </c>
      <c r="AG35" s="93"/>
      <c r="AH35" s="92">
        <v>18885</v>
      </c>
      <c r="AI35" s="93"/>
      <c r="AJ35" s="92">
        <v>3279625</v>
      </c>
      <c r="AK35" s="93"/>
      <c r="AL35" s="92">
        <v>3207856</v>
      </c>
      <c r="AM35" s="93"/>
      <c r="AN35" s="92">
        <v>183992</v>
      </c>
      <c r="AO35" s="93"/>
      <c r="AP35" s="98">
        <v>177429</v>
      </c>
      <c r="AQ35" s="93"/>
      <c r="AR35" s="92">
        <v>32003027</v>
      </c>
      <c r="AS35" s="93"/>
      <c r="AT35" s="97">
        <v>194284885</v>
      </c>
      <c r="AU35" s="89"/>
      <c r="AV35" s="99">
        <v>108.4</v>
      </c>
      <c r="AW35" s="89" t="s">
        <v>39</v>
      </c>
      <c r="AX35" s="89" t="s">
        <v>1440</v>
      </c>
    </row>
    <row r="36" spans="1:50">
      <c r="A36" s="89" t="s">
        <v>1503</v>
      </c>
      <c r="B36" s="89" t="s">
        <v>1504</v>
      </c>
      <c r="C36" s="89" t="s">
        <v>1505</v>
      </c>
      <c r="D36" s="90">
        <v>5027</v>
      </c>
      <c r="E36" s="91">
        <v>50027</v>
      </c>
      <c r="F36" s="89" t="s">
        <v>1436</v>
      </c>
      <c r="G36" s="89" t="s">
        <v>1437</v>
      </c>
      <c r="H36" s="92">
        <v>2650890</v>
      </c>
      <c r="I36" s="93">
        <v>823</v>
      </c>
      <c r="J36" s="89" t="s">
        <v>1445</v>
      </c>
      <c r="K36" s="89" t="s">
        <v>1439</v>
      </c>
      <c r="L36" s="94">
        <v>76</v>
      </c>
      <c r="M36" s="89"/>
      <c r="N36" s="95">
        <v>23</v>
      </c>
      <c r="O36" s="93"/>
      <c r="P36" s="96">
        <v>11.985900000000001</v>
      </c>
      <c r="Q36" s="93"/>
      <c r="R36" s="96">
        <v>3.9723999999999999</v>
      </c>
      <c r="S36" s="93" t="s">
        <v>1458</v>
      </c>
      <c r="T36" s="96">
        <v>30.465299999999999</v>
      </c>
      <c r="U36" s="93"/>
      <c r="V36" s="92">
        <v>4237895</v>
      </c>
      <c r="W36" s="93"/>
      <c r="X36" s="97">
        <v>4129925</v>
      </c>
      <c r="Y36" s="93"/>
      <c r="Z36" s="92">
        <v>4034814</v>
      </c>
      <c r="AA36" s="93"/>
      <c r="AB36" s="92">
        <v>95111</v>
      </c>
      <c r="AC36" s="93"/>
      <c r="AD36" s="92">
        <v>354913</v>
      </c>
      <c r="AE36" s="93"/>
      <c r="AF36" s="92">
        <v>336629</v>
      </c>
      <c r="AG36" s="93"/>
      <c r="AH36" s="92">
        <v>18284</v>
      </c>
      <c r="AI36" s="93"/>
      <c r="AJ36" s="92">
        <v>1500026</v>
      </c>
      <c r="AK36" s="93"/>
      <c r="AL36" s="92">
        <v>1436691</v>
      </c>
      <c r="AM36" s="93"/>
      <c r="AN36" s="92">
        <v>125192</v>
      </c>
      <c r="AO36" s="93"/>
      <c r="AP36" s="98">
        <v>118274</v>
      </c>
      <c r="AQ36" s="93"/>
      <c r="AR36" s="92">
        <v>10255520</v>
      </c>
      <c r="AS36" s="93"/>
      <c r="AT36" s="97">
        <v>40738989</v>
      </c>
      <c r="AU36" s="89" t="s">
        <v>1458</v>
      </c>
      <c r="AV36" s="99">
        <v>44.26</v>
      </c>
      <c r="AW36" s="89" t="s">
        <v>39</v>
      </c>
      <c r="AX36" s="89" t="s">
        <v>1459</v>
      </c>
    </row>
    <row r="37" spans="1:50">
      <c r="A37" s="89" t="s">
        <v>1503</v>
      </c>
      <c r="B37" s="89" t="s">
        <v>1504</v>
      </c>
      <c r="C37" s="89" t="s">
        <v>1505</v>
      </c>
      <c r="D37" s="90">
        <v>5027</v>
      </c>
      <c r="E37" s="91">
        <v>50027</v>
      </c>
      <c r="F37" s="89" t="s">
        <v>1436</v>
      </c>
      <c r="G37" s="89" t="s">
        <v>1437</v>
      </c>
      <c r="H37" s="92">
        <v>2650890</v>
      </c>
      <c r="I37" s="93">
        <v>823</v>
      </c>
      <c r="J37" s="89" t="s">
        <v>1447</v>
      </c>
      <c r="K37" s="89" t="s">
        <v>1446</v>
      </c>
      <c r="L37" s="94">
        <v>20</v>
      </c>
      <c r="M37" s="89"/>
      <c r="N37" s="95">
        <v>4</v>
      </c>
      <c r="O37" s="93"/>
      <c r="P37" s="96">
        <v>43.768999999999998</v>
      </c>
      <c r="Q37" s="93"/>
      <c r="R37" s="96">
        <v>24.702500000000001</v>
      </c>
      <c r="S37" s="93" t="s">
        <v>1458</v>
      </c>
      <c r="T37" s="96">
        <v>26.3444</v>
      </c>
      <c r="U37" s="93"/>
      <c r="V37" s="92">
        <v>253487</v>
      </c>
      <c r="W37" s="93"/>
      <c r="X37" s="97">
        <v>256360</v>
      </c>
      <c r="Y37" s="93"/>
      <c r="Z37" s="92">
        <v>253291</v>
      </c>
      <c r="AA37" s="93"/>
      <c r="AB37" s="92">
        <v>3069</v>
      </c>
      <c r="AC37" s="93"/>
      <c r="AD37" s="92">
        <v>6199</v>
      </c>
      <c r="AE37" s="93"/>
      <c r="AF37" s="92">
        <v>5787</v>
      </c>
      <c r="AG37" s="93"/>
      <c r="AH37" s="92">
        <v>412</v>
      </c>
      <c r="AI37" s="93"/>
      <c r="AJ37" s="92">
        <v>64139</v>
      </c>
      <c r="AK37" s="93"/>
      <c r="AL37" s="92">
        <v>63372</v>
      </c>
      <c r="AM37" s="93"/>
      <c r="AN37" s="92">
        <v>1552</v>
      </c>
      <c r="AO37" s="93"/>
      <c r="AP37" s="98">
        <v>1448</v>
      </c>
      <c r="AQ37" s="93"/>
      <c r="AR37" s="92">
        <v>152455</v>
      </c>
      <c r="AS37" s="93"/>
      <c r="AT37" s="97">
        <v>3766017</v>
      </c>
      <c r="AU37" s="89" t="s">
        <v>1458</v>
      </c>
      <c r="AV37" s="99">
        <v>77.900000000000006</v>
      </c>
      <c r="AW37" s="89" t="s">
        <v>39</v>
      </c>
      <c r="AX37" s="89" t="s">
        <v>1459</v>
      </c>
    </row>
    <row r="38" spans="1:50">
      <c r="A38" s="89" t="s">
        <v>1506</v>
      </c>
      <c r="B38" s="89" t="s">
        <v>1507</v>
      </c>
      <c r="C38" s="89" t="s">
        <v>1450</v>
      </c>
      <c r="D38" s="90">
        <v>9013</v>
      </c>
      <c r="E38" s="91">
        <v>90013</v>
      </c>
      <c r="F38" s="89" t="s">
        <v>1451</v>
      </c>
      <c r="G38" s="89" t="s">
        <v>1437</v>
      </c>
      <c r="H38" s="92">
        <v>1664496</v>
      </c>
      <c r="I38" s="93">
        <v>635</v>
      </c>
      <c r="J38" s="89" t="s">
        <v>1445</v>
      </c>
      <c r="K38" s="89" t="s">
        <v>1439</v>
      </c>
      <c r="L38" s="94">
        <v>61</v>
      </c>
      <c r="M38" s="89"/>
      <c r="N38" s="95">
        <v>29</v>
      </c>
      <c r="O38" s="93"/>
      <c r="P38" s="96">
        <v>14.6876</v>
      </c>
      <c r="Q38" s="93"/>
      <c r="R38" s="96">
        <v>5.3385999999999996</v>
      </c>
      <c r="S38" s="93"/>
      <c r="T38" s="96">
        <v>31.957599999999999</v>
      </c>
      <c r="U38" s="93"/>
      <c r="V38" s="92">
        <v>3049391</v>
      </c>
      <c r="W38" s="93"/>
      <c r="X38" s="97">
        <v>3045104</v>
      </c>
      <c r="Y38" s="93"/>
      <c r="Z38" s="92">
        <v>2886997</v>
      </c>
      <c r="AA38" s="93"/>
      <c r="AB38" s="92">
        <v>158107</v>
      </c>
      <c r="AC38" s="93"/>
      <c r="AD38" s="92">
        <v>208938</v>
      </c>
      <c r="AE38" s="93"/>
      <c r="AF38" s="92">
        <v>196560</v>
      </c>
      <c r="AG38" s="93"/>
      <c r="AH38" s="92">
        <v>12378</v>
      </c>
      <c r="AI38" s="93"/>
      <c r="AJ38" s="92">
        <v>1824324</v>
      </c>
      <c r="AK38" s="93"/>
      <c r="AL38" s="92">
        <v>1733696</v>
      </c>
      <c r="AM38" s="93"/>
      <c r="AN38" s="92">
        <v>131172</v>
      </c>
      <c r="AO38" s="93"/>
      <c r="AP38" s="98">
        <v>123509</v>
      </c>
      <c r="AQ38" s="93"/>
      <c r="AR38" s="92">
        <v>6281578</v>
      </c>
      <c r="AS38" s="93"/>
      <c r="AT38" s="97">
        <v>33535077</v>
      </c>
      <c r="AU38" s="89"/>
      <c r="AV38" s="99">
        <v>80.959999999999994</v>
      </c>
      <c r="AW38" s="89" t="s">
        <v>39</v>
      </c>
      <c r="AX38" s="89" t="s">
        <v>1440</v>
      </c>
    </row>
    <row r="39" spans="1:50">
      <c r="A39" s="89" t="s">
        <v>1508</v>
      </c>
      <c r="B39" s="89" t="s">
        <v>1509</v>
      </c>
      <c r="C39" s="89" t="s">
        <v>1450</v>
      </c>
      <c r="D39" s="90">
        <v>9003</v>
      </c>
      <c r="E39" s="91">
        <v>90003</v>
      </c>
      <c r="F39" s="89" t="s">
        <v>1451</v>
      </c>
      <c r="G39" s="89" t="s">
        <v>1437</v>
      </c>
      <c r="H39" s="92">
        <v>3281212</v>
      </c>
      <c r="I39" s="93">
        <v>616</v>
      </c>
      <c r="J39" s="89" t="s">
        <v>1438</v>
      </c>
      <c r="K39" s="89" t="s">
        <v>1439</v>
      </c>
      <c r="L39" s="94">
        <v>599</v>
      </c>
      <c r="M39" s="89"/>
      <c r="N39" s="95">
        <v>56</v>
      </c>
      <c r="O39" s="93"/>
      <c r="P39" s="96">
        <v>34.829900000000002</v>
      </c>
      <c r="Q39" s="93" t="s">
        <v>1458</v>
      </c>
      <c r="R39" s="96">
        <v>13.962999999999999</v>
      </c>
      <c r="S39" s="93"/>
      <c r="T39" s="96">
        <v>44.260899999999999</v>
      </c>
      <c r="U39" s="93" t="s">
        <v>1458</v>
      </c>
      <c r="V39" s="92">
        <v>69597595</v>
      </c>
      <c r="W39" s="93"/>
      <c r="X39" s="97">
        <v>72050709</v>
      </c>
      <c r="Y39" s="93"/>
      <c r="Z39" s="92">
        <v>69799195</v>
      </c>
      <c r="AA39" s="93"/>
      <c r="AB39" s="92">
        <v>2251514</v>
      </c>
      <c r="AC39" s="93"/>
      <c r="AD39" s="92">
        <v>2377255</v>
      </c>
      <c r="AE39" s="93"/>
      <c r="AF39" s="92">
        <v>2004002</v>
      </c>
      <c r="AG39" s="93" t="s">
        <v>1458</v>
      </c>
      <c r="AH39" s="92">
        <v>373253</v>
      </c>
      <c r="AI39" s="93"/>
      <c r="AJ39" s="92">
        <v>8255518</v>
      </c>
      <c r="AK39" s="93"/>
      <c r="AL39" s="92">
        <v>7973519</v>
      </c>
      <c r="AM39" s="93"/>
      <c r="AN39" s="92">
        <v>277276</v>
      </c>
      <c r="AO39" s="93"/>
      <c r="AP39" s="98">
        <v>229211</v>
      </c>
      <c r="AQ39" s="93"/>
      <c r="AR39" s="92">
        <v>88698878</v>
      </c>
      <c r="AS39" s="93"/>
      <c r="AT39" s="97">
        <v>1238506222</v>
      </c>
      <c r="AU39" s="89"/>
      <c r="AV39" s="99">
        <v>239.42</v>
      </c>
      <c r="AW39" s="89" t="s">
        <v>39</v>
      </c>
      <c r="AX39" s="89" t="s">
        <v>1459</v>
      </c>
    </row>
    <row r="40" spans="1:50">
      <c r="A40" s="89" t="s">
        <v>1510</v>
      </c>
      <c r="B40" s="89" t="s">
        <v>1511</v>
      </c>
      <c r="C40" s="89" t="s">
        <v>1512</v>
      </c>
      <c r="D40" s="90">
        <v>7006</v>
      </c>
      <c r="E40" s="91">
        <v>70006</v>
      </c>
      <c r="F40" s="89" t="s">
        <v>1451</v>
      </c>
      <c r="G40" s="89" t="s">
        <v>1437</v>
      </c>
      <c r="H40" s="92">
        <v>2150706</v>
      </c>
      <c r="I40" s="93">
        <v>493</v>
      </c>
      <c r="J40" s="89" t="s">
        <v>1445</v>
      </c>
      <c r="K40" s="89" t="s">
        <v>1439</v>
      </c>
      <c r="L40" s="94">
        <v>50</v>
      </c>
      <c r="M40" s="89"/>
      <c r="N40" s="95">
        <v>25</v>
      </c>
      <c r="O40" s="93"/>
      <c r="P40" s="96">
        <v>23.1905</v>
      </c>
      <c r="Q40" s="93"/>
      <c r="R40" s="96">
        <v>6.7489999999999997</v>
      </c>
      <c r="S40" s="93"/>
      <c r="T40" s="96">
        <v>41.739400000000003</v>
      </c>
      <c r="U40" s="93"/>
      <c r="V40" s="92">
        <v>5954691</v>
      </c>
      <c r="W40" s="93"/>
      <c r="X40" s="97">
        <v>5905439</v>
      </c>
      <c r="Y40" s="93"/>
      <c r="Z40" s="92">
        <v>5839491</v>
      </c>
      <c r="AA40" s="93"/>
      <c r="AB40" s="92">
        <v>65948</v>
      </c>
      <c r="AC40" s="93"/>
      <c r="AD40" s="92">
        <v>256119</v>
      </c>
      <c r="AE40" s="93"/>
      <c r="AF40" s="92">
        <v>251805</v>
      </c>
      <c r="AG40" s="93"/>
      <c r="AH40" s="92">
        <v>4314</v>
      </c>
      <c r="AI40" s="93"/>
      <c r="AJ40" s="92">
        <v>2952712</v>
      </c>
      <c r="AK40" s="93"/>
      <c r="AL40" s="92">
        <v>2919745</v>
      </c>
      <c r="AM40" s="93"/>
      <c r="AN40" s="92">
        <v>128060</v>
      </c>
      <c r="AO40" s="93"/>
      <c r="AP40" s="98">
        <v>125902</v>
      </c>
      <c r="AQ40" s="93"/>
      <c r="AR40" s="92">
        <v>10510179</v>
      </c>
      <c r="AS40" s="93"/>
      <c r="AT40" s="97">
        <v>70933375</v>
      </c>
      <c r="AU40" s="89"/>
      <c r="AV40" s="99">
        <v>91.06</v>
      </c>
      <c r="AW40" s="89" t="s">
        <v>39</v>
      </c>
      <c r="AX40" s="89" t="s">
        <v>1440</v>
      </c>
    </row>
    <row r="41" spans="1:50">
      <c r="A41" s="89" t="s">
        <v>1513</v>
      </c>
      <c r="B41" s="89" t="s">
        <v>1514</v>
      </c>
      <c r="C41" s="89" t="s">
        <v>1515</v>
      </c>
      <c r="D41" s="90">
        <v>5015</v>
      </c>
      <c r="E41" s="91">
        <v>50015</v>
      </c>
      <c r="F41" s="89" t="s">
        <v>1451</v>
      </c>
      <c r="G41" s="89" t="s">
        <v>1437</v>
      </c>
      <c r="H41" s="92">
        <v>1780673</v>
      </c>
      <c r="I41" s="93">
        <v>418</v>
      </c>
      <c r="J41" s="89" t="s">
        <v>1445</v>
      </c>
      <c r="K41" s="89" t="s">
        <v>1439</v>
      </c>
      <c r="L41" s="94">
        <v>6</v>
      </c>
      <c r="M41" s="89"/>
      <c r="N41" s="95">
        <v>6</v>
      </c>
      <c r="O41" s="93"/>
      <c r="P41" s="96">
        <v>14.0802</v>
      </c>
      <c r="Q41" s="93"/>
      <c r="R41" s="96">
        <v>3.5057</v>
      </c>
      <c r="S41" s="93" t="s">
        <v>1458</v>
      </c>
      <c r="T41" s="96">
        <v>14.4611</v>
      </c>
      <c r="U41" s="93"/>
      <c r="V41" s="92">
        <v>559327</v>
      </c>
      <c r="W41" s="93"/>
      <c r="X41" s="97">
        <v>577077</v>
      </c>
      <c r="Y41" s="93"/>
      <c r="Z41" s="92">
        <v>573726</v>
      </c>
      <c r="AA41" s="93"/>
      <c r="AB41" s="92">
        <v>3351</v>
      </c>
      <c r="AC41" s="93"/>
      <c r="AD41" s="92">
        <v>41389</v>
      </c>
      <c r="AE41" s="93"/>
      <c r="AF41" s="92">
        <v>40747</v>
      </c>
      <c r="AG41" s="93"/>
      <c r="AH41" s="92">
        <v>642</v>
      </c>
      <c r="AI41" s="93"/>
      <c r="AJ41" s="92">
        <v>562513</v>
      </c>
      <c r="AK41" s="93"/>
      <c r="AL41" s="92">
        <v>559161</v>
      </c>
      <c r="AM41" s="93"/>
      <c r="AN41" s="92">
        <v>40336</v>
      </c>
      <c r="AO41" s="93"/>
      <c r="AP41" s="98">
        <v>39693</v>
      </c>
      <c r="AQ41" s="93"/>
      <c r="AR41" s="92">
        <v>589245</v>
      </c>
      <c r="AS41" s="93"/>
      <c r="AT41" s="97">
        <v>2065735</v>
      </c>
      <c r="AU41" s="89" t="s">
        <v>1458</v>
      </c>
      <c r="AV41" s="99">
        <v>30.38</v>
      </c>
      <c r="AW41" s="89" t="s">
        <v>39</v>
      </c>
      <c r="AX41" s="89" t="s">
        <v>1459</v>
      </c>
    </row>
    <row r="42" spans="1:50">
      <c r="A42" s="89" t="s">
        <v>1513</v>
      </c>
      <c r="B42" s="89" t="s">
        <v>1514</v>
      </c>
      <c r="C42" s="89" t="s">
        <v>1515</v>
      </c>
      <c r="D42" s="90">
        <v>5015</v>
      </c>
      <c r="E42" s="91">
        <v>50015</v>
      </c>
      <c r="F42" s="89" t="s">
        <v>1451</v>
      </c>
      <c r="G42" s="89" t="s">
        <v>1437</v>
      </c>
      <c r="H42" s="92">
        <v>1780673</v>
      </c>
      <c r="I42" s="93">
        <v>418</v>
      </c>
      <c r="J42" s="89" t="s">
        <v>1438</v>
      </c>
      <c r="K42" s="89" t="s">
        <v>1439</v>
      </c>
      <c r="L42" s="94">
        <v>16</v>
      </c>
      <c r="M42" s="89"/>
      <c r="N42" s="95">
        <v>8</v>
      </c>
      <c r="O42" s="93"/>
      <c r="P42" s="96">
        <v>19.014700000000001</v>
      </c>
      <c r="Q42" s="93"/>
      <c r="R42" s="96">
        <v>6.9599000000000002</v>
      </c>
      <c r="S42" s="93" t="s">
        <v>1458</v>
      </c>
      <c r="T42" s="96">
        <v>20.605499999999999</v>
      </c>
      <c r="U42" s="93"/>
      <c r="V42" s="92">
        <v>2472057</v>
      </c>
      <c r="W42" s="93"/>
      <c r="X42" s="97">
        <v>2440418</v>
      </c>
      <c r="Y42" s="93"/>
      <c r="Z42" s="92">
        <v>2434523</v>
      </c>
      <c r="AA42" s="93"/>
      <c r="AB42" s="92">
        <v>5895</v>
      </c>
      <c r="AC42" s="93"/>
      <c r="AD42" s="92">
        <v>129302</v>
      </c>
      <c r="AE42" s="93"/>
      <c r="AF42" s="92">
        <v>128034</v>
      </c>
      <c r="AG42" s="93"/>
      <c r="AH42" s="92">
        <v>1268</v>
      </c>
      <c r="AI42" s="93"/>
      <c r="AJ42" s="92">
        <v>1238321</v>
      </c>
      <c r="AK42" s="93"/>
      <c r="AL42" s="92">
        <v>1235375</v>
      </c>
      <c r="AM42" s="93"/>
      <c r="AN42" s="92">
        <v>65610</v>
      </c>
      <c r="AO42" s="93"/>
      <c r="AP42" s="98">
        <v>64976</v>
      </c>
      <c r="AQ42" s="93"/>
      <c r="AR42" s="92">
        <v>2638201</v>
      </c>
      <c r="AS42" s="93"/>
      <c r="AT42" s="97">
        <v>18361515</v>
      </c>
      <c r="AU42" s="89" t="s">
        <v>1458</v>
      </c>
      <c r="AV42" s="99">
        <v>38.08</v>
      </c>
      <c r="AW42" s="89" t="s">
        <v>39</v>
      </c>
      <c r="AX42" s="89" t="s">
        <v>1459</v>
      </c>
    </row>
    <row r="43" spans="1:50">
      <c r="A43" s="89" t="s">
        <v>1516</v>
      </c>
      <c r="B43" s="89" t="s">
        <v>1517</v>
      </c>
      <c r="C43" s="89" t="s">
        <v>1518</v>
      </c>
      <c r="D43" s="90">
        <v>3083</v>
      </c>
      <c r="E43" s="91">
        <v>30083</v>
      </c>
      <c r="F43" s="89" t="s">
        <v>1451</v>
      </c>
      <c r="G43" s="89" t="s">
        <v>1437</v>
      </c>
      <c r="H43" s="92">
        <v>1439666</v>
      </c>
      <c r="I43" s="93">
        <v>417</v>
      </c>
      <c r="J43" s="89" t="s">
        <v>1445</v>
      </c>
      <c r="K43" s="89" t="s">
        <v>1439</v>
      </c>
      <c r="L43" s="94">
        <v>6</v>
      </c>
      <c r="M43" s="89"/>
      <c r="N43" s="95">
        <v>6</v>
      </c>
      <c r="O43" s="93"/>
      <c r="P43" s="96">
        <v>13.267099999999999</v>
      </c>
      <c r="Q43" s="93"/>
      <c r="R43" s="96">
        <v>3.2271999999999998</v>
      </c>
      <c r="S43" s="93"/>
      <c r="T43" s="96">
        <v>40.308999999999997</v>
      </c>
      <c r="U43" s="93"/>
      <c r="V43" s="92">
        <v>344336</v>
      </c>
      <c r="W43" s="93"/>
      <c r="X43" s="97">
        <v>344847</v>
      </c>
      <c r="Y43" s="93"/>
      <c r="Z43" s="92">
        <v>343618</v>
      </c>
      <c r="AA43" s="93"/>
      <c r="AB43" s="92">
        <v>1229</v>
      </c>
      <c r="AC43" s="93"/>
      <c r="AD43" s="92">
        <v>26101</v>
      </c>
      <c r="AE43" s="93"/>
      <c r="AF43" s="92">
        <v>25900</v>
      </c>
      <c r="AG43" s="93"/>
      <c r="AH43" s="92">
        <v>201</v>
      </c>
      <c r="AI43" s="93"/>
      <c r="AJ43" s="92">
        <v>344847</v>
      </c>
      <c r="AK43" s="93"/>
      <c r="AL43" s="92">
        <v>343618</v>
      </c>
      <c r="AM43" s="93"/>
      <c r="AN43" s="92">
        <v>26101</v>
      </c>
      <c r="AO43" s="93"/>
      <c r="AP43" s="98">
        <v>25900</v>
      </c>
      <c r="AQ43" s="93"/>
      <c r="AR43" s="92">
        <v>1044002</v>
      </c>
      <c r="AS43" s="93"/>
      <c r="AT43" s="97">
        <v>3369249</v>
      </c>
      <c r="AU43" s="89"/>
      <c r="AV43" s="99">
        <v>14.8</v>
      </c>
      <c r="AW43" s="89" t="s">
        <v>39</v>
      </c>
      <c r="AX43" s="89" t="s">
        <v>1440</v>
      </c>
    </row>
    <row r="44" spans="1:50">
      <c r="A44" s="89" t="s">
        <v>1519</v>
      </c>
      <c r="B44" s="89" t="s">
        <v>1520</v>
      </c>
      <c r="C44" s="89" t="s">
        <v>1521</v>
      </c>
      <c r="D44" s="90">
        <v>4008</v>
      </c>
      <c r="E44" s="91">
        <v>40008</v>
      </c>
      <c r="F44" s="89" t="s">
        <v>1477</v>
      </c>
      <c r="G44" s="89" t="s">
        <v>1437</v>
      </c>
      <c r="H44" s="92">
        <v>1249442</v>
      </c>
      <c r="I44" s="93">
        <v>409</v>
      </c>
      <c r="J44" s="89" t="s">
        <v>1445</v>
      </c>
      <c r="K44" s="89" t="s">
        <v>1439</v>
      </c>
      <c r="L44" s="94">
        <v>36</v>
      </c>
      <c r="M44" s="89"/>
      <c r="N44" s="95">
        <v>16</v>
      </c>
      <c r="O44" s="93"/>
      <c r="P44" s="96">
        <v>16.140799999999999</v>
      </c>
      <c r="Q44" s="93"/>
      <c r="R44" s="96">
        <v>5.1829999999999998</v>
      </c>
      <c r="S44" s="93"/>
      <c r="T44" s="96">
        <v>55.526200000000003</v>
      </c>
      <c r="U44" s="93"/>
      <c r="V44" s="92">
        <v>2178959</v>
      </c>
      <c r="W44" s="93"/>
      <c r="X44" s="97">
        <v>2267166</v>
      </c>
      <c r="Y44" s="93"/>
      <c r="Z44" s="92">
        <v>2110955</v>
      </c>
      <c r="AA44" s="93"/>
      <c r="AB44" s="92">
        <v>156211</v>
      </c>
      <c r="AC44" s="93"/>
      <c r="AD44" s="92">
        <v>138754</v>
      </c>
      <c r="AE44" s="93"/>
      <c r="AF44" s="92">
        <v>130784</v>
      </c>
      <c r="AG44" s="93"/>
      <c r="AH44" s="92">
        <v>7970</v>
      </c>
      <c r="AI44" s="93"/>
      <c r="AJ44" s="92">
        <v>1141671</v>
      </c>
      <c r="AK44" s="93"/>
      <c r="AL44" s="92">
        <v>1059265</v>
      </c>
      <c r="AM44" s="93"/>
      <c r="AN44" s="92">
        <v>69828</v>
      </c>
      <c r="AO44" s="93"/>
      <c r="AP44" s="98">
        <v>65622</v>
      </c>
      <c r="AQ44" s="93"/>
      <c r="AR44" s="92">
        <v>7261944</v>
      </c>
      <c r="AS44" s="93"/>
      <c r="AT44" s="97">
        <v>37638865</v>
      </c>
      <c r="AU44" s="89"/>
      <c r="AV44" s="99">
        <v>37.299999999999997</v>
      </c>
      <c r="AW44" s="89" t="s">
        <v>39</v>
      </c>
      <c r="AX44" s="89" t="s">
        <v>1440</v>
      </c>
    </row>
    <row r="45" spans="1:50">
      <c r="A45" s="89" t="s">
        <v>1522</v>
      </c>
      <c r="B45" s="89" t="s">
        <v>1523</v>
      </c>
      <c r="C45" s="89" t="s">
        <v>1524</v>
      </c>
      <c r="D45" s="90">
        <v>40</v>
      </c>
      <c r="E45" s="91">
        <v>40</v>
      </c>
      <c r="F45" s="89" t="s">
        <v>1451</v>
      </c>
      <c r="G45" s="89" t="s">
        <v>1437</v>
      </c>
      <c r="H45" s="92">
        <v>3059393</v>
      </c>
      <c r="I45" s="93">
        <v>381</v>
      </c>
      <c r="J45" s="89" t="s">
        <v>1445</v>
      </c>
      <c r="K45" s="89" t="s">
        <v>1439</v>
      </c>
      <c r="L45" s="94">
        <v>48</v>
      </c>
      <c r="M45" s="89"/>
      <c r="N45" s="95">
        <v>17</v>
      </c>
      <c r="O45" s="93"/>
      <c r="P45" s="96">
        <v>18.259</v>
      </c>
      <c r="Q45" s="93"/>
      <c r="R45" s="96">
        <v>6.3029999999999999</v>
      </c>
      <c r="S45" s="93"/>
      <c r="T45" s="96">
        <v>35.367199999999997</v>
      </c>
      <c r="U45" s="93"/>
      <c r="V45" s="92">
        <v>3994837</v>
      </c>
      <c r="W45" s="93"/>
      <c r="X45" s="97">
        <v>4168064</v>
      </c>
      <c r="Y45" s="93"/>
      <c r="Z45" s="92">
        <v>4078592</v>
      </c>
      <c r="AA45" s="93"/>
      <c r="AB45" s="92">
        <v>89472</v>
      </c>
      <c r="AC45" s="93"/>
      <c r="AD45" s="92">
        <v>233843</v>
      </c>
      <c r="AE45" s="93"/>
      <c r="AF45" s="92">
        <v>223374</v>
      </c>
      <c r="AG45" s="93"/>
      <c r="AH45" s="92">
        <v>10469</v>
      </c>
      <c r="AI45" s="93"/>
      <c r="AJ45" s="92">
        <v>1165448</v>
      </c>
      <c r="AK45" s="93"/>
      <c r="AL45" s="92">
        <v>1140397</v>
      </c>
      <c r="AM45" s="93"/>
      <c r="AN45" s="92">
        <v>65104</v>
      </c>
      <c r="AO45" s="93"/>
      <c r="AP45" s="98">
        <v>61879</v>
      </c>
      <c r="AQ45" s="93"/>
      <c r="AR45" s="92">
        <v>7900122</v>
      </c>
      <c r="AS45" s="93"/>
      <c r="AT45" s="97">
        <v>49794569</v>
      </c>
      <c r="AU45" s="89"/>
      <c r="AV45" s="99">
        <v>40.4</v>
      </c>
      <c r="AW45" s="89" t="s">
        <v>39</v>
      </c>
      <c r="AX45" s="89" t="s">
        <v>1440</v>
      </c>
    </row>
    <row r="46" spans="1:50">
      <c r="A46" s="89" t="s">
        <v>1522</v>
      </c>
      <c r="B46" s="89" t="s">
        <v>1523</v>
      </c>
      <c r="C46" s="89" t="s">
        <v>1524</v>
      </c>
      <c r="D46" s="90">
        <v>40</v>
      </c>
      <c r="E46" s="91">
        <v>40</v>
      </c>
      <c r="F46" s="89" t="s">
        <v>1451</v>
      </c>
      <c r="G46" s="89" t="s">
        <v>1437</v>
      </c>
      <c r="H46" s="92">
        <v>3059393</v>
      </c>
      <c r="I46" s="93">
        <v>381</v>
      </c>
      <c r="J46" s="89" t="s">
        <v>1447</v>
      </c>
      <c r="K46" s="89" t="s">
        <v>1446</v>
      </c>
      <c r="L46" s="94">
        <v>70</v>
      </c>
      <c r="M46" s="89"/>
      <c r="N46" s="95">
        <v>23</v>
      </c>
      <c r="O46" s="93"/>
      <c r="P46" s="96">
        <v>30.116700000000002</v>
      </c>
      <c r="Q46" s="93"/>
      <c r="R46" s="96">
        <v>25.192499999999999</v>
      </c>
      <c r="S46" s="93"/>
      <c r="T46" s="96">
        <v>24.971</v>
      </c>
      <c r="U46" s="93"/>
      <c r="V46" s="92">
        <v>1617729</v>
      </c>
      <c r="W46" s="93"/>
      <c r="X46" s="97">
        <v>1562310</v>
      </c>
      <c r="Y46" s="93"/>
      <c r="Z46" s="92">
        <v>1526737</v>
      </c>
      <c r="AA46" s="93"/>
      <c r="AB46" s="92">
        <v>35573</v>
      </c>
      <c r="AC46" s="93"/>
      <c r="AD46" s="92">
        <v>54020</v>
      </c>
      <c r="AE46" s="93"/>
      <c r="AF46" s="92">
        <v>50694</v>
      </c>
      <c r="AG46" s="93"/>
      <c r="AH46" s="92">
        <v>3326</v>
      </c>
      <c r="AI46" s="93"/>
      <c r="AJ46" s="92">
        <v>250453</v>
      </c>
      <c r="AK46" s="93"/>
      <c r="AL46" s="92">
        <v>244746</v>
      </c>
      <c r="AM46" s="93"/>
      <c r="AN46" s="92">
        <v>8818</v>
      </c>
      <c r="AO46" s="93"/>
      <c r="AP46" s="98">
        <v>8281</v>
      </c>
      <c r="AQ46" s="93"/>
      <c r="AR46" s="92">
        <v>1265882</v>
      </c>
      <c r="AS46" s="93"/>
      <c r="AT46" s="97">
        <v>31890678</v>
      </c>
      <c r="AU46" s="89"/>
      <c r="AV46" s="99">
        <v>163.84</v>
      </c>
      <c r="AW46" s="89" t="s">
        <v>39</v>
      </c>
      <c r="AX46" s="89" t="s">
        <v>1440</v>
      </c>
    </row>
    <row r="47" spans="1:50">
      <c r="A47" s="89" t="s">
        <v>1525</v>
      </c>
      <c r="B47" s="89" t="s">
        <v>1526</v>
      </c>
      <c r="C47" s="89" t="s">
        <v>1435</v>
      </c>
      <c r="D47" s="90">
        <v>2004</v>
      </c>
      <c r="E47" s="91">
        <v>20004</v>
      </c>
      <c r="F47" s="89" t="s">
        <v>1451</v>
      </c>
      <c r="G47" s="89" t="s">
        <v>1437</v>
      </c>
      <c r="H47" s="92">
        <v>935906</v>
      </c>
      <c r="I47" s="93">
        <v>359</v>
      </c>
      <c r="J47" s="89" t="s">
        <v>1445</v>
      </c>
      <c r="K47" s="89" t="s">
        <v>1439</v>
      </c>
      <c r="L47" s="94">
        <v>23</v>
      </c>
      <c r="M47" s="89"/>
      <c r="N47" s="95">
        <v>7</v>
      </c>
      <c r="O47" s="93"/>
      <c r="P47" s="96">
        <v>11.1447</v>
      </c>
      <c r="Q47" s="93"/>
      <c r="R47" s="96">
        <v>2.6665000000000001</v>
      </c>
      <c r="S47" s="93"/>
      <c r="T47" s="96">
        <v>48.610100000000003</v>
      </c>
      <c r="U47" s="93"/>
      <c r="V47" s="92">
        <v>962940</v>
      </c>
      <c r="W47" s="93"/>
      <c r="X47" s="97">
        <v>984827</v>
      </c>
      <c r="Y47" s="93"/>
      <c r="Z47" s="92">
        <v>968353</v>
      </c>
      <c r="AA47" s="93"/>
      <c r="AB47" s="92">
        <v>16474</v>
      </c>
      <c r="AC47" s="93"/>
      <c r="AD47" s="92">
        <v>91599</v>
      </c>
      <c r="AE47" s="93"/>
      <c r="AF47" s="92">
        <v>86889</v>
      </c>
      <c r="AG47" s="93"/>
      <c r="AH47" s="92">
        <v>4710</v>
      </c>
      <c r="AI47" s="93"/>
      <c r="AJ47" s="92">
        <v>347313</v>
      </c>
      <c r="AK47" s="93"/>
      <c r="AL47" s="92">
        <v>341503</v>
      </c>
      <c r="AM47" s="93"/>
      <c r="AN47" s="92">
        <v>32115</v>
      </c>
      <c r="AO47" s="93"/>
      <c r="AP47" s="98">
        <v>30462</v>
      </c>
      <c r="AQ47" s="93"/>
      <c r="AR47" s="92">
        <v>4223681</v>
      </c>
      <c r="AS47" s="93"/>
      <c r="AT47" s="97">
        <v>11262397</v>
      </c>
      <c r="AU47" s="89"/>
      <c r="AV47" s="99">
        <v>12.4</v>
      </c>
      <c r="AW47" s="89" t="s">
        <v>39</v>
      </c>
      <c r="AX47" s="89" t="s">
        <v>1440</v>
      </c>
    </row>
    <row r="48" spans="1:50">
      <c r="A48" s="89" t="s">
        <v>1527</v>
      </c>
      <c r="B48" s="89" t="s">
        <v>1528</v>
      </c>
      <c r="C48" s="89" t="s">
        <v>1450</v>
      </c>
      <c r="D48" s="90">
        <v>9019</v>
      </c>
      <c r="E48" s="91">
        <v>90019</v>
      </c>
      <c r="F48" s="89" t="s">
        <v>1451</v>
      </c>
      <c r="G48" s="89" t="s">
        <v>1437</v>
      </c>
      <c r="H48" s="92">
        <v>1723634</v>
      </c>
      <c r="I48" s="93">
        <v>331</v>
      </c>
      <c r="J48" s="89" t="s">
        <v>1445</v>
      </c>
      <c r="K48" s="89" t="s">
        <v>1439</v>
      </c>
      <c r="L48" s="94">
        <v>69</v>
      </c>
      <c r="M48" s="89"/>
      <c r="N48" s="95">
        <v>18</v>
      </c>
      <c r="O48" s="93"/>
      <c r="P48" s="96">
        <v>17.4438</v>
      </c>
      <c r="Q48" s="93"/>
      <c r="R48" s="96">
        <v>5.9108000000000001</v>
      </c>
      <c r="S48" s="93"/>
      <c r="T48" s="96">
        <v>43.433199999999999</v>
      </c>
      <c r="U48" s="93"/>
      <c r="V48" s="92">
        <v>3637080</v>
      </c>
      <c r="W48" s="93"/>
      <c r="X48" s="97">
        <v>3765256</v>
      </c>
      <c r="Y48" s="93"/>
      <c r="Z48" s="92">
        <v>3610107</v>
      </c>
      <c r="AA48" s="93"/>
      <c r="AB48" s="92">
        <v>155149</v>
      </c>
      <c r="AC48" s="93"/>
      <c r="AD48" s="92">
        <v>213385</v>
      </c>
      <c r="AE48" s="93"/>
      <c r="AF48" s="92">
        <v>206957</v>
      </c>
      <c r="AG48" s="93"/>
      <c r="AH48" s="92">
        <v>6428</v>
      </c>
      <c r="AI48" s="93"/>
      <c r="AJ48" s="92">
        <v>1757466</v>
      </c>
      <c r="AK48" s="93"/>
      <c r="AL48" s="92">
        <v>1710343</v>
      </c>
      <c r="AM48" s="93"/>
      <c r="AN48" s="92">
        <v>101083</v>
      </c>
      <c r="AO48" s="93"/>
      <c r="AP48" s="98">
        <v>98064</v>
      </c>
      <c r="AQ48" s="93"/>
      <c r="AR48" s="92">
        <v>8988806</v>
      </c>
      <c r="AS48" s="93"/>
      <c r="AT48" s="97">
        <v>53131252</v>
      </c>
      <c r="AU48" s="89"/>
      <c r="AV48" s="99">
        <v>84.92</v>
      </c>
      <c r="AW48" s="89" t="s">
        <v>39</v>
      </c>
      <c r="AX48" s="89" t="s">
        <v>1440</v>
      </c>
    </row>
    <row r="49" spans="1:50">
      <c r="A49" s="89" t="s">
        <v>1529</v>
      </c>
      <c r="B49" s="89" t="s">
        <v>1530</v>
      </c>
      <c r="C49" s="89" t="s">
        <v>1469</v>
      </c>
      <c r="D49" s="90">
        <v>6007</v>
      </c>
      <c r="E49" s="91">
        <v>60007</v>
      </c>
      <c r="F49" s="89" t="s">
        <v>1451</v>
      </c>
      <c r="G49" s="89" t="s">
        <v>1437</v>
      </c>
      <c r="H49" s="92">
        <v>5121892</v>
      </c>
      <c r="I49" s="93">
        <v>312</v>
      </c>
      <c r="J49" s="89" t="s">
        <v>1447</v>
      </c>
      <c r="K49" s="89" t="s">
        <v>1446</v>
      </c>
      <c r="L49" s="94">
        <v>20</v>
      </c>
      <c r="M49" s="89"/>
      <c r="N49" s="95">
        <v>5</v>
      </c>
      <c r="O49" s="93"/>
      <c r="P49" s="96">
        <v>19.5091</v>
      </c>
      <c r="Q49" s="93"/>
      <c r="R49" s="96">
        <v>15.8208</v>
      </c>
      <c r="S49" s="93" t="s">
        <v>1463</v>
      </c>
      <c r="T49" s="96">
        <v>2.8578999999999999</v>
      </c>
      <c r="U49" s="93" t="s">
        <v>1463</v>
      </c>
      <c r="V49" s="92">
        <v>2417541</v>
      </c>
      <c r="W49" s="93"/>
      <c r="X49" s="97">
        <v>2349671</v>
      </c>
      <c r="Y49" s="93"/>
      <c r="Z49" s="92">
        <v>2320998</v>
      </c>
      <c r="AA49" s="93"/>
      <c r="AB49" s="92">
        <v>28673</v>
      </c>
      <c r="AC49" s="93"/>
      <c r="AD49" s="92">
        <v>120510</v>
      </c>
      <c r="AE49" s="93"/>
      <c r="AF49" s="92">
        <v>118970</v>
      </c>
      <c r="AG49" s="93"/>
      <c r="AH49" s="92">
        <v>1540</v>
      </c>
      <c r="AI49" s="93"/>
      <c r="AJ49" s="92">
        <v>587418</v>
      </c>
      <c r="AK49" s="93"/>
      <c r="AL49" s="92">
        <v>580250</v>
      </c>
      <c r="AM49" s="93" t="s">
        <v>1463</v>
      </c>
      <c r="AN49" s="92">
        <v>30128</v>
      </c>
      <c r="AO49" s="93"/>
      <c r="AP49" s="98">
        <v>29743</v>
      </c>
      <c r="AQ49" s="93" t="s">
        <v>1463</v>
      </c>
      <c r="AR49" s="92">
        <v>340008</v>
      </c>
      <c r="AS49" s="93" t="s">
        <v>1463</v>
      </c>
      <c r="AT49" s="97">
        <v>5379214</v>
      </c>
      <c r="AU49" s="89" t="s">
        <v>1463</v>
      </c>
      <c r="AV49" s="99">
        <v>52.34</v>
      </c>
      <c r="AW49" s="89" t="s">
        <v>39</v>
      </c>
      <c r="AX49" s="89" t="s">
        <v>1459</v>
      </c>
    </row>
    <row r="50" spans="1:50">
      <c r="A50" s="89" t="s">
        <v>1531</v>
      </c>
      <c r="B50" s="89" t="s">
        <v>1482</v>
      </c>
      <c r="C50" s="89" t="s">
        <v>1443</v>
      </c>
      <c r="D50" s="90">
        <v>2098</v>
      </c>
      <c r="E50" s="91">
        <v>20098</v>
      </c>
      <c r="F50" s="89" t="s">
        <v>1451</v>
      </c>
      <c r="G50" s="89" t="s">
        <v>1437</v>
      </c>
      <c r="H50" s="92">
        <v>18351295</v>
      </c>
      <c r="I50" s="93">
        <v>310</v>
      </c>
      <c r="J50" s="89" t="s">
        <v>1438</v>
      </c>
      <c r="K50" s="89" t="s">
        <v>1439</v>
      </c>
      <c r="L50" s="94">
        <v>304</v>
      </c>
      <c r="M50" s="89"/>
      <c r="N50" s="95">
        <v>33</v>
      </c>
      <c r="O50" s="93"/>
      <c r="P50" s="96">
        <v>13.624599999999999</v>
      </c>
      <c r="Q50" s="93"/>
      <c r="R50" s="96">
        <v>5.0683999999999996</v>
      </c>
      <c r="S50" s="93"/>
      <c r="T50" s="96">
        <v>31.703499999999998</v>
      </c>
      <c r="U50" s="93"/>
      <c r="V50" s="92">
        <v>12823047</v>
      </c>
      <c r="W50" s="93"/>
      <c r="X50" s="97">
        <v>13103345</v>
      </c>
      <c r="Y50" s="93"/>
      <c r="Z50" s="92">
        <v>12744198</v>
      </c>
      <c r="AA50" s="93"/>
      <c r="AB50" s="92">
        <v>359147</v>
      </c>
      <c r="AC50" s="93"/>
      <c r="AD50" s="92">
        <v>954091</v>
      </c>
      <c r="AE50" s="93"/>
      <c r="AF50" s="92">
        <v>935379</v>
      </c>
      <c r="AG50" s="93"/>
      <c r="AH50" s="92">
        <v>18712</v>
      </c>
      <c r="AI50" s="93"/>
      <c r="AJ50" s="92">
        <v>1753804</v>
      </c>
      <c r="AK50" s="93"/>
      <c r="AL50" s="92">
        <v>1705415</v>
      </c>
      <c r="AM50" s="93"/>
      <c r="AN50" s="92">
        <v>129406</v>
      </c>
      <c r="AO50" s="93"/>
      <c r="AP50" s="98">
        <v>126903</v>
      </c>
      <c r="AQ50" s="93"/>
      <c r="AR50" s="92">
        <v>29654770</v>
      </c>
      <c r="AS50" s="93"/>
      <c r="AT50" s="97">
        <v>150302485</v>
      </c>
      <c r="AU50" s="89"/>
      <c r="AV50" s="99">
        <v>28.6</v>
      </c>
      <c r="AW50" s="89" t="s">
        <v>39</v>
      </c>
      <c r="AX50" s="89" t="s">
        <v>1440</v>
      </c>
    </row>
    <row r="51" spans="1:50">
      <c r="A51" s="89" t="s">
        <v>1532</v>
      </c>
      <c r="B51" s="89" t="s">
        <v>1533</v>
      </c>
      <c r="C51" s="89" t="s">
        <v>1450</v>
      </c>
      <c r="D51" s="90">
        <v>9030</v>
      </c>
      <c r="E51" s="91">
        <v>90030</v>
      </c>
      <c r="F51" s="89" t="s">
        <v>1451</v>
      </c>
      <c r="G51" s="89" t="s">
        <v>1437</v>
      </c>
      <c r="H51" s="92">
        <v>2956746</v>
      </c>
      <c r="I51" s="93">
        <v>205</v>
      </c>
      <c r="J51" s="89" t="s">
        <v>1447</v>
      </c>
      <c r="K51" s="89" t="s">
        <v>1446</v>
      </c>
      <c r="L51" s="94">
        <v>24</v>
      </c>
      <c r="M51" s="89"/>
      <c r="N51" s="95">
        <v>4</v>
      </c>
      <c r="O51" s="93"/>
      <c r="P51" s="96">
        <v>31.677499999999998</v>
      </c>
      <c r="Q51" s="93"/>
      <c r="R51" s="96">
        <v>26.441199999999998</v>
      </c>
      <c r="S51" s="93"/>
      <c r="T51" s="96">
        <v>25.204499999999999</v>
      </c>
      <c r="U51" s="93"/>
      <c r="V51" s="92">
        <v>1181583</v>
      </c>
      <c r="W51" s="93"/>
      <c r="X51" s="97">
        <v>1254334</v>
      </c>
      <c r="Y51" s="93"/>
      <c r="Z51" s="92">
        <v>1186577</v>
      </c>
      <c r="AA51" s="93"/>
      <c r="AB51" s="92">
        <v>67757</v>
      </c>
      <c r="AC51" s="93"/>
      <c r="AD51" s="92">
        <v>42212</v>
      </c>
      <c r="AE51" s="93"/>
      <c r="AF51" s="92">
        <v>37458</v>
      </c>
      <c r="AG51" s="93"/>
      <c r="AH51" s="92">
        <v>4754</v>
      </c>
      <c r="AI51" s="93"/>
      <c r="AJ51" s="92">
        <v>243076</v>
      </c>
      <c r="AK51" s="93"/>
      <c r="AL51" s="92">
        <v>230008</v>
      </c>
      <c r="AM51" s="93"/>
      <c r="AN51" s="92">
        <v>7881</v>
      </c>
      <c r="AO51" s="93"/>
      <c r="AP51" s="98">
        <v>7305</v>
      </c>
      <c r="AQ51" s="93"/>
      <c r="AR51" s="92">
        <v>944109</v>
      </c>
      <c r="AS51" s="93"/>
      <c r="AT51" s="97">
        <v>24963395</v>
      </c>
      <c r="AU51" s="89"/>
      <c r="AV51" s="99">
        <v>82.2</v>
      </c>
      <c r="AW51" s="89" t="s">
        <v>39</v>
      </c>
      <c r="AX51" s="89" t="s">
        <v>1440</v>
      </c>
    </row>
    <row r="52" spans="1:50">
      <c r="A52" s="89" t="s">
        <v>1534</v>
      </c>
      <c r="B52" s="89" t="s">
        <v>1449</v>
      </c>
      <c r="C52" s="89" t="s">
        <v>1450</v>
      </c>
      <c r="D52" s="90">
        <v>9151</v>
      </c>
      <c r="E52" s="91">
        <v>90151</v>
      </c>
      <c r="F52" s="89" t="s">
        <v>1451</v>
      </c>
      <c r="G52" s="89" t="s">
        <v>1437</v>
      </c>
      <c r="H52" s="92">
        <v>12150996</v>
      </c>
      <c r="I52" s="93">
        <v>195</v>
      </c>
      <c r="J52" s="89" t="s">
        <v>1447</v>
      </c>
      <c r="K52" s="89" t="s">
        <v>1446</v>
      </c>
      <c r="L52" s="94">
        <v>195</v>
      </c>
      <c r="M52" s="89"/>
      <c r="N52" s="95">
        <v>40</v>
      </c>
      <c r="O52" s="93"/>
      <c r="P52" s="96">
        <v>36.3401</v>
      </c>
      <c r="Q52" s="93"/>
      <c r="R52" s="96">
        <v>34.358199999999997</v>
      </c>
      <c r="S52" s="93" t="s">
        <v>1458</v>
      </c>
      <c r="T52" s="96">
        <v>26.057400000000001</v>
      </c>
      <c r="U52" s="93" t="s">
        <v>1458</v>
      </c>
      <c r="V52" s="92">
        <v>13061501</v>
      </c>
      <c r="W52" s="93"/>
      <c r="X52" s="97">
        <v>13618637</v>
      </c>
      <c r="Y52" s="93"/>
      <c r="Z52" s="92">
        <v>13049429</v>
      </c>
      <c r="AA52" s="93"/>
      <c r="AB52" s="92">
        <v>569208</v>
      </c>
      <c r="AC52" s="93"/>
      <c r="AD52" s="92">
        <v>387165</v>
      </c>
      <c r="AE52" s="93"/>
      <c r="AF52" s="92">
        <v>359092</v>
      </c>
      <c r="AG52" s="93"/>
      <c r="AH52" s="92">
        <v>28073</v>
      </c>
      <c r="AI52" s="93"/>
      <c r="AJ52" s="92">
        <v>2786037</v>
      </c>
      <c r="AK52" s="93"/>
      <c r="AL52" s="92">
        <v>2674879</v>
      </c>
      <c r="AM52" s="93"/>
      <c r="AN52" s="92">
        <v>80963</v>
      </c>
      <c r="AO52" s="93"/>
      <c r="AP52" s="98">
        <v>73871</v>
      </c>
      <c r="AQ52" s="93"/>
      <c r="AR52" s="92">
        <v>9357013</v>
      </c>
      <c r="AS52" s="93" t="s">
        <v>1458</v>
      </c>
      <c r="AT52" s="97">
        <v>321490316</v>
      </c>
      <c r="AU52" s="89" t="s">
        <v>1458</v>
      </c>
      <c r="AV52" s="99">
        <v>826.8</v>
      </c>
      <c r="AW52" s="89" t="s">
        <v>39</v>
      </c>
      <c r="AX52" s="89" t="s">
        <v>1459</v>
      </c>
    </row>
    <row r="53" spans="1:50">
      <c r="A53" s="89" t="s">
        <v>1535</v>
      </c>
      <c r="B53" s="89" t="s">
        <v>1536</v>
      </c>
      <c r="C53" s="89" t="s">
        <v>1450</v>
      </c>
      <c r="D53" s="90">
        <v>9134</v>
      </c>
      <c r="E53" s="91">
        <v>90134</v>
      </c>
      <c r="F53" s="89" t="s">
        <v>1451</v>
      </c>
      <c r="G53" s="89" t="s">
        <v>1437</v>
      </c>
      <c r="H53" s="92">
        <v>3281212</v>
      </c>
      <c r="I53" s="93">
        <v>141</v>
      </c>
      <c r="J53" s="89" t="s">
        <v>1447</v>
      </c>
      <c r="K53" s="89" t="s">
        <v>1446</v>
      </c>
      <c r="L53" s="94">
        <v>111</v>
      </c>
      <c r="M53" s="89"/>
      <c r="N53" s="95">
        <v>20</v>
      </c>
      <c r="O53" s="93"/>
      <c r="P53" s="96">
        <v>32.338700000000003</v>
      </c>
      <c r="Q53" s="93"/>
      <c r="R53" s="96">
        <v>22.0776</v>
      </c>
      <c r="S53" s="93"/>
      <c r="T53" s="96">
        <v>68.261899999999997</v>
      </c>
      <c r="U53" s="93"/>
      <c r="V53" s="92">
        <v>6469218</v>
      </c>
      <c r="W53" s="93"/>
      <c r="X53" s="97">
        <v>6644705</v>
      </c>
      <c r="Y53" s="93"/>
      <c r="Z53" s="92">
        <v>6486852</v>
      </c>
      <c r="AA53" s="93"/>
      <c r="AB53" s="92">
        <v>157853</v>
      </c>
      <c r="AC53" s="93"/>
      <c r="AD53" s="92">
        <v>216487</v>
      </c>
      <c r="AE53" s="93"/>
      <c r="AF53" s="92">
        <v>200591</v>
      </c>
      <c r="AG53" s="93"/>
      <c r="AH53" s="92">
        <v>15896</v>
      </c>
      <c r="AI53" s="93"/>
      <c r="AJ53" s="92">
        <v>1179829</v>
      </c>
      <c r="AK53" s="93"/>
      <c r="AL53" s="92">
        <v>1151035</v>
      </c>
      <c r="AM53" s="93"/>
      <c r="AN53" s="92">
        <v>38509</v>
      </c>
      <c r="AO53" s="93"/>
      <c r="AP53" s="98">
        <v>35662</v>
      </c>
      <c r="AQ53" s="93"/>
      <c r="AR53" s="92">
        <v>13692716</v>
      </c>
      <c r="AS53" s="93"/>
      <c r="AT53" s="97">
        <v>302302869</v>
      </c>
      <c r="AU53" s="89"/>
      <c r="AV53" s="99">
        <v>153.68</v>
      </c>
      <c r="AW53" s="89" t="s">
        <v>39</v>
      </c>
      <c r="AX53" s="89" t="s">
        <v>1440</v>
      </c>
    </row>
    <row r="54" spans="1:50">
      <c r="A54" s="89" t="s">
        <v>1537</v>
      </c>
      <c r="B54" s="89" t="s">
        <v>1538</v>
      </c>
      <c r="C54" s="89" t="s">
        <v>1518</v>
      </c>
      <c r="D54" s="90">
        <v>3073</v>
      </c>
      <c r="E54" s="91">
        <v>30073</v>
      </c>
      <c r="F54" s="89" t="s">
        <v>1451</v>
      </c>
      <c r="G54" s="89" t="s">
        <v>1437</v>
      </c>
      <c r="H54" s="92">
        <v>4586770</v>
      </c>
      <c r="I54" s="93">
        <v>99</v>
      </c>
      <c r="J54" s="89" t="s">
        <v>1447</v>
      </c>
      <c r="K54" s="89" t="s">
        <v>1446</v>
      </c>
      <c r="L54" s="94">
        <v>99</v>
      </c>
      <c r="M54" s="89"/>
      <c r="N54" s="95">
        <v>32</v>
      </c>
      <c r="O54" s="93"/>
      <c r="P54" s="96">
        <v>30.826899999999998</v>
      </c>
      <c r="Q54" s="93"/>
      <c r="R54" s="96">
        <v>30.3917</v>
      </c>
      <c r="S54" s="93"/>
      <c r="T54" s="96">
        <v>46.2879</v>
      </c>
      <c r="U54" s="93"/>
      <c r="V54" s="92">
        <v>2148620</v>
      </c>
      <c r="W54" s="93"/>
      <c r="X54" s="97">
        <v>2234620</v>
      </c>
      <c r="Y54" s="93"/>
      <c r="Z54" s="92">
        <v>2146074</v>
      </c>
      <c r="AA54" s="93"/>
      <c r="AB54" s="92">
        <v>88546</v>
      </c>
      <c r="AC54" s="93"/>
      <c r="AD54" s="92">
        <v>76838</v>
      </c>
      <c r="AE54" s="93"/>
      <c r="AF54" s="92">
        <v>69617</v>
      </c>
      <c r="AG54" s="93"/>
      <c r="AH54" s="92">
        <v>7221</v>
      </c>
      <c r="AI54" s="93"/>
      <c r="AJ54" s="92">
        <v>333795</v>
      </c>
      <c r="AK54" s="93"/>
      <c r="AL54" s="92">
        <v>320541</v>
      </c>
      <c r="AM54" s="93"/>
      <c r="AN54" s="92">
        <v>11411</v>
      </c>
      <c r="AO54" s="93"/>
      <c r="AP54" s="98">
        <v>10330</v>
      </c>
      <c r="AQ54" s="93"/>
      <c r="AR54" s="92">
        <v>3222428</v>
      </c>
      <c r="AS54" s="93"/>
      <c r="AT54" s="97">
        <v>97935058</v>
      </c>
      <c r="AU54" s="89"/>
      <c r="AV54" s="99">
        <v>173.62</v>
      </c>
      <c r="AW54" s="89" t="s">
        <v>39</v>
      </c>
      <c r="AX54" s="89" t="s">
        <v>1440</v>
      </c>
    </row>
    <row r="55" spans="1:50">
      <c r="A55" s="89" t="s">
        <v>1539</v>
      </c>
      <c r="B55" s="89" t="s">
        <v>1540</v>
      </c>
      <c r="C55" s="89" t="s">
        <v>1443</v>
      </c>
      <c r="D55" s="90">
        <v>2075</v>
      </c>
      <c r="E55" s="91">
        <v>20075</v>
      </c>
      <c r="F55" s="89" t="s">
        <v>1451</v>
      </c>
      <c r="G55" s="89" t="s">
        <v>1437</v>
      </c>
      <c r="H55" s="92">
        <v>5441567</v>
      </c>
      <c r="I55" s="93">
        <v>78</v>
      </c>
      <c r="J55" s="89" t="s">
        <v>1438</v>
      </c>
      <c r="K55" s="89" t="s">
        <v>1439</v>
      </c>
      <c r="L55" s="94">
        <v>78</v>
      </c>
      <c r="M55" s="89"/>
      <c r="N55" s="95">
        <v>11</v>
      </c>
      <c r="O55" s="93"/>
      <c r="P55" s="96">
        <v>31.0718</v>
      </c>
      <c r="Q55" s="93"/>
      <c r="R55" s="96">
        <v>8.5806000000000004</v>
      </c>
      <c r="S55" s="93"/>
      <c r="T55" s="96">
        <v>27.423500000000001</v>
      </c>
      <c r="U55" s="93"/>
      <c r="V55" s="92">
        <v>5618718</v>
      </c>
      <c r="W55" s="93"/>
      <c r="X55" s="97">
        <v>4662890</v>
      </c>
      <c r="Y55" s="93"/>
      <c r="Z55" s="92">
        <v>4474868</v>
      </c>
      <c r="AA55" s="93"/>
      <c r="AB55" s="92">
        <v>188022</v>
      </c>
      <c r="AC55" s="93"/>
      <c r="AD55" s="92">
        <v>154306</v>
      </c>
      <c r="AE55" s="93"/>
      <c r="AF55" s="92">
        <v>144017</v>
      </c>
      <c r="AG55" s="93"/>
      <c r="AH55" s="92">
        <v>10289</v>
      </c>
      <c r="AI55" s="93"/>
      <c r="AJ55" s="92">
        <v>899973</v>
      </c>
      <c r="AK55" s="93"/>
      <c r="AL55" s="92">
        <v>836001</v>
      </c>
      <c r="AM55" s="93"/>
      <c r="AN55" s="92">
        <v>31034</v>
      </c>
      <c r="AO55" s="93"/>
      <c r="AP55" s="98">
        <v>28828</v>
      </c>
      <c r="AQ55" s="93"/>
      <c r="AR55" s="92">
        <v>3949450</v>
      </c>
      <c r="AS55" s="93"/>
      <c r="AT55" s="97">
        <v>33888694</v>
      </c>
      <c r="AU55" s="89"/>
      <c r="AV55" s="99">
        <v>31.5</v>
      </c>
      <c r="AW55" s="89" t="s">
        <v>39</v>
      </c>
      <c r="AX55" s="89" t="s">
        <v>1440</v>
      </c>
    </row>
    <row r="56" spans="1:50">
      <c r="A56" s="89" t="s">
        <v>1541</v>
      </c>
      <c r="B56" s="89" t="s">
        <v>1542</v>
      </c>
      <c r="C56" s="89" t="s">
        <v>1543</v>
      </c>
      <c r="D56" s="90">
        <v>5104</v>
      </c>
      <c r="E56" s="91">
        <v>50104</v>
      </c>
      <c r="F56" s="89" t="s">
        <v>1451</v>
      </c>
      <c r="G56" s="89" t="s">
        <v>1437</v>
      </c>
      <c r="H56" s="92">
        <v>8608208</v>
      </c>
      <c r="I56" s="93">
        <v>70</v>
      </c>
      <c r="J56" s="89" t="s">
        <v>1447</v>
      </c>
      <c r="K56" s="89" t="s">
        <v>1439</v>
      </c>
      <c r="L56" s="94">
        <v>70</v>
      </c>
      <c r="M56" s="89"/>
      <c r="N56" s="95">
        <v>17</v>
      </c>
      <c r="O56" s="93"/>
      <c r="P56" s="96">
        <v>34.768900000000002</v>
      </c>
      <c r="Q56" s="93"/>
      <c r="R56" s="96">
        <v>33</v>
      </c>
      <c r="S56" s="93"/>
      <c r="T56" s="96">
        <v>8.8186</v>
      </c>
      <c r="U56" s="93"/>
      <c r="V56" s="92">
        <v>4013838</v>
      </c>
      <c r="W56" s="93"/>
      <c r="X56" s="97">
        <v>3988838</v>
      </c>
      <c r="Y56" s="93"/>
      <c r="Z56" s="92">
        <v>3923145</v>
      </c>
      <c r="AA56" s="93"/>
      <c r="AB56" s="92">
        <v>65693</v>
      </c>
      <c r="AC56" s="93"/>
      <c r="AD56" s="92">
        <v>114811</v>
      </c>
      <c r="AE56" s="93"/>
      <c r="AF56" s="92">
        <v>112835</v>
      </c>
      <c r="AG56" s="93"/>
      <c r="AH56" s="92">
        <v>1976</v>
      </c>
      <c r="AI56" s="93"/>
      <c r="AJ56" s="92">
        <v>739801</v>
      </c>
      <c r="AK56" s="93"/>
      <c r="AL56" s="92">
        <v>724288</v>
      </c>
      <c r="AM56" s="93"/>
      <c r="AN56" s="92">
        <v>21331</v>
      </c>
      <c r="AO56" s="93"/>
      <c r="AP56" s="98">
        <v>20981</v>
      </c>
      <c r="AQ56" s="93"/>
      <c r="AR56" s="92">
        <v>995049</v>
      </c>
      <c r="AS56" s="93"/>
      <c r="AT56" s="97">
        <v>32836617</v>
      </c>
      <c r="AU56" s="89"/>
      <c r="AV56" s="99">
        <v>179.8</v>
      </c>
      <c r="AW56" s="89" t="s">
        <v>39</v>
      </c>
      <c r="AX56" s="89" t="s">
        <v>1440</v>
      </c>
    </row>
    <row r="57" spans="1:50">
      <c r="A57" s="89" t="s">
        <v>1544</v>
      </c>
      <c r="B57" s="89" t="s">
        <v>1545</v>
      </c>
      <c r="C57" s="89" t="s">
        <v>1476</v>
      </c>
      <c r="D57" s="90">
        <v>4077</v>
      </c>
      <c r="E57" s="91">
        <v>40077</v>
      </c>
      <c r="F57" s="89" t="s">
        <v>1451</v>
      </c>
      <c r="G57" s="89" t="s">
        <v>1437</v>
      </c>
      <c r="H57" s="92">
        <v>5502379</v>
      </c>
      <c r="I57" s="93">
        <v>65</v>
      </c>
      <c r="J57" s="89" t="s">
        <v>1447</v>
      </c>
      <c r="K57" s="89" t="s">
        <v>1446</v>
      </c>
      <c r="L57" s="94">
        <v>43</v>
      </c>
      <c r="M57" s="89"/>
      <c r="N57" s="95">
        <v>10</v>
      </c>
      <c r="O57" s="93"/>
      <c r="P57" s="96">
        <v>27.9588</v>
      </c>
      <c r="Q57" s="93"/>
      <c r="R57" s="96">
        <v>27.164899999999999</v>
      </c>
      <c r="S57" s="93"/>
      <c r="T57" s="96">
        <v>31.171099999999999</v>
      </c>
      <c r="U57" s="93"/>
      <c r="V57" s="92">
        <v>3327000</v>
      </c>
      <c r="W57" s="93"/>
      <c r="X57" s="97">
        <v>3379135</v>
      </c>
      <c r="Y57" s="93"/>
      <c r="Z57" s="92">
        <v>3159070</v>
      </c>
      <c r="AA57" s="93"/>
      <c r="AB57" s="92">
        <v>220065</v>
      </c>
      <c r="AC57" s="93"/>
      <c r="AD57" s="92">
        <v>125765</v>
      </c>
      <c r="AE57" s="93"/>
      <c r="AF57" s="92">
        <v>112990</v>
      </c>
      <c r="AG57" s="93"/>
      <c r="AH57" s="92">
        <v>12775</v>
      </c>
      <c r="AI57" s="93"/>
      <c r="AJ57" s="92">
        <v>1016844</v>
      </c>
      <c r="AK57" s="93"/>
      <c r="AL57" s="92">
        <v>958905</v>
      </c>
      <c r="AM57" s="93"/>
      <c r="AN57" s="92">
        <v>37346</v>
      </c>
      <c r="AO57" s="93"/>
      <c r="AP57" s="98">
        <v>33681</v>
      </c>
      <c r="AQ57" s="93"/>
      <c r="AR57" s="92">
        <v>3522017</v>
      </c>
      <c r="AS57" s="93"/>
      <c r="AT57" s="97">
        <v>95675095</v>
      </c>
      <c r="AU57" s="89"/>
      <c r="AV57" s="99">
        <v>142.24</v>
      </c>
      <c r="AW57" s="89" t="s">
        <v>39</v>
      </c>
      <c r="AX57" s="89" t="s">
        <v>1440</v>
      </c>
    </row>
    <row r="58" spans="1:50">
      <c r="A58" s="89" t="s">
        <v>1546</v>
      </c>
      <c r="B58" s="89" t="s">
        <v>1547</v>
      </c>
      <c r="C58" s="89" t="s">
        <v>1548</v>
      </c>
      <c r="D58" s="90">
        <v>6111</v>
      </c>
      <c r="E58" s="91">
        <v>60111</v>
      </c>
      <c r="F58" s="89" t="s">
        <v>1451</v>
      </c>
      <c r="G58" s="89" t="s">
        <v>1437</v>
      </c>
      <c r="H58" s="92">
        <v>741318</v>
      </c>
      <c r="I58" s="93">
        <v>58</v>
      </c>
      <c r="J58" s="89" t="s">
        <v>1447</v>
      </c>
      <c r="K58" s="89" t="s">
        <v>1446</v>
      </c>
      <c r="L58" s="94">
        <v>25</v>
      </c>
      <c r="M58" s="89"/>
      <c r="N58" s="95">
        <v>7</v>
      </c>
      <c r="O58" s="93"/>
      <c r="P58" s="96">
        <v>37.376199999999997</v>
      </c>
      <c r="Q58" s="93"/>
      <c r="R58" s="96">
        <v>46.606200000000001</v>
      </c>
      <c r="S58" s="93"/>
      <c r="T58" s="96">
        <v>20.342199999999998</v>
      </c>
      <c r="U58" s="93"/>
      <c r="V58" s="92">
        <v>949106</v>
      </c>
      <c r="W58" s="93"/>
      <c r="X58" s="97">
        <v>965030</v>
      </c>
      <c r="Y58" s="93"/>
      <c r="Z58" s="92">
        <v>948235</v>
      </c>
      <c r="AA58" s="93"/>
      <c r="AB58" s="92">
        <v>16795</v>
      </c>
      <c r="AC58" s="93"/>
      <c r="AD58" s="92">
        <v>26411</v>
      </c>
      <c r="AE58" s="93"/>
      <c r="AF58" s="92">
        <v>25370</v>
      </c>
      <c r="AG58" s="93"/>
      <c r="AH58" s="92">
        <v>1041</v>
      </c>
      <c r="AI58" s="93"/>
      <c r="AJ58" s="92">
        <v>350454</v>
      </c>
      <c r="AK58" s="93"/>
      <c r="AL58" s="92">
        <v>318879</v>
      </c>
      <c r="AM58" s="93"/>
      <c r="AN58" s="92">
        <v>8899</v>
      </c>
      <c r="AO58" s="93"/>
      <c r="AP58" s="98">
        <v>8580</v>
      </c>
      <c r="AQ58" s="93"/>
      <c r="AR58" s="92">
        <v>516082</v>
      </c>
      <c r="AS58" s="93"/>
      <c r="AT58" s="97">
        <v>24052625</v>
      </c>
      <c r="AU58" s="89"/>
      <c r="AV58" s="99">
        <v>193.1</v>
      </c>
      <c r="AW58" s="89" t="s">
        <v>39</v>
      </c>
      <c r="AX58" s="89" t="s">
        <v>1440</v>
      </c>
    </row>
    <row r="59" spans="1:50">
      <c r="A59" s="89" t="s">
        <v>1549</v>
      </c>
      <c r="B59" s="89" t="s">
        <v>1550</v>
      </c>
      <c r="C59" s="89" t="s">
        <v>1551</v>
      </c>
      <c r="D59" s="90">
        <v>4094</v>
      </c>
      <c r="E59" s="91">
        <v>40094</v>
      </c>
      <c r="F59" s="89" t="s">
        <v>1473</v>
      </c>
      <c r="G59" s="89" t="s">
        <v>1437</v>
      </c>
      <c r="H59" s="92">
        <v>2148346</v>
      </c>
      <c r="I59" s="93">
        <v>54</v>
      </c>
      <c r="J59" s="89" t="s">
        <v>1438</v>
      </c>
      <c r="K59" s="89" t="s">
        <v>1446</v>
      </c>
      <c r="L59" s="94">
        <v>32</v>
      </c>
      <c r="M59" s="89"/>
      <c r="N59" s="95">
        <v>8</v>
      </c>
      <c r="O59" s="93"/>
      <c r="P59" s="96">
        <v>18.242100000000001</v>
      </c>
      <c r="Q59" s="93"/>
      <c r="R59" s="96">
        <v>4.7439</v>
      </c>
      <c r="S59" s="93"/>
      <c r="T59" s="96">
        <v>48.951300000000003</v>
      </c>
      <c r="U59" s="93"/>
      <c r="V59" s="92">
        <v>1280494</v>
      </c>
      <c r="W59" s="93"/>
      <c r="X59" s="97">
        <v>1388955</v>
      </c>
      <c r="Y59" s="93"/>
      <c r="Z59" s="92">
        <v>1315913</v>
      </c>
      <c r="AA59" s="93"/>
      <c r="AB59" s="92">
        <v>73042</v>
      </c>
      <c r="AC59" s="93"/>
      <c r="AD59" s="92">
        <v>75239</v>
      </c>
      <c r="AE59" s="93"/>
      <c r="AF59" s="92">
        <v>72136</v>
      </c>
      <c r="AG59" s="93"/>
      <c r="AH59" s="92">
        <v>3103</v>
      </c>
      <c r="AI59" s="93"/>
      <c r="AJ59" s="92">
        <v>434149</v>
      </c>
      <c r="AK59" s="93"/>
      <c r="AL59" s="92">
        <v>411208</v>
      </c>
      <c r="AM59" s="93"/>
      <c r="AN59" s="92">
        <v>23224</v>
      </c>
      <c r="AO59" s="93"/>
      <c r="AP59" s="98">
        <v>22380</v>
      </c>
      <c r="AQ59" s="93"/>
      <c r="AR59" s="92">
        <v>3531150</v>
      </c>
      <c r="AS59" s="93"/>
      <c r="AT59" s="97">
        <v>16751299</v>
      </c>
      <c r="AU59" s="89"/>
      <c r="AV59" s="99">
        <v>20.62</v>
      </c>
      <c r="AW59" s="89" t="s">
        <v>39</v>
      </c>
      <c r="AX59" s="89" t="s">
        <v>1440</v>
      </c>
    </row>
    <row r="60" spans="1:50">
      <c r="A60" s="89" t="s">
        <v>1552</v>
      </c>
      <c r="B60" s="89" t="s">
        <v>1553</v>
      </c>
      <c r="C60" s="89" t="s">
        <v>1554</v>
      </c>
      <c r="D60" s="90">
        <v>4159</v>
      </c>
      <c r="E60" s="91">
        <v>40159</v>
      </c>
      <c r="F60" s="89" t="s">
        <v>1451</v>
      </c>
      <c r="G60" s="89" t="s">
        <v>1437</v>
      </c>
      <c r="H60" s="92">
        <v>969587</v>
      </c>
      <c r="I60" s="93">
        <v>46</v>
      </c>
      <c r="J60" s="89" t="s">
        <v>1447</v>
      </c>
      <c r="K60" s="89" t="s">
        <v>1446</v>
      </c>
      <c r="L60" s="94">
        <v>8</v>
      </c>
      <c r="M60" s="89"/>
      <c r="N60" s="95">
        <v>2</v>
      </c>
      <c r="O60" s="93"/>
      <c r="P60" s="96">
        <v>27.200099999999999</v>
      </c>
      <c r="Q60" s="93"/>
      <c r="R60" s="96">
        <v>15.894600000000001</v>
      </c>
      <c r="S60" s="93"/>
      <c r="T60" s="96">
        <v>31.578299999999999</v>
      </c>
      <c r="U60" s="93"/>
      <c r="V60" s="92">
        <v>185032</v>
      </c>
      <c r="W60" s="93"/>
      <c r="X60" s="97">
        <v>208873</v>
      </c>
      <c r="Y60" s="93"/>
      <c r="Z60" s="92">
        <v>184417</v>
      </c>
      <c r="AA60" s="93"/>
      <c r="AB60" s="92">
        <v>24456</v>
      </c>
      <c r="AC60" s="93"/>
      <c r="AD60" s="92">
        <v>9329</v>
      </c>
      <c r="AE60" s="93"/>
      <c r="AF60" s="92">
        <v>6780</v>
      </c>
      <c r="AG60" s="93"/>
      <c r="AH60" s="92">
        <v>2549</v>
      </c>
      <c r="AI60" s="93"/>
      <c r="AJ60" s="92">
        <v>80763</v>
      </c>
      <c r="AK60" s="93"/>
      <c r="AL60" s="92">
        <v>75873</v>
      </c>
      <c r="AM60" s="93"/>
      <c r="AN60" s="92">
        <v>3127</v>
      </c>
      <c r="AO60" s="93"/>
      <c r="AP60" s="98">
        <v>2616</v>
      </c>
      <c r="AQ60" s="93"/>
      <c r="AR60" s="92">
        <v>214101</v>
      </c>
      <c r="AS60" s="93"/>
      <c r="AT60" s="97">
        <v>3403059</v>
      </c>
      <c r="AU60" s="89"/>
      <c r="AV60" s="99">
        <v>62.8</v>
      </c>
      <c r="AW60" s="89" t="s">
        <v>39</v>
      </c>
      <c r="AX60" s="89" t="s">
        <v>1440</v>
      </c>
    </row>
    <row r="61" spans="1:50">
      <c r="A61" s="89" t="s">
        <v>1555</v>
      </c>
      <c r="B61" s="89" t="s">
        <v>1556</v>
      </c>
      <c r="C61" s="89" t="s">
        <v>1435</v>
      </c>
      <c r="D61" s="90">
        <v>2099</v>
      </c>
      <c r="E61" s="91">
        <v>20099</v>
      </c>
      <c r="F61" s="89" t="s">
        <v>1436</v>
      </c>
      <c r="G61" s="89" t="s">
        <v>1437</v>
      </c>
      <c r="H61" s="92">
        <v>18351295</v>
      </c>
      <c r="I61" s="93">
        <v>44</v>
      </c>
      <c r="J61" s="89" t="s">
        <v>1438</v>
      </c>
      <c r="K61" s="89" t="s">
        <v>1439</v>
      </c>
      <c r="L61" s="94">
        <v>44</v>
      </c>
      <c r="M61" s="89"/>
      <c r="N61" s="95">
        <v>11</v>
      </c>
      <c r="O61" s="93"/>
      <c r="P61" s="96">
        <v>14.9787</v>
      </c>
      <c r="Q61" s="93"/>
      <c r="R61" s="96">
        <v>6.2369000000000003</v>
      </c>
      <c r="S61" s="93"/>
      <c r="T61" s="96">
        <v>20.2651</v>
      </c>
      <c r="U61" s="93"/>
      <c r="V61" s="92">
        <v>2119585</v>
      </c>
      <c r="W61" s="93"/>
      <c r="X61" s="97">
        <v>2255067</v>
      </c>
      <c r="Y61" s="93"/>
      <c r="Z61" s="92">
        <v>2005981</v>
      </c>
      <c r="AA61" s="93"/>
      <c r="AB61" s="92">
        <v>249086</v>
      </c>
      <c r="AC61" s="93"/>
      <c r="AD61" s="92">
        <v>144198</v>
      </c>
      <c r="AE61" s="93"/>
      <c r="AF61" s="92">
        <v>133922</v>
      </c>
      <c r="AG61" s="93"/>
      <c r="AH61" s="92">
        <v>10276</v>
      </c>
      <c r="AI61" s="93"/>
      <c r="AJ61" s="92">
        <v>563767</v>
      </c>
      <c r="AK61" s="93"/>
      <c r="AL61" s="92">
        <v>501496</v>
      </c>
      <c r="AM61" s="93"/>
      <c r="AN61" s="92">
        <v>36049</v>
      </c>
      <c r="AO61" s="93"/>
      <c r="AP61" s="98">
        <v>33480</v>
      </c>
      <c r="AQ61" s="93"/>
      <c r="AR61" s="92">
        <v>2713941</v>
      </c>
      <c r="AS61" s="93"/>
      <c r="AT61" s="97">
        <v>16926538</v>
      </c>
      <c r="AU61" s="89"/>
      <c r="AV61" s="99">
        <v>28.6</v>
      </c>
      <c r="AW61" s="89" t="s">
        <v>39</v>
      </c>
      <c r="AX61" s="89" t="s">
        <v>1440</v>
      </c>
    </row>
    <row r="62" spans="1:50">
      <c r="A62" s="89" t="s">
        <v>1557</v>
      </c>
      <c r="B62" s="89" t="s">
        <v>1558</v>
      </c>
      <c r="C62" s="89" t="s">
        <v>1559</v>
      </c>
      <c r="D62" s="90">
        <v>1102</v>
      </c>
      <c r="E62" s="91">
        <v>10102</v>
      </c>
      <c r="F62" s="89" t="s">
        <v>1473</v>
      </c>
      <c r="G62" s="89" t="s">
        <v>1437</v>
      </c>
      <c r="H62" s="92">
        <v>924859</v>
      </c>
      <c r="I62" s="93">
        <v>43</v>
      </c>
      <c r="J62" s="89" t="s">
        <v>1447</v>
      </c>
      <c r="K62" s="89" t="s">
        <v>1446</v>
      </c>
      <c r="L62" s="94">
        <v>28</v>
      </c>
      <c r="M62" s="89"/>
      <c r="N62" s="95">
        <v>5</v>
      </c>
      <c r="O62" s="93"/>
      <c r="P62" s="96">
        <v>41.5304</v>
      </c>
      <c r="Q62" s="93"/>
      <c r="R62" s="96">
        <v>26.974699999999999</v>
      </c>
      <c r="S62" s="93"/>
      <c r="T62" s="96">
        <v>14.137</v>
      </c>
      <c r="U62" s="93"/>
      <c r="V62" s="92">
        <v>1532134</v>
      </c>
      <c r="W62" s="93"/>
      <c r="X62" s="97">
        <v>1717047</v>
      </c>
      <c r="Y62" s="93"/>
      <c r="Z62" s="92">
        <v>1403229</v>
      </c>
      <c r="AA62" s="93"/>
      <c r="AB62" s="92">
        <v>313818</v>
      </c>
      <c r="AC62" s="93"/>
      <c r="AD62" s="92">
        <v>40817</v>
      </c>
      <c r="AE62" s="93"/>
      <c r="AF62" s="92">
        <v>33788</v>
      </c>
      <c r="AG62" s="93"/>
      <c r="AH62" s="92">
        <v>7029</v>
      </c>
      <c r="AI62" s="93"/>
      <c r="AJ62" s="92">
        <v>501997</v>
      </c>
      <c r="AK62" s="93"/>
      <c r="AL62" s="92">
        <v>418641</v>
      </c>
      <c r="AM62" s="93"/>
      <c r="AN62" s="92">
        <v>11906</v>
      </c>
      <c r="AO62" s="93"/>
      <c r="AP62" s="98">
        <v>9943</v>
      </c>
      <c r="AQ62" s="93"/>
      <c r="AR62" s="92">
        <v>477660</v>
      </c>
      <c r="AS62" s="93"/>
      <c r="AT62" s="97">
        <v>12884750</v>
      </c>
      <c r="AU62" s="89"/>
      <c r="AV62" s="99">
        <v>101.2</v>
      </c>
      <c r="AW62" s="89" t="s">
        <v>39</v>
      </c>
      <c r="AX62" s="89" t="s">
        <v>1440</v>
      </c>
    </row>
    <row r="63" spans="1:50">
      <c r="A63" s="89" t="s">
        <v>1560</v>
      </c>
      <c r="B63" s="89" t="s">
        <v>1561</v>
      </c>
      <c r="C63" s="89" t="s">
        <v>1562</v>
      </c>
      <c r="D63" s="90">
        <v>9209</v>
      </c>
      <c r="E63" s="91">
        <v>90209</v>
      </c>
      <c r="F63" s="89" t="s">
        <v>1444</v>
      </c>
      <c r="G63" s="89" t="s">
        <v>1437</v>
      </c>
      <c r="H63" s="92">
        <v>3629114</v>
      </c>
      <c r="I63" s="93">
        <v>38</v>
      </c>
      <c r="J63" s="89" t="s">
        <v>1445</v>
      </c>
      <c r="K63" s="89" t="s">
        <v>1446</v>
      </c>
      <c r="L63" s="94">
        <v>38</v>
      </c>
      <c r="M63" s="89"/>
      <c r="N63" s="95">
        <v>17</v>
      </c>
      <c r="O63" s="93"/>
      <c r="P63" s="96">
        <v>15.732699999999999</v>
      </c>
      <c r="Q63" s="93"/>
      <c r="R63" s="96">
        <v>7.0598999999999998</v>
      </c>
      <c r="S63" s="93"/>
      <c r="T63" s="96">
        <v>59.326099999999997</v>
      </c>
      <c r="U63" s="93"/>
      <c r="V63" s="92">
        <v>3379368</v>
      </c>
      <c r="W63" s="93"/>
      <c r="X63" s="97">
        <v>3435184</v>
      </c>
      <c r="Y63" s="93"/>
      <c r="Z63" s="92">
        <v>3401452</v>
      </c>
      <c r="AA63" s="93"/>
      <c r="AB63" s="92">
        <v>33732</v>
      </c>
      <c r="AC63" s="93"/>
      <c r="AD63" s="92">
        <v>220467</v>
      </c>
      <c r="AE63" s="93"/>
      <c r="AF63" s="92">
        <v>216203</v>
      </c>
      <c r="AG63" s="93"/>
      <c r="AH63" s="92">
        <v>4264</v>
      </c>
      <c r="AI63" s="93"/>
      <c r="AJ63" s="92">
        <v>1639416</v>
      </c>
      <c r="AK63" s="93"/>
      <c r="AL63" s="92">
        <v>1623906</v>
      </c>
      <c r="AM63" s="93"/>
      <c r="AN63" s="92">
        <v>105253</v>
      </c>
      <c r="AO63" s="93"/>
      <c r="AP63" s="98">
        <v>103186</v>
      </c>
      <c r="AQ63" s="93"/>
      <c r="AR63" s="92">
        <v>12826471</v>
      </c>
      <c r="AS63" s="93"/>
      <c r="AT63" s="97">
        <v>90553779</v>
      </c>
      <c r="AU63" s="89"/>
      <c r="AV63" s="99">
        <v>54.48</v>
      </c>
      <c r="AW63" s="89" t="s">
        <v>39</v>
      </c>
      <c r="AX63" s="89" t="s">
        <v>1440</v>
      </c>
    </row>
    <row r="64" spans="1:50">
      <c r="A64" s="89" t="s">
        <v>1563</v>
      </c>
      <c r="B64" s="89" t="s">
        <v>1564</v>
      </c>
      <c r="C64" s="89" t="s">
        <v>1450</v>
      </c>
      <c r="D64" s="90">
        <v>9182</v>
      </c>
      <c r="E64" s="91">
        <v>90182</v>
      </c>
      <c r="F64" s="89" t="s">
        <v>1451</v>
      </c>
      <c r="G64" s="89" t="s">
        <v>1437</v>
      </c>
      <c r="H64" s="92">
        <v>370583</v>
      </c>
      <c r="I64" s="93">
        <v>35</v>
      </c>
      <c r="J64" s="89" t="s">
        <v>1447</v>
      </c>
      <c r="K64" s="89" t="s">
        <v>1446</v>
      </c>
      <c r="L64" s="94">
        <v>35</v>
      </c>
      <c r="M64" s="89"/>
      <c r="N64" s="95">
        <v>7</v>
      </c>
      <c r="O64" s="93"/>
      <c r="P64" s="96">
        <v>39.364699999999999</v>
      </c>
      <c r="Q64" s="93"/>
      <c r="R64" s="96">
        <v>43.7104</v>
      </c>
      <c r="S64" s="93"/>
      <c r="T64" s="96">
        <v>41.436999999999998</v>
      </c>
      <c r="U64" s="93"/>
      <c r="V64" s="92">
        <v>1050950</v>
      </c>
      <c r="W64" s="93"/>
      <c r="X64" s="97">
        <v>1050950</v>
      </c>
      <c r="Y64" s="93"/>
      <c r="Z64" s="92">
        <v>1008877</v>
      </c>
      <c r="AA64" s="93"/>
      <c r="AB64" s="92">
        <v>42073</v>
      </c>
      <c r="AC64" s="93"/>
      <c r="AD64" s="92">
        <v>31545</v>
      </c>
      <c r="AE64" s="93"/>
      <c r="AF64" s="92">
        <v>25629</v>
      </c>
      <c r="AG64" s="93"/>
      <c r="AH64" s="92">
        <v>5916</v>
      </c>
      <c r="AI64" s="93"/>
      <c r="AJ64" s="92">
        <v>168072</v>
      </c>
      <c r="AK64" s="93"/>
      <c r="AL64" s="92">
        <v>158131</v>
      </c>
      <c r="AM64" s="93"/>
      <c r="AN64" s="92">
        <v>4801</v>
      </c>
      <c r="AO64" s="93"/>
      <c r="AP64" s="98">
        <v>4126</v>
      </c>
      <c r="AQ64" s="93"/>
      <c r="AR64" s="92">
        <v>1061990</v>
      </c>
      <c r="AS64" s="93"/>
      <c r="AT64" s="97">
        <v>46419957</v>
      </c>
      <c r="AU64" s="89"/>
      <c r="AV64" s="99">
        <v>172</v>
      </c>
      <c r="AW64" s="89" t="s">
        <v>39</v>
      </c>
      <c r="AX64" s="89" t="s">
        <v>1440</v>
      </c>
    </row>
    <row r="65" spans="1:50">
      <c r="A65" s="89" t="s">
        <v>1565</v>
      </c>
      <c r="B65" s="89" t="s">
        <v>1566</v>
      </c>
      <c r="C65" s="89" t="s">
        <v>1476</v>
      </c>
      <c r="D65" s="90">
        <v>4232</v>
      </c>
      <c r="E65" s="91">
        <v>40232</v>
      </c>
      <c r="F65" s="89" t="s">
        <v>1473</v>
      </c>
      <c r="G65" s="89" t="s">
        <v>1437</v>
      </c>
      <c r="H65" s="92">
        <v>1510516</v>
      </c>
      <c r="I65" s="93">
        <v>25</v>
      </c>
      <c r="J65" s="89" t="s">
        <v>1447</v>
      </c>
      <c r="K65" s="89" t="s">
        <v>1446</v>
      </c>
      <c r="L65" s="94">
        <v>25</v>
      </c>
      <c r="M65" s="89"/>
      <c r="N65" s="95">
        <v>7</v>
      </c>
      <c r="O65" s="93"/>
      <c r="P65" s="96">
        <v>27.875299999999999</v>
      </c>
      <c r="Q65" s="93"/>
      <c r="R65" s="96">
        <v>16.655999999999999</v>
      </c>
      <c r="S65" s="93"/>
      <c r="T65" s="96">
        <v>36.110199999999999</v>
      </c>
      <c r="U65" s="93"/>
      <c r="V65" s="92">
        <v>961119</v>
      </c>
      <c r="W65" s="93"/>
      <c r="X65" s="97">
        <v>987220</v>
      </c>
      <c r="Y65" s="93"/>
      <c r="Z65" s="92">
        <v>959969</v>
      </c>
      <c r="AA65" s="93"/>
      <c r="AB65" s="92">
        <v>27251</v>
      </c>
      <c r="AC65" s="93"/>
      <c r="AD65" s="92">
        <v>35457</v>
      </c>
      <c r="AE65" s="93"/>
      <c r="AF65" s="92">
        <v>34438</v>
      </c>
      <c r="AG65" s="93"/>
      <c r="AH65" s="92">
        <v>1019</v>
      </c>
      <c r="AI65" s="93"/>
      <c r="AJ65" s="92">
        <v>486222</v>
      </c>
      <c r="AK65" s="93"/>
      <c r="AL65" s="92">
        <v>472840</v>
      </c>
      <c r="AM65" s="93"/>
      <c r="AN65" s="92">
        <v>17449</v>
      </c>
      <c r="AO65" s="93"/>
      <c r="AP65" s="98">
        <v>16961</v>
      </c>
      <c r="AQ65" s="93"/>
      <c r="AR65" s="92">
        <v>1243563</v>
      </c>
      <c r="AS65" s="93"/>
      <c r="AT65" s="97">
        <v>20712830</v>
      </c>
      <c r="AU65" s="89"/>
      <c r="AV65" s="99">
        <v>97.94</v>
      </c>
      <c r="AW65" s="89" t="s">
        <v>39</v>
      </c>
      <c r="AX65" s="89" t="s">
        <v>1440</v>
      </c>
    </row>
    <row r="66" spans="1:50">
      <c r="A66" s="89" t="s">
        <v>1567</v>
      </c>
      <c r="B66" s="89" t="s">
        <v>1494</v>
      </c>
      <c r="C66" s="89" t="s">
        <v>1568</v>
      </c>
      <c r="D66" s="90">
        <v>1115</v>
      </c>
      <c r="E66" s="91">
        <v>10115</v>
      </c>
      <c r="F66" s="89" t="s">
        <v>1451</v>
      </c>
      <c r="G66" s="89" t="s">
        <v>1437</v>
      </c>
      <c r="H66" s="92">
        <v>203914</v>
      </c>
      <c r="I66" s="93">
        <v>21</v>
      </c>
      <c r="J66" s="89" t="s">
        <v>1447</v>
      </c>
      <c r="K66" s="89" t="s">
        <v>1446</v>
      </c>
      <c r="L66" s="94">
        <v>21</v>
      </c>
      <c r="M66" s="89"/>
      <c r="N66" s="95">
        <v>3</v>
      </c>
      <c r="O66" s="93"/>
      <c r="P66" s="96">
        <v>31.0428</v>
      </c>
      <c r="Q66" s="93"/>
      <c r="R66" s="96">
        <v>80.967200000000005</v>
      </c>
      <c r="S66" s="93"/>
      <c r="T66" s="96">
        <v>6.5294999999999996</v>
      </c>
      <c r="U66" s="93"/>
      <c r="V66" s="92">
        <v>2681492</v>
      </c>
      <c r="W66" s="93"/>
      <c r="X66" s="97">
        <v>1974842</v>
      </c>
      <c r="Y66" s="93"/>
      <c r="Z66" s="92">
        <v>1962156</v>
      </c>
      <c r="AA66" s="93"/>
      <c r="AB66" s="92">
        <v>12686</v>
      </c>
      <c r="AC66" s="93"/>
      <c r="AD66" s="92">
        <v>64602</v>
      </c>
      <c r="AE66" s="93"/>
      <c r="AF66" s="92">
        <v>63208</v>
      </c>
      <c r="AG66" s="93"/>
      <c r="AH66" s="92">
        <v>1394</v>
      </c>
      <c r="AI66" s="93"/>
      <c r="AJ66" s="92">
        <v>394968</v>
      </c>
      <c r="AK66" s="93"/>
      <c r="AL66" s="92">
        <v>392431</v>
      </c>
      <c r="AM66" s="93"/>
      <c r="AN66" s="92">
        <v>12909</v>
      </c>
      <c r="AO66" s="93"/>
      <c r="AP66" s="98">
        <v>12630</v>
      </c>
      <c r="AQ66" s="93"/>
      <c r="AR66" s="92">
        <v>412718</v>
      </c>
      <c r="AS66" s="93"/>
      <c r="AT66" s="97">
        <v>33416609</v>
      </c>
      <c r="AU66" s="89"/>
      <c r="AV66" s="99">
        <v>287.60000000000002</v>
      </c>
      <c r="AW66" s="89" t="s">
        <v>39</v>
      </c>
      <c r="AX66" s="89" t="s">
        <v>1440</v>
      </c>
    </row>
    <row r="67" spans="1:50">
      <c r="A67" s="89" t="s">
        <v>1569</v>
      </c>
      <c r="B67" s="89" t="s">
        <v>1570</v>
      </c>
      <c r="C67" s="89" t="s">
        <v>1466</v>
      </c>
      <c r="D67" s="90">
        <v>3057</v>
      </c>
      <c r="E67" s="91">
        <v>30057</v>
      </c>
      <c r="F67" s="89" t="s">
        <v>1473</v>
      </c>
      <c r="G67" s="89" t="s">
        <v>1437</v>
      </c>
      <c r="H67" s="92">
        <v>5441567</v>
      </c>
      <c r="I67" s="93">
        <v>20</v>
      </c>
      <c r="J67" s="89" t="s">
        <v>1447</v>
      </c>
      <c r="K67" s="89" t="s">
        <v>1446</v>
      </c>
      <c r="L67" s="94">
        <v>20</v>
      </c>
      <c r="M67" s="89"/>
      <c r="N67" s="95">
        <v>2</v>
      </c>
      <c r="O67" s="93"/>
      <c r="P67" s="96">
        <v>56.726300000000002</v>
      </c>
      <c r="Q67" s="93"/>
      <c r="R67" s="96">
        <v>86.293899999999994</v>
      </c>
      <c r="S67" s="93"/>
      <c r="T67" s="96">
        <v>20.154699999999998</v>
      </c>
      <c r="U67" s="93"/>
      <c r="V67" s="92">
        <v>2195188</v>
      </c>
      <c r="W67" s="93"/>
      <c r="X67" s="97">
        <v>1628329</v>
      </c>
      <c r="Y67" s="93"/>
      <c r="Z67" s="92">
        <v>1628329</v>
      </c>
      <c r="AA67" s="93"/>
      <c r="AB67" s="92">
        <v>0</v>
      </c>
      <c r="AC67" s="93"/>
      <c r="AD67" s="92">
        <v>28705</v>
      </c>
      <c r="AE67" s="93"/>
      <c r="AF67" s="92">
        <v>28705</v>
      </c>
      <c r="AG67" s="93"/>
      <c r="AH67" s="92">
        <v>0</v>
      </c>
      <c r="AI67" s="93"/>
      <c r="AJ67" s="92">
        <v>325666</v>
      </c>
      <c r="AK67" s="93"/>
      <c r="AL67" s="92">
        <v>325666</v>
      </c>
      <c r="AM67" s="93"/>
      <c r="AN67" s="92">
        <v>5741</v>
      </c>
      <c r="AO67" s="93"/>
      <c r="AP67" s="98">
        <v>5741</v>
      </c>
      <c r="AQ67" s="93"/>
      <c r="AR67" s="92">
        <v>578541</v>
      </c>
      <c r="AS67" s="93"/>
      <c r="AT67" s="97">
        <v>49924566</v>
      </c>
      <c r="AU67" s="89"/>
      <c r="AV67" s="99">
        <v>144.4</v>
      </c>
      <c r="AW67" s="89" t="s">
        <v>39</v>
      </c>
      <c r="AX67" s="89" t="s">
        <v>1440</v>
      </c>
    </row>
    <row r="68" spans="1:50">
      <c r="A68" s="89" t="s">
        <v>1571</v>
      </c>
      <c r="B68" s="89" t="s">
        <v>1572</v>
      </c>
      <c r="C68" s="89" t="s">
        <v>1450</v>
      </c>
      <c r="D68" s="90"/>
      <c r="E68" s="91">
        <v>90299</v>
      </c>
      <c r="F68" s="89" t="s">
        <v>1451</v>
      </c>
      <c r="G68" s="89" t="s">
        <v>1437</v>
      </c>
      <c r="H68" s="92">
        <v>308231</v>
      </c>
      <c r="I68" s="93">
        <v>12</v>
      </c>
      <c r="J68" s="89" t="s">
        <v>1447</v>
      </c>
      <c r="K68" s="89" t="s">
        <v>1439</v>
      </c>
      <c r="L68" s="94">
        <v>12</v>
      </c>
      <c r="M68" s="89"/>
      <c r="N68" s="95">
        <v>4</v>
      </c>
      <c r="O68" s="93"/>
      <c r="P68" s="96">
        <v>28.331499999999998</v>
      </c>
      <c r="Q68" s="93"/>
      <c r="R68" s="96">
        <v>23.8338</v>
      </c>
      <c r="S68" s="93"/>
      <c r="T68" s="96">
        <v>19.559999999999999</v>
      </c>
      <c r="U68" s="93"/>
      <c r="V68" s="92">
        <v>857003</v>
      </c>
      <c r="W68" s="93"/>
      <c r="X68" s="97">
        <v>833350</v>
      </c>
      <c r="Y68" s="93"/>
      <c r="Z68" s="92">
        <v>821415</v>
      </c>
      <c r="AA68" s="93"/>
      <c r="AB68" s="92">
        <v>11935</v>
      </c>
      <c r="AC68" s="93"/>
      <c r="AD68" s="92">
        <v>30370</v>
      </c>
      <c r="AE68" s="93"/>
      <c r="AF68" s="92">
        <v>28993</v>
      </c>
      <c r="AG68" s="93"/>
      <c r="AH68" s="92">
        <v>1377</v>
      </c>
      <c r="AI68" s="93"/>
      <c r="AJ68" s="92">
        <v>389580</v>
      </c>
      <c r="AK68" s="93"/>
      <c r="AL68" s="92">
        <v>384000</v>
      </c>
      <c r="AM68" s="93"/>
      <c r="AN68" s="92">
        <v>14198</v>
      </c>
      <c r="AO68" s="93"/>
      <c r="AP68" s="98">
        <v>13554</v>
      </c>
      <c r="AQ68" s="93"/>
      <c r="AR68" s="92">
        <v>567103</v>
      </c>
      <c r="AS68" s="93"/>
      <c r="AT68" s="97">
        <v>13516234</v>
      </c>
      <c r="AU68" s="89"/>
      <c r="AV68" s="99">
        <v>90.1</v>
      </c>
      <c r="AW68" s="89" t="s">
        <v>39</v>
      </c>
      <c r="AX68" s="89" t="s">
        <v>1440</v>
      </c>
    </row>
    <row r="71" spans="1:50">
      <c r="N71" s="100">
        <f>SUM(N2:N68)</f>
        <v>2748</v>
      </c>
    </row>
  </sheetData>
  <autoFilter ref="A1:AX1" xr:uid="{50A8C45A-5858-4D09-AFE0-B39F437E1794}"/>
  <conditionalFormatting sqref="A2:AX68">
    <cfRule type="expression" dxfId="3" priority="1">
      <formula>MOD(ROW(),2)=0</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B8CD84-8696-4795-9CB2-6149DC7D2AA0}">
  <dimension ref="A1:BG70"/>
  <sheetViews>
    <sheetView workbookViewId="0"/>
    <sheetView workbookViewId="1"/>
  </sheetViews>
  <sheetFormatPr defaultRowHeight="14.75"/>
  <cols>
    <col min="12" max="12" width="11.26953125" customWidth="1"/>
    <col min="13" max="13" width="11.1328125" bestFit="1" customWidth="1"/>
    <col min="14" max="14" width="11.7265625" customWidth="1"/>
    <col min="25" max="25" width="12.7265625" customWidth="1"/>
    <col min="29" max="29" width="11.1328125" customWidth="1"/>
    <col min="40" max="40" width="11.1328125" customWidth="1"/>
  </cols>
  <sheetData>
    <row r="1" spans="1:59" ht="64.25">
      <c r="A1" s="102" t="s">
        <v>1383</v>
      </c>
      <c r="B1" s="102" t="s">
        <v>1384</v>
      </c>
      <c r="C1" s="103" t="s">
        <v>1385</v>
      </c>
      <c r="D1" s="104" t="s">
        <v>1386</v>
      </c>
      <c r="E1" s="105" t="s">
        <v>1387</v>
      </c>
      <c r="F1" s="106" t="s">
        <v>1388</v>
      </c>
      <c r="G1" s="107" t="s">
        <v>1390</v>
      </c>
      <c r="H1" s="107" t="s">
        <v>1391</v>
      </c>
      <c r="I1" s="106" t="s">
        <v>1392</v>
      </c>
      <c r="J1" s="106" t="s">
        <v>1573</v>
      </c>
      <c r="K1" s="106" t="s">
        <v>1394</v>
      </c>
      <c r="L1" s="106" t="s">
        <v>1574</v>
      </c>
      <c r="M1" s="107" t="s">
        <v>1575</v>
      </c>
      <c r="N1" s="107" t="s">
        <v>1576</v>
      </c>
      <c r="O1" s="107" t="s">
        <v>1577</v>
      </c>
      <c r="P1" s="107" t="s">
        <v>1578</v>
      </c>
      <c r="Q1" s="107" t="s">
        <v>1579</v>
      </c>
      <c r="R1" s="107" t="s">
        <v>1580</v>
      </c>
      <c r="S1" s="107" t="s">
        <v>1581</v>
      </c>
      <c r="T1" s="107" t="s">
        <v>1582</v>
      </c>
      <c r="U1" s="107" t="s">
        <v>1583</v>
      </c>
      <c r="V1" s="107" t="s">
        <v>1584</v>
      </c>
      <c r="W1" s="107" t="s">
        <v>1585</v>
      </c>
      <c r="X1" s="107" t="s">
        <v>1586</v>
      </c>
      <c r="Y1" s="107" t="s">
        <v>1587</v>
      </c>
      <c r="Z1" s="107" t="s">
        <v>1588</v>
      </c>
      <c r="AA1" s="107" t="s">
        <v>1589</v>
      </c>
      <c r="AB1" s="107" t="s">
        <v>1590</v>
      </c>
      <c r="AC1" s="108" t="s">
        <v>1591</v>
      </c>
      <c r="AD1" s="109" t="s">
        <v>201</v>
      </c>
      <c r="AE1" s="109" t="s">
        <v>1592</v>
      </c>
      <c r="AF1" s="109" t="s">
        <v>1593</v>
      </c>
      <c r="AG1" s="109" t="s">
        <v>1594</v>
      </c>
      <c r="AH1" s="109" t="s">
        <v>1595</v>
      </c>
      <c r="AI1" s="109" t="s">
        <v>1596</v>
      </c>
      <c r="AJ1" s="109" t="s">
        <v>214</v>
      </c>
      <c r="AK1" s="109" t="s">
        <v>1597</v>
      </c>
      <c r="AL1" s="109" t="s">
        <v>1598</v>
      </c>
      <c r="AM1" s="109" t="s">
        <v>1599</v>
      </c>
      <c r="AN1" s="109" t="s">
        <v>1600</v>
      </c>
      <c r="AO1" s="109" t="s">
        <v>1601</v>
      </c>
      <c r="AP1" s="109" t="s">
        <v>1602</v>
      </c>
      <c r="AQ1" s="109" t="s">
        <v>1603</v>
      </c>
      <c r="AR1" s="110" t="s">
        <v>1604</v>
      </c>
      <c r="AS1" s="111" t="s">
        <v>1605</v>
      </c>
      <c r="AT1" s="111" t="s">
        <v>1606</v>
      </c>
      <c r="AU1" s="111" t="s">
        <v>1607</v>
      </c>
      <c r="AV1" s="111" t="s">
        <v>1608</v>
      </c>
      <c r="AW1" s="111" t="s">
        <v>1609</v>
      </c>
      <c r="AX1" s="111" t="s">
        <v>1610</v>
      </c>
      <c r="AY1" s="111" t="s">
        <v>1611</v>
      </c>
      <c r="AZ1" s="111" t="s">
        <v>1612</v>
      </c>
      <c r="BA1" s="111" t="s">
        <v>1613</v>
      </c>
      <c r="BB1" s="111" t="s">
        <v>1614</v>
      </c>
      <c r="BC1" s="111" t="s">
        <v>1615</v>
      </c>
      <c r="BD1" s="111" t="s">
        <v>1616</v>
      </c>
      <c r="BE1" s="111" t="s">
        <v>1617</v>
      </c>
      <c r="BF1" s="111" t="s">
        <v>1618</v>
      </c>
      <c r="BG1" s="106" t="s">
        <v>1619</v>
      </c>
    </row>
    <row r="2" spans="1:59">
      <c r="A2" s="112" t="s">
        <v>1433</v>
      </c>
      <c r="B2" s="112" t="s">
        <v>1434</v>
      </c>
      <c r="C2" s="113" t="s">
        <v>1435</v>
      </c>
      <c r="D2" s="114">
        <v>2008</v>
      </c>
      <c r="E2" s="115">
        <v>20008</v>
      </c>
      <c r="F2" s="113" t="s">
        <v>1436</v>
      </c>
      <c r="G2" s="116">
        <v>18351295</v>
      </c>
      <c r="H2" s="117">
        <v>10427</v>
      </c>
      <c r="I2" s="113" t="s">
        <v>1438</v>
      </c>
      <c r="J2" s="118" t="s">
        <v>1439</v>
      </c>
      <c r="K2" s="118">
        <v>5413</v>
      </c>
      <c r="L2" s="119"/>
      <c r="M2" s="120">
        <v>0</v>
      </c>
      <c r="N2" s="120"/>
      <c r="O2" s="120">
        <v>0</v>
      </c>
      <c r="P2" s="120"/>
      <c r="Q2" s="120">
        <v>0</v>
      </c>
      <c r="R2" s="120"/>
      <c r="S2" s="120">
        <v>0</v>
      </c>
      <c r="T2" s="120"/>
      <c r="U2" s="120">
        <v>0</v>
      </c>
      <c r="V2" s="120"/>
      <c r="W2" s="120">
        <v>0</v>
      </c>
      <c r="X2" s="120"/>
      <c r="Y2" s="120">
        <v>1596235000</v>
      </c>
      <c r="Z2" s="120"/>
      <c r="AA2" s="117">
        <v>0</v>
      </c>
      <c r="AB2" s="121"/>
      <c r="AC2" s="122"/>
      <c r="AD2" s="121">
        <v>0</v>
      </c>
      <c r="AE2" s="121"/>
      <c r="AF2" s="121">
        <v>0</v>
      </c>
      <c r="AG2" s="121"/>
      <c r="AH2" s="121">
        <v>0</v>
      </c>
      <c r="AI2" s="121"/>
      <c r="AJ2" s="121">
        <v>0</v>
      </c>
      <c r="AK2" s="121"/>
      <c r="AL2" s="121">
        <v>0</v>
      </c>
      <c r="AM2" s="121"/>
      <c r="AN2" s="121">
        <v>335497633</v>
      </c>
      <c r="AO2" s="121"/>
      <c r="AP2" s="121">
        <v>0</v>
      </c>
      <c r="AQ2" s="112"/>
      <c r="AR2" s="123"/>
      <c r="AS2" s="124"/>
      <c r="AT2" s="124"/>
      <c r="AU2" s="124"/>
      <c r="AV2" s="124"/>
      <c r="AW2" s="124"/>
      <c r="AX2" s="124"/>
      <c r="AY2" s="124"/>
      <c r="AZ2" s="124"/>
      <c r="BA2" s="124"/>
      <c r="BB2" s="124"/>
      <c r="BC2" s="124">
        <v>0.2102</v>
      </c>
      <c r="BD2" s="124"/>
      <c r="BE2" s="124"/>
      <c r="BF2" s="112"/>
      <c r="BG2" s="112" t="s">
        <v>1440</v>
      </c>
    </row>
    <row r="3" spans="1:59">
      <c r="A3" s="112" t="s">
        <v>1441</v>
      </c>
      <c r="B3" s="112" t="s">
        <v>1442</v>
      </c>
      <c r="C3" s="113" t="s">
        <v>1443</v>
      </c>
      <c r="D3" s="114">
        <v>2080</v>
      </c>
      <c r="E3" s="115">
        <v>20080</v>
      </c>
      <c r="F3" s="113" t="s">
        <v>1444</v>
      </c>
      <c r="G3" s="116">
        <v>18351295</v>
      </c>
      <c r="H3" s="117">
        <v>3646</v>
      </c>
      <c r="I3" s="113" t="s">
        <v>1447</v>
      </c>
      <c r="J3" s="118" t="s">
        <v>1439</v>
      </c>
      <c r="K3" s="118">
        <v>904</v>
      </c>
      <c r="L3" s="119"/>
      <c r="M3" s="120">
        <v>13166567</v>
      </c>
      <c r="N3" s="120"/>
      <c r="O3" s="120">
        <v>0</v>
      </c>
      <c r="P3" s="120"/>
      <c r="Q3" s="120">
        <v>0</v>
      </c>
      <c r="R3" s="120"/>
      <c r="S3" s="120">
        <v>0</v>
      </c>
      <c r="T3" s="120"/>
      <c r="U3" s="120">
        <v>0</v>
      </c>
      <c r="V3" s="120"/>
      <c r="W3" s="120">
        <v>0</v>
      </c>
      <c r="X3" s="120"/>
      <c r="Y3" s="120">
        <v>359673989</v>
      </c>
      <c r="Z3" s="120"/>
      <c r="AA3" s="117">
        <v>0</v>
      </c>
      <c r="AB3" s="121"/>
      <c r="AC3" s="122"/>
      <c r="AD3" s="121">
        <v>2485889</v>
      </c>
      <c r="AE3" s="121"/>
      <c r="AF3" s="121">
        <v>0</v>
      </c>
      <c r="AG3" s="121"/>
      <c r="AH3" s="121">
        <v>0</v>
      </c>
      <c r="AI3" s="121"/>
      <c r="AJ3" s="121">
        <v>0</v>
      </c>
      <c r="AK3" s="121"/>
      <c r="AL3" s="121">
        <v>1663636</v>
      </c>
      <c r="AM3" s="121"/>
      <c r="AN3" s="121">
        <v>8381067</v>
      </c>
      <c r="AO3" s="121"/>
      <c r="AP3" s="121">
        <v>0</v>
      </c>
      <c r="AQ3" s="112"/>
      <c r="AR3" s="123"/>
      <c r="AS3" s="124">
        <v>0.1888</v>
      </c>
      <c r="AT3" s="124"/>
      <c r="AU3" s="124"/>
      <c r="AV3" s="124"/>
      <c r="AW3" s="124"/>
      <c r="AX3" s="124"/>
      <c r="AY3" s="124"/>
      <c r="AZ3" s="124"/>
      <c r="BA3" s="124"/>
      <c r="BB3" s="124"/>
      <c r="BC3" s="124">
        <v>2.3300000000000001E-2</v>
      </c>
      <c r="BD3" s="124"/>
      <c r="BE3" s="124"/>
      <c r="BF3" s="112"/>
      <c r="BG3" s="112" t="s">
        <v>1440</v>
      </c>
    </row>
    <row r="4" spans="1:59">
      <c r="A4" s="112" t="s">
        <v>1441</v>
      </c>
      <c r="B4" s="112" t="s">
        <v>1442</v>
      </c>
      <c r="C4" s="113" t="s">
        <v>1443</v>
      </c>
      <c r="D4" s="114">
        <v>2080</v>
      </c>
      <c r="E4" s="115">
        <v>20080</v>
      </c>
      <c r="F4" s="113" t="s">
        <v>1444</v>
      </c>
      <c r="G4" s="116">
        <v>18351295</v>
      </c>
      <c r="H4" s="117">
        <v>3646</v>
      </c>
      <c r="I4" s="113" t="s">
        <v>1445</v>
      </c>
      <c r="J4" s="118" t="s">
        <v>1446</v>
      </c>
      <c r="K4" s="118">
        <v>42</v>
      </c>
      <c r="L4" s="119"/>
      <c r="M4" s="120">
        <v>0</v>
      </c>
      <c r="N4" s="120"/>
      <c r="O4" s="120">
        <v>0</v>
      </c>
      <c r="P4" s="120"/>
      <c r="Q4" s="120">
        <v>0</v>
      </c>
      <c r="R4" s="120"/>
      <c r="S4" s="120">
        <v>0</v>
      </c>
      <c r="T4" s="120"/>
      <c r="U4" s="120">
        <v>0</v>
      </c>
      <c r="V4" s="120"/>
      <c r="W4" s="120">
        <v>0</v>
      </c>
      <c r="X4" s="120"/>
      <c r="Y4" s="120">
        <v>27163871</v>
      </c>
      <c r="Z4" s="120"/>
      <c r="AA4" s="117">
        <v>0</v>
      </c>
      <c r="AB4" s="121"/>
      <c r="AC4" s="122"/>
      <c r="AD4" s="121">
        <v>0</v>
      </c>
      <c r="AE4" s="121"/>
      <c r="AF4" s="121">
        <v>0</v>
      </c>
      <c r="AG4" s="121"/>
      <c r="AH4" s="121">
        <v>0</v>
      </c>
      <c r="AI4" s="121"/>
      <c r="AJ4" s="121">
        <v>0</v>
      </c>
      <c r="AK4" s="121"/>
      <c r="AL4" s="121">
        <v>0</v>
      </c>
      <c r="AM4" s="121"/>
      <c r="AN4" s="121">
        <v>2073346</v>
      </c>
      <c r="AO4" s="121"/>
      <c r="AP4" s="121">
        <v>0</v>
      </c>
      <c r="AQ4" s="112"/>
      <c r="AR4" s="123"/>
      <c r="AS4" s="124"/>
      <c r="AT4" s="124"/>
      <c r="AU4" s="124"/>
      <c r="AV4" s="124"/>
      <c r="AW4" s="124"/>
      <c r="AX4" s="124"/>
      <c r="AY4" s="124"/>
      <c r="AZ4" s="124"/>
      <c r="BA4" s="124"/>
      <c r="BB4" s="124"/>
      <c r="BC4" s="124">
        <v>7.6300000000000007E-2</v>
      </c>
      <c r="BD4" s="124"/>
      <c r="BE4" s="124"/>
      <c r="BF4" s="112"/>
      <c r="BG4" s="112" t="s">
        <v>1440</v>
      </c>
    </row>
    <row r="5" spans="1:59">
      <c r="A5" s="112" t="s">
        <v>1441</v>
      </c>
      <c r="B5" s="112" t="s">
        <v>1442</v>
      </c>
      <c r="C5" s="113" t="s">
        <v>1443</v>
      </c>
      <c r="D5" s="114">
        <v>2080</v>
      </c>
      <c r="E5" s="115">
        <v>20080</v>
      </c>
      <c r="F5" s="113" t="s">
        <v>1444</v>
      </c>
      <c r="G5" s="116">
        <v>18351295</v>
      </c>
      <c r="H5" s="117">
        <v>3646</v>
      </c>
      <c r="I5" s="113" t="s">
        <v>1445</v>
      </c>
      <c r="J5" s="118" t="s">
        <v>1439</v>
      </c>
      <c r="K5" s="118">
        <v>15</v>
      </c>
      <c r="L5" s="119"/>
      <c r="M5" s="120">
        <v>0</v>
      </c>
      <c r="N5" s="120"/>
      <c r="O5" s="120">
        <v>0</v>
      </c>
      <c r="P5" s="120"/>
      <c r="Q5" s="120">
        <v>0</v>
      </c>
      <c r="R5" s="120"/>
      <c r="S5" s="120">
        <v>0</v>
      </c>
      <c r="T5" s="120"/>
      <c r="U5" s="120">
        <v>0</v>
      </c>
      <c r="V5" s="120"/>
      <c r="W5" s="120">
        <v>0</v>
      </c>
      <c r="X5" s="120"/>
      <c r="Y5" s="120">
        <v>6694675</v>
      </c>
      <c r="Z5" s="120"/>
      <c r="AA5" s="117">
        <v>0</v>
      </c>
      <c r="AB5" s="121"/>
      <c r="AC5" s="122"/>
      <c r="AD5" s="121">
        <v>0</v>
      </c>
      <c r="AE5" s="121"/>
      <c r="AF5" s="121">
        <v>0</v>
      </c>
      <c r="AG5" s="121"/>
      <c r="AH5" s="121">
        <v>0</v>
      </c>
      <c r="AI5" s="121"/>
      <c r="AJ5" s="121">
        <v>0</v>
      </c>
      <c r="AK5" s="121"/>
      <c r="AL5" s="121">
        <v>0</v>
      </c>
      <c r="AM5" s="121"/>
      <c r="AN5" s="121">
        <v>492775</v>
      </c>
      <c r="AO5" s="121"/>
      <c r="AP5" s="121">
        <v>0</v>
      </c>
      <c r="AQ5" s="112"/>
      <c r="AR5" s="123"/>
      <c r="AS5" s="124"/>
      <c r="AT5" s="124"/>
      <c r="AU5" s="124"/>
      <c r="AV5" s="124"/>
      <c r="AW5" s="124"/>
      <c r="AX5" s="124"/>
      <c r="AY5" s="124"/>
      <c r="AZ5" s="124"/>
      <c r="BA5" s="124"/>
      <c r="BB5" s="124"/>
      <c r="BC5" s="124">
        <v>7.3599999999999999E-2</v>
      </c>
      <c r="BD5" s="124"/>
      <c r="BE5" s="124"/>
      <c r="BF5" s="112"/>
      <c r="BG5" s="112" t="s">
        <v>1440</v>
      </c>
    </row>
    <row r="6" spans="1:59">
      <c r="A6" s="112" t="s">
        <v>1448</v>
      </c>
      <c r="B6" s="112" t="s">
        <v>1449</v>
      </c>
      <c r="C6" s="113" t="s">
        <v>1450</v>
      </c>
      <c r="D6" s="114">
        <v>9154</v>
      </c>
      <c r="E6" s="115">
        <v>90154</v>
      </c>
      <c r="F6" s="113" t="s">
        <v>1451</v>
      </c>
      <c r="G6" s="116">
        <v>12150996</v>
      </c>
      <c r="H6" s="117">
        <v>3482</v>
      </c>
      <c r="I6" s="113" t="s">
        <v>1438</v>
      </c>
      <c r="J6" s="118" t="s">
        <v>1439</v>
      </c>
      <c r="K6" s="118">
        <v>68</v>
      </c>
      <c r="L6" s="119"/>
      <c r="M6" s="120">
        <v>0</v>
      </c>
      <c r="N6" s="120"/>
      <c r="O6" s="120">
        <v>0</v>
      </c>
      <c r="P6" s="120"/>
      <c r="Q6" s="120">
        <v>0</v>
      </c>
      <c r="R6" s="120"/>
      <c r="S6" s="120">
        <v>0</v>
      </c>
      <c r="T6" s="120"/>
      <c r="U6" s="120">
        <v>0</v>
      </c>
      <c r="V6" s="120"/>
      <c r="W6" s="120">
        <v>0</v>
      </c>
      <c r="X6" s="120"/>
      <c r="Y6" s="120">
        <v>82163176</v>
      </c>
      <c r="Z6" s="120"/>
      <c r="AA6" s="117">
        <v>0</v>
      </c>
      <c r="AB6" s="121"/>
      <c r="AC6" s="122"/>
      <c r="AD6" s="121">
        <v>0</v>
      </c>
      <c r="AE6" s="121"/>
      <c r="AF6" s="121">
        <v>0</v>
      </c>
      <c r="AG6" s="121"/>
      <c r="AH6" s="121">
        <v>0</v>
      </c>
      <c r="AI6" s="121"/>
      <c r="AJ6" s="121">
        <v>0</v>
      </c>
      <c r="AK6" s="121"/>
      <c r="AL6" s="121">
        <v>0</v>
      </c>
      <c r="AM6" s="121"/>
      <c r="AN6" s="121">
        <v>6909214</v>
      </c>
      <c r="AO6" s="121"/>
      <c r="AP6" s="121">
        <v>0</v>
      </c>
      <c r="AQ6" s="112"/>
      <c r="AR6" s="123"/>
      <c r="AS6" s="124"/>
      <c r="AT6" s="124"/>
      <c r="AU6" s="124"/>
      <c r="AV6" s="124"/>
      <c r="AW6" s="124"/>
      <c r="AX6" s="124"/>
      <c r="AY6" s="124"/>
      <c r="AZ6" s="124"/>
      <c r="BA6" s="124"/>
      <c r="BB6" s="124"/>
      <c r="BC6" s="124">
        <v>8.4099999999999994E-2</v>
      </c>
      <c r="BD6" s="124"/>
      <c r="BE6" s="124"/>
      <c r="BF6" s="112"/>
      <c r="BG6" s="112" t="s">
        <v>1440</v>
      </c>
    </row>
    <row r="7" spans="1:59">
      <c r="A7" s="112" t="s">
        <v>1448</v>
      </c>
      <c r="B7" s="112" t="s">
        <v>1449</v>
      </c>
      <c r="C7" s="113" t="s">
        <v>1450</v>
      </c>
      <c r="D7" s="114">
        <v>9154</v>
      </c>
      <c r="E7" s="115">
        <v>90154</v>
      </c>
      <c r="F7" s="113" t="s">
        <v>1451</v>
      </c>
      <c r="G7" s="116">
        <v>12150996</v>
      </c>
      <c r="H7" s="117">
        <v>3482</v>
      </c>
      <c r="I7" s="113" t="s">
        <v>1445</v>
      </c>
      <c r="J7" s="118" t="s">
        <v>1439</v>
      </c>
      <c r="K7" s="118">
        <v>203</v>
      </c>
      <c r="L7" s="119"/>
      <c r="M7" s="120">
        <v>0</v>
      </c>
      <c r="N7" s="120"/>
      <c r="O7" s="120">
        <v>0</v>
      </c>
      <c r="P7" s="120"/>
      <c r="Q7" s="120">
        <v>0</v>
      </c>
      <c r="R7" s="120"/>
      <c r="S7" s="120">
        <v>0</v>
      </c>
      <c r="T7" s="120"/>
      <c r="U7" s="120">
        <v>0</v>
      </c>
      <c r="V7" s="120"/>
      <c r="W7" s="120">
        <v>0</v>
      </c>
      <c r="X7" s="120"/>
      <c r="Y7" s="120">
        <v>144995154</v>
      </c>
      <c r="Z7" s="120"/>
      <c r="AA7" s="117">
        <v>0</v>
      </c>
      <c r="AB7" s="121"/>
      <c r="AC7" s="122"/>
      <c r="AD7" s="121">
        <v>0</v>
      </c>
      <c r="AE7" s="121"/>
      <c r="AF7" s="121">
        <v>0</v>
      </c>
      <c r="AG7" s="121"/>
      <c r="AH7" s="121">
        <v>0</v>
      </c>
      <c r="AI7" s="121"/>
      <c r="AJ7" s="121">
        <v>0</v>
      </c>
      <c r="AK7" s="121"/>
      <c r="AL7" s="121">
        <v>0</v>
      </c>
      <c r="AM7" s="121"/>
      <c r="AN7" s="121">
        <v>16469107</v>
      </c>
      <c r="AO7" s="121"/>
      <c r="AP7" s="121">
        <v>0</v>
      </c>
      <c r="AQ7" s="112"/>
      <c r="AR7" s="123"/>
      <c r="AS7" s="124"/>
      <c r="AT7" s="124"/>
      <c r="AU7" s="124"/>
      <c r="AV7" s="124"/>
      <c r="AW7" s="124"/>
      <c r="AX7" s="124"/>
      <c r="AY7" s="124"/>
      <c r="AZ7" s="124"/>
      <c r="BA7" s="124"/>
      <c r="BB7" s="124"/>
      <c r="BC7" s="124">
        <v>0.11360000000000001</v>
      </c>
      <c r="BD7" s="124"/>
      <c r="BE7" s="124"/>
      <c r="BF7" s="112"/>
      <c r="BG7" s="112" t="s">
        <v>1440</v>
      </c>
    </row>
    <row r="8" spans="1:59">
      <c r="A8" s="112" t="s">
        <v>1452</v>
      </c>
      <c r="B8" s="112" t="s">
        <v>1453</v>
      </c>
      <c r="C8" s="113" t="s">
        <v>1454</v>
      </c>
      <c r="D8" s="114">
        <v>3030</v>
      </c>
      <c r="E8" s="115">
        <v>30030</v>
      </c>
      <c r="F8" s="113" t="s">
        <v>1451</v>
      </c>
      <c r="G8" s="116">
        <v>4586770</v>
      </c>
      <c r="H8" s="117">
        <v>3304</v>
      </c>
      <c r="I8" s="113" t="s">
        <v>1438</v>
      </c>
      <c r="J8" s="118" t="s">
        <v>1439</v>
      </c>
      <c r="K8" s="118">
        <v>998</v>
      </c>
      <c r="L8" s="119"/>
      <c r="M8" s="120">
        <v>0</v>
      </c>
      <c r="N8" s="120"/>
      <c r="O8" s="120">
        <v>0</v>
      </c>
      <c r="P8" s="120"/>
      <c r="Q8" s="120">
        <v>0</v>
      </c>
      <c r="R8" s="120"/>
      <c r="S8" s="120">
        <v>0</v>
      </c>
      <c r="T8" s="120"/>
      <c r="U8" s="120">
        <v>0</v>
      </c>
      <c r="V8" s="120"/>
      <c r="W8" s="120">
        <v>0</v>
      </c>
      <c r="X8" s="120"/>
      <c r="Y8" s="120">
        <v>576455528</v>
      </c>
      <c r="Z8" s="120"/>
      <c r="AA8" s="117">
        <v>0</v>
      </c>
      <c r="AB8" s="121"/>
      <c r="AC8" s="122"/>
      <c r="AD8" s="121">
        <v>0</v>
      </c>
      <c r="AE8" s="121"/>
      <c r="AF8" s="121">
        <v>0</v>
      </c>
      <c r="AG8" s="121"/>
      <c r="AH8" s="121">
        <v>0</v>
      </c>
      <c r="AI8" s="121"/>
      <c r="AJ8" s="121">
        <v>0</v>
      </c>
      <c r="AK8" s="121"/>
      <c r="AL8" s="121">
        <v>0</v>
      </c>
      <c r="AM8" s="121"/>
      <c r="AN8" s="121">
        <v>64920984</v>
      </c>
      <c r="AO8" s="121"/>
      <c r="AP8" s="121">
        <v>0</v>
      </c>
      <c r="AQ8" s="112"/>
      <c r="AR8" s="123"/>
      <c r="AS8" s="124"/>
      <c r="AT8" s="124"/>
      <c r="AU8" s="124"/>
      <c r="AV8" s="124"/>
      <c r="AW8" s="124"/>
      <c r="AX8" s="124"/>
      <c r="AY8" s="124"/>
      <c r="AZ8" s="124"/>
      <c r="BA8" s="124"/>
      <c r="BB8" s="124"/>
      <c r="BC8" s="124">
        <v>0.11260000000000001</v>
      </c>
      <c r="BD8" s="124"/>
      <c r="BE8" s="124"/>
      <c r="BF8" s="112"/>
      <c r="BG8" s="112" t="s">
        <v>1440</v>
      </c>
    </row>
    <row r="9" spans="1:59">
      <c r="A9" s="112" t="s">
        <v>1455</v>
      </c>
      <c r="B9" s="112" t="s">
        <v>1456</v>
      </c>
      <c r="C9" s="113" t="s">
        <v>1457</v>
      </c>
      <c r="D9" s="114">
        <v>5066</v>
      </c>
      <c r="E9" s="115">
        <v>50066</v>
      </c>
      <c r="F9" s="113" t="s">
        <v>1451</v>
      </c>
      <c r="G9" s="116">
        <v>8608208</v>
      </c>
      <c r="H9" s="117">
        <v>2703</v>
      </c>
      <c r="I9" s="113" t="s">
        <v>1438</v>
      </c>
      <c r="J9" s="118" t="s">
        <v>1439</v>
      </c>
      <c r="K9" s="118">
        <v>1148</v>
      </c>
      <c r="L9" s="119"/>
      <c r="M9" s="120">
        <v>0</v>
      </c>
      <c r="N9" s="120"/>
      <c r="O9" s="120">
        <v>0</v>
      </c>
      <c r="P9" s="120"/>
      <c r="Q9" s="120">
        <v>0</v>
      </c>
      <c r="R9" s="120"/>
      <c r="S9" s="120">
        <v>0</v>
      </c>
      <c r="T9" s="120"/>
      <c r="U9" s="120">
        <v>0</v>
      </c>
      <c r="V9" s="120"/>
      <c r="W9" s="120">
        <v>0</v>
      </c>
      <c r="X9" s="120"/>
      <c r="Y9" s="120">
        <v>366545522</v>
      </c>
      <c r="Z9" s="120"/>
      <c r="AA9" s="117">
        <v>0</v>
      </c>
      <c r="AB9" s="121"/>
      <c r="AC9" s="122"/>
      <c r="AD9" s="121">
        <v>0</v>
      </c>
      <c r="AE9" s="121"/>
      <c r="AF9" s="121">
        <v>0</v>
      </c>
      <c r="AG9" s="121"/>
      <c r="AH9" s="121">
        <v>0</v>
      </c>
      <c r="AI9" s="121"/>
      <c r="AJ9" s="121">
        <v>0</v>
      </c>
      <c r="AK9" s="121"/>
      <c r="AL9" s="121">
        <v>0</v>
      </c>
      <c r="AM9" s="121"/>
      <c r="AN9" s="121">
        <v>63157258</v>
      </c>
      <c r="AO9" s="121"/>
      <c r="AP9" s="121">
        <v>0</v>
      </c>
      <c r="AQ9" s="112"/>
      <c r="AR9" s="123"/>
      <c r="AS9" s="124"/>
      <c r="AT9" s="124"/>
      <c r="AU9" s="124"/>
      <c r="AV9" s="124"/>
      <c r="AW9" s="124"/>
      <c r="AX9" s="124"/>
      <c r="AY9" s="124"/>
      <c r="AZ9" s="124"/>
      <c r="BA9" s="124"/>
      <c r="BB9" s="124"/>
      <c r="BC9" s="124">
        <v>0.17230000000000001</v>
      </c>
      <c r="BD9" s="124"/>
      <c r="BE9" s="124"/>
      <c r="BF9" s="112"/>
      <c r="BG9" s="112" t="s">
        <v>1440</v>
      </c>
    </row>
    <row r="10" spans="1:59">
      <c r="A10" s="112" t="s">
        <v>1460</v>
      </c>
      <c r="B10" s="112" t="s">
        <v>1461</v>
      </c>
      <c r="C10" s="113" t="s">
        <v>1462</v>
      </c>
      <c r="D10" s="114">
        <v>1003</v>
      </c>
      <c r="E10" s="115">
        <v>10003</v>
      </c>
      <c r="F10" s="113" t="s">
        <v>1451</v>
      </c>
      <c r="G10" s="116">
        <v>4181019</v>
      </c>
      <c r="H10" s="117">
        <v>2428</v>
      </c>
      <c r="I10" s="113" t="s">
        <v>1447</v>
      </c>
      <c r="J10" s="118" t="s">
        <v>1446</v>
      </c>
      <c r="K10" s="118">
        <v>436</v>
      </c>
      <c r="L10" s="119"/>
      <c r="M10" s="120">
        <v>13360985</v>
      </c>
      <c r="N10" s="120"/>
      <c r="O10" s="120">
        <v>0</v>
      </c>
      <c r="P10" s="120"/>
      <c r="Q10" s="120">
        <v>0</v>
      </c>
      <c r="R10" s="120"/>
      <c r="S10" s="120">
        <v>0</v>
      </c>
      <c r="T10" s="120"/>
      <c r="U10" s="120">
        <v>0</v>
      </c>
      <c r="V10" s="120"/>
      <c r="W10" s="120">
        <v>0</v>
      </c>
      <c r="X10" s="120"/>
      <c r="Y10" s="120">
        <v>0</v>
      </c>
      <c r="Z10" s="120"/>
      <c r="AA10" s="117">
        <v>0</v>
      </c>
      <c r="AB10" s="121"/>
      <c r="AC10" s="122"/>
      <c r="AD10" s="121">
        <v>4339139</v>
      </c>
      <c r="AE10" s="121"/>
      <c r="AF10" s="121">
        <v>0</v>
      </c>
      <c r="AG10" s="121"/>
      <c r="AH10" s="121">
        <v>0</v>
      </c>
      <c r="AI10" s="121"/>
      <c r="AJ10" s="121">
        <v>0</v>
      </c>
      <c r="AK10" s="121"/>
      <c r="AL10" s="121">
        <v>0</v>
      </c>
      <c r="AM10" s="121"/>
      <c r="AN10" s="121">
        <v>0</v>
      </c>
      <c r="AO10" s="121"/>
      <c r="AP10" s="121">
        <v>0</v>
      </c>
      <c r="AQ10" s="112"/>
      <c r="AR10" s="123"/>
      <c r="AS10" s="124">
        <v>0.32479999999999998</v>
      </c>
      <c r="AT10" s="124"/>
      <c r="AU10" s="124"/>
      <c r="AV10" s="124"/>
      <c r="AW10" s="124"/>
      <c r="AX10" s="124"/>
      <c r="AY10" s="124"/>
      <c r="AZ10" s="124"/>
      <c r="BA10" s="124"/>
      <c r="BB10" s="124"/>
      <c r="BC10" s="124"/>
      <c r="BD10" s="124"/>
      <c r="BE10" s="124"/>
      <c r="BF10" s="112"/>
      <c r="BG10" s="112" t="s">
        <v>1440</v>
      </c>
    </row>
    <row r="11" spans="1:59">
      <c r="A11" s="112" t="s">
        <v>1460</v>
      </c>
      <c r="B11" s="112" t="s">
        <v>1461</v>
      </c>
      <c r="C11" s="113" t="s">
        <v>1462</v>
      </c>
      <c r="D11" s="114">
        <v>1003</v>
      </c>
      <c r="E11" s="115">
        <v>10003</v>
      </c>
      <c r="F11" s="113" t="s">
        <v>1451</v>
      </c>
      <c r="G11" s="116">
        <v>4181019</v>
      </c>
      <c r="H11" s="117">
        <v>2428</v>
      </c>
      <c r="I11" s="113" t="s">
        <v>1438</v>
      </c>
      <c r="J11" s="118" t="s">
        <v>1439</v>
      </c>
      <c r="K11" s="118">
        <v>338</v>
      </c>
      <c r="L11" s="119"/>
      <c r="M11" s="120">
        <v>0</v>
      </c>
      <c r="N11" s="120"/>
      <c r="O11" s="120">
        <v>0</v>
      </c>
      <c r="P11" s="120"/>
      <c r="Q11" s="120">
        <v>0</v>
      </c>
      <c r="R11" s="120"/>
      <c r="S11" s="120">
        <v>0</v>
      </c>
      <c r="T11" s="120"/>
      <c r="U11" s="120">
        <v>0</v>
      </c>
      <c r="V11" s="120"/>
      <c r="W11" s="120">
        <v>0</v>
      </c>
      <c r="X11" s="120"/>
      <c r="Y11" s="120">
        <v>178406868</v>
      </c>
      <c r="Z11" s="120"/>
      <c r="AA11" s="117">
        <v>0</v>
      </c>
      <c r="AB11" s="121"/>
      <c r="AC11" s="122"/>
      <c r="AD11" s="121">
        <v>0</v>
      </c>
      <c r="AE11" s="121"/>
      <c r="AF11" s="121">
        <v>0</v>
      </c>
      <c r="AG11" s="121"/>
      <c r="AH11" s="121">
        <v>0</v>
      </c>
      <c r="AI11" s="121"/>
      <c r="AJ11" s="121">
        <v>0</v>
      </c>
      <c r="AK11" s="121"/>
      <c r="AL11" s="121">
        <v>0</v>
      </c>
      <c r="AM11" s="121"/>
      <c r="AN11" s="121">
        <v>22078161</v>
      </c>
      <c r="AO11" s="121"/>
      <c r="AP11" s="121">
        <v>0</v>
      </c>
      <c r="AQ11" s="112"/>
      <c r="AR11" s="123"/>
      <c r="AS11" s="124"/>
      <c r="AT11" s="124"/>
      <c r="AU11" s="124"/>
      <c r="AV11" s="124"/>
      <c r="AW11" s="124"/>
      <c r="AX11" s="124"/>
      <c r="AY11" s="124"/>
      <c r="AZ11" s="124"/>
      <c r="BA11" s="124"/>
      <c r="BB11" s="124"/>
      <c r="BC11" s="124">
        <v>0.12379999999999999</v>
      </c>
      <c r="BD11" s="124"/>
      <c r="BE11" s="124"/>
      <c r="BF11" s="112"/>
      <c r="BG11" s="112" t="s">
        <v>1440</v>
      </c>
    </row>
    <row r="12" spans="1:59">
      <c r="A12" s="112" t="s">
        <v>1460</v>
      </c>
      <c r="B12" s="112" t="s">
        <v>1461</v>
      </c>
      <c r="C12" s="113" t="s">
        <v>1462</v>
      </c>
      <c r="D12" s="114">
        <v>1003</v>
      </c>
      <c r="E12" s="115">
        <v>10003</v>
      </c>
      <c r="F12" s="113" t="s">
        <v>1451</v>
      </c>
      <c r="G12" s="116">
        <v>4181019</v>
      </c>
      <c r="H12" s="117">
        <v>2428</v>
      </c>
      <c r="I12" s="113" t="s">
        <v>1445</v>
      </c>
      <c r="J12" s="118" t="s">
        <v>1439</v>
      </c>
      <c r="K12" s="118">
        <v>154</v>
      </c>
      <c r="L12" s="119"/>
      <c r="M12" s="120">
        <v>0</v>
      </c>
      <c r="N12" s="120"/>
      <c r="O12" s="120">
        <v>0</v>
      </c>
      <c r="P12" s="120"/>
      <c r="Q12" s="120">
        <v>0</v>
      </c>
      <c r="R12" s="120"/>
      <c r="S12" s="120">
        <v>0</v>
      </c>
      <c r="T12" s="120"/>
      <c r="U12" s="120">
        <v>0</v>
      </c>
      <c r="V12" s="120"/>
      <c r="W12" s="120">
        <v>0</v>
      </c>
      <c r="X12" s="120"/>
      <c r="Y12" s="120">
        <v>46803331</v>
      </c>
      <c r="Z12" s="120"/>
      <c r="AA12" s="117">
        <v>0</v>
      </c>
      <c r="AB12" s="121"/>
      <c r="AC12" s="122"/>
      <c r="AD12" s="121">
        <v>0</v>
      </c>
      <c r="AE12" s="121"/>
      <c r="AF12" s="121">
        <v>0</v>
      </c>
      <c r="AG12" s="121"/>
      <c r="AH12" s="121">
        <v>0</v>
      </c>
      <c r="AI12" s="121"/>
      <c r="AJ12" s="121">
        <v>0</v>
      </c>
      <c r="AK12" s="121"/>
      <c r="AL12" s="121">
        <v>0</v>
      </c>
      <c r="AM12" s="121"/>
      <c r="AN12" s="121">
        <v>5523588</v>
      </c>
      <c r="AO12" s="121"/>
      <c r="AP12" s="121">
        <v>0</v>
      </c>
      <c r="AQ12" s="112"/>
      <c r="AR12" s="123"/>
      <c r="AS12" s="124"/>
      <c r="AT12" s="124"/>
      <c r="AU12" s="124"/>
      <c r="AV12" s="124"/>
      <c r="AW12" s="124"/>
      <c r="AX12" s="124"/>
      <c r="AY12" s="124"/>
      <c r="AZ12" s="124"/>
      <c r="BA12" s="124"/>
      <c r="BB12" s="124"/>
      <c r="BC12" s="124">
        <v>0.11799999999999999</v>
      </c>
      <c r="BD12" s="124"/>
      <c r="BE12" s="124"/>
      <c r="BF12" s="112"/>
      <c r="BG12" s="112" t="s">
        <v>1440</v>
      </c>
    </row>
    <row r="13" spans="1:59">
      <c r="A13" s="112" t="s">
        <v>1464</v>
      </c>
      <c r="B13" s="112" t="s">
        <v>1465</v>
      </c>
      <c r="C13" s="113" t="s">
        <v>1466</v>
      </c>
      <c r="D13" s="114">
        <v>3019</v>
      </c>
      <c r="E13" s="115">
        <v>30019</v>
      </c>
      <c r="F13" s="113" t="s">
        <v>1451</v>
      </c>
      <c r="G13" s="116">
        <v>5441567</v>
      </c>
      <c r="H13" s="117">
        <v>2406</v>
      </c>
      <c r="I13" s="113" t="s">
        <v>1447</v>
      </c>
      <c r="J13" s="118" t="s">
        <v>1439</v>
      </c>
      <c r="K13" s="118">
        <v>357</v>
      </c>
      <c r="L13" s="119"/>
      <c r="M13" s="120">
        <v>0</v>
      </c>
      <c r="N13" s="120"/>
      <c r="O13" s="120">
        <v>0</v>
      </c>
      <c r="P13" s="120"/>
      <c r="Q13" s="120">
        <v>0</v>
      </c>
      <c r="R13" s="120"/>
      <c r="S13" s="120">
        <v>0</v>
      </c>
      <c r="T13" s="120"/>
      <c r="U13" s="120">
        <v>0</v>
      </c>
      <c r="V13" s="120"/>
      <c r="W13" s="120">
        <v>0</v>
      </c>
      <c r="X13" s="120"/>
      <c r="Y13" s="120">
        <v>190958248</v>
      </c>
      <c r="Z13" s="120"/>
      <c r="AA13" s="117">
        <v>0</v>
      </c>
      <c r="AB13" s="121"/>
      <c r="AC13" s="122"/>
      <c r="AD13" s="121">
        <v>0</v>
      </c>
      <c r="AE13" s="121"/>
      <c r="AF13" s="121">
        <v>0</v>
      </c>
      <c r="AG13" s="121"/>
      <c r="AH13" s="121">
        <v>0</v>
      </c>
      <c r="AI13" s="121"/>
      <c r="AJ13" s="121">
        <v>0</v>
      </c>
      <c r="AK13" s="121"/>
      <c r="AL13" s="121">
        <v>0</v>
      </c>
      <c r="AM13" s="121"/>
      <c r="AN13" s="121">
        <v>15598066</v>
      </c>
      <c r="AO13" s="121"/>
      <c r="AP13" s="121">
        <v>0</v>
      </c>
      <c r="AQ13" s="112"/>
      <c r="AR13" s="123"/>
      <c r="AS13" s="124"/>
      <c r="AT13" s="124"/>
      <c r="AU13" s="124"/>
      <c r="AV13" s="124"/>
      <c r="AW13" s="124"/>
      <c r="AX13" s="124"/>
      <c r="AY13" s="124"/>
      <c r="AZ13" s="124"/>
      <c r="BA13" s="124"/>
      <c r="BB13" s="124"/>
      <c r="BC13" s="124">
        <v>8.1699999999999995E-2</v>
      </c>
      <c r="BD13" s="124"/>
      <c r="BE13" s="124"/>
      <c r="BF13" s="112"/>
      <c r="BG13" s="112" t="s">
        <v>1440</v>
      </c>
    </row>
    <row r="14" spans="1:59">
      <c r="A14" s="112" t="s">
        <v>1464</v>
      </c>
      <c r="B14" s="112" t="s">
        <v>1465</v>
      </c>
      <c r="C14" s="113" t="s">
        <v>1466</v>
      </c>
      <c r="D14" s="114">
        <v>3019</v>
      </c>
      <c r="E14" s="115">
        <v>30019</v>
      </c>
      <c r="F14" s="113" t="s">
        <v>1451</v>
      </c>
      <c r="G14" s="116">
        <v>5441567</v>
      </c>
      <c r="H14" s="117">
        <v>2406</v>
      </c>
      <c r="I14" s="113" t="s">
        <v>1438</v>
      </c>
      <c r="J14" s="118" t="s">
        <v>1439</v>
      </c>
      <c r="K14" s="118">
        <v>286</v>
      </c>
      <c r="L14" s="119"/>
      <c r="M14" s="120">
        <v>0</v>
      </c>
      <c r="N14" s="120"/>
      <c r="O14" s="120">
        <v>0</v>
      </c>
      <c r="P14" s="120"/>
      <c r="Q14" s="120">
        <v>0</v>
      </c>
      <c r="R14" s="120"/>
      <c r="S14" s="120">
        <v>0</v>
      </c>
      <c r="T14" s="120"/>
      <c r="U14" s="120">
        <v>0</v>
      </c>
      <c r="V14" s="120"/>
      <c r="W14" s="120">
        <v>0</v>
      </c>
      <c r="X14" s="120"/>
      <c r="Y14" s="120">
        <v>125067726</v>
      </c>
      <c r="Z14" s="120"/>
      <c r="AA14" s="117">
        <v>0</v>
      </c>
      <c r="AB14" s="121"/>
      <c r="AC14" s="122"/>
      <c r="AD14" s="121">
        <v>0</v>
      </c>
      <c r="AE14" s="121"/>
      <c r="AF14" s="121">
        <v>0</v>
      </c>
      <c r="AG14" s="121"/>
      <c r="AH14" s="121">
        <v>0</v>
      </c>
      <c r="AI14" s="121"/>
      <c r="AJ14" s="121">
        <v>0</v>
      </c>
      <c r="AK14" s="121"/>
      <c r="AL14" s="121">
        <v>0</v>
      </c>
      <c r="AM14" s="121"/>
      <c r="AN14" s="121">
        <v>14000061</v>
      </c>
      <c r="AO14" s="121"/>
      <c r="AP14" s="121">
        <v>0</v>
      </c>
      <c r="AQ14" s="112"/>
      <c r="AR14" s="123"/>
      <c r="AS14" s="124"/>
      <c r="AT14" s="124"/>
      <c r="AU14" s="124"/>
      <c r="AV14" s="124"/>
      <c r="AW14" s="124"/>
      <c r="AX14" s="124"/>
      <c r="AY14" s="124"/>
      <c r="AZ14" s="124"/>
      <c r="BA14" s="124"/>
      <c r="BB14" s="124"/>
      <c r="BC14" s="124">
        <v>0.1119</v>
      </c>
      <c r="BD14" s="124"/>
      <c r="BE14" s="124"/>
      <c r="BF14" s="112"/>
      <c r="BG14" s="112" t="s">
        <v>1440</v>
      </c>
    </row>
    <row r="15" spans="1:59">
      <c r="A15" s="112" t="s">
        <v>1467</v>
      </c>
      <c r="B15" s="112" t="s">
        <v>1468</v>
      </c>
      <c r="C15" s="113" t="s">
        <v>1469</v>
      </c>
      <c r="D15" s="114">
        <v>6008</v>
      </c>
      <c r="E15" s="115">
        <v>60008</v>
      </c>
      <c r="F15" s="113" t="s">
        <v>1451</v>
      </c>
      <c r="G15" s="116">
        <v>4944332</v>
      </c>
      <c r="H15" s="117">
        <v>2157</v>
      </c>
      <c r="I15" s="113" t="s">
        <v>1445</v>
      </c>
      <c r="J15" s="118" t="s">
        <v>1439</v>
      </c>
      <c r="K15" s="118">
        <v>56</v>
      </c>
      <c r="L15" s="119"/>
      <c r="M15" s="120">
        <v>0</v>
      </c>
      <c r="N15" s="120"/>
      <c r="O15" s="120">
        <v>0</v>
      </c>
      <c r="P15" s="120"/>
      <c r="Q15" s="120">
        <v>0</v>
      </c>
      <c r="R15" s="120"/>
      <c r="S15" s="120">
        <v>0</v>
      </c>
      <c r="T15" s="120"/>
      <c r="U15" s="120">
        <v>0</v>
      </c>
      <c r="V15" s="120"/>
      <c r="W15" s="120">
        <v>0</v>
      </c>
      <c r="X15" s="120"/>
      <c r="Y15" s="120">
        <v>20764234</v>
      </c>
      <c r="Z15" s="120"/>
      <c r="AA15" s="117">
        <v>0</v>
      </c>
      <c r="AB15" s="121"/>
      <c r="AC15" s="122"/>
      <c r="AD15" s="121">
        <v>0</v>
      </c>
      <c r="AE15" s="121"/>
      <c r="AF15" s="121">
        <v>0</v>
      </c>
      <c r="AG15" s="121"/>
      <c r="AH15" s="121">
        <v>0</v>
      </c>
      <c r="AI15" s="121"/>
      <c r="AJ15" s="121">
        <v>0</v>
      </c>
      <c r="AK15" s="121"/>
      <c r="AL15" s="121">
        <v>0</v>
      </c>
      <c r="AM15" s="121"/>
      <c r="AN15" s="121">
        <v>3420524</v>
      </c>
      <c r="AO15" s="121"/>
      <c r="AP15" s="121">
        <v>0</v>
      </c>
      <c r="AQ15" s="112"/>
      <c r="AR15" s="123"/>
      <c r="AS15" s="124"/>
      <c r="AT15" s="124"/>
      <c r="AU15" s="124"/>
      <c r="AV15" s="124"/>
      <c r="AW15" s="124"/>
      <c r="AX15" s="124"/>
      <c r="AY15" s="124"/>
      <c r="AZ15" s="124"/>
      <c r="BA15" s="124"/>
      <c r="BB15" s="124"/>
      <c r="BC15" s="124">
        <v>0.16470000000000001</v>
      </c>
      <c r="BD15" s="124"/>
      <c r="BE15" s="124"/>
      <c r="BF15" s="112"/>
      <c r="BG15" s="112" t="s">
        <v>1440</v>
      </c>
    </row>
    <row r="16" spans="1:59">
      <c r="A16" s="112" t="s">
        <v>1470</v>
      </c>
      <c r="B16" s="112" t="s">
        <v>1471</v>
      </c>
      <c r="C16" s="113" t="s">
        <v>1472</v>
      </c>
      <c r="D16" s="114">
        <v>3034</v>
      </c>
      <c r="E16" s="115">
        <v>30034</v>
      </c>
      <c r="F16" s="113" t="s">
        <v>1473</v>
      </c>
      <c r="G16" s="116">
        <v>2203663</v>
      </c>
      <c r="H16" s="117">
        <v>1888</v>
      </c>
      <c r="I16" s="113" t="s">
        <v>1438</v>
      </c>
      <c r="J16" s="118" t="s">
        <v>1439</v>
      </c>
      <c r="K16" s="118">
        <v>54</v>
      </c>
      <c r="L16" s="119"/>
      <c r="M16" s="120">
        <v>0</v>
      </c>
      <c r="N16" s="120"/>
      <c r="O16" s="120">
        <v>0</v>
      </c>
      <c r="P16" s="120"/>
      <c r="Q16" s="120">
        <v>0</v>
      </c>
      <c r="R16" s="120"/>
      <c r="S16" s="120">
        <v>0</v>
      </c>
      <c r="T16" s="120"/>
      <c r="U16" s="120">
        <v>0</v>
      </c>
      <c r="V16" s="120"/>
      <c r="W16" s="120">
        <v>0</v>
      </c>
      <c r="X16" s="120"/>
      <c r="Y16" s="120">
        <v>44465246</v>
      </c>
      <c r="Z16" s="120"/>
      <c r="AA16" s="117">
        <v>0</v>
      </c>
      <c r="AB16" s="121"/>
      <c r="AC16" s="122"/>
      <c r="AD16" s="121">
        <v>0</v>
      </c>
      <c r="AE16" s="121"/>
      <c r="AF16" s="121">
        <v>0</v>
      </c>
      <c r="AG16" s="121"/>
      <c r="AH16" s="121">
        <v>0</v>
      </c>
      <c r="AI16" s="121"/>
      <c r="AJ16" s="121">
        <v>0</v>
      </c>
      <c r="AK16" s="121"/>
      <c r="AL16" s="121">
        <v>0</v>
      </c>
      <c r="AM16" s="121"/>
      <c r="AN16" s="121">
        <v>0</v>
      </c>
      <c r="AO16" s="121"/>
      <c r="AP16" s="121">
        <v>0</v>
      </c>
      <c r="AQ16" s="112"/>
      <c r="AR16" s="123"/>
      <c r="AS16" s="124"/>
      <c r="AT16" s="124"/>
      <c r="AU16" s="124"/>
      <c r="AV16" s="124"/>
      <c r="AW16" s="124"/>
      <c r="AX16" s="124"/>
      <c r="AY16" s="124"/>
      <c r="AZ16" s="124"/>
      <c r="BA16" s="124"/>
      <c r="BB16" s="124"/>
      <c r="BC16" s="124">
        <v>0</v>
      </c>
      <c r="BD16" s="124"/>
      <c r="BE16" s="124"/>
      <c r="BF16" s="112"/>
      <c r="BG16" s="112" t="s">
        <v>1440</v>
      </c>
    </row>
    <row r="17" spans="1:59">
      <c r="A17" s="112" t="s">
        <v>1470</v>
      </c>
      <c r="B17" s="112" t="s">
        <v>1471</v>
      </c>
      <c r="C17" s="113" t="s">
        <v>1472</v>
      </c>
      <c r="D17" s="114">
        <v>3034</v>
      </c>
      <c r="E17" s="115">
        <v>30034</v>
      </c>
      <c r="F17" s="113" t="s">
        <v>1473</v>
      </c>
      <c r="G17" s="116">
        <v>2203663</v>
      </c>
      <c r="H17" s="117">
        <v>1888</v>
      </c>
      <c r="I17" s="113" t="s">
        <v>1445</v>
      </c>
      <c r="J17" s="118" t="s">
        <v>1439</v>
      </c>
      <c r="K17" s="118">
        <v>38</v>
      </c>
      <c r="L17" s="119"/>
      <c r="M17" s="120">
        <v>0</v>
      </c>
      <c r="N17" s="120"/>
      <c r="O17" s="120">
        <v>0</v>
      </c>
      <c r="P17" s="120"/>
      <c r="Q17" s="120">
        <v>0</v>
      </c>
      <c r="R17" s="120"/>
      <c r="S17" s="120">
        <v>0</v>
      </c>
      <c r="T17" s="120"/>
      <c r="U17" s="120">
        <v>0</v>
      </c>
      <c r="V17" s="120"/>
      <c r="W17" s="120">
        <v>0</v>
      </c>
      <c r="X17" s="120"/>
      <c r="Y17" s="120">
        <v>25044315</v>
      </c>
      <c r="Z17" s="120"/>
      <c r="AA17" s="117">
        <v>0</v>
      </c>
      <c r="AB17" s="121"/>
      <c r="AC17" s="122"/>
      <c r="AD17" s="121">
        <v>0</v>
      </c>
      <c r="AE17" s="121"/>
      <c r="AF17" s="121">
        <v>0</v>
      </c>
      <c r="AG17" s="121"/>
      <c r="AH17" s="121">
        <v>0</v>
      </c>
      <c r="AI17" s="121"/>
      <c r="AJ17" s="121">
        <v>0</v>
      </c>
      <c r="AK17" s="121"/>
      <c r="AL17" s="121">
        <v>0</v>
      </c>
      <c r="AM17" s="121"/>
      <c r="AN17" s="121">
        <v>2679810</v>
      </c>
      <c r="AO17" s="121"/>
      <c r="AP17" s="121">
        <v>0</v>
      </c>
      <c r="AQ17" s="112"/>
      <c r="AR17" s="123"/>
      <c r="AS17" s="124"/>
      <c r="AT17" s="124"/>
      <c r="AU17" s="124"/>
      <c r="AV17" s="124"/>
      <c r="AW17" s="124"/>
      <c r="AX17" s="124"/>
      <c r="AY17" s="124"/>
      <c r="AZ17" s="124"/>
      <c r="BA17" s="124"/>
      <c r="BB17" s="124"/>
      <c r="BC17" s="124">
        <v>0.107</v>
      </c>
      <c r="BD17" s="124"/>
      <c r="BE17" s="124"/>
      <c r="BF17" s="112"/>
      <c r="BG17" s="112" t="s">
        <v>1440</v>
      </c>
    </row>
    <row r="18" spans="1:59">
      <c r="A18" s="112" t="s">
        <v>1470</v>
      </c>
      <c r="B18" s="112" t="s">
        <v>1471</v>
      </c>
      <c r="C18" s="113" t="s">
        <v>1472</v>
      </c>
      <c r="D18" s="114">
        <v>3034</v>
      </c>
      <c r="E18" s="115">
        <v>30034</v>
      </c>
      <c r="F18" s="113" t="s">
        <v>1473</v>
      </c>
      <c r="G18" s="116">
        <v>2203663</v>
      </c>
      <c r="H18" s="117">
        <v>1888</v>
      </c>
      <c r="I18" s="113" t="s">
        <v>1447</v>
      </c>
      <c r="J18" s="118" t="s">
        <v>1446</v>
      </c>
      <c r="K18" s="118">
        <v>149</v>
      </c>
      <c r="L18" s="119"/>
      <c r="M18" s="120">
        <v>3709703</v>
      </c>
      <c r="N18" s="120"/>
      <c r="O18" s="120">
        <v>0</v>
      </c>
      <c r="P18" s="120"/>
      <c r="Q18" s="120">
        <v>0</v>
      </c>
      <c r="R18" s="120"/>
      <c r="S18" s="120">
        <v>0</v>
      </c>
      <c r="T18" s="120"/>
      <c r="U18" s="120">
        <v>0</v>
      </c>
      <c r="V18" s="120"/>
      <c r="W18" s="120">
        <v>0</v>
      </c>
      <c r="X18" s="120"/>
      <c r="Y18" s="120">
        <v>21715405</v>
      </c>
      <c r="Z18" s="120"/>
      <c r="AA18" s="117">
        <v>0</v>
      </c>
      <c r="AB18" s="121"/>
      <c r="AC18" s="122"/>
      <c r="AD18" s="121">
        <v>764117</v>
      </c>
      <c r="AE18" s="121"/>
      <c r="AF18" s="121">
        <v>0</v>
      </c>
      <c r="AG18" s="121"/>
      <c r="AH18" s="121">
        <v>0</v>
      </c>
      <c r="AI18" s="121"/>
      <c r="AJ18" s="121">
        <v>0</v>
      </c>
      <c r="AK18" s="121"/>
      <c r="AL18" s="121">
        <v>0</v>
      </c>
      <c r="AM18" s="121"/>
      <c r="AN18" s="121">
        <v>163832</v>
      </c>
      <c r="AO18" s="121"/>
      <c r="AP18" s="121">
        <v>0</v>
      </c>
      <c r="AQ18" s="112"/>
      <c r="AR18" s="123"/>
      <c r="AS18" s="124">
        <v>0.20599999999999999</v>
      </c>
      <c r="AT18" s="124"/>
      <c r="AU18" s="124"/>
      <c r="AV18" s="124"/>
      <c r="AW18" s="124"/>
      <c r="AX18" s="124"/>
      <c r="AY18" s="124"/>
      <c r="AZ18" s="124"/>
      <c r="BA18" s="124"/>
      <c r="BB18" s="124"/>
      <c r="BC18" s="124">
        <v>7.4999999999999997E-3</v>
      </c>
      <c r="BD18" s="124"/>
      <c r="BE18" s="124"/>
      <c r="BF18" s="112"/>
      <c r="BG18" s="112" t="s">
        <v>1440</v>
      </c>
    </row>
    <row r="19" spans="1:59">
      <c r="A19" s="112" t="s">
        <v>1474</v>
      </c>
      <c r="B19" s="112" t="s">
        <v>1475</v>
      </c>
      <c r="C19" s="113" t="s">
        <v>1476</v>
      </c>
      <c r="D19" s="114">
        <v>4034</v>
      </c>
      <c r="E19" s="115">
        <v>40034</v>
      </c>
      <c r="F19" s="113" t="s">
        <v>1477</v>
      </c>
      <c r="G19" s="116">
        <v>5502379</v>
      </c>
      <c r="H19" s="117">
        <v>1452</v>
      </c>
      <c r="I19" s="113" t="s">
        <v>1438</v>
      </c>
      <c r="J19" s="118" t="s">
        <v>1439</v>
      </c>
      <c r="K19" s="118">
        <v>76</v>
      </c>
      <c r="L19" s="119"/>
      <c r="M19" s="120">
        <v>0</v>
      </c>
      <c r="N19" s="120"/>
      <c r="O19" s="120">
        <v>0</v>
      </c>
      <c r="P19" s="120"/>
      <c r="Q19" s="120">
        <v>0</v>
      </c>
      <c r="R19" s="120"/>
      <c r="S19" s="120">
        <v>0</v>
      </c>
      <c r="T19" s="120"/>
      <c r="U19" s="120">
        <v>0</v>
      </c>
      <c r="V19" s="120"/>
      <c r="W19" s="120">
        <v>0</v>
      </c>
      <c r="X19" s="120"/>
      <c r="Y19" s="120">
        <v>66954261</v>
      </c>
      <c r="Z19" s="120"/>
      <c r="AA19" s="117">
        <v>0</v>
      </c>
      <c r="AB19" s="121"/>
      <c r="AC19" s="122"/>
      <c r="AD19" s="121">
        <v>0</v>
      </c>
      <c r="AE19" s="121"/>
      <c r="AF19" s="121">
        <v>0</v>
      </c>
      <c r="AG19" s="121"/>
      <c r="AH19" s="121">
        <v>0</v>
      </c>
      <c r="AI19" s="121"/>
      <c r="AJ19" s="121">
        <v>0</v>
      </c>
      <c r="AK19" s="121"/>
      <c r="AL19" s="121">
        <v>0</v>
      </c>
      <c r="AM19" s="121"/>
      <c r="AN19" s="121">
        <v>559892</v>
      </c>
      <c r="AO19" s="121"/>
      <c r="AP19" s="121">
        <v>0</v>
      </c>
      <c r="AQ19" s="112"/>
      <c r="AR19" s="123"/>
      <c r="AS19" s="124"/>
      <c r="AT19" s="124"/>
      <c r="AU19" s="124"/>
      <c r="AV19" s="124"/>
      <c r="AW19" s="124"/>
      <c r="AX19" s="124"/>
      <c r="AY19" s="124"/>
      <c r="AZ19" s="124"/>
      <c r="BA19" s="124"/>
      <c r="BB19" s="124"/>
      <c r="BC19" s="124">
        <v>8.3999999999999995E-3</v>
      </c>
      <c r="BD19" s="124"/>
      <c r="BE19" s="124"/>
      <c r="BF19" s="112"/>
      <c r="BG19" s="112" t="s">
        <v>1440</v>
      </c>
    </row>
    <row r="20" spans="1:59">
      <c r="A20" s="112" t="s">
        <v>1478</v>
      </c>
      <c r="B20" s="112" t="s">
        <v>1479</v>
      </c>
      <c r="C20" s="113" t="s">
        <v>1480</v>
      </c>
      <c r="D20" s="114">
        <v>8006</v>
      </c>
      <c r="E20" s="115">
        <v>80006</v>
      </c>
      <c r="F20" s="113" t="s">
        <v>1451</v>
      </c>
      <c r="G20" s="116">
        <v>2374203</v>
      </c>
      <c r="H20" s="117">
        <v>1431</v>
      </c>
      <c r="I20" s="113" t="s">
        <v>1447</v>
      </c>
      <c r="J20" s="118" t="s">
        <v>1439</v>
      </c>
      <c r="K20" s="118">
        <v>8</v>
      </c>
      <c r="L20" s="119"/>
      <c r="M20" s="120">
        <v>0</v>
      </c>
      <c r="N20" s="120"/>
      <c r="O20" s="120">
        <v>0</v>
      </c>
      <c r="P20" s="120"/>
      <c r="Q20" s="120">
        <v>0</v>
      </c>
      <c r="R20" s="120"/>
      <c r="S20" s="120">
        <v>0</v>
      </c>
      <c r="T20" s="120"/>
      <c r="U20" s="120">
        <v>0</v>
      </c>
      <c r="V20" s="120"/>
      <c r="W20" s="120">
        <v>0</v>
      </c>
      <c r="X20" s="120"/>
      <c r="Y20" s="120">
        <v>688983</v>
      </c>
      <c r="Z20" s="120"/>
      <c r="AA20" s="117">
        <v>0</v>
      </c>
      <c r="AB20" s="121"/>
      <c r="AC20" s="122"/>
      <c r="AD20" s="121">
        <v>0</v>
      </c>
      <c r="AE20" s="121"/>
      <c r="AF20" s="121">
        <v>0</v>
      </c>
      <c r="AG20" s="121"/>
      <c r="AH20" s="121">
        <v>0</v>
      </c>
      <c r="AI20" s="121"/>
      <c r="AJ20" s="121">
        <v>0</v>
      </c>
      <c r="AK20" s="121"/>
      <c r="AL20" s="121">
        <v>0</v>
      </c>
      <c r="AM20" s="121"/>
      <c r="AN20" s="121">
        <v>0</v>
      </c>
      <c r="AO20" s="121"/>
      <c r="AP20" s="121">
        <v>0</v>
      </c>
      <c r="AQ20" s="112"/>
      <c r="AR20" s="123"/>
      <c r="AS20" s="124"/>
      <c r="AT20" s="124"/>
      <c r="AU20" s="124"/>
      <c r="AV20" s="124"/>
      <c r="AW20" s="124"/>
      <c r="AX20" s="124"/>
      <c r="AY20" s="124"/>
      <c r="AZ20" s="124"/>
      <c r="BA20" s="124"/>
      <c r="BB20" s="124"/>
      <c r="BC20" s="124">
        <v>0</v>
      </c>
      <c r="BD20" s="124"/>
      <c r="BE20" s="124"/>
      <c r="BF20" s="112"/>
      <c r="BG20" s="112" t="s">
        <v>1440</v>
      </c>
    </row>
    <row r="21" spans="1:59">
      <c r="A21" s="112" t="s">
        <v>1478</v>
      </c>
      <c r="B21" s="112" t="s">
        <v>1479</v>
      </c>
      <c r="C21" s="113" t="s">
        <v>1480</v>
      </c>
      <c r="D21" s="114">
        <v>8006</v>
      </c>
      <c r="E21" s="115">
        <v>80006</v>
      </c>
      <c r="F21" s="113" t="s">
        <v>1451</v>
      </c>
      <c r="G21" s="116">
        <v>2374203</v>
      </c>
      <c r="H21" s="117">
        <v>1431</v>
      </c>
      <c r="I21" s="113" t="s">
        <v>1447</v>
      </c>
      <c r="J21" s="118" t="s">
        <v>1446</v>
      </c>
      <c r="K21" s="118">
        <v>44</v>
      </c>
      <c r="L21" s="119"/>
      <c r="M21" s="120">
        <v>0</v>
      </c>
      <c r="N21" s="120"/>
      <c r="O21" s="120">
        <v>0</v>
      </c>
      <c r="P21" s="120"/>
      <c r="Q21" s="120">
        <v>0</v>
      </c>
      <c r="R21" s="120"/>
      <c r="S21" s="120">
        <v>0</v>
      </c>
      <c r="T21" s="120"/>
      <c r="U21" s="120">
        <v>0</v>
      </c>
      <c r="V21" s="120"/>
      <c r="W21" s="120">
        <v>0</v>
      </c>
      <c r="X21" s="120"/>
      <c r="Y21" s="120">
        <v>40149051</v>
      </c>
      <c r="Z21" s="120"/>
      <c r="AA21" s="117">
        <v>0</v>
      </c>
      <c r="AB21" s="121"/>
      <c r="AC21" s="122"/>
      <c r="AD21" s="121">
        <v>0</v>
      </c>
      <c r="AE21" s="121"/>
      <c r="AF21" s="121">
        <v>0</v>
      </c>
      <c r="AG21" s="121"/>
      <c r="AH21" s="121">
        <v>0</v>
      </c>
      <c r="AI21" s="121"/>
      <c r="AJ21" s="121">
        <v>0</v>
      </c>
      <c r="AK21" s="121"/>
      <c r="AL21" s="121">
        <v>0</v>
      </c>
      <c r="AM21" s="121"/>
      <c r="AN21" s="121">
        <v>6311542</v>
      </c>
      <c r="AO21" s="121"/>
      <c r="AP21" s="121">
        <v>0</v>
      </c>
      <c r="AQ21" s="112"/>
      <c r="AR21" s="123"/>
      <c r="AS21" s="124"/>
      <c r="AT21" s="124"/>
      <c r="AU21" s="124"/>
      <c r="AV21" s="124"/>
      <c r="AW21" s="124"/>
      <c r="AX21" s="124"/>
      <c r="AY21" s="124"/>
      <c r="AZ21" s="124"/>
      <c r="BA21" s="124"/>
      <c r="BB21" s="124"/>
      <c r="BC21" s="124">
        <v>0.15720000000000001</v>
      </c>
      <c r="BD21" s="124"/>
      <c r="BE21" s="124"/>
      <c r="BF21" s="112"/>
      <c r="BG21" s="112" t="s">
        <v>1440</v>
      </c>
    </row>
    <row r="22" spans="1:59">
      <c r="A22" s="112" t="s">
        <v>1478</v>
      </c>
      <c r="B22" s="112" t="s">
        <v>1479</v>
      </c>
      <c r="C22" s="113" t="s">
        <v>1480</v>
      </c>
      <c r="D22" s="114">
        <v>8006</v>
      </c>
      <c r="E22" s="115">
        <v>80006</v>
      </c>
      <c r="F22" s="113" t="s">
        <v>1451</v>
      </c>
      <c r="G22" s="116">
        <v>2374203</v>
      </c>
      <c r="H22" s="117">
        <v>1431</v>
      </c>
      <c r="I22" s="113" t="s">
        <v>1445</v>
      </c>
      <c r="J22" s="118" t="s">
        <v>1439</v>
      </c>
      <c r="K22" s="118">
        <v>156</v>
      </c>
      <c r="L22" s="119"/>
      <c r="M22" s="120">
        <v>0</v>
      </c>
      <c r="N22" s="120"/>
      <c r="O22" s="120">
        <v>0</v>
      </c>
      <c r="P22" s="120"/>
      <c r="Q22" s="120">
        <v>0</v>
      </c>
      <c r="R22" s="120"/>
      <c r="S22" s="120">
        <v>0</v>
      </c>
      <c r="T22" s="120"/>
      <c r="U22" s="120">
        <v>0</v>
      </c>
      <c r="V22" s="120"/>
      <c r="W22" s="120">
        <v>0</v>
      </c>
      <c r="X22" s="120"/>
      <c r="Y22" s="120">
        <v>60630772</v>
      </c>
      <c r="Z22" s="120"/>
      <c r="AA22" s="117">
        <v>0</v>
      </c>
      <c r="AB22" s="121"/>
      <c r="AC22" s="122"/>
      <c r="AD22" s="121">
        <v>0</v>
      </c>
      <c r="AE22" s="121"/>
      <c r="AF22" s="121">
        <v>0</v>
      </c>
      <c r="AG22" s="121"/>
      <c r="AH22" s="121">
        <v>0</v>
      </c>
      <c r="AI22" s="121"/>
      <c r="AJ22" s="121">
        <v>0</v>
      </c>
      <c r="AK22" s="121"/>
      <c r="AL22" s="121">
        <v>0</v>
      </c>
      <c r="AM22" s="121"/>
      <c r="AN22" s="121">
        <v>9327859</v>
      </c>
      <c r="AO22" s="121"/>
      <c r="AP22" s="121">
        <v>0</v>
      </c>
      <c r="AQ22" s="112"/>
      <c r="AR22" s="123"/>
      <c r="AS22" s="124"/>
      <c r="AT22" s="124"/>
      <c r="AU22" s="124"/>
      <c r="AV22" s="124"/>
      <c r="AW22" s="124"/>
      <c r="AX22" s="124"/>
      <c r="AY22" s="124"/>
      <c r="AZ22" s="124"/>
      <c r="BA22" s="124"/>
      <c r="BB22" s="124"/>
      <c r="BC22" s="124">
        <v>0.15379999999999999</v>
      </c>
      <c r="BD22" s="124"/>
      <c r="BE22" s="124"/>
      <c r="BF22" s="112"/>
      <c r="BG22" s="112" t="s">
        <v>1440</v>
      </c>
    </row>
    <row r="23" spans="1:59">
      <c r="A23" s="112" t="s">
        <v>1481</v>
      </c>
      <c r="B23" s="112" t="s">
        <v>1482</v>
      </c>
      <c r="C23" s="113" t="s">
        <v>1435</v>
      </c>
      <c r="D23" s="114">
        <v>2078</v>
      </c>
      <c r="E23" s="115">
        <v>20078</v>
      </c>
      <c r="F23" s="113" t="s">
        <v>1436</v>
      </c>
      <c r="G23" s="116">
        <v>18351295</v>
      </c>
      <c r="H23" s="117">
        <v>1133</v>
      </c>
      <c r="I23" s="113" t="s">
        <v>1447</v>
      </c>
      <c r="J23" s="118" t="s">
        <v>1439</v>
      </c>
      <c r="K23" s="118">
        <v>1122</v>
      </c>
      <c r="L23" s="119"/>
      <c r="M23" s="120">
        <v>5697351</v>
      </c>
      <c r="N23" s="120"/>
      <c r="O23" s="120">
        <v>0</v>
      </c>
      <c r="P23" s="120"/>
      <c r="Q23" s="120">
        <v>0</v>
      </c>
      <c r="R23" s="120"/>
      <c r="S23" s="120">
        <v>0</v>
      </c>
      <c r="T23" s="120"/>
      <c r="U23" s="120">
        <v>0</v>
      </c>
      <c r="V23" s="120"/>
      <c r="W23" s="120">
        <v>0</v>
      </c>
      <c r="X23" s="120"/>
      <c r="Y23" s="120">
        <v>367362724</v>
      </c>
      <c r="Z23" s="120"/>
      <c r="AA23" s="117">
        <v>0</v>
      </c>
      <c r="AB23" s="121"/>
      <c r="AC23" s="122"/>
      <c r="AD23" s="121">
        <v>0</v>
      </c>
      <c r="AE23" s="121"/>
      <c r="AF23" s="121">
        <v>0</v>
      </c>
      <c r="AG23" s="121"/>
      <c r="AH23" s="121">
        <v>0</v>
      </c>
      <c r="AI23" s="121"/>
      <c r="AJ23" s="121">
        <v>0</v>
      </c>
      <c r="AK23" s="121"/>
      <c r="AL23" s="121">
        <v>2002432</v>
      </c>
      <c r="AM23" s="121"/>
      <c r="AN23" s="121">
        <v>40070882</v>
      </c>
      <c r="AO23" s="121"/>
      <c r="AP23" s="121">
        <v>0</v>
      </c>
      <c r="AQ23" s="112"/>
      <c r="AR23" s="123"/>
      <c r="AS23" s="124">
        <v>0</v>
      </c>
      <c r="AT23" s="124"/>
      <c r="AU23" s="124"/>
      <c r="AV23" s="124"/>
      <c r="AW23" s="124"/>
      <c r="AX23" s="124"/>
      <c r="AY23" s="124"/>
      <c r="AZ23" s="124"/>
      <c r="BA23" s="124"/>
      <c r="BB23" s="124"/>
      <c r="BC23" s="124">
        <v>0.1091</v>
      </c>
      <c r="BD23" s="124"/>
      <c r="BE23" s="124"/>
      <c r="BF23" s="112"/>
      <c r="BG23" s="112" t="s">
        <v>1440</v>
      </c>
    </row>
    <row r="24" spans="1:59">
      <c r="A24" s="112" t="s">
        <v>1483</v>
      </c>
      <c r="B24" s="112" t="s">
        <v>1484</v>
      </c>
      <c r="C24" s="113" t="s">
        <v>1469</v>
      </c>
      <c r="D24" s="114">
        <v>6056</v>
      </c>
      <c r="E24" s="115">
        <v>60056</v>
      </c>
      <c r="F24" s="113" t="s">
        <v>1451</v>
      </c>
      <c r="G24" s="116">
        <v>5121892</v>
      </c>
      <c r="H24" s="117">
        <v>1082</v>
      </c>
      <c r="I24" s="113" t="s">
        <v>1447</v>
      </c>
      <c r="J24" s="118" t="s">
        <v>1446</v>
      </c>
      <c r="K24" s="118">
        <v>23</v>
      </c>
      <c r="L24" s="119"/>
      <c r="M24" s="120">
        <v>1375987</v>
      </c>
      <c r="N24" s="120"/>
      <c r="O24" s="120">
        <v>0</v>
      </c>
      <c r="P24" s="120"/>
      <c r="Q24" s="120">
        <v>0</v>
      </c>
      <c r="R24" s="120"/>
      <c r="S24" s="120">
        <v>0</v>
      </c>
      <c r="T24" s="120"/>
      <c r="U24" s="120">
        <v>0</v>
      </c>
      <c r="V24" s="120"/>
      <c r="W24" s="120">
        <v>0</v>
      </c>
      <c r="X24" s="120"/>
      <c r="Y24" s="120">
        <v>0</v>
      </c>
      <c r="Z24" s="120"/>
      <c r="AA24" s="117">
        <v>0</v>
      </c>
      <c r="AB24" s="121"/>
      <c r="AC24" s="122"/>
      <c r="AD24" s="121">
        <v>460806</v>
      </c>
      <c r="AE24" s="121"/>
      <c r="AF24" s="121">
        <v>0</v>
      </c>
      <c r="AG24" s="121"/>
      <c r="AH24" s="121">
        <v>0</v>
      </c>
      <c r="AI24" s="121"/>
      <c r="AJ24" s="121">
        <v>0</v>
      </c>
      <c r="AK24" s="121"/>
      <c r="AL24" s="121">
        <v>0</v>
      </c>
      <c r="AM24" s="121"/>
      <c r="AN24" s="121">
        <v>0</v>
      </c>
      <c r="AO24" s="121"/>
      <c r="AP24" s="121">
        <v>0</v>
      </c>
      <c r="AQ24" s="112"/>
      <c r="AR24" s="123"/>
      <c r="AS24" s="124">
        <v>0.33489999999999998</v>
      </c>
      <c r="AT24" s="124"/>
      <c r="AU24" s="124"/>
      <c r="AV24" s="124"/>
      <c r="AW24" s="124"/>
      <c r="AX24" s="124"/>
      <c r="AY24" s="124"/>
      <c r="AZ24" s="124"/>
      <c r="BA24" s="124"/>
      <c r="BB24" s="124"/>
      <c r="BC24" s="124"/>
      <c r="BD24" s="124"/>
      <c r="BE24" s="124"/>
      <c r="BF24" s="112"/>
      <c r="BG24" s="112" t="s">
        <v>1440</v>
      </c>
    </row>
    <row r="25" spans="1:59">
      <c r="A25" s="112" t="s">
        <v>1483</v>
      </c>
      <c r="B25" s="112" t="s">
        <v>1484</v>
      </c>
      <c r="C25" s="113" t="s">
        <v>1469</v>
      </c>
      <c r="D25" s="114">
        <v>6056</v>
      </c>
      <c r="E25" s="115">
        <v>60056</v>
      </c>
      <c r="F25" s="113" t="s">
        <v>1451</v>
      </c>
      <c r="G25" s="116">
        <v>5121892</v>
      </c>
      <c r="H25" s="117">
        <v>1082</v>
      </c>
      <c r="I25" s="113" t="s">
        <v>1445</v>
      </c>
      <c r="J25" s="118" t="s">
        <v>1439</v>
      </c>
      <c r="K25" s="118">
        <v>117</v>
      </c>
      <c r="L25" s="119"/>
      <c r="M25" s="120">
        <v>0</v>
      </c>
      <c r="N25" s="120"/>
      <c r="O25" s="120">
        <v>0</v>
      </c>
      <c r="P25" s="120"/>
      <c r="Q25" s="120">
        <v>0</v>
      </c>
      <c r="R25" s="120"/>
      <c r="S25" s="120">
        <v>0</v>
      </c>
      <c r="T25" s="120"/>
      <c r="U25" s="120">
        <v>0</v>
      </c>
      <c r="V25" s="120"/>
      <c r="W25" s="120">
        <v>0</v>
      </c>
      <c r="X25" s="120"/>
      <c r="Y25" s="120">
        <v>116183770</v>
      </c>
      <c r="Z25" s="120"/>
      <c r="AA25" s="117">
        <v>0</v>
      </c>
      <c r="AB25" s="121"/>
      <c r="AC25" s="122"/>
      <c r="AD25" s="121">
        <v>0</v>
      </c>
      <c r="AE25" s="121"/>
      <c r="AF25" s="121">
        <v>0</v>
      </c>
      <c r="AG25" s="121"/>
      <c r="AH25" s="121">
        <v>0</v>
      </c>
      <c r="AI25" s="121"/>
      <c r="AJ25" s="121">
        <v>0</v>
      </c>
      <c r="AK25" s="121"/>
      <c r="AL25" s="121">
        <v>0</v>
      </c>
      <c r="AM25" s="121"/>
      <c r="AN25" s="121">
        <v>9894309</v>
      </c>
      <c r="AO25" s="121"/>
      <c r="AP25" s="121">
        <v>0</v>
      </c>
      <c r="AQ25" s="112"/>
      <c r="AR25" s="123"/>
      <c r="AS25" s="124"/>
      <c r="AT25" s="124"/>
      <c r="AU25" s="124"/>
      <c r="AV25" s="124"/>
      <c r="AW25" s="124"/>
      <c r="AX25" s="124"/>
      <c r="AY25" s="124"/>
      <c r="AZ25" s="124"/>
      <c r="BA25" s="124"/>
      <c r="BB25" s="124"/>
      <c r="BC25" s="124">
        <v>8.5199999999999998E-2</v>
      </c>
      <c r="BD25" s="124"/>
      <c r="BE25" s="124"/>
      <c r="BF25" s="112"/>
      <c r="BG25" s="112" t="s">
        <v>1440</v>
      </c>
    </row>
    <row r="26" spans="1:59">
      <c r="A26" s="112" t="s">
        <v>1485</v>
      </c>
      <c r="B26" s="112" t="s">
        <v>1486</v>
      </c>
      <c r="C26" s="113" t="s">
        <v>1487</v>
      </c>
      <c r="D26" s="114">
        <v>8001</v>
      </c>
      <c r="E26" s="115">
        <v>80001</v>
      </c>
      <c r="F26" s="113" t="s">
        <v>1451</v>
      </c>
      <c r="G26" s="116">
        <v>1021243</v>
      </c>
      <c r="H26" s="117">
        <v>1081</v>
      </c>
      <c r="I26" s="113" t="s">
        <v>1445</v>
      </c>
      <c r="J26" s="118" t="s">
        <v>1439</v>
      </c>
      <c r="K26" s="118">
        <v>89</v>
      </c>
      <c r="L26" s="119"/>
      <c r="M26" s="120">
        <v>0</v>
      </c>
      <c r="N26" s="120"/>
      <c r="O26" s="120">
        <v>0</v>
      </c>
      <c r="P26" s="120"/>
      <c r="Q26" s="120">
        <v>0</v>
      </c>
      <c r="R26" s="120"/>
      <c r="S26" s="120">
        <v>0</v>
      </c>
      <c r="T26" s="120"/>
      <c r="U26" s="120">
        <v>0</v>
      </c>
      <c r="V26" s="120"/>
      <c r="W26" s="120">
        <v>0</v>
      </c>
      <c r="X26" s="120"/>
      <c r="Y26" s="120">
        <v>39602347</v>
      </c>
      <c r="Z26" s="120"/>
      <c r="AA26" s="117">
        <v>0</v>
      </c>
      <c r="AB26" s="121"/>
      <c r="AC26" s="122"/>
      <c r="AD26" s="121">
        <v>0</v>
      </c>
      <c r="AE26" s="121"/>
      <c r="AF26" s="121">
        <v>0</v>
      </c>
      <c r="AG26" s="121"/>
      <c r="AH26" s="121">
        <v>0</v>
      </c>
      <c r="AI26" s="121"/>
      <c r="AJ26" s="121">
        <v>0</v>
      </c>
      <c r="AK26" s="121"/>
      <c r="AL26" s="121">
        <v>0</v>
      </c>
      <c r="AM26" s="121"/>
      <c r="AN26" s="121">
        <v>6307169</v>
      </c>
      <c r="AO26" s="121"/>
      <c r="AP26" s="121">
        <v>0</v>
      </c>
      <c r="AQ26" s="112"/>
      <c r="AR26" s="123"/>
      <c r="AS26" s="124"/>
      <c r="AT26" s="124"/>
      <c r="AU26" s="124"/>
      <c r="AV26" s="124"/>
      <c r="AW26" s="124"/>
      <c r="AX26" s="124"/>
      <c r="AY26" s="124"/>
      <c r="AZ26" s="124"/>
      <c r="BA26" s="124"/>
      <c r="BB26" s="124"/>
      <c r="BC26" s="124">
        <v>0.1593</v>
      </c>
      <c r="BD26" s="124"/>
      <c r="BE26" s="124"/>
      <c r="BF26" s="112"/>
      <c r="BG26" s="112" t="s">
        <v>1440</v>
      </c>
    </row>
    <row r="27" spans="1:59">
      <c r="A27" s="112" t="s">
        <v>1485</v>
      </c>
      <c r="B27" s="112" t="s">
        <v>1486</v>
      </c>
      <c r="C27" s="113" t="s">
        <v>1487</v>
      </c>
      <c r="D27" s="114">
        <v>8001</v>
      </c>
      <c r="E27" s="115">
        <v>80001</v>
      </c>
      <c r="F27" s="113" t="s">
        <v>1451</v>
      </c>
      <c r="G27" s="116">
        <v>1021243</v>
      </c>
      <c r="H27" s="117">
        <v>1081</v>
      </c>
      <c r="I27" s="113" t="s">
        <v>1447</v>
      </c>
      <c r="J27" s="118" t="s">
        <v>1439</v>
      </c>
      <c r="K27" s="118">
        <v>50</v>
      </c>
      <c r="L27" s="119"/>
      <c r="M27" s="120">
        <v>1921417</v>
      </c>
      <c r="N27" s="120"/>
      <c r="O27" s="120">
        <v>0</v>
      </c>
      <c r="P27" s="120"/>
      <c r="Q27" s="120">
        <v>0</v>
      </c>
      <c r="R27" s="120"/>
      <c r="S27" s="120">
        <v>0</v>
      </c>
      <c r="T27" s="120"/>
      <c r="U27" s="120">
        <v>0</v>
      </c>
      <c r="V27" s="120"/>
      <c r="W27" s="120">
        <v>0</v>
      </c>
      <c r="X27" s="120"/>
      <c r="Y27" s="120">
        <v>0</v>
      </c>
      <c r="Z27" s="120"/>
      <c r="AA27" s="117">
        <v>0</v>
      </c>
      <c r="AB27" s="121"/>
      <c r="AC27" s="122"/>
      <c r="AD27" s="121">
        <v>850933</v>
      </c>
      <c r="AE27" s="121"/>
      <c r="AF27" s="121">
        <v>0</v>
      </c>
      <c r="AG27" s="121"/>
      <c r="AH27" s="121">
        <v>0</v>
      </c>
      <c r="AI27" s="121"/>
      <c r="AJ27" s="121">
        <v>0</v>
      </c>
      <c r="AK27" s="121"/>
      <c r="AL27" s="121">
        <v>0</v>
      </c>
      <c r="AM27" s="121"/>
      <c r="AN27" s="121">
        <v>0</v>
      </c>
      <c r="AO27" s="121"/>
      <c r="AP27" s="121">
        <v>0</v>
      </c>
      <c r="AQ27" s="112"/>
      <c r="AR27" s="123"/>
      <c r="AS27" s="124">
        <v>0.44290000000000002</v>
      </c>
      <c r="AT27" s="124"/>
      <c r="AU27" s="124"/>
      <c r="AV27" s="124"/>
      <c r="AW27" s="124"/>
      <c r="AX27" s="124"/>
      <c r="AY27" s="124"/>
      <c r="AZ27" s="124"/>
      <c r="BA27" s="124"/>
      <c r="BB27" s="124"/>
      <c r="BC27" s="124"/>
      <c r="BD27" s="124"/>
      <c r="BE27" s="124"/>
      <c r="BF27" s="112"/>
      <c r="BG27" s="112" t="s">
        <v>1440</v>
      </c>
    </row>
    <row r="28" spans="1:59">
      <c r="A28" s="112" t="s">
        <v>1488</v>
      </c>
      <c r="B28" s="112" t="s">
        <v>1456</v>
      </c>
      <c r="C28" s="113" t="s">
        <v>1457</v>
      </c>
      <c r="D28" s="114">
        <v>5118</v>
      </c>
      <c r="E28" s="115">
        <v>50118</v>
      </c>
      <c r="F28" s="113" t="s">
        <v>1451</v>
      </c>
      <c r="G28" s="116">
        <v>8608208</v>
      </c>
      <c r="H28" s="117">
        <v>1066</v>
      </c>
      <c r="I28" s="113" t="s">
        <v>1447</v>
      </c>
      <c r="J28" s="118" t="s">
        <v>1439</v>
      </c>
      <c r="K28" s="118">
        <v>539</v>
      </c>
      <c r="L28" s="119"/>
      <c r="M28" s="120">
        <v>18100043</v>
      </c>
      <c r="N28" s="120"/>
      <c r="O28" s="120">
        <v>0</v>
      </c>
      <c r="P28" s="120"/>
      <c r="Q28" s="120">
        <v>0</v>
      </c>
      <c r="R28" s="120"/>
      <c r="S28" s="120">
        <v>0</v>
      </c>
      <c r="T28" s="120"/>
      <c r="U28" s="120">
        <v>0</v>
      </c>
      <c r="V28" s="120"/>
      <c r="W28" s="120">
        <v>0</v>
      </c>
      <c r="X28" s="120"/>
      <c r="Y28" s="120">
        <v>56262281</v>
      </c>
      <c r="Z28" s="120"/>
      <c r="AA28" s="117">
        <v>0</v>
      </c>
      <c r="AB28" s="121"/>
      <c r="AC28" s="122"/>
      <c r="AD28" s="121">
        <v>5202961</v>
      </c>
      <c r="AE28" s="121"/>
      <c r="AF28" s="121">
        <v>0</v>
      </c>
      <c r="AG28" s="121"/>
      <c r="AH28" s="121">
        <v>0</v>
      </c>
      <c r="AI28" s="121"/>
      <c r="AJ28" s="121">
        <v>0</v>
      </c>
      <c r="AK28" s="121"/>
      <c r="AL28" s="121">
        <v>0</v>
      </c>
      <c r="AM28" s="121"/>
      <c r="AN28" s="121">
        <v>3759786</v>
      </c>
      <c r="AO28" s="121"/>
      <c r="AP28" s="121">
        <v>0</v>
      </c>
      <c r="AQ28" s="112"/>
      <c r="AR28" s="123"/>
      <c r="AS28" s="124">
        <v>0.28749999999999998</v>
      </c>
      <c r="AT28" s="124"/>
      <c r="AU28" s="124"/>
      <c r="AV28" s="124"/>
      <c r="AW28" s="124"/>
      <c r="AX28" s="124"/>
      <c r="AY28" s="124"/>
      <c r="AZ28" s="124"/>
      <c r="BA28" s="124"/>
      <c r="BB28" s="124"/>
      <c r="BC28" s="124">
        <v>6.6799999999999998E-2</v>
      </c>
      <c r="BD28" s="124"/>
      <c r="BE28" s="124"/>
      <c r="BF28" s="112"/>
      <c r="BG28" s="112" t="s">
        <v>1440</v>
      </c>
    </row>
    <row r="29" spans="1:59">
      <c r="A29" s="112" t="s">
        <v>1488</v>
      </c>
      <c r="B29" s="112" t="s">
        <v>1456</v>
      </c>
      <c r="C29" s="113" t="s">
        <v>1457</v>
      </c>
      <c r="D29" s="114">
        <v>5118</v>
      </c>
      <c r="E29" s="115">
        <v>50118</v>
      </c>
      <c r="F29" s="113" t="s">
        <v>1451</v>
      </c>
      <c r="G29" s="116">
        <v>8608208</v>
      </c>
      <c r="H29" s="117">
        <v>1066</v>
      </c>
      <c r="I29" s="113" t="s">
        <v>1447</v>
      </c>
      <c r="J29" s="118" t="s">
        <v>1446</v>
      </c>
      <c r="K29" s="118">
        <v>527</v>
      </c>
      <c r="L29" s="119"/>
      <c r="M29" s="120">
        <v>18100043</v>
      </c>
      <c r="N29" s="120"/>
      <c r="O29" s="120">
        <v>0</v>
      </c>
      <c r="P29" s="120"/>
      <c r="Q29" s="120">
        <v>0</v>
      </c>
      <c r="R29" s="120"/>
      <c r="S29" s="120">
        <v>0</v>
      </c>
      <c r="T29" s="120"/>
      <c r="U29" s="120">
        <v>0</v>
      </c>
      <c r="V29" s="120"/>
      <c r="W29" s="120">
        <v>0</v>
      </c>
      <c r="X29" s="120"/>
      <c r="Y29" s="120">
        <v>0</v>
      </c>
      <c r="Z29" s="120"/>
      <c r="AA29" s="117">
        <v>0</v>
      </c>
      <c r="AB29" s="121"/>
      <c r="AC29" s="122"/>
      <c r="AD29" s="121">
        <v>0</v>
      </c>
      <c r="AE29" s="121"/>
      <c r="AF29" s="121">
        <v>0</v>
      </c>
      <c r="AG29" s="121"/>
      <c r="AH29" s="121">
        <v>0</v>
      </c>
      <c r="AI29" s="121"/>
      <c r="AJ29" s="121">
        <v>0</v>
      </c>
      <c r="AK29" s="121"/>
      <c r="AL29" s="121">
        <v>0</v>
      </c>
      <c r="AM29" s="121"/>
      <c r="AN29" s="121">
        <v>0</v>
      </c>
      <c r="AO29" s="121"/>
      <c r="AP29" s="121">
        <v>0</v>
      </c>
      <c r="AQ29" s="112"/>
      <c r="AR29" s="123"/>
      <c r="AS29" s="124">
        <v>0</v>
      </c>
      <c r="AT29" s="124"/>
      <c r="AU29" s="124"/>
      <c r="AV29" s="124"/>
      <c r="AW29" s="124"/>
      <c r="AX29" s="124"/>
      <c r="AY29" s="124"/>
      <c r="AZ29" s="124"/>
      <c r="BA29" s="124"/>
      <c r="BB29" s="124"/>
      <c r="BC29" s="124"/>
      <c r="BD29" s="124"/>
      <c r="BE29" s="124"/>
      <c r="BF29" s="112"/>
      <c r="BG29" s="112" t="s">
        <v>1440</v>
      </c>
    </row>
    <row r="30" spans="1:59">
      <c r="A30" s="112" t="s">
        <v>1489</v>
      </c>
      <c r="B30" s="112" t="s">
        <v>1490</v>
      </c>
      <c r="C30" s="113" t="s">
        <v>1435</v>
      </c>
      <c r="D30" s="114">
        <v>2100</v>
      </c>
      <c r="E30" s="115">
        <v>20100</v>
      </c>
      <c r="F30" s="113" t="s">
        <v>1436</v>
      </c>
      <c r="G30" s="116">
        <v>18351295</v>
      </c>
      <c r="H30" s="117">
        <v>1022</v>
      </c>
      <c r="I30" s="113" t="s">
        <v>1447</v>
      </c>
      <c r="J30" s="118" t="s">
        <v>1439</v>
      </c>
      <c r="K30" s="118">
        <v>1022</v>
      </c>
      <c r="L30" s="119"/>
      <c r="M30" s="120">
        <v>7034074</v>
      </c>
      <c r="N30" s="120"/>
      <c r="O30" s="120">
        <v>0</v>
      </c>
      <c r="P30" s="120"/>
      <c r="Q30" s="120">
        <v>0</v>
      </c>
      <c r="R30" s="120"/>
      <c r="S30" s="120">
        <v>0</v>
      </c>
      <c r="T30" s="120"/>
      <c r="U30" s="120">
        <v>0</v>
      </c>
      <c r="V30" s="120"/>
      <c r="W30" s="120">
        <v>0</v>
      </c>
      <c r="X30" s="120"/>
      <c r="Y30" s="120">
        <v>471350200</v>
      </c>
      <c r="Z30" s="120"/>
      <c r="AA30" s="117">
        <v>0</v>
      </c>
      <c r="AB30" s="121"/>
      <c r="AC30" s="122"/>
      <c r="AD30" s="121">
        <v>757533</v>
      </c>
      <c r="AE30" s="121"/>
      <c r="AF30" s="121">
        <v>0</v>
      </c>
      <c r="AG30" s="121"/>
      <c r="AH30" s="121">
        <v>0</v>
      </c>
      <c r="AI30" s="121"/>
      <c r="AJ30" s="121">
        <v>0</v>
      </c>
      <c r="AK30" s="121"/>
      <c r="AL30" s="121">
        <v>757533</v>
      </c>
      <c r="AM30" s="121"/>
      <c r="AN30" s="121">
        <v>54919600</v>
      </c>
      <c r="AO30" s="121"/>
      <c r="AP30" s="121">
        <v>0</v>
      </c>
      <c r="AQ30" s="112"/>
      <c r="AR30" s="123"/>
      <c r="AS30" s="124">
        <v>0.1077</v>
      </c>
      <c r="AT30" s="124"/>
      <c r="AU30" s="124"/>
      <c r="AV30" s="124"/>
      <c r="AW30" s="124"/>
      <c r="AX30" s="124"/>
      <c r="AY30" s="124"/>
      <c r="AZ30" s="124"/>
      <c r="BA30" s="124"/>
      <c r="BB30" s="124"/>
      <c r="BC30" s="124">
        <v>0.11650000000000001</v>
      </c>
      <c r="BD30" s="124"/>
      <c r="BE30" s="124"/>
      <c r="BF30" s="112"/>
      <c r="BG30" s="112" t="s">
        <v>1440</v>
      </c>
    </row>
    <row r="31" spans="1:59">
      <c r="A31" s="112" t="s">
        <v>1491</v>
      </c>
      <c r="B31" s="112" t="s">
        <v>1492</v>
      </c>
      <c r="C31" s="113" t="s">
        <v>1450</v>
      </c>
      <c r="D31" s="114">
        <v>9015</v>
      </c>
      <c r="E31" s="115">
        <v>90015</v>
      </c>
      <c r="F31" s="113" t="s">
        <v>1477</v>
      </c>
      <c r="G31" s="116">
        <v>3281212</v>
      </c>
      <c r="H31" s="117">
        <v>996</v>
      </c>
      <c r="I31" s="113" t="s">
        <v>1445</v>
      </c>
      <c r="J31" s="118" t="s">
        <v>1439</v>
      </c>
      <c r="K31" s="118">
        <v>149</v>
      </c>
      <c r="L31" s="119"/>
      <c r="M31" s="120">
        <v>0</v>
      </c>
      <c r="N31" s="120"/>
      <c r="O31" s="120">
        <v>0</v>
      </c>
      <c r="P31" s="120"/>
      <c r="Q31" s="120">
        <v>0</v>
      </c>
      <c r="R31" s="120"/>
      <c r="S31" s="120">
        <v>0</v>
      </c>
      <c r="T31" s="120"/>
      <c r="U31" s="120">
        <v>0</v>
      </c>
      <c r="V31" s="120"/>
      <c r="W31" s="120">
        <v>0</v>
      </c>
      <c r="X31" s="120"/>
      <c r="Y31" s="120">
        <v>51453351</v>
      </c>
      <c r="Z31" s="120"/>
      <c r="AA31" s="117">
        <v>0</v>
      </c>
      <c r="AB31" s="121"/>
      <c r="AC31" s="122"/>
      <c r="AD31" s="121">
        <v>0</v>
      </c>
      <c r="AE31" s="121"/>
      <c r="AF31" s="121">
        <v>0</v>
      </c>
      <c r="AG31" s="121"/>
      <c r="AH31" s="121">
        <v>0</v>
      </c>
      <c r="AI31" s="121"/>
      <c r="AJ31" s="121">
        <v>0</v>
      </c>
      <c r="AK31" s="121"/>
      <c r="AL31" s="121">
        <v>0</v>
      </c>
      <c r="AM31" s="121"/>
      <c r="AN31" s="121">
        <v>5286597</v>
      </c>
      <c r="AO31" s="121"/>
      <c r="AP31" s="121">
        <v>0</v>
      </c>
      <c r="AQ31" s="112"/>
      <c r="AR31" s="123"/>
      <c r="AS31" s="124"/>
      <c r="AT31" s="124"/>
      <c r="AU31" s="124"/>
      <c r="AV31" s="124"/>
      <c r="AW31" s="124"/>
      <c r="AX31" s="124"/>
      <c r="AY31" s="124"/>
      <c r="AZ31" s="124"/>
      <c r="BA31" s="124"/>
      <c r="BB31" s="124"/>
      <c r="BC31" s="124">
        <v>0.1027</v>
      </c>
      <c r="BD31" s="124"/>
      <c r="BE31" s="124"/>
      <c r="BF31" s="112"/>
      <c r="BG31" s="112" t="s">
        <v>1440</v>
      </c>
    </row>
    <row r="32" spans="1:59">
      <c r="A32" s="112" t="s">
        <v>1493</v>
      </c>
      <c r="B32" s="112" t="s">
        <v>1494</v>
      </c>
      <c r="C32" s="113" t="s">
        <v>1495</v>
      </c>
      <c r="D32" s="114">
        <v>8</v>
      </c>
      <c r="E32" s="115">
        <v>8</v>
      </c>
      <c r="F32" s="113" t="s">
        <v>1451</v>
      </c>
      <c r="G32" s="116">
        <v>1849898</v>
      </c>
      <c r="H32" s="117">
        <v>982</v>
      </c>
      <c r="I32" s="113" t="s">
        <v>1445</v>
      </c>
      <c r="J32" s="118" t="s">
        <v>1439</v>
      </c>
      <c r="K32" s="118">
        <v>116</v>
      </c>
      <c r="L32" s="119"/>
      <c r="M32" s="120">
        <v>0</v>
      </c>
      <c r="N32" s="120"/>
      <c r="O32" s="120">
        <v>0</v>
      </c>
      <c r="P32" s="120"/>
      <c r="Q32" s="120">
        <v>0</v>
      </c>
      <c r="R32" s="120"/>
      <c r="S32" s="120">
        <v>0</v>
      </c>
      <c r="T32" s="120"/>
      <c r="U32" s="120">
        <v>0</v>
      </c>
      <c r="V32" s="120"/>
      <c r="W32" s="120">
        <v>0</v>
      </c>
      <c r="X32" s="120"/>
      <c r="Y32" s="120">
        <v>54389715</v>
      </c>
      <c r="Z32" s="120"/>
      <c r="AA32" s="117">
        <v>0</v>
      </c>
      <c r="AB32" s="121"/>
      <c r="AC32" s="122"/>
      <c r="AD32" s="121">
        <v>0</v>
      </c>
      <c r="AE32" s="121"/>
      <c r="AF32" s="121">
        <v>0</v>
      </c>
      <c r="AG32" s="121"/>
      <c r="AH32" s="121">
        <v>0</v>
      </c>
      <c r="AI32" s="121"/>
      <c r="AJ32" s="121">
        <v>0</v>
      </c>
      <c r="AK32" s="121"/>
      <c r="AL32" s="121">
        <v>0</v>
      </c>
      <c r="AM32" s="121"/>
      <c r="AN32" s="121">
        <v>9045741</v>
      </c>
      <c r="AO32" s="121"/>
      <c r="AP32" s="121">
        <v>0</v>
      </c>
      <c r="AQ32" s="112"/>
      <c r="AR32" s="123"/>
      <c r="AS32" s="124"/>
      <c r="AT32" s="124"/>
      <c r="AU32" s="124"/>
      <c r="AV32" s="124"/>
      <c r="AW32" s="124"/>
      <c r="AX32" s="124"/>
      <c r="AY32" s="124"/>
      <c r="AZ32" s="124"/>
      <c r="BA32" s="124"/>
      <c r="BB32" s="124"/>
      <c r="BC32" s="124">
        <v>0.1663</v>
      </c>
      <c r="BD32" s="124"/>
      <c r="BE32" s="124"/>
      <c r="BF32" s="112"/>
      <c r="BG32" s="112" t="s">
        <v>1440</v>
      </c>
    </row>
    <row r="33" spans="1:59">
      <c r="A33" s="112" t="s">
        <v>1496</v>
      </c>
      <c r="B33" s="112" t="s">
        <v>1497</v>
      </c>
      <c r="C33" s="113" t="s">
        <v>1498</v>
      </c>
      <c r="D33" s="114">
        <v>4022</v>
      </c>
      <c r="E33" s="115">
        <v>40022</v>
      </c>
      <c r="F33" s="113" t="s">
        <v>1451</v>
      </c>
      <c r="G33" s="116">
        <v>4515419</v>
      </c>
      <c r="H33" s="117">
        <v>943</v>
      </c>
      <c r="I33" s="113" t="s">
        <v>1438</v>
      </c>
      <c r="J33" s="118" t="s">
        <v>1439</v>
      </c>
      <c r="K33" s="118">
        <v>212</v>
      </c>
      <c r="L33" s="119"/>
      <c r="M33" s="120">
        <v>0</v>
      </c>
      <c r="N33" s="120"/>
      <c r="O33" s="120">
        <v>0</v>
      </c>
      <c r="P33" s="120"/>
      <c r="Q33" s="120">
        <v>0</v>
      </c>
      <c r="R33" s="120"/>
      <c r="S33" s="120">
        <v>0</v>
      </c>
      <c r="T33" s="120"/>
      <c r="U33" s="120">
        <v>0</v>
      </c>
      <c r="V33" s="120"/>
      <c r="W33" s="120">
        <v>0</v>
      </c>
      <c r="X33" s="120"/>
      <c r="Y33" s="120">
        <v>83566447</v>
      </c>
      <c r="Z33" s="120"/>
      <c r="AA33" s="117">
        <v>0</v>
      </c>
      <c r="AB33" s="121"/>
      <c r="AC33" s="122"/>
      <c r="AD33" s="121">
        <v>0</v>
      </c>
      <c r="AE33" s="121"/>
      <c r="AF33" s="121">
        <v>0</v>
      </c>
      <c r="AG33" s="121"/>
      <c r="AH33" s="121">
        <v>0</v>
      </c>
      <c r="AI33" s="121"/>
      <c r="AJ33" s="121">
        <v>0</v>
      </c>
      <c r="AK33" s="121"/>
      <c r="AL33" s="121">
        <v>0</v>
      </c>
      <c r="AM33" s="121"/>
      <c r="AN33" s="121">
        <v>19692749</v>
      </c>
      <c r="AO33" s="121"/>
      <c r="AP33" s="121">
        <v>0</v>
      </c>
      <c r="AQ33" s="112"/>
      <c r="AR33" s="123"/>
      <c r="AS33" s="124"/>
      <c r="AT33" s="124"/>
      <c r="AU33" s="124"/>
      <c r="AV33" s="124"/>
      <c r="AW33" s="124"/>
      <c r="AX33" s="124"/>
      <c r="AY33" s="124"/>
      <c r="AZ33" s="124"/>
      <c r="BA33" s="124"/>
      <c r="BB33" s="124"/>
      <c r="BC33" s="124">
        <v>0.23569999999999999</v>
      </c>
      <c r="BD33" s="124"/>
      <c r="BE33" s="124"/>
      <c r="BF33" s="112"/>
      <c r="BG33" s="112" t="s">
        <v>1440</v>
      </c>
    </row>
    <row r="34" spans="1:59">
      <c r="A34" s="112" t="s">
        <v>1499</v>
      </c>
      <c r="B34" s="112" t="s">
        <v>1500</v>
      </c>
      <c r="C34" s="113" t="s">
        <v>1466</v>
      </c>
      <c r="D34" s="114">
        <v>3022</v>
      </c>
      <c r="E34" s="115">
        <v>30022</v>
      </c>
      <c r="F34" s="113" t="s">
        <v>1451</v>
      </c>
      <c r="G34" s="116">
        <v>1733853</v>
      </c>
      <c r="H34" s="117">
        <v>930</v>
      </c>
      <c r="I34" s="113" t="s">
        <v>1445</v>
      </c>
      <c r="J34" s="118" t="s">
        <v>1439</v>
      </c>
      <c r="K34" s="118">
        <v>58</v>
      </c>
      <c r="L34" s="119"/>
      <c r="M34" s="120">
        <v>0</v>
      </c>
      <c r="N34" s="120"/>
      <c r="O34" s="120">
        <v>0</v>
      </c>
      <c r="P34" s="120"/>
      <c r="Q34" s="120">
        <v>0</v>
      </c>
      <c r="R34" s="120"/>
      <c r="S34" s="120">
        <v>0</v>
      </c>
      <c r="T34" s="120"/>
      <c r="U34" s="120">
        <v>0</v>
      </c>
      <c r="V34" s="120"/>
      <c r="W34" s="120">
        <v>0</v>
      </c>
      <c r="X34" s="120"/>
      <c r="Y34" s="120">
        <v>30547053</v>
      </c>
      <c r="Z34" s="120"/>
      <c r="AA34" s="117">
        <v>0</v>
      </c>
      <c r="AB34" s="121"/>
      <c r="AC34" s="122"/>
      <c r="AD34" s="121">
        <v>0</v>
      </c>
      <c r="AE34" s="121"/>
      <c r="AF34" s="121">
        <v>0</v>
      </c>
      <c r="AG34" s="121"/>
      <c r="AH34" s="121">
        <v>0</v>
      </c>
      <c r="AI34" s="121"/>
      <c r="AJ34" s="121">
        <v>0</v>
      </c>
      <c r="AK34" s="121"/>
      <c r="AL34" s="121">
        <v>0</v>
      </c>
      <c r="AM34" s="121"/>
      <c r="AN34" s="121">
        <v>2154526</v>
      </c>
      <c r="AO34" s="121"/>
      <c r="AP34" s="121">
        <v>0</v>
      </c>
      <c r="AQ34" s="112"/>
      <c r="AR34" s="123"/>
      <c r="AS34" s="124"/>
      <c r="AT34" s="124"/>
      <c r="AU34" s="124"/>
      <c r="AV34" s="124"/>
      <c r="AW34" s="124"/>
      <c r="AX34" s="124"/>
      <c r="AY34" s="124"/>
      <c r="AZ34" s="124"/>
      <c r="BA34" s="124"/>
      <c r="BB34" s="124"/>
      <c r="BC34" s="124">
        <v>7.0499999999999993E-2</v>
      </c>
      <c r="BD34" s="124"/>
      <c r="BE34" s="124"/>
      <c r="BF34" s="112"/>
      <c r="BG34" s="112" t="s">
        <v>1440</v>
      </c>
    </row>
    <row r="35" spans="1:59">
      <c r="A35" s="112" t="s">
        <v>1501</v>
      </c>
      <c r="B35" s="112" t="s">
        <v>1502</v>
      </c>
      <c r="C35" s="113" t="s">
        <v>1450</v>
      </c>
      <c r="D35" s="114">
        <v>9026</v>
      </c>
      <c r="E35" s="115">
        <v>90026</v>
      </c>
      <c r="F35" s="113" t="s">
        <v>1451</v>
      </c>
      <c r="G35" s="116">
        <v>2956746</v>
      </c>
      <c r="H35" s="117">
        <v>906</v>
      </c>
      <c r="I35" s="113" t="s">
        <v>1445</v>
      </c>
      <c r="J35" s="118" t="s">
        <v>1439</v>
      </c>
      <c r="K35" s="118">
        <v>103</v>
      </c>
      <c r="L35" s="119"/>
      <c r="M35" s="120">
        <v>0</v>
      </c>
      <c r="N35" s="120"/>
      <c r="O35" s="120">
        <v>0</v>
      </c>
      <c r="P35" s="120"/>
      <c r="Q35" s="120">
        <v>0</v>
      </c>
      <c r="R35" s="120"/>
      <c r="S35" s="120">
        <v>0</v>
      </c>
      <c r="T35" s="120"/>
      <c r="U35" s="120">
        <v>0</v>
      </c>
      <c r="V35" s="120"/>
      <c r="W35" s="120">
        <v>0</v>
      </c>
      <c r="X35" s="120"/>
      <c r="Y35" s="120">
        <v>52502166</v>
      </c>
      <c r="Z35" s="120"/>
      <c r="AA35" s="117">
        <v>0</v>
      </c>
      <c r="AB35" s="121"/>
      <c r="AC35" s="122"/>
      <c r="AD35" s="121">
        <v>0</v>
      </c>
      <c r="AE35" s="121"/>
      <c r="AF35" s="121">
        <v>0</v>
      </c>
      <c r="AG35" s="121"/>
      <c r="AH35" s="121">
        <v>0</v>
      </c>
      <c r="AI35" s="121"/>
      <c r="AJ35" s="121">
        <v>0</v>
      </c>
      <c r="AK35" s="121"/>
      <c r="AL35" s="121">
        <v>0</v>
      </c>
      <c r="AM35" s="121"/>
      <c r="AN35" s="121">
        <v>9579691</v>
      </c>
      <c r="AO35" s="121"/>
      <c r="AP35" s="121">
        <v>0</v>
      </c>
      <c r="AQ35" s="112"/>
      <c r="AR35" s="123"/>
      <c r="AS35" s="124"/>
      <c r="AT35" s="124"/>
      <c r="AU35" s="124"/>
      <c r="AV35" s="124"/>
      <c r="AW35" s="124"/>
      <c r="AX35" s="124"/>
      <c r="AY35" s="124"/>
      <c r="AZ35" s="124"/>
      <c r="BA35" s="124"/>
      <c r="BB35" s="124"/>
      <c r="BC35" s="124">
        <v>0.1825</v>
      </c>
      <c r="BD35" s="124"/>
      <c r="BE35" s="124"/>
      <c r="BF35" s="112"/>
      <c r="BG35" s="112" t="s">
        <v>1440</v>
      </c>
    </row>
    <row r="36" spans="1:59">
      <c r="A36" s="112" t="s">
        <v>1503</v>
      </c>
      <c r="B36" s="112" t="s">
        <v>1504</v>
      </c>
      <c r="C36" s="113" t="s">
        <v>1505</v>
      </c>
      <c r="D36" s="114">
        <v>5027</v>
      </c>
      <c r="E36" s="115">
        <v>50027</v>
      </c>
      <c r="F36" s="113" t="s">
        <v>1436</v>
      </c>
      <c r="G36" s="116">
        <v>2650890</v>
      </c>
      <c r="H36" s="117">
        <v>823</v>
      </c>
      <c r="I36" s="113" t="s">
        <v>1445</v>
      </c>
      <c r="J36" s="118" t="s">
        <v>1439</v>
      </c>
      <c r="K36" s="118">
        <v>76</v>
      </c>
      <c r="L36" s="119"/>
      <c r="M36" s="120">
        <v>0</v>
      </c>
      <c r="N36" s="120"/>
      <c r="O36" s="120">
        <v>0</v>
      </c>
      <c r="P36" s="120"/>
      <c r="Q36" s="120">
        <v>0</v>
      </c>
      <c r="R36" s="120"/>
      <c r="S36" s="120">
        <v>0</v>
      </c>
      <c r="T36" s="120"/>
      <c r="U36" s="120">
        <v>0</v>
      </c>
      <c r="V36" s="120"/>
      <c r="W36" s="120">
        <v>0</v>
      </c>
      <c r="X36" s="120"/>
      <c r="Y36" s="120">
        <v>31871652</v>
      </c>
      <c r="Z36" s="120"/>
      <c r="AA36" s="117">
        <v>0</v>
      </c>
      <c r="AB36" s="121"/>
      <c r="AC36" s="122"/>
      <c r="AD36" s="121">
        <v>0</v>
      </c>
      <c r="AE36" s="121"/>
      <c r="AF36" s="121">
        <v>0</v>
      </c>
      <c r="AG36" s="121"/>
      <c r="AH36" s="121">
        <v>0</v>
      </c>
      <c r="AI36" s="121"/>
      <c r="AJ36" s="121">
        <v>0</v>
      </c>
      <c r="AK36" s="121"/>
      <c r="AL36" s="121">
        <v>0</v>
      </c>
      <c r="AM36" s="121"/>
      <c r="AN36" s="121">
        <v>4153269</v>
      </c>
      <c r="AO36" s="121"/>
      <c r="AP36" s="121">
        <v>0</v>
      </c>
      <c r="AQ36" s="112"/>
      <c r="AR36" s="123"/>
      <c r="AS36" s="124"/>
      <c r="AT36" s="124"/>
      <c r="AU36" s="124"/>
      <c r="AV36" s="124"/>
      <c r="AW36" s="124"/>
      <c r="AX36" s="124"/>
      <c r="AY36" s="124"/>
      <c r="AZ36" s="124"/>
      <c r="BA36" s="124"/>
      <c r="BB36" s="124"/>
      <c r="BC36" s="124">
        <v>0.1303</v>
      </c>
      <c r="BD36" s="124"/>
      <c r="BE36" s="124"/>
      <c r="BF36" s="112"/>
      <c r="BG36" s="112" t="s">
        <v>1440</v>
      </c>
    </row>
    <row r="37" spans="1:59">
      <c r="A37" s="112" t="s">
        <v>1503</v>
      </c>
      <c r="B37" s="112" t="s">
        <v>1504</v>
      </c>
      <c r="C37" s="113" t="s">
        <v>1505</v>
      </c>
      <c r="D37" s="114">
        <v>5027</v>
      </c>
      <c r="E37" s="115">
        <v>50027</v>
      </c>
      <c r="F37" s="113" t="s">
        <v>1436</v>
      </c>
      <c r="G37" s="116">
        <v>2650890</v>
      </c>
      <c r="H37" s="117">
        <v>823</v>
      </c>
      <c r="I37" s="113" t="s">
        <v>1447</v>
      </c>
      <c r="J37" s="118" t="s">
        <v>1446</v>
      </c>
      <c r="K37" s="118">
        <v>20</v>
      </c>
      <c r="L37" s="119"/>
      <c r="M37" s="120">
        <v>213780</v>
      </c>
      <c r="N37" s="120"/>
      <c r="O37" s="120">
        <v>0</v>
      </c>
      <c r="P37" s="120"/>
      <c r="Q37" s="120">
        <v>0</v>
      </c>
      <c r="R37" s="120"/>
      <c r="S37" s="120">
        <v>0</v>
      </c>
      <c r="T37" s="120"/>
      <c r="U37" s="120">
        <v>0</v>
      </c>
      <c r="V37" s="120"/>
      <c r="W37" s="120">
        <v>0</v>
      </c>
      <c r="X37" s="120"/>
      <c r="Y37" s="120">
        <v>0</v>
      </c>
      <c r="Z37" s="120"/>
      <c r="AA37" s="117">
        <v>0</v>
      </c>
      <c r="AB37" s="121"/>
      <c r="AC37" s="122"/>
      <c r="AD37" s="121">
        <v>63438</v>
      </c>
      <c r="AE37" s="121"/>
      <c r="AF37" s="121">
        <v>0</v>
      </c>
      <c r="AG37" s="121"/>
      <c r="AH37" s="121">
        <v>0</v>
      </c>
      <c r="AI37" s="121"/>
      <c r="AJ37" s="121">
        <v>0</v>
      </c>
      <c r="AK37" s="121"/>
      <c r="AL37" s="121">
        <v>0</v>
      </c>
      <c r="AM37" s="121"/>
      <c r="AN37" s="121">
        <v>0</v>
      </c>
      <c r="AO37" s="121"/>
      <c r="AP37" s="121">
        <v>0</v>
      </c>
      <c r="AQ37" s="112"/>
      <c r="AR37" s="123"/>
      <c r="AS37" s="124">
        <v>0.29670000000000002</v>
      </c>
      <c r="AT37" s="124"/>
      <c r="AU37" s="124"/>
      <c r="AV37" s="124"/>
      <c r="AW37" s="124"/>
      <c r="AX37" s="124"/>
      <c r="AY37" s="124"/>
      <c r="AZ37" s="124"/>
      <c r="BA37" s="124"/>
      <c r="BB37" s="124"/>
      <c r="BC37" s="124"/>
      <c r="BD37" s="124"/>
      <c r="BE37" s="124"/>
      <c r="BF37" s="112"/>
      <c r="BG37" s="112" t="s">
        <v>1440</v>
      </c>
    </row>
    <row r="38" spans="1:59">
      <c r="A38" s="112" t="s">
        <v>1506</v>
      </c>
      <c r="B38" s="112" t="s">
        <v>1507</v>
      </c>
      <c r="C38" s="113" t="s">
        <v>1450</v>
      </c>
      <c r="D38" s="114">
        <v>9013</v>
      </c>
      <c r="E38" s="115">
        <v>90013</v>
      </c>
      <c r="F38" s="113" t="s">
        <v>1451</v>
      </c>
      <c r="G38" s="116">
        <v>1664496</v>
      </c>
      <c r="H38" s="117">
        <v>635</v>
      </c>
      <c r="I38" s="113" t="s">
        <v>1445</v>
      </c>
      <c r="J38" s="118" t="s">
        <v>1439</v>
      </c>
      <c r="K38" s="118">
        <v>61</v>
      </c>
      <c r="L38" s="119"/>
      <c r="M38" s="120">
        <v>0</v>
      </c>
      <c r="N38" s="120"/>
      <c r="O38" s="120">
        <v>0</v>
      </c>
      <c r="P38" s="120"/>
      <c r="Q38" s="120">
        <v>0</v>
      </c>
      <c r="R38" s="120"/>
      <c r="S38" s="120">
        <v>0</v>
      </c>
      <c r="T38" s="120"/>
      <c r="U38" s="120">
        <v>0</v>
      </c>
      <c r="V38" s="120"/>
      <c r="W38" s="120">
        <v>0</v>
      </c>
      <c r="X38" s="120"/>
      <c r="Y38" s="120">
        <v>22062611</v>
      </c>
      <c r="Z38" s="120"/>
      <c r="AA38" s="117">
        <v>0</v>
      </c>
      <c r="AB38" s="121"/>
      <c r="AC38" s="122"/>
      <c r="AD38" s="121">
        <v>0</v>
      </c>
      <c r="AE38" s="121"/>
      <c r="AF38" s="121">
        <v>0</v>
      </c>
      <c r="AG38" s="121"/>
      <c r="AH38" s="121">
        <v>0</v>
      </c>
      <c r="AI38" s="121"/>
      <c r="AJ38" s="121">
        <v>0</v>
      </c>
      <c r="AK38" s="121"/>
      <c r="AL38" s="121">
        <v>0</v>
      </c>
      <c r="AM38" s="121"/>
      <c r="AN38" s="121">
        <v>3093884</v>
      </c>
      <c r="AO38" s="121"/>
      <c r="AP38" s="121">
        <v>0</v>
      </c>
      <c r="AQ38" s="112"/>
      <c r="AR38" s="123"/>
      <c r="AS38" s="124"/>
      <c r="AT38" s="124"/>
      <c r="AU38" s="124"/>
      <c r="AV38" s="124"/>
      <c r="AW38" s="124"/>
      <c r="AX38" s="124"/>
      <c r="AY38" s="124"/>
      <c r="AZ38" s="124"/>
      <c r="BA38" s="124"/>
      <c r="BB38" s="124"/>
      <c r="BC38" s="124">
        <v>0.14019999999999999</v>
      </c>
      <c r="BD38" s="124"/>
      <c r="BE38" s="124"/>
      <c r="BF38" s="112"/>
      <c r="BG38" s="112" t="s">
        <v>1440</v>
      </c>
    </row>
    <row r="39" spans="1:59">
      <c r="A39" s="112" t="s">
        <v>1508</v>
      </c>
      <c r="B39" s="112" t="s">
        <v>1509</v>
      </c>
      <c r="C39" s="113" t="s">
        <v>1450</v>
      </c>
      <c r="D39" s="114">
        <v>9003</v>
      </c>
      <c r="E39" s="115">
        <v>90003</v>
      </c>
      <c r="F39" s="113" t="s">
        <v>1451</v>
      </c>
      <c r="G39" s="116">
        <v>3281212</v>
      </c>
      <c r="H39" s="117">
        <v>616</v>
      </c>
      <c r="I39" s="113" t="s">
        <v>1438</v>
      </c>
      <c r="J39" s="118" t="s">
        <v>1439</v>
      </c>
      <c r="K39" s="118">
        <v>599</v>
      </c>
      <c r="L39" s="119"/>
      <c r="M39" s="120">
        <v>0</v>
      </c>
      <c r="N39" s="120"/>
      <c r="O39" s="120">
        <v>0</v>
      </c>
      <c r="P39" s="120"/>
      <c r="Q39" s="120">
        <v>0</v>
      </c>
      <c r="R39" s="120"/>
      <c r="S39" s="120">
        <v>0</v>
      </c>
      <c r="T39" s="120"/>
      <c r="U39" s="120">
        <v>0</v>
      </c>
      <c r="V39" s="120"/>
      <c r="W39" s="120">
        <v>0</v>
      </c>
      <c r="X39" s="120"/>
      <c r="Y39" s="120">
        <v>298200780</v>
      </c>
      <c r="Z39" s="120"/>
      <c r="AA39" s="117">
        <v>0</v>
      </c>
      <c r="AB39" s="121"/>
      <c r="AC39" s="122"/>
      <c r="AD39" s="121">
        <v>0</v>
      </c>
      <c r="AE39" s="121"/>
      <c r="AF39" s="121">
        <v>0</v>
      </c>
      <c r="AG39" s="121"/>
      <c r="AH39" s="121">
        <v>0</v>
      </c>
      <c r="AI39" s="121"/>
      <c r="AJ39" s="121">
        <v>0</v>
      </c>
      <c r="AK39" s="121"/>
      <c r="AL39" s="121">
        <v>0</v>
      </c>
      <c r="AM39" s="121"/>
      <c r="AN39" s="121">
        <v>61097126</v>
      </c>
      <c r="AO39" s="121"/>
      <c r="AP39" s="121">
        <v>0</v>
      </c>
      <c r="AQ39" s="112"/>
      <c r="AR39" s="123"/>
      <c r="AS39" s="124"/>
      <c r="AT39" s="124"/>
      <c r="AU39" s="124"/>
      <c r="AV39" s="124"/>
      <c r="AW39" s="124"/>
      <c r="AX39" s="124"/>
      <c r="AY39" s="124"/>
      <c r="AZ39" s="124"/>
      <c r="BA39" s="124"/>
      <c r="BB39" s="124"/>
      <c r="BC39" s="124">
        <v>0.2049</v>
      </c>
      <c r="BD39" s="124"/>
      <c r="BE39" s="124"/>
      <c r="BF39" s="112"/>
      <c r="BG39" s="112" t="s">
        <v>1440</v>
      </c>
    </row>
    <row r="40" spans="1:59">
      <c r="A40" s="112" t="s">
        <v>1510</v>
      </c>
      <c r="B40" s="112" t="s">
        <v>1511</v>
      </c>
      <c r="C40" s="113" t="s">
        <v>1512</v>
      </c>
      <c r="D40" s="114">
        <v>7006</v>
      </c>
      <c r="E40" s="115">
        <v>70006</v>
      </c>
      <c r="F40" s="113" t="s">
        <v>1451</v>
      </c>
      <c r="G40" s="116">
        <v>2150706</v>
      </c>
      <c r="H40" s="117">
        <v>493</v>
      </c>
      <c r="I40" s="113" t="s">
        <v>1445</v>
      </c>
      <c r="J40" s="118" t="s">
        <v>1439</v>
      </c>
      <c r="K40" s="118">
        <v>50</v>
      </c>
      <c r="L40" s="119"/>
      <c r="M40" s="120">
        <v>0</v>
      </c>
      <c r="N40" s="120"/>
      <c r="O40" s="120">
        <v>0</v>
      </c>
      <c r="P40" s="120"/>
      <c r="Q40" s="120">
        <v>0</v>
      </c>
      <c r="R40" s="120"/>
      <c r="S40" s="120">
        <v>0</v>
      </c>
      <c r="T40" s="120"/>
      <c r="U40" s="120">
        <v>0</v>
      </c>
      <c r="V40" s="120"/>
      <c r="W40" s="120">
        <v>0</v>
      </c>
      <c r="X40" s="120"/>
      <c r="Y40" s="120">
        <v>36496148</v>
      </c>
      <c r="Z40" s="120"/>
      <c r="AA40" s="117">
        <v>0</v>
      </c>
      <c r="AB40" s="121"/>
      <c r="AC40" s="122"/>
      <c r="AD40" s="121">
        <v>0</v>
      </c>
      <c r="AE40" s="121"/>
      <c r="AF40" s="121">
        <v>0</v>
      </c>
      <c r="AG40" s="121"/>
      <c r="AH40" s="121">
        <v>0</v>
      </c>
      <c r="AI40" s="121"/>
      <c r="AJ40" s="121">
        <v>0</v>
      </c>
      <c r="AK40" s="121"/>
      <c r="AL40" s="121">
        <v>0</v>
      </c>
      <c r="AM40" s="121"/>
      <c r="AN40" s="121">
        <v>5934378</v>
      </c>
      <c r="AO40" s="121"/>
      <c r="AP40" s="121">
        <v>0</v>
      </c>
      <c r="AQ40" s="112"/>
      <c r="AR40" s="123"/>
      <c r="AS40" s="124"/>
      <c r="AT40" s="124"/>
      <c r="AU40" s="124"/>
      <c r="AV40" s="124"/>
      <c r="AW40" s="124"/>
      <c r="AX40" s="124"/>
      <c r="AY40" s="124"/>
      <c r="AZ40" s="124"/>
      <c r="BA40" s="124"/>
      <c r="BB40" s="124"/>
      <c r="BC40" s="124">
        <v>0.16259999999999999</v>
      </c>
      <c r="BD40" s="124"/>
      <c r="BE40" s="124"/>
      <c r="BF40" s="112"/>
      <c r="BG40" s="112" t="s">
        <v>1440</v>
      </c>
    </row>
    <row r="41" spans="1:59">
      <c r="A41" s="112" t="s">
        <v>1513</v>
      </c>
      <c r="B41" s="112" t="s">
        <v>1514</v>
      </c>
      <c r="C41" s="113" t="s">
        <v>1515</v>
      </c>
      <c r="D41" s="114">
        <v>5015</v>
      </c>
      <c r="E41" s="115">
        <v>50015</v>
      </c>
      <c r="F41" s="113" t="s">
        <v>1451</v>
      </c>
      <c r="G41" s="116">
        <v>1780673</v>
      </c>
      <c r="H41" s="117">
        <v>418</v>
      </c>
      <c r="I41" s="113" t="s">
        <v>1445</v>
      </c>
      <c r="J41" s="118" t="s">
        <v>1439</v>
      </c>
      <c r="K41" s="118">
        <v>6</v>
      </c>
      <c r="L41" s="119"/>
      <c r="M41" s="120">
        <v>0</v>
      </c>
      <c r="N41" s="120"/>
      <c r="O41" s="120">
        <v>0</v>
      </c>
      <c r="P41" s="120"/>
      <c r="Q41" s="120">
        <v>0</v>
      </c>
      <c r="R41" s="120"/>
      <c r="S41" s="120">
        <v>0</v>
      </c>
      <c r="T41" s="120"/>
      <c r="U41" s="120">
        <v>0</v>
      </c>
      <c r="V41" s="120"/>
      <c r="W41" s="120">
        <v>0</v>
      </c>
      <c r="X41" s="120"/>
      <c r="Y41" s="120">
        <v>11321758</v>
      </c>
      <c r="Z41" s="120"/>
      <c r="AA41" s="117">
        <v>0</v>
      </c>
      <c r="AB41" s="121"/>
      <c r="AC41" s="122"/>
      <c r="AD41" s="121">
        <v>0</v>
      </c>
      <c r="AE41" s="121"/>
      <c r="AF41" s="121">
        <v>0</v>
      </c>
      <c r="AG41" s="121"/>
      <c r="AH41" s="121">
        <v>0</v>
      </c>
      <c r="AI41" s="121"/>
      <c r="AJ41" s="121">
        <v>0</v>
      </c>
      <c r="AK41" s="121"/>
      <c r="AL41" s="121">
        <v>0</v>
      </c>
      <c r="AM41" s="121"/>
      <c r="AN41" s="121">
        <v>625941</v>
      </c>
      <c r="AO41" s="121"/>
      <c r="AP41" s="121">
        <v>0</v>
      </c>
      <c r="AQ41" s="112"/>
      <c r="AR41" s="123"/>
      <c r="AS41" s="124"/>
      <c r="AT41" s="124"/>
      <c r="AU41" s="124"/>
      <c r="AV41" s="124"/>
      <c r="AW41" s="124"/>
      <c r="AX41" s="124"/>
      <c r="AY41" s="124"/>
      <c r="AZ41" s="124"/>
      <c r="BA41" s="124"/>
      <c r="BB41" s="124"/>
      <c r="BC41" s="124">
        <v>5.5300000000000002E-2</v>
      </c>
      <c r="BD41" s="124"/>
      <c r="BE41" s="124"/>
      <c r="BF41" s="112"/>
      <c r="BG41" s="112" t="s">
        <v>1440</v>
      </c>
    </row>
    <row r="42" spans="1:59">
      <c r="A42" s="112" t="s">
        <v>1513</v>
      </c>
      <c r="B42" s="112" t="s">
        <v>1514</v>
      </c>
      <c r="C42" s="113" t="s">
        <v>1515</v>
      </c>
      <c r="D42" s="114">
        <v>5015</v>
      </c>
      <c r="E42" s="115">
        <v>50015</v>
      </c>
      <c r="F42" s="113" t="s">
        <v>1451</v>
      </c>
      <c r="G42" s="116">
        <v>1780673</v>
      </c>
      <c r="H42" s="117">
        <v>418</v>
      </c>
      <c r="I42" s="113" t="s">
        <v>1438</v>
      </c>
      <c r="J42" s="118" t="s">
        <v>1439</v>
      </c>
      <c r="K42" s="118">
        <v>16</v>
      </c>
      <c r="L42" s="119"/>
      <c r="M42" s="120">
        <v>0</v>
      </c>
      <c r="N42" s="120"/>
      <c r="O42" s="120">
        <v>0</v>
      </c>
      <c r="P42" s="120"/>
      <c r="Q42" s="120">
        <v>0</v>
      </c>
      <c r="R42" s="120"/>
      <c r="S42" s="120">
        <v>0</v>
      </c>
      <c r="T42" s="120"/>
      <c r="U42" s="120">
        <v>0</v>
      </c>
      <c r="V42" s="120"/>
      <c r="W42" s="120">
        <v>0</v>
      </c>
      <c r="X42" s="120"/>
      <c r="Y42" s="120">
        <v>20768378</v>
      </c>
      <c r="Z42" s="120"/>
      <c r="AA42" s="117">
        <v>0</v>
      </c>
      <c r="AB42" s="121"/>
      <c r="AC42" s="122"/>
      <c r="AD42" s="121">
        <v>0</v>
      </c>
      <c r="AE42" s="121"/>
      <c r="AF42" s="121">
        <v>0</v>
      </c>
      <c r="AG42" s="121"/>
      <c r="AH42" s="121">
        <v>0</v>
      </c>
      <c r="AI42" s="121"/>
      <c r="AJ42" s="121">
        <v>0</v>
      </c>
      <c r="AK42" s="121"/>
      <c r="AL42" s="121">
        <v>0</v>
      </c>
      <c r="AM42" s="121"/>
      <c r="AN42" s="121">
        <v>2295631</v>
      </c>
      <c r="AO42" s="121"/>
      <c r="AP42" s="121">
        <v>0</v>
      </c>
      <c r="AQ42" s="112"/>
      <c r="AR42" s="123"/>
      <c r="AS42" s="124"/>
      <c r="AT42" s="124"/>
      <c r="AU42" s="124"/>
      <c r="AV42" s="124"/>
      <c r="AW42" s="124"/>
      <c r="AX42" s="124"/>
      <c r="AY42" s="124"/>
      <c r="AZ42" s="124"/>
      <c r="BA42" s="124"/>
      <c r="BB42" s="124"/>
      <c r="BC42" s="124">
        <v>0.1105</v>
      </c>
      <c r="BD42" s="124"/>
      <c r="BE42" s="124"/>
      <c r="BF42" s="112"/>
      <c r="BG42" s="112" t="s">
        <v>1440</v>
      </c>
    </row>
    <row r="43" spans="1:59">
      <c r="A43" s="112" t="s">
        <v>1516</v>
      </c>
      <c r="B43" s="112" t="s">
        <v>1517</v>
      </c>
      <c r="C43" s="113" t="s">
        <v>1518</v>
      </c>
      <c r="D43" s="114">
        <v>3083</v>
      </c>
      <c r="E43" s="115">
        <v>30083</v>
      </c>
      <c r="F43" s="113" t="s">
        <v>1451</v>
      </c>
      <c r="G43" s="116">
        <v>1439666</v>
      </c>
      <c r="H43" s="117">
        <v>417</v>
      </c>
      <c r="I43" s="113" t="s">
        <v>1445</v>
      </c>
      <c r="J43" s="118" t="s">
        <v>1439</v>
      </c>
      <c r="K43" s="118">
        <v>6</v>
      </c>
      <c r="L43" s="119"/>
      <c r="M43" s="120">
        <v>0</v>
      </c>
      <c r="N43" s="120"/>
      <c r="O43" s="120">
        <v>0</v>
      </c>
      <c r="P43" s="120"/>
      <c r="Q43" s="120">
        <v>0</v>
      </c>
      <c r="R43" s="120"/>
      <c r="S43" s="120">
        <v>0</v>
      </c>
      <c r="T43" s="120"/>
      <c r="U43" s="120">
        <v>0</v>
      </c>
      <c r="V43" s="120"/>
      <c r="W43" s="120">
        <v>0</v>
      </c>
      <c r="X43" s="120"/>
      <c r="Y43" s="120">
        <v>3318000</v>
      </c>
      <c r="Z43" s="120"/>
      <c r="AA43" s="117">
        <v>0</v>
      </c>
      <c r="AB43" s="121"/>
      <c r="AC43" s="122"/>
      <c r="AD43" s="121">
        <v>0</v>
      </c>
      <c r="AE43" s="121"/>
      <c r="AF43" s="121">
        <v>0</v>
      </c>
      <c r="AG43" s="121"/>
      <c r="AH43" s="121">
        <v>0</v>
      </c>
      <c r="AI43" s="121"/>
      <c r="AJ43" s="121">
        <v>0</v>
      </c>
      <c r="AK43" s="121"/>
      <c r="AL43" s="121">
        <v>0</v>
      </c>
      <c r="AM43" s="121"/>
      <c r="AN43" s="121">
        <v>345837</v>
      </c>
      <c r="AO43" s="121"/>
      <c r="AP43" s="121">
        <v>0</v>
      </c>
      <c r="AQ43" s="112"/>
      <c r="AR43" s="123"/>
      <c r="AS43" s="124"/>
      <c r="AT43" s="124"/>
      <c r="AU43" s="124"/>
      <c r="AV43" s="124"/>
      <c r="AW43" s="124"/>
      <c r="AX43" s="124"/>
      <c r="AY43" s="124"/>
      <c r="AZ43" s="124"/>
      <c r="BA43" s="124"/>
      <c r="BB43" s="124"/>
      <c r="BC43" s="124">
        <v>0.1042</v>
      </c>
      <c r="BD43" s="124"/>
      <c r="BE43" s="124"/>
      <c r="BF43" s="112"/>
      <c r="BG43" s="112" t="s">
        <v>1440</v>
      </c>
    </row>
    <row r="44" spans="1:59">
      <c r="A44" s="112" t="s">
        <v>1519</v>
      </c>
      <c r="B44" s="112" t="s">
        <v>1520</v>
      </c>
      <c r="C44" s="113" t="s">
        <v>1521</v>
      </c>
      <c r="D44" s="114">
        <v>4008</v>
      </c>
      <c r="E44" s="115">
        <v>40008</v>
      </c>
      <c r="F44" s="113" t="s">
        <v>1477</v>
      </c>
      <c r="G44" s="116">
        <v>1249442</v>
      </c>
      <c r="H44" s="117">
        <v>409</v>
      </c>
      <c r="I44" s="113" t="s">
        <v>1445</v>
      </c>
      <c r="J44" s="118" t="s">
        <v>1439</v>
      </c>
      <c r="K44" s="118">
        <v>36</v>
      </c>
      <c r="L44" s="119"/>
      <c r="M44" s="120">
        <v>0</v>
      </c>
      <c r="N44" s="120"/>
      <c r="O44" s="120">
        <v>0</v>
      </c>
      <c r="P44" s="120"/>
      <c r="Q44" s="120">
        <v>0</v>
      </c>
      <c r="R44" s="120"/>
      <c r="S44" s="120">
        <v>0</v>
      </c>
      <c r="T44" s="120"/>
      <c r="U44" s="120">
        <v>0</v>
      </c>
      <c r="V44" s="120"/>
      <c r="W44" s="120">
        <v>0</v>
      </c>
      <c r="X44" s="120"/>
      <c r="Y44" s="120">
        <v>16786660</v>
      </c>
      <c r="Z44" s="120"/>
      <c r="AA44" s="117">
        <v>0</v>
      </c>
      <c r="AB44" s="121"/>
      <c r="AC44" s="122"/>
      <c r="AD44" s="121">
        <v>0</v>
      </c>
      <c r="AE44" s="121"/>
      <c r="AF44" s="121">
        <v>0</v>
      </c>
      <c r="AG44" s="121"/>
      <c r="AH44" s="121">
        <v>0</v>
      </c>
      <c r="AI44" s="121"/>
      <c r="AJ44" s="121">
        <v>0</v>
      </c>
      <c r="AK44" s="121"/>
      <c r="AL44" s="121">
        <v>0</v>
      </c>
      <c r="AM44" s="121"/>
      <c r="AN44" s="121">
        <v>2267804</v>
      </c>
      <c r="AO44" s="121"/>
      <c r="AP44" s="121">
        <v>0</v>
      </c>
      <c r="AQ44" s="112"/>
      <c r="AR44" s="123"/>
      <c r="AS44" s="124"/>
      <c r="AT44" s="124"/>
      <c r="AU44" s="124"/>
      <c r="AV44" s="124"/>
      <c r="AW44" s="124"/>
      <c r="AX44" s="124"/>
      <c r="AY44" s="124"/>
      <c r="AZ44" s="124"/>
      <c r="BA44" s="124"/>
      <c r="BB44" s="124"/>
      <c r="BC44" s="124">
        <v>0.1351</v>
      </c>
      <c r="BD44" s="124"/>
      <c r="BE44" s="124"/>
      <c r="BF44" s="112"/>
      <c r="BG44" s="112" t="s">
        <v>1440</v>
      </c>
    </row>
    <row r="45" spans="1:59">
      <c r="A45" s="112" t="s">
        <v>1522</v>
      </c>
      <c r="B45" s="112" t="s">
        <v>1523</v>
      </c>
      <c r="C45" s="113" t="s">
        <v>1524</v>
      </c>
      <c r="D45" s="114">
        <v>40</v>
      </c>
      <c r="E45" s="115">
        <v>40</v>
      </c>
      <c r="F45" s="113" t="s">
        <v>1451</v>
      </c>
      <c r="G45" s="116">
        <v>3059393</v>
      </c>
      <c r="H45" s="117">
        <v>381</v>
      </c>
      <c r="I45" s="113" t="s">
        <v>1447</v>
      </c>
      <c r="J45" s="118" t="s">
        <v>1446</v>
      </c>
      <c r="K45" s="118">
        <v>70</v>
      </c>
      <c r="L45" s="119"/>
      <c r="M45" s="120">
        <v>625305</v>
      </c>
      <c r="N45" s="120"/>
      <c r="O45" s="120">
        <v>0</v>
      </c>
      <c r="P45" s="120"/>
      <c r="Q45" s="120">
        <v>0</v>
      </c>
      <c r="R45" s="120"/>
      <c r="S45" s="120">
        <v>0</v>
      </c>
      <c r="T45" s="120"/>
      <c r="U45" s="120">
        <v>0</v>
      </c>
      <c r="V45" s="120"/>
      <c r="W45" s="120">
        <v>0</v>
      </c>
      <c r="X45" s="120"/>
      <c r="Y45" s="120">
        <v>0</v>
      </c>
      <c r="Z45" s="120"/>
      <c r="AA45" s="117">
        <v>0</v>
      </c>
      <c r="AB45" s="121"/>
      <c r="AC45" s="122"/>
      <c r="AD45" s="121">
        <v>335545</v>
      </c>
      <c r="AE45" s="121"/>
      <c r="AF45" s="121">
        <v>0</v>
      </c>
      <c r="AG45" s="121"/>
      <c r="AH45" s="121">
        <v>0</v>
      </c>
      <c r="AI45" s="121"/>
      <c r="AJ45" s="121">
        <v>0</v>
      </c>
      <c r="AK45" s="121"/>
      <c r="AL45" s="121">
        <v>0</v>
      </c>
      <c r="AM45" s="121"/>
      <c r="AN45" s="121">
        <v>0</v>
      </c>
      <c r="AO45" s="121"/>
      <c r="AP45" s="121">
        <v>0</v>
      </c>
      <c r="AQ45" s="112"/>
      <c r="AR45" s="123"/>
      <c r="AS45" s="124">
        <v>0.53659999999999997</v>
      </c>
      <c r="AT45" s="124"/>
      <c r="AU45" s="124"/>
      <c r="AV45" s="124"/>
      <c r="AW45" s="124"/>
      <c r="AX45" s="124"/>
      <c r="AY45" s="124"/>
      <c r="AZ45" s="124"/>
      <c r="BA45" s="124"/>
      <c r="BB45" s="124"/>
      <c r="BC45" s="124"/>
      <c r="BD45" s="124"/>
      <c r="BE45" s="124"/>
      <c r="BF45" s="112"/>
      <c r="BG45" s="112" t="s">
        <v>1440</v>
      </c>
    </row>
    <row r="46" spans="1:59">
      <c r="A46" s="112" t="s">
        <v>1522</v>
      </c>
      <c r="B46" s="112" t="s">
        <v>1523</v>
      </c>
      <c r="C46" s="113" t="s">
        <v>1524</v>
      </c>
      <c r="D46" s="114">
        <v>40</v>
      </c>
      <c r="E46" s="115">
        <v>40</v>
      </c>
      <c r="F46" s="113" t="s">
        <v>1451</v>
      </c>
      <c r="G46" s="116">
        <v>3059393</v>
      </c>
      <c r="H46" s="117">
        <v>381</v>
      </c>
      <c r="I46" s="113" t="s">
        <v>1445</v>
      </c>
      <c r="J46" s="118" t="s">
        <v>1439</v>
      </c>
      <c r="K46" s="118">
        <v>48</v>
      </c>
      <c r="L46" s="119"/>
      <c r="M46" s="120">
        <v>0</v>
      </c>
      <c r="N46" s="120"/>
      <c r="O46" s="120">
        <v>0</v>
      </c>
      <c r="P46" s="120"/>
      <c r="Q46" s="120">
        <v>0</v>
      </c>
      <c r="R46" s="120"/>
      <c r="S46" s="120">
        <v>0</v>
      </c>
      <c r="T46" s="120"/>
      <c r="U46" s="120">
        <v>0</v>
      </c>
      <c r="V46" s="120"/>
      <c r="W46" s="120">
        <v>0</v>
      </c>
      <c r="X46" s="120"/>
      <c r="Y46" s="120">
        <v>20355203</v>
      </c>
      <c r="Z46" s="120"/>
      <c r="AA46" s="117">
        <v>0</v>
      </c>
      <c r="AB46" s="121"/>
      <c r="AC46" s="122"/>
      <c r="AD46" s="121">
        <v>0</v>
      </c>
      <c r="AE46" s="121"/>
      <c r="AF46" s="121">
        <v>0</v>
      </c>
      <c r="AG46" s="121"/>
      <c r="AH46" s="121">
        <v>0</v>
      </c>
      <c r="AI46" s="121"/>
      <c r="AJ46" s="121">
        <v>0</v>
      </c>
      <c r="AK46" s="121"/>
      <c r="AL46" s="121">
        <v>0</v>
      </c>
      <c r="AM46" s="121"/>
      <c r="AN46" s="121">
        <v>4232555</v>
      </c>
      <c r="AO46" s="121"/>
      <c r="AP46" s="121">
        <v>0</v>
      </c>
      <c r="AQ46" s="112"/>
      <c r="AR46" s="123"/>
      <c r="AS46" s="124"/>
      <c r="AT46" s="124"/>
      <c r="AU46" s="124"/>
      <c r="AV46" s="124"/>
      <c r="AW46" s="124"/>
      <c r="AX46" s="124"/>
      <c r="AY46" s="124"/>
      <c r="AZ46" s="124"/>
      <c r="BA46" s="124"/>
      <c r="BB46" s="124"/>
      <c r="BC46" s="124">
        <v>0.2079</v>
      </c>
      <c r="BD46" s="124"/>
      <c r="BE46" s="124"/>
      <c r="BF46" s="112"/>
      <c r="BG46" s="112" t="s">
        <v>1440</v>
      </c>
    </row>
    <row r="47" spans="1:59">
      <c r="A47" s="112" t="s">
        <v>1525</v>
      </c>
      <c r="B47" s="112" t="s">
        <v>1526</v>
      </c>
      <c r="C47" s="113" t="s">
        <v>1435</v>
      </c>
      <c r="D47" s="114">
        <v>2004</v>
      </c>
      <c r="E47" s="115">
        <v>20004</v>
      </c>
      <c r="F47" s="113" t="s">
        <v>1451</v>
      </c>
      <c r="G47" s="116">
        <v>935906</v>
      </c>
      <c r="H47" s="117">
        <v>359</v>
      </c>
      <c r="I47" s="113" t="s">
        <v>1445</v>
      </c>
      <c r="J47" s="118" t="s">
        <v>1439</v>
      </c>
      <c r="K47" s="118">
        <v>23</v>
      </c>
      <c r="L47" s="119"/>
      <c r="M47" s="120">
        <v>0</v>
      </c>
      <c r="N47" s="120"/>
      <c r="O47" s="120">
        <v>0</v>
      </c>
      <c r="P47" s="120"/>
      <c r="Q47" s="120">
        <v>0</v>
      </c>
      <c r="R47" s="120"/>
      <c r="S47" s="120">
        <v>0</v>
      </c>
      <c r="T47" s="120"/>
      <c r="U47" s="120">
        <v>0</v>
      </c>
      <c r="V47" s="120"/>
      <c r="W47" s="120">
        <v>0</v>
      </c>
      <c r="X47" s="120"/>
      <c r="Y47" s="120">
        <v>7920559</v>
      </c>
      <c r="Z47" s="120"/>
      <c r="AA47" s="117">
        <v>0</v>
      </c>
      <c r="AB47" s="121"/>
      <c r="AC47" s="122"/>
      <c r="AD47" s="121">
        <v>0</v>
      </c>
      <c r="AE47" s="121"/>
      <c r="AF47" s="121">
        <v>0</v>
      </c>
      <c r="AG47" s="121"/>
      <c r="AH47" s="121">
        <v>0</v>
      </c>
      <c r="AI47" s="121"/>
      <c r="AJ47" s="121">
        <v>0</v>
      </c>
      <c r="AK47" s="121"/>
      <c r="AL47" s="121">
        <v>0</v>
      </c>
      <c r="AM47" s="121"/>
      <c r="AN47" s="121">
        <v>990450</v>
      </c>
      <c r="AO47" s="121"/>
      <c r="AP47" s="121">
        <v>0</v>
      </c>
      <c r="AQ47" s="112"/>
      <c r="AR47" s="123"/>
      <c r="AS47" s="124"/>
      <c r="AT47" s="124"/>
      <c r="AU47" s="124"/>
      <c r="AV47" s="124"/>
      <c r="AW47" s="124"/>
      <c r="AX47" s="124"/>
      <c r="AY47" s="124"/>
      <c r="AZ47" s="124"/>
      <c r="BA47" s="124"/>
      <c r="BB47" s="124"/>
      <c r="BC47" s="124">
        <v>0.125</v>
      </c>
      <c r="BD47" s="124"/>
      <c r="BE47" s="124"/>
      <c r="BF47" s="112"/>
      <c r="BG47" s="112" t="s">
        <v>1440</v>
      </c>
    </row>
    <row r="48" spans="1:59">
      <c r="A48" s="112" t="s">
        <v>1527</v>
      </c>
      <c r="B48" s="112" t="s">
        <v>1528</v>
      </c>
      <c r="C48" s="113" t="s">
        <v>1450</v>
      </c>
      <c r="D48" s="114">
        <v>9019</v>
      </c>
      <c r="E48" s="115">
        <v>90019</v>
      </c>
      <c r="F48" s="113" t="s">
        <v>1451</v>
      </c>
      <c r="G48" s="116">
        <v>1723634</v>
      </c>
      <c r="H48" s="117">
        <v>331</v>
      </c>
      <c r="I48" s="113" t="s">
        <v>1445</v>
      </c>
      <c r="J48" s="118" t="s">
        <v>1439</v>
      </c>
      <c r="K48" s="118">
        <v>69</v>
      </c>
      <c r="L48" s="119"/>
      <c r="M48" s="120">
        <v>0</v>
      </c>
      <c r="N48" s="120"/>
      <c r="O48" s="120">
        <v>0</v>
      </c>
      <c r="P48" s="120"/>
      <c r="Q48" s="120">
        <v>0</v>
      </c>
      <c r="R48" s="120"/>
      <c r="S48" s="120">
        <v>0</v>
      </c>
      <c r="T48" s="120"/>
      <c r="U48" s="120">
        <v>0</v>
      </c>
      <c r="V48" s="120"/>
      <c r="W48" s="120">
        <v>0</v>
      </c>
      <c r="X48" s="120"/>
      <c r="Y48" s="120">
        <v>30089655</v>
      </c>
      <c r="Z48" s="120"/>
      <c r="AA48" s="117">
        <v>0</v>
      </c>
      <c r="AB48" s="121"/>
      <c r="AC48" s="122"/>
      <c r="AD48" s="121">
        <v>0</v>
      </c>
      <c r="AE48" s="121"/>
      <c r="AF48" s="121">
        <v>0</v>
      </c>
      <c r="AG48" s="121"/>
      <c r="AH48" s="121">
        <v>0</v>
      </c>
      <c r="AI48" s="121"/>
      <c r="AJ48" s="121">
        <v>0</v>
      </c>
      <c r="AK48" s="121"/>
      <c r="AL48" s="121">
        <v>0</v>
      </c>
      <c r="AM48" s="121"/>
      <c r="AN48" s="121">
        <v>3768892</v>
      </c>
      <c r="AO48" s="121"/>
      <c r="AP48" s="121">
        <v>0</v>
      </c>
      <c r="AQ48" s="112"/>
      <c r="AR48" s="123"/>
      <c r="AS48" s="124"/>
      <c r="AT48" s="124"/>
      <c r="AU48" s="124"/>
      <c r="AV48" s="124"/>
      <c r="AW48" s="124"/>
      <c r="AX48" s="124"/>
      <c r="AY48" s="124"/>
      <c r="AZ48" s="124"/>
      <c r="BA48" s="124"/>
      <c r="BB48" s="124"/>
      <c r="BC48" s="124">
        <v>0.12529999999999999</v>
      </c>
      <c r="BD48" s="124"/>
      <c r="BE48" s="124"/>
      <c r="BF48" s="112"/>
      <c r="BG48" s="112" t="s">
        <v>1440</v>
      </c>
    </row>
    <row r="49" spans="1:59">
      <c r="A49" s="112" t="s">
        <v>1529</v>
      </c>
      <c r="B49" s="112" t="s">
        <v>1530</v>
      </c>
      <c r="C49" s="113" t="s">
        <v>1469</v>
      </c>
      <c r="D49" s="114">
        <v>6007</v>
      </c>
      <c r="E49" s="115">
        <v>60007</v>
      </c>
      <c r="F49" s="113" t="s">
        <v>1451</v>
      </c>
      <c r="G49" s="116">
        <v>5121892</v>
      </c>
      <c r="H49" s="117">
        <v>312</v>
      </c>
      <c r="I49" s="113" t="s">
        <v>1447</v>
      </c>
      <c r="J49" s="118" t="s">
        <v>1446</v>
      </c>
      <c r="K49" s="118">
        <v>20</v>
      </c>
      <c r="L49" s="119"/>
      <c r="M49" s="120">
        <v>442412</v>
      </c>
      <c r="N49" s="120"/>
      <c r="O49" s="120">
        <v>0</v>
      </c>
      <c r="P49" s="120"/>
      <c r="Q49" s="120">
        <v>0</v>
      </c>
      <c r="R49" s="120"/>
      <c r="S49" s="120">
        <v>0</v>
      </c>
      <c r="T49" s="120"/>
      <c r="U49" s="120">
        <v>0</v>
      </c>
      <c r="V49" s="120"/>
      <c r="W49" s="120">
        <v>0</v>
      </c>
      <c r="X49" s="120"/>
      <c r="Y49" s="120">
        <v>0</v>
      </c>
      <c r="Z49" s="120"/>
      <c r="AA49" s="117">
        <v>0</v>
      </c>
      <c r="AB49" s="121"/>
      <c r="AC49" s="122"/>
      <c r="AD49" s="121">
        <v>2349673</v>
      </c>
      <c r="AE49" s="121"/>
      <c r="AF49" s="121">
        <v>0</v>
      </c>
      <c r="AG49" s="121"/>
      <c r="AH49" s="121">
        <v>0</v>
      </c>
      <c r="AI49" s="121"/>
      <c r="AJ49" s="121">
        <v>0</v>
      </c>
      <c r="AK49" s="121"/>
      <c r="AL49" s="121">
        <v>0</v>
      </c>
      <c r="AM49" s="121"/>
      <c r="AN49" s="121">
        <v>0</v>
      </c>
      <c r="AO49" s="121"/>
      <c r="AP49" s="121">
        <v>0</v>
      </c>
      <c r="AQ49" s="112"/>
      <c r="AR49" s="123"/>
      <c r="AS49" s="124">
        <v>5.3110999999999997</v>
      </c>
      <c r="AT49" s="124"/>
      <c r="AU49" s="124"/>
      <c r="AV49" s="124"/>
      <c r="AW49" s="124"/>
      <c r="AX49" s="124"/>
      <c r="AY49" s="124"/>
      <c r="AZ49" s="124"/>
      <c r="BA49" s="124"/>
      <c r="BB49" s="124"/>
      <c r="BC49" s="124"/>
      <c r="BD49" s="124"/>
      <c r="BE49" s="124"/>
      <c r="BF49" s="112"/>
      <c r="BG49" s="112" t="s">
        <v>1440</v>
      </c>
    </row>
    <row r="50" spans="1:59">
      <c r="A50" s="112" t="s">
        <v>1531</v>
      </c>
      <c r="B50" s="112" t="s">
        <v>1482</v>
      </c>
      <c r="C50" s="113" t="s">
        <v>1443</v>
      </c>
      <c r="D50" s="114">
        <v>2098</v>
      </c>
      <c r="E50" s="115">
        <v>20098</v>
      </c>
      <c r="F50" s="113" t="s">
        <v>1451</v>
      </c>
      <c r="G50" s="116">
        <v>18351295</v>
      </c>
      <c r="H50" s="117">
        <v>310</v>
      </c>
      <c r="I50" s="113" t="s">
        <v>1438</v>
      </c>
      <c r="J50" s="118" t="s">
        <v>1439</v>
      </c>
      <c r="K50" s="118">
        <v>304</v>
      </c>
      <c r="L50" s="119"/>
      <c r="M50" s="120">
        <v>0</v>
      </c>
      <c r="N50" s="120"/>
      <c r="O50" s="120">
        <v>0</v>
      </c>
      <c r="P50" s="120"/>
      <c r="Q50" s="120">
        <v>0</v>
      </c>
      <c r="R50" s="120"/>
      <c r="S50" s="120">
        <v>0</v>
      </c>
      <c r="T50" s="120"/>
      <c r="U50" s="120">
        <v>0</v>
      </c>
      <c r="V50" s="120"/>
      <c r="W50" s="120">
        <v>0</v>
      </c>
      <c r="X50" s="120"/>
      <c r="Y50" s="120">
        <v>93567629</v>
      </c>
      <c r="Z50" s="120"/>
      <c r="AA50" s="117">
        <v>0</v>
      </c>
      <c r="AB50" s="121"/>
      <c r="AC50" s="122"/>
      <c r="AD50" s="121">
        <v>0</v>
      </c>
      <c r="AE50" s="121"/>
      <c r="AF50" s="121">
        <v>0</v>
      </c>
      <c r="AG50" s="121"/>
      <c r="AH50" s="121">
        <v>0</v>
      </c>
      <c r="AI50" s="121"/>
      <c r="AJ50" s="121">
        <v>0</v>
      </c>
      <c r="AK50" s="121"/>
      <c r="AL50" s="121">
        <v>0</v>
      </c>
      <c r="AM50" s="121"/>
      <c r="AN50" s="121">
        <v>13256385</v>
      </c>
      <c r="AO50" s="121"/>
      <c r="AP50" s="121">
        <v>0</v>
      </c>
      <c r="AQ50" s="112"/>
      <c r="AR50" s="123"/>
      <c r="AS50" s="124"/>
      <c r="AT50" s="124"/>
      <c r="AU50" s="124"/>
      <c r="AV50" s="124"/>
      <c r="AW50" s="124"/>
      <c r="AX50" s="124"/>
      <c r="AY50" s="124"/>
      <c r="AZ50" s="124"/>
      <c r="BA50" s="124"/>
      <c r="BB50" s="124"/>
      <c r="BC50" s="124">
        <v>0.14169999999999999</v>
      </c>
      <c r="BD50" s="124"/>
      <c r="BE50" s="124"/>
      <c r="BF50" s="112"/>
      <c r="BG50" s="112" t="s">
        <v>1440</v>
      </c>
    </row>
    <row r="51" spans="1:59">
      <c r="A51" s="112" t="s">
        <v>1532</v>
      </c>
      <c r="B51" s="112" t="s">
        <v>1533</v>
      </c>
      <c r="C51" s="113" t="s">
        <v>1450</v>
      </c>
      <c r="D51" s="114">
        <v>9030</v>
      </c>
      <c r="E51" s="115">
        <v>90030</v>
      </c>
      <c r="F51" s="113" t="s">
        <v>1451</v>
      </c>
      <c r="G51" s="116">
        <v>2956746</v>
      </c>
      <c r="H51" s="117">
        <v>205</v>
      </c>
      <c r="I51" s="113" t="s">
        <v>1447</v>
      </c>
      <c r="J51" s="118" t="s">
        <v>1446</v>
      </c>
      <c r="K51" s="118">
        <v>24</v>
      </c>
      <c r="L51" s="119"/>
      <c r="M51" s="120">
        <v>766773</v>
      </c>
      <c r="N51" s="120"/>
      <c r="O51" s="120">
        <v>0</v>
      </c>
      <c r="P51" s="120"/>
      <c r="Q51" s="120">
        <v>0</v>
      </c>
      <c r="R51" s="120"/>
      <c r="S51" s="120">
        <v>0</v>
      </c>
      <c r="T51" s="120"/>
      <c r="U51" s="120">
        <v>0</v>
      </c>
      <c r="V51" s="120"/>
      <c r="W51" s="120">
        <v>0</v>
      </c>
      <c r="X51" s="120"/>
      <c r="Y51" s="120">
        <v>0</v>
      </c>
      <c r="Z51" s="120"/>
      <c r="AA51" s="117">
        <v>0</v>
      </c>
      <c r="AB51" s="121"/>
      <c r="AC51" s="122"/>
      <c r="AD51" s="121">
        <v>253519</v>
      </c>
      <c r="AE51" s="121"/>
      <c r="AF51" s="121">
        <v>0</v>
      </c>
      <c r="AG51" s="121"/>
      <c r="AH51" s="121">
        <v>0</v>
      </c>
      <c r="AI51" s="121"/>
      <c r="AJ51" s="121">
        <v>0</v>
      </c>
      <c r="AK51" s="121"/>
      <c r="AL51" s="121">
        <v>0</v>
      </c>
      <c r="AM51" s="121"/>
      <c r="AN51" s="121">
        <v>0</v>
      </c>
      <c r="AO51" s="121"/>
      <c r="AP51" s="121">
        <v>0</v>
      </c>
      <c r="AQ51" s="112"/>
      <c r="AR51" s="123"/>
      <c r="AS51" s="124">
        <v>0.3306</v>
      </c>
      <c r="AT51" s="124"/>
      <c r="AU51" s="124"/>
      <c r="AV51" s="124"/>
      <c r="AW51" s="124"/>
      <c r="AX51" s="124"/>
      <c r="AY51" s="124"/>
      <c r="AZ51" s="124"/>
      <c r="BA51" s="124"/>
      <c r="BB51" s="124"/>
      <c r="BC51" s="124"/>
      <c r="BD51" s="124"/>
      <c r="BE51" s="124"/>
      <c r="BF51" s="112"/>
      <c r="BG51" s="112" t="s">
        <v>1440</v>
      </c>
    </row>
    <row r="52" spans="1:59">
      <c r="A52" s="112" t="s">
        <v>1534</v>
      </c>
      <c r="B52" s="112" t="s">
        <v>1449</v>
      </c>
      <c r="C52" s="113" t="s">
        <v>1450</v>
      </c>
      <c r="D52" s="114">
        <v>9151</v>
      </c>
      <c r="E52" s="115">
        <v>90151</v>
      </c>
      <c r="F52" s="113" t="s">
        <v>1451</v>
      </c>
      <c r="G52" s="116">
        <v>12150996</v>
      </c>
      <c r="H52" s="117">
        <v>195</v>
      </c>
      <c r="I52" s="113" t="s">
        <v>1447</v>
      </c>
      <c r="J52" s="118" t="s">
        <v>1446</v>
      </c>
      <c r="K52" s="118">
        <v>195</v>
      </c>
      <c r="L52" s="119"/>
      <c r="M52" s="120">
        <v>8293151</v>
      </c>
      <c r="N52" s="120"/>
      <c r="O52" s="120">
        <v>0</v>
      </c>
      <c r="P52" s="120"/>
      <c r="Q52" s="120">
        <v>0</v>
      </c>
      <c r="R52" s="120"/>
      <c r="S52" s="120">
        <v>0</v>
      </c>
      <c r="T52" s="120"/>
      <c r="U52" s="120">
        <v>0</v>
      </c>
      <c r="V52" s="120"/>
      <c r="W52" s="120">
        <v>0</v>
      </c>
      <c r="X52" s="120"/>
      <c r="Y52" s="120">
        <v>0</v>
      </c>
      <c r="Z52" s="120"/>
      <c r="AA52" s="117">
        <v>0</v>
      </c>
      <c r="AB52" s="121"/>
      <c r="AC52" s="122"/>
      <c r="AD52" s="121">
        <v>2539026</v>
      </c>
      <c r="AE52" s="121"/>
      <c r="AF52" s="121">
        <v>0</v>
      </c>
      <c r="AG52" s="121"/>
      <c r="AH52" s="121">
        <v>0</v>
      </c>
      <c r="AI52" s="121"/>
      <c r="AJ52" s="121">
        <v>0</v>
      </c>
      <c r="AK52" s="121"/>
      <c r="AL52" s="121">
        <v>0</v>
      </c>
      <c r="AM52" s="121"/>
      <c r="AN52" s="121">
        <v>0</v>
      </c>
      <c r="AO52" s="121"/>
      <c r="AP52" s="121">
        <v>0</v>
      </c>
      <c r="AQ52" s="112"/>
      <c r="AR52" s="123"/>
      <c r="AS52" s="124">
        <v>0.30620000000000003</v>
      </c>
      <c r="AT52" s="124"/>
      <c r="AU52" s="124"/>
      <c r="AV52" s="124"/>
      <c r="AW52" s="124"/>
      <c r="AX52" s="124"/>
      <c r="AY52" s="124"/>
      <c r="AZ52" s="124"/>
      <c r="BA52" s="124"/>
      <c r="BB52" s="124"/>
      <c r="BC52" s="124"/>
      <c r="BD52" s="124"/>
      <c r="BE52" s="124"/>
      <c r="BF52" s="112"/>
      <c r="BG52" s="112" t="s">
        <v>1440</v>
      </c>
    </row>
    <row r="53" spans="1:59">
      <c r="A53" s="112" t="s">
        <v>1535</v>
      </c>
      <c r="B53" s="112" t="s">
        <v>1536</v>
      </c>
      <c r="C53" s="113" t="s">
        <v>1450</v>
      </c>
      <c r="D53" s="114">
        <v>9134</v>
      </c>
      <c r="E53" s="115">
        <v>90134</v>
      </c>
      <c r="F53" s="113" t="s">
        <v>1451</v>
      </c>
      <c r="G53" s="116">
        <v>3281212</v>
      </c>
      <c r="H53" s="117">
        <v>141</v>
      </c>
      <c r="I53" s="113" t="s">
        <v>1447</v>
      </c>
      <c r="J53" s="118" t="s">
        <v>1446</v>
      </c>
      <c r="K53" s="118">
        <v>111</v>
      </c>
      <c r="L53" s="119"/>
      <c r="M53" s="120">
        <v>3805923</v>
      </c>
      <c r="N53" s="120"/>
      <c r="O53" s="120">
        <v>0</v>
      </c>
      <c r="P53" s="120"/>
      <c r="Q53" s="120">
        <v>0</v>
      </c>
      <c r="R53" s="120"/>
      <c r="S53" s="120">
        <v>0</v>
      </c>
      <c r="T53" s="120"/>
      <c r="U53" s="120">
        <v>0</v>
      </c>
      <c r="V53" s="120"/>
      <c r="W53" s="120">
        <v>0</v>
      </c>
      <c r="X53" s="120"/>
      <c r="Y53" s="120">
        <v>0</v>
      </c>
      <c r="Z53" s="120"/>
      <c r="AA53" s="117">
        <v>0</v>
      </c>
      <c r="AB53" s="121"/>
      <c r="AC53" s="122"/>
      <c r="AD53" s="121">
        <v>1179829</v>
      </c>
      <c r="AE53" s="121"/>
      <c r="AF53" s="121">
        <v>0</v>
      </c>
      <c r="AG53" s="121"/>
      <c r="AH53" s="121">
        <v>0</v>
      </c>
      <c r="AI53" s="121"/>
      <c r="AJ53" s="121">
        <v>0</v>
      </c>
      <c r="AK53" s="121"/>
      <c r="AL53" s="121">
        <v>0</v>
      </c>
      <c r="AM53" s="121"/>
      <c r="AN53" s="121">
        <v>0</v>
      </c>
      <c r="AO53" s="121"/>
      <c r="AP53" s="121">
        <v>0</v>
      </c>
      <c r="AQ53" s="112"/>
      <c r="AR53" s="123"/>
      <c r="AS53" s="124">
        <v>0.31</v>
      </c>
      <c r="AT53" s="124"/>
      <c r="AU53" s="124"/>
      <c r="AV53" s="124"/>
      <c r="AW53" s="124"/>
      <c r="AX53" s="124"/>
      <c r="AY53" s="124"/>
      <c r="AZ53" s="124"/>
      <c r="BA53" s="124"/>
      <c r="BB53" s="124"/>
      <c r="BC53" s="124"/>
      <c r="BD53" s="124"/>
      <c r="BE53" s="124"/>
      <c r="BF53" s="112"/>
      <c r="BG53" s="112" t="s">
        <v>1440</v>
      </c>
    </row>
    <row r="54" spans="1:59">
      <c r="A54" s="112" t="s">
        <v>1537</v>
      </c>
      <c r="B54" s="112" t="s">
        <v>1538</v>
      </c>
      <c r="C54" s="113" t="s">
        <v>1518</v>
      </c>
      <c r="D54" s="114">
        <v>3073</v>
      </c>
      <c r="E54" s="115">
        <v>30073</v>
      </c>
      <c r="F54" s="113" t="s">
        <v>1451</v>
      </c>
      <c r="G54" s="116">
        <v>4586770</v>
      </c>
      <c r="H54" s="117">
        <v>99</v>
      </c>
      <c r="I54" s="113" t="s">
        <v>1447</v>
      </c>
      <c r="J54" s="118" t="s">
        <v>1446</v>
      </c>
      <c r="K54" s="118">
        <v>99</v>
      </c>
      <c r="L54" s="119"/>
      <c r="M54" s="120">
        <v>1430638</v>
      </c>
      <c r="N54" s="120"/>
      <c r="O54" s="120">
        <v>0</v>
      </c>
      <c r="P54" s="120"/>
      <c r="Q54" s="120">
        <v>0</v>
      </c>
      <c r="R54" s="120"/>
      <c r="S54" s="120">
        <v>0</v>
      </c>
      <c r="T54" s="120"/>
      <c r="U54" s="120">
        <v>0</v>
      </c>
      <c r="V54" s="120"/>
      <c r="W54" s="120">
        <v>0</v>
      </c>
      <c r="X54" s="120"/>
      <c r="Y54" s="120">
        <v>0</v>
      </c>
      <c r="Z54" s="120"/>
      <c r="AA54" s="117">
        <v>0</v>
      </c>
      <c r="AB54" s="121"/>
      <c r="AC54" s="122"/>
      <c r="AD54" s="121">
        <v>333956</v>
      </c>
      <c r="AE54" s="121"/>
      <c r="AF54" s="121">
        <v>0</v>
      </c>
      <c r="AG54" s="121"/>
      <c r="AH54" s="121">
        <v>0</v>
      </c>
      <c r="AI54" s="121"/>
      <c r="AJ54" s="121">
        <v>0</v>
      </c>
      <c r="AK54" s="121"/>
      <c r="AL54" s="121">
        <v>0</v>
      </c>
      <c r="AM54" s="121"/>
      <c r="AN54" s="121">
        <v>0</v>
      </c>
      <c r="AO54" s="121"/>
      <c r="AP54" s="121">
        <v>0</v>
      </c>
      <c r="AQ54" s="112"/>
      <c r="AR54" s="123"/>
      <c r="AS54" s="124">
        <v>0.2334</v>
      </c>
      <c r="AT54" s="124"/>
      <c r="AU54" s="124"/>
      <c r="AV54" s="124"/>
      <c r="AW54" s="124"/>
      <c r="AX54" s="124"/>
      <c r="AY54" s="124"/>
      <c r="AZ54" s="124"/>
      <c r="BA54" s="124"/>
      <c r="BB54" s="124"/>
      <c r="BC54" s="124"/>
      <c r="BD54" s="124"/>
      <c r="BE54" s="124"/>
      <c r="BF54" s="112"/>
      <c r="BG54" s="112" t="s">
        <v>1440</v>
      </c>
    </row>
    <row r="55" spans="1:59">
      <c r="A55" s="112" t="s">
        <v>1539</v>
      </c>
      <c r="B55" s="112" t="s">
        <v>1540</v>
      </c>
      <c r="C55" s="113" t="s">
        <v>1443</v>
      </c>
      <c r="D55" s="114">
        <v>2075</v>
      </c>
      <c r="E55" s="115">
        <v>20075</v>
      </c>
      <c r="F55" s="113" t="s">
        <v>1451</v>
      </c>
      <c r="G55" s="116">
        <v>5441567</v>
      </c>
      <c r="H55" s="117">
        <v>78</v>
      </c>
      <c r="I55" s="113" t="s">
        <v>1438</v>
      </c>
      <c r="J55" s="118" t="s">
        <v>1439</v>
      </c>
      <c r="K55" s="118">
        <v>78</v>
      </c>
      <c r="L55" s="119"/>
      <c r="M55" s="120">
        <v>0</v>
      </c>
      <c r="N55" s="120"/>
      <c r="O55" s="120">
        <v>0</v>
      </c>
      <c r="P55" s="120"/>
      <c r="Q55" s="120">
        <v>0</v>
      </c>
      <c r="R55" s="120"/>
      <c r="S55" s="120">
        <v>0</v>
      </c>
      <c r="T55" s="120"/>
      <c r="U55" s="120">
        <v>0</v>
      </c>
      <c r="V55" s="120"/>
      <c r="W55" s="120">
        <v>0</v>
      </c>
      <c r="X55" s="120"/>
      <c r="Y55" s="120">
        <v>32179173</v>
      </c>
      <c r="Z55" s="120"/>
      <c r="AA55" s="117">
        <v>0</v>
      </c>
      <c r="AB55" s="121"/>
      <c r="AC55" s="122"/>
      <c r="AD55" s="121">
        <v>0</v>
      </c>
      <c r="AE55" s="121"/>
      <c r="AF55" s="121">
        <v>0</v>
      </c>
      <c r="AG55" s="121"/>
      <c r="AH55" s="121">
        <v>0</v>
      </c>
      <c r="AI55" s="121"/>
      <c r="AJ55" s="121">
        <v>0</v>
      </c>
      <c r="AK55" s="121"/>
      <c r="AL55" s="121">
        <v>0</v>
      </c>
      <c r="AM55" s="121"/>
      <c r="AN55" s="121">
        <v>4661254</v>
      </c>
      <c r="AO55" s="121"/>
      <c r="AP55" s="121">
        <v>0</v>
      </c>
      <c r="AQ55" s="112"/>
      <c r="AR55" s="123"/>
      <c r="AS55" s="124"/>
      <c r="AT55" s="124"/>
      <c r="AU55" s="124"/>
      <c r="AV55" s="124"/>
      <c r="AW55" s="124"/>
      <c r="AX55" s="124"/>
      <c r="AY55" s="124"/>
      <c r="AZ55" s="124"/>
      <c r="BA55" s="124"/>
      <c r="BB55" s="124"/>
      <c r="BC55" s="124">
        <v>0.1449</v>
      </c>
      <c r="BD55" s="124"/>
      <c r="BE55" s="124"/>
      <c r="BF55" s="112"/>
      <c r="BG55" s="112" t="s">
        <v>1440</v>
      </c>
    </row>
    <row r="56" spans="1:59">
      <c r="A56" s="112" t="s">
        <v>1541</v>
      </c>
      <c r="B56" s="112" t="s">
        <v>1542</v>
      </c>
      <c r="C56" s="113" t="s">
        <v>1543</v>
      </c>
      <c r="D56" s="114">
        <v>5104</v>
      </c>
      <c r="E56" s="115">
        <v>50104</v>
      </c>
      <c r="F56" s="113" t="s">
        <v>1451</v>
      </c>
      <c r="G56" s="116">
        <v>8608208</v>
      </c>
      <c r="H56" s="117">
        <v>70</v>
      </c>
      <c r="I56" s="113" t="s">
        <v>1447</v>
      </c>
      <c r="J56" s="118" t="s">
        <v>1439</v>
      </c>
      <c r="K56" s="118">
        <v>70</v>
      </c>
      <c r="L56" s="119"/>
      <c r="M56" s="120">
        <v>0</v>
      </c>
      <c r="N56" s="120"/>
      <c r="O56" s="120">
        <v>0</v>
      </c>
      <c r="P56" s="120"/>
      <c r="Q56" s="120">
        <v>0</v>
      </c>
      <c r="R56" s="120"/>
      <c r="S56" s="120">
        <v>0</v>
      </c>
      <c r="T56" s="120"/>
      <c r="U56" s="120">
        <v>0</v>
      </c>
      <c r="V56" s="120"/>
      <c r="W56" s="120">
        <v>0</v>
      </c>
      <c r="X56" s="120"/>
      <c r="Y56" s="120">
        <v>18158000</v>
      </c>
      <c r="Z56" s="120"/>
      <c r="AA56" s="117">
        <v>0</v>
      </c>
      <c r="AB56" s="121"/>
      <c r="AC56" s="122"/>
      <c r="AD56" s="121">
        <v>0</v>
      </c>
      <c r="AE56" s="121"/>
      <c r="AF56" s="121">
        <v>0</v>
      </c>
      <c r="AG56" s="121"/>
      <c r="AH56" s="121">
        <v>0</v>
      </c>
      <c r="AI56" s="121"/>
      <c r="AJ56" s="121">
        <v>0</v>
      </c>
      <c r="AK56" s="121"/>
      <c r="AL56" s="121">
        <v>0</v>
      </c>
      <c r="AM56" s="121"/>
      <c r="AN56" s="121">
        <v>3510093</v>
      </c>
      <c r="AO56" s="121"/>
      <c r="AP56" s="121">
        <v>0</v>
      </c>
      <c r="AQ56" s="112"/>
      <c r="AR56" s="123"/>
      <c r="AS56" s="124"/>
      <c r="AT56" s="124"/>
      <c r="AU56" s="124"/>
      <c r="AV56" s="124"/>
      <c r="AW56" s="124"/>
      <c r="AX56" s="124"/>
      <c r="AY56" s="124"/>
      <c r="AZ56" s="124"/>
      <c r="BA56" s="124"/>
      <c r="BB56" s="124"/>
      <c r="BC56" s="124">
        <v>0.1933</v>
      </c>
      <c r="BD56" s="124"/>
      <c r="BE56" s="124"/>
      <c r="BF56" s="112"/>
      <c r="BG56" s="112" t="s">
        <v>1440</v>
      </c>
    </row>
    <row r="57" spans="1:59">
      <c r="A57" s="112" t="s">
        <v>1544</v>
      </c>
      <c r="B57" s="112" t="s">
        <v>1545</v>
      </c>
      <c r="C57" s="113" t="s">
        <v>1476</v>
      </c>
      <c r="D57" s="114">
        <v>4077</v>
      </c>
      <c r="E57" s="115">
        <v>40077</v>
      </c>
      <c r="F57" s="113" t="s">
        <v>1451</v>
      </c>
      <c r="G57" s="116">
        <v>5502379</v>
      </c>
      <c r="H57" s="117">
        <v>65</v>
      </c>
      <c r="I57" s="113" t="s">
        <v>1447</v>
      </c>
      <c r="J57" s="118" t="s">
        <v>1446</v>
      </c>
      <c r="K57" s="118">
        <v>43</v>
      </c>
      <c r="L57" s="119"/>
      <c r="M57" s="120">
        <v>2838234</v>
      </c>
      <c r="N57" s="120"/>
      <c r="O57" s="120">
        <v>0</v>
      </c>
      <c r="P57" s="120"/>
      <c r="Q57" s="120">
        <v>0</v>
      </c>
      <c r="R57" s="120"/>
      <c r="S57" s="120">
        <v>0</v>
      </c>
      <c r="T57" s="120"/>
      <c r="U57" s="120">
        <v>0</v>
      </c>
      <c r="V57" s="120"/>
      <c r="W57" s="120">
        <v>0</v>
      </c>
      <c r="X57" s="120"/>
      <c r="Y57" s="120">
        <v>0</v>
      </c>
      <c r="Z57" s="120"/>
      <c r="AA57" s="117">
        <v>0</v>
      </c>
      <c r="AB57" s="121"/>
      <c r="AC57" s="122"/>
      <c r="AD57" s="121">
        <v>1018267</v>
      </c>
      <c r="AE57" s="121"/>
      <c r="AF57" s="121">
        <v>0</v>
      </c>
      <c r="AG57" s="121"/>
      <c r="AH57" s="121">
        <v>0</v>
      </c>
      <c r="AI57" s="121"/>
      <c r="AJ57" s="121">
        <v>0</v>
      </c>
      <c r="AK57" s="121"/>
      <c r="AL57" s="121">
        <v>0</v>
      </c>
      <c r="AM57" s="121"/>
      <c r="AN57" s="121">
        <v>0</v>
      </c>
      <c r="AO57" s="121"/>
      <c r="AP57" s="121">
        <v>0</v>
      </c>
      <c r="AQ57" s="112"/>
      <c r="AR57" s="123"/>
      <c r="AS57" s="124">
        <v>0.35880000000000001</v>
      </c>
      <c r="AT57" s="124"/>
      <c r="AU57" s="124"/>
      <c r="AV57" s="124"/>
      <c r="AW57" s="124"/>
      <c r="AX57" s="124"/>
      <c r="AY57" s="124"/>
      <c r="AZ57" s="124"/>
      <c r="BA57" s="124"/>
      <c r="BB57" s="124"/>
      <c r="BC57" s="124"/>
      <c r="BD57" s="124"/>
      <c r="BE57" s="124"/>
      <c r="BF57" s="112"/>
      <c r="BG57" s="112" t="s">
        <v>1440</v>
      </c>
    </row>
    <row r="58" spans="1:59">
      <c r="A58" s="112" t="s">
        <v>1546</v>
      </c>
      <c r="B58" s="112" t="s">
        <v>1547</v>
      </c>
      <c r="C58" s="113" t="s">
        <v>1548</v>
      </c>
      <c r="D58" s="114">
        <v>6111</v>
      </c>
      <c r="E58" s="115">
        <v>60111</v>
      </c>
      <c r="F58" s="113" t="s">
        <v>1451</v>
      </c>
      <c r="G58" s="116">
        <v>741318</v>
      </c>
      <c r="H58" s="117">
        <v>58</v>
      </c>
      <c r="I58" s="113" t="s">
        <v>1447</v>
      </c>
      <c r="J58" s="118" t="s">
        <v>1446</v>
      </c>
      <c r="K58" s="118">
        <v>25</v>
      </c>
      <c r="L58" s="119"/>
      <c r="M58" s="120">
        <v>0</v>
      </c>
      <c r="N58" s="120"/>
      <c r="O58" s="120">
        <v>0</v>
      </c>
      <c r="P58" s="120"/>
      <c r="Q58" s="120">
        <v>0</v>
      </c>
      <c r="R58" s="120"/>
      <c r="S58" s="120">
        <v>0</v>
      </c>
      <c r="T58" s="120"/>
      <c r="U58" s="120">
        <v>792273</v>
      </c>
      <c r="V58" s="120"/>
      <c r="W58" s="120">
        <v>0</v>
      </c>
      <c r="X58" s="120"/>
      <c r="Y58" s="120">
        <v>0</v>
      </c>
      <c r="Z58" s="120"/>
      <c r="AA58" s="117">
        <v>0</v>
      </c>
      <c r="AB58" s="121"/>
      <c r="AC58" s="122"/>
      <c r="AD58" s="121">
        <v>350453</v>
      </c>
      <c r="AE58" s="121"/>
      <c r="AF58" s="121">
        <v>0</v>
      </c>
      <c r="AG58" s="121"/>
      <c r="AH58" s="121">
        <v>0</v>
      </c>
      <c r="AI58" s="121"/>
      <c r="AJ58" s="121">
        <v>0</v>
      </c>
      <c r="AK58" s="121"/>
      <c r="AL58" s="121">
        <v>0</v>
      </c>
      <c r="AM58" s="121"/>
      <c r="AN58" s="121">
        <v>0</v>
      </c>
      <c r="AO58" s="121"/>
      <c r="AP58" s="121">
        <v>0</v>
      </c>
      <c r="AQ58" s="112"/>
      <c r="AR58" s="123"/>
      <c r="AS58" s="124"/>
      <c r="AT58" s="124"/>
      <c r="AU58" s="124"/>
      <c r="AV58" s="124"/>
      <c r="AW58" s="124"/>
      <c r="AX58" s="124"/>
      <c r="AY58" s="124"/>
      <c r="AZ58" s="124"/>
      <c r="BA58" s="124"/>
      <c r="BB58" s="124"/>
      <c r="BC58" s="124"/>
      <c r="BD58" s="124"/>
      <c r="BE58" s="124"/>
      <c r="BF58" s="112"/>
      <c r="BG58" s="112" t="s">
        <v>1440</v>
      </c>
    </row>
    <row r="59" spans="1:59">
      <c r="A59" s="112" t="s">
        <v>1549</v>
      </c>
      <c r="B59" s="112" t="s">
        <v>1550</v>
      </c>
      <c r="C59" s="113" t="s">
        <v>1551</v>
      </c>
      <c r="D59" s="114">
        <v>4094</v>
      </c>
      <c r="E59" s="115">
        <v>40094</v>
      </c>
      <c r="F59" s="113" t="s">
        <v>1473</v>
      </c>
      <c r="G59" s="116">
        <v>2148346</v>
      </c>
      <c r="H59" s="117">
        <v>54</v>
      </c>
      <c r="I59" s="113" t="s">
        <v>1438</v>
      </c>
      <c r="J59" s="118" t="s">
        <v>1446</v>
      </c>
      <c r="K59" s="118">
        <v>32</v>
      </c>
      <c r="L59" s="119"/>
      <c r="M59" s="120">
        <v>0</v>
      </c>
      <c r="N59" s="120"/>
      <c r="O59" s="120">
        <v>0</v>
      </c>
      <c r="P59" s="120"/>
      <c r="Q59" s="120">
        <v>0</v>
      </c>
      <c r="R59" s="120"/>
      <c r="S59" s="120">
        <v>0</v>
      </c>
      <c r="T59" s="120"/>
      <c r="U59" s="120">
        <v>0</v>
      </c>
      <c r="V59" s="120"/>
      <c r="W59" s="120">
        <v>0</v>
      </c>
      <c r="X59" s="120"/>
      <c r="Y59" s="120">
        <v>4009792</v>
      </c>
      <c r="Z59" s="120"/>
      <c r="AA59" s="117">
        <v>0</v>
      </c>
      <c r="AB59" s="121"/>
      <c r="AC59" s="122"/>
      <c r="AD59" s="121">
        <v>0</v>
      </c>
      <c r="AE59" s="121"/>
      <c r="AF59" s="121">
        <v>0</v>
      </c>
      <c r="AG59" s="121"/>
      <c r="AH59" s="121">
        <v>0</v>
      </c>
      <c r="AI59" s="121"/>
      <c r="AJ59" s="121">
        <v>0</v>
      </c>
      <c r="AK59" s="121"/>
      <c r="AL59" s="121">
        <v>0</v>
      </c>
      <c r="AM59" s="121"/>
      <c r="AN59" s="121">
        <v>1432878</v>
      </c>
      <c r="AO59" s="121"/>
      <c r="AP59" s="121">
        <v>0</v>
      </c>
      <c r="AQ59" s="112"/>
      <c r="AR59" s="123"/>
      <c r="AS59" s="124"/>
      <c r="AT59" s="124"/>
      <c r="AU59" s="124"/>
      <c r="AV59" s="124"/>
      <c r="AW59" s="124"/>
      <c r="AX59" s="124"/>
      <c r="AY59" s="124"/>
      <c r="AZ59" s="124"/>
      <c r="BA59" s="124"/>
      <c r="BB59" s="124"/>
      <c r="BC59" s="124">
        <v>0.35730000000000001</v>
      </c>
      <c r="BD59" s="124"/>
      <c r="BE59" s="124"/>
      <c r="BF59" s="112"/>
      <c r="BG59" s="112" t="s">
        <v>1440</v>
      </c>
    </row>
    <row r="60" spans="1:59">
      <c r="A60" s="112" t="s">
        <v>1552</v>
      </c>
      <c r="B60" s="112" t="s">
        <v>1553</v>
      </c>
      <c r="C60" s="113" t="s">
        <v>1554</v>
      </c>
      <c r="D60" s="114">
        <v>4159</v>
      </c>
      <c r="E60" s="115">
        <v>40159</v>
      </c>
      <c r="F60" s="113" t="s">
        <v>1451</v>
      </c>
      <c r="G60" s="116">
        <v>969587</v>
      </c>
      <c r="H60" s="117">
        <v>46</v>
      </c>
      <c r="I60" s="113" t="s">
        <v>1447</v>
      </c>
      <c r="J60" s="118" t="s">
        <v>1446</v>
      </c>
      <c r="K60" s="118">
        <v>8</v>
      </c>
      <c r="L60" s="119"/>
      <c r="M60" s="120">
        <v>195054</v>
      </c>
      <c r="N60" s="120"/>
      <c r="O60" s="120">
        <v>0</v>
      </c>
      <c r="P60" s="120"/>
      <c r="Q60" s="120">
        <v>0</v>
      </c>
      <c r="R60" s="120"/>
      <c r="S60" s="120">
        <v>0</v>
      </c>
      <c r="T60" s="120"/>
      <c r="U60" s="120">
        <v>0</v>
      </c>
      <c r="V60" s="120"/>
      <c r="W60" s="120">
        <v>0</v>
      </c>
      <c r="X60" s="120"/>
      <c r="Y60" s="120">
        <v>0</v>
      </c>
      <c r="Z60" s="120"/>
      <c r="AA60" s="117">
        <v>0</v>
      </c>
      <c r="AB60" s="121"/>
      <c r="AC60" s="122"/>
      <c r="AD60" s="121">
        <v>71832</v>
      </c>
      <c r="AE60" s="121"/>
      <c r="AF60" s="121">
        <v>0</v>
      </c>
      <c r="AG60" s="121"/>
      <c r="AH60" s="121">
        <v>0</v>
      </c>
      <c r="AI60" s="121"/>
      <c r="AJ60" s="121">
        <v>0</v>
      </c>
      <c r="AK60" s="121"/>
      <c r="AL60" s="121">
        <v>0</v>
      </c>
      <c r="AM60" s="121"/>
      <c r="AN60" s="121">
        <v>0</v>
      </c>
      <c r="AO60" s="121"/>
      <c r="AP60" s="121">
        <v>0</v>
      </c>
      <c r="AQ60" s="112"/>
      <c r="AR60" s="123"/>
      <c r="AS60" s="124">
        <v>0.36830000000000002</v>
      </c>
      <c r="AT60" s="124"/>
      <c r="AU60" s="124"/>
      <c r="AV60" s="124"/>
      <c r="AW60" s="124"/>
      <c r="AX60" s="124"/>
      <c r="AY60" s="124"/>
      <c r="AZ60" s="124"/>
      <c r="BA60" s="124"/>
      <c r="BB60" s="124"/>
      <c r="BC60" s="124"/>
      <c r="BD60" s="124"/>
      <c r="BE60" s="124"/>
      <c r="BF60" s="112"/>
      <c r="BG60" s="112" t="s">
        <v>1440</v>
      </c>
    </row>
    <row r="61" spans="1:59">
      <c r="A61" s="112" t="s">
        <v>1555</v>
      </c>
      <c r="B61" s="112" t="s">
        <v>1556</v>
      </c>
      <c r="C61" s="113" t="s">
        <v>1435</v>
      </c>
      <c r="D61" s="114">
        <v>2099</v>
      </c>
      <c r="E61" s="115">
        <v>20099</v>
      </c>
      <c r="F61" s="113" t="s">
        <v>1436</v>
      </c>
      <c r="G61" s="116">
        <v>18351295</v>
      </c>
      <c r="H61" s="117">
        <v>44</v>
      </c>
      <c r="I61" s="113" t="s">
        <v>1438</v>
      </c>
      <c r="J61" s="118" t="s">
        <v>1439</v>
      </c>
      <c r="K61" s="118">
        <v>44</v>
      </c>
      <c r="L61" s="119"/>
      <c r="M61" s="120">
        <v>0</v>
      </c>
      <c r="N61" s="120"/>
      <c r="O61" s="120">
        <v>0</v>
      </c>
      <c r="P61" s="120"/>
      <c r="Q61" s="120">
        <v>0</v>
      </c>
      <c r="R61" s="120"/>
      <c r="S61" s="120">
        <v>0</v>
      </c>
      <c r="T61" s="120"/>
      <c r="U61" s="120">
        <v>0</v>
      </c>
      <c r="V61" s="120"/>
      <c r="W61" s="120">
        <v>0</v>
      </c>
      <c r="X61" s="120"/>
      <c r="Y61" s="120">
        <v>27982542</v>
      </c>
      <c r="Z61" s="120"/>
      <c r="AA61" s="117">
        <v>0</v>
      </c>
      <c r="AB61" s="121"/>
      <c r="AC61" s="122"/>
      <c r="AD61" s="121">
        <v>0</v>
      </c>
      <c r="AE61" s="121"/>
      <c r="AF61" s="121">
        <v>0</v>
      </c>
      <c r="AG61" s="121"/>
      <c r="AH61" s="121">
        <v>0</v>
      </c>
      <c r="AI61" s="121"/>
      <c r="AJ61" s="121">
        <v>0</v>
      </c>
      <c r="AK61" s="121"/>
      <c r="AL61" s="121">
        <v>0</v>
      </c>
      <c r="AM61" s="121"/>
      <c r="AN61" s="121">
        <v>2267541</v>
      </c>
      <c r="AO61" s="121"/>
      <c r="AP61" s="121">
        <v>0</v>
      </c>
      <c r="AQ61" s="112"/>
      <c r="AR61" s="123"/>
      <c r="AS61" s="124"/>
      <c r="AT61" s="124"/>
      <c r="AU61" s="124"/>
      <c r="AV61" s="124"/>
      <c r="AW61" s="124"/>
      <c r="AX61" s="124"/>
      <c r="AY61" s="124"/>
      <c r="AZ61" s="124"/>
      <c r="BA61" s="124"/>
      <c r="BB61" s="124"/>
      <c r="BC61" s="124">
        <v>8.1000000000000003E-2</v>
      </c>
      <c r="BD61" s="124"/>
      <c r="BE61" s="124"/>
      <c r="BF61" s="112"/>
      <c r="BG61" s="112" t="s">
        <v>1440</v>
      </c>
    </row>
    <row r="62" spans="1:59">
      <c r="A62" s="112" t="s">
        <v>1557</v>
      </c>
      <c r="B62" s="112" t="s">
        <v>1558</v>
      </c>
      <c r="C62" s="113" t="s">
        <v>1559</v>
      </c>
      <c r="D62" s="114">
        <v>1102</v>
      </c>
      <c r="E62" s="115">
        <v>10102</v>
      </c>
      <c r="F62" s="113" t="s">
        <v>1473</v>
      </c>
      <c r="G62" s="116">
        <v>924859</v>
      </c>
      <c r="H62" s="117">
        <v>43</v>
      </c>
      <c r="I62" s="113" t="s">
        <v>1447</v>
      </c>
      <c r="J62" s="118" t="s">
        <v>1446</v>
      </c>
      <c r="K62" s="118">
        <v>28</v>
      </c>
      <c r="L62" s="119"/>
      <c r="M62" s="120">
        <v>1678569</v>
      </c>
      <c r="N62" s="120"/>
      <c r="O62" s="120">
        <v>0</v>
      </c>
      <c r="P62" s="120"/>
      <c r="Q62" s="120">
        <v>0</v>
      </c>
      <c r="R62" s="120"/>
      <c r="S62" s="120">
        <v>0</v>
      </c>
      <c r="T62" s="120"/>
      <c r="U62" s="120">
        <v>0</v>
      </c>
      <c r="V62" s="120"/>
      <c r="W62" s="120">
        <v>0</v>
      </c>
      <c r="X62" s="120"/>
      <c r="Y62" s="120">
        <v>0</v>
      </c>
      <c r="Z62" s="120"/>
      <c r="AA62" s="117">
        <v>0</v>
      </c>
      <c r="AB62" s="121"/>
      <c r="AC62" s="122"/>
      <c r="AD62" s="121">
        <v>724004</v>
      </c>
      <c r="AE62" s="121"/>
      <c r="AF62" s="121">
        <v>0</v>
      </c>
      <c r="AG62" s="121"/>
      <c r="AH62" s="121">
        <v>0</v>
      </c>
      <c r="AI62" s="121"/>
      <c r="AJ62" s="121">
        <v>0</v>
      </c>
      <c r="AK62" s="121"/>
      <c r="AL62" s="121">
        <v>0</v>
      </c>
      <c r="AM62" s="121"/>
      <c r="AN62" s="121">
        <v>0</v>
      </c>
      <c r="AO62" s="121"/>
      <c r="AP62" s="121">
        <v>0</v>
      </c>
      <c r="AQ62" s="112"/>
      <c r="AR62" s="123"/>
      <c r="AS62" s="124">
        <v>0.43130000000000002</v>
      </c>
      <c r="AT62" s="124"/>
      <c r="AU62" s="124"/>
      <c r="AV62" s="124"/>
      <c r="AW62" s="124"/>
      <c r="AX62" s="124"/>
      <c r="AY62" s="124"/>
      <c r="AZ62" s="124"/>
      <c r="BA62" s="124"/>
      <c r="BB62" s="124"/>
      <c r="BC62" s="124"/>
      <c r="BD62" s="124"/>
      <c r="BE62" s="124"/>
      <c r="BF62" s="112"/>
      <c r="BG62" s="112" t="s">
        <v>1440</v>
      </c>
    </row>
    <row r="63" spans="1:59">
      <c r="A63" s="112" t="s">
        <v>1560</v>
      </c>
      <c r="B63" s="112" t="s">
        <v>1561</v>
      </c>
      <c r="C63" s="113" t="s">
        <v>1562</v>
      </c>
      <c r="D63" s="114">
        <v>9209</v>
      </c>
      <c r="E63" s="115">
        <v>90209</v>
      </c>
      <c r="F63" s="113" t="s">
        <v>1444</v>
      </c>
      <c r="G63" s="116">
        <v>3629114</v>
      </c>
      <c r="H63" s="117">
        <v>38</v>
      </c>
      <c r="I63" s="113" t="s">
        <v>1445</v>
      </c>
      <c r="J63" s="118" t="s">
        <v>1446</v>
      </c>
      <c r="K63" s="118">
        <v>38</v>
      </c>
      <c r="L63" s="119"/>
      <c r="M63" s="120">
        <v>0</v>
      </c>
      <c r="N63" s="120"/>
      <c r="O63" s="120">
        <v>0</v>
      </c>
      <c r="P63" s="120"/>
      <c r="Q63" s="120">
        <v>0</v>
      </c>
      <c r="R63" s="120"/>
      <c r="S63" s="120">
        <v>0</v>
      </c>
      <c r="T63" s="120"/>
      <c r="U63" s="120">
        <v>0</v>
      </c>
      <c r="V63" s="120"/>
      <c r="W63" s="120">
        <v>0</v>
      </c>
      <c r="X63" s="120"/>
      <c r="Y63" s="120">
        <v>23474521</v>
      </c>
      <c r="Z63" s="120"/>
      <c r="AA63" s="117">
        <v>0</v>
      </c>
      <c r="AB63" s="121"/>
      <c r="AC63" s="122"/>
      <c r="AD63" s="121">
        <v>0</v>
      </c>
      <c r="AE63" s="121"/>
      <c r="AF63" s="121">
        <v>0</v>
      </c>
      <c r="AG63" s="121"/>
      <c r="AH63" s="121">
        <v>0</v>
      </c>
      <c r="AI63" s="121"/>
      <c r="AJ63" s="121">
        <v>0</v>
      </c>
      <c r="AK63" s="121"/>
      <c r="AL63" s="121">
        <v>0</v>
      </c>
      <c r="AM63" s="121"/>
      <c r="AN63" s="121">
        <v>3452467</v>
      </c>
      <c r="AO63" s="121"/>
      <c r="AP63" s="121">
        <v>0</v>
      </c>
      <c r="AQ63" s="112"/>
      <c r="AR63" s="123"/>
      <c r="AS63" s="124"/>
      <c r="AT63" s="124"/>
      <c r="AU63" s="124"/>
      <c r="AV63" s="124"/>
      <c r="AW63" s="124"/>
      <c r="AX63" s="124"/>
      <c r="AY63" s="124"/>
      <c r="AZ63" s="124"/>
      <c r="BA63" s="124"/>
      <c r="BB63" s="124"/>
      <c r="BC63" s="124">
        <v>0.14710000000000001</v>
      </c>
      <c r="BD63" s="124"/>
      <c r="BE63" s="124"/>
      <c r="BF63" s="112"/>
      <c r="BG63" s="112" t="s">
        <v>1440</v>
      </c>
    </row>
    <row r="64" spans="1:59">
      <c r="A64" s="112" t="s">
        <v>1563</v>
      </c>
      <c r="B64" s="112" t="s">
        <v>1564</v>
      </c>
      <c r="C64" s="113" t="s">
        <v>1450</v>
      </c>
      <c r="D64" s="114">
        <v>9182</v>
      </c>
      <c r="E64" s="115">
        <v>90182</v>
      </c>
      <c r="F64" s="113" t="s">
        <v>1451</v>
      </c>
      <c r="G64" s="116">
        <v>370583</v>
      </c>
      <c r="H64" s="117">
        <v>35</v>
      </c>
      <c r="I64" s="113" t="s">
        <v>1447</v>
      </c>
      <c r="J64" s="118" t="s">
        <v>1446</v>
      </c>
      <c r="K64" s="118">
        <v>35</v>
      </c>
      <c r="L64" s="119"/>
      <c r="M64" s="120">
        <v>514210</v>
      </c>
      <c r="N64" s="120"/>
      <c r="O64" s="120">
        <v>0</v>
      </c>
      <c r="P64" s="120"/>
      <c r="Q64" s="120">
        <v>0</v>
      </c>
      <c r="R64" s="120"/>
      <c r="S64" s="120">
        <v>0</v>
      </c>
      <c r="T64" s="120"/>
      <c r="U64" s="120">
        <v>0</v>
      </c>
      <c r="V64" s="120"/>
      <c r="W64" s="120">
        <v>0</v>
      </c>
      <c r="X64" s="120"/>
      <c r="Y64" s="120">
        <v>0</v>
      </c>
      <c r="Z64" s="120"/>
      <c r="AA64" s="117">
        <v>0</v>
      </c>
      <c r="AB64" s="121"/>
      <c r="AC64" s="122"/>
      <c r="AD64" s="121">
        <v>130583</v>
      </c>
      <c r="AE64" s="121"/>
      <c r="AF64" s="121">
        <v>0</v>
      </c>
      <c r="AG64" s="121"/>
      <c r="AH64" s="121">
        <v>0</v>
      </c>
      <c r="AI64" s="121"/>
      <c r="AJ64" s="121">
        <v>0</v>
      </c>
      <c r="AK64" s="121"/>
      <c r="AL64" s="121">
        <v>0</v>
      </c>
      <c r="AM64" s="121"/>
      <c r="AN64" s="121">
        <v>0</v>
      </c>
      <c r="AO64" s="121"/>
      <c r="AP64" s="121">
        <v>0</v>
      </c>
      <c r="AQ64" s="112"/>
      <c r="AR64" s="123"/>
      <c r="AS64" s="124">
        <v>0.25390000000000001</v>
      </c>
      <c r="AT64" s="124"/>
      <c r="AU64" s="124"/>
      <c r="AV64" s="124"/>
      <c r="AW64" s="124"/>
      <c r="AX64" s="124"/>
      <c r="AY64" s="124"/>
      <c r="AZ64" s="124"/>
      <c r="BA64" s="124"/>
      <c r="BB64" s="124"/>
      <c r="BC64" s="124"/>
      <c r="BD64" s="124"/>
      <c r="BE64" s="124"/>
      <c r="BF64" s="112"/>
      <c r="BG64" s="112" t="s">
        <v>1440</v>
      </c>
    </row>
    <row r="65" spans="1:59">
      <c r="A65" s="112" t="s">
        <v>1565</v>
      </c>
      <c r="B65" s="112" t="s">
        <v>1566</v>
      </c>
      <c r="C65" s="113" t="s">
        <v>1476</v>
      </c>
      <c r="D65" s="114">
        <v>4232</v>
      </c>
      <c r="E65" s="115">
        <v>40232</v>
      </c>
      <c r="F65" s="113" t="s">
        <v>1473</v>
      </c>
      <c r="G65" s="116">
        <v>1510516</v>
      </c>
      <c r="H65" s="117">
        <v>25</v>
      </c>
      <c r="I65" s="113" t="s">
        <v>1447</v>
      </c>
      <c r="J65" s="118" t="s">
        <v>1446</v>
      </c>
      <c r="K65" s="118">
        <v>25</v>
      </c>
      <c r="L65" s="119"/>
      <c r="M65" s="120">
        <v>810032</v>
      </c>
      <c r="N65" s="120"/>
      <c r="O65" s="120">
        <v>0</v>
      </c>
      <c r="P65" s="120"/>
      <c r="Q65" s="120">
        <v>0</v>
      </c>
      <c r="R65" s="120"/>
      <c r="S65" s="120">
        <v>0</v>
      </c>
      <c r="T65" s="120"/>
      <c r="U65" s="120">
        <v>0</v>
      </c>
      <c r="V65" s="120"/>
      <c r="W65" s="120">
        <v>0</v>
      </c>
      <c r="X65" s="120"/>
      <c r="Y65" s="120">
        <v>0</v>
      </c>
      <c r="Z65" s="120"/>
      <c r="AA65" s="117">
        <v>0</v>
      </c>
      <c r="AB65" s="121"/>
      <c r="AC65" s="122"/>
      <c r="AD65" s="121">
        <v>486222</v>
      </c>
      <c r="AE65" s="121"/>
      <c r="AF65" s="121">
        <v>0</v>
      </c>
      <c r="AG65" s="121"/>
      <c r="AH65" s="121">
        <v>0</v>
      </c>
      <c r="AI65" s="121"/>
      <c r="AJ65" s="121">
        <v>0</v>
      </c>
      <c r="AK65" s="121"/>
      <c r="AL65" s="121">
        <v>0</v>
      </c>
      <c r="AM65" s="121"/>
      <c r="AN65" s="121">
        <v>0</v>
      </c>
      <c r="AO65" s="121"/>
      <c r="AP65" s="121">
        <v>0</v>
      </c>
      <c r="AQ65" s="112"/>
      <c r="AR65" s="123"/>
      <c r="AS65" s="124">
        <v>0.60029999999999994</v>
      </c>
      <c r="AT65" s="124"/>
      <c r="AU65" s="124"/>
      <c r="AV65" s="124"/>
      <c r="AW65" s="124"/>
      <c r="AX65" s="124"/>
      <c r="AY65" s="124"/>
      <c r="AZ65" s="124"/>
      <c r="BA65" s="124"/>
      <c r="BB65" s="124"/>
      <c r="BC65" s="124"/>
      <c r="BD65" s="124"/>
      <c r="BE65" s="124"/>
      <c r="BF65" s="112"/>
      <c r="BG65" s="112" t="s">
        <v>1440</v>
      </c>
    </row>
    <row r="66" spans="1:59">
      <c r="A66" s="112" t="s">
        <v>1567</v>
      </c>
      <c r="B66" s="112" t="s">
        <v>1494</v>
      </c>
      <c r="C66" s="113" t="s">
        <v>1568</v>
      </c>
      <c r="D66" s="114">
        <v>1115</v>
      </c>
      <c r="E66" s="115">
        <v>10115</v>
      </c>
      <c r="F66" s="113" t="s">
        <v>1451</v>
      </c>
      <c r="G66" s="116">
        <v>203914</v>
      </c>
      <c r="H66" s="117">
        <v>21</v>
      </c>
      <c r="I66" s="113" t="s">
        <v>1447</v>
      </c>
      <c r="J66" s="118" t="s">
        <v>1446</v>
      </c>
      <c r="K66" s="118">
        <v>21</v>
      </c>
      <c r="L66" s="119"/>
      <c r="M66" s="120">
        <v>628302</v>
      </c>
      <c r="N66" s="120"/>
      <c r="O66" s="120">
        <v>0</v>
      </c>
      <c r="P66" s="120"/>
      <c r="Q66" s="120">
        <v>0</v>
      </c>
      <c r="R66" s="120"/>
      <c r="S66" s="120">
        <v>0</v>
      </c>
      <c r="T66" s="120"/>
      <c r="U66" s="120">
        <v>0</v>
      </c>
      <c r="V66" s="120"/>
      <c r="W66" s="120">
        <v>0</v>
      </c>
      <c r="X66" s="120"/>
      <c r="Y66" s="120">
        <v>0</v>
      </c>
      <c r="Z66" s="120"/>
      <c r="AA66" s="117">
        <v>0</v>
      </c>
      <c r="AB66" s="121"/>
      <c r="AC66" s="122"/>
      <c r="AD66" s="121">
        <v>0</v>
      </c>
      <c r="AE66" s="121"/>
      <c r="AF66" s="121">
        <v>0</v>
      </c>
      <c r="AG66" s="121"/>
      <c r="AH66" s="121">
        <v>0</v>
      </c>
      <c r="AI66" s="121"/>
      <c r="AJ66" s="121">
        <v>0</v>
      </c>
      <c r="AK66" s="121"/>
      <c r="AL66" s="121">
        <v>0</v>
      </c>
      <c r="AM66" s="121"/>
      <c r="AN66" s="121">
        <v>0</v>
      </c>
      <c r="AO66" s="121"/>
      <c r="AP66" s="121">
        <v>0</v>
      </c>
      <c r="AQ66" s="112"/>
      <c r="AR66" s="123"/>
      <c r="AS66" s="124">
        <v>0</v>
      </c>
      <c r="AT66" s="124"/>
      <c r="AU66" s="124"/>
      <c r="AV66" s="124"/>
      <c r="AW66" s="124"/>
      <c r="AX66" s="124"/>
      <c r="AY66" s="124"/>
      <c r="AZ66" s="124"/>
      <c r="BA66" s="124"/>
      <c r="BB66" s="124"/>
      <c r="BC66" s="124"/>
      <c r="BD66" s="124"/>
      <c r="BE66" s="124"/>
      <c r="BF66" s="112"/>
      <c r="BG66" s="112" t="s">
        <v>1440</v>
      </c>
    </row>
    <row r="67" spans="1:59">
      <c r="A67" s="112" t="s">
        <v>1569</v>
      </c>
      <c r="B67" s="112" t="s">
        <v>1570</v>
      </c>
      <c r="C67" s="113" t="s">
        <v>1466</v>
      </c>
      <c r="D67" s="114">
        <v>3057</v>
      </c>
      <c r="E67" s="115">
        <v>30057</v>
      </c>
      <c r="F67" s="113" t="s">
        <v>1473</v>
      </c>
      <c r="G67" s="116">
        <v>5441567</v>
      </c>
      <c r="H67" s="117">
        <v>20</v>
      </c>
      <c r="I67" s="113" t="s">
        <v>1447</v>
      </c>
      <c r="J67" s="118" t="s">
        <v>1446</v>
      </c>
      <c r="K67" s="118">
        <v>20</v>
      </c>
      <c r="L67" s="119"/>
      <c r="M67" s="120">
        <v>0</v>
      </c>
      <c r="N67" s="120"/>
      <c r="O67" s="120">
        <v>0</v>
      </c>
      <c r="P67" s="120"/>
      <c r="Q67" s="120">
        <v>0</v>
      </c>
      <c r="R67" s="120"/>
      <c r="S67" s="120">
        <v>0</v>
      </c>
      <c r="T67" s="120"/>
      <c r="U67" s="120">
        <v>0</v>
      </c>
      <c r="V67" s="120"/>
      <c r="W67" s="120">
        <v>0</v>
      </c>
      <c r="X67" s="120"/>
      <c r="Y67" s="120">
        <v>27325354</v>
      </c>
      <c r="Z67" s="120"/>
      <c r="AA67" s="117">
        <v>0</v>
      </c>
      <c r="AB67" s="121"/>
      <c r="AC67" s="122"/>
      <c r="AD67" s="121">
        <v>0</v>
      </c>
      <c r="AE67" s="121"/>
      <c r="AF67" s="121">
        <v>0</v>
      </c>
      <c r="AG67" s="121"/>
      <c r="AH67" s="121">
        <v>0</v>
      </c>
      <c r="AI67" s="121"/>
      <c r="AJ67" s="121">
        <v>0</v>
      </c>
      <c r="AK67" s="121"/>
      <c r="AL67" s="121">
        <v>0</v>
      </c>
      <c r="AM67" s="121"/>
      <c r="AN67" s="121">
        <v>0</v>
      </c>
      <c r="AO67" s="121"/>
      <c r="AP67" s="121">
        <v>0</v>
      </c>
      <c r="AQ67" s="112"/>
      <c r="AR67" s="123"/>
      <c r="AS67" s="124"/>
      <c r="AT67" s="124"/>
      <c r="AU67" s="124"/>
      <c r="AV67" s="124"/>
      <c r="AW67" s="124"/>
      <c r="AX67" s="124"/>
      <c r="AY67" s="124"/>
      <c r="AZ67" s="124"/>
      <c r="BA67" s="124"/>
      <c r="BB67" s="124"/>
      <c r="BC67" s="124">
        <v>0</v>
      </c>
      <c r="BD67" s="124"/>
      <c r="BE67" s="124"/>
      <c r="BF67" s="112"/>
      <c r="BG67" s="112" t="s">
        <v>1440</v>
      </c>
    </row>
    <row r="68" spans="1:59">
      <c r="A68" s="112" t="s">
        <v>1571</v>
      </c>
      <c r="B68" s="112" t="s">
        <v>1572</v>
      </c>
      <c r="C68" s="113" t="s">
        <v>1450</v>
      </c>
      <c r="D68" s="114"/>
      <c r="E68" s="115">
        <v>90299</v>
      </c>
      <c r="F68" s="113" t="s">
        <v>1451</v>
      </c>
      <c r="G68" s="116">
        <v>308231</v>
      </c>
      <c r="H68" s="117">
        <v>12</v>
      </c>
      <c r="I68" s="113" t="s">
        <v>1447</v>
      </c>
      <c r="J68" s="118" t="s">
        <v>1439</v>
      </c>
      <c r="K68" s="118">
        <v>12</v>
      </c>
      <c r="L68" s="119"/>
      <c r="M68" s="120">
        <v>286520</v>
      </c>
      <c r="N68" s="120"/>
      <c r="O68" s="120">
        <v>0</v>
      </c>
      <c r="P68" s="120"/>
      <c r="Q68" s="120">
        <v>0</v>
      </c>
      <c r="R68" s="120"/>
      <c r="S68" s="120">
        <v>0</v>
      </c>
      <c r="T68" s="120"/>
      <c r="U68" s="120">
        <v>0</v>
      </c>
      <c r="V68" s="120"/>
      <c r="W68" s="120">
        <v>0</v>
      </c>
      <c r="X68" s="120"/>
      <c r="Y68" s="120">
        <v>0</v>
      </c>
      <c r="Z68" s="120"/>
      <c r="AA68" s="117">
        <v>0</v>
      </c>
      <c r="AB68" s="121"/>
      <c r="AC68" s="122"/>
      <c r="AD68" s="121">
        <v>931897</v>
      </c>
      <c r="AE68" s="121"/>
      <c r="AF68" s="121">
        <v>0</v>
      </c>
      <c r="AG68" s="121"/>
      <c r="AH68" s="121">
        <v>0</v>
      </c>
      <c r="AI68" s="121"/>
      <c r="AJ68" s="121">
        <v>0</v>
      </c>
      <c r="AK68" s="121"/>
      <c r="AL68" s="121">
        <v>0</v>
      </c>
      <c r="AM68" s="121"/>
      <c r="AN68" s="121">
        <v>0</v>
      </c>
      <c r="AO68" s="121"/>
      <c r="AP68" s="121">
        <v>0</v>
      </c>
      <c r="AQ68" s="112"/>
      <c r="AR68" s="123"/>
      <c r="AS68" s="124">
        <v>3.2524999999999999</v>
      </c>
      <c r="AT68" s="124"/>
      <c r="AU68" s="124"/>
      <c r="AV68" s="124"/>
      <c r="AW68" s="124"/>
      <c r="AX68" s="124"/>
      <c r="AY68" s="124"/>
      <c r="AZ68" s="124"/>
      <c r="BA68" s="124"/>
      <c r="BB68" s="124"/>
      <c r="BC68" s="124"/>
      <c r="BD68" s="124"/>
      <c r="BE68" s="124"/>
      <c r="BF68" s="112"/>
      <c r="BG68" s="112" t="s">
        <v>1440</v>
      </c>
    </row>
    <row r="70" spans="1:59">
      <c r="M70" s="9">
        <f>SUM(M1:M68)</f>
        <v>104995073</v>
      </c>
      <c r="N70" s="9">
        <f t="shared" ref="N70:AB70" si="0">SUM(N1:N68)</f>
        <v>0</v>
      </c>
      <c r="O70" s="9">
        <f t="shared" si="0"/>
        <v>0</v>
      </c>
      <c r="P70" s="9">
        <f t="shared" si="0"/>
        <v>0</v>
      </c>
      <c r="Q70" s="9">
        <f t="shared" si="0"/>
        <v>0</v>
      </c>
      <c r="R70" s="9">
        <f t="shared" si="0"/>
        <v>0</v>
      </c>
      <c r="S70" s="9">
        <f t="shared" si="0"/>
        <v>0</v>
      </c>
      <c r="T70" s="9">
        <f t="shared" si="0"/>
        <v>0</v>
      </c>
      <c r="U70" s="9">
        <f t="shared" si="0"/>
        <v>792273</v>
      </c>
      <c r="V70" s="9">
        <f t="shared" si="0"/>
        <v>0</v>
      </c>
      <c r="W70" s="9">
        <f t="shared" si="0"/>
        <v>0</v>
      </c>
      <c r="X70" s="9">
        <f t="shared" si="0"/>
        <v>0</v>
      </c>
      <c r="Y70" s="9">
        <f t="shared" si="0"/>
        <v>6030683824</v>
      </c>
      <c r="Z70" s="9">
        <f t="shared" si="0"/>
        <v>0</v>
      </c>
      <c r="AA70" s="9">
        <f t="shared" si="0"/>
        <v>0</v>
      </c>
      <c r="AB70" s="9">
        <f t="shared" si="0"/>
        <v>0</v>
      </c>
    </row>
  </sheetData>
  <conditionalFormatting sqref="A2:BG68">
    <cfRule type="expression" dxfId="2" priority="1">
      <formula>MOD(ROW(),2)=0</formula>
    </cfRule>
  </conditionalFormatting>
  <conditionalFormatting sqref="K5:K68">
    <cfRule type="expression" dxfId="1" priority="5">
      <formula>MOD(ROW(),2)=0</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3C118A-62E4-402B-9A24-21C7EFC3F71A}">
  <sheetPr>
    <tabColor theme="5"/>
  </sheetPr>
  <dimension ref="A1"/>
  <sheetViews>
    <sheetView workbookViewId="0"/>
    <sheetView workbookViewId="1"/>
  </sheetViews>
  <sheetFormatPr defaultRowHeight="14.75"/>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CD0904-449C-4151-A00A-12E91B058ACA}">
  <sheetPr>
    <tabColor rgb="FFFFCC66"/>
  </sheetPr>
  <dimension ref="B2:X64"/>
  <sheetViews>
    <sheetView workbookViewId="0"/>
    <sheetView workbookViewId="1"/>
  </sheetViews>
  <sheetFormatPr defaultRowHeight="14.75"/>
  <cols>
    <col min="2" max="2" width="18.26953125" customWidth="1"/>
    <col min="3" max="3" width="9.86328125" bestFit="1" customWidth="1"/>
    <col min="4" max="4" width="11.40625" customWidth="1"/>
    <col min="5" max="5" width="22.40625" bestFit="1" customWidth="1"/>
    <col min="6" max="6" width="15.26953125" bestFit="1" customWidth="1"/>
    <col min="7" max="7" width="16.86328125" bestFit="1" customWidth="1"/>
    <col min="8" max="8" width="15.86328125" customWidth="1"/>
    <col min="9" max="9" width="18.54296875" customWidth="1"/>
    <col min="10" max="10" width="16.40625" bestFit="1" customWidth="1"/>
    <col min="11" max="11" width="17.86328125" bestFit="1" customWidth="1"/>
    <col min="12" max="12" width="9.7265625" bestFit="1" customWidth="1"/>
    <col min="13" max="13" width="14.26953125" bestFit="1" customWidth="1"/>
    <col min="14" max="20" width="14.26953125" customWidth="1"/>
    <col min="21" max="21" width="18.1328125" bestFit="1" customWidth="1"/>
    <col min="22" max="22" width="19.40625" bestFit="1" customWidth="1"/>
  </cols>
  <sheetData>
    <row r="2" spans="2:22">
      <c r="B2" s="1" t="s">
        <v>1620</v>
      </c>
      <c r="C2" s="9">
        <v>138700</v>
      </c>
    </row>
    <row r="3" spans="2:22">
      <c r="B3" s="1" t="s">
        <v>1621</v>
      </c>
      <c r="C3">
        <v>3412.14</v>
      </c>
      <c r="H3" s="125"/>
    </row>
    <row r="4" spans="2:22">
      <c r="B4" s="1" t="s">
        <v>1392</v>
      </c>
      <c r="C4" s="126" t="s">
        <v>1622</v>
      </c>
      <c r="D4" s="126" t="s">
        <v>1438</v>
      </c>
      <c r="E4" s="126" t="s">
        <v>1447</v>
      </c>
      <c r="F4" s="126" t="s">
        <v>1445</v>
      </c>
    </row>
    <row r="5" spans="2:22">
      <c r="B5" s="1"/>
      <c r="C5" s="1"/>
      <c r="D5" s="1"/>
      <c r="E5" s="1"/>
      <c r="F5" s="1"/>
    </row>
    <row r="6" spans="2:22">
      <c r="B6" s="1"/>
      <c r="C6" s="1"/>
      <c r="D6" s="1"/>
      <c r="E6" s="127" t="s">
        <v>1623</v>
      </c>
      <c r="F6" s="127"/>
      <c r="G6" s="128"/>
      <c r="H6" s="128"/>
      <c r="I6" s="128"/>
      <c r="J6" s="128"/>
      <c r="K6" s="128"/>
      <c r="L6" s="128"/>
      <c r="M6" s="128"/>
      <c r="N6" s="128"/>
      <c r="O6" s="128"/>
      <c r="P6" s="129" t="s">
        <v>1624</v>
      </c>
      <c r="Q6" s="130"/>
      <c r="R6" s="130"/>
      <c r="S6" s="130"/>
      <c r="T6" s="130"/>
      <c r="U6" s="130"/>
      <c r="V6" s="130"/>
    </row>
    <row r="7" spans="2:22">
      <c r="G7" s="131"/>
      <c r="H7" s="1" t="s">
        <v>1591</v>
      </c>
      <c r="I7" s="1"/>
      <c r="J7" s="1"/>
      <c r="K7" s="1"/>
      <c r="N7" s="1"/>
      <c r="O7" s="1"/>
    </row>
    <row r="8" spans="2:22">
      <c r="B8" s="132" t="s">
        <v>1385</v>
      </c>
      <c r="C8" s="132" t="s">
        <v>1385</v>
      </c>
      <c r="D8" s="1" t="s">
        <v>1625</v>
      </c>
      <c r="E8" s="1" t="s">
        <v>1396</v>
      </c>
      <c r="F8" s="1" t="s">
        <v>1406</v>
      </c>
      <c r="G8" s="1" t="s">
        <v>1428</v>
      </c>
      <c r="H8" s="1" t="s">
        <v>201</v>
      </c>
      <c r="I8" s="1" t="s">
        <v>1600</v>
      </c>
      <c r="J8" s="1" t="s">
        <v>1626</v>
      </c>
      <c r="K8" s="1" t="s">
        <v>1627</v>
      </c>
      <c r="L8" s="133" t="s">
        <v>1628</v>
      </c>
      <c r="M8" s="133" t="s">
        <v>1629</v>
      </c>
      <c r="N8" s="133" t="s">
        <v>1630</v>
      </c>
      <c r="O8" s="133" t="s">
        <v>1631</v>
      </c>
      <c r="P8" s="1" t="s">
        <v>1575</v>
      </c>
      <c r="Q8" s="1" t="s">
        <v>1583</v>
      </c>
      <c r="R8" s="1" t="s">
        <v>1587</v>
      </c>
      <c r="S8" s="1" t="s">
        <v>1632</v>
      </c>
      <c r="T8" s="1" t="s">
        <v>1633</v>
      </c>
      <c r="U8" s="133" t="s">
        <v>1634</v>
      </c>
      <c r="V8" s="133" t="s">
        <v>1635</v>
      </c>
    </row>
    <row r="9" spans="2:22">
      <c r="B9" s="134" t="s">
        <v>1636</v>
      </c>
      <c r="C9" s="134" t="s">
        <v>1637</v>
      </c>
      <c r="D9" t="s">
        <v>1638</v>
      </c>
      <c r="E9">
        <f>SUMIFS('Annual Service Data_rail only'!N:N,'Annual Service Data_rail only'!C:C,C9)</f>
        <v>0</v>
      </c>
      <c r="F9" s="131">
        <f>SUMIFS('Annual Service Data_rail only'!X:X,'Annual Service Data_rail only'!C:C,C9)</f>
        <v>0</v>
      </c>
      <c r="G9" s="131">
        <f>SUMIFS('Annual Service Data_rail only'!AT:AT,'Annual Service Data_rail only'!C:C,C9)</f>
        <v>0</v>
      </c>
      <c r="H9">
        <f>SUMIFS('Fuel and Energy_rail only'!AD:AD,'Fuel and Energy_rail only'!C:C,C9)</f>
        <v>0</v>
      </c>
      <c r="I9">
        <f>SUMIFS('Fuel and Energy_rail only'!AN:AN,'Fuel and Energy_rail only'!C:C,C9)</f>
        <v>0</v>
      </c>
      <c r="J9" s="125">
        <f>IFERROR(H9/SUM($H9:$I9),0)</f>
        <v>0</v>
      </c>
      <c r="K9" s="125">
        <f>IFERROR(I9/SUM($H9:$I9),0)</f>
        <v>0</v>
      </c>
      <c r="L9" s="135">
        <f t="shared" ref="L9:L40" si="0">IFERROR(G9/F9,0)</f>
        <v>0</v>
      </c>
      <c r="M9" s="136">
        <f t="shared" ref="M9:M40" si="1">IFERROR(F9/E9,0)</f>
        <v>0</v>
      </c>
      <c r="N9" s="136">
        <f>E9*J9</f>
        <v>0</v>
      </c>
      <c r="O9" s="136">
        <f>K9*E9</f>
        <v>0</v>
      </c>
      <c r="P9">
        <f>SUMIFS('Fuel and Energy_rail only'!M:M,'Fuel and Energy_rail only'!C:C,C9)</f>
        <v>0</v>
      </c>
      <c r="Q9">
        <f>SUMIFS('Fuel and Energy_rail only'!U:U,'Fuel and Energy_rail only'!C:C,C9)</f>
        <v>0</v>
      </c>
      <c r="R9">
        <f>SUMIFS('Fuel and Energy_rail only'!Y:Y,'Fuel and Energy_rail only'!C:C,C9)</f>
        <v>0</v>
      </c>
      <c r="S9">
        <f>SUM(P9:Q9)*$C$2</f>
        <v>0</v>
      </c>
      <c r="T9">
        <f>R9*$C$3</f>
        <v>0</v>
      </c>
      <c r="U9" s="137">
        <f>IFERROR(($L9*$M9*N9)/S9,0)</f>
        <v>0</v>
      </c>
      <c r="V9" s="137">
        <f>IFERROR(($L9*$M9*O9)/T9,0)</f>
        <v>0</v>
      </c>
    </row>
    <row r="10" spans="2:22">
      <c r="B10" s="134" t="s">
        <v>1639</v>
      </c>
      <c r="C10" s="134" t="s">
        <v>1640</v>
      </c>
      <c r="D10" t="s">
        <v>1641</v>
      </c>
      <c r="E10">
        <f>SUMIFS('Annual Service Data_rail only'!N:N,'Annual Service Data_rail only'!C:C,C10)</f>
        <v>0</v>
      </c>
      <c r="F10" s="131">
        <f>SUMIFS('Annual Service Data_rail only'!X:X,'Annual Service Data_rail only'!C:C,C10)</f>
        <v>0</v>
      </c>
      <c r="G10" s="131">
        <f>SUMIFS('Annual Service Data_rail only'!AT:AT,'Annual Service Data_rail only'!C:C,C10)</f>
        <v>0</v>
      </c>
      <c r="H10">
        <f>SUMIFS('Fuel and Energy_rail only'!AD:AD,'Fuel and Energy_rail only'!C:C,C10)</f>
        <v>0</v>
      </c>
      <c r="I10">
        <f>SUMIFS('Fuel and Energy_rail only'!AN:AN,'Fuel and Energy_rail only'!C:C,C10)</f>
        <v>0</v>
      </c>
      <c r="J10" s="125">
        <f t="shared" ref="J10:K59" si="2">IFERROR(H10/SUM($H10:$I10),0)</f>
        <v>0</v>
      </c>
      <c r="K10" s="125">
        <f t="shared" si="2"/>
        <v>0</v>
      </c>
      <c r="L10" s="135">
        <f t="shared" si="0"/>
        <v>0</v>
      </c>
      <c r="M10" s="136">
        <f t="shared" si="1"/>
        <v>0</v>
      </c>
      <c r="N10" s="136">
        <f t="shared" ref="N10:N59" si="3">E10*J10</f>
        <v>0</v>
      </c>
      <c r="O10" s="136">
        <f t="shared" ref="O10:O59" si="4">K10*E10</f>
        <v>0</v>
      </c>
      <c r="P10">
        <f>SUMIFS('Fuel and Energy_rail only'!M:M,'Fuel and Energy_rail only'!C:C,C10)</f>
        <v>0</v>
      </c>
      <c r="Q10">
        <f>SUMIFS('Fuel and Energy_rail only'!U:U,'Fuel and Energy_rail only'!C:C,C10)</f>
        <v>0</v>
      </c>
      <c r="R10">
        <f>SUMIFS('Fuel and Energy_rail only'!Y:Y,'Fuel and Energy_rail only'!C:C,C10)</f>
        <v>0</v>
      </c>
      <c r="S10">
        <f t="shared" ref="S10:S59" si="5">SUM(P10:Q10)*$C$2</f>
        <v>0</v>
      </c>
      <c r="T10">
        <f t="shared" ref="T10:T59" si="6">R10*$C$3</f>
        <v>0</v>
      </c>
      <c r="U10" s="137">
        <f t="shared" ref="U10:V59" si="7">IFERROR(($L10*$M10*N10)/S10,0)</f>
        <v>0</v>
      </c>
      <c r="V10" s="137">
        <f t="shared" si="7"/>
        <v>0</v>
      </c>
    </row>
    <row r="11" spans="2:22">
      <c r="B11" s="134" t="s">
        <v>1642</v>
      </c>
      <c r="C11" s="134" t="s">
        <v>1562</v>
      </c>
      <c r="D11" t="s">
        <v>1643</v>
      </c>
      <c r="E11">
        <f>SUMIFS('Annual Service Data_rail only'!N:N,'Annual Service Data_rail only'!C:C,C11)</f>
        <v>17</v>
      </c>
      <c r="F11" s="131">
        <f>SUMIFS('Annual Service Data_rail only'!X:X,'Annual Service Data_rail only'!C:C,C11)</f>
        <v>3435184</v>
      </c>
      <c r="G11" s="131">
        <f>SUMIFS('Annual Service Data_rail only'!AT:AT,'Annual Service Data_rail only'!C:C,C11)</f>
        <v>90553779</v>
      </c>
      <c r="H11">
        <f>SUMIFS('Fuel and Energy_rail only'!AD:AD,'Fuel and Energy_rail only'!C:C,C11)</f>
        <v>0</v>
      </c>
      <c r="I11">
        <f>SUMIFS('Fuel and Energy_rail only'!AN:AN,'Fuel and Energy_rail only'!C:C,C11)</f>
        <v>3452467</v>
      </c>
      <c r="J11" s="125">
        <f t="shared" si="2"/>
        <v>0</v>
      </c>
      <c r="K11" s="125">
        <f t="shared" si="2"/>
        <v>1</v>
      </c>
      <c r="L11" s="135">
        <f t="shared" si="0"/>
        <v>26.360677914196152</v>
      </c>
      <c r="M11" s="136">
        <f t="shared" si="1"/>
        <v>202069.64705882352</v>
      </c>
      <c r="N11" s="136">
        <f t="shared" si="3"/>
        <v>0</v>
      </c>
      <c r="O11" s="136">
        <f>K11*E11</f>
        <v>17</v>
      </c>
      <c r="P11">
        <f>SUMIFS('Fuel and Energy_rail only'!M:M,'Fuel and Energy_rail only'!C:C,C11)</f>
        <v>0</v>
      </c>
      <c r="Q11">
        <f>SUMIFS('Fuel and Energy_rail only'!U:U,'Fuel and Energy_rail only'!C:C,C11)</f>
        <v>0</v>
      </c>
      <c r="R11">
        <f>SUMIFS('Fuel and Energy_rail only'!Y:Y,'Fuel and Energy_rail only'!C:C,C11)</f>
        <v>23474521</v>
      </c>
      <c r="S11">
        <f t="shared" si="5"/>
        <v>0</v>
      </c>
      <c r="T11">
        <f t="shared" si="6"/>
        <v>80098352084.940002</v>
      </c>
      <c r="U11" s="137">
        <f t="shared" si="7"/>
        <v>0</v>
      </c>
      <c r="V11" s="137">
        <f t="shared" si="7"/>
        <v>1.1305323598164989E-3</v>
      </c>
    </row>
    <row r="12" spans="2:22">
      <c r="B12" s="134" t="s">
        <v>1644</v>
      </c>
      <c r="C12" s="134" t="s">
        <v>1645</v>
      </c>
      <c r="D12" t="s">
        <v>1646</v>
      </c>
      <c r="E12">
        <f>SUMIFS('Annual Service Data_rail only'!N:N,'Annual Service Data_rail only'!C:C,C12)</f>
        <v>0</v>
      </c>
      <c r="F12" s="131">
        <f>SUMIFS('Annual Service Data_rail only'!X:X,'Annual Service Data_rail only'!C:C,C12)</f>
        <v>0</v>
      </c>
      <c r="G12" s="131">
        <f>SUMIFS('Annual Service Data_rail only'!AT:AT,'Annual Service Data_rail only'!C:C,C12)</f>
        <v>0</v>
      </c>
      <c r="H12">
        <f>SUMIFS('Fuel and Energy_rail only'!AD:AD,'Fuel and Energy_rail only'!C:C,C12)</f>
        <v>0</v>
      </c>
      <c r="I12">
        <f>SUMIFS('Fuel and Energy_rail only'!AN:AN,'Fuel and Energy_rail only'!C:C,C12)</f>
        <v>0</v>
      </c>
      <c r="J12" s="125">
        <f t="shared" si="2"/>
        <v>0</v>
      </c>
      <c r="K12" s="125">
        <f t="shared" si="2"/>
        <v>0</v>
      </c>
      <c r="L12" s="135">
        <f t="shared" si="0"/>
        <v>0</v>
      </c>
      <c r="M12" s="136">
        <f t="shared" si="1"/>
        <v>0</v>
      </c>
      <c r="N12" s="136">
        <f t="shared" si="3"/>
        <v>0</v>
      </c>
      <c r="O12" s="136">
        <f t="shared" si="4"/>
        <v>0</v>
      </c>
      <c r="P12">
        <f>SUMIFS('Fuel and Energy_rail only'!M:M,'Fuel and Energy_rail only'!C:C,C12)</f>
        <v>0</v>
      </c>
      <c r="Q12">
        <f>SUMIFS('Fuel and Energy_rail only'!U:U,'Fuel and Energy_rail only'!C:C,C12)</f>
        <v>0</v>
      </c>
      <c r="R12">
        <f>SUMIFS('Fuel and Energy_rail only'!Y:Y,'Fuel and Energy_rail only'!C:C,C12)</f>
        <v>0</v>
      </c>
      <c r="S12">
        <f t="shared" si="5"/>
        <v>0</v>
      </c>
      <c r="T12">
        <f t="shared" si="6"/>
        <v>0</v>
      </c>
      <c r="U12" s="137">
        <f t="shared" si="7"/>
        <v>0</v>
      </c>
      <c r="V12" s="137">
        <f t="shared" si="7"/>
        <v>0</v>
      </c>
    </row>
    <row r="13" spans="2:22">
      <c r="B13" s="134" t="s">
        <v>1647</v>
      </c>
      <c r="C13" s="134" t="s">
        <v>1450</v>
      </c>
      <c r="D13" t="s">
        <v>1648</v>
      </c>
      <c r="E13">
        <f>SUMIFS('Annual Service Data_rail only'!N:N,'Annual Service Data_rail only'!C:C,C13)</f>
        <v>441</v>
      </c>
      <c r="F13" s="131">
        <f>SUMIFS('Annual Service Data_rail only'!X:X,'Annual Service Data_rail only'!C:C,C13)</f>
        <v>139399021</v>
      </c>
      <c r="G13" s="131">
        <f>SUMIFS('Annual Service Data_rail only'!AT:AT,'Annual Service Data_rail only'!C:C,C13)</f>
        <v>2812423160</v>
      </c>
      <c r="H13">
        <f>SUMIFS('Fuel and Energy_rail only'!AD:AD,'Fuel and Energy_rail only'!C:C,C13)</f>
        <v>5034854</v>
      </c>
      <c r="I13">
        <f>SUMIFS('Fuel and Energy_rail only'!AN:AN,'Fuel and Energy_rail only'!C:C,C13)</f>
        <v>106204511</v>
      </c>
      <c r="J13" s="125">
        <f t="shared" si="2"/>
        <v>4.5261441397116929E-2</v>
      </c>
      <c r="K13" s="125">
        <f t="shared" si="2"/>
        <v>0.95473855860288304</v>
      </c>
      <c r="L13" s="135">
        <f t="shared" si="0"/>
        <v>20.175343699149796</v>
      </c>
      <c r="M13" s="136">
        <f t="shared" si="1"/>
        <v>316097.55328798183</v>
      </c>
      <c r="N13" s="136">
        <f t="shared" si="3"/>
        <v>19.960295656128565</v>
      </c>
      <c r="O13" s="136">
        <f t="shared" si="4"/>
        <v>421.03970434387139</v>
      </c>
      <c r="P13">
        <f>SUMIFS('Fuel and Energy_rail only'!M:M,'Fuel and Energy_rail only'!C:C,C13)</f>
        <v>13666577</v>
      </c>
      <c r="Q13">
        <f>SUMIFS('Fuel and Energy_rail only'!U:U,'Fuel and Energy_rail only'!C:C,C13)</f>
        <v>0</v>
      </c>
      <c r="R13">
        <f>SUMIFS('Fuel and Energy_rail only'!Y:Y,'Fuel and Energy_rail only'!C:C,C13)</f>
        <v>681466893</v>
      </c>
      <c r="S13">
        <f t="shared" si="5"/>
        <v>1895554229900</v>
      </c>
      <c r="T13">
        <f t="shared" si="6"/>
        <v>2325260444281.02</v>
      </c>
      <c r="U13" s="137">
        <f t="shared" si="7"/>
        <v>6.7154146282034786E-5</v>
      </c>
      <c r="V13" s="137">
        <f t="shared" si="7"/>
        <v>1.154764766486198E-3</v>
      </c>
    </row>
    <row r="14" spans="2:22">
      <c r="B14" s="134" t="s">
        <v>1649</v>
      </c>
      <c r="C14" s="134" t="s">
        <v>1480</v>
      </c>
      <c r="D14" t="s">
        <v>1650</v>
      </c>
      <c r="E14">
        <f>SUMIFS('Annual Service Data_rail only'!N:N,'Annual Service Data_rail only'!C:C,C14)</f>
        <v>56</v>
      </c>
      <c r="F14" s="131">
        <f>SUMIFS('Annual Service Data_rail only'!X:X,'Annual Service Data_rail only'!C:C,C14)</f>
        <v>15749288</v>
      </c>
      <c r="G14" s="131">
        <f>SUMIFS('Annual Service Data_rail only'!AT:AT,'Annual Service Data_rail only'!C:C,C14)</f>
        <v>129461494</v>
      </c>
      <c r="H14">
        <f>SUMIFS('Fuel and Energy_rail only'!AD:AD,'Fuel and Energy_rail only'!C:C,C14)</f>
        <v>0</v>
      </c>
      <c r="I14">
        <f>SUMIFS('Fuel and Energy_rail only'!AN:AN,'Fuel and Energy_rail only'!C:C,C14)</f>
        <v>15639401</v>
      </c>
      <c r="J14" s="125">
        <f t="shared" si="2"/>
        <v>0</v>
      </c>
      <c r="K14" s="125">
        <f t="shared" si="2"/>
        <v>1</v>
      </c>
      <c r="L14" s="135">
        <f t="shared" si="0"/>
        <v>8.2201489997516077</v>
      </c>
      <c r="M14" s="136">
        <f t="shared" si="1"/>
        <v>281237.28571428574</v>
      </c>
      <c r="N14" s="136">
        <f t="shared" si="3"/>
        <v>0</v>
      </c>
      <c r="O14" s="136">
        <f t="shared" si="4"/>
        <v>56</v>
      </c>
      <c r="P14">
        <f>SUMIFS('Fuel and Energy_rail only'!M:M,'Fuel and Energy_rail only'!C:C,C14)</f>
        <v>0</v>
      </c>
      <c r="Q14">
        <f>SUMIFS('Fuel and Energy_rail only'!U:U,'Fuel and Energy_rail only'!C:C,C14)</f>
        <v>0</v>
      </c>
      <c r="R14">
        <f>SUMIFS('Fuel and Energy_rail only'!Y:Y,'Fuel and Energy_rail only'!C:C,C14)</f>
        <v>101468806</v>
      </c>
      <c r="S14">
        <f t="shared" si="5"/>
        <v>0</v>
      </c>
      <c r="T14">
        <f t="shared" si="6"/>
        <v>346225771704.83997</v>
      </c>
      <c r="U14" s="137">
        <f t="shared" si="7"/>
        <v>0</v>
      </c>
      <c r="V14" s="137">
        <f t="shared" si="7"/>
        <v>3.739221761641906E-4</v>
      </c>
    </row>
    <row r="15" spans="2:22">
      <c r="B15" s="134" t="s">
        <v>1651</v>
      </c>
      <c r="C15" s="134" t="s">
        <v>1559</v>
      </c>
      <c r="D15" t="s">
        <v>1652</v>
      </c>
      <c r="E15">
        <f>SUMIFS('Annual Service Data_rail only'!N:N,'Annual Service Data_rail only'!C:C,C15)</f>
        <v>5</v>
      </c>
      <c r="F15" s="131">
        <f>SUMIFS('Annual Service Data_rail only'!X:X,'Annual Service Data_rail only'!C:C,C15)</f>
        <v>1717047</v>
      </c>
      <c r="G15" s="131">
        <f>SUMIFS('Annual Service Data_rail only'!AT:AT,'Annual Service Data_rail only'!C:C,C15)</f>
        <v>12884750</v>
      </c>
      <c r="H15">
        <f>SUMIFS('Fuel and Energy_rail only'!AD:AD,'Fuel and Energy_rail only'!C:C,C15)</f>
        <v>724004</v>
      </c>
      <c r="I15">
        <f>SUMIFS('Fuel and Energy_rail only'!AN:AN,'Fuel and Energy_rail only'!C:C,C15)</f>
        <v>0</v>
      </c>
      <c r="J15" s="125">
        <f t="shared" si="2"/>
        <v>1</v>
      </c>
      <c r="K15" s="125">
        <f t="shared" si="2"/>
        <v>0</v>
      </c>
      <c r="L15" s="135">
        <f t="shared" si="0"/>
        <v>7.5040170711692804</v>
      </c>
      <c r="M15" s="136">
        <f t="shared" si="1"/>
        <v>343409.4</v>
      </c>
      <c r="N15" s="136">
        <f t="shared" si="3"/>
        <v>5</v>
      </c>
      <c r="O15" s="136">
        <f t="shared" si="4"/>
        <v>0</v>
      </c>
      <c r="P15">
        <f>SUMIFS('Fuel and Energy_rail only'!M:M,'Fuel and Energy_rail only'!C:C,C15)</f>
        <v>1678569</v>
      </c>
      <c r="Q15">
        <f>SUMIFS('Fuel and Energy_rail only'!U:U,'Fuel and Energy_rail only'!C:C,C15)</f>
        <v>0</v>
      </c>
      <c r="R15">
        <f>SUMIFS('Fuel and Energy_rail only'!Y:Y,'Fuel and Energy_rail only'!C:C,C15)</f>
        <v>0</v>
      </c>
      <c r="S15">
        <f t="shared" si="5"/>
        <v>232817520300</v>
      </c>
      <c r="T15">
        <f t="shared" si="6"/>
        <v>0</v>
      </c>
      <c r="U15" s="137">
        <f t="shared" si="7"/>
        <v>5.5342699223826415E-5</v>
      </c>
      <c r="V15" s="137">
        <f t="shared" si="7"/>
        <v>0</v>
      </c>
    </row>
    <row r="16" spans="2:22">
      <c r="B16" s="134" t="s">
        <v>1653</v>
      </c>
      <c r="C16" s="134" t="s">
        <v>1654</v>
      </c>
      <c r="D16" t="s">
        <v>1655</v>
      </c>
      <c r="E16">
        <f>SUMIFS('Annual Service Data_rail only'!N:N,'Annual Service Data_rail only'!C:C,C16)</f>
        <v>0</v>
      </c>
      <c r="F16" s="131">
        <f>SUMIFS('Annual Service Data_rail only'!X:X,'Annual Service Data_rail only'!C:C,C16)</f>
        <v>0</v>
      </c>
      <c r="G16" s="131">
        <f>SUMIFS('Annual Service Data_rail only'!AT:AT,'Annual Service Data_rail only'!C:C,C16)</f>
        <v>0</v>
      </c>
      <c r="H16">
        <f>SUMIFS('Fuel and Energy_rail only'!AD:AD,'Fuel and Energy_rail only'!C:C,C16)</f>
        <v>0</v>
      </c>
      <c r="I16">
        <f>SUMIFS('Fuel and Energy_rail only'!AN:AN,'Fuel and Energy_rail only'!C:C,C16)</f>
        <v>0</v>
      </c>
      <c r="J16" s="125">
        <f t="shared" si="2"/>
        <v>0</v>
      </c>
      <c r="K16" s="125">
        <f t="shared" si="2"/>
        <v>0</v>
      </c>
      <c r="L16" s="135">
        <f t="shared" si="0"/>
        <v>0</v>
      </c>
      <c r="M16" s="136">
        <f t="shared" si="1"/>
        <v>0</v>
      </c>
      <c r="N16" s="136">
        <f t="shared" si="3"/>
        <v>0</v>
      </c>
      <c r="O16" s="136">
        <f t="shared" si="4"/>
        <v>0</v>
      </c>
      <c r="P16">
        <f>SUMIFS('Fuel and Energy_rail only'!M:M,'Fuel and Energy_rail only'!C:C,C16)</f>
        <v>0</v>
      </c>
      <c r="Q16">
        <f>SUMIFS('Fuel and Energy_rail only'!U:U,'Fuel and Energy_rail only'!C:C,C16)</f>
        <v>0</v>
      </c>
      <c r="R16">
        <f>SUMIFS('Fuel and Energy_rail only'!Y:Y,'Fuel and Energy_rail only'!C:C,C16)</f>
        <v>0</v>
      </c>
      <c r="S16">
        <f t="shared" si="5"/>
        <v>0</v>
      </c>
      <c r="T16">
        <f t="shared" si="6"/>
        <v>0</v>
      </c>
      <c r="U16" s="137">
        <f t="shared" si="7"/>
        <v>0</v>
      </c>
      <c r="V16" s="137">
        <f t="shared" si="7"/>
        <v>0</v>
      </c>
    </row>
    <row r="17" spans="2:22">
      <c r="B17" s="134" t="s">
        <v>1454</v>
      </c>
      <c r="C17" s="134" t="s">
        <v>1454</v>
      </c>
      <c r="D17" t="s">
        <v>1656</v>
      </c>
      <c r="E17">
        <f>SUMIFS('Annual Service Data_rail only'!N:N,'Annual Service Data_rail only'!C:C,C17)</f>
        <v>129</v>
      </c>
      <c r="F17" s="131">
        <f>SUMIFS('Annual Service Data_rail only'!X:X,'Annual Service Data_rail only'!C:C,C17)</f>
        <v>82234530</v>
      </c>
      <c r="G17" s="131">
        <f>SUMIFS('Annual Service Data_rail only'!AT:AT,'Annual Service Data_rail only'!C:C,C17)</f>
        <v>985922295</v>
      </c>
      <c r="H17">
        <f>SUMIFS('Fuel and Energy_rail only'!AD:AD,'Fuel and Energy_rail only'!C:C,C17)</f>
        <v>0</v>
      </c>
      <c r="I17">
        <f>SUMIFS('Fuel and Energy_rail only'!AN:AN,'Fuel and Energy_rail only'!C:C,C17)</f>
        <v>64920984</v>
      </c>
      <c r="J17" s="125">
        <f t="shared" si="2"/>
        <v>0</v>
      </c>
      <c r="K17" s="125">
        <f t="shared" si="2"/>
        <v>1</v>
      </c>
      <c r="L17" s="135">
        <f t="shared" si="0"/>
        <v>11.9891521846115</v>
      </c>
      <c r="M17" s="136">
        <f t="shared" si="1"/>
        <v>637476.97674418602</v>
      </c>
      <c r="N17" s="136">
        <f t="shared" si="3"/>
        <v>0</v>
      </c>
      <c r="O17" s="136">
        <f t="shared" si="4"/>
        <v>129</v>
      </c>
      <c r="P17">
        <f>SUMIFS('Fuel and Energy_rail only'!M:M,'Fuel and Energy_rail only'!C:C,C17)</f>
        <v>0</v>
      </c>
      <c r="Q17">
        <f>SUMIFS('Fuel and Energy_rail only'!U:U,'Fuel and Energy_rail only'!C:C,C17)</f>
        <v>0</v>
      </c>
      <c r="R17">
        <f>SUMIFS('Fuel and Energy_rail only'!Y:Y,'Fuel and Energy_rail only'!C:C,C17)</f>
        <v>576455528</v>
      </c>
      <c r="S17">
        <f t="shared" si="5"/>
        <v>0</v>
      </c>
      <c r="T17">
        <f t="shared" si="6"/>
        <v>1966946965309.9199</v>
      </c>
      <c r="U17" s="137">
        <f t="shared" si="7"/>
        <v>0</v>
      </c>
      <c r="V17" s="137">
        <f t="shared" si="7"/>
        <v>5.0124498137887213E-4</v>
      </c>
    </row>
    <row r="18" spans="2:22">
      <c r="B18" s="134" t="s">
        <v>1657</v>
      </c>
      <c r="C18" s="134" t="s">
        <v>1476</v>
      </c>
      <c r="D18" t="s">
        <v>1658</v>
      </c>
      <c r="E18">
        <f>SUMIFS('Annual Service Data_rail only'!N:N,'Annual Service Data_rail only'!C:C,C18)</f>
        <v>35</v>
      </c>
      <c r="F18" s="131">
        <f>SUMIFS('Annual Service Data_rail only'!X:X,'Annual Service Data_rail only'!C:C,C18)</f>
        <v>11964512</v>
      </c>
      <c r="G18" s="131">
        <f>SUMIFS('Annual Service Data_rail only'!AT:AT,'Annual Service Data_rail only'!C:C,C18)</f>
        <v>203966246</v>
      </c>
      <c r="H18">
        <f>SUMIFS('Fuel and Energy_rail only'!AD:AD,'Fuel and Energy_rail only'!C:C,C18)</f>
        <v>1504489</v>
      </c>
      <c r="I18">
        <f>SUMIFS('Fuel and Energy_rail only'!AN:AN,'Fuel and Energy_rail only'!C:C,C18)</f>
        <v>559892</v>
      </c>
      <c r="J18" s="125">
        <f t="shared" si="2"/>
        <v>0.72878456060194319</v>
      </c>
      <c r="K18" s="125">
        <f t="shared" si="2"/>
        <v>0.27121543939805687</v>
      </c>
      <c r="L18" s="135">
        <f t="shared" si="0"/>
        <v>17.047602610118993</v>
      </c>
      <c r="M18" s="136">
        <f t="shared" si="1"/>
        <v>341843.20000000001</v>
      </c>
      <c r="N18" s="136">
        <f t="shared" si="3"/>
        <v>25.507459621068012</v>
      </c>
      <c r="O18" s="136">
        <f t="shared" si="4"/>
        <v>9.4925403789319898</v>
      </c>
      <c r="P18">
        <f>SUMIFS('Fuel and Energy_rail only'!M:M,'Fuel and Energy_rail only'!C:C,C18)</f>
        <v>3648266</v>
      </c>
      <c r="Q18">
        <f>SUMIFS('Fuel and Energy_rail only'!U:U,'Fuel and Energy_rail only'!C:C,C18)</f>
        <v>0</v>
      </c>
      <c r="R18">
        <f>SUMIFS('Fuel and Energy_rail only'!Y:Y,'Fuel and Energy_rail only'!C:C,C18)</f>
        <v>66954261</v>
      </c>
      <c r="S18">
        <f t="shared" si="5"/>
        <v>506014494200</v>
      </c>
      <c r="T18">
        <f t="shared" si="6"/>
        <v>228457312128.53998</v>
      </c>
      <c r="U18" s="137">
        <f t="shared" si="7"/>
        <v>2.9376125125377459E-4</v>
      </c>
      <c r="V18" s="137">
        <f t="shared" si="7"/>
        <v>2.421406192511685E-4</v>
      </c>
    </row>
    <row r="19" spans="2:22">
      <c r="B19" s="134" t="s">
        <v>1659</v>
      </c>
      <c r="C19" s="134" t="s">
        <v>1498</v>
      </c>
      <c r="D19" t="s">
        <v>1660</v>
      </c>
      <c r="E19">
        <f>SUMIFS('Annual Service Data_rail only'!N:N,'Annual Service Data_rail only'!C:C,C19)</f>
        <v>39</v>
      </c>
      <c r="F19" s="131">
        <f>SUMIFS('Annual Service Data_rail only'!X:X,'Annual Service Data_rail only'!C:C,C19)</f>
        <v>21145309</v>
      </c>
      <c r="G19" s="131">
        <f>SUMIFS('Annual Service Data_rail only'!AT:AT,'Annual Service Data_rail only'!C:C,C19)</f>
        <v>329631085</v>
      </c>
      <c r="H19">
        <f>SUMIFS('Fuel and Energy_rail only'!AD:AD,'Fuel and Energy_rail only'!C:C,C19)</f>
        <v>0</v>
      </c>
      <c r="I19">
        <f>SUMIFS('Fuel and Energy_rail only'!AN:AN,'Fuel and Energy_rail only'!C:C,C19)</f>
        <v>19692749</v>
      </c>
      <c r="J19" s="125">
        <f t="shared" si="2"/>
        <v>0</v>
      </c>
      <c r="K19" s="125">
        <f t="shared" si="2"/>
        <v>1</v>
      </c>
      <c r="L19" s="135">
        <f t="shared" si="0"/>
        <v>15.588851645535186</v>
      </c>
      <c r="M19" s="136">
        <f t="shared" si="1"/>
        <v>542187.41025641025</v>
      </c>
      <c r="N19" s="136">
        <f t="shared" si="3"/>
        <v>0</v>
      </c>
      <c r="O19" s="136">
        <f t="shared" si="4"/>
        <v>39</v>
      </c>
      <c r="P19">
        <f>SUMIFS('Fuel and Energy_rail only'!M:M,'Fuel and Energy_rail only'!C:C,C19)</f>
        <v>0</v>
      </c>
      <c r="Q19">
        <f>SUMIFS('Fuel and Energy_rail only'!U:U,'Fuel and Energy_rail only'!C:C,C19)</f>
        <v>0</v>
      </c>
      <c r="R19">
        <f>SUMIFS('Fuel and Energy_rail only'!Y:Y,'Fuel and Energy_rail only'!C:C,C19)</f>
        <v>83566447</v>
      </c>
      <c r="S19">
        <f t="shared" si="5"/>
        <v>0</v>
      </c>
      <c r="T19">
        <f t="shared" si="6"/>
        <v>285140416466.58002</v>
      </c>
      <c r="U19" s="137">
        <f t="shared" si="7"/>
        <v>0</v>
      </c>
      <c r="V19" s="137">
        <f t="shared" si="7"/>
        <v>1.1560307342071744E-3</v>
      </c>
    </row>
    <row r="20" spans="2:22">
      <c r="B20" s="134" t="s">
        <v>1661</v>
      </c>
      <c r="C20" s="134" t="s">
        <v>1662</v>
      </c>
      <c r="D20" t="s">
        <v>1663</v>
      </c>
      <c r="E20">
        <f>SUMIFS('Annual Service Data_rail only'!N:N,'Annual Service Data_rail only'!C:C,C20)</f>
        <v>0</v>
      </c>
      <c r="F20" s="131">
        <f>SUMIFS('Annual Service Data_rail only'!X:X,'Annual Service Data_rail only'!C:C,C20)</f>
        <v>0</v>
      </c>
      <c r="G20" s="131">
        <f>SUMIFS('Annual Service Data_rail only'!AT:AT,'Annual Service Data_rail only'!C:C,C20)</f>
        <v>0</v>
      </c>
      <c r="H20">
        <f>SUMIFS('Fuel and Energy_rail only'!AD:AD,'Fuel and Energy_rail only'!C:C,C20)</f>
        <v>0</v>
      </c>
      <c r="I20">
        <f>SUMIFS('Fuel and Energy_rail only'!AN:AN,'Fuel and Energy_rail only'!C:C,C20)</f>
        <v>0</v>
      </c>
      <c r="J20" s="125">
        <f t="shared" si="2"/>
        <v>0</v>
      </c>
      <c r="K20" s="125">
        <f t="shared" si="2"/>
        <v>0</v>
      </c>
      <c r="L20" s="135">
        <f t="shared" si="0"/>
        <v>0</v>
      </c>
      <c r="M20" s="136">
        <f t="shared" si="1"/>
        <v>0</v>
      </c>
      <c r="N20" s="136">
        <f t="shared" si="3"/>
        <v>0</v>
      </c>
      <c r="O20" s="136">
        <f t="shared" si="4"/>
        <v>0</v>
      </c>
      <c r="P20">
        <f>SUMIFS('Fuel and Energy_rail only'!M:M,'Fuel and Energy_rail only'!C:C,C20)</f>
        <v>0</v>
      </c>
      <c r="Q20">
        <f>SUMIFS('Fuel and Energy_rail only'!U:U,'Fuel and Energy_rail only'!C:C,C20)</f>
        <v>0</v>
      </c>
      <c r="R20">
        <f>SUMIFS('Fuel and Energy_rail only'!Y:Y,'Fuel and Energy_rail only'!C:C,C20)</f>
        <v>0</v>
      </c>
      <c r="S20">
        <f t="shared" si="5"/>
        <v>0</v>
      </c>
      <c r="T20">
        <f t="shared" si="6"/>
        <v>0</v>
      </c>
      <c r="U20" s="137">
        <f t="shared" si="7"/>
        <v>0</v>
      </c>
      <c r="V20" s="137">
        <f t="shared" si="7"/>
        <v>0</v>
      </c>
    </row>
    <row r="21" spans="2:22">
      <c r="B21" s="134" t="s">
        <v>1664</v>
      </c>
      <c r="C21" s="134" t="s">
        <v>1665</v>
      </c>
      <c r="D21" t="s">
        <v>1666</v>
      </c>
      <c r="E21">
        <f>SUMIFS('Annual Service Data_rail only'!N:N,'Annual Service Data_rail only'!C:C,C21)</f>
        <v>0</v>
      </c>
      <c r="F21" s="131">
        <f>SUMIFS('Annual Service Data_rail only'!X:X,'Annual Service Data_rail only'!C:C,C21)</f>
        <v>0</v>
      </c>
      <c r="G21" s="131">
        <f>SUMIFS('Annual Service Data_rail only'!AT:AT,'Annual Service Data_rail only'!C:C,C21)</f>
        <v>0</v>
      </c>
      <c r="H21">
        <f>SUMIFS('Fuel and Energy_rail only'!AD:AD,'Fuel and Energy_rail only'!C:C,C21)</f>
        <v>0</v>
      </c>
      <c r="I21">
        <f>SUMIFS('Fuel and Energy_rail only'!AN:AN,'Fuel and Energy_rail only'!C:C,C21)</f>
        <v>0</v>
      </c>
      <c r="J21" s="125">
        <f t="shared" si="2"/>
        <v>0</v>
      </c>
      <c r="K21" s="125">
        <f t="shared" si="2"/>
        <v>0</v>
      </c>
      <c r="L21" s="135">
        <f t="shared" si="0"/>
        <v>0</v>
      </c>
      <c r="M21" s="136">
        <f t="shared" si="1"/>
        <v>0</v>
      </c>
      <c r="N21" s="136">
        <f t="shared" si="3"/>
        <v>0</v>
      </c>
      <c r="O21" s="136">
        <f t="shared" si="4"/>
        <v>0</v>
      </c>
      <c r="P21">
        <f>SUMIFS('Fuel and Energy_rail only'!M:M,'Fuel and Energy_rail only'!C:C,C21)</f>
        <v>0</v>
      </c>
      <c r="Q21">
        <f>SUMIFS('Fuel and Energy_rail only'!U:U,'Fuel and Energy_rail only'!C:C,C21)</f>
        <v>0</v>
      </c>
      <c r="R21">
        <f>SUMIFS('Fuel and Energy_rail only'!Y:Y,'Fuel and Energy_rail only'!C:C,C21)</f>
        <v>0</v>
      </c>
      <c r="S21">
        <f t="shared" si="5"/>
        <v>0</v>
      </c>
      <c r="T21">
        <f t="shared" si="6"/>
        <v>0</v>
      </c>
      <c r="U21" s="137">
        <f t="shared" si="7"/>
        <v>0</v>
      </c>
      <c r="V21" s="137">
        <f t="shared" si="7"/>
        <v>0</v>
      </c>
    </row>
    <row r="22" spans="2:22">
      <c r="B22" s="134" t="s">
        <v>1667</v>
      </c>
      <c r="C22" s="134" t="s">
        <v>1457</v>
      </c>
      <c r="D22" t="s">
        <v>1668</v>
      </c>
      <c r="E22">
        <f>SUMIFS('Annual Service Data_rail only'!N:N,'Annual Service Data_rail only'!C:C,C22)</f>
        <v>251</v>
      </c>
      <c r="F22" s="131">
        <f>SUMIFS('Annual Service Data_rail only'!X:X,'Annual Service Data_rail only'!C:C,C22)</f>
        <v>102408279</v>
      </c>
      <c r="G22" s="131">
        <f>SUMIFS('Annual Service Data_rail only'!AT:AT,'Annual Service Data_rail only'!C:C,C22)</f>
        <v>839546950</v>
      </c>
      <c r="H22">
        <f>SUMIFS('Fuel and Energy_rail only'!AD:AD,'Fuel and Energy_rail only'!C:C,C22)</f>
        <v>5202961</v>
      </c>
      <c r="I22">
        <f>SUMIFS('Fuel and Energy_rail only'!AN:AN,'Fuel and Energy_rail only'!C:C,C22)</f>
        <v>66917044</v>
      </c>
      <c r="J22" s="125">
        <f t="shared" si="2"/>
        <v>7.2143103706107617E-2</v>
      </c>
      <c r="K22" s="125">
        <f t="shared" si="2"/>
        <v>0.92785689629389234</v>
      </c>
      <c r="L22" s="135">
        <f t="shared" si="0"/>
        <v>8.1980378754338794</v>
      </c>
      <c r="M22" s="136">
        <f t="shared" si="1"/>
        <v>408001.11155378487</v>
      </c>
      <c r="N22" s="136">
        <f t="shared" si="3"/>
        <v>18.107919030233013</v>
      </c>
      <c r="O22" s="136">
        <f t="shared" si="4"/>
        <v>232.89208096976697</v>
      </c>
      <c r="P22">
        <f>SUMIFS('Fuel and Energy_rail only'!M:M,'Fuel and Energy_rail only'!C:C,C22)</f>
        <v>36200086</v>
      </c>
      <c r="Q22">
        <f>SUMIFS('Fuel and Energy_rail only'!U:U,'Fuel and Energy_rail only'!C:C,C22)</f>
        <v>0</v>
      </c>
      <c r="R22">
        <f>SUMIFS('Fuel and Energy_rail only'!Y:Y,'Fuel and Energy_rail only'!C:C,C22)</f>
        <v>422807803</v>
      </c>
      <c r="S22">
        <f t="shared" si="5"/>
        <v>5020951928200</v>
      </c>
      <c r="T22">
        <f t="shared" si="6"/>
        <v>1442679416928.4199</v>
      </c>
      <c r="U22" s="137">
        <f t="shared" si="7"/>
        <v>1.2062956097990302E-5</v>
      </c>
      <c r="V22" s="137">
        <f t="shared" si="7"/>
        <v>5.399532412949464E-4</v>
      </c>
    </row>
    <row r="23" spans="2:22">
      <c r="B23" s="134" t="s">
        <v>1669</v>
      </c>
      <c r="C23" s="134" t="s">
        <v>1543</v>
      </c>
      <c r="D23" t="s">
        <v>1670</v>
      </c>
      <c r="E23">
        <f>SUMIFS('Annual Service Data_rail only'!N:N,'Annual Service Data_rail only'!C:C,C23)</f>
        <v>17</v>
      </c>
      <c r="F23" s="131">
        <f>SUMIFS('Annual Service Data_rail only'!X:X,'Annual Service Data_rail only'!C:C,C23)</f>
        <v>3988838</v>
      </c>
      <c r="G23" s="131">
        <f>SUMIFS('Annual Service Data_rail only'!AT:AT,'Annual Service Data_rail only'!C:C,C23)</f>
        <v>32836617</v>
      </c>
      <c r="H23">
        <f>SUMIFS('Fuel and Energy_rail only'!AD:AD,'Fuel and Energy_rail only'!C:C,C23)</f>
        <v>0</v>
      </c>
      <c r="I23">
        <f>SUMIFS('Fuel and Energy_rail only'!AN:AN,'Fuel and Energy_rail only'!C:C,C23)</f>
        <v>3510093</v>
      </c>
      <c r="J23" s="125">
        <f t="shared" si="2"/>
        <v>0</v>
      </c>
      <c r="K23" s="125">
        <f t="shared" si="2"/>
        <v>1</v>
      </c>
      <c r="L23" s="135">
        <f t="shared" si="0"/>
        <v>8.2321259975962917</v>
      </c>
      <c r="M23" s="136">
        <f t="shared" si="1"/>
        <v>234637.5294117647</v>
      </c>
      <c r="N23" s="136">
        <f t="shared" si="3"/>
        <v>0</v>
      </c>
      <c r="O23" s="136">
        <f t="shared" si="4"/>
        <v>17</v>
      </c>
      <c r="P23">
        <f>SUMIFS('Fuel and Energy_rail only'!M:M,'Fuel and Energy_rail only'!C:C,C23)</f>
        <v>0</v>
      </c>
      <c r="Q23">
        <f>SUMIFS('Fuel and Energy_rail only'!U:U,'Fuel and Energy_rail only'!C:C,C23)</f>
        <v>0</v>
      </c>
      <c r="R23">
        <f>SUMIFS('Fuel and Energy_rail only'!Y:Y,'Fuel and Energy_rail only'!C:C,C23)</f>
        <v>18158000</v>
      </c>
      <c r="S23">
        <f t="shared" si="5"/>
        <v>0</v>
      </c>
      <c r="T23">
        <f t="shared" si="6"/>
        <v>61957638120</v>
      </c>
      <c r="U23" s="137">
        <f t="shared" si="7"/>
        <v>0</v>
      </c>
      <c r="V23" s="137">
        <f t="shared" si="7"/>
        <v>5.2998497031797435E-4</v>
      </c>
    </row>
    <row r="24" spans="2:22">
      <c r="B24" s="134" t="s">
        <v>1671</v>
      </c>
      <c r="C24" s="134" t="s">
        <v>1672</v>
      </c>
      <c r="D24" t="s">
        <v>1673</v>
      </c>
      <c r="E24">
        <f>SUMIFS('Annual Service Data_rail only'!N:N,'Annual Service Data_rail only'!C:C,C24)</f>
        <v>0</v>
      </c>
      <c r="F24" s="131">
        <f>SUMIFS('Annual Service Data_rail only'!X:X,'Annual Service Data_rail only'!C:C,C24)</f>
        <v>0</v>
      </c>
      <c r="G24" s="131">
        <f>SUMIFS('Annual Service Data_rail only'!AT:AT,'Annual Service Data_rail only'!C:C,C24)</f>
        <v>0</v>
      </c>
      <c r="H24">
        <f>SUMIFS('Fuel and Energy_rail only'!AD:AD,'Fuel and Energy_rail only'!C:C,C24)</f>
        <v>0</v>
      </c>
      <c r="I24">
        <f>SUMIFS('Fuel and Energy_rail only'!AN:AN,'Fuel and Energy_rail only'!C:C,C24)</f>
        <v>0</v>
      </c>
      <c r="J24" s="125">
        <f t="shared" si="2"/>
        <v>0</v>
      </c>
      <c r="K24" s="125">
        <f t="shared" si="2"/>
        <v>0</v>
      </c>
      <c r="L24" s="135">
        <f t="shared" si="0"/>
        <v>0</v>
      </c>
      <c r="M24" s="136">
        <f t="shared" si="1"/>
        <v>0</v>
      </c>
      <c r="N24" s="136">
        <f t="shared" si="3"/>
        <v>0</v>
      </c>
      <c r="O24" s="136">
        <f t="shared" si="4"/>
        <v>0</v>
      </c>
      <c r="P24">
        <f>SUMIFS('Fuel and Energy_rail only'!M:M,'Fuel and Energy_rail only'!C:C,C24)</f>
        <v>0</v>
      </c>
      <c r="Q24">
        <f>SUMIFS('Fuel and Energy_rail only'!U:U,'Fuel and Energy_rail only'!C:C,C24)</f>
        <v>0</v>
      </c>
      <c r="R24">
        <f>SUMIFS('Fuel and Energy_rail only'!Y:Y,'Fuel and Energy_rail only'!C:C,C24)</f>
        <v>0</v>
      </c>
      <c r="S24">
        <f t="shared" si="5"/>
        <v>0</v>
      </c>
      <c r="T24">
        <f t="shared" si="6"/>
        <v>0</v>
      </c>
      <c r="U24" s="137">
        <f t="shared" si="7"/>
        <v>0</v>
      </c>
      <c r="V24" s="137">
        <f t="shared" si="7"/>
        <v>0</v>
      </c>
    </row>
    <row r="25" spans="2:22">
      <c r="B25" s="134" t="s">
        <v>1674</v>
      </c>
      <c r="C25" s="134" t="s">
        <v>1675</v>
      </c>
      <c r="D25" t="s">
        <v>1676</v>
      </c>
      <c r="E25">
        <f>SUMIFS('Annual Service Data_rail only'!N:N,'Annual Service Data_rail only'!C:C,C25)</f>
        <v>0</v>
      </c>
      <c r="F25" s="131">
        <f>SUMIFS('Annual Service Data_rail only'!X:X,'Annual Service Data_rail only'!C:C,C25)</f>
        <v>0</v>
      </c>
      <c r="G25" s="131">
        <f>SUMIFS('Annual Service Data_rail only'!AT:AT,'Annual Service Data_rail only'!C:C,C25)</f>
        <v>0</v>
      </c>
      <c r="H25">
        <f>SUMIFS('Fuel and Energy_rail only'!AD:AD,'Fuel and Energy_rail only'!C:C,C25)</f>
        <v>0</v>
      </c>
      <c r="I25">
        <f>SUMIFS('Fuel and Energy_rail only'!AN:AN,'Fuel and Energy_rail only'!C:C,C25)</f>
        <v>0</v>
      </c>
      <c r="J25" s="125">
        <f t="shared" si="2"/>
        <v>0</v>
      </c>
      <c r="K25" s="125">
        <f t="shared" si="2"/>
        <v>0</v>
      </c>
      <c r="L25" s="135">
        <f t="shared" si="0"/>
        <v>0</v>
      </c>
      <c r="M25" s="136">
        <f t="shared" si="1"/>
        <v>0</v>
      </c>
      <c r="N25" s="136">
        <f t="shared" si="3"/>
        <v>0</v>
      </c>
      <c r="O25" s="136">
        <f t="shared" si="4"/>
        <v>0</v>
      </c>
      <c r="P25">
        <f>SUMIFS('Fuel and Energy_rail only'!M:M,'Fuel and Energy_rail only'!C:C,C25)</f>
        <v>0</v>
      </c>
      <c r="Q25">
        <f>SUMIFS('Fuel and Energy_rail only'!U:U,'Fuel and Energy_rail only'!C:C,C25)</f>
        <v>0</v>
      </c>
      <c r="R25">
        <f>SUMIFS('Fuel and Energy_rail only'!Y:Y,'Fuel and Energy_rail only'!C:C,C25)</f>
        <v>0</v>
      </c>
      <c r="S25">
        <f t="shared" si="5"/>
        <v>0</v>
      </c>
      <c r="T25">
        <f t="shared" si="6"/>
        <v>0</v>
      </c>
      <c r="U25" s="137">
        <f t="shared" si="7"/>
        <v>0</v>
      </c>
      <c r="V25" s="137">
        <f t="shared" si="7"/>
        <v>0</v>
      </c>
    </row>
    <row r="26" spans="2:22">
      <c r="B26" s="134" t="s">
        <v>1677</v>
      </c>
      <c r="C26" s="134" t="s">
        <v>1678</v>
      </c>
      <c r="D26" t="s">
        <v>1679</v>
      </c>
      <c r="E26">
        <f>SUMIFS('Annual Service Data_rail only'!N:N,'Annual Service Data_rail only'!C:C,C26)</f>
        <v>0</v>
      </c>
      <c r="F26" s="131">
        <f>SUMIFS('Annual Service Data_rail only'!X:X,'Annual Service Data_rail only'!C:C,C26)</f>
        <v>0</v>
      </c>
      <c r="G26" s="131">
        <f>SUMIFS('Annual Service Data_rail only'!AT:AT,'Annual Service Data_rail only'!C:C,C26)</f>
        <v>0</v>
      </c>
      <c r="H26">
        <f>SUMIFS('Fuel and Energy_rail only'!AD:AD,'Fuel and Energy_rail only'!C:C,C26)</f>
        <v>0</v>
      </c>
      <c r="I26">
        <f>SUMIFS('Fuel and Energy_rail only'!AN:AN,'Fuel and Energy_rail only'!C:C,C26)</f>
        <v>0</v>
      </c>
      <c r="J26" s="125">
        <f t="shared" si="2"/>
        <v>0</v>
      </c>
      <c r="K26" s="125">
        <f t="shared" si="2"/>
        <v>0</v>
      </c>
      <c r="L26" s="135">
        <f t="shared" si="0"/>
        <v>0</v>
      </c>
      <c r="M26" s="136">
        <f t="shared" si="1"/>
        <v>0</v>
      </c>
      <c r="N26" s="136">
        <f t="shared" si="3"/>
        <v>0</v>
      </c>
      <c r="O26" s="136">
        <f t="shared" si="4"/>
        <v>0</v>
      </c>
      <c r="P26">
        <f>SUMIFS('Fuel and Energy_rail only'!M:M,'Fuel and Energy_rail only'!C:C,C26)</f>
        <v>0</v>
      </c>
      <c r="Q26">
        <f>SUMIFS('Fuel and Energy_rail only'!U:U,'Fuel and Energy_rail only'!C:C,C26)</f>
        <v>0</v>
      </c>
      <c r="R26">
        <f>SUMIFS('Fuel and Energy_rail only'!Y:Y,'Fuel and Energy_rail only'!C:C,C26)</f>
        <v>0</v>
      </c>
      <c r="S26">
        <f t="shared" si="5"/>
        <v>0</v>
      </c>
      <c r="T26">
        <f t="shared" si="6"/>
        <v>0</v>
      </c>
      <c r="U26" s="137">
        <f t="shared" si="7"/>
        <v>0</v>
      </c>
      <c r="V26" s="137">
        <f t="shared" si="7"/>
        <v>0</v>
      </c>
    </row>
    <row r="27" spans="2:22">
      <c r="B27" s="134" t="s">
        <v>1680</v>
      </c>
      <c r="C27" s="134" t="s">
        <v>1681</v>
      </c>
      <c r="D27" t="s">
        <v>1682</v>
      </c>
      <c r="E27">
        <f>SUMIFS('Annual Service Data_rail only'!N:N,'Annual Service Data_rail only'!C:C,C27)</f>
        <v>0</v>
      </c>
      <c r="F27" s="131">
        <f>SUMIFS('Annual Service Data_rail only'!X:X,'Annual Service Data_rail only'!C:C,C27)</f>
        <v>0</v>
      </c>
      <c r="G27" s="131">
        <f>SUMIFS('Annual Service Data_rail only'!AT:AT,'Annual Service Data_rail only'!C:C,C27)</f>
        <v>0</v>
      </c>
      <c r="H27">
        <f>SUMIFS('Fuel and Energy_rail only'!AD:AD,'Fuel and Energy_rail only'!C:C,C27)</f>
        <v>0</v>
      </c>
      <c r="I27">
        <f>SUMIFS('Fuel and Energy_rail only'!AN:AN,'Fuel and Energy_rail only'!C:C,C27)</f>
        <v>0</v>
      </c>
      <c r="J27" s="125">
        <f t="shared" si="2"/>
        <v>0</v>
      </c>
      <c r="K27" s="125">
        <f t="shared" si="2"/>
        <v>0</v>
      </c>
      <c r="L27" s="135">
        <f t="shared" si="0"/>
        <v>0</v>
      </c>
      <c r="M27" s="136">
        <f t="shared" si="1"/>
        <v>0</v>
      </c>
      <c r="N27" s="136">
        <f t="shared" si="3"/>
        <v>0</v>
      </c>
      <c r="O27" s="136">
        <f t="shared" si="4"/>
        <v>0</v>
      </c>
      <c r="P27">
        <f>SUMIFS('Fuel and Energy_rail only'!M:M,'Fuel and Energy_rail only'!C:C,C27)</f>
        <v>0</v>
      </c>
      <c r="Q27">
        <f>SUMIFS('Fuel and Energy_rail only'!U:U,'Fuel and Energy_rail only'!C:C,C27)</f>
        <v>0</v>
      </c>
      <c r="R27">
        <f>SUMIFS('Fuel and Energy_rail only'!Y:Y,'Fuel and Energy_rail only'!C:C,C27)</f>
        <v>0</v>
      </c>
      <c r="S27">
        <f t="shared" si="5"/>
        <v>0</v>
      </c>
      <c r="T27">
        <f t="shared" si="6"/>
        <v>0</v>
      </c>
      <c r="U27" s="137">
        <f t="shared" si="7"/>
        <v>0</v>
      </c>
      <c r="V27" s="137">
        <f t="shared" si="7"/>
        <v>0</v>
      </c>
    </row>
    <row r="28" spans="2:22">
      <c r="B28" s="134" t="s">
        <v>1683</v>
      </c>
      <c r="C28" s="134" t="s">
        <v>1568</v>
      </c>
      <c r="D28" t="s">
        <v>1684</v>
      </c>
      <c r="E28">
        <f>SUMIFS('Annual Service Data_rail only'!N:N,'Annual Service Data_rail only'!C:C,C28)</f>
        <v>3</v>
      </c>
      <c r="F28" s="131">
        <f>SUMIFS('Annual Service Data_rail only'!X:X,'Annual Service Data_rail only'!C:C,C28)</f>
        <v>1974842</v>
      </c>
      <c r="G28" s="131">
        <f>SUMIFS('Annual Service Data_rail only'!AT:AT,'Annual Service Data_rail only'!C:C,C28)</f>
        <v>33416609</v>
      </c>
      <c r="H28">
        <f>SUMIFS('Fuel and Energy_rail only'!AD:AD,'Fuel and Energy_rail only'!C:C,C28)</f>
        <v>0</v>
      </c>
      <c r="I28">
        <f>SUMIFS('Fuel and Energy_rail only'!AN:AN,'Fuel and Energy_rail only'!C:C,C28)</f>
        <v>0</v>
      </c>
      <c r="J28" s="125">
        <f t="shared" si="2"/>
        <v>0</v>
      </c>
      <c r="K28" s="125">
        <f t="shared" si="2"/>
        <v>0</v>
      </c>
      <c r="L28" s="135">
        <f t="shared" si="0"/>
        <v>16.921155717773878</v>
      </c>
      <c r="M28" s="136">
        <f t="shared" si="1"/>
        <v>658280.66666666663</v>
      </c>
      <c r="N28" s="136">
        <f t="shared" si="3"/>
        <v>0</v>
      </c>
      <c r="O28" s="136">
        <f t="shared" si="4"/>
        <v>0</v>
      </c>
      <c r="P28">
        <f>SUMIFS('Fuel and Energy_rail only'!M:M,'Fuel and Energy_rail only'!C:C,C28)</f>
        <v>628302</v>
      </c>
      <c r="Q28">
        <f>SUMIFS('Fuel and Energy_rail only'!U:U,'Fuel and Energy_rail only'!C:C,C28)</f>
        <v>0</v>
      </c>
      <c r="R28">
        <f>SUMIFS('Fuel and Energy_rail only'!Y:Y,'Fuel and Energy_rail only'!C:C,C28)</f>
        <v>0</v>
      </c>
      <c r="S28">
        <f t="shared" si="5"/>
        <v>87145487400</v>
      </c>
      <c r="T28">
        <f t="shared" si="6"/>
        <v>0</v>
      </c>
      <c r="U28" s="137">
        <f t="shared" si="7"/>
        <v>0</v>
      </c>
      <c r="V28" s="137">
        <f t="shared" si="7"/>
        <v>0</v>
      </c>
    </row>
    <row r="29" spans="2:22">
      <c r="B29" s="134" t="s">
        <v>1685</v>
      </c>
      <c r="C29" s="134" t="s">
        <v>1472</v>
      </c>
      <c r="D29" t="s">
        <v>1686</v>
      </c>
      <c r="E29">
        <f>SUMIFS('Annual Service Data_rail only'!N:N,'Annual Service Data_rail only'!C:C,C29)</f>
        <v>55</v>
      </c>
      <c r="F29" s="131">
        <f>SUMIFS('Annual Service Data_rail only'!X:X,'Annual Service Data_rail only'!C:C,C29)</f>
        <v>13332723</v>
      </c>
      <c r="G29" s="131">
        <f>SUMIFS('Annual Service Data_rail only'!AT:AT,'Annual Service Data_rail only'!C:C,C29)</f>
        <v>252169120</v>
      </c>
      <c r="H29">
        <f>SUMIFS('Fuel and Energy_rail only'!AD:AD,'Fuel and Energy_rail only'!C:C,C29)</f>
        <v>764117</v>
      </c>
      <c r="I29">
        <f>SUMIFS('Fuel and Energy_rail only'!AN:AN,'Fuel and Energy_rail only'!C:C,C29)</f>
        <v>2843642</v>
      </c>
      <c r="J29" s="125">
        <f t="shared" si="2"/>
        <v>0.21179823818608726</v>
      </c>
      <c r="K29" s="125">
        <f t="shared" si="2"/>
        <v>0.78820176181391277</v>
      </c>
      <c r="L29" s="135">
        <f t="shared" si="0"/>
        <v>18.913549767740619</v>
      </c>
      <c r="M29" s="136">
        <f t="shared" si="1"/>
        <v>242413.14545454545</v>
      </c>
      <c r="N29" s="136">
        <f t="shared" si="3"/>
        <v>11.648903100234799</v>
      </c>
      <c r="O29" s="136">
        <f t="shared" si="4"/>
        <v>43.351096899765203</v>
      </c>
      <c r="P29">
        <f>SUMIFS('Fuel and Energy_rail only'!M:M,'Fuel and Energy_rail only'!C:C,C29)</f>
        <v>3709703</v>
      </c>
      <c r="Q29">
        <f>SUMIFS('Fuel and Energy_rail only'!U:U,'Fuel and Energy_rail only'!C:C,C29)</f>
        <v>0</v>
      </c>
      <c r="R29">
        <f>SUMIFS('Fuel and Energy_rail only'!Y:Y,'Fuel and Energy_rail only'!C:C,C29)</f>
        <v>91224966</v>
      </c>
      <c r="S29">
        <f t="shared" si="5"/>
        <v>514535806100</v>
      </c>
      <c r="T29">
        <f t="shared" si="6"/>
        <v>311272355487.23999</v>
      </c>
      <c r="U29" s="137">
        <f t="shared" si="7"/>
        <v>1.0380030837067924E-4</v>
      </c>
      <c r="V29" s="137">
        <f t="shared" si="7"/>
        <v>6.3854094703637049E-4</v>
      </c>
    </row>
    <row r="30" spans="2:22">
      <c r="B30" s="134" t="s">
        <v>1687</v>
      </c>
      <c r="C30" s="134" t="s">
        <v>1462</v>
      </c>
      <c r="D30" t="s">
        <v>1688</v>
      </c>
      <c r="E30">
        <f>SUMIFS('Annual Service Data_rail only'!N:N,'Annual Service Data_rail only'!C:C,C30)</f>
        <v>209</v>
      </c>
      <c r="F30" s="131">
        <f>SUMIFS('Annual Service Data_rail only'!X:X,'Annual Service Data_rail only'!C:C,C30)</f>
        <v>50817429</v>
      </c>
      <c r="G30" s="131">
        <f>SUMIFS('Annual Service Data_rail only'!AT:AT,'Annual Service Data_rail only'!C:C,C30)</f>
        <v>1018614837</v>
      </c>
      <c r="H30">
        <f>SUMIFS('Fuel and Energy_rail only'!AD:AD,'Fuel and Energy_rail only'!C:C,C30)</f>
        <v>4339139</v>
      </c>
      <c r="I30">
        <f>SUMIFS('Fuel and Energy_rail only'!AN:AN,'Fuel and Energy_rail only'!C:C,C30)</f>
        <v>27601749</v>
      </c>
      <c r="J30" s="125">
        <f t="shared" si="2"/>
        <v>0.13584904089078551</v>
      </c>
      <c r="K30" s="125">
        <f t="shared" si="2"/>
        <v>0.86415095910921447</v>
      </c>
      <c r="L30" s="135">
        <f t="shared" si="0"/>
        <v>20.044596057781671</v>
      </c>
      <c r="M30" s="136">
        <f t="shared" si="1"/>
        <v>243145.59330143541</v>
      </c>
      <c r="N30" s="136">
        <f t="shared" si="3"/>
        <v>28.39244954617417</v>
      </c>
      <c r="O30" s="136">
        <f t="shared" si="4"/>
        <v>180.60755045382584</v>
      </c>
      <c r="P30">
        <f>SUMIFS('Fuel and Energy_rail only'!M:M,'Fuel and Energy_rail only'!C:C,C30)</f>
        <v>13360985</v>
      </c>
      <c r="Q30">
        <f>SUMIFS('Fuel and Energy_rail only'!U:U,'Fuel and Energy_rail only'!C:C,C30)</f>
        <v>0</v>
      </c>
      <c r="R30">
        <f>SUMIFS('Fuel and Energy_rail only'!Y:Y,'Fuel and Energy_rail only'!C:C,C30)</f>
        <v>225210199</v>
      </c>
      <c r="S30">
        <f t="shared" si="5"/>
        <v>1853168619500</v>
      </c>
      <c r="T30">
        <f t="shared" si="6"/>
        <v>768448728415.85999</v>
      </c>
      <c r="U30" s="137">
        <f t="shared" si="7"/>
        <v>7.4670943155140035E-5</v>
      </c>
      <c r="V30" s="137">
        <f t="shared" si="7"/>
        <v>1.1454726331202542E-3</v>
      </c>
    </row>
    <row r="31" spans="2:22">
      <c r="B31" s="134" t="s">
        <v>1689</v>
      </c>
      <c r="C31" s="134" t="s">
        <v>1690</v>
      </c>
      <c r="D31" t="s">
        <v>1691</v>
      </c>
      <c r="E31">
        <f>SUMIFS('Annual Service Data_rail only'!N:N,'Annual Service Data_rail only'!C:C,C31)</f>
        <v>0</v>
      </c>
      <c r="F31" s="131">
        <f>SUMIFS('Annual Service Data_rail only'!X:X,'Annual Service Data_rail only'!C:C,C31)</f>
        <v>0</v>
      </c>
      <c r="G31" s="131">
        <f>SUMIFS('Annual Service Data_rail only'!AT:AT,'Annual Service Data_rail only'!C:C,C31)</f>
        <v>0</v>
      </c>
      <c r="H31">
        <f>SUMIFS('Fuel and Energy_rail only'!AD:AD,'Fuel and Energy_rail only'!C:C,C31)</f>
        <v>0</v>
      </c>
      <c r="I31">
        <f>SUMIFS('Fuel and Energy_rail only'!AN:AN,'Fuel and Energy_rail only'!C:C,C31)</f>
        <v>0</v>
      </c>
      <c r="J31" s="125">
        <f t="shared" si="2"/>
        <v>0</v>
      </c>
      <c r="K31" s="125">
        <f t="shared" si="2"/>
        <v>0</v>
      </c>
      <c r="L31" s="135">
        <f t="shared" si="0"/>
        <v>0</v>
      </c>
      <c r="M31" s="136">
        <f t="shared" si="1"/>
        <v>0</v>
      </c>
      <c r="N31" s="136">
        <f t="shared" si="3"/>
        <v>0</v>
      </c>
      <c r="O31" s="136">
        <f t="shared" si="4"/>
        <v>0</v>
      </c>
      <c r="P31">
        <f>SUMIFS('Fuel and Energy_rail only'!M:M,'Fuel and Energy_rail only'!C:C,C31)</f>
        <v>0</v>
      </c>
      <c r="Q31">
        <f>SUMIFS('Fuel and Energy_rail only'!U:U,'Fuel and Energy_rail only'!C:C,C31)</f>
        <v>0</v>
      </c>
      <c r="R31">
        <f>SUMIFS('Fuel and Energy_rail only'!Y:Y,'Fuel and Energy_rail only'!C:C,C31)</f>
        <v>0</v>
      </c>
      <c r="S31">
        <f t="shared" si="5"/>
        <v>0</v>
      </c>
      <c r="T31">
        <f t="shared" si="6"/>
        <v>0</v>
      </c>
      <c r="U31" s="137">
        <f t="shared" si="7"/>
        <v>0</v>
      </c>
      <c r="V31" s="137">
        <f t="shared" si="7"/>
        <v>0</v>
      </c>
    </row>
    <row r="32" spans="2:22">
      <c r="B32" s="134" t="s">
        <v>1692</v>
      </c>
      <c r="C32" s="134" t="s">
        <v>1505</v>
      </c>
      <c r="D32" t="s">
        <v>1693</v>
      </c>
      <c r="E32">
        <f>SUMIFS('Annual Service Data_rail only'!N:N,'Annual Service Data_rail only'!C:C,C32)</f>
        <v>27</v>
      </c>
      <c r="F32" s="131">
        <f>SUMIFS('Annual Service Data_rail only'!X:X,'Annual Service Data_rail only'!C:C,C32)</f>
        <v>4386285</v>
      </c>
      <c r="G32" s="131">
        <f>SUMIFS('Annual Service Data_rail only'!AT:AT,'Annual Service Data_rail only'!C:C,C32)</f>
        <v>44505006</v>
      </c>
      <c r="H32">
        <f>SUMIFS('Fuel and Energy_rail only'!AD:AD,'Fuel and Energy_rail only'!C:C,C32)</f>
        <v>63438</v>
      </c>
      <c r="I32">
        <f>SUMIFS('Fuel and Energy_rail only'!AN:AN,'Fuel and Energy_rail only'!C:C,C32)</f>
        <v>4153269</v>
      </c>
      <c r="J32" s="125">
        <f t="shared" si="2"/>
        <v>1.5044441076887722E-2</v>
      </c>
      <c r="K32" s="125">
        <f t="shared" si="2"/>
        <v>0.98495555892311226</v>
      </c>
      <c r="L32" s="135">
        <f t="shared" si="0"/>
        <v>10.14640088366351</v>
      </c>
      <c r="M32" s="136">
        <f t="shared" si="1"/>
        <v>162455</v>
      </c>
      <c r="N32" s="136">
        <f t="shared" si="3"/>
        <v>0.40619990907596848</v>
      </c>
      <c r="O32" s="136">
        <f t="shared" si="4"/>
        <v>26.593800090924031</v>
      </c>
      <c r="P32">
        <f>SUMIFS('Fuel and Energy_rail only'!M:M,'Fuel and Energy_rail only'!C:C,C32)</f>
        <v>213780</v>
      </c>
      <c r="Q32">
        <f>SUMIFS('Fuel and Energy_rail only'!U:U,'Fuel and Energy_rail only'!C:C,C32)</f>
        <v>0</v>
      </c>
      <c r="R32">
        <f>SUMIFS('Fuel and Energy_rail only'!Y:Y,'Fuel and Energy_rail only'!C:C,C32)</f>
        <v>31871652</v>
      </c>
      <c r="S32">
        <f t="shared" si="5"/>
        <v>29651286000</v>
      </c>
      <c r="T32">
        <f t="shared" si="6"/>
        <v>108750538655.28</v>
      </c>
      <c r="U32" s="137">
        <f t="shared" si="7"/>
        <v>2.2580907296686373E-5</v>
      </c>
      <c r="V32" s="137">
        <f t="shared" si="7"/>
        <v>4.030826293059302E-4</v>
      </c>
    </row>
    <row r="33" spans="2:22">
      <c r="B33" s="134" t="s">
        <v>1694</v>
      </c>
      <c r="C33" s="134" t="s">
        <v>1695</v>
      </c>
      <c r="D33" t="s">
        <v>1696</v>
      </c>
      <c r="E33">
        <f>SUMIFS('Annual Service Data_rail only'!N:N,'Annual Service Data_rail only'!C:C,C33)</f>
        <v>0</v>
      </c>
      <c r="F33" s="131">
        <f>SUMIFS('Annual Service Data_rail only'!X:X,'Annual Service Data_rail only'!C:C,C33)</f>
        <v>0</v>
      </c>
      <c r="G33" s="131">
        <f>SUMIFS('Annual Service Data_rail only'!AT:AT,'Annual Service Data_rail only'!C:C,C33)</f>
        <v>0</v>
      </c>
      <c r="H33">
        <f>SUMIFS('Fuel and Energy_rail only'!AD:AD,'Fuel and Energy_rail only'!C:C,C33)</f>
        <v>0</v>
      </c>
      <c r="I33">
        <f>SUMIFS('Fuel and Energy_rail only'!AN:AN,'Fuel and Energy_rail only'!C:C,C33)</f>
        <v>0</v>
      </c>
      <c r="J33" s="125">
        <f t="shared" si="2"/>
        <v>0</v>
      </c>
      <c r="K33" s="125">
        <f t="shared" si="2"/>
        <v>0</v>
      </c>
      <c r="L33" s="135">
        <f t="shared" si="0"/>
        <v>0</v>
      </c>
      <c r="M33" s="136">
        <f t="shared" si="1"/>
        <v>0</v>
      </c>
      <c r="N33" s="136">
        <f t="shared" si="3"/>
        <v>0</v>
      </c>
      <c r="O33" s="136">
        <f t="shared" si="4"/>
        <v>0</v>
      </c>
      <c r="P33">
        <f>SUMIFS('Fuel and Energy_rail only'!M:M,'Fuel and Energy_rail only'!C:C,C33)</f>
        <v>0</v>
      </c>
      <c r="Q33">
        <f>SUMIFS('Fuel and Energy_rail only'!U:U,'Fuel and Energy_rail only'!C:C,C33)</f>
        <v>0</v>
      </c>
      <c r="R33">
        <f>SUMIFS('Fuel and Energy_rail only'!Y:Y,'Fuel and Energy_rail only'!C:C,C33)</f>
        <v>0</v>
      </c>
      <c r="S33">
        <f t="shared" si="5"/>
        <v>0</v>
      </c>
      <c r="T33">
        <f t="shared" si="6"/>
        <v>0</v>
      </c>
      <c r="U33" s="137">
        <f t="shared" si="7"/>
        <v>0</v>
      </c>
      <c r="V33" s="137">
        <f t="shared" si="7"/>
        <v>0</v>
      </c>
    </row>
    <row r="34" spans="2:22">
      <c r="B34" s="134" t="s">
        <v>1697</v>
      </c>
      <c r="C34" s="134" t="s">
        <v>1512</v>
      </c>
      <c r="D34" t="s">
        <v>1698</v>
      </c>
      <c r="E34">
        <f>SUMIFS('Annual Service Data_rail only'!N:N,'Annual Service Data_rail only'!C:C,C34)</f>
        <v>25</v>
      </c>
      <c r="F34" s="131">
        <f>SUMIFS('Annual Service Data_rail only'!X:X,'Annual Service Data_rail only'!C:C,C34)</f>
        <v>5905439</v>
      </c>
      <c r="G34" s="131">
        <f>SUMIFS('Annual Service Data_rail only'!AT:AT,'Annual Service Data_rail only'!C:C,C34)</f>
        <v>70933375</v>
      </c>
      <c r="H34">
        <f>SUMIFS('Fuel and Energy_rail only'!AD:AD,'Fuel and Energy_rail only'!C:C,C34)</f>
        <v>0</v>
      </c>
      <c r="I34">
        <f>SUMIFS('Fuel and Energy_rail only'!AN:AN,'Fuel and Energy_rail only'!C:C,C34)</f>
        <v>5934378</v>
      </c>
      <c r="J34" s="125">
        <f t="shared" si="2"/>
        <v>0</v>
      </c>
      <c r="K34" s="125">
        <f t="shared" si="2"/>
        <v>1</v>
      </c>
      <c r="L34" s="135">
        <f t="shared" si="0"/>
        <v>12.011532927526641</v>
      </c>
      <c r="M34" s="136">
        <f t="shared" si="1"/>
        <v>236217.56</v>
      </c>
      <c r="N34" s="136">
        <f t="shared" si="3"/>
        <v>0</v>
      </c>
      <c r="O34" s="136">
        <f t="shared" si="4"/>
        <v>25</v>
      </c>
      <c r="P34">
        <f>SUMIFS('Fuel and Energy_rail only'!M:M,'Fuel and Energy_rail only'!C:C,C34)</f>
        <v>0</v>
      </c>
      <c r="Q34">
        <f>SUMIFS('Fuel and Energy_rail only'!U:U,'Fuel and Energy_rail only'!C:C,C34)</f>
        <v>0</v>
      </c>
      <c r="R34">
        <f>SUMIFS('Fuel and Energy_rail only'!Y:Y,'Fuel and Energy_rail only'!C:C,C34)</f>
        <v>36496148</v>
      </c>
      <c r="S34">
        <f t="shared" si="5"/>
        <v>0</v>
      </c>
      <c r="T34">
        <f t="shared" si="6"/>
        <v>124529966436.72</v>
      </c>
      <c r="U34" s="137">
        <f t="shared" si="7"/>
        <v>0</v>
      </c>
      <c r="V34" s="137">
        <f t="shared" si="7"/>
        <v>5.6960888234114198E-4</v>
      </c>
    </row>
    <row r="35" spans="2:22">
      <c r="B35" s="134" t="s">
        <v>1699</v>
      </c>
      <c r="C35" s="134" t="s">
        <v>1700</v>
      </c>
      <c r="D35" t="s">
        <v>1701</v>
      </c>
      <c r="E35">
        <f>SUMIFS('Annual Service Data_rail only'!N:N,'Annual Service Data_rail only'!C:C,C35)</f>
        <v>0</v>
      </c>
      <c r="F35" s="131">
        <f>SUMIFS('Annual Service Data_rail only'!X:X,'Annual Service Data_rail only'!C:C,C35)</f>
        <v>0</v>
      </c>
      <c r="G35" s="131">
        <f>SUMIFS('Annual Service Data_rail only'!AT:AT,'Annual Service Data_rail only'!C:C,C35)</f>
        <v>0</v>
      </c>
      <c r="H35">
        <f>SUMIFS('Fuel and Energy_rail only'!AD:AD,'Fuel and Energy_rail only'!C:C,C35)</f>
        <v>0</v>
      </c>
      <c r="I35">
        <f>SUMIFS('Fuel and Energy_rail only'!AN:AN,'Fuel and Energy_rail only'!C:C,C35)</f>
        <v>0</v>
      </c>
      <c r="J35" s="125">
        <f t="shared" si="2"/>
        <v>0</v>
      </c>
      <c r="K35" s="125">
        <f t="shared" si="2"/>
        <v>0</v>
      </c>
      <c r="L35" s="135">
        <f t="shared" si="0"/>
        <v>0</v>
      </c>
      <c r="M35" s="136">
        <f t="shared" si="1"/>
        <v>0</v>
      </c>
      <c r="N35" s="136">
        <f t="shared" si="3"/>
        <v>0</v>
      </c>
      <c r="O35" s="136">
        <f t="shared" si="4"/>
        <v>0</v>
      </c>
      <c r="P35">
        <f>SUMIFS('Fuel and Energy_rail only'!M:M,'Fuel and Energy_rail only'!C:C,C35)</f>
        <v>0</v>
      </c>
      <c r="Q35">
        <f>SUMIFS('Fuel and Energy_rail only'!U:U,'Fuel and Energy_rail only'!C:C,C35)</f>
        <v>0</v>
      </c>
      <c r="R35">
        <f>SUMIFS('Fuel and Energy_rail only'!Y:Y,'Fuel and Energy_rail only'!C:C,C35)</f>
        <v>0</v>
      </c>
      <c r="S35">
        <f t="shared" si="5"/>
        <v>0</v>
      </c>
      <c r="T35">
        <f t="shared" si="6"/>
        <v>0</v>
      </c>
      <c r="U35" s="137">
        <f t="shared" si="7"/>
        <v>0</v>
      </c>
      <c r="V35" s="137">
        <f t="shared" si="7"/>
        <v>0</v>
      </c>
    </row>
    <row r="36" spans="2:22">
      <c r="B36" s="134" t="s">
        <v>1702</v>
      </c>
      <c r="C36" s="134" t="s">
        <v>1703</v>
      </c>
      <c r="D36" t="s">
        <v>1704</v>
      </c>
      <c r="E36">
        <f>SUMIFS('Annual Service Data_rail only'!N:N,'Annual Service Data_rail only'!C:C,C36)</f>
        <v>0</v>
      </c>
      <c r="F36" s="131">
        <f>SUMIFS('Annual Service Data_rail only'!X:X,'Annual Service Data_rail only'!C:C,C36)</f>
        <v>0</v>
      </c>
      <c r="G36" s="131">
        <f>SUMIFS('Annual Service Data_rail only'!AT:AT,'Annual Service Data_rail only'!C:C,C36)</f>
        <v>0</v>
      </c>
      <c r="H36">
        <f>SUMIFS('Fuel and Energy_rail only'!AD:AD,'Fuel and Energy_rail only'!C:C,C36)</f>
        <v>0</v>
      </c>
      <c r="I36">
        <f>SUMIFS('Fuel and Energy_rail only'!AN:AN,'Fuel and Energy_rail only'!C:C,C36)</f>
        <v>0</v>
      </c>
      <c r="J36" s="125">
        <f t="shared" si="2"/>
        <v>0</v>
      </c>
      <c r="K36" s="125">
        <f t="shared" si="2"/>
        <v>0</v>
      </c>
      <c r="L36" s="135">
        <f t="shared" si="0"/>
        <v>0</v>
      </c>
      <c r="M36" s="136">
        <f t="shared" si="1"/>
        <v>0</v>
      </c>
      <c r="N36" s="136">
        <f t="shared" si="3"/>
        <v>0</v>
      </c>
      <c r="O36" s="136">
        <f t="shared" si="4"/>
        <v>0</v>
      </c>
      <c r="P36">
        <f>SUMIFS('Fuel and Energy_rail only'!M:M,'Fuel and Energy_rail only'!C:C,C36)</f>
        <v>0</v>
      </c>
      <c r="Q36">
        <f>SUMIFS('Fuel and Energy_rail only'!U:U,'Fuel and Energy_rail only'!C:C,C36)</f>
        <v>0</v>
      </c>
      <c r="R36">
        <f>SUMIFS('Fuel and Energy_rail only'!Y:Y,'Fuel and Energy_rail only'!C:C,C36)</f>
        <v>0</v>
      </c>
      <c r="S36">
        <f t="shared" si="5"/>
        <v>0</v>
      </c>
      <c r="T36">
        <f t="shared" si="6"/>
        <v>0</v>
      </c>
      <c r="U36" s="137">
        <f t="shared" si="7"/>
        <v>0</v>
      </c>
      <c r="V36" s="137">
        <f t="shared" si="7"/>
        <v>0</v>
      </c>
    </row>
    <row r="37" spans="2:22">
      <c r="B37" s="134" t="s">
        <v>1705</v>
      </c>
      <c r="C37" s="134" t="s">
        <v>1706</v>
      </c>
      <c r="D37" t="s">
        <v>1707</v>
      </c>
      <c r="E37">
        <f>SUMIFS('Annual Service Data_rail only'!N:N,'Annual Service Data_rail only'!C:C,C37)</f>
        <v>0</v>
      </c>
      <c r="F37" s="131">
        <f>SUMIFS('Annual Service Data_rail only'!X:X,'Annual Service Data_rail only'!C:C,C37)</f>
        <v>0</v>
      </c>
      <c r="G37" s="131">
        <f>SUMIFS('Annual Service Data_rail only'!AT:AT,'Annual Service Data_rail only'!C:C,C37)</f>
        <v>0</v>
      </c>
      <c r="H37">
        <f>SUMIFS('Fuel and Energy_rail only'!AD:AD,'Fuel and Energy_rail only'!C:C,C37)</f>
        <v>0</v>
      </c>
      <c r="I37">
        <f>SUMIFS('Fuel and Energy_rail only'!AN:AN,'Fuel and Energy_rail only'!C:C,C37)</f>
        <v>0</v>
      </c>
      <c r="J37" s="125">
        <f t="shared" si="2"/>
        <v>0</v>
      </c>
      <c r="K37" s="125">
        <f t="shared" si="2"/>
        <v>0</v>
      </c>
      <c r="L37" s="135">
        <f t="shared" si="0"/>
        <v>0</v>
      </c>
      <c r="M37" s="136">
        <f t="shared" si="1"/>
        <v>0</v>
      </c>
      <c r="N37" s="136">
        <f t="shared" si="3"/>
        <v>0</v>
      </c>
      <c r="O37" s="136">
        <f t="shared" si="4"/>
        <v>0</v>
      </c>
      <c r="P37">
        <f>SUMIFS('Fuel and Energy_rail only'!M:M,'Fuel and Energy_rail only'!C:C,C37)</f>
        <v>0</v>
      </c>
      <c r="Q37">
        <f>SUMIFS('Fuel and Energy_rail only'!U:U,'Fuel and Energy_rail only'!C:C,C37)</f>
        <v>0</v>
      </c>
      <c r="R37">
        <f>SUMIFS('Fuel and Energy_rail only'!Y:Y,'Fuel and Energy_rail only'!C:C,C37)</f>
        <v>0</v>
      </c>
      <c r="S37">
        <f t="shared" si="5"/>
        <v>0</v>
      </c>
      <c r="T37">
        <f t="shared" si="6"/>
        <v>0</v>
      </c>
      <c r="U37" s="137">
        <f t="shared" si="7"/>
        <v>0</v>
      </c>
      <c r="V37" s="137">
        <f t="shared" si="7"/>
        <v>0</v>
      </c>
    </row>
    <row r="38" spans="2:22">
      <c r="B38" s="134" t="s">
        <v>1708</v>
      </c>
      <c r="C38" s="134" t="s">
        <v>1709</v>
      </c>
      <c r="D38" t="s">
        <v>1710</v>
      </c>
      <c r="E38">
        <f>SUMIFS('Annual Service Data_rail only'!N:N,'Annual Service Data_rail only'!C:C,C38)</f>
        <v>0</v>
      </c>
      <c r="F38" s="131">
        <f>SUMIFS('Annual Service Data_rail only'!X:X,'Annual Service Data_rail only'!C:C,C38)</f>
        <v>0</v>
      </c>
      <c r="G38" s="131">
        <f>SUMIFS('Annual Service Data_rail only'!AT:AT,'Annual Service Data_rail only'!C:C,C38)</f>
        <v>0</v>
      </c>
      <c r="H38">
        <f>SUMIFS('Fuel and Energy_rail only'!AD:AD,'Fuel and Energy_rail only'!C:C,C38)</f>
        <v>0</v>
      </c>
      <c r="I38">
        <f>SUMIFS('Fuel and Energy_rail only'!AN:AN,'Fuel and Energy_rail only'!C:C,C38)</f>
        <v>0</v>
      </c>
      <c r="J38" s="125">
        <f t="shared" si="2"/>
        <v>0</v>
      </c>
      <c r="K38" s="125">
        <f t="shared" si="2"/>
        <v>0</v>
      </c>
      <c r="L38" s="135">
        <f t="shared" si="0"/>
        <v>0</v>
      </c>
      <c r="M38" s="136">
        <f t="shared" si="1"/>
        <v>0</v>
      </c>
      <c r="N38" s="136">
        <f t="shared" si="3"/>
        <v>0</v>
      </c>
      <c r="O38" s="136">
        <f t="shared" si="4"/>
        <v>0</v>
      </c>
      <c r="P38">
        <f>SUMIFS('Fuel and Energy_rail only'!M:M,'Fuel and Energy_rail only'!C:C,C38)</f>
        <v>0</v>
      </c>
      <c r="Q38">
        <f>SUMIFS('Fuel and Energy_rail only'!U:U,'Fuel and Energy_rail only'!C:C,C38)</f>
        <v>0</v>
      </c>
      <c r="R38">
        <f>SUMIFS('Fuel and Energy_rail only'!Y:Y,'Fuel and Energy_rail only'!C:C,C38)</f>
        <v>0</v>
      </c>
      <c r="S38">
        <f t="shared" si="5"/>
        <v>0</v>
      </c>
      <c r="T38">
        <f t="shared" si="6"/>
        <v>0</v>
      </c>
      <c r="U38" s="137">
        <f t="shared" si="7"/>
        <v>0</v>
      </c>
      <c r="V38" s="137">
        <f t="shared" si="7"/>
        <v>0</v>
      </c>
    </row>
    <row r="39" spans="2:22">
      <c r="B39" s="134" t="s">
        <v>1711</v>
      </c>
      <c r="C39" s="134" t="s">
        <v>1443</v>
      </c>
      <c r="D39" t="s">
        <v>1712</v>
      </c>
      <c r="E39">
        <f>SUMIFS('Annual Service Data_rail only'!N:N,'Annual Service Data_rail only'!C:C,C39)</f>
        <v>184</v>
      </c>
      <c r="F39" s="131">
        <f>SUMIFS('Annual Service Data_rail only'!X:X,'Annual Service Data_rail only'!C:C,C39)</f>
        <v>77331686</v>
      </c>
      <c r="G39" s="131">
        <f>SUMIFS('Annual Service Data_rail only'!AT:AT,'Annual Service Data_rail only'!C:C,C39)</f>
        <v>1699013683</v>
      </c>
      <c r="H39">
        <f>SUMIFS('Fuel and Energy_rail only'!AD:AD,'Fuel and Energy_rail only'!C:C,C39)</f>
        <v>2485889</v>
      </c>
      <c r="I39">
        <f>SUMIFS('Fuel and Energy_rail only'!AN:AN,'Fuel and Energy_rail only'!C:C,C39)</f>
        <v>28864827</v>
      </c>
      <c r="J39" s="125">
        <f t="shared" si="2"/>
        <v>7.9292893980475593E-2</v>
      </c>
      <c r="K39" s="125">
        <f t="shared" si="2"/>
        <v>0.92070710601952443</v>
      </c>
      <c r="L39" s="135">
        <f t="shared" si="0"/>
        <v>21.97047253049675</v>
      </c>
      <c r="M39" s="136">
        <f t="shared" si="1"/>
        <v>420280.90217391303</v>
      </c>
      <c r="N39" s="136">
        <f t="shared" si="3"/>
        <v>14.589892492407509</v>
      </c>
      <c r="O39" s="136">
        <f t="shared" si="4"/>
        <v>169.4101075075925</v>
      </c>
      <c r="P39">
        <f>SUMIFS('Fuel and Energy_rail only'!M:M,'Fuel and Energy_rail only'!C:C,C39)</f>
        <v>13166567</v>
      </c>
      <c r="Q39">
        <f>SUMIFS('Fuel and Energy_rail only'!U:U,'Fuel and Energy_rail only'!C:C,C39)</f>
        <v>0</v>
      </c>
      <c r="R39">
        <f>SUMIFS('Fuel and Energy_rail only'!Y:Y,'Fuel and Energy_rail only'!C:C,C39)</f>
        <v>519279337</v>
      </c>
      <c r="S39">
        <f t="shared" si="5"/>
        <v>1826202842900</v>
      </c>
      <c r="T39">
        <f t="shared" si="6"/>
        <v>1771853796951.1799</v>
      </c>
      <c r="U39" s="137">
        <f t="shared" si="7"/>
        <v>7.3770398705306041E-5</v>
      </c>
      <c r="V39" s="137">
        <f t="shared" si="7"/>
        <v>8.8285725032966977E-4</v>
      </c>
    </row>
    <row r="40" spans="2:22">
      <c r="B40" s="134" t="s">
        <v>1713</v>
      </c>
      <c r="C40" s="134" t="s">
        <v>1548</v>
      </c>
      <c r="D40" t="s">
        <v>1714</v>
      </c>
      <c r="E40">
        <f>SUMIFS('Annual Service Data_rail only'!N:N,'Annual Service Data_rail only'!C:C,C40)</f>
        <v>7</v>
      </c>
      <c r="F40" s="131">
        <f>SUMIFS('Annual Service Data_rail only'!X:X,'Annual Service Data_rail only'!C:C,C40)</f>
        <v>965030</v>
      </c>
      <c r="G40" s="131">
        <f>SUMIFS('Annual Service Data_rail only'!AT:AT,'Annual Service Data_rail only'!C:C,C40)</f>
        <v>24052625</v>
      </c>
      <c r="H40">
        <f>SUMIFS('Fuel and Energy_rail only'!AD:AD,'Fuel and Energy_rail only'!C:C,C40)</f>
        <v>350453</v>
      </c>
      <c r="I40">
        <f>SUMIFS('Fuel and Energy_rail only'!AN:AN,'Fuel and Energy_rail only'!C:C,C40)</f>
        <v>0</v>
      </c>
      <c r="J40" s="125">
        <f t="shared" si="2"/>
        <v>1</v>
      </c>
      <c r="K40" s="125">
        <f t="shared" si="2"/>
        <v>0</v>
      </c>
      <c r="L40" s="135">
        <f t="shared" si="0"/>
        <v>24.924225153622167</v>
      </c>
      <c r="M40" s="136">
        <f t="shared" si="1"/>
        <v>137861.42857142858</v>
      </c>
      <c r="N40" s="136">
        <f t="shared" si="3"/>
        <v>7</v>
      </c>
      <c r="O40" s="136">
        <f t="shared" si="4"/>
        <v>0</v>
      </c>
      <c r="P40">
        <f>SUMIFS('Fuel and Energy_rail only'!M:M,'Fuel and Energy_rail only'!C:C,C40)</f>
        <v>0</v>
      </c>
      <c r="Q40">
        <f>SUMIFS('Fuel and Energy_rail only'!U:U,'Fuel and Energy_rail only'!C:C,C40)</f>
        <v>792273</v>
      </c>
      <c r="R40">
        <f>SUMIFS('Fuel and Energy_rail only'!Y:Y,'Fuel and Energy_rail only'!C:C,C40)</f>
        <v>0</v>
      </c>
      <c r="S40">
        <f t="shared" si="5"/>
        <v>109888265100</v>
      </c>
      <c r="T40">
        <f t="shared" si="6"/>
        <v>0</v>
      </c>
      <c r="U40" s="137">
        <f t="shared" si="7"/>
        <v>2.1888256201070918E-4</v>
      </c>
      <c r="V40" s="137">
        <f t="shared" si="7"/>
        <v>0</v>
      </c>
    </row>
    <row r="41" spans="2:22">
      <c r="B41" s="134" t="s">
        <v>1482</v>
      </c>
      <c r="C41" s="134" t="s">
        <v>1435</v>
      </c>
      <c r="D41" t="s">
        <v>1715</v>
      </c>
      <c r="E41">
        <f>SUMIFS('Annual Service Data_rail only'!N:N,'Annual Service Data_rail only'!C:C,C41)</f>
        <v>787</v>
      </c>
      <c r="F41" s="131">
        <f>SUMIFS('Annual Service Data_rail only'!X:X,'Annual Service Data_rail only'!C:C,C41)</f>
        <v>459797967</v>
      </c>
      <c r="G41" s="131">
        <f>SUMIFS('Annual Service Data_rail only'!AT:AT,'Annual Service Data_rail only'!C:C,C41)</f>
        <v>6605805362</v>
      </c>
      <c r="H41">
        <f>SUMIFS('Fuel and Energy_rail only'!AD:AD,'Fuel and Energy_rail only'!C:C,C41)</f>
        <v>757533</v>
      </c>
      <c r="I41">
        <f>SUMIFS('Fuel and Energy_rail only'!AN:AN,'Fuel and Energy_rail only'!C:C,C41)</f>
        <v>433746106</v>
      </c>
      <c r="J41" s="125">
        <f t="shared" si="2"/>
        <v>1.7434445468476271E-3</v>
      </c>
      <c r="K41" s="125">
        <f t="shared" si="2"/>
        <v>0.99825655545315239</v>
      </c>
      <c r="L41" s="135">
        <f t="shared" ref="L41:L59" si="8">IFERROR(G41/F41,0)</f>
        <v>14.366756349751325</v>
      </c>
      <c r="M41" s="136">
        <f t="shared" ref="M41:M59" si="9">IFERROR(F41/E41,0)</f>
        <v>584241.3811944091</v>
      </c>
      <c r="N41" s="136">
        <f t="shared" si="3"/>
        <v>1.3720908583690825</v>
      </c>
      <c r="O41" s="136">
        <f t="shared" si="4"/>
        <v>785.62790914163088</v>
      </c>
      <c r="P41">
        <f>SUMIFS('Fuel and Energy_rail only'!M:M,'Fuel and Energy_rail only'!C:C,C41)</f>
        <v>12731425</v>
      </c>
      <c r="Q41">
        <f>SUMIFS('Fuel and Energy_rail only'!U:U,'Fuel and Energy_rail only'!C:C,C41)</f>
        <v>0</v>
      </c>
      <c r="R41">
        <f>SUMIFS('Fuel and Energy_rail only'!Y:Y,'Fuel and Energy_rail only'!C:C,C41)</f>
        <v>2470851025</v>
      </c>
      <c r="S41">
        <f t="shared" si="5"/>
        <v>1765848647500</v>
      </c>
      <c r="T41">
        <f t="shared" si="6"/>
        <v>8430889616443.5</v>
      </c>
      <c r="U41" s="137">
        <f t="shared" si="7"/>
        <v>6.5219945957546822E-6</v>
      </c>
      <c r="V41" s="137">
        <f t="shared" si="7"/>
        <v>7.8215808848957843E-4</v>
      </c>
    </row>
    <row r="42" spans="2:22">
      <c r="B42" s="134" t="s">
        <v>1716</v>
      </c>
      <c r="C42" s="134" t="s">
        <v>1521</v>
      </c>
      <c r="D42" t="s">
        <v>1717</v>
      </c>
      <c r="E42">
        <f>SUMIFS('Annual Service Data_rail only'!N:N,'Annual Service Data_rail only'!C:C,C42)</f>
        <v>16</v>
      </c>
      <c r="F42" s="131">
        <f>SUMIFS('Annual Service Data_rail only'!X:X,'Annual Service Data_rail only'!C:C,C42)</f>
        <v>2267166</v>
      </c>
      <c r="G42" s="131">
        <f>SUMIFS('Annual Service Data_rail only'!AT:AT,'Annual Service Data_rail only'!C:C,C42)</f>
        <v>37638865</v>
      </c>
      <c r="H42">
        <f>SUMIFS('Fuel and Energy_rail only'!AD:AD,'Fuel and Energy_rail only'!C:C,C42)</f>
        <v>0</v>
      </c>
      <c r="I42">
        <f>SUMIFS('Fuel and Energy_rail only'!AN:AN,'Fuel and Energy_rail only'!C:C,C42)</f>
        <v>2267804</v>
      </c>
      <c r="J42" s="125">
        <f t="shared" si="2"/>
        <v>0</v>
      </c>
      <c r="K42" s="125">
        <f t="shared" si="2"/>
        <v>1</v>
      </c>
      <c r="L42" s="135">
        <f t="shared" si="8"/>
        <v>16.601724355428761</v>
      </c>
      <c r="M42" s="136">
        <f t="shared" si="9"/>
        <v>141697.875</v>
      </c>
      <c r="N42" s="136">
        <f t="shared" si="3"/>
        <v>0</v>
      </c>
      <c r="O42" s="136">
        <f t="shared" si="4"/>
        <v>16</v>
      </c>
      <c r="P42">
        <f>SUMIFS('Fuel and Energy_rail only'!M:M,'Fuel and Energy_rail only'!C:C,C42)</f>
        <v>0</v>
      </c>
      <c r="Q42">
        <f>SUMIFS('Fuel and Energy_rail only'!U:U,'Fuel and Energy_rail only'!C:C,C42)</f>
        <v>0</v>
      </c>
      <c r="R42">
        <f>SUMIFS('Fuel and Energy_rail only'!Y:Y,'Fuel and Energy_rail only'!C:C,C42)</f>
        <v>16786660</v>
      </c>
      <c r="S42">
        <f t="shared" si="5"/>
        <v>0</v>
      </c>
      <c r="T42">
        <f t="shared" si="6"/>
        <v>57278434052.400002</v>
      </c>
      <c r="U42" s="137">
        <f t="shared" si="7"/>
        <v>0</v>
      </c>
      <c r="V42" s="137">
        <f t="shared" si="7"/>
        <v>6.5712105476848151E-4</v>
      </c>
    </row>
    <row r="43" spans="2:22">
      <c r="B43" s="134" t="s">
        <v>1718</v>
      </c>
      <c r="C43" s="134" t="s">
        <v>1719</v>
      </c>
      <c r="D43" t="s">
        <v>1720</v>
      </c>
      <c r="E43">
        <f>SUMIFS('Annual Service Data_rail only'!N:N,'Annual Service Data_rail only'!C:C,C43)</f>
        <v>0</v>
      </c>
      <c r="F43" s="131">
        <f>SUMIFS('Annual Service Data_rail only'!X:X,'Annual Service Data_rail only'!C:C,C43)</f>
        <v>0</v>
      </c>
      <c r="G43" s="131">
        <f>SUMIFS('Annual Service Data_rail only'!AT:AT,'Annual Service Data_rail only'!C:C,C43)</f>
        <v>0</v>
      </c>
      <c r="H43">
        <f>SUMIFS('Fuel and Energy_rail only'!AD:AD,'Fuel and Energy_rail only'!C:C,C43)</f>
        <v>0</v>
      </c>
      <c r="I43">
        <f>SUMIFS('Fuel and Energy_rail only'!AN:AN,'Fuel and Energy_rail only'!C:C,C43)</f>
        <v>0</v>
      </c>
      <c r="J43" s="125">
        <f t="shared" si="2"/>
        <v>0</v>
      </c>
      <c r="K43" s="125">
        <f t="shared" si="2"/>
        <v>0</v>
      </c>
      <c r="L43" s="135">
        <f t="shared" si="8"/>
        <v>0</v>
      </c>
      <c r="M43" s="136">
        <f t="shared" si="9"/>
        <v>0</v>
      </c>
      <c r="N43" s="136">
        <f t="shared" si="3"/>
        <v>0</v>
      </c>
      <c r="O43" s="136">
        <f t="shared" si="4"/>
        <v>0</v>
      </c>
      <c r="P43">
        <f>SUMIFS('Fuel and Energy_rail only'!M:M,'Fuel and Energy_rail only'!C:C,C43)</f>
        <v>0</v>
      </c>
      <c r="Q43">
        <f>SUMIFS('Fuel and Energy_rail only'!U:U,'Fuel and Energy_rail only'!C:C,C43)</f>
        <v>0</v>
      </c>
      <c r="R43">
        <f>SUMIFS('Fuel and Energy_rail only'!Y:Y,'Fuel and Energy_rail only'!C:C,C43)</f>
        <v>0</v>
      </c>
      <c r="S43">
        <f t="shared" si="5"/>
        <v>0</v>
      </c>
      <c r="T43">
        <f t="shared" si="6"/>
        <v>0</v>
      </c>
      <c r="U43" s="137">
        <f t="shared" si="7"/>
        <v>0</v>
      </c>
      <c r="V43" s="137">
        <f t="shared" si="7"/>
        <v>0</v>
      </c>
    </row>
    <row r="44" spans="2:22">
      <c r="B44" s="134" t="s">
        <v>1721</v>
      </c>
      <c r="C44" s="134" t="s">
        <v>1515</v>
      </c>
      <c r="D44" t="s">
        <v>1722</v>
      </c>
      <c r="E44">
        <f>SUMIFS('Annual Service Data_rail only'!N:N,'Annual Service Data_rail only'!C:C,C44)</f>
        <v>14</v>
      </c>
      <c r="F44" s="131">
        <f>SUMIFS('Annual Service Data_rail only'!X:X,'Annual Service Data_rail only'!C:C,C44)</f>
        <v>3017495</v>
      </c>
      <c r="G44" s="131">
        <f>SUMIFS('Annual Service Data_rail only'!AT:AT,'Annual Service Data_rail only'!C:C,C44)</f>
        <v>20427250</v>
      </c>
      <c r="H44">
        <f>SUMIFS('Fuel and Energy_rail only'!AD:AD,'Fuel and Energy_rail only'!C:C,C44)</f>
        <v>0</v>
      </c>
      <c r="I44">
        <f>SUMIFS('Fuel and Energy_rail only'!AN:AN,'Fuel and Energy_rail only'!C:C,C44)</f>
        <v>2921572</v>
      </c>
      <c r="J44" s="125">
        <f t="shared" si="2"/>
        <v>0</v>
      </c>
      <c r="K44" s="125">
        <f t="shared" si="2"/>
        <v>1</v>
      </c>
      <c r="L44" s="135">
        <f t="shared" si="8"/>
        <v>6.769605252038529</v>
      </c>
      <c r="M44" s="136">
        <f t="shared" si="9"/>
        <v>215535.35714285713</v>
      </c>
      <c r="N44" s="136">
        <f t="shared" si="3"/>
        <v>0</v>
      </c>
      <c r="O44" s="136">
        <f t="shared" si="4"/>
        <v>14</v>
      </c>
      <c r="P44">
        <f>SUMIFS('Fuel and Energy_rail only'!M:M,'Fuel and Energy_rail only'!C:C,C44)</f>
        <v>0</v>
      </c>
      <c r="Q44">
        <f>SUMIFS('Fuel and Energy_rail only'!U:U,'Fuel and Energy_rail only'!C:C,C44)</f>
        <v>0</v>
      </c>
      <c r="R44">
        <f>SUMIFS('Fuel and Energy_rail only'!Y:Y,'Fuel and Energy_rail only'!C:C,C44)</f>
        <v>32090136</v>
      </c>
      <c r="S44">
        <f t="shared" si="5"/>
        <v>0</v>
      </c>
      <c r="T44">
        <f t="shared" si="6"/>
        <v>109496036651.03999</v>
      </c>
      <c r="U44" s="137">
        <f t="shared" si="7"/>
        <v>0</v>
      </c>
      <c r="V44" s="137">
        <f t="shared" si="7"/>
        <v>1.8655698073438882E-4</v>
      </c>
    </row>
    <row r="45" spans="2:22">
      <c r="B45" s="134" t="s">
        <v>1723</v>
      </c>
      <c r="C45" s="134" t="s">
        <v>1724</v>
      </c>
      <c r="D45" t="s">
        <v>1725</v>
      </c>
      <c r="E45">
        <f>SUMIFS('Annual Service Data_rail only'!N:N,'Annual Service Data_rail only'!C:C,C45)</f>
        <v>0</v>
      </c>
      <c r="F45" s="131">
        <f>SUMIFS('Annual Service Data_rail only'!X:X,'Annual Service Data_rail only'!C:C,C45)</f>
        <v>0</v>
      </c>
      <c r="G45" s="131">
        <f>SUMIFS('Annual Service Data_rail only'!AT:AT,'Annual Service Data_rail only'!C:C,C45)</f>
        <v>0</v>
      </c>
      <c r="H45">
        <f>SUMIFS('Fuel and Energy_rail only'!AD:AD,'Fuel and Energy_rail only'!C:C,C45)</f>
        <v>0</v>
      </c>
      <c r="I45">
        <f>SUMIFS('Fuel and Energy_rail only'!AN:AN,'Fuel and Energy_rail only'!C:C,C45)</f>
        <v>0</v>
      </c>
      <c r="J45" s="125">
        <f t="shared" si="2"/>
        <v>0</v>
      </c>
      <c r="K45" s="125">
        <f t="shared" si="2"/>
        <v>0</v>
      </c>
      <c r="L45" s="135">
        <f t="shared" si="8"/>
        <v>0</v>
      </c>
      <c r="M45" s="136">
        <f t="shared" si="9"/>
        <v>0</v>
      </c>
      <c r="N45" s="136">
        <f t="shared" si="3"/>
        <v>0</v>
      </c>
      <c r="O45" s="136">
        <f t="shared" si="4"/>
        <v>0</v>
      </c>
      <c r="P45">
        <f>SUMIFS('Fuel and Energy_rail only'!M:M,'Fuel and Energy_rail only'!C:C,C45)</f>
        <v>0</v>
      </c>
      <c r="Q45">
        <f>SUMIFS('Fuel and Energy_rail only'!U:U,'Fuel and Energy_rail only'!C:C,C45)</f>
        <v>0</v>
      </c>
      <c r="R45">
        <f>SUMIFS('Fuel and Energy_rail only'!Y:Y,'Fuel and Energy_rail only'!C:C,C45)</f>
        <v>0</v>
      </c>
      <c r="S45">
        <f t="shared" si="5"/>
        <v>0</v>
      </c>
      <c r="T45">
        <f t="shared" si="6"/>
        <v>0</v>
      </c>
      <c r="U45" s="137">
        <f t="shared" si="7"/>
        <v>0</v>
      </c>
      <c r="V45" s="137">
        <f t="shared" si="7"/>
        <v>0</v>
      </c>
    </row>
    <row r="46" spans="2:22">
      <c r="B46" s="134" t="s">
        <v>1726</v>
      </c>
      <c r="C46" s="134" t="s">
        <v>1495</v>
      </c>
      <c r="D46" t="s">
        <v>1727</v>
      </c>
      <c r="E46">
        <f>SUMIFS('Annual Service Data_rail only'!N:N,'Annual Service Data_rail only'!C:C,C46)</f>
        <v>55</v>
      </c>
      <c r="F46" s="131">
        <f>SUMIFS('Annual Service Data_rail only'!X:X,'Annual Service Data_rail only'!C:C,C46)</f>
        <v>8981104</v>
      </c>
      <c r="G46" s="131">
        <f>SUMIFS('Annual Service Data_rail only'!AT:AT,'Annual Service Data_rail only'!C:C,C46)</f>
        <v>159458488</v>
      </c>
      <c r="H46">
        <f>SUMIFS('Fuel and Energy_rail only'!AD:AD,'Fuel and Energy_rail only'!C:C,C46)</f>
        <v>0</v>
      </c>
      <c r="I46">
        <f>SUMIFS('Fuel and Energy_rail only'!AN:AN,'Fuel and Energy_rail only'!C:C,C46)</f>
        <v>9045741</v>
      </c>
      <c r="J46" s="125">
        <f t="shared" si="2"/>
        <v>0</v>
      </c>
      <c r="K46" s="125">
        <f t="shared" si="2"/>
        <v>1</v>
      </c>
      <c r="L46" s="135">
        <f t="shared" si="8"/>
        <v>17.754887149731257</v>
      </c>
      <c r="M46" s="136">
        <f t="shared" si="9"/>
        <v>163292.79999999999</v>
      </c>
      <c r="N46" s="136">
        <f t="shared" si="3"/>
        <v>0</v>
      </c>
      <c r="O46" s="136">
        <f t="shared" si="4"/>
        <v>55</v>
      </c>
      <c r="P46">
        <f>SUMIFS('Fuel and Energy_rail only'!M:M,'Fuel and Energy_rail only'!C:C,C46)</f>
        <v>0</v>
      </c>
      <c r="Q46">
        <f>SUMIFS('Fuel and Energy_rail only'!U:U,'Fuel and Energy_rail only'!C:C,C46)</f>
        <v>0</v>
      </c>
      <c r="R46">
        <f>SUMIFS('Fuel and Energy_rail only'!Y:Y,'Fuel and Energy_rail only'!C:C,C46)</f>
        <v>54389715</v>
      </c>
      <c r="S46">
        <f t="shared" si="5"/>
        <v>0</v>
      </c>
      <c r="T46">
        <f t="shared" si="6"/>
        <v>185585322140.10001</v>
      </c>
      <c r="U46" s="137">
        <f t="shared" si="7"/>
        <v>0</v>
      </c>
      <c r="V46" s="137">
        <f t="shared" si="7"/>
        <v>8.5921928610077983E-4</v>
      </c>
    </row>
    <row r="47" spans="2:22">
      <c r="B47" s="134" t="s">
        <v>1728</v>
      </c>
      <c r="C47" s="134" t="s">
        <v>1466</v>
      </c>
      <c r="D47" t="s">
        <v>1729</v>
      </c>
      <c r="E47">
        <f>SUMIFS('Annual Service Data_rail only'!N:N,'Annual Service Data_rail only'!C:C,C47)</f>
        <v>176</v>
      </c>
      <c r="F47" s="131">
        <f>SUMIFS('Annual Service Data_rail only'!X:X,'Annual Service Data_rail only'!C:C,C47)</f>
        <v>37294660</v>
      </c>
      <c r="G47" s="131">
        <f>SUMIFS('Annual Service Data_rail only'!AT:AT,'Annual Service Data_rail only'!C:C,C47)</f>
        <v>725134241</v>
      </c>
      <c r="H47">
        <f>SUMIFS('Fuel and Energy_rail only'!AD:AD,'Fuel and Energy_rail only'!C:C,C47)</f>
        <v>0</v>
      </c>
      <c r="I47">
        <f>SUMIFS('Fuel and Energy_rail only'!AN:AN,'Fuel and Energy_rail only'!C:C,C47)</f>
        <v>31752653</v>
      </c>
      <c r="J47" s="125">
        <f t="shared" si="2"/>
        <v>0</v>
      </c>
      <c r="K47" s="125">
        <f t="shared" si="2"/>
        <v>1</v>
      </c>
      <c r="L47" s="135">
        <f t="shared" si="8"/>
        <v>19.443379856526377</v>
      </c>
      <c r="M47" s="136">
        <f t="shared" si="9"/>
        <v>211901.47727272726</v>
      </c>
      <c r="N47" s="136">
        <f t="shared" si="3"/>
        <v>0</v>
      </c>
      <c r="O47" s="136">
        <f t="shared" si="4"/>
        <v>176</v>
      </c>
      <c r="P47">
        <f>SUMIFS('Fuel and Energy_rail only'!M:M,'Fuel and Energy_rail only'!C:C,C47)</f>
        <v>0</v>
      </c>
      <c r="Q47">
        <f>SUMIFS('Fuel and Energy_rail only'!U:U,'Fuel and Energy_rail only'!C:C,C47)</f>
        <v>0</v>
      </c>
      <c r="R47">
        <f>SUMIFS('Fuel and Energy_rail only'!Y:Y,'Fuel and Energy_rail only'!C:C,C47)</f>
        <v>373898381</v>
      </c>
      <c r="S47">
        <f t="shared" si="5"/>
        <v>0</v>
      </c>
      <c r="T47">
        <f t="shared" si="6"/>
        <v>1275793621745.3398</v>
      </c>
      <c r="U47" s="137">
        <f t="shared" si="7"/>
        <v>0</v>
      </c>
      <c r="V47" s="137">
        <f t="shared" si="7"/>
        <v>5.6837895145453508E-4</v>
      </c>
    </row>
    <row r="48" spans="2:22">
      <c r="B48" s="134" t="s">
        <v>1730</v>
      </c>
      <c r="C48" s="134" t="s">
        <v>1731</v>
      </c>
      <c r="D48" t="s">
        <v>1732</v>
      </c>
      <c r="E48">
        <f>SUMIFS('Annual Service Data_rail only'!N:N,'Annual Service Data_rail only'!C:C,C48)</f>
        <v>0</v>
      </c>
      <c r="F48" s="131">
        <f>SUMIFS('Annual Service Data_rail only'!X:X,'Annual Service Data_rail only'!C:C,C48)</f>
        <v>0</v>
      </c>
      <c r="G48" s="131">
        <f>SUMIFS('Annual Service Data_rail only'!AT:AT,'Annual Service Data_rail only'!C:C,C48)</f>
        <v>0</v>
      </c>
      <c r="H48">
        <f>SUMIFS('Fuel and Energy_rail only'!AD:AD,'Fuel and Energy_rail only'!C:C,C48)</f>
        <v>0</v>
      </c>
      <c r="I48">
        <f>SUMIFS('Fuel and Energy_rail only'!AN:AN,'Fuel and Energy_rail only'!C:C,C48)</f>
        <v>0</v>
      </c>
      <c r="J48" s="125">
        <f t="shared" si="2"/>
        <v>0</v>
      </c>
      <c r="K48" s="125">
        <f t="shared" si="2"/>
        <v>0</v>
      </c>
      <c r="L48" s="135">
        <f t="shared" si="8"/>
        <v>0</v>
      </c>
      <c r="M48" s="136">
        <f t="shared" si="9"/>
        <v>0</v>
      </c>
      <c r="N48" s="136">
        <f t="shared" si="3"/>
        <v>0</v>
      </c>
      <c r="O48" s="136">
        <f t="shared" si="4"/>
        <v>0</v>
      </c>
      <c r="P48">
        <f>SUMIFS('Fuel and Energy_rail only'!M:M,'Fuel and Energy_rail only'!C:C,C48)</f>
        <v>0</v>
      </c>
      <c r="Q48">
        <f>SUMIFS('Fuel and Energy_rail only'!U:U,'Fuel and Energy_rail only'!C:C,C48)</f>
        <v>0</v>
      </c>
      <c r="R48">
        <f>SUMIFS('Fuel and Energy_rail only'!Y:Y,'Fuel and Energy_rail only'!C:C,C48)</f>
        <v>0</v>
      </c>
      <c r="S48">
        <f t="shared" si="5"/>
        <v>0</v>
      </c>
      <c r="T48">
        <f t="shared" si="6"/>
        <v>0</v>
      </c>
      <c r="U48" s="137">
        <f t="shared" si="7"/>
        <v>0</v>
      </c>
      <c r="V48" s="137">
        <f t="shared" si="7"/>
        <v>0</v>
      </c>
    </row>
    <row r="49" spans="2:24">
      <c r="B49" s="134" t="s">
        <v>1733</v>
      </c>
      <c r="C49" s="134" t="s">
        <v>1734</v>
      </c>
      <c r="D49" t="s">
        <v>1735</v>
      </c>
      <c r="E49">
        <f>SUMIFS('Annual Service Data_rail only'!N:N,'Annual Service Data_rail only'!C:C,C49)</f>
        <v>0</v>
      </c>
      <c r="F49" s="131">
        <f>SUMIFS('Annual Service Data_rail only'!X:X,'Annual Service Data_rail only'!C:C,C49)</f>
        <v>0</v>
      </c>
      <c r="G49" s="131">
        <f>SUMIFS('Annual Service Data_rail only'!AT:AT,'Annual Service Data_rail only'!C:C,C49)</f>
        <v>0</v>
      </c>
      <c r="H49">
        <f>SUMIFS('Fuel and Energy_rail only'!AD:AD,'Fuel and Energy_rail only'!C:C,C49)</f>
        <v>0</v>
      </c>
      <c r="I49">
        <f>SUMIFS('Fuel and Energy_rail only'!AN:AN,'Fuel and Energy_rail only'!C:C,C49)</f>
        <v>0</v>
      </c>
      <c r="J49" s="125">
        <f t="shared" si="2"/>
        <v>0</v>
      </c>
      <c r="K49" s="125">
        <f t="shared" si="2"/>
        <v>0</v>
      </c>
      <c r="L49" s="135">
        <f t="shared" si="8"/>
        <v>0</v>
      </c>
      <c r="M49" s="136">
        <f t="shared" si="9"/>
        <v>0</v>
      </c>
      <c r="N49" s="136">
        <f t="shared" si="3"/>
        <v>0</v>
      </c>
      <c r="O49" s="136">
        <f t="shared" si="4"/>
        <v>0</v>
      </c>
      <c r="P49">
        <f>SUMIFS('Fuel and Energy_rail only'!M:M,'Fuel and Energy_rail only'!C:C,C49)</f>
        <v>0</v>
      </c>
      <c r="Q49">
        <f>SUMIFS('Fuel and Energy_rail only'!U:U,'Fuel and Energy_rail only'!C:C,C49)</f>
        <v>0</v>
      </c>
      <c r="R49">
        <f>SUMIFS('Fuel and Energy_rail only'!Y:Y,'Fuel and Energy_rail only'!C:C,C49)</f>
        <v>0</v>
      </c>
      <c r="S49">
        <f t="shared" si="5"/>
        <v>0</v>
      </c>
      <c r="T49">
        <f t="shared" si="6"/>
        <v>0</v>
      </c>
      <c r="U49" s="137">
        <f t="shared" si="7"/>
        <v>0</v>
      </c>
      <c r="V49" s="137">
        <f t="shared" si="7"/>
        <v>0</v>
      </c>
    </row>
    <row r="50" spans="2:24">
      <c r="B50" s="134" t="s">
        <v>1736</v>
      </c>
      <c r="C50" s="134" t="s">
        <v>1737</v>
      </c>
      <c r="D50" t="s">
        <v>1738</v>
      </c>
      <c r="E50">
        <f>SUMIFS('Annual Service Data_rail only'!N:N,'Annual Service Data_rail only'!C:C,C50)</f>
        <v>0</v>
      </c>
      <c r="F50" s="131">
        <f>SUMIFS('Annual Service Data_rail only'!X:X,'Annual Service Data_rail only'!C:C,C50)</f>
        <v>0</v>
      </c>
      <c r="G50" s="131">
        <f>SUMIFS('Annual Service Data_rail only'!AT:AT,'Annual Service Data_rail only'!C:C,C50)</f>
        <v>0</v>
      </c>
      <c r="H50">
        <f>SUMIFS('Fuel and Energy_rail only'!AD:AD,'Fuel and Energy_rail only'!C:C,C50)</f>
        <v>0</v>
      </c>
      <c r="I50">
        <f>SUMIFS('Fuel and Energy_rail only'!AN:AN,'Fuel and Energy_rail only'!C:C,C50)</f>
        <v>0</v>
      </c>
      <c r="J50" s="125">
        <f t="shared" si="2"/>
        <v>0</v>
      </c>
      <c r="K50" s="125">
        <f t="shared" si="2"/>
        <v>0</v>
      </c>
      <c r="L50" s="135">
        <f t="shared" si="8"/>
        <v>0</v>
      </c>
      <c r="M50" s="136">
        <f t="shared" si="9"/>
        <v>0</v>
      </c>
      <c r="N50" s="136">
        <f t="shared" si="3"/>
        <v>0</v>
      </c>
      <c r="O50" s="136">
        <f t="shared" si="4"/>
        <v>0</v>
      </c>
      <c r="P50">
        <f>SUMIFS('Fuel and Energy_rail only'!M:M,'Fuel and Energy_rail only'!C:C,C50)</f>
        <v>0</v>
      </c>
      <c r="Q50">
        <f>SUMIFS('Fuel and Energy_rail only'!U:U,'Fuel and Energy_rail only'!C:C,C50)</f>
        <v>0</v>
      </c>
      <c r="R50">
        <f>SUMIFS('Fuel and Energy_rail only'!Y:Y,'Fuel and Energy_rail only'!C:C,C50)</f>
        <v>0</v>
      </c>
      <c r="S50">
        <f t="shared" si="5"/>
        <v>0</v>
      </c>
      <c r="T50">
        <f t="shared" si="6"/>
        <v>0</v>
      </c>
      <c r="U50" s="137">
        <f t="shared" si="7"/>
        <v>0</v>
      </c>
      <c r="V50" s="137">
        <f t="shared" si="7"/>
        <v>0</v>
      </c>
    </row>
    <row r="51" spans="2:24">
      <c r="B51" s="134" t="s">
        <v>1739</v>
      </c>
      <c r="C51" s="134" t="s">
        <v>1554</v>
      </c>
      <c r="D51" t="s">
        <v>1740</v>
      </c>
      <c r="E51">
        <f>SUMIFS('Annual Service Data_rail only'!N:N,'Annual Service Data_rail only'!C:C,C51)</f>
        <v>2</v>
      </c>
      <c r="F51" s="131">
        <f>SUMIFS('Annual Service Data_rail only'!X:X,'Annual Service Data_rail only'!C:C,C51)</f>
        <v>208873</v>
      </c>
      <c r="G51" s="131">
        <f>SUMIFS('Annual Service Data_rail only'!AT:AT,'Annual Service Data_rail only'!C:C,C51)</f>
        <v>3403059</v>
      </c>
      <c r="H51">
        <f>SUMIFS('Fuel and Energy_rail only'!AD:AD,'Fuel and Energy_rail only'!C:C,C51)</f>
        <v>71832</v>
      </c>
      <c r="I51">
        <f>SUMIFS('Fuel and Energy_rail only'!AN:AN,'Fuel and Energy_rail only'!C:C,C51)</f>
        <v>0</v>
      </c>
      <c r="J51" s="125">
        <f t="shared" si="2"/>
        <v>1</v>
      </c>
      <c r="K51" s="125">
        <f t="shared" si="2"/>
        <v>0</v>
      </c>
      <c r="L51" s="135">
        <f t="shared" si="8"/>
        <v>16.292479161978811</v>
      </c>
      <c r="M51" s="136">
        <f t="shared" si="9"/>
        <v>104436.5</v>
      </c>
      <c r="N51" s="136">
        <f t="shared" si="3"/>
        <v>2</v>
      </c>
      <c r="O51" s="136">
        <f t="shared" si="4"/>
        <v>0</v>
      </c>
      <c r="P51">
        <f>SUMIFS('Fuel and Energy_rail only'!M:M,'Fuel and Energy_rail only'!C:C,C51)</f>
        <v>195054</v>
      </c>
      <c r="Q51">
        <f>SUMIFS('Fuel and Energy_rail only'!U:U,'Fuel and Energy_rail only'!C:C,C51)</f>
        <v>0</v>
      </c>
      <c r="R51">
        <f>SUMIFS('Fuel and Energy_rail only'!Y:Y,'Fuel and Energy_rail only'!C:C,C51)</f>
        <v>0</v>
      </c>
      <c r="S51">
        <f t="shared" si="5"/>
        <v>27053989800</v>
      </c>
      <c r="T51">
        <f t="shared" si="6"/>
        <v>0</v>
      </c>
      <c r="U51" s="137">
        <f t="shared" si="7"/>
        <v>1.2578769435331124E-4</v>
      </c>
      <c r="V51" s="137">
        <f t="shared" si="7"/>
        <v>0</v>
      </c>
    </row>
    <row r="52" spans="2:24">
      <c r="B52" s="134" t="s">
        <v>1741</v>
      </c>
      <c r="C52" s="134" t="s">
        <v>1469</v>
      </c>
      <c r="D52" t="s">
        <v>1742</v>
      </c>
      <c r="E52">
        <f>SUMIFS('Annual Service Data_rail only'!N:N,'Annual Service Data_rail only'!C:C,C52)</f>
        <v>81</v>
      </c>
      <c r="F52" s="131">
        <f>SUMIFS('Annual Service Data_rail only'!X:X,'Annual Service Data_rail only'!C:C,C52)</f>
        <v>16971382</v>
      </c>
      <c r="G52" s="131">
        <f>SUMIFS('Annual Service Data_rail only'!AT:AT,'Annual Service Data_rail only'!C:C,C52)</f>
        <v>229087609</v>
      </c>
      <c r="H52">
        <f>SUMIFS('Fuel and Energy_rail only'!AD:AD,'Fuel and Energy_rail only'!C:C,C52)</f>
        <v>2810479</v>
      </c>
      <c r="I52">
        <f>SUMIFS('Fuel and Energy_rail only'!AN:AN,'Fuel and Energy_rail only'!C:C,C52)</f>
        <v>13314833</v>
      </c>
      <c r="J52" s="125">
        <f t="shared" si="2"/>
        <v>0.17428989901094627</v>
      </c>
      <c r="K52" s="125">
        <f t="shared" si="2"/>
        <v>0.82571010098905373</v>
      </c>
      <c r="L52" s="135">
        <f t="shared" si="8"/>
        <v>13.498465180973476</v>
      </c>
      <c r="M52" s="136">
        <f t="shared" si="9"/>
        <v>209523.23456790124</v>
      </c>
      <c r="N52" s="136">
        <f t="shared" si="3"/>
        <v>14.117481819886647</v>
      </c>
      <c r="O52" s="136">
        <f t="shared" si="4"/>
        <v>66.882518180113351</v>
      </c>
      <c r="P52">
        <f>SUMIFS('Fuel and Energy_rail only'!M:M,'Fuel and Energy_rail only'!C:C,C52)</f>
        <v>1818399</v>
      </c>
      <c r="Q52">
        <f>SUMIFS('Fuel and Energy_rail only'!U:U,'Fuel and Energy_rail only'!C:C,C52)</f>
        <v>0</v>
      </c>
      <c r="R52">
        <f>SUMIFS('Fuel and Energy_rail only'!Y:Y,'Fuel and Energy_rail only'!C:C,C52)</f>
        <v>136948004</v>
      </c>
      <c r="S52">
        <f t="shared" si="5"/>
        <v>252211941300</v>
      </c>
      <c r="T52">
        <f t="shared" si="6"/>
        <v>467285762368.56</v>
      </c>
      <c r="U52" s="137">
        <f t="shared" si="7"/>
        <v>1.5830993580821838E-4</v>
      </c>
      <c r="V52" s="137">
        <f t="shared" si="7"/>
        <v>4.0480572702220627E-4</v>
      </c>
    </row>
    <row r="53" spans="2:24">
      <c r="B53" s="134" t="s">
        <v>1743</v>
      </c>
      <c r="C53" s="134" t="s">
        <v>1487</v>
      </c>
      <c r="D53" t="s">
        <v>1744</v>
      </c>
      <c r="E53">
        <f>SUMIFS('Annual Service Data_rail only'!N:N,'Annual Service Data_rail only'!C:C,C53)</f>
        <v>31</v>
      </c>
      <c r="F53" s="131">
        <f>SUMIFS('Annual Service Data_rail only'!X:X,'Annual Service Data_rail only'!C:C,C53)</f>
        <v>10256420</v>
      </c>
      <c r="G53" s="131">
        <f>SUMIFS('Annual Service Data_rail only'!AT:AT,'Annual Service Data_rail only'!C:C,C53)</f>
        <v>91039641</v>
      </c>
      <c r="H53">
        <f>SUMIFS('Fuel and Energy_rail only'!AD:AD,'Fuel and Energy_rail only'!C:C,C53)</f>
        <v>850933</v>
      </c>
      <c r="I53">
        <f>SUMIFS('Fuel and Energy_rail only'!AN:AN,'Fuel and Energy_rail only'!C:C,C53)</f>
        <v>6307169</v>
      </c>
      <c r="J53" s="125">
        <f t="shared" si="2"/>
        <v>0.11887690340260589</v>
      </c>
      <c r="K53" s="125">
        <f t="shared" si="2"/>
        <v>0.88112309659739407</v>
      </c>
      <c r="L53" s="135">
        <f t="shared" si="8"/>
        <v>8.876356564961263</v>
      </c>
      <c r="M53" s="136">
        <f t="shared" si="9"/>
        <v>330852.25806451612</v>
      </c>
      <c r="N53" s="136">
        <f t="shared" si="3"/>
        <v>3.6851840054807825</v>
      </c>
      <c r="O53" s="136">
        <f t="shared" si="4"/>
        <v>27.314815994519215</v>
      </c>
      <c r="P53">
        <f>SUMIFS('Fuel and Energy_rail only'!M:M,'Fuel and Energy_rail only'!C:C,C53)</f>
        <v>1921417</v>
      </c>
      <c r="Q53">
        <f>SUMIFS('Fuel and Energy_rail only'!U:U,'Fuel and Energy_rail only'!C:C,C53)</f>
        <v>0</v>
      </c>
      <c r="R53">
        <f>SUMIFS('Fuel and Energy_rail only'!Y:Y,'Fuel and Energy_rail only'!C:C,C53)</f>
        <v>39602347</v>
      </c>
      <c r="S53">
        <f t="shared" si="5"/>
        <v>266500537900</v>
      </c>
      <c r="T53">
        <f t="shared" si="6"/>
        <v>135128752292.58</v>
      </c>
      <c r="U53" s="137">
        <f t="shared" si="7"/>
        <v>4.0609713939961685E-5</v>
      </c>
      <c r="V53" s="137">
        <f t="shared" si="7"/>
        <v>5.9363480406708256E-4</v>
      </c>
    </row>
    <row r="54" spans="2:24">
      <c r="B54" s="134" t="s">
        <v>1745</v>
      </c>
      <c r="C54" s="134" t="s">
        <v>1746</v>
      </c>
      <c r="D54" t="s">
        <v>1747</v>
      </c>
      <c r="E54">
        <f>SUMIFS('Annual Service Data_rail only'!N:N,'Annual Service Data_rail only'!C:C,C54)</f>
        <v>0</v>
      </c>
      <c r="F54" s="131">
        <f>SUMIFS('Annual Service Data_rail only'!X:X,'Annual Service Data_rail only'!C:C,C54)</f>
        <v>0</v>
      </c>
      <c r="G54" s="131">
        <f>SUMIFS('Annual Service Data_rail only'!AT:AT,'Annual Service Data_rail only'!C:C,C54)</f>
        <v>0</v>
      </c>
      <c r="H54">
        <f>SUMIFS('Fuel and Energy_rail only'!AD:AD,'Fuel and Energy_rail only'!C:C,C54)</f>
        <v>0</v>
      </c>
      <c r="I54">
        <f>SUMIFS('Fuel and Energy_rail only'!AN:AN,'Fuel and Energy_rail only'!C:C,C54)</f>
        <v>0</v>
      </c>
      <c r="J54" s="125">
        <f t="shared" si="2"/>
        <v>0</v>
      </c>
      <c r="K54" s="125">
        <f t="shared" si="2"/>
        <v>0</v>
      </c>
      <c r="L54" s="135">
        <f t="shared" si="8"/>
        <v>0</v>
      </c>
      <c r="M54" s="136">
        <f t="shared" si="9"/>
        <v>0</v>
      </c>
      <c r="N54" s="136">
        <f t="shared" si="3"/>
        <v>0</v>
      </c>
      <c r="O54" s="136">
        <f t="shared" si="4"/>
        <v>0</v>
      </c>
      <c r="P54">
        <f>SUMIFS('Fuel and Energy_rail only'!M:M,'Fuel and Energy_rail only'!C:C,C54)</f>
        <v>0</v>
      </c>
      <c r="Q54">
        <f>SUMIFS('Fuel and Energy_rail only'!U:U,'Fuel and Energy_rail only'!C:C,C54)</f>
        <v>0</v>
      </c>
      <c r="R54">
        <f>SUMIFS('Fuel and Energy_rail only'!Y:Y,'Fuel and Energy_rail only'!C:C,C54)</f>
        <v>0</v>
      </c>
      <c r="S54">
        <f t="shared" si="5"/>
        <v>0</v>
      </c>
      <c r="T54">
        <f t="shared" si="6"/>
        <v>0</v>
      </c>
      <c r="U54" s="137">
        <f t="shared" si="7"/>
        <v>0</v>
      </c>
      <c r="V54" s="137">
        <f t="shared" si="7"/>
        <v>0</v>
      </c>
    </row>
    <row r="55" spans="2:24">
      <c r="B55" s="134" t="s">
        <v>1748</v>
      </c>
      <c r="C55" s="134" t="s">
        <v>1518</v>
      </c>
      <c r="D55" t="s">
        <v>1749</v>
      </c>
      <c r="E55">
        <f>SUMIFS('Annual Service Data_rail only'!N:N,'Annual Service Data_rail only'!C:C,C55)</f>
        <v>38</v>
      </c>
      <c r="F55" s="131">
        <f>SUMIFS('Annual Service Data_rail only'!X:X,'Annual Service Data_rail only'!C:C,C55)</f>
        <v>2579467</v>
      </c>
      <c r="G55" s="131">
        <f>SUMIFS('Annual Service Data_rail only'!AT:AT,'Annual Service Data_rail only'!C:C,C55)</f>
        <v>101304307</v>
      </c>
      <c r="H55">
        <f>SUMIFS('Fuel and Energy_rail only'!AD:AD,'Fuel and Energy_rail only'!C:C,C55)</f>
        <v>333956</v>
      </c>
      <c r="I55">
        <f>SUMIFS('Fuel and Energy_rail only'!AN:AN,'Fuel and Energy_rail only'!C:C,C55)</f>
        <v>345837</v>
      </c>
      <c r="J55" s="125">
        <f t="shared" si="2"/>
        <v>0.49126131042832155</v>
      </c>
      <c r="K55" s="125">
        <f t="shared" si="2"/>
        <v>0.50873868957167845</v>
      </c>
      <c r="L55" s="135">
        <f t="shared" si="8"/>
        <v>39.273348718940774</v>
      </c>
      <c r="M55" s="136">
        <f t="shared" si="9"/>
        <v>67880.710526315786</v>
      </c>
      <c r="N55" s="136">
        <f t="shared" si="3"/>
        <v>18.667929796276219</v>
      </c>
      <c r="O55" s="136">
        <f t="shared" si="4"/>
        <v>19.332070203723781</v>
      </c>
      <c r="P55">
        <f>SUMIFS('Fuel and Energy_rail only'!M:M,'Fuel and Energy_rail only'!C:C,C55)</f>
        <v>1430638</v>
      </c>
      <c r="Q55">
        <f>SUMIFS('Fuel and Energy_rail only'!U:U,'Fuel and Energy_rail only'!C:C,C55)</f>
        <v>0</v>
      </c>
      <c r="R55">
        <f>SUMIFS('Fuel and Energy_rail only'!Y:Y,'Fuel and Energy_rail only'!C:C,C55)</f>
        <v>3318000</v>
      </c>
      <c r="S55">
        <f t="shared" si="5"/>
        <v>198429490600</v>
      </c>
      <c r="T55">
        <f t="shared" si="6"/>
        <v>11321480520</v>
      </c>
      <c r="U55" s="137">
        <f t="shared" si="7"/>
        <v>2.5080388231794913E-4</v>
      </c>
      <c r="V55" s="137">
        <f t="shared" si="7"/>
        <v>4.5521802824377436E-3</v>
      </c>
    </row>
    <row r="56" spans="2:24">
      <c r="B56" s="134" t="s">
        <v>1453</v>
      </c>
      <c r="C56" s="134" t="s">
        <v>1524</v>
      </c>
      <c r="D56" t="s">
        <v>1750</v>
      </c>
      <c r="E56">
        <f>SUMIFS('Annual Service Data_rail only'!N:N,'Annual Service Data_rail only'!C:C,C56)</f>
        <v>40</v>
      </c>
      <c r="F56" s="131">
        <f>SUMIFS('Annual Service Data_rail only'!X:X,'Annual Service Data_rail only'!C:C,C56)</f>
        <v>5730374</v>
      </c>
      <c r="G56" s="131">
        <f>SUMIFS('Annual Service Data_rail only'!AT:AT,'Annual Service Data_rail only'!C:C,C56)</f>
        <v>81685247</v>
      </c>
      <c r="H56">
        <f>SUMIFS('Fuel and Energy_rail only'!AD:AD,'Fuel and Energy_rail only'!C:C,C56)</f>
        <v>335545</v>
      </c>
      <c r="I56">
        <f>SUMIFS('Fuel and Energy_rail only'!AN:AN,'Fuel and Energy_rail only'!C:C,C56)</f>
        <v>4232555</v>
      </c>
      <c r="J56" s="125">
        <f t="shared" si="2"/>
        <v>7.345395240909787E-2</v>
      </c>
      <c r="K56" s="125">
        <f t="shared" si="2"/>
        <v>0.92654604759090209</v>
      </c>
      <c r="L56" s="135">
        <f t="shared" si="8"/>
        <v>14.254784591721238</v>
      </c>
      <c r="M56" s="136">
        <f t="shared" si="9"/>
        <v>143259.35</v>
      </c>
      <c r="N56" s="136">
        <f t="shared" si="3"/>
        <v>2.9381580963639147</v>
      </c>
      <c r="O56" s="136">
        <f t="shared" si="4"/>
        <v>37.061841903636086</v>
      </c>
      <c r="P56">
        <f>SUMIFS('Fuel and Energy_rail only'!M:M,'Fuel and Energy_rail only'!C:C,C56)</f>
        <v>625305</v>
      </c>
      <c r="Q56">
        <f>SUMIFS('Fuel and Energy_rail only'!U:U,'Fuel and Energy_rail only'!C:C,C56)</f>
        <v>0</v>
      </c>
      <c r="R56">
        <f>SUMIFS('Fuel and Energy_rail only'!Y:Y,'Fuel and Energy_rail only'!C:C,C56)</f>
        <v>20355203</v>
      </c>
      <c r="S56">
        <f t="shared" si="5"/>
        <v>86729803500</v>
      </c>
      <c r="T56">
        <f t="shared" si="6"/>
        <v>69454802364.419998</v>
      </c>
      <c r="U56" s="137">
        <f t="shared" si="7"/>
        <v>6.9181573156261154E-5</v>
      </c>
      <c r="V56" s="137">
        <f t="shared" si="7"/>
        <v>1.0897035219714086E-3</v>
      </c>
    </row>
    <row r="57" spans="2:24">
      <c r="B57" s="134" t="s">
        <v>1751</v>
      </c>
      <c r="C57" s="134" t="s">
        <v>1752</v>
      </c>
      <c r="D57" t="s">
        <v>1753</v>
      </c>
      <c r="E57">
        <f>SUMIFS('Annual Service Data_rail only'!N:N,'Annual Service Data_rail only'!C:C,C57)</f>
        <v>0</v>
      </c>
      <c r="F57" s="131">
        <f>SUMIFS('Annual Service Data_rail only'!X:X,'Annual Service Data_rail only'!C:C,C57)</f>
        <v>0</v>
      </c>
      <c r="G57" s="131">
        <f>SUMIFS('Annual Service Data_rail only'!AT:AT,'Annual Service Data_rail only'!C:C,C57)</f>
        <v>0</v>
      </c>
      <c r="H57">
        <f>SUMIFS('Fuel and Energy_rail only'!AD:AD,'Fuel and Energy_rail only'!C:C,C57)</f>
        <v>0</v>
      </c>
      <c r="I57">
        <f>SUMIFS('Fuel and Energy_rail only'!AN:AN,'Fuel and Energy_rail only'!C:C,C57)</f>
        <v>0</v>
      </c>
      <c r="J57" s="125">
        <f t="shared" si="2"/>
        <v>0</v>
      </c>
      <c r="K57" s="125">
        <f t="shared" si="2"/>
        <v>0</v>
      </c>
      <c r="L57" s="135">
        <f t="shared" si="8"/>
        <v>0</v>
      </c>
      <c r="M57" s="136">
        <f t="shared" si="9"/>
        <v>0</v>
      </c>
      <c r="N57" s="136">
        <f t="shared" si="3"/>
        <v>0</v>
      </c>
      <c r="O57" s="136">
        <f t="shared" si="4"/>
        <v>0</v>
      </c>
      <c r="P57">
        <f>SUMIFS('Fuel and Energy_rail only'!M:M,'Fuel and Energy_rail only'!C:C,C57)</f>
        <v>0</v>
      </c>
      <c r="Q57">
        <f>SUMIFS('Fuel and Energy_rail only'!U:U,'Fuel and Energy_rail only'!C:C,C57)</f>
        <v>0</v>
      </c>
      <c r="R57">
        <f>SUMIFS('Fuel and Energy_rail only'!Y:Y,'Fuel and Energy_rail only'!C:C,C57)</f>
        <v>0</v>
      </c>
      <c r="S57">
        <f t="shared" si="5"/>
        <v>0</v>
      </c>
      <c r="T57">
        <f t="shared" si="6"/>
        <v>0</v>
      </c>
      <c r="U57" s="137">
        <f t="shared" si="7"/>
        <v>0</v>
      </c>
      <c r="V57" s="137">
        <f t="shared" si="7"/>
        <v>0</v>
      </c>
    </row>
    <row r="58" spans="2:24">
      <c r="B58" s="134" t="s">
        <v>1754</v>
      </c>
      <c r="C58" s="134" t="s">
        <v>1755</v>
      </c>
      <c r="D58" t="s">
        <v>1756</v>
      </c>
      <c r="E58">
        <f>SUMIFS('Annual Service Data_rail only'!N:N,'Annual Service Data_rail only'!C:C,C58)</f>
        <v>0</v>
      </c>
      <c r="F58" s="131">
        <f>SUMIFS('Annual Service Data_rail only'!X:X,'Annual Service Data_rail only'!C:C,C58)</f>
        <v>0</v>
      </c>
      <c r="G58" s="131">
        <f>SUMIFS('Annual Service Data_rail only'!AT:AT,'Annual Service Data_rail only'!C:C,C58)</f>
        <v>0</v>
      </c>
      <c r="H58">
        <f>SUMIFS('Fuel and Energy_rail only'!AD:AD,'Fuel and Energy_rail only'!C:C,C58)</f>
        <v>0</v>
      </c>
      <c r="I58">
        <f>SUMIFS('Fuel and Energy_rail only'!AN:AN,'Fuel and Energy_rail only'!C:C,C58)</f>
        <v>0</v>
      </c>
      <c r="J58" s="125">
        <f t="shared" si="2"/>
        <v>0</v>
      </c>
      <c r="K58" s="125">
        <f t="shared" si="2"/>
        <v>0</v>
      </c>
      <c r="L58" s="135">
        <f t="shared" si="8"/>
        <v>0</v>
      </c>
      <c r="M58" s="136">
        <f t="shared" si="9"/>
        <v>0</v>
      </c>
      <c r="N58" s="136">
        <f t="shared" si="3"/>
        <v>0</v>
      </c>
      <c r="O58" s="136">
        <f t="shared" si="4"/>
        <v>0</v>
      </c>
      <c r="P58">
        <f>SUMIFS('Fuel and Energy_rail only'!M:M,'Fuel and Energy_rail only'!C:C,C58)</f>
        <v>0</v>
      </c>
      <c r="Q58">
        <f>SUMIFS('Fuel and Energy_rail only'!U:U,'Fuel and Energy_rail only'!C:C,C58)</f>
        <v>0</v>
      </c>
      <c r="R58">
        <f>SUMIFS('Fuel and Energy_rail only'!Y:Y,'Fuel and Energy_rail only'!C:C,C58)</f>
        <v>0</v>
      </c>
      <c r="S58">
        <f t="shared" si="5"/>
        <v>0</v>
      </c>
      <c r="T58">
        <f t="shared" si="6"/>
        <v>0</v>
      </c>
      <c r="U58" s="137">
        <f t="shared" si="7"/>
        <v>0</v>
      </c>
      <c r="V58" s="137">
        <f t="shared" si="7"/>
        <v>0</v>
      </c>
    </row>
    <row r="59" spans="2:24">
      <c r="B59" s="134" t="s">
        <v>1757</v>
      </c>
      <c r="C59" s="134" t="s">
        <v>1758</v>
      </c>
      <c r="D59" t="s">
        <v>1759</v>
      </c>
      <c r="E59">
        <f>SUMIFS('Annual Service Data_rail only'!N:N,'Annual Service Data_rail only'!C:C,C59)</f>
        <v>0</v>
      </c>
      <c r="F59" s="131">
        <f>SUMIFS('Annual Service Data_rail only'!X:X,'Annual Service Data_rail only'!C:C,C59)</f>
        <v>0</v>
      </c>
      <c r="G59" s="131">
        <f>SUMIFS('Annual Service Data_rail only'!AT:AT,'Annual Service Data_rail only'!C:C,C59)</f>
        <v>0</v>
      </c>
      <c r="H59">
        <f>SUMIFS('Fuel and Energy_rail only'!AD:AD,'Fuel and Energy_rail only'!C:C,C59)</f>
        <v>0</v>
      </c>
      <c r="I59">
        <f>SUMIFS('Fuel and Energy_rail only'!AN:AN,'Fuel and Energy_rail only'!C:C,C59)</f>
        <v>0</v>
      </c>
      <c r="J59" s="125">
        <f t="shared" si="2"/>
        <v>0</v>
      </c>
      <c r="K59" s="125">
        <f t="shared" si="2"/>
        <v>0</v>
      </c>
      <c r="L59" s="135">
        <f t="shared" si="8"/>
        <v>0</v>
      </c>
      <c r="M59" s="136">
        <f t="shared" si="9"/>
        <v>0</v>
      </c>
      <c r="N59" s="136">
        <f t="shared" si="3"/>
        <v>0</v>
      </c>
      <c r="O59" s="136">
        <f t="shared" si="4"/>
        <v>0</v>
      </c>
      <c r="P59">
        <f>SUMIFS('Fuel and Energy_rail only'!M:M,'Fuel and Energy_rail only'!C:C,C59)</f>
        <v>0</v>
      </c>
      <c r="Q59">
        <f>SUMIFS('Fuel and Energy_rail only'!U:U,'Fuel and Energy_rail only'!C:C,C59)</f>
        <v>0</v>
      </c>
      <c r="R59">
        <f>SUMIFS('Fuel and Energy_rail only'!Y:Y,'Fuel and Energy_rail only'!C:C,C59)</f>
        <v>0</v>
      </c>
      <c r="S59">
        <f t="shared" si="5"/>
        <v>0</v>
      </c>
      <c r="T59">
        <f t="shared" si="6"/>
        <v>0</v>
      </c>
      <c r="U59" s="137">
        <f t="shared" si="7"/>
        <v>0</v>
      </c>
      <c r="V59" s="137">
        <f t="shared" si="7"/>
        <v>0</v>
      </c>
    </row>
    <row r="61" spans="2:24" s="1" customFormat="1">
      <c r="E61" s="1" t="str">
        <f>E8</f>
        <v>Max Trains in Operation</v>
      </c>
      <c r="F61" s="1" t="str">
        <f t="shared" ref="F61:V61" si="10">F8</f>
        <v>Vehicle Miles</v>
      </c>
      <c r="G61" s="1" t="str">
        <f t="shared" si="10"/>
        <v>Passenger Miles</v>
      </c>
      <c r="L61" s="1" t="str">
        <f t="shared" si="10"/>
        <v>calc AVLO</v>
      </c>
      <c r="M61" s="1" t="str">
        <f t="shared" si="10"/>
        <v>calc BAADTVBT</v>
      </c>
      <c r="N61" s="1" t="str">
        <f t="shared" si="10"/>
        <v>SYVBT-diesel</v>
      </c>
      <c r="O61" s="1" t="str">
        <f t="shared" si="10"/>
        <v>SYVBT-electric</v>
      </c>
      <c r="S61" s="1" t="str">
        <f t="shared" si="10"/>
        <v>diesel (btus)</v>
      </c>
      <c r="T61" s="1" t="str">
        <f t="shared" si="10"/>
        <v>electric (btu)</v>
      </c>
      <c r="U61" s="1" t="str">
        <f t="shared" si="10"/>
        <v>calc SYFAFE-diesel</v>
      </c>
      <c r="V61" s="1" t="str">
        <f t="shared" si="10"/>
        <v>calc SYFAFE-electric</v>
      </c>
    </row>
    <row r="62" spans="2:24">
      <c r="D62" s="4" t="s">
        <v>1760</v>
      </c>
      <c r="E62" s="4">
        <f>SUM(E9:E59)</f>
        <v>2740</v>
      </c>
      <c r="F62" s="4">
        <f t="shared" ref="F62:G62" si="11">SUM(F9:F59)</f>
        <v>1083860350</v>
      </c>
      <c r="G62" s="4">
        <f t="shared" si="11"/>
        <v>16634915700</v>
      </c>
      <c r="H62" s="4"/>
      <c r="I62" s="4"/>
      <c r="J62" s="4"/>
      <c r="K62" s="4"/>
      <c r="L62" s="138">
        <f>IFERROR(G62/F62,0)</f>
        <v>15.34784042981183</v>
      </c>
      <c r="M62" s="139">
        <f>IFERROR(F62/E62,0)</f>
        <v>395569.47080291971</v>
      </c>
      <c r="N62" s="139">
        <f>SUM(N9:N59)</f>
        <v>173.39396393169866</v>
      </c>
      <c r="O62" s="139">
        <f>SUM(O9:O59)</f>
        <v>2563.6060360683009</v>
      </c>
      <c r="P62" s="140"/>
      <c r="Q62" s="140"/>
      <c r="R62" s="140"/>
      <c r="S62" s="4">
        <f>SUM(S9:S59)</f>
        <v>14672704890200</v>
      </c>
      <c r="T62" s="4">
        <f>SUM(T9:T59)</f>
        <v>20563855531548.477</v>
      </c>
      <c r="U62" s="141">
        <f>IFERROR(($L62*$M62*N62)/S62,0)</f>
        <v>7.1745362435245036E-5</v>
      </c>
      <c r="V62" s="141">
        <f>IFERROR(($L62*$M62*O62)/T62,0)</f>
        <v>7.5686214263268839E-4</v>
      </c>
      <c r="W62" s="142"/>
      <c r="X62" s="142"/>
    </row>
    <row r="64" spans="2:24">
      <c r="D64" t="s">
        <v>1761</v>
      </c>
      <c r="E64" s="125">
        <f>E62/SUM(N62:O62)</f>
        <v>1.0010960906101574</v>
      </c>
      <c r="G64" s="125">
        <f>L62*M62*SUM(N62:O62)/G62</f>
        <v>0.99890510948905087</v>
      </c>
      <c r="K64" s="143"/>
      <c r="S64" s="125">
        <f>($L62*$M62*N62/U62)/S62</f>
        <v>1</v>
      </c>
      <c r="T64" s="125">
        <f>($L62*$M62*O62/V62)/T62</f>
        <v>1</v>
      </c>
    </row>
  </sheetData>
  <conditionalFormatting sqref="C93:C1048576 C4:C63">
    <cfRule type="duplicateValues" dxfId="0" priority="1"/>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95A4CF-50BD-424A-92B3-910D4BB4E452}">
  <dimension ref="A1:AG17"/>
  <sheetViews>
    <sheetView workbookViewId="0">
      <selection activeCell="B27" sqref="B27"/>
    </sheetView>
    <sheetView workbookViewId="1"/>
  </sheetViews>
  <sheetFormatPr defaultRowHeight="14.75"/>
  <cols>
    <col min="1" max="1" width="14.26953125" customWidth="1"/>
    <col min="2" max="2" width="32.7265625" customWidth="1"/>
  </cols>
  <sheetData>
    <row r="1" spans="1:33">
      <c r="A1">
        <v>10</v>
      </c>
      <c r="B1" t="s">
        <v>3915</v>
      </c>
    </row>
    <row r="3" spans="1:33">
      <c r="A3">
        <v>300</v>
      </c>
      <c r="B3" t="s">
        <v>3916</v>
      </c>
    </row>
    <row r="5" spans="1:33">
      <c r="A5">
        <v>0.75216927859794647</v>
      </c>
      <c r="B5" t="s">
        <v>3917</v>
      </c>
    </row>
    <row r="6" spans="1:33">
      <c r="A6">
        <v>0.24783072140205353</v>
      </c>
      <c r="B6" t="s">
        <v>3918</v>
      </c>
    </row>
    <row r="8" spans="1:33">
      <c r="A8">
        <v>0.80530539302477955</v>
      </c>
      <c r="B8" t="s">
        <v>3919</v>
      </c>
    </row>
    <row r="9" spans="1:33">
      <c r="A9">
        <v>0.19469457182812364</v>
      </c>
      <c r="B9" t="s">
        <v>3920</v>
      </c>
    </row>
    <row r="10" spans="1:33">
      <c r="A10" s="280"/>
    </row>
    <row r="11" spans="1:33">
      <c r="A11" t="s">
        <v>3921</v>
      </c>
      <c r="B11" s="281">
        <v>0.32500000000000001</v>
      </c>
      <c r="C11" s="281"/>
      <c r="D11" s="281"/>
      <c r="E11" s="281"/>
      <c r="F11" s="281"/>
      <c r="G11" s="281"/>
      <c r="H11" s="281"/>
      <c r="I11" s="281"/>
      <c r="J11" s="281"/>
      <c r="K11" s="281"/>
      <c r="L11" s="281"/>
      <c r="M11" s="281"/>
      <c r="N11" s="281"/>
      <c r="O11" s="281"/>
      <c r="P11" s="281"/>
      <c r="Q11" s="281"/>
      <c r="R11" s="281"/>
      <c r="S11" s="281"/>
      <c r="T11" s="281"/>
      <c r="U11" s="281"/>
      <c r="V11" s="281"/>
      <c r="W11" s="281"/>
      <c r="X11" s="281"/>
      <c r="Y11" s="281"/>
      <c r="Z11" s="281"/>
      <c r="AA11" s="281"/>
      <c r="AB11" s="281"/>
      <c r="AC11" s="281"/>
      <c r="AD11" s="281"/>
      <c r="AE11" s="281"/>
      <c r="AF11" s="281"/>
      <c r="AG11" s="281"/>
    </row>
    <row r="12" spans="1:33">
      <c r="A12" t="s">
        <v>3922</v>
      </c>
      <c r="B12" s="281">
        <v>0.95</v>
      </c>
      <c r="C12" s="281"/>
      <c r="D12" s="281"/>
      <c r="E12" s="281"/>
      <c r="F12" s="281"/>
      <c r="G12" s="281"/>
      <c r="H12" s="281"/>
      <c r="I12" s="281"/>
      <c r="J12" s="281"/>
      <c r="K12" s="281"/>
      <c r="L12" s="281"/>
      <c r="M12" s="281"/>
      <c r="N12" s="281"/>
      <c r="O12" s="281"/>
      <c r="P12" s="281"/>
      <c r="Q12" s="281"/>
      <c r="R12" s="281"/>
      <c r="S12" s="281"/>
      <c r="T12" s="281"/>
      <c r="U12" s="281"/>
      <c r="V12" s="281"/>
      <c r="W12" s="281"/>
      <c r="X12" s="281"/>
      <c r="Y12" s="281"/>
      <c r="Z12" s="281"/>
      <c r="AA12" s="281"/>
      <c r="AB12" s="281"/>
      <c r="AC12" s="281"/>
      <c r="AD12" s="281"/>
      <c r="AE12" s="281"/>
      <c r="AF12" s="281"/>
      <c r="AG12" s="281"/>
    </row>
    <row r="14" spans="1:33">
      <c r="A14" t="s">
        <v>3923</v>
      </c>
      <c r="B14">
        <v>23772624250000</v>
      </c>
      <c r="C14">
        <v>24047863950000</v>
      </c>
      <c r="D14">
        <v>24311497500000</v>
      </c>
      <c r="E14">
        <v>24540287900000</v>
      </c>
      <c r="F14">
        <v>24755604450000</v>
      </c>
      <c r="G14">
        <v>25001480600000</v>
      </c>
      <c r="H14">
        <v>25237832050000</v>
      </c>
      <c r="I14">
        <v>25472413650000</v>
      </c>
      <c r="J14">
        <v>25707567150000</v>
      </c>
      <c r="K14">
        <v>25945570650000</v>
      </c>
      <c r="L14">
        <v>26183748950000</v>
      </c>
      <c r="M14">
        <v>26400119050000</v>
      </c>
      <c r="N14">
        <v>26621834800000</v>
      </c>
      <c r="O14">
        <v>26843989450000</v>
      </c>
      <c r="P14">
        <v>27059580550000.004</v>
      </c>
      <c r="Q14">
        <v>27266110550000</v>
      </c>
      <c r="R14">
        <v>27465376850000</v>
      </c>
      <c r="S14">
        <v>27656835100000</v>
      </c>
      <c r="T14">
        <v>27848192650000</v>
      </c>
      <c r="U14">
        <v>28027393050000</v>
      </c>
      <c r="V14">
        <v>28200800350000</v>
      </c>
      <c r="W14">
        <v>28377071900000</v>
      </c>
      <c r="X14">
        <v>28541799050000</v>
      </c>
      <c r="Y14">
        <v>28696612000000.004</v>
      </c>
      <c r="Z14">
        <v>28851625400000</v>
      </c>
      <c r="AA14">
        <v>29000824800000</v>
      </c>
      <c r="AB14">
        <v>29146531050000</v>
      </c>
      <c r="AC14">
        <v>29301301249999.996</v>
      </c>
      <c r="AD14">
        <v>29458844500000</v>
      </c>
      <c r="AE14">
        <v>29624205300000</v>
      </c>
      <c r="AF14">
        <v>29799374850000.004</v>
      </c>
      <c r="AG14">
        <v>29981629500000</v>
      </c>
    </row>
    <row r="15" spans="1:33">
      <c r="A15" t="s">
        <v>3924</v>
      </c>
      <c r="B15">
        <v>7832793475000</v>
      </c>
      <c r="C15">
        <v>7976624175000</v>
      </c>
      <c r="D15">
        <v>8108632025000.002</v>
      </c>
      <c r="E15">
        <v>8220850950000</v>
      </c>
      <c r="F15">
        <v>8327773350000.002</v>
      </c>
      <c r="G15">
        <v>8456120400000</v>
      </c>
      <c r="H15">
        <v>8573548100000</v>
      </c>
      <c r="I15">
        <v>8689932549999.999</v>
      </c>
      <c r="J15">
        <v>8807058325000</v>
      </c>
      <c r="K15">
        <v>8929529375000.002</v>
      </c>
      <c r="L15">
        <v>9050899650000</v>
      </c>
      <c r="M15">
        <v>9140914250000</v>
      </c>
      <c r="N15">
        <v>9266734100000</v>
      </c>
      <c r="O15">
        <v>9393687550000</v>
      </c>
      <c r="P15">
        <v>9509812000000</v>
      </c>
      <c r="Q15">
        <v>9627574125000.002</v>
      </c>
      <c r="R15">
        <v>9747785775000</v>
      </c>
      <c r="S15">
        <v>9866314900000</v>
      </c>
      <c r="T15">
        <v>9992742825000</v>
      </c>
      <c r="U15">
        <v>10112273600000</v>
      </c>
      <c r="V15">
        <v>10232965600000</v>
      </c>
      <c r="W15">
        <v>10364983525000</v>
      </c>
      <c r="X15">
        <v>10493954250000</v>
      </c>
      <c r="Y15">
        <v>10615863375000</v>
      </c>
      <c r="Z15">
        <v>10746239075000</v>
      </c>
      <c r="AA15">
        <v>10875760675000</v>
      </c>
      <c r="AB15">
        <v>11001281525000</v>
      </c>
      <c r="AC15">
        <v>11133462925000</v>
      </c>
      <c r="AD15">
        <v>11252006350000</v>
      </c>
      <c r="AE15">
        <v>11366518150000.002</v>
      </c>
      <c r="AF15">
        <v>11475964175000</v>
      </c>
      <c r="AG15">
        <v>11576012825000</v>
      </c>
    </row>
    <row r="17" spans="1:2">
      <c r="A17" s="282">
        <v>0.74492317701702737</v>
      </c>
      <c r="B17" t="s">
        <v>3925</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5C2B84-C75B-4DEB-ACA0-1CE5B35170ED}">
  <dimension ref="A1:B6"/>
  <sheetViews>
    <sheetView workbookViewId="0"/>
    <sheetView workbookViewId="1"/>
  </sheetViews>
  <sheetFormatPr defaultRowHeight="14.75"/>
  <sheetData>
    <row r="1" spans="1:2">
      <c r="A1" t="s">
        <v>1764</v>
      </c>
    </row>
    <row r="2" spans="1:2">
      <c r="A2" t="s">
        <v>1762</v>
      </c>
    </row>
    <row r="3" spans="1:2">
      <c r="A3" t="s">
        <v>1763</v>
      </c>
    </row>
    <row r="5" spans="1:2">
      <c r="A5" t="s">
        <v>9</v>
      </c>
      <c r="B5">
        <v>5</v>
      </c>
    </row>
    <row r="6" spans="1:2">
      <c r="A6" t="s">
        <v>1765</v>
      </c>
      <c r="B6">
        <v>1</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32B3CB-496D-4C62-970C-5DC8AAABB0CB}">
  <dimension ref="A1:AD35"/>
  <sheetViews>
    <sheetView tabSelected="1" topLeftCell="A27" zoomScale="90" zoomScaleNormal="90" workbookViewId="0">
      <selection activeCell="D32" sqref="D32"/>
    </sheetView>
    <sheetView workbookViewId="1"/>
  </sheetViews>
  <sheetFormatPr defaultRowHeight="14.75"/>
  <cols>
    <col min="1" max="2" width="19" customWidth="1"/>
    <col min="3" max="3" width="13.26953125" bestFit="1" customWidth="1"/>
    <col min="4" max="4" width="12.54296875" bestFit="1" customWidth="1"/>
  </cols>
  <sheetData>
    <row r="1" spans="1:4" s="146" customFormat="1">
      <c r="A1" s="145" t="s">
        <v>3886</v>
      </c>
      <c r="B1" s="145" t="s">
        <v>3881</v>
      </c>
    </row>
    <row r="2" spans="1:4" ht="29.5">
      <c r="B2" s="8" t="s">
        <v>189</v>
      </c>
      <c r="C2" s="5">
        <v>2023</v>
      </c>
    </row>
    <row r="3" spans="1:4">
      <c r="A3" t="s">
        <v>3885</v>
      </c>
      <c r="B3" t="s">
        <v>4</v>
      </c>
      <c r="C3" s="6">
        <f>INDEX('AEO 2023 Table 7'!18:18,MATCH(C2,'AEO 2023 Table 7'!13:13,0))*1000000000/SUM('SYVbT-passenger'!B2:H2)</f>
        <v>11067.673242591927</v>
      </c>
      <c r="D3" s="125"/>
    </row>
    <row r="4" spans="1:4">
      <c r="A4" t="s">
        <v>3887</v>
      </c>
      <c r="B4" t="s">
        <v>5</v>
      </c>
      <c r="C4" s="6">
        <f>SUM('NTS 1-40'!AO12,'NTS 1-40'!AO14,'NTS 1-40'!AO18,'NTS 1-40'!AK20)*10^6/SUM('SYVbT-passenger'!B3:H3)/'AVLo-passengers'!B3*'Calibration multiplier'!B6</f>
        <v>18251.559178799398</v>
      </c>
      <c r="D4" s="125"/>
    </row>
    <row r="5" spans="1:4">
      <c r="B5" t="s">
        <v>6</v>
      </c>
      <c r="C5" s="131">
        <f>(SUM('AEO 2023 Table 47'!D43)*10^9)/'SYVbT-passenger'!E4/'AVLo-passengers'!C4</f>
        <v>1006948.7847249001</v>
      </c>
      <c r="D5" s="279"/>
    </row>
    <row r="6" spans="1:4">
      <c r="A6" t="s">
        <v>3888</v>
      </c>
      <c r="B6" t="s">
        <v>7</v>
      </c>
      <c r="C6" s="6">
        <f>'psgr rail calcs'!M62</f>
        <v>395569.47080291971</v>
      </c>
      <c r="D6" s="125"/>
    </row>
    <row r="7" spans="1:4">
      <c r="A7" t="s">
        <v>3889</v>
      </c>
      <c r="B7" t="s">
        <v>8</v>
      </c>
      <c r="C7" s="6">
        <f>SUM('NRBS 40'!D5,'NRBS 40'!D7,'NRBS 40'!D8)/SUM('NRBS 40'!B5,'NRBS 40'!B7,'NRBS 40'!B8)*1000</f>
        <v>194.17552144824873</v>
      </c>
      <c r="D7" s="125"/>
    </row>
    <row r="8" spans="1:4">
      <c r="A8" t="s">
        <v>3887</v>
      </c>
      <c r="B8" t="s">
        <v>9</v>
      </c>
      <c r="C8" s="6">
        <f>'NTS 1-40'!AO8*1000000/'SYVbT-passenger'!D7/'AVLo-passengers'!D7*'Calibration multiplier'!$B$5</f>
        <v>8560.5851028082216</v>
      </c>
      <c r="D8" s="125"/>
    </row>
    <row r="9" spans="1:4">
      <c r="C9" s="6"/>
    </row>
    <row r="10" spans="1:4" s="146" customFormat="1">
      <c r="B10" s="145" t="s">
        <v>3882</v>
      </c>
    </row>
    <row r="11" spans="1:4" ht="29.5">
      <c r="B11" s="8" t="s">
        <v>189</v>
      </c>
      <c r="C11" s="1">
        <v>2023</v>
      </c>
    </row>
    <row r="12" spans="1:4">
      <c r="A12" t="s">
        <v>3890</v>
      </c>
      <c r="B12" t="s">
        <v>4</v>
      </c>
      <c r="C12" s="6">
        <f>(INDEX('AEO 2023 Table 7'!19:19,MATCH(C11,'AEO 2023 Table 7'!$13:$13,0))+INDEX('AEO 2023 Table 49'!28:28,MATCH(C11,'AEO 2023 Table 49'!13:13,0))+INDEX('AEO 2023 Table 49'!39:39,MATCH(C11,'AEO 2023 Table 49'!13:13,0)))*1000000000/SUM('SYVbT-freight'!$B$2:$H$2)</f>
        <v>10155.518872505058</v>
      </c>
    </row>
    <row r="13" spans="1:4">
      <c r="A13" t="s">
        <v>3890</v>
      </c>
      <c r="B13" t="s">
        <v>5</v>
      </c>
      <c r="C13" s="6">
        <f>(INDEX('AEO 2023 Table 49'!50:50,MATCH(C11,'AEO 2023 Table 49'!13:13,0)))*1000000000/SUM('SYVbT-freight'!$B$3:$H$3)</f>
        <v>34683.392828657736</v>
      </c>
    </row>
    <row r="14" spans="1:4">
      <c r="B14" t="s">
        <v>6</v>
      </c>
      <c r="C14" s="131">
        <f>('AEO 2023 Table 47'!D81*10^9)/'SYVbT-freight'!E4/'AVLo-freight'!B4</f>
        <v>1066930.5220804622</v>
      </c>
    </row>
    <row r="15" spans="1:4">
      <c r="A15" t="s">
        <v>3890</v>
      </c>
      <c r="B15" t="s">
        <v>7</v>
      </c>
      <c r="C15" s="6">
        <f>INDEX('AEO 2023 Table 7'!27:27,MATCH(C11,'AEO 2023 Table 7'!13:13,0))*1000000000/'SYVbT-freight'!E5/'AVLo-freight'!B5</f>
        <v>18574.695684378694</v>
      </c>
    </row>
    <row r="16" spans="1:4">
      <c r="A16" t="s">
        <v>3890</v>
      </c>
      <c r="B16" t="s">
        <v>8</v>
      </c>
      <c r="C16" s="6">
        <f>(INDEX('AEO 2023 Table 7'!28:28,MATCH(C11,'AEO 2023 Table 7'!$13:$13,0))*1000000000/'SYVbT-freight'!E6/'AVLo-freight'!B6)*(('AEO 2023 Table 7'!C62+'AEO 2023 Table 7'!C63)/'AEO 2023 Table 7'!C62)</f>
        <v>247922.9173018997</v>
      </c>
    </row>
    <row r="17" spans="1:30">
      <c r="B17" t="s">
        <v>9</v>
      </c>
      <c r="C17" s="6">
        <v>0</v>
      </c>
    </row>
    <row r="19" spans="1:30" s="146" customFormat="1">
      <c r="B19" s="145" t="s">
        <v>3883</v>
      </c>
    </row>
    <row r="20" spans="1:30" ht="29.5">
      <c r="B20" s="8" t="s">
        <v>189</v>
      </c>
      <c r="C20" s="5">
        <v>2023</v>
      </c>
      <c r="D20" s="5">
        <v>2024</v>
      </c>
      <c r="E20" s="5">
        <v>2025</v>
      </c>
      <c r="F20" s="5">
        <v>2026</v>
      </c>
      <c r="G20" s="5">
        <v>2027</v>
      </c>
      <c r="H20" s="5">
        <v>2028</v>
      </c>
      <c r="I20" s="5">
        <v>2029</v>
      </c>
      <c r="J20" s="5">
        <v>2030</v>
      </c>
      <c r="K20" s="5">
        <v>2031</v>
      </c>
      <c r="L20" s="5">
        <v>2032</v>
      </c>
      <c r="M20" s="5">
        <v>2033</v>
      </c>
      <c r="N20" s="5">
        <v>2034</v>
      </c>
      <c r="O20" s="5">
        <v>2035</v>
      </c>
      <c r="P20" s="5">
        <v>2036</v>
      </c>
      <c r="Q20" s="5">
        <v>2037</v>
      </c>
      <c r="R20" s="5">
        <v>2038</v>
      </c>
      <c r="S20" s="5">
        <v>2039</v>
      </c>
      <c r="T20" s="5">
        <v>2040</v>
      </c>
      <c r="U20" s="5">
        <v>2041</v>
      </c>
      <c r="V20" s="5">
        <v>2042</v>
      </c>
      <c r="W20" s="5">
        <v>2043</v>
      </c>
      <c r="X20" s="5">
        <v>2044</v>
      </c>
      <c r="Y20" s="5">
        <v>2045</v>
      </c>
      <c r="Z20" s="5">
        <v>2046</v>
      </c>
      <c r="AA20" s="5">
        <v>2047</v>
      </c>
      <c r="AB20" s="5">
        <v>2048</v>
      </c>
      <c r="AC20" s="5">
        <v>2049</v>
      </c>
      <c r="AD20" s="5">
        <v>2050</v>
      </c>
    </row>
    <row r="21" spans="1:30">
      <c r="A21" t="s">
        <v>3890</v>
      </c>
      <c r="B21" t="s">
        <v>4</v>
      </c>
      <c r="C21" s="6">
        <f>C3</f>
        <v>11067.673242591927</v>
      </c>
      <c r="D21" s="6">
        <f>INDEX('AEO 2025 Table 7'!9:9,MATCH(D20,'AEO 2025 Table 7'!5:5,0))*1000000000/(INDEX('AEO 2025 Table 39'!50:50,MATCH(D20,'AEO 2025 Table 39'!5:5,0))*10^6)</f>
        <v>11353.892301695438</v>
      </c>
      <c r="E21" s="6">
        <f>INDEX('AEO 2025 Table 7'!9:9,MATCH(E20,'AEO 2025 Table 7'!5:5,0))*1000000000/(INDEX('AEO 2025 Table 39'!50:50,MATCH(E20,'AEO 2025 Table 39'!5:5,0))*10^6)</f>
        <v>11469.640736942216</v>
      </c>
      <c r="F21" s="6">
        <f>INDEX('AEO 2025 Table 7'!9:9,MATCH(F20,'AEO 2025 Table 7'!5:5,0))*1000000000/(INDEX('AEO 2025 Table 39'!50:50,MATCH(F20,'AEO 2025 Table 39'!5:5,0))*10^6)</f>
        <v>11489.003893438601</v>
      </c>
      <c r="G21" s="6">
        <f>INDEX('AEO 2025 Table 7'!9:9,MATCH(G20,'AEO 2025 Table 7'!5:5,0))*1000000000/(INDEX('AEO 2025 Table 39'!50:50,MATCH(G20,'AEO 2025 Table 39'!5:5,0))*10^6)</f>
        <v>11477.479114601931</v>
      </c>
      <c r="H21" s="6">
        <f>INDEX('AEO 2025 Table 7'!9:9,MATCH(H20,'AEO 2025 Table 7'!5:5,0))*1000000000/(INDEX('AEO 2025 Table 39'!50:50,MATCH(H20,'AEO 2025 Table 39'!5:5,0))*10^6)</f>
        <v>11475.677266729082</v>
      </c>
      <c r="I21" s="6">
        <f>INDEX('AEO 2025 Table 7'!9:9,MATCH(I20,'AEO 2025 Table 7'!5:5,0))*1000000000/(INDEX('AEO 2025 Table 39'!50:50,MATCH(I20,'AEO 2025 Table 39'!5:5,0))*10^6)</f>
        <v>11491.666492883422</v>
      </c>
      <c r="J21" s="6">
        <f>INDEX('AEO 2025 Table 7'!9:9,MATCH(J20,'AEO 2025 Table 7'!5:5,0))*1000000000/(INDEX('AEO 2025 Table 39'!50:50,MATCH(J20,'AEO 2025 Table 39'!5:5,0))*10^6)</f>
        <v>11523.767990122322</v>
      </c>
      <c r="K21" s="6">
        <f>INDEX('AEO 2025 Table 7'!9:9,MATCH(K20,'AEO 2025 Table 7'!5:5,0))*1000000000/(INDEX('AEO 2025 Table 39'!50:50,MATCH(K20,'AEO 2025 Table 39'!5:5,0))*10^6)</f>
        <v>11570.954055450758</v>
      </c>
      <c r="L21" s="6">
        <f>INDEX('AEO 2025 Table 7'!9:9,MATCH(L20,'AEO 2025 Table 7'!5:5,0))*1000000000/(INDEX('AEO 2025 Table 39'!50:50,MATCH(L20,'AEO 2025 Table 39'!5:5,0))*10^6)</f>
        <v>11602.923239935082</v>
      </c>
      <c r="M21" s="6">
        <f>INDEX('AEO 2025 Table 7'!9:9,MATCH(M20,'AEO 2025 Table 7'!5:5,0))*1000000000/(INDEX('AEO 2025 Table 39'!50:50,MATCH(M20,'AEO 2025 Table 39'!5:5,0))*10^6)</f>
        <v>11628.950376342538</v>
      </c>
      <c r="N21" s="6">
        <f>INDEX('AEO 2025 Table 7'!9:9,MATCH(N20,'AEO 2025 Table 7'!5:5,0))*1000000000/(INDEX('AEO 2025 Table 39'!50:50,MATCH(N20,'AEO 2025 Table 39'!5:5,0))*10^6)</f>
        <v>11653.282652326563</v>
      </c>
      <c r="O21" s="6">
        <f>INDEX('AEO 2025 Table 7'!9:9,MATCH(O20,'AEO 2025 Table 7'!5:5,0))*1000000000/(INDEX('AEO 2025 Table 39'!50:50,MATCH(O20,'AEO 2025 Table 39'!5:5,0))*10^6)</f>
        <v>11671.191106710465</v>
      </c>
      <c r="P21" s="6">
        <f>INDEX('AEO 2025 Table 7'!9:9,MATCH(P20,'AEO 2025 Table 7'!5:5,0))*1000000000/(INDEX('AEO 2025 Table 39'!50:50,MATCH(P20,'AEO 2025 Table 39'!5:5,0))*10^6)</f>
        <v>11698.841868044472</v>
      </c>
      <c r="Q21" s="6">
        <f>INDEX('AEO 2025 Table 7'!9:9,MATCH(Q20,'AEO 2025 Table 7'!5:5,0))*1000000000/(INDEX('AEO 2025 Table 39'!50:50,MATCH(Q20,'AEO 2025 Table 39'!5:5,0))*10^6)</f>
        <v>11743.312689490698</v>
      </c>
      <c r="R21" s="6">
        <f>INDEX('AEO 2025 Table 7'!9:9,MATCH(R20,'AEO 2025 Table 7'!5:5,0))*1000000000/(INDEX('AEO 2025 Table 39'!50:50,MATCH(R20,'AEO 2025 Table 39'!5:5,0))*10^6)</f>
        <v>11794.997891015239</v>
      </c>
      <c r="S21" s="6">
        <f>INDEX('AEO 2025 Table 7'!9:9,MATCH(S20,'AEO 2025 Table 7'!5:5,0))*1000000000/(INDEX('AEO 2025 Table 39'!50:50,MATCH(S20,'AEO 2025 Table 39'!5:5,0))*10^6)</f>
        <v>11839.748147218641</v>
      </c>
      <c r="T21" s="6">
        <f>INDEX('AEO 2025 Table 7'!9:9,MATCH(T20,'AEO 2025 Table 7'!5:5,0))*1000000000/(INDEX('AEO 2025 Table 39'!50:50,MATCH(T20,'AEO 2025 Table 39'!5:5,0))*10^6)</f>
        <v>11885.026611426378</v>
      </c>
      <c r="U21" s="6">
        <f>INDEX('AEO 2025 Table 7'!9:9,MATCH(U20,'AEO 2025 Table 7'!5:5,0))*1000000000/(INDEX('AEO 2025 Table 39'!50:50,MATCH(U20,'AEO 2025 Table 39'!5:5,0))*10^6)</f>
        <v>11927.907204303223</v>
      </c>
      <c r="V21" s="6">
        <f>INDEX('AEO 2025 Table 7'!9:9,MATCH(V20,'AEO 2025 Table 7'!5:5,0))*1000000000/(INDEX('AEO 2025 Table 39'!50:50,MATCH(V20,'AEO 2025 Table 39'!5:5,0))*10^6)</f>
        <v>11968.612195139185</v>
      </c>
      <c r="W21" s="6">
        <f>INDEX('AEO 2025 Table 7'!9:9,MATCH(W20,'AEO 2025 Table 7'!5:5,0))*1000000000/(INDEX('AEO 2025 Table 39'!50:50,MATCH(W20,'AEO 2025 Table 39'!5:5,0))*10^6)</f>
        <v>12006.037013431453</v>
      </c>
      <c r="X21" s="6">
        <f>INDEX('AEO 2025 Table 7'!9:9,MATCH(X20,'AEO 2025 Table 7'!5:5,0))*1000000000/(INDEX('AEO 2025 Table 39'!50:50,MATCH(X20,'AEO 2025 Table 39'!5:5,0))*10^6)</f>
        <v>12040.376640416156</v>
      </c>
      <c r="Y21" s="6">
        <f>INDEX('AEO 2025 Table 7'!9:9,MATCH(Y20,'AEO 2025 Table 7'!5:5,0))*1000000000/(INDEX('AEO 2025 Table 39'!50:50,MATCH(Y20,'AEO 2025 Table 39'!5:5,0))*10^6)</f>
        <v>12072.086790800531</v>
      </c>
      <c r="Z21" s="6">
        <f>INDEX('AEO 2025 Table 7'!9:9,MATCH(Z20,'AEO 2025 Table 7'!5:5,0))*1000000000/(INDEX('AEO 2025 Table 39'!50:50,MATCH(Z20,'AEO 2025 Table 39'!5:5,0))*10^6)</f>
        <v>12107.652291967081</v>
      </c>
      <c r="AA21" s="6">
        <f>INDEX('AEO 2025 Table 7'!9:9,MATCH(AA20,'AEO 2025 Table 7'!5:5,0))*1000000000/(INDEX('AEO 2025 Table 39'!50:50,MATCH(AA20,'AEO 2025 Table 39'!5:5,0))*10^6)</f>
        <v>12155.155132560492</v>
      </c>
      <c r="AB21" s="6">
        <f>INDEX('AEO 2025 Table 7'!9:9,MATCH(AB20,'AEO 2025 Table 7'!5:5,0))*1000000000/(INDEX('AEO 2025 Table 39'!50:50,MATCH(AB20,'AEO 2025 Table 39'!5:5,0))*10^6)</f>
        <v>12215.201665330957</v>
      </c>
      <c r="AC21" s="6">
        <f>INDEX('AEO 2025 Table 7'!9:9,MATCH(AC20,'AEO 2025 Table 7'!5:5,0))*1000000000/(INDEX('AEO 2025 Table 39'!50:50,MATCH(AC20,'AEO 2025 Table 39'!5:5,0))*10^6)</f>
        <v>12282.672218616737</v>
      </c>
      <c r="AD21" s="6">
        <f>INDEX('AEO 2025 Table 7'!9:9,MATCH(AD20,'AEO 2025 Table 7'!5:5,0))*1000000000/(INDEX('AEO 2025 Table 39'!50:50,MATCH(AD20,'AEO 2025 Table 39'!5:5,0))*10^6)</f>
        <v>12356.340785306031</v>
      </c>
    </row>
    <row r="22" spans="1:30">
      <c r="A22" t="s">
        <v>3887</v>
      </c>
      <c r="B22" t="s">
        <v>5</v>
      </c>
      <c r="C22" s="6">
        <f t="shared" ref="C22:C26" si="0">C4</f>
        <v>18251.559178799398</v>
      </c>
      <c r="D22" s="6">
        <f>C22</f>
        <v>18251.559178799398</v>
      </c>
      <c r="E22" s="6">
        <f t="shared" ref="E22:AD23" si="1">D22</f>
        <v>18251.559178799398</v>
      </c>
      <c r="F22" s="6">
        <f t="shared" si="1"/>
        <v>18251.559178799398</v>
      </c>
      <c r="G22" s="6">
        <f t="shared" si="1"/>
        <v>18251.559178799398</v>
      </c>
      <c r="H22" s="6">
        <f t="shared" si="1"/>
        <v>18251.559178799398</v>
      </c>
      <c r="I22" s="6">
        <f t="shared" si="1"/>
        <v>18251.559178799398</v>
      </c>
      <c r="J22" s="6">
        <f t="shared" si="1"/>
        <v>18251.559178799398</v>
      </c>
      <c r="K22" s="6">
        <f t="shared" si="1"/>
        <v>18251.559178799398</v>
      </c>
      <c r="L22" s="6">
        <f t="shared" si="1"/>
        <v>18251.559178799398</v>
      </c>
      <c r="M22" s="6">
        <f t="shared" si="1"/>
        <v>18251.559178799398</v>
      </c>
      <c r="N22" s="6">
        <f t="shared" si="1"/>
        <v>18251.559178799398</v>
      </c>
      <c r="O22" s="6">
        <f t="shared" si="1"/>
        <v>18251.559178799398</v>
      </c>
      <c r="P22" s="6">
        <f t="shared" si="1"/>
        <v>18251.559178799398</v>
      </c>
      <c r="Q22" s="6">
        <f t="shared" si="1"/>
        <v>18251.559178799398</v>
      </c>
      <c r="R22" s="6">
        <f t="shared" si="1"/>
        <v>18251.559178799398</v>
      </c>
      <c r="S22" s="6">
        <f t="shared" si="1"/>
        <v>18251.559178799398</v>
      </c>
      <c r="T22" s="6">
        <f t="shared" si="1"/>
        <v>18251.559178799398</v>
      </c>
      <c r="U22" s="6">
        <f t="shared" si="1"/>
        <v>18251.559178799398</v>
      </c>
      <c r="V22" s="6">
        <f t="shared" si="1"/>
        <v>18251.559178799398</v>
      </c>
      <c r="W22" s="6">
        <f t="shared" si="1"/>
        <v>18251.559178799398</v>
      </c>
      <c r="X22" s="6">
        <f t="shared" si="1"/>
        <v>18251.559178799398</v>
      </c>
      <c r="Y22" s="6">
        <f t="shared" si="1"/>
        <v>18251.559178799398</v>
      </c>
      <c r="Z22" s="6">
        <f t="shared" si="1"/>
        <v>18251.559178799398</v>
      </c>
      <c r="AA22" s="6">
        <f t="shared" si="1"/>
        <v>18251.559178799398</v>
      </c>
      <c r="AB22" s="6">
        <f t="shared" si="1"/>
        <v>18251.559178799398</v>
      </c>
      <c r="AC22" s="6">
        <f t="shared" si="1"/>
        <v>18251.559178799398</v>
      </c>
      <c r="AD22" s="6">
        <f t="shared" si="1"/>
        <v>18251.559178799398</v>
      </c>
    </row>
    <row r="23" spans="1:30">
      <c r="A23" t="s">
        <v>3890</v>
      </c>
      <c r="B23" t="s">
        <v>6</v>
      </c>
      <c r="C23" s="6">
        <f>C5</f>
        <v>1006948.7847249001</v>
      </c>
      <c r="D23" s="6">
        <f>C23</f>
        <v>1006948.7847249001</v>
      </c>
      <c r="E23" s="6">
        <f>D23</f>
        <v>1006948.7847249001</v>
      </c>
      <c r="F23" s="6">
        <f t="shared" si="1"/>
        <v>1006948.7847249001</v>
      </c>
      <c r="G23" s="6">
        <f t="shared" si="1"/>
        <v>1006948.7847249001</v>
      </c>
      <c r="H23" s="6">
        <f t="shared" si="1"/>
        <v>1006948.7847249001</v>
      </c>
      <c r="I23" s="6">
        <f t="shared" si="1"/>
        <v>1006948.7847249001</v>
      </c>
      <c r="J23" s="6">
        <f t="shared" si="1"/>
        <v>1006948.7847249001</v>
      </c>
      <c r="K23" s="6">
        <f t="shared" si="1"/>
        <v>1006948.7847249001</v>
      </c>
      <c r="L23" s="6">
        <f t="shared" si="1"/>
        <v>1006948.7847249001</v>
      </c>
      <c r="M23" s="6">
        <f t="shared" si="1"/>
        <v>1006948.7847249001</v>
      </c>
      <c r="N23" s="6">
        <f t="shared" si="1"/>
        <v>1006948.7847249001</v>
      </c>
      <c r="O23" s="6">
        <f t="shared" si="1"/>
        <v>1006948.7847249001</v>
      </c>
      <c r="P23" s="6">
        <f t="shared" si="1"/>
        <v>1006948.7847249001</v>
      </c>
      <c r="Q23" s="6">
        <f t="shared" si="1"/>
        <v>1006948.7847249001</v>
      </c>
      <c r="R23" s="6">
        <f t="shared" si="1"/>
        <v>1006948.7847249001</v>
      </c>
      <c r="S23" s="6">
        <f t="shared" si="1"/>
        <v>1006948.7847249001</v>
      </c>
      <c r="T23" s="6">
        <f t="shared" si="1"/>
        <v>1006948.7847249001</v>
      </c>
      <c r="U23" s="6">
        <f t="shared" si="1"/>
        <v>1006948.7847249001</v>
      </c>
      <c r="V23" s="6">
        <f t="shared" si="1"/>
        <v>1006948.7847249001</v>
      </c>
      <c r="W23" s="6">
        <f t="shared" si="1"/>
        <v>1006948.7847249001</v>
      </c>
      <c r="X23" s="6">
        <f t="shared" si="1"/>
        <v>1006948.7847249001</v>
      </c>
      <c r="Y23" s="6">
        <f t="shared" si="1"/>
        <v>1006948.7847249001</v>
      </c>
      <c r="Z23" s="6">
        <f t="shared" si="1"/>
        <v>1006948.7847249001</v>
      </c>
      <c r="AA23" s="6">
        <f t="shared" si="1"/>
        <v>1006948.7847249001</v>
      </c>
      <c r="AB23" s="6">
        <f t="shared" si="1"/>
        <v>1006948.7847249001</v>
      </c>
      <c r="AC23" s="6">
        <f t="shared" si="1"/>
        <v>1006948.7847249001</v>
      </c>
      <c r="AD23" s="6">
        <f t="shared" si="1"/>
        <v>1006948.7847249001</v>
      </c>
    </row>
    <row r="24" spans="1:30">
      <c r="A24" t="s">
        <v>3908</v>
      </c>
      <c r="B24" t="s">
        <v>7</v>
      </c>
      <c r="C24" s="6">
        <f t="shared" si="0"/>
        <v>395569.47080291971</v>
      </c>
      <c r="D24" s="6">
        <f>C24</f>
        <v>395569.47080291971</v>
      </c>
      <c r="E24" s="6">
        <f t="shared" ref="E24:AD24" si="2">D24</f>
        <v>395569.47080291971</v>
      </c>
      <c r="F24" s="6">
        <f t="shared" si="2"/>
        <v>395569.47080291971</v>
      </c>
      <c r="G24" s="6">
        <f t="shared" si="2"/>
        <v>395569.47080291971</v>
      </c>
      <c r="H24" s="6">
        <f t="shared" si="2"/>
        <v>395569.47080291971</v>
      </c>
      <c r="I24" s="6">
        <f t="shared" si="2"/>
        <v>395569.47080291971</v>
      </c>
      <c r="J24" s="6">
        <f t="shared" si="2"/>
        <v>395569.47080291971</v>
      </c>
      <c r="K24" s="6">
        <f t="shared" si="2"/>
        <v>395569.47080291971</v>
      </c>
      <c r="L24" s="6">
        <f t="shared" si="2"/>
        <v>395569.47080291971</v>
      </c>
      <c r="M24" s="6">
        <f t="shared" si="2"/>
        <v>395569.47080291971</v>
      </c>
      <c r="N24" s="6">
        <f t="shared" si="2"/>
        <v>395569.47080291971</v>
      </c>
      <c r="O24" s="6">
        <f t="shared" si="2"/>
        <v>395569.47080291971</v>
      </c>
      <c r="P24" s="6">
        <f t="shared" si="2"/>
        <v>395569.47080291971</v>
      </c>
      <c r="Q24" s="6">
        <f t="shared" si="2"/>
        <v>395569.47080291971</v>
      </c>
      <c r="R24" s="6">
        <f t="shared" si="2"/>
        <v>395569.47080291971</v>
      </c>
      <c r="S24" s="6">
        <f t="shared" si="2"/>
        <v>395569.47080291971</v>
      </c>
      <c r="T24" s="6">
        <f t="shared" si="2"/>
        <v>395569.47080291971</v>
      </c>
      <c r="U24" s="6">
        <f t="shared" si="2"/>
        <v>395569.47080291971</v>
      </c>
      <c r="V24" s="6">
        <f t="shared" si="2"/>
        <v>395569.47080291971</v>
      </c>
      <c r="W24" s="6">
        <f t="shared" si="2"/>
        <v>395569.47080291971</v>
      </c>
      <c r="X24" s="6">
        <f t="shared" si="2"/>
        <v>395569.47080291971</v>
      </c>
      <c r="Y24" s="6">
        <f t="shared" si="2"/>
        <v>395569.47080291971</v>
      </c>
      <c r="Z24" s="6">
        <f t="shared" si="2"/>
        <v>395569.47080291971</v>
      </c>
      <c r="AA24" s="6">
        <f t="shared" si="2"/>
        <v>395569.47080291971</v>
      </c>
      <c r="AB24" s="6">
        <f t="shared" si="2"/>
        <v>395569.47080291971</v>
      </c>
      <c r="AC24" s="6">
        <f t="shared" si="2"/>
        <v>395569.47080291971</v>
      </c>
      <c r="AD24" s="6">
        <f t="shared" si="2"/>
        <v>395569.47080291971</v>
      </c>
    </row>
    <row r="25" spans="1:30">
      <c r="A25" t="s">
        <v>3889</v>
      </c>
      <c r="B25" t="s">
        <v>8</v>
      </c>
      <c r="C25" s="6">
        <f t="shared" si="0"/>
        <v>194.17552144824873</v>
      </c>
      <c r="D25" s="6">
        <f>C25</f>
        <v>194.17552144824873</v>
      </c>
      <c r="E25" s="6">
        <f t="shared" ref="E25:AD25" si="3">D25</f>
        <v>194.17552144824873</v>
      </c>
      <c r="F25" s="6">
        <f t="shared" si="3"/>
        <v>194.17552144824873</v>
      </c>
      <c r="G25" s="6">
        <f t="shared" si="3"/>
        <v>194.17552144824873</v>
      </c>
      <c r="H25" s="6">
        <f t="shared" si="3"/>
        <v>194.17552144824873</v>
      </c>
      <c r="I25" s="6">
        <f t="shared" si="3"/>
        <v>194.17552144824873</v>
      </c>
      <c r="J25" s="6">
        <f t="shared" si="3"/>
        <v>194.17552144824873</v>
      </c>
      <c r="K25" s="6">
        <f t="shared" si="3"/>
        <v>194.17552144824873</v>
      </c>
      <c r="L25" s="6">
        <f t="shared" si="3"/>
        <v>194.17552144824873</v>
      </c>
      <c r="M25" s="6">
        <f t="shared" si="3"/>
        <v>194.17552144824873</v>
      </c>
      <c r="N25" s="6">
        <f t="shared" si="3"/>
        <v>194.17552144824873</v>
      </c>
      <c r="O25" s="6">
        <f t="shared" si="3"/>
        <v>194.17552144824873</v>
      </c>
      <c r="P25" s="6">
        <f t="shared" si="3"/>
        <v>194.17552144824873</v>
      </c>
      <c r="Q25" s="6">
        <f t="shared" si="3"/>
        <v>194.17552144824873</v>
      </c>
      <c r="R25" s="6">
        <f t="shared" si="3"/>
        <v>194.17552144824873</v>
      </c>
      <c r="S25" s="6">
        <f t="shared" si="3"/>
        <v>194.17552144824873</v>
      </c>
      <c r="T25" s="6">
        <f t="shared" si="3"/>
        <v>194.17552144824873</v>
      </c>
      <c r="U25" s="6">
        <f t="shared" si="3"/>
        <v>194.17552144824873</v>
      </c>
      <c r="V25" s="6">
        <f t="shared" si="3"/>
        <v>194.17552144824873</v>
      </c>
      <c r="W25" s="6">
        <f t="shared" si="3"/>
        <v>194.17552144824873</v>
      </c>
      <c r="X25" s="6">
        <f t="shared" si="3"/>
        <v>194.17552144824873</v>
      </c>
      <c r="Y25" s="6">
        <f t="shared" si="3"/>
        <v>194.17552144824873</v>
      </c>
      <c r="Z25" s="6">
        <f t="shared" si="3"/>
        <v>194.17552144824873</v>
      </c>
      <c r="AA25" s="6">
        <f t="shared" si="3"/>
        <v>194.17552144824873</v>
      </c>
      <c r="AB25" s="6">
        <f t="shared" si="3"/>
        <v>194.17552144824873</v>
      </c>
      <c r="AC25" s="6">
        <f t="shared" si="3"/>
        <v>194.17552144824873</v>
      </c>
      <c r="AD25" s="6">
        <f t="shared" si="3"/>
        <v>194.17552144824873</v>
      </c>
    </row>
    <row r="26" spans="1:30">
      <c r="A26" t="s">
        <v>3887</v>
      </c>
      <c r="B26" t="s">
        <v>9</v>
      </c>
      <c r="C26" s="6">
        <f t="shared" si="0"/>
        <v>8560.5851028082216</v>
      </c>
      <c r="D26" s="6">
        <f>C26</f>
        <v>8560.5851028082216</v>
      </c>
      <c r="E26" s="6">
        <f t="shared" ref="E26:AD26" si="4">D26</f>
        <v>8560.5851028082216</v>
      </c>
      <c r="F26" s="6">
        <f t="shared" si="4"/>
        <v>8560.5851028082216</v>
      </c>
      <c r="G26" s="6">
        <f t="shared" si="4"/>
        <v>8560.5851028082216</v>
      </c>
      <c r="H26" s="6">
        <f t="shared" si="4"/>
        <v>8560.5851028082216</v>
      </c>
      <c r="I26" s="6">
        <f t="shared" si="4"/>
        <v>8560.5851028082216</v>
      </c>
      <c r="J26" s="6">
        <f t="shared" si="4"/>
        <v>8560.5851028082216</v>
      </c>
      <c r="K26" s="6">
        <f t="shared" si="4"/>
        <v>8560.5851028082216</v>
      </c>
      <c r="L26" s="6">
        <f t="shared" si="4"/>
        <v>8560.5851028082216</v>
      </c>
      <c r="M26" s="6">
        <f t="shared" si="4"/>
        <v>8560.5851028082216</v>
      </c>
      <c r="N26" s="6">
        <f t="shared" si="4"/>
        <v>8560.5851028082216</v>
      </c>
      <c r="O26" s="6">
        <f t="shared" si="4"/>
        <v>8560.5851028082216</v>
      </c>
      <c r="P26" s="6">
        <f t="shared" si="4"/>
        <v>8560.5851028082216</v>
      </c>
      <c r="Q26" s="6">
        <f t="shared" si="4"/>
        <v>8560.5851028082216</v>
      </c>
      <c r="R26" s="6">
        <f t="shared" si="4"/>
        <v>8560.5851028082216</v>
      </c>
      <c r="S26" s="6">
        <f t="shared" si="4"/>
        <v>8560.5851028082216</v>
      </c>
      <c r="T26" s="6">
        <f t="shared" si="4"/>
        <v>8560.5851028082216</v>
      </c>
      <c r="U26" s="6">
        <f t="shared" si="4"/>
        <v>8560.5851028082216</v>
      </c>
      <c r="V26" s="6">
        <f t="shared" si="4"/>
        <v>8560.5851028082216</v>
      </c>
      <c r="W26" s="6">
        <f t="shared" si="4"/>
        <v>8560.5851028082216</v>
      </c>
      <c r="X26" s="6">
        <f t="shared" si="4"/>
        <v>8560.5851028082216</v>
      </c>
      <c r="Y26" s="6">
        <f t="shared" si="4"/>
        <v>8560.5851028082216</v>
      </c>
      <c r="Z26" s="6">
        <f t="shared" si="4"/>
        <v>8560.5851028082216</v>
      </c>
      <c r="AA26" s="6">
        <f t="shared" si="4"/>
        <v>8560.5851028082216</v>
      </c>
      <c r="AB26" s="6">
        <f t="shared" si="4"/>
        <v>8560.5851028082216</v>
      </c>
      <c r="AC26" s="6">
        <f t="shared" si="4"/>
        <v>8560.5851028082216</v>
      </c>
      <c r="AD26" s="6">
        <f t="shared" si="4"/>
        <v>8560.5851028082216</v>
      </c>
    </row>
    <row r="28" spans="1:30" s="146" customFormat="1">
      <c r="B28" s="145" t="s">
        <v>3884</v>
      </c>
    </row>
    <row r="29" spans="1:30" ht="29.5">
      <c r="B29" s="8" t="s">
        <v>189</v>
      </c>
      <c r="C29" s="1">
        <v>2023</v>
      </c>
      <c r="D29" s="1">
        <v>2024</v>
      </c>
      <c r="E29" s="1">
        <v>2025</v>
      </c>
      <c r="F29" s="1">
        <v>2026</v>
      </c>
      <c r="G29" s="1">
        <v>2027</v>
      </c>
      <c r="H29" s="1">
        <v>2028</v>
      </c>
      <c r="I29" s="1">
        <v>2029</v>
      </c>
      <c r="J29" s="1">
        <v>2030</v>
      </c>
      <c r="K29" s="1">
        <v>2031</v>
      </c>
      <c r="L29" s="1">
        <v>2032</v>
      </c>
      <c r="M29" s="1">
        <v>2033</v>
      </c>
      <c r="N29" s="1">
        <v>2034</v>
      </c>
      <c r="O29" s="1">
        <v>2035</v>
      </c>
      <c r="P29" s="1">
        <v>2036</v>
      </c>
      <c r="Q29" s="1">
        <v>2037</v>
      </c>
      <c r="R29" s="1">
        <v>2038</v>
      </c>
      <c r="S29" s="1">
        <v>2039</v>
      </c>
      <c r="T29" s="1">
        <v>2040</v>
      </c>
      <c r="U29" s="1">
        <v>2041</v>
      </c>
      <c r="V29" s="1">
        <v>2042</v>
      </c>
      <c r="W29" s="1">
        <v>2043</v>
      </c>
      <c r="X29" s="1">
        <v>2044</v>
      </c>
      <c r="Y29" s="1">
        <v>2045</v>
      </c>
      <c r="Z29" s="1">
        <v>2046</v>
      </c>
      <c r="AA29" s="1">
        <v>2047</v>
      </c>
      <c r="AB29" s="1">
        <v>2048</v>
      </c>
      <c r="AC29" s="1">
        <v>2049</v>
      </c>
      <c r="AD29" s="1">
        <v>2050</v>
      </c>
    </row>
    <row r="30" spans="1:30">
      <c r="A30" t="s">
        <v>3890</v>
      </c>
      <c r="B30" t="s">
        <v>4</v>
      </c>
      <c r="C30" s="6">
        <f>C12</f>
        <v>10155.518872505058</v>
      </c>
      <c r="D30" s="6">
        <f>('AEO 2025 Table 7'!F10+'AEO 2025 Table 49'!F21+'AEO 2025 Table 49'!F35)*10^9/('AEO 2025 Table 45'!F63*1000+
('AEO 2025 Table 49'!F166+'AEO 2025 Table 49'!F180)*10^6)</f>
        <v>9916.3883242938973</v>
      </c>
      <c r="E30" s="6">
        <f>('AEO 2025 Table 7'!G10+'AEO 2025 Table 49'!G21+'AEO 2025 Table 49'!G35)*10^9/('AEO 2025 Table 45'!G63*1000+
('AEO 2025 Table 49'!G166+'AEO 2025 Table 49'!G180)*10^6)</f>
        <v>9903.0398731750483</v>
      </c>
      <c r="F30" s="6">
        <f>('AEO 2025 Table 7'!H10+'AEO 2025 Table 49'!H21+'AEO 2025 Table 49'!H35)*10^9/('AEO 2025 Table 45'!H63*1000+
('AEO 2025 Table 49'!H166+'AEO 2025 Table 49'!H180)*10^6)</f>
        <v>9817.3100034834206</v>
      </c>
      <c r="G30" s="6">
        <f>('AEO 2025 Table 7'!I10+'AEO 2025 Table 49'!I21+'AEO 2025 Table 49'!I35)*10^9/('AEO 2025 Table 45'!I63*1000+
('AEO 2025 Table 49'!I166+'AEO 2025 Table 49'!I180)*10^6)</f>
        <v>9729.45060479729</v>
      </c>
      <c r="H30" s="6">
        <f>('AEO 2025 Table 7'!J10+'AEO 2025 Table 49'!J21+'AEO 2025 Table 49'!J35)*10^9/('AEO 2025 Table 45'!J63*1000+
('AEO 2025 Table 49'!J166+'AEO 2025 Table 49'!J180)*10^6)</f>
        <v>9642.871246047891</v>
      </c>
      <c r="I30" s="6">
        <f>('AEO 2025 Table 7'!K10+'AEO 2025 Table 49'!K21+'AEO 2025 Table 49'!K35)*10^9/('AEO 2025 Table 45'!K63*1000+
('AEO 2025 Table 49'!K166+'AEO 2025 Table 49'!K180)*10^6)</f>
        <v>9600.0516071221045</v>
      </c>
      <c r="J30" s="6">
        <f>('AEO 2025 Table 7'!L10+'AEO 2025 Table 49'!L21+'AEO 2025 Table 49'!L35)*10^9/('AEO 2025 Table 45'!L63*1000+
('AEO 2025 Table 49'!L166+'AEO 2025 Table 49'!L180)*10^6)</f>
        <v>9584.769867585479</v>
      </c>
      <c r="K30" s="6">
        <f>('AEO 2025 Table 7'!M10+'AEO 2025 Table 49'!M21+'AEO 2025 Table 49'!M35)*10^9/('AEO 2025 Table 45'!M63*1000+
('AEO 2025 Table 49'!M166+'AEO 2025 Table 49'!M180)*10^6)</f>
        <v>9584.9365802218308</v>
      </c>
      <c r="L30" s="6">
        <f>('AEO 2025 Table 7'!N10+'AEO 2025 Table 49'!N21+'AEO 2025 Table 49'!N35)*10^9/('AEO 2025 Table 45'!N63*1000+
('AEO 2025 Table 49'!N166+'AEO 2025 Table 49'!N180)*10^6)</f>
        <v>9590.7812590426129</v>
      </c>
      <c r="M30" s="6">
        <f>('AEO 2025 Table 7'!O10+'AEO 2025 Table 49'!O21+'AEO 2025 Table 49'!O35)*10^9/('AEO 2025 Table 45'!O63*1000+
('AEO 2025 Table 49'!O166+'AEO 2025 Table 49'!O180)*10^6)</f>
        <v>9610.7278559055176</v>
      </c>
      <c r="N30" s="6">
        <f>('AEO 2025 Table 7'!P10+'AEO 2025 Table 49'!P21+'AEO 2025 Table 49'!P35)*10^9/('AEO 2025 Table 45'!P63*1000+
('AEO 2025 Table 49'!P166+'AEO 2025 Table 49'!P180)*10^6)</f>
        <v>9645.3130318687054</v>
      </c>
      <c r="O30" s="6">
        <f>('AEO 2025 Table 7'!Q10+'AEO 2025 Table 49'!Q21+'AEO 2025 Table 49'!Q35)*10^9/('AEO 2025 Table 45'!Q63*1000+
('AEO 2025 Table 49'!Q166+'AEO 2025 Table 49'!Q180)*10^6)</f>
        <v>9688.6300094460603</v>
      </c>
      <c r="P30" s="6">
        <f>('AEO 2025 Table 7'!R10+'AEO 2025 Table 49'!R21+'AEO 2025 Table 49'!R35)*10^9/('AEO 2025 Table 45'!R63*1000+
('AEO 2025 Table 49'!R166+'AEO 2025 Table 49'!R180)*10^6)</f>
        <v>9739.1109433827241</v>
      </c>
      <c r="Q30" s="6">
        <f>('AEO 2025 Table 7'!S10+'AEO 2025 Table 49'!S21+'AEO 2025 Table 49'!S35)*10^9/('AEO 2025 Table 45'!S63*1000+
('AEO 2025 Table 49'!S166+'AEO 2025 Table 49'!S180)*10^6)</f>
        <v>9793.7936915454047</v>
      </c>
      <c r="R30" s="6">
        <f>('AEO 2025 Table 7'!T10+'AEO 2025 Table 49'!T21+'AEO 2025 Table 49'!T35)*10^9/('AEO 2025 Table 45'!T63*1000+
('AEO 2025 Table 49'!T166+'AEO 2025 Table 49'!T180)*10^6)</f>
        <v>9851.3301657006796</v>
      </c>
      <c r="S30" s="6">
        <f>('AEO 2025 Table 7'!U10+'AEO 2025 Table 49'!U21+'AEO 2025 Table 49'!U35)*10^9/('AEO 2025 Table 45'!U63*1000+
('AEO 2025 Table 49'!U166+'AEO 2025 Table 49'!U180)*10^6)</f>
        <v>9903.8310794226527</v>
      </c>
      <c r="T30" s="6">
        <f>('AEO 2025 Table 7'!V10+'AEO 2025 Table 49'!V21+'AEO 2025 Table 49'!V35)*10^9/('AEO 2025 Table 45'!V63*1000+
('AEO 2025 Table 49'!V166+'AEO 2025 Table 49'!V180)*10^6)</f>
        <v>9968.2795931297442</v>
      </c>
      <c r="U30" s="6">
        <f>('AEO 2025 Table 7'!W10+'AEO 2025 Table 49'!W21+'AEO 2025 Table 49'!W35)*10^9/('AEO 2025 Table 45'!W63*1000+
('AEO 2025 Table 49'!W166+'AEO 2025 Table 49'!W180)*10^6)</f>
        <v>10019.891923869256</v>
      </c>
      <c r="V30" s="6">
        <f>('AEO 2025 Table 7'!X10+'AEO 2025 Table 49'!X21+'AEO 2025 Table 49'!X35)*10^9/('AEO 2025 Table 45'!X63*1000+
('AEO 2025 Table 49'!X166+'AEO 2025 Table 49'!X180)*10^6)</f>
        <v>10066.010048571503</v>
      </c>
      <c r="W30" s="6">
        <f>('AEO 2025 Table 7'!Y10+'AEO 2025 Table 49'!Y21+'AEO 2025 Table 49'!Y35)*10^9/('AEO 2025 Table 45'!Y63*1000+
('AEO 2025 Table 49'!Y166+'AEO 2025 Table 49'!Y180)*10^6)</f>
        <v>10082.764999371682</v>
      </c>
      <c r="X30" s="6">
        <f>('AEO 2025 Table 7'!Z10+'AEO 2025 Table 49'!Z21+'AEO 2025 Table 49'!Z35)*10^9/('AEO 2025 Table 45'!Z63*1000+
('AEO 2025 Table 49'!Z166+'AEO 2025 Table 49'!Z180)*10^6)</f>
        <v>10084.301849881855</v>
      </c>
      <c r="Y30" s="6">
        <f>('AEO 2025 Table 7'!AA10+'AEO 2025 Table 49'!AA21+'AEO 2025 Table 49'!AA35)*10^9/('AEO 2025 Table 45'!AA63*1000+
('AEO 2025 Table 49'!AA166+'AEO 2025 Table 49'!AA180)*10^6)</f>
        <v>10096.712873800139</v>
      </c>
      <c r="Z30" s="6">
        <f>('AEO 2025 Table 7'!AB10+'AEO 2025 Table 49'!AB21+'AEO 2025 Table 49'!AB35)*10^9/('AEO 2025 Table 45'!AB63*1000+
('AEO 2025 Table 49'!AB166+'AEO 2025 Table 49'!AB180)*10^6)</f>
        <v>10116.925595529277</v>
      </c>
      <c r="AA30" s="6">
        <f>('AEO 2025 Table 7'!AC10+'AEO 2025 Table 49'!AC21+'AEO 2025 Table 49'!AC35)*10^9/('AEO 2025 Table 45'!AC63*1000+
('AEO 2025 Table 49'!AC166+'AEO 2025 Table 49'!AC180)*10^6)</f>
        <v>10157.827305743926</v>
      </c>
      <c r="AB30" s="6">
        <f>('AEO 2025 Table 7'!AD10+'AEO 2025 Table 49'!AD21+'AEO 2025 Table 49'!AD35)*10^9/('AEO 2025 Table 45'!AD63*1000+
('AEO 2025 Table 49'!AD166+'AEO 2025 Table 49'!AD180)*10^6)</f>
        <v>10193.32938259816</v>
      </c>
      <c r="AC30" s="6">
        <f>('AEO 2025 Table 7'!AE10+'AEO 2025 Table 49'!AE21+'AEO 2025 Table 49'!AE35)*10^9/('AEO 2025 Table 45'!AE63*1000+
('AEO 2025 Table 49'!AE166+'AEO 2025 Table 49'!AE180)*10^6)</f>
        <v>10234.691519557757</v>
      </c>
      <c r="AD30" s="6">
        <f>('AEO 2025 Table 7'!AF10+'AEO 2025 Table 49'!AF21+'AEO 2025 Table 49'!AF35)*10^9/('AEO 2025 Table 45'!AF63*1000+
('AEO 2025 Table 49'!AF166+'AEO 2025 Table 49'!AF180)*10^6)</f>
        <v>10276.40700846614</v>
      </c>
    </row>
    <row r="31" spans="1:30">
      <c r="A31" t="s">
        <v>3890</v>
      </c>
      <c r="B31" t="s">
        <v>5</v>
      </c>
      <c r="C31" s="6">
        <f t="shared" ref="C31:C35" si="5">C13</f>
        <v>34683.392828657736</v>
      </c>
      <c r="D31" s="6">
        <f>('AEO 2025 Table 49'!F49)*1000000000/('AEO 2025 Table 49'!F194*10^6)</f>
        <v>35195.257623258796</v>
      </c>
      <c r="E31" s="6">
        <f>('AEO 2025 Table 49'!G49)*1000000000/('AEO 2025 Table 49'!G194*10^6)</f>
        <v>35481.03240954085</v>
      </c>
      <c r="F31" s="6">
        <f>('AEO 2025 Table 49'!H49)*1000000000/('AEO 2025 Table 49'!H194*10^6)</f>
        <v>35327.108456501213</v>
      </c>
      <c r="G31" s="6">
        <f>('AEO 2025 Table 49'!I49)*1000000000/('AEO 2025 Table 49'!I194*10^6)</f>
        <v>35020.695207729972</v>
      </c>
      <c r="H31" s="6">
        <f>('AEO 2025 Table 49'!J49)*1000000000/('AEO 2025 Table 49'!J194*10^6)</f>
        <v>34630.184877884174</v>
      </c>
      <c r="I31" s="6">
        <f>('AEO 2025 Table 49'!K49)*1000000000/('AEO 2025 Table 49'!K194*10^6)</f>
        <v>34342.52244699646</v>
      </c>
      <c r="J31" s="6">
        <f>('AEO 2025 Table 49'!L49)*1000000000/('AEO 2025 Table 49'!L194*10^6)</f>
        <v>34091.330006031792</v>
      </c>
      <c r="K31" s="6">
        <f>('AEO 2025 Table 49'!M49)*1000000000/('AEO 2025 Table 49'!M194*10^6)</f>
        <v>33820.96301802183</v>
      </c>
      <c r="L31" s="6">
        <f>('AEO 2025 Table 49'!N49)*1000000000/('AEO 2025 Table 49'!N194*10^6)</f>
        <v>33589.130371683168</v>
      </c>
      <c r="M31" s="6">
        <f>('AEO 2025 Table 49'!O49)*1000000000/('AEO 2025 Table 49'!O194*10^6)</f>
        <v>33361.113326935396</v>
      </c>
      <c r="N31" s="6">
        <f>('AEO 2025 Table 49'!P49)*1000000000/('AEO 2025 Table 49'!P194*10^6)</f>
        <v>33221.146172610912</v>
      </c>
      <c r="O31" s="6">
        <f>('AEO 2025 Table 49'!Q49)*1000000000/('AEO 2025 Table 49'!Q194*10^6)</f>
        <v>33079.306546996071</v>
      </c>
      <c r="P31" s="6">
        <f>('AEO 2025 Table 49'!R49)*1000000000/('AEO 2025 Table 49'!R194*10^6)</f>
        <v>32948.166235938545</v>
      </c>
      <c r="Q31" s="6">
        <f>('AEO 2025 Table 49'!S49)*1000000000/('AEO 2025 Table 49'!S194*10^6)</f>
        <v>32832.013303146057</v>
      </c>
      <c r="R31" s="6">
        <f>('AEO 2025 Table 49'!T49)*1000000000/('AEO 2025 Table 49'!T194*10^6)</f>
        <v>32720.655369894019</v>
      </c>
      <c r="S31" s="6">
        <f>('AEO 2025 Table 49'!U49)*1000000000/('AEO 2025 Table 49'!U194*10^6)</f>
        <v>32617.805818163215</v>
      </c>
      <c r="T31" s="6">
        <f>('AEO 2025 Table 49'!V49)*1000000000/('AEO 2025 Table 49'!V194*10^6)</f>
        <v>32565.212757977395</v>
      </c>
      <c r="U31" s="6">
        <f>('AEO 2025 Table 49'!W49)*1000000000/('AEO 2025 Table 49'!W194*10^6)</f>
        <v>32563.094494321438</v>
      </c>
      <c r="V31" s="6">
        <f>('AEO 2025 Table 49'!X49)*1000000000/('AEO 2025 Table 49'!X194*10^6)</f>
        <v>32509.759652040844</v>
      </c>
      <c r="W31" s="6">
        <f>('AEO 2025 Table 49'!Y49)*1000000000/('AEO 2025 Table 49'!Y194*10^6)</f>
        <v>32396.948014106929</v>
      </c>
      <c r="X31" s="6">
        <f>('AEO 2025 Table 49'!Z49)*1000000000/('AEO 2025 Table 49'!Z194*10^6)</f>
        <v>32242.089333019328</v>
      </c>
      <c r="Y31" s="6">
        <f>('AEO 2025 Table 49'!AA49)*1000000000/('AEO 2025 Table 49'!AA194*10^6)</f>
        <v>32109.763971342538</v>
      </c>
      <c r="Z31" s="6">
        <f>('AEO 2025 Table 49'!AB49)*1000000000/('AEO 2025 Table 49'!AB194*10^6)</f>
        <v>31999.731414870741</v>
      </c>
      <c r="AA31" s="6">
        <f>('AEO 2025 Table 49'!AC49)*1000000000/('AEO 2025 Table 49'!AC194*10^6)</f>
        <v>32023.565117047587</v>
      </c>
      <c r="AB31" s="6">
        <f>('AEO 2025 Table 49'!AD49)*1000000000/('AEO 2025 Table 49'!AD194*10^6)</f>
        <v>32062.794612588736</v>
      </c>
      <c r="AC31" s="6">
        <f>('AEO 2025 Table 49'!AE49)*1000000000/('AEO 2025 Table 49'!AE194*10^6)</f>
        <v>32118.52328556405</v>
      </c>
      <c r="AD31" s="6">
        <f>('AEO 2025 Table 49'!AF49)*1000000000/('AEO 2025 Table 49'!AF194*10^6)</f>
        <v>32185.189424781915</v>
      </c>
    </row>
    <row r="32" spans="1:30">
      <c r="A32" s="231" t="s">
        <v>3909</v>
      </c>
      <c r="B32" t="s">
        <v>6</v>
      </c>
      <c r="C32" s="6">
        <f>C14</f>
        <v>1066930.5220804622</v>
      </c>
      <c r="D32" s="6">
        <f>C32</f>
        <v>1066930.5220804622</v>
      </c>
      <c r="E32" s="6">
        <f t="shared" ref="E32:AD32" si="6">D32</f>
        <v>1066930.5220804622</v>
      </c>
      <c r="F32" s="6">
        <f t="shared" si="6"/>
        <v>1066930.5220804622</v>
      </c>
      <c r="G32" s="6">
        <f t="shared" si="6"/>
        <v>1066930.5220804622</v>
      </c>
      <c r="H32" s="6">
        <f t="shared" si="6"/>
        <v>1066930.5220804622</v>
      </c>
      <c r="I32" s="6">
        <f t="shared" si="6"/>
        <v>1066930.5220804622</v>
      </c>
      <c r="J32" s="6">
        <f t="shared" si="6"/>
        <v>1066930.5220804622</v>
      </c>
      <c r="K32" s="6">
        <f t="shared" si="6"/>
        <v>1066930.5220804622</v>
      </c>
      <c r="L32" s="6">
        <f t="shared" si="6"/>
        <v>1066930.5220804622</v>
      </c>
      <c r="M32" s="6">
        <f t="shared" si="6"/>
        <v>1066930.5220804622</v>
      </c>
      <c r="N32" s="6">
        <f t="shared" si="6"/>
        <v>1066930.5220804622</v>
      </c>
      <c r="O32" s="6">
        <f t="shared" si="6"/>
        <v>1066930.5220804622</v>
      </c>
      <c r="P32" s="6">
        <f t="shared" si="6"/>
        <v>1066930.5220804622</v>
      </c>
      <c r="Q32" s="6">
        <f t="shared" si="6"/>
        <v>1066930.5220804622</v>
      </c>
      <c r="R32" s="6">
        <f t="shared" si="6"/>
        <v>1066930.5220804622</v>
      </c>
      <c r="S32" s="6">
        <f t="shared" si="6"/>
        <v>1066930.5220804622</v>
      </c>
      <c r="T32" s="6">
        <f t="shared" si="6"/>
        <v>1066930.5220804622</v>
      </c>
      <c r="U32" s="6">
        <f t="shared" si="6"/>
        <v>1066930.5220804622</v>
      </c>
      <c r="V32" s="6">
        <f t="shared" si="6"/>
        <v>1066930.5220804622</v>
      </c>
      <c r="W32" s="6">
        <f t="shared" si="6"/>
        <v>1066930.5220804622</v>
      </c>
      <c r="X32" s="6">
        <f t="shared" si="6"/>
        <v>1066930.5220804622</v>
      </c>
      <c r="Y32" s="6">
        <f t="shared" si="6"/>
        <v>1066930.5220804622</v>
      </c>
      <c r="Z32" s="6">
        <f t="shared" si="6"/>
        <v>1066930.5220804622</v>
      </c>
      <c r="AA32" s="6">
        <f t="shared" si="6"/>
        <v>1066930.5220804622</v>
      </c>
      <c r="AB32" s="6">
        <f t="shared" si="6"/>
        <v>1066930.5220804622</v>
      </c>
      <c r="AC32" s="6">
        <f t="shared" si="6"/>
        <v>1066930.5220804622</v>
      </c>
      <c r="AD32" s="6">
        <f t="shared" si="6"/>
        <v>1066930.5220804622</v>
      </c>
    </row>
    <row r="33" spans="1:30">
      <c r="A33" t="s">
        <v>3890</v>
      </c>
      <c r="B33" t="s">
        <v>7</v>
      </c>
      <c r="C33" s="6">
        <f t="shared" si="5"/>
        <v>18574.695684378694</v>
      </c>
      <c r="D33" s="6">
        <f t="shared" ref="D33:AD33" si="7">C33</f>
        <v>18574.695684378694</v>
      </c>
      <c r="E33" s="6">
        <f t="shared" si="7"/>
        <v>18574.695684378694</v>
      </c>
      <c r="F33" s="6">
        <f t="shared" si="7"/>
        <v>18574.695684378694</v>
      </c>
      <c r="G33" s="6">
        <f t="shared" si="7"/>
        <v>18574.695684378694</v>
      </c>
      <c r="H33" s="6">
        <f t="shared" si="7"/>
        <v>18574.695684378694</v>
      </c>
      <c r="I33" s="6">
        <f t="shared" si="7"/>
        <v>18574.695684378694</v>
      </c>
      <c r="J33" s="6">
        <f t="shared" si="7"/>
        <v>18574.695684378694</v>
      </c>
      <c r="K33" s="6">
        <f t="shared" si="7"/>
        <v>18574.695684378694</v>
      </c>
      <c r="L33" s="6">
        <f t="shared" si="7"/>
        <v>18574.695684378694</v>
      </c>
      <c r="M33" s="6">
        <f t="shared" si="7"/>
        <v>18574.695684378694</v>
      </c>
      <c r="N33" s="6">
        <f t="shared" si="7"/>
        <v>18574.695684378694</v>
      </c>
      <c r="O33" s="6">
        <f t="shared" si="7"/>
        <v>18574.695684378694</v>
      </c>
      <c r="P33" s="6">
        <f t="shared" si="7"/>
        <v>18574.695684378694</v>
      </c>
      <c r="Q33" s="6">
        <f t="shared" si="7"/>
        <v>18574.695684378694</v>
      </c>
      <c r="R33" s="6">
        <f t="shared" si="7"/>
        <v>18574.695684378694</v>
      </c>
      <c r="S33" s="6">
        <f t="shared" si="7"/>
        <v>18574.695684378694</v>
      </c>
      <c r="T33" s="6">
        <f t="shared" si="7"/>
        <v>18574.695684378694</v>
      </c>
      <c r="U33" s="6">
        <f t="shared" si="7"/>
        <v>18574.695684378694</v>
      </c>
      <c r="V33" s="6">
        <f t="shared" si="7"/>
        <v>18574.695684378694</v>
      </c>
      <c r="W33" s="6">
        <f t="shared" si="7"/>
        <v>18574.695684378694</v>
      </c>
      <c r="X33" s="6">
        <f t="shared" si="7"/>
        <v>18574.695684378694</v>
      </c>
      <c r="Y33" s="6">
        <f t="shared" si="7"/>
        <v>18574.695684378694</v>
      </c>
      <c r="Z33" s="6">
        <f t="shared" si="7"/>
        <v>18574.695684378694</v>
      </c>
      <c r="AA33" s="6">
        <f t="shared" si="7"/>
        <v>18574.695684378694</v>
      </c>
      <c r="AB33" s="6">
        <f t="shared" si="7"/>
        <v>18574.695684378694</v>
      </c>
      <c r="AC33" s="6">
        <f t="shared" si="7"/>
        <v>18574.695684378694</v>
      </c>
      <c r="AD33" s="6">
        <f t="shared" si="7"/>
        <v>18574.695684378694</v>
      </c>
    </row>
    <row r="34" spans="1:30">
      <c r="A34" t="s">
        <v>3890</v>
      </c>
      <c r="B34" t="s">
        <v>8</v>
      </c>
      <c r="C34" s="6">
        <f t="shared" si="5"/>
        <v>247922.9173018997</v>
      </c>
      <c r="D34" s="6">
        <f t="shared" ref="D34:AD34" si="8">C34</f>
        <v>247922.9173018997</v>
      </c>
      <c r="E34" s="6">
        <f t="shared" si="8"/>
        <v>247922.9173018997</v>
      </c>
      <c r="F34" s="6">
        <f t="shared" si="8"/>
        <v>247922.9173018997</v>
      </c>
      <c r="G34" s="6">
        <f t="shared" si="8"/>
        <v>247922.9173018997</v>
      </c>
      <c r="H34" s="6">
        <f t="shared" si="8"/>
        <v>247922.9173018997</v>
      </c>
      <c r="I34" s="6">
        <f t="shared" si="8"/>
        <v>247922.9173018997</v>
      </c>
      <c r="J34" s="6">
        <f t="shared" si="8"/>
        <v>247922.9173018997</v>
      </c>
      <c r="K34" s="6">
        <f t="shared" si="8"/>
        <v>247922.9173018997</v>
      </c>
      <c r="L34" s="6">
        <f t="shared" si="8"/>
        <v>247922.9173018997</v>
      </c>
      <c r="M34" s="6">
        <f t="shared" si="8"/>
        <v>247922.9173018997</v>
      </c>
      <c r="N34" s="6">
        <f t="shared" si="8"/>
        <v>247922.9173018997</v>
      </c>
      <c r="O34" s="6">
        <f t="shared" si="8"/>
        <v>247922.9173018997</v>
      </c>
      <c r="P34" s="6">
        <f t="shared" si="8"/>
        <v>247922.9173018997</v>
      </c>
      <c r="Q34" s="6">
        <f t="shared" si="8"/>
        <v>247922.9173018997</v>
      </c>
      <c r="R34" s="6">
        <f t="shared" si="8"/>
        <v>247922.9173018997</v>
      </c>
      <c r="S34" s="6">
        <f t="shared" si="8"/>
        <v>247922.9173018997</v>
      </c>
      <c r="T34" s="6">
        <f t="shared" si="8"/>
        <v>247922.9173018997</v>
      </c>
      <c r="U34" s="6">
        <f t="shared" si="8"/>
        <v>247922.9173018997</v>
      </c>
      <c r="V34" s="6">
        <f t="shared" si="8"/>
        <v>247922.9173018997</v>
      </c>
      <c r="W34" s="6">
        <f t="shared" si="8"/>
        <v>247922.9173018997</v>
      </c>
      <c r="X34" s="6">
        <f t="shared" si="8"/>
        <v>247922.9173018997</v>
      </c>
      <c r="Y34" s="6">
        <f t="shared" si="8"/>
        <v>247922.9173018997</v>
      </c>
      <c r="Z34" s="6">
        <f t="shared" si="8"/>
        <v>247922.9173018997</v>
      </c>
      <c r="AA34" s="6">
        <f t="shared" si="8"/>
        <v>247922.9173018997</v>
      </c>
      <c r="AB34" s="6">
        <f t="shared" si="8"/>
        <v>247922.9173018997</v>
      </c>
      <c r="AC34" s="6">
        <f t="shared" si="8"/>
        <v>247922.9173018997</v>
      </c>
      <c r="AD34" s="6">
        <f t="shared" si="8"/>
        <v>247922.9173018997</v>
      </c>
    </row>
    <row r="35" spans="1:30">
      <c r="B35" t="s">
        <v>9</v>
      </c>
      <c r="C35" s="6">
        <f t="shared" si="5"/>
        <v>0</v>
      </c>
      <c r="D35" s="6">
        <f t="shared" ref="D35:AD35" si="9">C35</f>
        <v>0</v>
      </c>
      <c r="E35" s="6">
        <f t="shared" si="9"/>
        <v>0</v>
      </c>
      <c r="F35" s="6">
        <f t="shared" si="9"/>
        <v>0</v>
      </c>
      <c r="G35" s="6">
        <f t="shared" si="9"/>
        <v>0</v>
      </c>
      <c r="H35" s="6">
        <f t="shared" si="9"/>
        <v>0</v>
      </c>
      <c r="I35" s="6">
        <f t="shared" si="9"/>
        <v>0</v>
      </c>
      <c r="J35" s="6">
        <f t="shared" si="9"/>
        <v>0</v>
      </c>
      <c r="K35" s="6">
        <f t="shared" si="9"/>
        <v>0</v>
      </c>
      <c r="L35" s="6">
        <f t="shared" si="9"/>
        <v>0</v>
      </c>
      <c r="M35" s="6">
        <f t="shared" si="9"/>
        <v>0</v>
      </c>
      <c r="N35" s="6">
        <f t="shared" si="9"/>
        <v>0</v>
      </c>
      <c r="O35" s="6">
        <f t="shared" si="9"/>
        <v>0</v>
      </c>
      <c r="P35" s="6">
        <f t="shared" si="9"/>
        <v>0</v>
      </c>
      <c r="Q35" s="6">
        <f t="shared" si="9"/>
        <v>0</v>
      </c>
      <c r="R35" s="6">
        <f t="shared" si="9"/>
        <v>0</v>
      </c>
      <c r="S35" s="6">
        <f t="shared" si="9"/>
        <v>0</v>
      </c>
      <c r="T35" s="6">
        <f t="shared" si="9"/>
        <v>0</v>
      </c>
      <c r="U35" s="6">
        <f t="shared" si="9"/>
        <v>0</v>
      </c>
      <c r="V35" s="6">
        <f t="shared" si="9"/>
        <v>0</v>
      </c>
      <c r="W35" s="6">
        <f t="shared" si="9"/>
        <v>0</v>
      </c>
      <c r="X35" s="6">
        <f t="shared" si="9"/>
        <v>0</v>
      </c>
      <c r="Y35" s="6">
        <f t="shared" si="9"/>
        <v>0</v>
      </c>
      <c r="Z35" s="6">
        <f t="shared" si="9"/>
        <v>0</v>
      </c>
      <c r="AA35" s="6">
        <f t="shared" si="9"/>
        <v>0</v>
      </c>
      <c r="AB35" s="6">
        <f t="shared" si="9"/>
        <v>0</v>
      </c>
      <c r="AC35" s="6">
        <f t="shared" si="9"/>
        <v>0</v>
      </c>
      <c r="AD35" s="6">
        <f t="shared" si="9"/>
        <v>0</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B9"/>
  <sheetViews>
    <sheetView workbookViewId="0">
      <selection activeCell="G17" sqref="G17"/>
    </sheetView>
    <sheetView workbookViewId="1"/>
  </sheetViews>
  <sheetFormatPr defaultColWidth="9.1328125" defaultRowHeight="14.75"/>
  <cols>
    <col min="1" max="1" width="16.54296875" customWidth="1"/>
    <col min="2" max="2" width="9" customWidth="1"/>
  </cols>
  <sheetData>
    <row r="1" spans="1:2">
      <c r="A1" t="s">
        <v>189</v>
      </c>
      <c r="B1">
        <v>2023</v>
      </c>
    </row>
    <row r="2" spans="1:2">
      <c r="A2" t="s">
        <v>4</v>
      </c>
      <c r="B2" s="6">
        <f>ROUND(calcs!C3,0)</f>
        <v>11068</v>
      </c>
    </row>
    <row r="3" spans="1:2">
      <c r="A3" t="s">
        <v>5</v>
      </c>
      <c r="B3" s="6">
        <f>ROUND(calcs!C4,0)</f>
        <v>18252</v>
      </c>
    </row>
    <row r="4" spans="1:2">
      <c r="A4" t="s">
        <v>6</v>
      </c>
      <c r="B4" s="6">
        <f>ROUND(calcs!C5,0)</f>
        <v>1006949</v>
      </c>
    </row>
    <row r="5" spans="1:2">
      <c r="A5" t="s">
        <v>7</v>
      </c>
      <c r="B5" s="6">
        <f>ROUND(calcs!C6,0)</f>
        <v>395569</v>
      </c>
    </row>
    <row r="6" spans="1:2">
      <c r="A6" t="s">
        <v>8</v>
      </c>
      <c r="B6" s="6">
        <f>ROUND(calcs!C7,0)</f>
        <v>194</v>
      </c>
    </row>
    <row r="7" spans="1:2">
      <c r="A7" t="s">
        <v>9</v>
      </c>
      <c r="B7" s="6">
        <f>ROUND(calcs!C8,0)</f>
        <v>8561</v>
      </c>
    </row>
    <row r="9" spans="1:2">
      <c r="B9" s="6"/>
    </row>
  </sheetData>
  <pageMargins left="0.7" right="0.7" top="0.75" bottom="0.75" header="0.3" footer="0.3"/>
  <pageSetup orientation="portrait" horizontalDpi="1200" verticalDpi="1200"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3"/>
  </sheetPr>
  <dimension ref="A1:B7"/>
  <sheetViews>
    <sheetView workbookViewId="0"/>
    <sheetView workbookViewId="1"/>
  </sheetViews>
  <sheetFormatPr defaultColWidth="9.1328125" defaultRowHeight="14.75"/>
  <cols>
    <col min="1" max="1" width="16.54296875" customWidth="1"/>
    <col min="2" max="2" width="12" bestFit="1" customWidth="1"/>
  </cols>
  <sheetData>
    <row r="1" spans="1:2">
      <c r="A1" t="s">
        <v>189</v>
      </c>
      <c r="B1">
        <f>calcs!C11</f>
        <v>2023</v>
      </c>
    </row>
    <row r="2" spans="1:2">
      <c r="A2" t="s">
        <v>4</v>
      </c>
      <c r="B2" s="6">
        <f>ROUND(calcs!C12,0)</f>
        <v>10156</v>
      </c>
    </row>
    <row r="3" spans="1:2">
      <c r="A3" t="s">
        <v>5</v>
      </c>
      <c r="B3" s="6">
        <f>ROUND(calcs!C13,0)</f>
        <v>34683</v>
      </c>
    </row>
    <row r="4" spans="1:2">
      <c r="A4" t="s">
        <v>6</v>
      </c>
      <c r="B4" s="6">
        <f>ROUND(calcs!C14,0)</f>
        <v>1066931</v>
      </c>
    </row>
    <row r="5" spans="1:2">
      <c r="A5" t="s">
        <v>7</v>
      </c>
      <c r="B5" s="6">
        <f>ROUND(calcs!C15,0)</f>
        <v>18575</v>
      </c>
    </row>
    <row r="6" spans="1:2">
      <c r="A6" t="s">
        <v>8</v>
      </c>
      <c r="B6" s="6">
        <f>ROUND(calcs!C16,0)</f>
        <v>247923</v>
      </c>
    </row>
    <row r="7" spans="1:2">
      <c r="A7" t="s">
        <v>9</v>
      </c>
      <c r="B7" s="6">
        <f>ROUND(calcs!C17,0)</f>
        <v>0</v>
      </c>
    </row>
  </sheetData>
  <pageMargins left="0.7" right="0.7" top="0.75" bottom="0.75" header="0.3" footer="0.3"/>
  <pageSetup orientation="portrait" horizontalDpi="1200" verticalDpi="1200"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C60050-C490-4CBC-B231-2E682C50730B}">
  <sheetPr>
    <tabColor theme="3"/>
  </sheetPr>
  <dimension ref="A1:AD7"/>
  <sheetViews>
    <sheetView topLeftCell="N1" workbookViewId="0">
      <selection activeCell="T26" sqref="T26"/>
    </sheetView>
    <sheetView workbookViewId="1"/>
  </sheetViews>
  <sheetFormatPr defaultColWidth="9.1328125" defaultRowHeight="14.75"/>
  <cols>
    <col min="1" max="1" width="16.54296875" customWidth="1"/>
  </cols>
  <sheetData>
    <row r="1" spans="1:30">
      <c r="A1" t="s">
        <v>189</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c r="AD1" s="5"/>
    </row>
    <row r="2" spans="1:30">
      <c r="A2" t="s">
        <v>4</v>
      </c>
      <c r="B2" s="6">
        <f>ROUND(calcs!C21,0)</f>
        <v>11068</v>
      </c>
      <c r="C2" s="6">
        <f>ROUND(calcs!D21,0)</f>
        <v>11354</v>
      </c>
      <c r="D2" s="6">
        <f>ROUND(calcs!E21,0)</f>
        <v>11470</v>
      </c>
      <c r="E2" s="6">
        <f>ROUND(calcs!F21,0)</f>
        <v>11489</v>
      </c>
      <c r="F2" s="6">
        <f>ROUND(calcs!G21,0)</f>
        <v>11477</v>
      </c>
      <c r="G2" s="6">
        <f>ROUND(calcs!H21,0)</f>
        <v>11476</v>
      </c>
      <c r="H2" s="6">
        <f>ROUND(calcs!I21,0)</f>
        <v>11492</v>
      </c>
      <c r="I2" s="6">
        <f>ROUND(calcs!J21,0)</f>
        <v>11524</v>
      </c>
      <c r="J2" s="6">
        <f>ROUND(calcs!K21,0)</f>
        <v>11571</v>
      </c>
      <c r="K2" s="6">
        <f>ROUND(calcs!L21,0)</f>
        <v>11603</v>
      </c>
      <c r="L2" s="6">
        <f>ROUND(calcs!M21,0)</f>
        <v>11629</v>
      </c>
      <c r="M2" s="6">
        <f>ROUND(calcs!N21,0)</f>
        <v>11653</v>
      </c>
      <c r="N2" s="6">
        <f>ROUND(calcs!O21,0)</f>
        <v>11671</v>
      </c>
      <c r="O2" s="6">
        <f>ROUND(calcs!P21,0)</f>
        <v>11699</v>
      </c>
      <c r="P2" s="6">
        <f>ROUND(calcs!Q21,0)</f>
        <v>11743</v>
      </c>
      <c r="Q2" s="6">
        <f>ROUND(calcs!R21,0)</f>
        <v>11795</v>
      </c>
      <c r="R2" s="6">
        <f>ROUND(calcs!S21,0)</f>
        <v>11840</v>
      </c>
      <c r="S2" s="6">
        <f>ROUND(calcs!T21,0)</f>
        <v>11885</v>
      </c>
      <c r="T2" s="6">
        <f>ROUND(calcs!U21,0)</f>
        <v>11928</v>
      </c>
      <c r="U2" s="6">
        <f>ROUND(calcs!V21,0)</f>
        <v>11969</v>
      </c>
      <c r="V2" s="6">
        <f>ROUND(calcs!W21,0)</f>
        <v>12006</v>
      </c>
      <c r="W2" s="6">
        <f>ROUND(calcs!X21,0)</f>
        <v>12040</v>
      </c>
      <c r="X2" s="6">
        <f>ROUND(calcs!Y21,0)</f>
        <v>12072</v>
      </c>
      <c r="Y2" s="6">
        <f>ROUND(calcs!Z21,0)</f>
        <v>12108</v>
      </c>
      <c r="Z2" s="6">
        <f>ROUND(calcs!AA21,0)</f>
        <v>12155</v>
      </c>
      <c r="AA2" s="6">
        <f>ROUND(calcs!AB21,0)</f>
        <v>12215</v>
      </c>
      <c r="AB2" s="6">
        <f>ROUND(calcs!AC21,0)</f>
        <v>12283</v>
      </c>
      <c r="AC2" s="6">
        <f>ROUND(calcs!AD21,0)</f>
        <v>12356</v>
      </c>
      <c r="AD2" s="6"/>
    </row>
    <row r="3" spans="1:30">
      <c r="A3" t="s">
        <v>5</v>
      </c>
      <c r="B3" s="6">
        <f>ROUND(calcs!C22,0)</f>
        <v>18252</v>
      </c>
      <c r="C3" s="6">
        <f>ROUND(calcs!D22,0)</f>
        <v>18252</v>
      </c>
      <c r="D3" s="6">
        <f>ROUND(calcs!E22,0)</f>
        <v>18252</v>
      </c>
      <c r="E3" s="6">
        <f>ROUND(calcs!F22,0)</f>
        <v>18252</v>
      </c>
      <c r="F3" s="6">
        <f>ROUND(calcs!G22,0)</f>
        <v>18252</v>
      </c>
      <c r="G3" s="6">
        <f>ROUND(calcs!H22,0)</f>
        <v>18252</v>
      </c>
      <c r="H3" s="6">
        <f>ROUND(calcs!I22,0)</f>
        <v>18252</v>
      </c>
      <c r="I3" s="6">
        <f>ROUND(calcs!J22,0)</f>
        <v>18252</v>
      </c>
      <c r="J3" s="6">
        <f>ROUND(calcs!K22,0)</f>
        <v>18252</v>
      </c>
      <c r="K3" s="6">
        <f>ROUND(calcs!L22,0)</f>
        <v>18252</v>
      </c>
      <c r="L3" s="6">
        <f>ROUND(calcs!M22,0)</f>
        <v>18252</v>
      </c>
      <c r="M3" s="6">
        <f>ROUND(calcs!N22,0)</f>
        <v>18252</v>
      </c>
      <c r="N3" s="6">
        <f>ROUND(calcs!O22,0)</f>
        <v>18252</v>
      </c>
      <c r="O3" s="6">
        <f>ROUND(calcs!P22,0)</f>
        <v>18252</v>
      </c>
      <c r="P3" s="6">
        <f>ROUND(calcs!Q22,0)</f>
        <v>18252</v>
      </c>
      <c r="Q3" s="6">
        <f>ROUND(calcs!R22,0)</f>
        <v>18252</v>
      </c>
      <c r="R3" s="6">
        <f>ROUND(calcs!S22,0)</f>
        <v>18252</v>
      </c>
      <c r="S3" s="6">
        <f>ROUND(calcs!T22,0)</f>
        <v>18252</v>
      </c>
      <c r="T3" s="6">
        <f>ROUND(calcs!U22,0)</f>
        <v>18252</v>
      </c>
      <c r="U3" s="6">
        <f>ROUND(calcs!V22,0)</f>
        <v>18252</v>
      </c>
      <c r="V3" s="6">
        <f>ROUND(calcs!W22,0)</f>
        <v>18252</v>
      </c>
      <c r="W3" s="6">
        <f>ROUND(calcs!X22,0)</f>
        <v>18252</v>
      </c>
      <c r="X3" s="6">
        <f>ROUND(calcs!Y22,0)</f>
        <v>18252</v>
      </c>
      <c r="Y3" s="6">
        <f>ROUND(calcs!Z22,0)</f>
        <v>18252</v>
      </c>
      <c r="Z3" s="6">
        <f>ROUND(calcs!AA22,0)</f>
        <v>18252</v>
      </c>
      <c r="AA3" s="6">
        <f>ROUND(calcs!AB22,0)</f>
        <v>18252</v>
      </c>
      <c r="AB3" s="6">
        <f>ROUND(calcs!AC22,0)</f>
        <v>18252</v>
      </c>
      <c r="AC3" s="6">
        <f>ROUND(calcs!AD22,0)</f>
        <v>18252</v>
      </c>
      <c r="AD3" s="6"/>
    </row>
    <row r="4" spans="1:30">
      <c r="A4" t="s">
        <v>6</v>
      </c>
      <c r="B4" s="6">
        <f>ROUND(calcs!C23,0)</f>
        <v>1006949</v>
      </c>
      <c r="C4" s="6">
        <f>ROUND(calcs!D23,0)</f>
        <v>1006949</v>
      </c>
      <c r="D4" s="6">
        <f>ROUND(calcs!E23,0)</f>
        <v>1006949</v>
      </c>
      <c r="E4" s="6">
        <f>ROUND(calcs!F23,0)</f>
        <v>1006949</v>
      </c>
      <c r="F4" s="6">
        <f>ROUND(calcs!G23,0)</f>
        <v>1006949</v>
      </c>
      <c r="G4" s="6">
        <f>ROUND(calcs!H23,0)</f>
        <v>1006949</v>
      </c>
      <c r="H4" s="6">
        <f>ROUND(calcs!I23,0)</f>
        <v>1006949</v>
      </c>
      <c r="I4" s="6">
        <f>ROUND(calcs!J23,0)</f>
        <v>1006949</v>
      </c>
      <c r="J4" s="6">
        <f>ROUND(calcs!K23,0)</f>
        <v>1006949</v>
      </c>
      <c r="K4" s="6">
        <f>ROUND(calcs!L23,0)</f>
        <v>1006949</v>
      </c>
      <c r="L4" s="6">
        <f>ROUND(calcs!M23,0)</f>
        <v>1006949</v>
      </c>
      <c r="M4" s="6">
        <f>ROUND(calcs!N23,0)</f>
        <v>1006949</v>
      </c>
      <c r="N4" s="6">
        <f>ROUND(calcs!O23,0)</f>
        <v>1006949</v>
      </c>
      <c r="O4" s="6">
        <f>ROUND(calcs!P23,0)</f>
        <v>1006949</v>
      </c>
      <c r="P4" s="6">
        <f>ROUND(calcs!Q23,0)</f>
        <v>1006949</v>
      </c>
      <c r="Q4" s="6">
        <f>ROUND(calcs!R23,0)</f>
        <v>1006949</v>
      </c>
      <c r="R4" s="6">
        <f>ROUND(calcs!S23,0)</f>
        <v>1006949</v>
      </c>
      <c r="S4" s="6">
        <f>ROUND(calcs!T23,0)</f>
        <v>1006949</v>
      </c>
      <c r="T4" s="6">
        <f>ROUND(calcs!U23,0)</f>
        <v>1006949</v>
      </c>
      <c r="U4" s="6">
        <f>ROUND(calcs!V23,0)</f>
        <v>1006949</v>
      </c>
      <c r="V4" s="6">
        <f>ROUND(calcs!W23,0)</f>
        <v>1006949</v>
      </c>
      <c r="W4" s="6">
        <f>ROUND(calcs!X23,0)</f>
        <v>1006949</v>
      </c>
      <c r="X4" s="6">
        <f>ROUND(calcs!Y23,0)</f>
        <v>1006949</v>
      </c>
      <c r="Y4" s="6">
        <f>ROUND(calcs!Z23,0)</f>
        <v>1006949</v>
      </c>
      <c r="Z4" s="6">
        <f>ROUND(calcs!AA23,0)</f>
        <v>1006949</v>
      </c>
      <c r="AA4" s="6">
        <f>ROUND(calcs!AB23,0)</f>
        <v>1006949</v>
      </c>
      <c r="AB4" s="6">
        <f>ROUND(calcs!AC23,0)</f>
        <v>1006949</v>
      </c>
      <c r="AC4" s="6">
        <f>ROUND(calcs!AD23,0)</f>
        <v>1006949</v>
      </c>
      <c r="AD4" s="6"/>
    </row>
    <row r="5" spans="1:30">
      <c r="A5" t="s">
        <v>7</v>
      </c>
      <c r="B5" s="6">
        <f>ROUND(calcs!C24,0)</f>
        <v>395569</v>
      </c>
      <c r="C5" s="6">
        <f>ROUND(calcs!D24,0)</f>
        <v>395569</v>
      </c>
      <c r="D5" s="6">
        <f>ROUND(calcs!E24,0)</f>
        <v>395569</v>
      </c>
      <c r="E5" s="6">
        <f>ROUND(calcs!F24,0)</f>
        <v>395569</v>
      </c>
      <c r="F5" s="6">
        <f>ROUND(calcs!G24,0)</f>
        <v>395569</v>
      </c>
      <c r="G5" s="6">
        <f>ROUND(calcs!H24,0)</f>
        <v>395569</v>
      </c>
      <c r="H5" s="6">
        <f>ROUND(calcs!I24,0)</f>
        <v>395569</v>
      </c>
      <c r="I5" s="6">
        <f>ROUND(calcs!J24,0)</f>
        <v>395569</v>
      </c>
      <c r="J5" s="6">
        <f>ROUND(calcs!K24,0)</f>
        <v>395569</v>
      </c>
      <c r="K5" s="6">
        <f>ROUND(calcs!L24,0)</f>
        <v>395569</v>
      </c>
      <c r="L5" s="6">
        <f>ROUND(calcs!M24,0)</f>
        <v>395569</v>
      </c>
      <c r="M5" s="6">
        <f>ROUND(calcs!N24,0)</f>
        <v>395569</v>
      </c>
      <c r="N5" s="6">
        <f>ROUND(calcs!O24,0)</f>
        <v>395569</v>
      </c>
      <c r="O5" s="6">
        <f>ROUND(calcs!P24,0)</f>
        <v>395569</v>
      </c>
      <c r="P5" s="6">
        <f>ROUND(calcs!Q24,0)</f>
        <v>395569</v>
      </c>
      <c r="Q5" s="6">
        <f>ROUND(calcs!R24,0)</f>
        <v>395569</v>
      </c>
      <c r="R5" s="6">
        <f>ROUND(calcs!S24,0)</f>
        <v>395569</v>
      </c>
      <c r="S5" s="6">
        <f>ROUND(calcs!T24,0)</f>
        <v>395569</v>
      </c>
      <c r="T5" s="6">
        <f>ROUND(calcs!U24,0)</f>
        <v>395569</v>
      </c>
      <c r="U5" s="6">
        <f>ROUND(calcs!V24,0)</f>
        <v>395569</v>
      </c>
      <c r="V5" s="6">
        <f>ROUND(calcs!W24,0)</f>
        <v>395569</v>
      </c>
      <c r="W5" s="6">
        <f>ROUND(calcs!X24,0)</f>
        <v>395569</v>
      </c>
      <c r="X5" s="6">
        <f>ROUND(calcs!Y24,0)</f>
        <v>395569</v>
      </c>
      <c r="Y5" s="6">
        <f>ROUND(calcs!Z24,0)</f>
        <v>395569</v>
      </c>
      <c r="Z5" s="6">
        <f>ROUND(calcs!AA24,0)</f>
        <v>395569</v>
      </c>
      <c r="AA5" s="6">
        <f>ROUND(calcs!AB24,0)</f>
        <v>395569</v>
      </c>
      <c r="AB5" s="6">
        <f>ROUND(calcs!AC24,0)</f>
        <v>395569</v>
      </c>
      <c r="AC5" s="6">
        <f>ROUND(calcs!AD24,0)</f>
        <v>395569</v>
      </c>
      <c r="AD5" s="6"/>
    </row>
    <row r="6" spans="1:30">
      <c r="A6" t="s">
        <v>8</v>
      </c>
      <c r="B6" s="6">
        <f>ROUND(calcs!C25,0)</f>
        <v>194</v>
      </c>
      <c r="C6" s="6">
        <f>ROUND(calcs!D25,0)</f>
        <v>194</v>
      </c>
      <c r="D6" s="6">
        <f>ROUND(calcs!E25,0)</f>
        <v>194</v>
      </c>
      <c r="E6" s="6">
        <f>ROUND(calcs!F25,0)</f>
        <v>194</v>
      </c>
      <c r="F6" s="6">
        <f>ROUND(calcs!G25,0)</f>
        <v>194</v>
      </c>
      <c r="G6" s="6">
        <f>ROUND(calcs!H25,0)</f>
        <v>194</v>
      </c>
      <c r="H6" s="6">
        <f>ROUND(calcs!I25,0)</f>
        <v>194</v>
      </c>
      <c r="I6" s="6">
        <f>ROUND(calcs!J25,0)</f>
        <v>194</v>
      </c>
      <c r="J6" s="6">
        <f>ROUND(calcs!K25,0)</f>
        <v>194</v>
      </c>
      <c r="K6" s="6">
        <f>ROUND(calcs!L25,0)</f>
        <v>194</v>
      </c>
      <c r="L6" s="6">
        <f>ROUND(calcs!M25,0)</f>
        <v>194</v>
      </c>
      <c r="M6" s="6">
        <f>ROUND(calcs!N25,0)</f>
        <v>194</v>
      </c>
      <c r="N6" s="6">
        <f>ROUND(calcs!O25,0)</f>
        <v>194</v>
      </c>
      <c r="O6" s="6">
        <f>ROUND(calcs!P25,0)</f>
        <v>194</v>
      </c>
      <c r="P6" s="6">
        <f>ROUND(calcs!Q25,0)</f>
        <v>194</v>
      </c>
      <c r="Q6" s="6">
        <f>ROUND(calcs!R25,0)</f>
        <v>194</v>
      </c>
      <c r="R6" s="6">
        <f>ROUND(calcs!S25,0)</f>
        <v>194</v>
      </c>
      <c r="S6" s="6">
        <f>ROUND(calcs!T25,0)</f>
        <v>194</v>
      </c>
      <c r="T6" s="6">
        <f>ROUND(calcs!U25,0)</f>
        <v>194</v>
      </c>
      <c r="U6" s="6">
        <f>ROUND(calcs!V25,0)</f>
        <v>194</v>
      </c>
      <c r="V6" s="6">
        <f>ROUND(calcs!W25,0)</f>
        <v>194</v>
      </c>
      <c r="W6" s="6">
        <f>ROUND(calcs!X25,0)</f>
        <v>194</v>
      </c>
      <c r="X6" s="6">
        <f>ROUND(calcs!Y25,0)</f>
        <v>194</v>
      </c>
      <c r="Y6" s="6">
        <f>ROUND(calcs!Z25,0)</f>
        <v>194</v>
      </c>
      <c r="Z6" s="6">
        <f>ROUND(calcs!AA25,0)</f>
        <v>194</v>
      </c>
      <c r="AA6" s="6">
        <f>ROUND(calcs!AB25,0)</f>
        <v>194</v>
      </c>
      <c r="AB6" s="6">
        <f>ROUND(calcs!AC25,0)</f>
        <v>194</v>
      </c>
      <c r="AC6" s="6">
        <f>ROUND(calcs!AD25,0)</f>
        <v>194</v>
      </c>
      <c r="AD6" s="6"/>
    </row>
    <row r="7" spans="1:30">
      <c r="A7" t="s">
        <v>9</v>
      </c>
      <c r="B7" s="6">
        <f>ROUND(calcs!C26,0)</f>
        <v>8561</v>
      </c>
      <c r="C7" s="6">
        <f>ROUND(calcs!D26,0)</f>
        <v>8561</v>
      </c>
      <c r="D7" s="6">
        <f>ROUND(calcs!E26,0)</f>
        <v>8561</v>
      </c>
      <c r="E7" s="6">
        <f>ROUND(calcs!F26,0)</f>
        <v>8561</v>
      </c>
      <c r="F7" s="6">
        <f>ROUND(calcs!G26,0)</f>
        <v>8561</v>
      </c>
      <c r="G7" s="6">
        <f>ROUND(calcs!H26,0)</f>
        <v>8561</v>
      </c>
      <c r="H7" s="6">
        <f>ROUND(calcs!I26,0)</f>
        <v>8561</v>
      </c>
      <c r="I7" s="6">
        <f>ROUND(calcs!J26,0)</f>
        <v>8561</v>
      </c>
      <c r="J7" s="6">
        <f>ROUND(calcs!K26,0)</f>
        <v>8561</v>
      </c>
      <c r="K7" s="6">
        <f>ROUND(calcs!L26,0)</f>
        <v>8561</v>
      </c>
      <c r="L7" s="6">
        <f>ROUND(calcs!M26,0)</f>
        <v>8561</v>
      </c>
      <c r="M7" s="6">
        <f>ROUND(calcs!N26,0)</f>
        <v>8561</v>
      </c>
      <c r="N7" s="6">
        <f>ROUND(calcs!O26,0)</f>
        <v>8561</v>
      </c>
      <c r="O7" s="6">
        <f>ROUND(calcs!P26,0)</f>
        <v>8561</v>
      </c>
      <c r="P7" s="6">
        <f>ROUND(calcs!Q26,0)</f>
        <v>8561</v>
      </c>
      <c r="Q7" s="6">
        <f>ROUND(calcs!R26,0)</f>
        <v>8561</v>
      </c>
      <c r="R7" s="6">
        <f>ROUND(calcs!S26,0)</f>
        <v>8561</v>
      </c>
      <c r="S7" s="6">
        <f>ROUND(calcs!T26,0)</f>
        <v>8561</v>
      </c>
      <c r="T7" s="6">
        <f>ROUND(calcs!U26,0)</f>
        <v>8561</v>
      </c>
      <c r="U7" s="6">
        <f>ROUND(calcs!V26,0)</f>
        <v>8561</v>
      </c>
      <c r="V7" s="6">
        <f>ROUND(calcs!W26,0)</f>
        <v>8561</v>
      </c>
      <c r="W7" s="6">
        <f>ROUND(calcs!X26,0)</f>
        <v>8561</v>
      </c>
      <c r="X7" s="6">
        <f>ROUND(calcs!Y26,0)</f>
        <v>8561</v>
      </c>
      <c r="Y7" s="6">
        <f>ROUND(calcs!Z26,0)</f>
        <v>8561</v>
      </c>
      <c r="Z7" s="6">
        <f>ROUND(calcs!AA26,0)</f>
        <v>8561</v>
      </c>
      <c r="AA7" s="6">
        <f>ROUND(calcs!AB26,0)</f>
        <v>8561</v>
      </c>
      <c r="AB7" s="6">
        <f>ROUND(calcs!AC26,0)</f>
        <v>8561</v>
      </c>
      <c r="AC7" s="6">
        <f>ROUND(calcs!AD26,0)</f>
        <v>8561</v>
      </c>
      <c r="AD7" s="6"/>
    </row>
  </sheetData>
  <pageMargins left="0.7" right="0.7" top="0.75" bottom="0.75" header="0.3" footer="0.3"/>
  <pageSetup orientation="portrait" horizontalDpi="1200" verticalDpi="1200"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C044F9-708A-4B8A-B68D-2A9344334700}">
  <sheetPr>
    <tabColor theme="3"/>
  </sheetPr>
  <dimension ref="A1:AC7"/>
  <sheetViews>
    <sheetView workbookViewId="0">
      <selection activeCell="C7" sqref="A1:AC7"/>
    </sheetView>
    <sheetView workbookViewId="1"/>
  </sheetViews>
  <sheetFormatPr defaultColWidth="9.1328125" defaultRowHeight="14.75"/>
  <cols>
    <col min="1" max="1" width="16.54296875" customWidth="1"/>
    <col min="2" max="2" width="12" bestFit="1" customWidth="1"/>
  </cols>
  <sheetData>
    <row r="1" spans="1:29" ht="29.5">
      <c r="A1" s="8" t="s">
        <v>189</v>
      </c>
      <c r="B1" s="1">
        <v>2023</v>
      </c>
      <c r="C1" s="1">
        <v>2024</v>
      </c>
      <c r="D1" s="1">
        <v>2025</v>
      </c>
      <c r="E1" s="1">
        <v>2026</v>
      </c>
      <c r="F1" s="1">
        <v>2027</v>
      </c>
      <c r="G1" s="1">
        <v>2028</v>
      </c>
      <c r="H1" s="1">
        <v>2029</v>
      </c>
      <c r="I1" s="1">
        <v>2030</v>
      </c>
      <c r="J1" s="1">
        <v>2031</v>
      </c>
      <c r="K1" s="1">
        <v>2032</v>
      </c>
      <c r="L1" s="1">
        <v>2033</v>
      </c>
      <c r="M1" s="1">
        <v>2034</v>
      </c>
      <c r="N1" s="1">
        <v>2035</v>
      </c>
      <c r="O1" s="1">
        <v>2036</v>
      </c>
      <c r="P1" s="1">
        <v>2037</v>
      </c>
      <c r="Q1" s="1">
        <v>2038</v>
      </c>
      <c r="R1" s="1">
        <v>2039</v>
      </c>
      <c r="S1" s="1">
        <v>2040</v>
      </c>
      <c r="T1" s="1">
        <v>2041</v>
      </c>
      <c r="U1" s="1">
        <v>2042</v>
      </c>
      <c r="V1" s="1">
        <v>2043</v>
      </c>
      <c r="W1" s="1">
        <v>2044</v>
      </c>
      <c r="X1" s="1">
        <v>2045</v>
      </c>
      <c r="Y1" s="1">
        <v>2046</v>
      </c>
      <c r="Z1" s="1">
        <v>2047</v>
      </c>
      <c r="AA1" s="1">
        <v>2048</v>
      </c>
      <c r="AB1" s="1">
        <v>2049</v>
      </c>
      <c r="AC1" s="1">
        <v>2050</v>
      </c>
    </row>
    <row r="2" spans="1:29">
      <c r="A2" t="s">
        <v>4</v>
      </c>
      <c r="B2" s="6">
        <f>ROUND(calcs!C30,0)</f>
        <v>10156</v>
      </c>
      <c r="C2" s="6">
        <f>ROUND(calcs!D30,0)</f>
        <v>9916</v>
      </c>
      <c r="D2" s="6">
        <f>ROUND(calcs!E30,0)</f>
        <v>9903</v>
      </c>
      <c r="E2" s="6">
        <f>ROUND(calcs!F30,0)</f>
        <v>9817</v>
      </c>
      <c r="F2" s="6">
        <f>ROUND(calcs!G30,0)</f>
        <v>9729</v>
      </c>
      <c r="G2" s="6">
        <f>ROUND(calcs!H30,0)</f>
        <v>9643</v>
      </c>
      <c r="H2" s="6">
        <f>ROUND(calcs!I30,0)</f>
        <v>9600</v>
      </c>
      <c r="I2" s="6">
        <f>ROUND(calcs!J30,0)</f>
        <v>9585</v>
      </c>
      <c r="J2" s="6">
        <f>ROUND(calcs!K30,0)</f>
        <v>9585</v>
      </c>
      <c r="K2" s="6">
        <f>ROUND(calcs!L30,0)</f>
        <v>9591</v>
      </c>
      <c r="L2" s="6">
        <f>ROUND(calcs!M30,0)</f>
        <v>9611</v>
      </c>
      <c r="M2" s="6">
        <f>ROUND(calcs!N30,0)</f>
        <v>9645</v>
      </c>
      <c r="N2" s="6">
        <f>ROUND(calcs!O30,0)</f>
        <v>9689</v>
      </c>
      <c r="O2" s="6">
        <f>ROUND(calcs!P30,0)</f>
        <v>9739</v>
      </c>
      <c r="P2" s="6">
        <f>ROUND(calcs!Q30,0)</f>
        <v>9794</v>
      </c>
      <c r="Q2" s="6">
        <f>ROUND(calcs!R30,0)</f>
        <v>9851</v>
      </c>
      <c r="R2" s="6">
        <f>ROUND(calcs!S30,0)</f>
        <v>9904</v>
      </c>
      <c r="S2" s="6">
        <f>ROUND(calcs!T30,0)</f>
        <v>9968</v>
      </c>
      <c r="T2" s="6">
        <f>ROUND(calcs!U30,0)</f>
        <v>10020</v>
      </c>
      <c r="U2" s="6">
        <f>ROUND(calcs!V30,0)</f>
        <v>10066</v>
      </c>
      <c r="V2" s="6">
        <f>ROUND(calcs!W30,0)</f>
        <v>10083</v>
      </c>
      <c r="W2" s="6">
        <f>ROUND(calcs!X30,0)</f>
        <v>10084</v>
      </c>
      <c r="X2" s="6">
        <f>ROUND(calcs!Y30,0)</f>
        <v>10097</v>
      </c>
      <c r="Y2" s="6">
        <f>ROUND(calcs!Z30,0)</f>
        <v>10117</v>
      </c>
      <c r="Z2" s="6">
        <f>ROUND(calcs!AA30,0)</f>
        <v>10158</v>
      </c>
      <c r="AA2" s="6">
        <f>ROUND(calcs!AB30,0)</f>
        <v>10193</v>
      </c>
      <c r="AB2" s="6">
        <f>ROUND(calcs!AC30,0)</f>
        <v>10235</v>
      </c>
      <c r="AC2" s="6">
        <f>ROUND(calcs!AD30,0)</f>
        <v>10276</v>
      </c>
    </row>
    <row r="3" spans="1:29">
      <c r="A3" t="s">
        <v>5</v>
      </c>
      <c r="B3" s="6">
        <f>ROUND(calcs!C31,0)</f>
        <v>34683</v>
      </c>
      <c r="C3" s="6">
        <f>ROUND(calcs!D31,0)</f>
        <v>35195</v>
      </c>
      <c r="D3" s="6">
        <f>ROUND(calcs!E31,0)</f>
        <v>35481</v>
      </c>
      <c r="E3" s="6">
        <f>ROUND(calcs!F31,0)</f>
        <v>35327</v>
      </c>
      <c r="F3" s="6">
        <f>ROUND(calcs!G31,0)</f>
        <v>35021</v>
      </c>
      <c r="G3" s="6">
        <f>ROUND(calcs!H31,0)</f>
        <v>34630</v>
      </c>
      <c r="H3" s="6">
        <f>ROUND(calcs!I31,0)</f>
        <v>34343</v>
      </c>
      <c r="I3" s="6">
        <f>ROUND(calcs!J31,0)</f>
        <v>34091</v>
      </c>
      <c r="J3" s="6">
        <f>ROUND(calcs!K31,0)</f>
        <v>33821</v>
      </c>
      <c r="K3" s="6">
        <f>ROUND(calcs!L31,0)</f>
        <v>33589</v>
      </c>
      <c r="L3" s="6">
        <f>ROUND(calcs!M31,0)</f>
        <v>33361</v>
      </c>
      <c r="M3" s="6">
        <f>ROUND(calcs!N31,0)</f>
        <v>33221</v>
      </c>
      <c r="N3" s="6">
        <f>ROUND(calcs!O31,0)</f>
        <v>33079</v>
      </c>
      <c r="O3" s="6">
        <f>ROUND(calcs!P31,0)</f>
        <v>32948</v>
      </c>
      <c r="P3" s="6">
        <f>ROUND(calcs!Q31,0)</f>
        <v>32832</v>
      </c>
      <c r="Q3" s="6">
        <f>ROUND(calcs!R31,0)</f>
        <v>32721</v>
      </c>
      <c r="R3" s="6">
        <f>ROUND(calcs!S31,0)</f>
        <v>32618</v>
      </c>
      <c r="S3" s="6">
        <f>ROUND(calcs!T31,0)</f>
        <v>32565</v>
      </c>
      <c r="T3" s="6">
        <f>ROUND(calcs!U31,0)</f>
        <v>32563</v>
      </c>
      <c r="U3" s="6">
        <f>ROUND(calcs!V31,0)</f>
        <v>32510</v>
      </c>
      <c r="V3" s="6">
        <f>ROUND(calcs!W31,0)</f>
        <v>32397</v>
      </c>
      <c r="W3" s="6">
        <f>ROUND(calcs!X31,0)</f>
        <v>32242</v>
      </c>
      <c r="X3" s="6">
        <f>ROUND(calcs!Y31,0)</f>
        <v>32110</v>
      </c>
      <c r="Y3" s="6">
        <f>ROUND(calcs!Z31,0)</f>
        <v>32000</v>
      </c>
      <c r="Z3" s="6">
        <f>ROUND(calcs!AA31,0)</f>
        <v>32024</v>
      </c>
      <c r="AA3" s="6">
        <f>ROUND(calcs!AB31,0)</f>
        <v>32063</v>
      </c>
      <c r="AB3" s="6">
        <f>ROUND(calcs!AC31,0)</f>
        <v>32119</v>
      </c>
      <c r="AC3" s="6">
        <f>ROUND(calcs!AD31,0)</f>
        <v>32185</v>
      </c>
    </row>
    <row r="4" spans="1:29">
      <c r="A4" t="s">
        <v>6</v>
      </c>
      <c r="B4" s="6">
        <f>ROUND(calcs!C32,0)</f>
        <v>1066931</v>
      </c>
      <c r="C4" s="6">
        <f>ROUND(calcs!D32,0)</f>
        <v>1066931</v>
      </c>
      <c r="D4" s="6">
        <f>ROUND(calcs!E32,0)</f>
        <v>1066931</v>
      </c>
      <c r="E4" s="6">
        <f>ROUND(calcs!F32,0)</f>
        <v>1066931</v>
      </c>
      <c r="F4" s="6">
        <f>ROUND(calcs!G32,0)</f>
        <v>1066931</v>
      </c>
      <c r="G4" s="6">
        <f>ROUND(calcs!H32,0)</f>
        <v>1066931</v>
      </c>
      <c r="H4" s="6">
        <f>ROUND(calcs!I32,0)</f>
        <v>1066931</v>
      </c>
      <c r="I4" s="6">
        <f>ROUND(calcs!J32,0)</f>
        <v>1066931</v>
      </c>
      <c r="J4" s="6">
        <f>ROUND(calcs!K32,0)</f>
        <v>1066931</v>
      </c>
      <c r="K4" s="6">
        <f>ROUND(calcs!L32,0)</f>
        <v>1066931</v>
      </c>
      <c r="L4" s="6">
        <f>ROUND(calcs!M32,0)</f>
        <v>1066931</v>
      </c>
      <c r="M4" s="6">
        <f>ROUND(calcs!N32,0)</f>
        <v>1066931</v>
      </c>
      <c r="N4" s="6">
        <f>ROUND(calcs!O32,0)</f>
        <v>1066931</v>
      </c>
      <c r="O4" s="6">
        <f>ROUND(calcs!P32,0)</f>
        <v>1066931</v>
      </c>
      <c r="P4" s="6">
        <f>ROUND(calcs!Q32,0)</f>
        <v>1066931</v>
      </c>
      <c r="Q4" s="6">
        <f>ROUND(calcs!R32,0)</f>
        <v>1066931</v>
      </c>
      <c r="R4" s="6">
        <f>ROUND(calcs!S32,0)</f>
        <v>1066931</v>
      </c>
      <c r="S4" s="6">
        <f>ROUND(calcs!T32,0)</f>
        <v>1066931</v>
      </c>
      <c r="T4" s="6">
        <f>ROUND(calcs!U32,0)</f>
        <v>1066931</v>
      </c>
      <c r="U4" s="6">
        <f>ROUND(calcs!V32,0)</f>
        <v>1066931</v>
      </c>
      <c r="V4" s="6">
        <f>ROUND(calcs!W32,0)</f>
        <v>1066931</v>
      </c>
      <c r="W4" s="6">
        <f>ROUND(calcs!X32,0)</f>
        <v>1066931</v>
      </c>
      <c r="X4" s="6">
        <f>ROUND(calcs!Y32,0)</f>
        <v>1066931</v>
      </c>
      <c r="Y4" s="6">
        <f>ROUND(calcs!Z32,0)</f>
        <v>1066931</v>
      </c>
      <c r="Z4" s="6">
        <f>ROUND(calcs!AA32,0)</f>
        <v>1066931</v>
      </c>
      <c r="AA4" s="6">
        <f>ROUND(calcs!AB32,0)</f>
        <v>1066931</v>
      </c>
      <c r="AB4" s="6">
        <f>ROUND(calcs!AC32,0)</f>
        <v>1066931</v>
      </c>
      <c r="AC4" s="6">
        <f>ROUND(calcs!AD32,0)</f>
        <v>1066931</v>
      </c>
    </row>
    <row r="5" spans="1:29">
      <c r="A5" t="s">
        <v>7</v>
      </c>
      <c r="B5" s="6">
        <f>ROUND(calcs!C33,0)</f>
        <v>18575</v>
      </c>
      <c r="C5" s="6">
        <f>ROUND(calcs!D33,0)</f>
        <v>18575</v>
      </c>
      <c r="D5" s="6">
        <f>ROUND(calcs!E33,0)</f>
        <v>18575</v>
      </c>
      <c r="E5" s="6">
        <f>ROUND(calcs!F33,0)</f>
        <v>18575</v>
      </c>
      <c r="F5" s="6">
        <f>ROUND(calcs!G33,0)</f>
        <v>18575</v>
      </c>
      <c r="G5" s="6">
        <f>ROUND(calcs!H33,0)</f>
        <v>18575</v>
      </c>
      <c r="H5" s="6">
        <f>ROUND(calcs!I33,0)</f>
        <v>18575</v>
      </c>
      <c r="I5" s="6">
        <f>ROUND(calcs!J33,0)</f>
        <v>18575</v>
      </c>
      <c r="J5" s="6">
        <f>ROUND(calcs!K33,0)</f>
        <v>18575</v>
      </c>
      <c r="K5" s="6">
        <f>ROUND(calcs!L33,0)</f>
        <v>18575</v>
      </c>
      <c r="L5" s="6">
        <f>ROUND(calcs!M33,0)</f>
        <v>18575</v>
      </c>
      <c r="M5" s="6">
        <f>ROUND(calcs!N33,0)</f>
        <v>18575</v>
      </c>
      <c r="N5" s="6">
        <f>ROUND(calcs!O33,0)</f>
        <v>18575</v>
      </c>
      <c r="O5" s="6">
        <f>ROUND(calcs!P33,0)</f>
        <v>18575</v>
      </c>
      <c r="P5" s="6">
        <f>ROUND(calcs!Q33,0)</f>
        <v>18575</v>
      </c>
      <c r="Q5" s="6">
        <f>ROUND(calcs!R33,0)</f>
        <v>18575</v>
      </c>
      <c r="R5" s="6">
        <f>ROUND(calcs!S33,0)</f>
        <v>18575</v>
      </c>
      <c r="S5" s="6">
        <f>ROUND(calcs!T33,0)</f>
        <v>18575</v>
      </c>
      <c r="T5" s="6">
        <f>ROUND(calcs!U33,0)</f>
        <v>18575</v>
      </c>
      <c r="U5" s="6">
        <f>ROUND(calcs!V33,0)</f>
        <v>18575</v>
      </c>
      <c r="V5" s="6">
        <f>ROUND(calcs!W33,0)</f>
        <v>18575</v>
      </c>
      <c r="W5" s="6">
        <f>ROUND(calcs!X33,0)</f>
        <v>18575</v>
      </c>
      <c r="X5" s="6">
        <f>ROUND(calcs!Y33,0)</f>
        <v>18575</v>
      </c>
      <c r="Y5" s="6">
        <f>ROUND(calcs!Z33,0)</f>
        <v>18575</v>
      </c>
      <c r="Z5" s="6">
        <f>ROUND(calcs!AA33,0)</f>
        <v>18575</v>
      </c>
      <c r="AA5" s="6">
        <f>ROUND(calcs!AB33,0)</f>
        <v>18575</v>
      </c>
      <c r="AB5" s="6">
        <f>ROUND(calcs!AC33,0)</f>
        <v>18575</v>
      </c>
      <c r="AC5" s="6">
        <f>ROUND(calcs!AD33,0)</f>
        <v>18575</v>
      </c>
    </row>
    <row r="6" spans="1:29">
      <c r="A6" t="s">
        <v>8</v>
      </c>
      <c r="B6" s="6">
        <f>ROUND(calcs!C34,0)</f>
        <v>247923</v>
      </c>
      <c r="C6" s="6">
        <f>ROUND(calcs!D34,0)</f>
        <v>247923</v>
      </c>
      <c r="D6" s="6">
        <f>ROUND(calcs!E34,0)</f>
        <v>247923</v>
      </c>
      <c r="E6" s="6">
        <f>ROUND(calcs!F34,0)</f>
        <v>247923</v>
      </c>
      <c r="F6" s="6">
        <f>ROUND(calcs!G34,0)</f>
        <v>247923</v>
      </c>
      <c r="G6" s="6">
        <f>ROUND(calcs!H34,0)</f>
        <v>247923</v>
      </c>
      <c r="H6" s="6">
        <f>ROUND(calcs!I34,0)</f>
        <v>247923</v>
      </c>
      <c r="I6" s="6">
        <f>ROUND(calcs!J34,0)</f>
        <v>247923</v>
      </c>
      <c r="J6" s="6">
        <f>ROUND(calcs!K34,0)</f>
        <v>247923</v>
      </c>
      <c r="K6" s="6">
        <f>ROUND(calcs!L34,0)</f>
        <v>247923</v>
      </c>
      <c r="L6" s="6">
        <f>ROUND(calcs!M34,0)</f>
        <v>247923</v>
      </c>
      <c r="M6" s="6">
        <f>ROUND(calcs!N34,0)</f>
        <v>247923</v>
      </c>
      <c r="N6" s="6">
        <f>ROUND(calcs!O34,0)</f>
        <v>247923</v>
      </c>
      <c r="O6" s="6">
        <f>ROUND(calcs!P34,0)</f>
        <v>247923</v>
      </c>
      <c r="P6" s="6">
        <f>ROUND(calcs!Q34,0)</f>
        <v>247923</v>
      </c>
      <c r="Q6" s="6">
        <f>ROUND(calcs!R34,0)</f>
        <v>247923</v>
      </c>
      <c r="R6" s="6">
        <f>ROUND(calcs!S34,0)</f>
        <v>247923</v>
      </c>
      <c r="S6" s="6">
        <f>ROUND(calcs!T34,0)</f>
        <v>247923</v>
      </c>
      <c r="T6" s="6">
        <f>ROUND(calcs!U34,0)</f>
        <v>247923</v>
      </c>
      <c r="U6" s="6">
        <f>ROUND(calcs!V34,0)</f>
        <v>247923</v>
      </c>
      <c r="V6" s="6">
        <f>ROUND(calcs!W34,0)</f>
        <v>247923</v>
      </c>
      <c r="W6" s="6">
        <f>ROUND(calcs!X34,0)</f>
        <v>247923</v>
      </c>
      <c r="X6" s="6">
        <f>ROUND(calcs!Y34,0)</f>
        <v>247923</v>
      </c>
      <c r="Y6" s="6">
        <f>ROUND(calcs!Z34,0)</f>
        <v>247923</v>
      </c>
      <c r="Z6" s="6">
        <f>ROUND(calcs!AA34,0)</f>
        <v>247923</v>
      </c>
      <c r="AA6" s="6">
        <f>ROUND(calcs!AB34,0)</f>
        <v>247923</v>
      </c>
      <c r="AB6" s="6">
        <f>ROUND(calcs!AC34,0)</f>
        <v>247923</v>
      </c>
      <c r="AC6" s="6">
        <f>ROUND(calcs!AD34,0)</f>
        <v>247923</v>
      </c>
    </row>
    <row r="7" spans="1:29">
      <c r="A7" t="s">
        <v>9</v>
      </c>
      <c r="B7" s="6">
        <f>ROUND(calcs!C35,0)</f>
        <v>0</v>
      </c>
      <c r="C7" s="6">
        <f>ROUND(calcs!D35,0)</f>
        <v>0</v>
      </c>
      <c r="D7" s="6">
        <f>ROUND(calcs!E35,0)</f>
        <v>0</v>
      </c>
      <c r="E7" s="6">
        <f>ROUND(calcs!F35,0)</f>
        <v>0</v>
      </c>
      <c r="F7" s="6">
        <f>ROUND(calcs!G35,0)</f>
        <v>0</v>
      </c>
      <c r="G7" s="6">
        <f>ROUND(calcs!H35,0)</f>
        <v>0</v>
      </c>
      <c r="H7" s="6">
        <f>ROUND(calcs!I35,0)</f>
        <v>0</v>
      </c>
      <c r="I7" s="6">
        <f>ROUND(calcs!J35,0)</f>
        <v>0</v>
      </c>
      <c r="J7" s="6">
        <f>ROUND(calcs!K35,0)</f>
        <v>0</v>
      </c>
      <c r="K7" s="6">
        <f>ROUND(calcs!L35,0)</f>
        <v>0</v>
      </c>
      <c r="L7" s="6">
        <f>ROUND(calcs!M35,0)</f>
        <v>0</v>
      </c>
      <c r="M7" s="6">
        <f>ROUND(calcs!N35,0)</f>
        <v>0</v>
      </c>
      <c r="N7" s="6">
        <f>ROUND(calcs!O35,0)</f>
        <v>0</v>
      </c>
      <c r="O7" s="6">
        <f>ROUND(calcs!P35,0)</f>
        <v>0</v>
      </c>
      <c r="P7" s="6">
        <f>ROUND(calcs!Q35,0)</f>
        <v>0</v>
      </c>
      <c r="Q7" s="6">
        <f>ROUND(calcs!R35,0)</f>
        <v>0</v>
      </c>
      <c r="R7" s="6">
        <f>ROUND(calcs!S35,0)</f>
        <v>0</v>
      </c>
      <c r="S7" s="6">
        <f>ROUND(calcs!T35,0)</f>
        <v>0</v>
      </c>
      <c r="T7" s="6">
        <f>ROUND(calcs!U35,0)</f>
        <v>0</v>
      </c>
      <c r="U7" s="6">
        <f>ROUND(calcs!V35,0)</f>
        <v>0</v>
      </c>
      <c r="V7" s="6">
        <f>ROUND(calcs!W35,0)</f>
        <v>0</v>
      </c>
      <c r="W7" s="6">
        <f>ROUND(calcs!X35,0)</f>
        <v>0</v>
      </c>
      <c r="X7" s="6">
        <f>ROUND(calcs!Y35,0)</f>
        <v>0</v>
      </c>
      <c r="Y7" s="6">
        <f>ROUND(calcs!Z35,0)</f>
        <v>0</v>
      </c>
      <c r="Z7" s="6">
        <f>ROUND(calcs!AA35,0)</f>
        <v>0</v>
      </c>
      <c r="AA7" s="6">
        <f>ROUND(calcs!AB35,0)</f>
        <v>0</v>
      </c>
      <c r="AB7" s="6">
        <f>ROUND(calcs!AC35,0)</f>
        <v>0</v>
      </c>
      <c r="AC7" s="6">
        <f>ROUND(calcs!AD35,0)</f>
        <v>0</v>
      </c>
    </row>
  </sheetData>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35</vt:i4>
      </vt:variant>
    </vt:vector>
  </HeadingPairs>
  <TitlesOfParts>
    <vt:vector size="35" baseType="lpstr">
      <vt:lpstr>About</vt:lpstr>
      <vt:lpstr>source data&gt;</vt:lpstr>
      <vt:lpstr>SYVbT-passenger</vt:lpstr>
      <vt:lpstr>SYVbT-freight</vt:lpstr>
      <vt:lpstr>AVLo-passengers</vt:lpstr>
      <vt:lpstr>AVLo-freight</vt:lpstr>
      <vt:lpstr>AEO 2023 Table 7</vt:lpstr>
      <vt:lpstr>AEO 2023 Table 39</vt:lpstr>
      <vt:lpstr>AEO 2023 Table 45</vt:lpstr>
      <vt:lpstr>AEO 2023 Table 46</vt:lpstr>
      <vt:lpstr>AEO 2023 Table 47</vt:lpstr>
      <vt:lpstr>AEO 2023 Table 48</vt:lpstr>
      <vt:lpstr>AEO 2023 Table 49</vt:lpstr>
      <vt:lpstr>NHTSA Motorbikes</vt:lpstr>
      <vt:lpstr>NTS 1-40</vt:lpstr>
      <vt:lpstr>NTS Table 1-11</vt:lpstr>
      <vt:lpstr>AEO 2025 Table 7</vt:lpstr>
      <vt:lpstr>AEO 2025 Table 39</vt:lpstr>
      <vt:lpstr>AEO 2025 Table 45</vt:lpstr>
      <vt:lpstr>AEO 2025 Table 46</vt:lpstr>
      <vt:lpstr>AEO 2025 Table 47</vt:lpstr>
      <vt:lpstr>AEO 2025 Table 48</vt:lpstr>
      <vt:lpstr>AEO 2025 Table 49</vt:lpstr>
      <vt:lpstr>NRBS 40</vt:lpstr>
      <vt:lpstr>Annual Service Data_rail only</vt:lpstr>
      <vt:lpstr>Fuel and Energy_rail only</vt:lpstr>
      <vt:lpstr>calcs&gt;</vt:lpstr>
      <vt:lpstr>psgr rail calcs</vt:lpstr>
      <vt:lpstr>Misc</vt:lpstr>
      <vt:lpstr>Calibration multiplier</vt:lpstr>
      <vt:lpstr>calcs</vt:lpstr>
      <vt:lpstr>SYAADTbVT-passengers</vt:lpstr>
      <vt:lpstr>SYAADTbVT-freight</vt:lpstr>
      <vt:lpstr>BAADTbVT-passengers</vt:lpstr>
      <vt:lpstr>BAADTbVT-freight</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2015-03-31T22:53:51Z</dcterms:created>
  <dcterms:modified xsi:type="dcterms:W3CDTF">2026-01-08T23:30:35Z</dcterms:modified>
</cp:coreProperties>
</file>