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CC0C2617-6ADD-4035-82F5-9B67801CC555}" xr6:coauthVersionLast="47" xr6:coauthVersionMax="47" xr10:uidLastSave="{00000000-0000-0000-0000-000000000000}"/>
  <bookViews>
    <workbookView xWindow="-98" yWindow="-98" windowWidth="21795" windowHeight="12975" firstSheet="2" activeTab="3"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EPA-Annex3-Table A94" sheetId="76" r:id="rId17"/>
    <sheet name="AEO 2025 Table 7" sheetId="65" r:id="rId18"/>
    <sheet name="AEO 2025 Table 39" sheetId="63" r:id="rId19"/>
    <sheet name="AEO 2025 Table 45" sheetId="64" r:id="rId20"/>
    <sheet name="AEO 2025 Table 46" sheetId="61" r:id="rId21"/>
    <sheet name="AEO 2025 Table 47" sheetId="60" r:id="rId22"/>
    <sheet name="AEO 2025 Table 48" sheetId="62" r:id="rId23"/>
    <sheet name="AEO 2025 Table 49" sheetId="59" r:id="rId24"/>
    <sheet name="NRBS 40" sheetId="13" r:id="rId25"/>
    <sheet name="Annual Service Data_rail only" sheetId="54" r:id="rId26"/>
    <sheet name="Fuel and Energy_rail only" sheetId="55" r:id="rId27"/>
    <sheet name="syfafe" sheetId="71" r:id="rId28"/>
    <sheet name="AEO 2026 Table 7" sheetId="72" r:id="rId29"/>
    <sheet name="AEO 2026 Table 39" sheetId="73" r:id="rId30"/>
    <sheet name="AEO 2026 Table 49" sheetId="74" r:id="rId31"/>
    <sheet name="AEO 2026 Table 45" sheetId="75" r:id="rId32"/>
    <sheet name="calcs&gt;" sheetId="67" r:id="rId33"/>
    <sheet name="psgr rail calcs" sheetId="56" r:id="rId34"/>
    <sheet name="Misc" sheetId="69" r:id="rId35"/>
    <sheet name="Calibration multiplier" sheetId="57" r:id="rId36"/>
    <sheet name="intl shipping adjustment" sheetId="70" r:id="rId37"/>
    <sheet name="calcs" sheetId="68" r:id="rId38"/>
    <sheet name="SYAADTbVT-passengers" sheetId="6" r:id="rId39"/>
    <sheet name="SYAADTbVT-freight" sheetId="12" r:id="rId40"/>
    <sheet name="BAADTbVT-passengers" sheetId="32" r:id="rId41"/>
    <sheet name="BAADTbVT-freight" sheetId="33" r:id="rId42"/>
  </sheets>
  <externalReferences>
    <externalReference r:id="rId43"/>
    <externalReference r:id="rId44"/>
    <externalReference r:id="rId45"/>
    <externalReference r:id="rId46"/>
  </externalReferences>
  <definedNames>
    <definedName name="_xlnm._FilterDatabase" localSheetId="25" hidden="1">'Annual Service Data_rail only'!$A$1:$AX$1</definedName>
    <definedName name="CH4GWP">#REF!</definedName>
    <definedName name="Eno_TM" localSheetId="16">'[1]1997  Table 1a Modified'!#REF!</definedName>
    <definedName name="Eno_TM" localSheetId="34">#REF!</definedName>
    <definedName name="Eno_TM" localSheetId="14">'[1]1997  Table 1a Modified'!#REF!</definedName>
    <definedName name="Eno_TM">'[2]1997  Table 1a Modified'!#REF!</definedName>
    <definedName name="Eno_Tons" localSheetId="16">'[1]1997  Table 1a Modified'!#REF!</definedName>
    <definedName name="Eno_Tons" localSheetId="34">#REF!</definedName>
    <definedName name="Eno_Tons" localSheetId="14">'[1]1997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[4]About!$B$136</definedName>
    <definedName name="Sum_T2" localSheetId="16">'[1]1997  Table 1a Modified'!#REF!</definedName>
    <definedName name="Sum_T2" localSheetId="34">#REF!</definedName>
    <definedName name="Sum_T2" localSheetId="14">'[1]1997  Table 1a Modified'!#REF!</definedName>
    <definedName name="Sum_T2">'[2]1997  Table 1a Modified'!#REF!</definedName>
    <definedName name="Sum_TTM" localSheetId="16">'[1]1997  Table 1a Modified'!#REF!</definedName>
    <definedName name="Sum_TTM" localSheetId="34">#REF!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68" l="1"/>
  <c r="C5" i="68"/>
  <c r="D23" i="68"/>
  <c r="A17" i="69"/>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E30"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C16" i="68"/>
  <c r="C15" i="68"/>
  <c r="C13" i="68"/>
  <c r="C12" i="68"/>
  <c r="C3" i="68"/>
  <c r="D21" i="68" s="1"/>
  <c r="C21" i="68" s="1"/>
  <c r="B19" i="70" l="1"/>
  <c r="B18" i="70"/>
  <c r="B17" i="70"/>
  <c r="B16" i="70"/>
  <c r="B13" i="70"/>
  <c r="C23" i="68" l="1"/>
  <c r="E23" i="68" s="1"/>
  <c r="C32" i="68"/>
  <c r="D32" i="68" s="1"/>
  <c r="F23" i="68" l="1"/>
  <c r="G23" i="68" s="1"/>
  <c r="B2" i="32"/>
  <c r="B2" i="6" s="1"/>
  <c r="C2" i="32"/>
  <c r="D2" i="32"/>
  <c r="E2" i="32"/>
  <c r="F2" i="32"/>
  <c r="G2" i="32"/>
  <c r="H2" i="32"/>
  <c r="I2" i="32"/>
  <c r="J2" i="32"/>
  <c r="K2" i="32"/>
  <c r="L2" i="32"/>
  <c r="M2" i="32"/>
  <c r="N2" i="32"/>
  <c r="O2" i="32"/>
  <c r="P2" i="32"/>
  <c r="Q2" i="32"/>
  <c r="R2" i="32"/>
  <c r="S2" i="32"/>
  <c r="T2" i="32"/>
  <c r="U2" i="32"/>
  <c r="V2" i="32"/>
  <c r="W2" i="32"/>
  <c r="X2" i="32"/>
  <c r="Y2" i="32"/>
  <c r="Z2" i="32"/>
  <c r="AA2" i="32"/>
  <c r="AB2" i="32"/>
  <c r="B4" i="32"/>
  <c r="B4" i="6" s="1"/>
  <c r="C35" i="68"/>
  <c r="B1" i="12"/>
  <c r="H23" i="68" l="1"/>
  <c r="I23" i="68" s="1"/>
  <c r="E4" i="32"/>
  <c r="F4" i="32"/>
  <c r="D4" i="32"/>
  <c r="C4" i="32"/>
  <c r="C4" i="68"/>
  <c r="D22" i="68" s="1"/>
  <c r="C8" i="68"/>
  <c r="D26" i="68" s="1"/>
  <c r="C6" i="68"/>
  <c r="C7" i="68"/>
  <c r="D35" i="68"/>
  <c r="B7" i="33" s="1"/>
  <c r="B7" i="12" s="1"/>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G4" i="32" l="1"/>
  <c r="J23" i="68"/>
  <c r="D24" i="68"/>
  <c r="B5" i="32" s="1"/>
  <c r="B5" i="6" s="1"/>
  <c r="C24" i="68"/>
  <c r="D25" i="68"/>
  <c r="B6" i="32" s="1"/>
  <c r="B6" i="6" s="1"/>
  <c r="C25" i="68"/>
  <c r="C26" i="68"/>
  <c r="C22" i="68"/>
  <c r="C33" i="68"/>
  <c r="C31" i="68"/>
  <c r="C34" i="68"/>
  <c r="C30" i="68"/>
  <c r="E24" i="68"/>
  <c r="C5" i="32" s="1"/>
  <c r="E25" i="68"/>
  <c r="C6" i="32" s="1"/>
  <c r="E35" i="68"/>
  <c r="C7" i="33" s="1"/>
  <c r="B4" i="33"/>
  <c r="B4" i="12"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H4" i="32" l="1"/>
  <c r="K23" i="68"/>
  <c r="D30" i="68"/>
  <c r="D31" i="68"/>
  <c r="D34" i="68"/>
  <c r="B6" i="33" s="1"/>
  <c r="B6" i="12" s="1"/>
  <c r="D33" i="68"/>
  <c r="B5" i="33" s="1"/>
  <c r="B5" i="12" s="1"/>
  <c r="F25" i="68"/>
  <c r="D6" i="32" s="1"/>
  <c r="F24" i="68"/>
  <c r="D5" i="32" s="1"/>
  <c r="E32" i="68"/>
  <c r="C4" i="33" s="1"/>
  <c r="F35" i="68"/>
  <c r="D7" i="33" s="1"/>
  <c r="O62" i="56"/>
  <c r="V62" i="56" s="1"/>
  <c r="T64" i="56" s="1"/>
  <c r="V25" i="56"/>
  <c r="V46" i="56"/>
  <c r="V9" i="56"/>
  <c r="U9" i="56"/>
  <c r="N62" i="56"/>
  <c r="U62" i="56" s="1"/>
  <c r="U53" i="56"/>
  <c r="U57" i="56"/>
  <c r="L23" i="68" l="1"/>
  <c r="I4" i="32"/>
  <c r="E31" i="68"/>
  <c r="B3" i="33"/>
  <c r="B3" i="12" s="1"/>
  <c r="B2" i="33"/>
  <c r="B2" i="12" s="1"/>
  <c r="E34" i="68"/>
  <c r="C6" i="33" s="1"/>
  <c r="E33" i="68"/>
  <c r="C5" i="33" s="1"/>
  <c r="B7" i="32"/>
  <c r="B7" i="6" s="1"/>
  <c r="E26" i="68"/>
  <c r="B3" i="32"/>
  <c r="B3" i="6" s="1"/>
  <c r="E22" i="68"/>
  <c r="G24" i="68"/>
  <c r="E5" i="32" s="1"/>
  <c r="G25" i="68"/>
  <c r="E6" i="32" s="1"/>
  <c r="F32" i="68"/>
  <c r="D4" i="33" s="1"/>
  <c r="F33" i="68"/>
  <c r="D5" i="33" s="1"/>
  <c r="G35" i="68"/>
  <c r="E7" i="33" s="1"/>
  <c r="E64" i="56"/>
  <c r="S64" i="56"/>
  <c r="G64" i="56"/>
  <c r="J4" i="32" l="1"/>
  <c r="M23" i="68"/>
  <c r="F31" i="68"/>
  <c r="C3" i="33"/>
  <c r="C2" i="33"/>
  <c r="F34" i="68"/>
  <c r="D6" i="33" s="1"/>
  <c r="C3" i="32"/>
  <c r="F22" i="68"/>
  <c r="C7" i="32"/>
  <c r="F26" i="68"/>
  <c r="H25" i="68"/>
  <c r="F6" i="32" s="1"/>
  <c r="H24" i="68"/>
  <c r="F5" i="32" s="1"/>
  <c r="H35" i="68"/>
  <c r="F7" i="33" s="1"/>
  <c r="G33" i="68"/>
  <c r="E5" i="33" s="1"/>
  <c r="G32" i="68"/>
  <c r="E4" i="33" s="1"/>
  <c r="K4" i="32" l="1"/>
  <c r="N23" i="68"/>
  <c r="G31" i="68"/>
  <c r="D3" i="33"/>
  <c r="D2" i="33"/>
  <c r="G34" i="68"/>
  <c r="E6" i="33" s="1"/>
  <c r="D7" i="32"/>
  <c r="G26" i="68"/>
  <c r="D3" i="32"/>
  <c r="G22" i="68"/>
  <c r="I24" i="68"/>
  <c r="G5" i="32" s="1"/>
  <c r="I25" i="68"/>
  <c r="G6" i="32" s="1"/>
  <c r="H33" i="68"/>
  <c r="F5" i="33" s="1"/>
  <c r="I35" i="68"/>
  <c r="G7" i="33" s="1"/>
  <c r="H32" i="68"/>
  <c r="F4" i="33" s="1"/>
  <c r="L4" i="32" l="1"/>
  <c r="O23" i="68"/>
  <c r="H31" i="68"/>
  <c r="E3" i="33"/>
  <c r="E2" i="33"/>
  <c r="H34" i="68"/>
  <c r="F6" i="33" s="1"/>
  <c r="E3" i="32"/>
  <c r="H22" i="68"/>
  <c r="E7" i="32"/>
  <c r="H26" i="68"/>
  <c r="J25" i="68"/>
  <c r="H6" i="32" s="1"/>
  <c r="J24" i="68"/>
  <c r="H5" i="32" s="1"/>
  <c r="I33" i="68"/>
  <c r="G5" i="33" s="1"/>
  <c r="J35" i="68"/>
  <c r="H7" i="33" s="1"/>
  <c r="I32" i="68"/>
  <c r="G4" i="33" s="1"/>
  <c r="M4" i="32" l="1"/>
  <c r="P23" i="68"/>
  <c r="F2" i="33"/>
  <c r="I31" i="68"/>
  <c r="F3" i="33"/>
  <c r="I34" i="68"/>
  <c r="G6" i="33" s="1"/>
  <c r="F7" i="32"/>
  <c r="I26" i="68"/>
  <c r="F3" i="32"/>
  <c r="I22" i="68"/>
  <c r="K24" i="68"/>
  <c r="I5" i="32" s="1"/>
  <c r="K25" i="68"/>
  <c r="I6" i="32" s="1"/>
  <c r="K35" i="68"/>
  <c r="I7" i="33" s="1"/>
  <c r="J32" i="68"/>
  <c r="H4" i="33" s="1"/>
  <c r="J33" i="68"/>
  <c r="H5" i="33" s="1"/>
  <c r="N4" i="32" l="1"/>
  <c r="Q23" i="68"/>
  <c r="J31" i="68"/>
  <c r="G3" i="33"/>
  <c r="G2" i="33"/>
  <c r="J34" i="68"/>
  <c r="H6" i="33" s="1"/>
  <c r="G7" i="32"/>
  <c r="J26" i="68"/>
  <c r="G3" i="32"/>
  <c r="J22" i="68"/>
  <c r="L25" i="68"/>
  <c r="J6" i="32" s="1"/>
  <c r="L24" i="68"/>
  <c r="J5" i="32" s="1"/>
  <c r="K32" i="68"/>
  <c r="I4" i="33" s="1"/>
  <c r="K33" i="68"/>
  <c r="I5" i="33" s="1"/>
  <c r="L35" i="68"/>
  <c r="J7" i="33" s="1"/>
  <c r="O4" i="32" l="1"/>
  <c r="R23" i="68"/>
  <c r="K31" i="68"/>
  <c r="H3" i="33"/>
  <c r="H2" i="33"/>
  <c r="K34" i="68"/>
  <c r="I6" i="33" s="1"/>
  <c r="H3" i="32"/>
  <c r="K22" i="68"/>
  <c r="H7" i="32"/>
  <c r="K26" i="68"/>
  <c r="M24" i="68"/>
  <c r="K5" i="32" s="1"/>
  <c r="M25" i="68"/>
  <c r="K6" i="32" s="1"/>
  <c r="L33" i="68"/>
  <c r="J5" i="33" s="1"/>
  <c r="M35" i="68"/>
  <c r="K7" i="33" s="1"/>
  <c r="L32" i="68"/>
  <c r="J4" i="33" s="1"/>
  <c r="P4" i="32" l="1"/>
  <c r="S23" i="68"/>
  <c r="I2" i="33"/>
  <c r="L31" i="68"/>
  <c r="I3" i="33"/>
  <c r="L34" i="68"/>
  <c r="J6" i="33" s="1"/>
  <c r="I7" i="32"/>
  <c r="L26" i="68"/>
  <c r="I3" i="32"/>
  <c r="L22" i="68"/>
  <c r="N25" i="68"/>
  <c r="L6" i="32" s="1"/>
  <c r="N24" i="68"/>
  <c r="L5" i="32" s="1"/>
  <c r="M32" i="68"/>
  <c r="K4" i="33" s="1"/>
  <c r="M33" i="68"/>
  <c r="K5" i="33" s="1"/>
  <c r="N35" i="68"/>
  <c r="L7" i="33" s="1"/>
  <c r="Q4" i="32" l="1"/>
  <c r="T23" i="68"/>
  <c r="J2" i="33"/>
  <c r="M31" i="68"/>
  <c r="J3" i="33"/>
  <c r="M34" i="68"/>
  <c r="K6" i="33" s="1"/>
  <c r="J7" i="32"/>
  <c r="M26" i="68"/>
  <c r="J3" i="32"/>
  <c r="M22" i="68"/>
  <c r="O25" i="68"/>
  <c r="M6" i="32" s="1"/>
  <c r="O24" i="68"/>
  <c r="M5" i="32" s="1"/>
  <c r="O35" i="68"/>
  <c r="M7" i="33" s="1"/>
  <c r="N33" i="68"/>
  <c r="L5" i="33" s="1"/>
  <c r="N32" i="68"/>
  <c r="L4" i="33" s="1"/>
  <c r="R4" i="32" l="1"/>
  <c r="U23" i="68"/>
  <c r="N34" i="68"/>
  <c r="L6" i="33" s="1"/>
  <c r="K2" i="33"/>
  <c r="N31" i="68"/>
  <c r="K3" i="33"/>
  <c r="K3" i="32"/>
  <c r="N22" i="68"/>
  <c r="K7" i="32"/>
  <c r="N26" i="68"/>
  <c r="P24" i="68"/>
  <c r="N5" i="32" s="1"/>
  <c r="P25" i="68"/>
  <c r="N6" i="32" s="1"/>
  <c r="P35" i="68"/>
  <c r="N7" i="33" s="1"/>
  <c r="O32" i="68"/>
  <c r="M4" i="33" s="1"/>
  <c r="O33" i="68"/>
  <c r="M5" i="33" s="1"/>
  <c r="S4" i="32" l="1"/>
  <c r="V23" i="68"/>
  <c r="O34" i="68"/>
  <c r="M6" i="33" s="1"/>
  <c r="L2" i="33"/>
  <c r="O31" i="68"/>
  <c r="L3" i="33"/>
  <c r="L3" i="32"/>
  <c r="O22" i="68"/>
  <c r="L7" i="32"/>
  <c r="O26" i="68"/>
  <c r="Q25" i="68"/>
  <c r="O6" i="32" s="1"/>
  <c r="Q24" i="68"/>
  <c r="O5" i="32" s="1"/>
  <c r="P33" i="68"/>
  <c r="N5" i="33" s="1"/>
  <c r="P32" i="68"/>
  <c r="N4" i="33" s="1"/>
  <c r="Q35" i="68"/>
  <c r="O7" i="33" s="1"/>
  <c r="T4" i="32" l="1"/>
  <c r="W23" i="68"/>
  <c r="P34" i="68"/>
  <c r="P31" i="68"/>
  <c r="M3" i="33"/>
  <c r="M2" i="33"/>
  <c r="M7" i="32"/>
  <c r="P26" i="68"/>
  <c r="M3" i="32"/>
  <c r="P22" i="68"/>
  <c r="R24" i="68"/>
  <c r="P5" i="32" s="1"/>
  <c r="R25" i="68"/>
  <c r="P6" i="32" s="1"/>
  <c r="R35" i="68"/>
  <c r="P7" i="33" s="1"/>
  <c r="Q32" i="68"/>
  <c r="O4" i="33" s="1"/>
  <c r="Q33" i="68"/>
  <c r="O5" i="33" s="1"/>
  <c r="U4" i="32" l="1"/>
  <c r="X23" i="68"/>
  <c r="N6" i="33"/>
  <c r="Q34" i="68"/>
  <c r="O6" i="33" s="1"/>
  <c r="N2" i="33"/>
  <c r="Q31" i="68"/>
  <c r="N3" i="33"/>
  <c r="N3" i="32"/>
  <c r="Q22" i="68"/>
  <c r="N7" i="32"/>
  <c r="Q26" i="68"/>
  <c r="S25" i="68"/>
  <c r="Q6" i="32" s="1"/>
  <c r="S24" i="68"/>
  <c r="Q5" i="32" s="1"/>
  <c r="R32" i="68"/>
  <c r="P4" i="33" s="1"/>
  <c r="R34" i="68"/>
  <c r="P6" i="33" s="1"/>
  <c r="R33" i="68"/>
  <c r="P5" i="33" s="1"/>
  <c r="S35" i="68"/>
  <c r="Q7" i="33" s="1"/>
  <c r="V4" i="32" l="1"/>
  <c r="Y23" i="68"/>
  <c r="R31" i="68"/>
  <c r="O3" i="33"/>
  <c r="O2" i="33"/>
  <c r="O3" i="32"/>
  <c r="R22" i="68"/>
  <c r="O7" i="32"/>
  <c r="R26" i="68"/>
  <c r="T24" i="68"/>
  <c r="R5" i="32" s="1"/>
  <c r="T25" i="68"/>
  <c r="R6" i="32" s="1"/>
  <c r="S34" i="68"/>
  <c r="Q6" i="33" s="1"/>
  <c r="T35" i="68"/>
  <c r="R7" i="33" s="1"/>
  <c r="S33" i="68"/>
  <c r="Q5" i="33" s="1"/>
  <c r="S32" i="68"/>
  <c r="Q4" i="33" s="1"/>
  <c r="W4" i="32" l="1"/>
  <c r="Z23" i="68"/>
  <c r="P2" i="33"/>
  <c r="S31" i="68"/>
  <c r="P3" i="33"/>
  <c r="P3" i="32"/>
  <c r="S22" i="68"/>
  <c r="P7" i="32"/>
  <c r="S26" i="68"/>
  <c r="U25" i="68"/>
  <c r="S6" i="32" s="1"/>
  <c r="U24" i="68"/>
  <c r="S5" i="32" s="1"/>
  <c r="T33" i="68"/>
  <c r="R5" i="33" s="1"/>
  <c r="U35" i="68"/>
  <c r="S7" i="33" s="1"/>
  <c r="T32" i="68"/>
  <c r="R4" i="33" s="1"/>
  <c r="T34" i="68"/>
  <c r="R6" i="33" s="1"/>
  <c r="X4" i="32" l="1"/>
  <c r="AA23" i="68"/>
  <c r="T31" i="68"/>
  <c r="Q3" i="33"/>
  <c r="Q2" i="33"/>
  <c r="Q7" i="32"/>
  <c r="T26" i="68"/>
  <c r="Q3" i="32"/>
  <c r="T22" i="68"/>
  <c r="V24" i="68"/>
  <c r="T5" i="32" s="1"/>
  <c r="V25" i="68"/>
  <c r="T6" i="32" s="1"/>
  <c r="U34" i="68"/>
  <c r="S6" i="33" s="1"/>
  <c r="U32" i="68"/>
  <c r="S4" i="33" s="1"/>
  <c r="V35" i="68"/>
  <c r="T7" i="33" s="1"/>
  <c r="U33" i="68"/>
  <c r="S5" i="33" s="1"/>
  <c r="Y4" i="32" l="1"/>
  <c r="AB23" i="68"/>
  <c r="R2" i="33"/>
  <c r="U31" i="68"/>
  <c r="R3" i="33"/>
  <c r="R3" i="32"/>
  <c r="U22" i="68"/>
  <c r="R7" i="32"/>
  <c r="U26" i="68"/>
  <c r="W25" i="68"/>
  <c r="U6" i="32" s="1"/>
  <c r="W24" i="68"/>
  <c r="U5" i="32" s="1"/>
  <c r="V33" i="68"/>
  <c r="T5" i="33" s="1"/>
  <c r="V32" i="68"/>
  <c r="T4" i="33" s="1"/>
  <c r="W35" i="68"/>
  <c r="U7" i="33" s="1"/>
  <c r="V34" i="68"/>
  <c r="T6" i="33" s="1"/>
  <c r="Z4" i="32" l="1"/>
  <c r="AC23" i="68"/>
  <c r="V31" i="68"/>
  <c r="S3" i="33"/>
  <c r="S2" i="33"/>
  <c r="S3" i="32"/>
  <c r="V22" i="68"/>
  <c r="S7" i="32"/>
  <c r="V26" i="68"/>
  <c r="X24" i="68"/>
  <c r="V5" i="32" s="1"/>
  <c r="X25" i="68"/>
  <c r="V6" i="32" s="1"/>
  <c r="W34" i="68"/>
  <c r="U6" i="33" s="1"/>
  <c r="X35" i="68"/>
  <c r="V7" i="33" s="1"/>
  <c r="W33" i="68"/>
  <c r="U5" i="33" s="1"/>
  <c r="W32" i="68"/>
  <c r="U4" i="33" s="1"/>
  <c r="AA4" i="32" l="1"/>
  <c r="AD23" i="68"/>
  <c r="AB4" i="32" s="1"/>
  <c r="T2" i="33"/>
  <c r="W31" i="68"/>
  <c r="T3" i="33"/>
  <c r="T3" i="32"/>
  <c r="W22" i="68"/>
  <c r="T7" i="32"/>
  <c r="W26" i="68"/>
  <c r="Y24" i="68"/>
  <c r="W5" i="32" s="1"/>
  <c r="Y25" i="68"/>
  <c r="W6" i="32" s="1"/>
  <c r="X34" i="68"/>
  <c r="V6" i="33" s="1"/>
  <c r="X32" i="68"/>
  <c r="V4" i="33" s="1"/>
  <c r="X33" i="68"/>
  <c r="V5" i="33" s="1"/>
  <c r="Y35" i="68"/>
  <c r="W7" i="33" s="1"/>
  <c r="U2" i="33" l="1"/>
  <c r="X31" i="68"/>
  <c r="U3" i="33"/>
  <c r="U3" i="32"/>
  <c r="X22" i="68"/>
  <c r="U7" i="32"/>
  <c r="X26" i="68"/>
  <c r="Z25" i="68"/>
  <c r="X6" i="32" s="1"/>
  <c r="Z24" i="68"/>
  <c r="X5" i="32" s="1"/>
  <c r="Y33" i="68"/>
  <c r="W5" i="33" s="1"/>
  <c r="Y34" i="68"/>
  <c r="W6" i="33" s="1"/>
  <c r="Z35" i="68"/>
  <c r="X7" i="33" s="1"/>
  <c r="Y32" i="68"/>
  <c r="W4" i="33" s="1"/>
  <c r="Y31" i="68" l="1"/>
  <c r="V3" i="33"/>
  <c r="V2" i="33"/>
  <c r="V3" i="32"/>
  <c r="Y22" i="68"/>
  <c r="V7" i="32"/>
  <c r="Y26" i="68"/>
  <c r="AA25" i="68"/>
  <c r="Y6" i="32" s="1"/>
  <c r="AA24" i="68"/>
  <c r="Y5" i="32" s="1"/>
  <c r="Z33" i="68"/>
  <c r="X5" i="33" s="1"/>
  <c r="Z32" i="68"/>
  <c r="X4" i="33" s="1"/>
  <c r="AA35" i="68"/>
  <c r="Y7" i="33" s="1"/>
  <c r="Z34" i="68"/>
  <c r="X6" i="33" s="1"/>
  <c r="Z31" i="68" l="1"/>
  <c r="W3" i="33"/>
  <c r="W2" i="33"/>
  <c r="W7" i="32"/>
  <c r="Z26" i="68"/>
  <c r="W3" i="32"/>
  <c r="Z22" i="68"/>
  <c r="AB24" i="68"/>
  <c r="Z5" i="32" s="1"/>
  <c r="AB25" i="68"/>
  <c r="Z6" i="32" s="1"/>
  <c r="AA33" i="68"/>
  <c r="Y5" i="33" s="1"/>
  <c r="AA34" i="68"/>
  <c r="Y6" i="33" s="1"/>
  <c r="AB35" i="68"/>
  <c r="Z7" i="33" s="1"/>
  <c r="AA32" i="68"/>
  <c r="Y4" i="33" s="1"/>
  <c r="X2" i="33" l="1"/>
  <c r="AA31" i="68"/>
  <c r="X3" i="33"/>
  <c r="X3" i="32"/>
  <c r="AA22" i="68"/>
  <c r="X7" i="32"/>
  <c r="AA26" i="68"/>
  <c r="AC25" i="68"/>
  <c r="AA6" i="32" s="1"/>
  <c r="AC24" i="68"/>
  <c r="AA5" i="32" s="1"/>
  <c r="AB33" i="68"/>
  <c r="Z5" i="33" s="1"/>
  <c r="AB32" i="68"/>
  <c r="Z4" i="33" s="1"/>
  <c r="AC35" i="68"/>
  <c r="AA7" i="33" s="1"/>
  <c r="AB34" i="68"/>
  <c r="Z6" i="33" s="1"/>
  <c r="AB31" i="68" l="1"/>
  <c r="Y3" i="33"/>
  <c r="Y2" i="33"/>
  <c r="Y7" i="32"/>
  <c r="AB26" i="68"/>
  <c r="Y3" i="32"/>
  <c r="AB22" i="68"/>
  <c r="AD24" i="68"/>
  <c r="AB5" i="32" s="1"/>
  <c r="AD25" i="68"/>
  <c r="AB6" i="32" s="1"/>
  <c r="AC33" i="68"/>
  <c r="AA5" i="33" s="1"/>
  <c r="AC34" i="68"/>
  <c r="AA6" i="33" s="1"/>
  <c r="AD35" i="68"/>
  <c r="AB7" i="33" s="1"/>
  <c r="AC32" i="68"/>
  <c r="AA4" i="33" s="1"/>
  <c r="AC31" i="68" l="1"/>
  <c r="Z3" i="33"/>
  <c r="Z2" i="33"/>
  <c r="Z3" i="32"/>
  <c r="AC22" i="68"/>
  <c r="Z7" i="32"/>
  <c r="AC26" i="68"/>
  <c r="AD32" i="68"/>
  <c r="AB4" i="33" s="1"/>
  <c r="AD33" i="68"/>
  <c r="AB5" i="33" s="1"/>
  <c r="AD34" i="68"/>
  <c r="AB6" i="33" s="1"/>
  <c r="AB2" i="33" l="1"/>
  <c r="AA2" i="33"/>
  <c r="AD31" i="68"/>
  <c r="AB3" i="33" s="1"/>
  <c r="AA3" i="33"/>
  <c r="AA7" i="32"/>
  <c r="AD26" i="68"/>
  <c r="AB7" i="32" s="1"/>
  <c r="AA3" i="32"/>
  <c r="AD22" i="68"/>
  <c r="AB3" i="32" s="1"/>
</calcChain>
</file>

<file path=xl/sharedStrings.xml><?xml version="1.0" encoding="utf-8"?>
<sst xmlns="http://schemas.openxmlformats.org/spreadsheetml/2006/main" count="10442" uniqueCount="4864">
  <si>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</si>
  <si>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</si>
  <si>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</si>
  <si>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</si>
  <si>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</si>
  <si>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</si>
  <si>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</si>
  <si>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</si>
  <si>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</si>
  <si>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</si>
  <si>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</si>
  <si>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</si>
  <si>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</si>
  <si>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</si>
  <si>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</si>
  <si>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</si>
  <si>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</si>
  <si>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</si>
  <si>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</si>
  <si>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</si>
  <si>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</si>
  <si>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</si>
  <si>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</si>
  <si>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</si>
  <si>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</si>
  <si>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</si>
  <si>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</si>
  <si>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</si>
  <si>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</si>
  <si>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</si>
  <si>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</si>
  <si>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</si>
  <si>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</si>
  <si>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</si>
  <si>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</si>
  <si>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</si>
  <si>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</si>
  <si>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</si>
  <si>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</si>
  <si>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</si>
  <si>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</si>
  <si>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</si>
  <si>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</si>
  <si>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</si>
  <si>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</si>
  <si>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</si>
  <si>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</si>
  <si>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</si>
  <si>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</si>
  <si>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</si>
  <si>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</si>
  <si>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</si>
  <si>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</si>
  <si>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</si>
  <si>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</si>
  <si>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</si>
  <si>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</si>
  <si>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</si>
  <si>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</si>
  <si>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</si>
  <si>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</si>
  <si>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</si>
  <si>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</si>
  <si>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</si>
  <si>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</si>
  <si>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</si>
  <si>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</si>
  <si>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</si>
  <si>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</si>
  <si>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</si>
  <si>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</si>
  <si>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</si>
  <si>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</si>
  <si>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</si>
  <si>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</si>
  <si>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</si>
  <si>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</si>
  <si>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</si>
  <si>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</si>
  <si>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</si>
  <si>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</si>
  <si>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</si>
  <si>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</si>
  <si>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</si>
  <si>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</si>
  <si>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</si>
  <si>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</si>
  <si>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</si>
  <si>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</si>
  <si>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</si>
  <si>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</si>
  <si>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</si>
  <si>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</si>
  <si>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</si>
  <si>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</si>
  <si>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</si>
  <si>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</si>
  <si>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</si>
  <si>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</si>
  <si>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</si>
  <si>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</si>
  <si>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</si>
  <si>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</si>
  <si>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</si>
  <si>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</si>
  <si>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</si>
  <si>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</si>
  <si>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</si>
  <si>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</si>
  <si>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</si>
  <si>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</si>
  <si>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</si>
  <si>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</si>
  <si>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</si>
  <si>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</si>
  <si>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</si>
  <si>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</si>
  <si>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</si>
  <si>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</si>
  <si>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</si>
  <si>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</si>
  <si>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</si>
  <si>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</si>
  <si>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</si>
  <si>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</si>
  <si>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</si>
  <si>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</si>
  <si>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</si>
  <si>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</si>
  <si>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</si>
  <si>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</si>
  <si>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</si>
  <si>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</si>
  <si>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</si>
  <si>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</si>
  <si>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</si>
  <si>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</si>
  <si>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</si>
  <si>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</si>
  <si>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</si>
  <si>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</si>
  <si>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</si>
  <si>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</si>
  <si>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</si>
  <si>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</si>
  <si>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</si>
  <si>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</si>
  <si>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</si>
  <si>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</si>
  <si>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</si>
  <si>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</si>
  <si>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</si>
  <si>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</si>
  <si>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</si>
  <si>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</si>
  <si>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</si>
  <si>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</si>
  <si>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</si>
  <si>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</si>
  <si>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</si>
  <si>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</si>
  <si>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</si>
  <si>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</si>
  <si>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</si>
  <si>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</si>
  <si>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</si>
  <si>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</si>
  <si>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</si>
  <si>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</si>
  <si>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</si>
  <si>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</si>
  <si>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</si>
  <si>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</si>
  <si>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</si>
  <si>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</si>
  <si>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</si>
  <si>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</si>
  <si>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</si>
  <si>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</si>
  <si>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</si>
  <si>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</si>
  <si>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</si>
  <si>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</si>
  <si>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</si>
  <si>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</si>
  <si>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</si>
  <si>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</si>
  <si>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</si>
  <si>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</si>
  <si>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</si>
  <si>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</si>
  <si>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</si>
  <si>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</si>
  <si>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</si>
  <si>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</si>
  <si>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</si>
  <si>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</si>
  <si>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</si>
  <si>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</si>
  <si>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</si>
  <si>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</si>
  <si>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</si>
  <si>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</si>
  <si>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</si>
  <si>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</si>
  <si>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</si>
  <si>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</si>
  <si>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</si>
  <si>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</si>
  <si>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</si>
  <si>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</si>
  <si>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</si>
  <si>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</si>
  <si>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</si>
  <si>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</si>
  <si>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</si>
  <si>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</si>
  <si>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</si>
  <si>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</si>
  <si>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</si>
  <si>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</si>
  <si>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</si>
  <si>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</si>
  <si>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</si>
  <si>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</si>
  <si>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</si>
  <si>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</si>
  <si>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</si>
  <si>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</si>
  <si>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</si>
  <si>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</si>
  <si>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</si>
  <si>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</si>
  <si>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</si>
  <si>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</si>
  <si>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</si>
  <si>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</si>
  <si>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</si>
  <si>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</si>
  <si>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</si>
  <si>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</si>
  <si>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</si>
  <si>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</si>
  <si>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</si>
  <si>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</si>
  <si>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</si>
  <si>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</si>
  <si>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</si>
  <si>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</si>
  <si>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</si>
  <si>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</si>
  <si>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</si>
  <si>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</si>
  <si>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</si>
  <si>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</si>
  <si>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</si>
  <si>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</si>
  <si>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</si>
  <si>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</si>
  <si>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</si>
  <si>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</si>
  <si>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</si>
  <si>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</si>
  <si>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</si>
  <si>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</si>
  <si>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</si>
  <si>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</si>
  <si>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</si>
  <si>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</si>
  <si>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</si>
  <si>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</si>
  <si>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</si>
  <si>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</si>
  <si>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</si>
  <si>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</si>
  <si>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</si>
  <si>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</si>
  <si>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</si>
  <si>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</si>
  <si>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</si>
  <si>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</si>
  <si>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</si>
  <si>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</si>
  <si>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</si>
  <si>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</si>
  <si>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</si>
  <si>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</si>
  <si>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</si>
  <si>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</si>
  <si>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</si>
  <si>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</si>
  <si>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</si>
  <si>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</si>
  <si>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</si>
  <si>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</si>
  <si>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</si>
  <si>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</si>
  <si>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</si>
  <si>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</si>
  <si>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</si>
  <si>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</si>
  <si>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</si>
  <si>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</si>
  <si>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</si>
  <si>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</si>
  <si>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</si>
  <si>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</si>
  <si>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</si>
  <si>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</si>
  <si>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</si>
  <si>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</si>
  <si>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</si>
  <si>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</si>
  <si>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</si>
  <si>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</si>
  <si>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</si>
  <si>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</si>
  <si>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</si>
  <si>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</si>
  <si>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</si>
  <si>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</si>
  <si>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</si>
  <si>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</si>
  <si>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</si>
  <si>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</si>
  <si>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</si>
  <si>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</si>
  <si>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</si>
  <si>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</si>
  <si>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</si>
  <si>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</si>
  <si>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</si>
  <si>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</si>
  <si>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</si>
  <si>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</si>
  <si>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</si>
  <si>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</si>
  <si>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</si>
  <si>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</si>
  <si>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</si>
  <si>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</si>
  <si>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</si>
  <si>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</si>
  <si>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</si>
  <si>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</si>
  <si>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</si>
  <si>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</si>
  <si>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</si>
  <si>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</si>
  <si>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</si>
  <si>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</si>
  <si>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</si>
  <si>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</si>
  <si>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</si>
  <si>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</si>
  <si>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</si>
  <si>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</si>
  <si>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</si>
  <si>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</si>
  <si>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</si>
  <si>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</si>
  <si>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</si>
  <si>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</si>
  <si>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</si>
  <si>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</si>
  <si>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</si>
  <si>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</si>
  <si>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</si>
  <si>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</si>
  <si>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</si>
  <si>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</si>
  <si>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</si>
  <si>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</si>
  <si>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</si>
  <si>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</si>
  <si>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</si>
  <si>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</si>
  <si>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</si>
  <si>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</si>
  <si>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</si>
  <si>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</si>
  <si>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</si>
  <si>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</si>
  <si>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</si>
  <si>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</si>
  <si>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</si>
  <si>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</si>
  <si>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</si>
  <si>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</si>
  <si>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</si>
  <si>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</si>
  <si>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</si>
  <si>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</si>
  <si>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</si>
  <si>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</si>
  <si>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</si>
  <si>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</si>
  <si>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</si>
  <si>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</si>
  <si>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</si>
  <si>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</si>
  <si>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</si>
  <si>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</si>
  <si>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</si>
  <si>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</si>
  <si>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</si>
  <si>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</si>
  <si>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</si>
  <si>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</si>
  <si>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</si>
  <si>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</si>
  <si>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</si>
  <si>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</si>
  <si>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</si>
  <si>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</si>
  <si>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</si>
  <si>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</si>
  <si>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</si>
  <si>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</si>
  <si>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</si>
  <si>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</si>
  <si>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</si>
  <si>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</si>
  <si>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</si>
  <si>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</si>
  <si>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</si>
  <si>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</si>
  <si>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</si>
  <si>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</si>
  <si>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</si>
  <si>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</si>
  <si>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</si>
  <si>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</si>
  <si>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</si>
  <si>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</si>
  <si>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</si>
  <si>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</si>
  <si>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</si>
  <si>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</si>
  <si>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</si>
  <si>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</si>
  <si>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</si>
  <si>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</si>
  <si>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</si>
  <si>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</si>
  <si>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</si>
  <si>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</si>
  <si>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</si>
  <si>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</si>
  <si>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</si>
  <si>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</si>
  <si>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</si>
  <si>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</si>
  <si>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</si>
  <si>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</si>
  <si>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</si>
  <si>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</si>
  <si>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</si>
  <si>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</si>
  <si>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</si>
  <si>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</si>
  <si>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</si>
  <si>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</si>
  <si>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</si>
  <si>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</si>
  <si>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</si>
  <si>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</si>
  <si>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</si>
  <si>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</si>
  <si>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</si>
  <si>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</si>
  <si>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</si>
  <si>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</si>
  <si>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</si>
  <si>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</si>
  <si>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</si>
  <si>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</si>
  <si>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</si>
  <si>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</si>
  <si>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</si>
  <si>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</si>
  <si>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</si>
  <si>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</si>
  <si>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</si>
  <si>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</si>
  <si>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</si>
  <si>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</si>
  <si>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</si>
  <si>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</si>
  <si>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</si>
  <si>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</si>
  <si>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</si>
  <si>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</si>
  <si>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</si>
  <si>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</si>
  <si>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</si>
  <si>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</si>
  <si>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</si>
  <si>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</si>
  <si>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</si>
  <si>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</si>
  <si>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</si>
  <si>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</si>
  <si>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</si>
  <si>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</si>
  <si>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</si>
  <si>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</si>
  <si>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</si>
  <si>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</si>
  <si>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</si>
  <si>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</si>
  <si>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</si>
  <si>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</si>
  <si>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</si>
  <si>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</si>
  <si>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</si>
  <si>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</si>
  <si>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</si>
  <si>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</si>
  <si>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</si>
  <si>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</si>
  <si>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</si>
  <si>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</si>
  <si>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</si>
  <si>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</si>
  <si>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</si>
  <si>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</si>
  <si>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</si>
  <si>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</si>
  <si>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</si>
  <si>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</si>
  <si>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</si>
  <si>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</si>
  <si>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</si>
  <si>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</si>
  <si>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</si>
  <si>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</si>
  <si>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</si>
  <si>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</si>
  <si>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</si>
  <si>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</si>
  <si>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</si>
  <si>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</si>
  <si>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</si>
  <si>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</si>
  <si>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</si>
  <si>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</si>
  <si>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</si>
  <si>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</si>
  <si>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</si>
  <si>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</si>
  <si>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</si>
  <si>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</si>
  <si>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</si>
  <si>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</si>
  <si>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</si>
  <si>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</si>
  <si>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</si>
  <si>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</si>
  <si>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</si>
  <si>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</si>
  <si>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</si>
  <si>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</si>
  <si>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</si>
  <si>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</si>
  <si>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</si>
  <si>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</si>
  <si>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</si>
  <si>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</si>
  <si>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</si>
  <si>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</si>
  <si>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</si>
  <si>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</si>
  <si>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</si>
  <si>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</si>
  <si>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</si>
  <si>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</si>
  <si>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</si>
  <si>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</si>
  <si>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</si>
  <si>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</si>
  <si>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</si>
  <si>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</si>
  <si>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</si>
  <si>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</si>
  <si>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</si>
  <si>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</si>
  <si>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</si>
  <si>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</si>
  <si>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</si>
  <si>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</si>
  <si>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</si>
  <si>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</si>
  <si>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</si>
  <si>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</si>
  <si>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</si>
  <si>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</si>
  <si>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</si>
  <si>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</si>
  <si>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</si>
  <si>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</si>
  <si>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</si>
  <si>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</si>
  <si>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</si>
  <si>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</si>
  <si>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</si>
  <si>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</si>
  <si>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</si>
  <si>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</si>
  <si>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</si>
  <si>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</si>
  <si>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</si>
  <si>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</si>
  <si>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</si>
  <si>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</si>
  <si>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</si>
  <si>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</si>
  <si>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</si>
  <si>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</si>
  <si>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</si>
  <si>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</si>
  <si>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</si>
  <si>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</si>
  <si>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</si>
  <si>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</si>
  <si>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</si>
  <si>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</si>
  <si>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</si>
  <si>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</si>
  <si>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</si>
  <si>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</si>
  <si>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</si>
  <si>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</si>
  <si>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</si>
  <si>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</si>
  <si>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</si>
  <si>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</si>
  <si>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</si>
  <si>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</si>
  <si>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</si>
  <si>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</si>
  <si>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</si>
  <si>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</si>
  <si>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</si>
  <si>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</si>
  <si>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</si>
  <si>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</si>
  <si>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</si>
  <si>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</si>
  <si>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</si>
  <si>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</si>
  <si>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</si>
  <si>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</si>
  <si>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</si>
  <si>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</si>
  <si>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</si>
  <si>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</si>
  <si>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</si>
  <si>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</si>
  <si>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</si>
  <si>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</si>
  <si>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</si>
  <si>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</si>
  <si>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</si>
  <si>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</si>
  <si>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</si>
  <si>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</si>
  <si>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</si>
  <si>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</si>
  <si>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</si>
  <si>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</si>
  <si>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</si>
  <si>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</si>
  <si>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</si>
  <si>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</si>
  <si>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</si>
  <si>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</si>
  <si>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</si>
  <si>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</si>
  <si>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</si>
  <si>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</si>
  <si>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</si>
  <si>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</si>
  <si>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</si>
  <si>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</si>
  <si>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</si>
  <si>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</si>
  <si>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</si>
  <si>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</si>
  <si>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</si>
  <si>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</si>
  <si>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</si>
  <si>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</si>
  <si>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</si>
  <si>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</si>
  <si>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</si>
  <si>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</si>
  <si>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</si>
  <si>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</si>
  <si>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</si>
  <si>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</si>
  <si>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</si>
  <si>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</si>
  <si>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</si>
  <si>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</si>
  <si>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</si>
  <si>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</si>
  <si>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</si>
  <si>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</si>
  <si>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</si>
  <si>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</si>
  <si>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</si>
  <si>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</si>
  <si>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</si>
  <si>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</si>
  <si>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</si>
  <si>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</si>
  <si>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</si>
  <si>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</si>
  <si>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</si>
  <si>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</si>
  <si>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</si>
  <si>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</si>
  <si>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</si>
  <si>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</si>
  <si>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</si>
  <si>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</si>
  <si>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</si>
  <si>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</si>
  <si>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</si>
  <si>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</si>
  <si>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</si>
  <si>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</si>
  <si>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</si>
  <si>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</si>
  <si>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</si>
  <si>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</si>
  <si>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</si>
  <si>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</si>
  <si>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</si>
  <si>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</si>
  <si>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</si>
  <si>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</si>
  <si>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</si>
  <si>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</si>
  <si>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</si>
  <si>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</si>
  <si>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</si>
  <si>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</si>
  <si>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</si>
  <si>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</si>
  <si>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</si>
  <si>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</si>
  <si>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</si>
  <si>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</si>
  <si>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</si>
  <si>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</si>
  <si>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</si>
  <si>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</si>
  <si>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</si>
  <si>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</si>
  <si>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</si>
  <si>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</si>
  <si>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</si>
  <si>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</si>
  <si>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</si>
  <si>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</si>
  <si>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</si>
  <si>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</si>
  <si>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</si>
  <si>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</si>
  <si>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</si>
  <si>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</si>
  <si>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</si>
  <si>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</si>
  <si>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</si>
  <si>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</si>
  <si>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</si>
  <si>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</si>
  <si>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</si>
  <si>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</si>
  <si>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</si>
  <si>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</si>
  <si>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</si>
  <si>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</si>
  <si>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</si>
  <si>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</si>
  <si>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</si>
  <si>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</si>
  <si>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</si>
  <si>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</si>
  <si>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</si>
  <si>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</si>
  <si>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</si>
  <si>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</si>
  <si>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</si>
  <si>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</si>
  <si>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</si>
  <si>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</si>
  <si>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</si>
  <si>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</si>
  <si>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</si>
  <si>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</si>
  <si>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</si>
  <si>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</si>
  <si>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</si>
  <si>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</si>
  <si>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</si>
  <si>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</si>
  <si>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</si>
  <si>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</si>
  <si>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</si>
  <si>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</si>
  <si>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</si>
  <si>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</si>
  <si>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</si>
  <si>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</si>
  <si>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</si>
  <si>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</si>
  <si>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</si>
  <si>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</si>
  <si>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</si>
  <si>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</si>
  <si>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</si>
  <si>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</si>
  <si>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</si>
  <si>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</si>
  <si>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</si>
  <si>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</si>
  <si>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</si>
  <si>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</si>
  <si>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</si>
  <si>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</si>
  <si>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</si>
  <si>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</si>
  <si>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</si>
  <si>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</si>
  <si>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</si>
  <si>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</si>
  <si>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</si>
  <si>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</si>
  <si>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</si>
  <si>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</si>
  <si>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</si>
  <si>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</si>
  <si>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</si>
  <si>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</si>
  <si>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</si>
  <si>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</si>
  <si>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</si>
  <si>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</si>
  <si>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</si>
  <si>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</si>
  <si>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</si>
  <si>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</si>
  <si>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</si>
  <si>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</si>
  <si>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</si>
  <si>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</si>
  <si>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</si>
  <si>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</si>
  <si>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</si>
  <si>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</si>
  <si>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</si>
  <si>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</si>
  <si>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</si>
  <si>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</si>
  <si>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</si>
  <si>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</si>
  <si>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</si>
  <si>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</si>
  <si>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</si>
  <si>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</si>
  <si>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</si>
  <si>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</si>
  <si>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</si>
  <si>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</si>
  <si>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</si>
  <si>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</si>
  <si>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</si>
  <si>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</si>
  <si>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</si>
  <si>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</si>
  <si>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</si>
  <si>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</si>
  <si>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</si>
  <si>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</si>
  <si>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</si>
  <si>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</si>
  <si>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</si>
  <si>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</si>
  <si>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</si>
  <si>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</si>
  <si>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</si>
  <si>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</si>
  <si>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</si>
  <si>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</si>
  <si>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</si>
  <si>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</si>
  <si>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</si>
  <si>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</si>
  <si>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</si>
  <si>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</si>
  <si>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</si>
  <si>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</si>
  <si>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</si>
  <si>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</si>
  <si>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</si>
  <si>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</si>
  <si>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</si>
  <si>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</si>
  <si>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</si>
  <si>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</si>
  <si>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</si>
  <si>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</si>
  <si>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</si>
  <si>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</si>
  <si>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</si>
  <si>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</si>
  <si>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</si>
  <si>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</si>
  <si>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</si>
  <si>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</si>
  <si>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</si>
  <si>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</si>
  <si>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</si>
  <si>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</si>
  <si>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</si>
  <si>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</si>
  <si>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</si>
  <si>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</si>
  <si>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</si>
  <si>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</si>
  <si>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</si>
  <si>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</si>
  <si>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</si>
  <si>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</si>
  <si>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</si>
  <si>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</si>
  <si>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</si>
  <si>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</si>
  <si>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</si>
  <si>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</si>
  <si>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</si>
  <si>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</si>
  <si>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</si>
  <si>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</si>
  <si>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</si>
  <si>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</si>
  <si>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</si>
  <si>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</si>
  <si>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</si>
  <si>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</si>
  <si>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</si>
  <si>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</si>
  <si>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</si>
  <si>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</si>
  <si>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</si>
  <si>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</si>
  <si>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</si>
  <si>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</si>
  <si>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</si>
  <si>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</si>
  <si>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</si>
  <si>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</si>
  <si>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</si>
  <si>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</si>
  <si>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</si>
  <si>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</si>
  <si>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</si>
  <si>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</si>
  <si>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</si>
  <si>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</si>
  <si>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</si>
  <si>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</si>
  <si>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</si>
  <si>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</si>
  <si>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</si>
  <si>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</si>
  <si>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</si>
  <si>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</si>
  <si>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</si>
  <si>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</si>
  <si>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</si>
  <si>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</si>
  <si>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</si>
  <si>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</si>
  <si>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</si>
  <si>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</si>
  <si>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</si>
  <si>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</si>
  <si>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</si>
  <si>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</si>
  <si>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</si>
  <si>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</si>
  <si>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</si>
  <si>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</si>
  <si>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</si>
  <si>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</si>
  <si>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</si>
  <si>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</si>
  <si>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</si>
  <si>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</si>
  <si>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</si>
  <si>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</si>
  <si>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</si>
  <si>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</si>
  <si>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</si>
  <si>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</si>
  <si>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</si>
  <si>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</si>
  <si>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</si>
  <si>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</si>
  <si>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</si>
  <si>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</si>
  <si>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</si>
  <si>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</si>
  <si>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</si>
  <si>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</si>
  <si>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</si>
  <si>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</si>
  <si>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</si>
  <si>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</si>
  <si>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</si>
  <si>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</si>
  <si>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</si>
  <si>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</si>
  <si>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</si>
  <si>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</si>
  <si>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</si>
  <si>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</si>
  <si>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</si>
  <si>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</si>
  <si>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</si>
  <si>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</si>
  <si>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</si>
  <si>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</si>
  <si>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</si>
  <si>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</si>
  <si>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</si>
  <si>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</si>
  <si>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</si>
  <si>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</si>
  <si>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</si>
  <si>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</si>
  <si>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</si>
  <si>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</si>
  <si>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</si>
  <si>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</si>
  <si>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</si>
  <si>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</si>
  <si>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</si>
  <si>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</si>
  <si>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</si>
  <si>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</si>
  <si>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</si>
  <si>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</si>
  <si>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</si>
  <si>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</si>
  <si>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</si>
  <si>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</si>
  <si>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</si>
  <si>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</si>
  <si>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</si>
  <si>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</si>
  <si>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</si>
  <si>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</si>
  <si>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</si>
  <si>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</si>
  <si>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</si>
  <si>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</si>
  <si>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</si>
  <si>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</si>
  <si>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</si>
  <si>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</si>
  <si>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</si>
  <si>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</si>
  <si>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</si>
  <si>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</si>
  <si>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</si>
  <si>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</si>
  <si>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</si>
  <si>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</si>
  <si>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</si>
  <si>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</si>
  <si>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</si>
  <si>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</si>
  <si>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</si>
  <si>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</si>
  <si>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</si>
  <si>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</si>
  <si>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</si>
  <si>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</si>
  <si>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</si>
  <si>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</si>
  <si>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</si>
  <si>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</si>
  <si>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</si>
  <si>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</si>
  <si>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</si>
  <si>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</si>
  <si>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</si>
  <si>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</si>
  <si>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</si>
  <si>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</si>
  <si>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</si>
  <si>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</si>
  <si>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</si>
  <si>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</si>
  <si>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</si>
  <si>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</si>
  <si>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</si>
  <si>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</si>
  <si>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</si>
  <si>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</si>
  <si>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</si>
  <si>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</si>
  <si>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</si>
  <si>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</si>
  <si>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</si>
  <si>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</si>
  <si>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</si>
  <si>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</si>
  <si>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</si>
  <si>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</si>
  <si>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</si>
  <si>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</si>
  <si>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</si>
  <si>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</si>
  <si>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</si>
  <si>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</si>
  <si>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</si>
  <si>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</si>
  <si>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</si>
  <si>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</si>
  <si>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</si>
  <si>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</si>
  <si>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</si>
  <si>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</si>
  <si>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</si>
  <si>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</si>
  <si>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</si>
  <si>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</si>
  <si>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</si>
  <si>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</si>
  <si>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</si>
  <si>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</si>
  <si>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</si>
  <si>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</si>
  <si>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</si>
  <si>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</si>
  <si>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</si>
  <si>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</si>
  <si>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</si>
  <si>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</si>
  <si>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</si>
  <si>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</si>
  <si>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</si>
  <si>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</si>
  <si>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</si>
  <si>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</si>
  <si>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</si>
  <si>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</si>
  <si>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</si>
  <si>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</si>
  <si>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</si>
  <si>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</si>
  <si>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</si>
  <si>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</si>
  <si>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</si>
  <si>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</si>
  <si>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</si>
  <si>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</si>
  <si>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</si>
  <si>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</si>
  <si>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</si>
  <si>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</si>
  <si>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</si>
  <si>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</si>
  <si>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</si>
  <si>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</si>
  <si>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</si>
  <si>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</si>
  <si>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</si>
  <si>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</si>
  <si>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</si>
  <si>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</si>
  <si>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</si>
  <si>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</si>
  <si>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</si>
  <si>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</si>
  <si>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</si>
  <si>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</si>
  <si>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</si>
  <si>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</si>
  <si>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</si>
  <si>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</si>
  <si>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</si>
  <si>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</si>
  <si>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</si>
  <si>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</si>
  <si>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</si>
  <si>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</si>
  <si>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</si>
  <si>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</si>
  <si>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</si>
  <si>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</si>
  <si>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</si>
  <si>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</si>
  <si>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</si>
  <si>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</si>
  <si>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</si>
  <si>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</si>
  <si>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</si>
  <si>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</si>
  <si>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</si>
  <si>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</si>
  <si>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</si>
  <si>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</si>
  <si>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</si>
  <si>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</si>
  <si>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</si>
  <si>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</si>
  <si>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</si>
  <si>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</si>
  <si>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</si>
  <si>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</si>
  <si>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</si>
  <si>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</si>
  <si>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</si>
  <si>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</si>
  <si>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</si>
  <si>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</si>
  <si>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</si>
  <si>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</si>
  <si>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</si>
  <si>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</si>
  <si>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</si>
  <si>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</si>
  <si>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</si>
  <si>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</si>
  <si>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</si>
  <si>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</si>
  <si>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</si>
  <si>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</si>
  <si>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</si>
  <si>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</si>
  <si>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</si>
  <si>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</si>
  <si>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</si>
  <si>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</si>
  <si>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</si>
  <si>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</si>
  <si>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</si>
  <si>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</si>
  <si>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</si>
  <si>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</si>
  <si>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</si>
  <si>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</si>
  <si>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</si>
  <si>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</si>
  <si>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</si>
  <si>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</si>
  <si>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</si>
  <si>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</si>
  <si>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</si>
  <si>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</si>
  <si>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</si>
  <si>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</si>
  <si>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</si>
  <si>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</si>
  <si>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</si>
  <si>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</si>
  <si>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</si>
  <si>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</si>
  <si>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</si>
  <si>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</si>
  <si>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</si>
  <si>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</si>
  <si>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</si>
  <si>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</si>
  <si>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</si>
  <si>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</si>
  <si>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</si>
  <si>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</si>
  <si>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</si>
  <si>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</si>
  <si>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</si>
  <si>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</si>
  <si>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</si>
  <si>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</si>
  <si>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</si>
  <si>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</si>
  <si>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</si>
  <si>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</si>
  <si>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</si>
  <si>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</si>
  <si>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</si>
  <si>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</si>
  <si>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</si>
  <si>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</si>
  <si>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</si>
  <si>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</si>
  <si>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</si>
  <si>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</si>
  <si>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</si>
  <si>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</si>
  <si>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</si>
  <si>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</si>
  <si>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</si>
  <si>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</si>
  <si>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</si>
  <si>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</si>
  <si>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</si>
  <si>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</si>
  <si>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</si>
  <si>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</si>
  <si>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</si>
  <si>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</si>
  <si>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</si>
  <si>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</si>
  <si>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</si>
  <si>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</si>
  <si>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</si>
  <si>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</si>
  <si>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</si>
  <si>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</si>
  <si>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</si>
  <si>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</si>
  <si>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</si>
  <si>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</si>
  <si>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</si>
  <si>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</si>
  <si>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</si>
  <si>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</si>
  <si>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</si>
  <si>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</si>
  <si>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</si>
  <si>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</si>
  <si>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</si>
  <si>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</si>
  <si>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</si>
  <si>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</si>
  <si>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</si>
  <si>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</si>
  <si>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</si>
  <si>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</si>
  <si>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</si>
  <si>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</si>
  <si>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</si>
  <si>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</si>
  <si>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</si>
  <si>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</si>
  <si>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</si>
  <si>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</si>
  <si>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</si>
  <si>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</si>
  <si>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</si>
  <si>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</si>
  <si>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</si>
  <si>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</si>
  <si>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</si>
  <si>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</si>
  <si>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</si>
  <si>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</si>
  <si>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</si>
  <si>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</si>
  <si>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</si>
  <si>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</si>
  <si>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</si>
  <si>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</si>
  <si>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</si>
  <si>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</si>
  <si>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</si>
  <si>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</si>
  <si>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</si>
  <si>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</si>
  <si>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</si>
  <si>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</si>
  <si>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</si>
  <si>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</si>
  <si>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</si>
  <si>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</si>
  <si>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</si>
  <si>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</si>
  <si>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</si>
  <si>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</si>
  <si>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</si>
  <si>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</si>
  <si>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</si>
  <si>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</si>
  <si>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</si>
  <si>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</si>
  <si>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</si>
  <si>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</si>
  <si>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</si>
  <si>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</si>
  <si>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</si>
  <si>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</si>
  <si>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</si>
  <si>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</si>
  <si>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</si>
  <si>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</si>
  <si>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</si>
  <si>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</si>
  <si>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</si>
  <si>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</si>
  <si>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</si>
  <si>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</si>
  <si>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</si>
  <si>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</si>
  <si>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</si>
  <si>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</si>
  <si>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</si>
  <si>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</si>
  <si>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</si>
  <si>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</si>
  <si>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</si>
  <si>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</si>
  <si>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</si>
  <si>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</si>
  <si>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</si>
  <si>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</si>
  <si>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</si>
  <si>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</si>
  <si>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</si>
  <si>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</si>
  <si>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</si>
  <si>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</si>
  <si>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</si>
  <si>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</si>
  <si>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</si>
  <si>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</si>
  <si>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</si>
  <si>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</si>
  <si>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</si>
  <si>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</si>
  <si>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</si>
  <si>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</si>
  <si>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</si>
  <si>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</si>
  <si>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</si>
  <si>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</si>
  <si>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</si>
  <si>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</si>
  <si>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</si>
  <si>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</si>
  <si>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</si>
  <si>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</si>
  <si>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</si>
  <si>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</si>
  <si>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</si>
  <si>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</si>
  <si>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</si>
  <si>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</si>
  <si>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</si>
  <si>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</si>
  <si>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</si>
  <si>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</si>
  <si>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</si>
  <si>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</si>
  <si>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</si>
  <si>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</si>
  <si>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</si>
  <si>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</si>
  <si>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</si>
  <si>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</si>
  <si>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</si>
  <si>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</si>
  <si>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</si>
  <si>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</si>
  <si>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</si>
  <si>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</si>
  <si>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</si>
  <si>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</si>
  <si>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</si>
  <si>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</si>
  <si>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</si>
  <si>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</si>
  <si>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</si>
  <si>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</si>
  <si>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</si>
  <si>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</si>
  <si>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</si>
  <si>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</si>
  <si>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</si>
  <si>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</si>
  <si>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</si>
  <si>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</si>
  <si>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</si>
  <si>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</si>
  <si>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</si>
  <si>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</si>
  <si>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</si>
  <si>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</si>
  <si>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</si>
  <si>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</si>
  <si>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</si>
  <si>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</si>
  <si>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</si>
  <si>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</si>
  <si>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</si>
  <si>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</si>
  <si>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</si>
  <si>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</si>
  <si>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</si>
  <si>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</si>
  <si>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</si>
  <si>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</si>
  <si>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</si>
  <si>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</si>
  <si>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</si>
  <si>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</si>
  <si>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</si>
  <si>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</si>
  <si>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</si>
  <si>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</si>
  <si>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</si>
  <si>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</si>
  <si>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</si>
  <si>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</si>
  <si>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</si>
  <si>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</si>
  <si>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</si>
  <si>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</si>
  <si>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</si>
  <si>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</si>
  <si>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</si>
  <si>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</si>
  <si>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</si>
  <si>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</si>
  <si>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</si>
  <si>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</si>
  <si>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</si>
  <si>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</si>
  <si>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</si>
  <si>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</si>
  <si>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</si>
  <si>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</si>
  <si>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</si>
  <si>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</si>
  <si>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</si>
  <si>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</si>
  <si>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</si>
  <si>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</si>
  <si>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</si>
  <si>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</si>
  <si>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</si>
  <si>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</si>
  <si>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</si>
  <si>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</si>
  <si>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</si>
  <si>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</si>
  <si>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</si>
  <si>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</si>
  <si>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</si>
  <si>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</si>
  <si>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</si>
  <si>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</si>
  <si>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</si>
  <si>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</si>
  <si>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</si>
  <si>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</si>
  <si>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</si>
  <si>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</si>
  <si>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</si>
  <si>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</si>
  <si>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</si>
  <si>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</si>
  <si>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</si>
  <si>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</si>
  <si>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</si>
  <si>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</si>
  <si>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</si>
  <si>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</si>
  <si>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</si>
  <si>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</si>
  <si>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</si>
  <si>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</si>
  <si>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</si>
  <si>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</si>
  <si>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</si>
  <si>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</si>
  <si>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</si>
  <si>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</si>
  <si>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</si>
  <si>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</si>
  <si>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</si>
  <si>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</si>
  <si>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</si>
  <si>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</si>
  <si>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</si>
  <si>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</si>
  <si>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</si>
  <si>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</si>
  <si>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</si>
  <si>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</si>
  <si>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</si>
  <si>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</si>
  <si>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</si>
  <si>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</si>
  <si>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</si>
  <si>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</si>
  <si>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</si>
  <si>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</si>
  <si>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</si>
  <si>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</si>
  <si>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</si>
  <si>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</si>
  <si>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</si>
  <si>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</si>
  <si>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</si>
  <si>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</si>
  <si>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</si>
  <si>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</si>
  <si>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</si>
  <si>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</si>
  <si>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</si>
  <si>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</si>
  <si>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</si>
  <si>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</si>
  <si>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</si>
  <si>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</si>
  <si>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</si>
  <si>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</si>
  <si>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</si>
  <si>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</si>
  <si>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</si>
  <si>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</si>
  <si>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</si>
  <si>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</si>
  <si>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</si>
  <si>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</si>
  <si>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</si>
  <si>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</si>
  <si>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</si>
  <si>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</si>
  <si>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</si>
  <si>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</si>
  <si>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</si>
  <si>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</si>
  <si>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</si>
  <si>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</si>
  <si>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</si>
  <si>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</si>
  <si>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</si>
  <si>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</si>
  <si>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</si>
  <si>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</si>
  <si>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</si>
  <si>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</si>
  <si>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</si>
  <si>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</si>
  <si>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</si>
  <si>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</si>
  <si>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</si>
  <si>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</si>
  <si>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</si>
  <si>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</si>
  <si>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</si>
  <si>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</si>
  <si>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</si>
  <si>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</si>
  <si>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</si>
  <si>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</si>
  <si>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</si>
  <si>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</si>
  <si>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</si>
  <si>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</si>
  <si>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</si>
  <si>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</si>
  <si>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</si>
  <si>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</si>
  <si>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</si>
  <si>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</si>
  <si>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</si>
  <si>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</si>
  <si>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</si>
  <si>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</si>
  <si>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</si>
  <si>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</si>
  <si>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</si>
  <si>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</si>
  <si>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</si>
  <si>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</si>
  <si>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</si>
  <si>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</si>
  <si>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</si>
  <si>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</si>
  <si>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</si>
  <si>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</si>
  <si>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</si>
  <si>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</si>
  <si>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</si>
  <si>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</si>
  <si>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</si>
  <si>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</si>
  <si>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</si>
  <si>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</si>
  <si>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</si>
  <si>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</si>
  <si>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</si>
  <si>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</si>
  <si>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</si>
  <si>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</si>
  <si>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</si>
  <si>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</si>
  <si>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</si>
  <si>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</si>
  <si>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</si>
  <si>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</si>
  <si>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</si>
  <si>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</si>
  <si>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</si>
  <si>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</si>
  <si>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</si>
  <si>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</si>
  <si>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</si>
  <si>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</si>
  <si>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</si>
  <si>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</si>
  <si>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</si>
  <si>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</si>
  <si>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</si>
  <si>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</si>
  <si>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</si>
  <si>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</si>
  <si>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</si>
  <si>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</si>
  <si>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</si>
  <si>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</si>
  <si>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</si>
  <si>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</si>
  <si>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</si>
  <si>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</si>
  <si>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</si>
  <si>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</si>
  <si>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</si>
  <si>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</si>
  <si>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</si>
  <si>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</si>
  <si>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</si>
  <si>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</si>
  <si>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</si>
  <si>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</si>
  <si>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</si>
  <si>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</si>
  <si>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</si>
  <si>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</si>
  <si>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</si>
  <si>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</si>
  <si>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</si>
  <si>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</si>
  <si>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</si>
  <si>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</si>
  <si>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</si>
  <si>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</si>
  <si>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</si>
  <si>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</si>
  <si>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</si>
  <si>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</si>
  <si>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</si>
  <si>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</si>
  <si>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</si>
  <si>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</si>
  <si>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</si>
  <si>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</si>
  <si>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</si>
  <si>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</si>
  <si>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</si>
  <si>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</si>
  <si>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</si>
  <si>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</si>
  <si>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</si>
  <si>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</si>
  <si>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</si>
  <si>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</si>
  <si>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</si>
  <si>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</si>
  <si>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</si>
  <si>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</si>
  <si>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</si>
  <si>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</si>
  <si>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</si>
  <si>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</si>
  <si>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</si>
  <si>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</si>
  <si>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</si>
  <si>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</si>
  <si>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</si>
  <si>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</si>
  <si>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</si>
  <si>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</si>
  <si>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</si>
  <si>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</si>
  <si>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</si>
  <si>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</si>
  <si>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</si>
  <si>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</si>
  <si>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</si>
  <si>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</si>
  <si>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</si>
  <si>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</si>
  <si>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</si>
  <si>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</si>
  <si>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</si>
  <si>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</si>
  <si>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</si>
  <si>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</si>
  <si>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</si>
  <si>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</si>
  <si>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</si>
  <si>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</si>
  <si>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</si>
  <si>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</si>
  <si>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</si>
  <si>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</si>
  <si>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</si>
  <si>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</si>
  <si>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</si>
  <si>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</si>
  <si>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</si>
  <si>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</si>
  <si>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</si>
  <si>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</si>
  <si>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</si>
  <si>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</si>
  <si>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</si>
  <si>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</si>
  <si>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</si>
  <si>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</si>
  <si>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</si>
  <si>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</si>
  <si>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</si>
  <si>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</si>
  <si>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</si>
  <si>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</si>
  <si>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</si>
  <si>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</si>
  <si>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</si>
  <si>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</si>
  <si>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</si>
  <si>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</si>
  <si>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</si>
  <si>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</si>
  <si>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</si>
  <si>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</si>
  <si>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</si>
  <si>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</si>
  <si>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</si>
  <si>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</si>
  <si>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</si>
  <si>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</si>
  <si>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</si>
  <si>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</si>
  <si>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</si>
  <si>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</si>
  <si>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</si>
  <si>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</si>
  <si>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</si>
  <si>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</si>
  <si>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</si>
  <si>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</si>
  <si>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</si>
  <si>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</si>
  <si>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</si>
  <si>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</si>
  <si>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</si>
  <si>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</si>
  <si>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</si>
  <si>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</si>
  <si>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</si>
  <si>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</si>
  <si>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</si>
  <si>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</si>
  <si>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</si>
  <si>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</si>
  <si>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</si>
  <si>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</si>
  <si>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</si>
  <si>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</si>
  <si>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</si>
  <si>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</si>
  <si>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</si>
  <si>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</si>
  <si>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</si>
  <si>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</si>
  <si>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</si>
  <si>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</si>
  <si>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</si>
  <si>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</si>
  <si>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</si>
  <si>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</si>
  <si>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</si>
  <si>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</si>
  <si>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</si>
  <si>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</si>
  <si>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</si>
  <si>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</si>
  <si>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</si>
  <si>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</si>
  <si>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</si>
  <si>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</si>
  <si>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</si>
  <si>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</si>
  <si>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</si>
  <si>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</si>
  <si>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</si>
  <si>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</si>
  <si>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</si>
  <si>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</si>
  <si>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</si>
  <si>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</si>
  <si>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</si>
  <si>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</si>
  <si>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</si>
  <si>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</si>
  <si>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</si>
  <si>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</si>
  <si>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</si>
  <si>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</si>
  <si>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</si>
  <si>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</si>
  <si>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</si>
  <si>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</si>
  <si>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</si>
  <si>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</si>
  <si>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</si>
  <si>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</si>
  <si>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</si>
  <si>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</si>
  <si>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</si>
  <si>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</si>
  <si>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</si>
  <si>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</si>
  <si>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</si>
  <si>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</si>
  <si>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</si>
  <si>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</si>
  <si>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</si>
  <si>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</si>
  <si>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</si>
  <si>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</si>
  <si>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</si>
  <si>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</si>
  <si>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</si>
  <si>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</si>
  <si>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</si>
  <si>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</si>
  <si>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</si>
  <si>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</si>
  <si>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</si>
  <si>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</si>
  <si>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</si>
  <si>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</si>
  <si>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</si>
  <si>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</si>
  <si>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</si>
  <si>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</si>
  <si>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</si>
  <si>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</si>
  <si>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</si>
  <si>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</si>
  <si>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</si>
  <si>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</si>
  <si>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</si>
  <si>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</si>
  <si>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</si>
  <si>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</si>
  <si>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</si>
  <si>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</si>
  <si>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</si>
  <si>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</si>
  <si>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</si>
  <si>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</si>
  <si>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</si>
  <si>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</si>
  <si>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</si>
  <si>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</si>
  <si>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</si>
  <si>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</si>
  <si>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</si>
  <si>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</si>
  <si>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</si>
  <si>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</si>
  <si>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</si>
  <si>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</si>
  <si>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</si>
  <si>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</si>
  <si>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</si>
  <si>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</si>
  <si>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</si>
  <si>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</si>
  <si>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</si>
  <si>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</si>
  <si>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</si>
  <si>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</si>
  <si>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</si>
  <si>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</si>
  <si>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</si>
  <si>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</si>
  <si>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</si>
  <si>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</si>
  <si>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</si>
  <si>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</si>
  <si>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</si>
  <si>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</si>
  <si>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</si>
  <si>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</si>
  <si>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</si>
  <si>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</si>
  <si>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</si>
  <si>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</si>
  <si>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</si>
  <si>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</si>
  <si>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</si>
  <si>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</si>
  <si>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</si>
  <si>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</si>
  <si>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</si>
  <si>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</si>
  <si>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</si>
  <si>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</si>
  <si>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</si>
  <si>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</si>
  <si>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</si>
  <si>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</si>
  <si>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</si>
  <si>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</si>
  <si>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</si>
  <si>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</si>
  <si>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</si>
  <si>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</si>
  <si>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</si>
  <si>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</si>
  <si>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</si>
  <si>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</si>
  <si>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</si>
  <si>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</si>
  <si>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</si>
  <si>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</si>
  <si>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</si>
  <si>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</si>
  <si>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</si>
  <si>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</si>
  <si>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</si>
  <si>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</si>
  <si>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</si>
  <si>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</si>
  <si>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</si>
  <si>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</si>
  <si>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</si>
  <si>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</si>
  <si>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</si>
  <si>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</si>
  <si>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</si>
  <si>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</si>
  <si>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</si>
  <si>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</si>
  <si>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</si>
  <si>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</si>
  <si>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</si>
  <si>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</si>
  <si>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</si>
  <si>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</si>
  <si>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</si>
  <si>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</si>
  <si>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</si>
  <si>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</si>
  <si>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</si>
  <si>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</si>
  <si>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</si>
  <si>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</si>
  <si>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</si>
  <si>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</si>
  <si>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</si>
  <si>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</si>
  <si>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</si>
  <si>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</si>
  <si>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</si>
  <si>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</si>
  <si>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</si>
  <si>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</si>
  <si>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</si>
  <si>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</si>
  <si>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</si>
  <si>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</si>
  <si>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</si>
  <si>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</si>
  <si>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</si>
  <si>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</si>
  <si>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</si>
  <si>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</si>
  <si>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</si>
  <si>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</si>
  <si>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</si>
  <si>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</si>
  <si>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</si>
  <si>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</si>
  <si>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</si>
  <si>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</si>
  <si>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</si>
  <si>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</si>
  <si>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</si>
  <si>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</si>
  <si>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</si>
  <si>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</si>
  <si>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</si>
  <si>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</si>
  <si>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</si>
  <si>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</si>
  <si>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</si>
  <si>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</si>
  <si>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</si>
  <si>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</si>
  <si>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</si>
  <si>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</si>
  <si>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</si>
  <si>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</si>
  <si>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</si>
  <si>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</si>
  <si>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</si>
  <si>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</si>
  <si>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</si>
  <si>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</si>
  <si>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</si>
  <si>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</si>
  <si>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</si>
  <si>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</si>
  <si>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</si>
  <si>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</si>
  <si>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</si>
  <si>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</si>
  <si>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</si>
  <si>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</si>
  <si>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</si>
  <si>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</si>
  <si>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</si>
  <si>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</si>
  <si>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</si>
  <si>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</si>
  <si>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</si>
  <si>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</si>
  <si>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</si>
  <si>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</si>
  <si>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</si>
  <si>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</si>
  <si>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</si>
  <si>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</si>
  <si>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</si>
  <si>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</si>
  <si>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</si>
  <si>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</si>
  <si>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</si>
  <si>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</si>
  <si>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</si>
  <si>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</si>
  <si>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</si>
  <si>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</si>
  <si>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</si>
  <si>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</si>
  <si>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</si>
  <si>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</si>
  <si>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</si>
  <si>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</si>
  <si>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</si>
  <si>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</si>
  <si>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</si>
  <si>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</si>
  <si>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</si>
  <si>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</si>
  <si>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</si>
  <si>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</si>
  <si>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</si>
  <si>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</si>
  <si>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</si>
  <si>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</si>
  <si>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</si>
  <si>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</si>
  <si>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</si>
  <si>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</si>
  <si>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</si>
  <si>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</si>
  <si>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</si>
  <si>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</si>
  <si>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</si>
  <si>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</si>
  <si>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</si>
  <si>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</si>
  <si>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</si>
  <si>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</si>
  <si>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</si>
  <si>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</si>
  <si>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</si>
  <si>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</si>
  <si>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</si>
  <si>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</si>
  <si>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</si>
  <si>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</si>
  <si>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</si>
  <si>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</si>
  <si>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</si>
  <si>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</si>
  <si>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</si>
  <si>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</si>
  <si>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</si>
  <si>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</si>
  <si>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</si>
  <si>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</si>
  <si>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</si>
  <si>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</si>
  <si>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</si>
  <si>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</si>
  <si>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</si>
  <si>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</si>
  <si>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</si>
  <si>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</si>
  <si>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</si>
  <si>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</si>
  <si>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</si>
  <si>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</si>
  <si>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</si>
  <si>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</si>
  <si>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</si>
  <si>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</si>
  <si>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</si>
  <si>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</si>
  <si>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</si>
  <si>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</si>
  <si>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</si>
  <si>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</si>
  <si>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</si>
  <si>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</si>
  <si>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</si>
  <si>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</si>
  <si>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</si>
  <si>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</si>
  <si>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</si>
  <si>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</si>
  <si>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</si>
  <si>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</si>
  <si>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</si>
  <si>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</si>
  <si>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</si>
  <si>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</si>
  <si>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</si>
  <si>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</si>
  <si>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</si>
  <si>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</si>
  <si>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</si>
  <si>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</si>
  <si>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</si>
  <si>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</si>
  <si>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</si>
  <si>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</si>
  <si>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</si>
  <si>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</si>
  <si>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</si>
  <si>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</si>
  <si>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</si>
  <si>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</si>
  <si>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</si>
  <si>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</si>
  <si>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</si>
  <si>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</si>
  <si>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</si>
  <si>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</si>
  <si>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</si>
  <si>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</si>
  <si>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</si>
  <si>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</si>
  <si>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</si>
  <si>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</si>
  <si>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</si>
  <si>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</si>
  <si>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</si>
  <si>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</si>
  <si>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</si>
  <si>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</si>
  <si>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</si>
  <si>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</si>
  <si>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</si>
  <si>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</si>
  <si>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</si>
  <si>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</si>
  <si>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</si>
  <si>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</si>
  <si>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</si>
  <si>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</si>
  <si>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</si>
  <si>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</si>
  <si>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</si>
  <si>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</si>
  <si>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</si>
  <si>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</si>
  <si>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</si>
  <si>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</si>
  <si>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</si>
  <si>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</si>
  <si>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</si>
  <si>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</si>
  <si>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</si>
  <si>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</si>
  <si>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</si>
  <si>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</si>
  <si>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</si>
  <si>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</si>
  <si>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</si>
  <si>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</si>
  <si>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</si>
  <si>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</si>
  <si>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</si>
  <si>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</si>
  <si>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</si>
  <si>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</si>
  <si>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</si>
  <si>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</si>
  <si>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</si>
  <si>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</si>
  <si>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</si>
  <si>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</si>
  <si>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</si>
  <si>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</si>
  <si>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</si>
  <si>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</si>
  <si>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</si>
  <si>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</si>
  <si>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</si>
  <si>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</si>
  <si>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</si>
  <si>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</si>
  <si>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</si>
  <si>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</si>
  <si>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</si>
  <si>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</si>
  <si>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</si>
  <si>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</si>
  <si>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</si>
  <si>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</si>
  <si>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</si>
  <si>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</si>
  <si>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</si>
  <si>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</si>
  <si>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</si>
  <si>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</si>
  <si>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</si>
  <si>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</si>
  <si>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</si>
  <si>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</si>
  <si>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</si>
  <si>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</si>
  <si>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</si>
  <si>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</si>
  <si>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</si>
  <si>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</si>
  <si>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</si>
  <si>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</si>
  <si>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</si>
  <si>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</si>
  <si>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</si>
  <si>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</si>
  <si>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</si>
  <si>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</si>
  <si>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</si>
  <si>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</si>
  <si>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</si>
  <si>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</si>
  <si>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</si>
  <si>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</si>
  <si>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</si>
  <si>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</si>
  <si>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</si>
  <si>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</si>
  <si>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</si>
  <si>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</si>
  <si>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</si>
  <si>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</si>
  <si>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</si>
  <si>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</si>
  <si>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</si>
  <si>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</si>
  <si>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</si>
  <si>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</si>
  <si>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</si>
  <si>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</si>
  <si>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</si>
  <si>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</si>
  <si>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</si>
  <si>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</si>
  <si>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</si>
  <si>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</si>
  <si>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</si>
  <si>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</si>
  <si>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</si>
  <si>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</si>
  <si>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</si>
  <si>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</si>
  <si>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</si>
  <si>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</si>
  <si>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</si>
  <si>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</si>
  <si>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</si>
  <si>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</si>
  <si>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</si>
  <si>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</si>
  <si>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</si>
  <si>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</si>
  <si>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</si>
  <si>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</si>
  <si>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</si>
  <si>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</si>
  <si>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</si>
  <si>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</si>
  <si>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</si>
  <si>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</si>
  <si>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</si>
  <si>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</si>
  <si>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</si>
  <si>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</si>
  <si>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</si>
  <si>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</si>
  <si>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</si>
  <si>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</si>
  <si>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</si>
  <si>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</si>
  <si>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</si>
  <si>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</si>
  <si>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</si>
  <si>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</si>
  <si>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</si>
  <si>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</si>
  <si>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</si>
  <si>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</si>
  <si>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</si>
  <si>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</si>
  <si>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</si>
  <si>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</si>
  <si>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</si>
  <si>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</si>
  <si>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</si>
  <si>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</si>
  <si>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</si>
  <si>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</si>
  <si>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</si>
  <si>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</si>
  <si>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</si>
  <si>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</si>
  <si>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</si>
  <si>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</si>
  <si>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</si>
  <si>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</si>
  <si>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</si>
  <si>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</si>
  <si>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</si>
  <si>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</si>
  <si>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</si>
  <si>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</si>
  <si>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</si>
  <si>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</si>
  <si>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</si>
  <si>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</si>
  <si>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</si>
  <si>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</si>
  <si>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</si>
  <si>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</si>
  <si>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</si>
  <si>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</si>
  <si>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</si>
  <si>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</si>
  <si>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</si>
  <si>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</si>
  <si>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</si>
  <si>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</si>
  <si>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</si>
  <si>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</si>
  <si>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</si>
  <si>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</si>
  <si>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</si>
  <si>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</si>
  <si>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</si>
  <si>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</si>
  <si>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</si>
  <si>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</si>
  <si>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</si>
  <si>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</si>
  <si>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</si>
  <si>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</si>
  <si>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</si>
  <si>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</si>
  <si>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</si>
  <si>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</si>
  <si>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</si>
  <si>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</si>
  <si>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</si>
  <si>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</si>
  <si>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</si>
  <si>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</si>
  <si>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</si>
  <si>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</si>
  <si>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</si>
  <si>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</si>
  <si>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</si>
  <si>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</si>
  <si>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</si>
  <si>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</si>
  <si>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</si>
  <si>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</si>
  <si>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</si>
  <si>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</si>
  <si>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</si>
  <si>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</si>
  <si>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</si>
  <si>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</si>
  <si>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</si>
  <si>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</si>
  <si>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</si>
  <si>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</si>
  <si>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</si>
  <si>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</si>
  <si>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</si>
  <si>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</si>
  <si>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</si>
  <si>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</si>
  <si>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</si>
  <si>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</si>
  <si>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</si>
  <si>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</si>
  <si>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</si>
  <si>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</si>
  <si>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</si>
  <si>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</si>
  <si>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</si>
  <si>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</si>
  <si>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</si>
  <si>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</si>
  <si>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</si>
  <si>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</si>
  <si>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</si>
  <si>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</si>
  <si>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</si>
  <si>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</si>
  <si>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</si>
  <si>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</si>
  <si>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</si>
  <si>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</si>
  <si>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</si>
  <si>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</si>
  <si>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</si>
  <si>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</si>
  <si>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</si>
  <si>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</si>
  <si>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</si>
  <si>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</si>
  <si>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</si>
  <si>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</si>
  <si>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</si>
  <si>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</si>
  <si>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</si>
  <si>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</si>
  <si>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</si>
  <si>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</si>
  <si>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</si>
  <si>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</si>
  <si>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</si>
  <si>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</si>
  <si>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</si>
  <si>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</si>
  <si>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</si>
  <si>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</si>
  <si>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</si>
  <si>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</si>
  <si>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</si>
  <si>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</si>
  <si>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</si>
  <si>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</si>
  <si>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</si>
  <si>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</si>
  <si>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</si>
  <si>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</si>
  <si>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</si>
  <si>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</si>
  <si>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</si>
  <si>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</si>
  <si>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</si>
  <si>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</si>
  <si>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</si>
  <si>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</si>
  <si>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</si>
  <si>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</si>
  <si>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</si>
  <si>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</si>
  <si>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</si>
  <si>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</si>
  <si>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</si>
  <si>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</si>
  <si>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</si>
  <si>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</si>
  <si>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</si>
  <si>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</si>
  <si>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</si>
  <si>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</si>
  <si>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</si>
  <si>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</si>
  <si>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</si>
  <si>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</si>
  <si>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</si>
  <si>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</si>
  <si>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</si>
  <si>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</si>
  <si>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</si>
  <si>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</si>
  <si>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</si>
  <si>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</si>
  <si>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</si>
  <si>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</si>
  <si>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</si>
  <si>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</si>
  <si>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</si>
  <si>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</si>
  <si>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</si>
  <si>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</si>
  <si>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</si>
  <si>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</si>
  <si>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</si>
  <si>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</si>
  <si>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</si>
  <si>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</si>
  <si>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</si>
  <si>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</si>
  <si>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</si>
  <si>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</si>
  <si>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</si>
  <si>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</si>
  <si>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</si>
  <si>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</si>
  <si>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</si>
  <si>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</si>
  <si>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</si>
  <si>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</si>
  <si>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</si>
  <si>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</si>
  <si>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</si>
  <si>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</si>
  <si>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</si>
  <si>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</si>
  <si>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</si>
  <si>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</si>
  <si>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</si>
  <si>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</si>
  <si>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</si>
  <si>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</si>
  <si>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</si>
  <si>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</si>
  <si>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</si>
  <si>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</si>
  <si>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</si>
  <si>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</si>
  <si>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</si>
  <si>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</si>
  <si>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</si>
  <si>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</si>
  <si>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</si>
  <si>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</si>
  <si>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</si>
  <si>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</si>
  <si>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</si>
  <si>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</si>
  <si>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</si>
  <si>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</si>
  <si>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</si>
  <si>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</si>
  <si>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</si>
  <si>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</si>
  <si>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</si>
  <si>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</si>
  <si>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</si>
  <si>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</si>
  <si>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</si>
  <si>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</si>
  <si>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</si>
  <si>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</si>
  <si>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</si>
  <si>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</si>
  <si>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</si>
  <si>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</si>
  <si>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</si>
  <si>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</si>
  <si>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</si>
  <si>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</si>
  <si>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</si>
  <si>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</si>
  <si>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</si>
  <si>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</si>
  <si>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</si>
  <si>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</si>
  <si>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</si>
  <si>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</si>
  <si>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</si>
  <si>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</si>
  <si>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</si>
  <si>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</si>
  <si>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</si>
  <si>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</si>
  <si>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</si>
  <si>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</si>
  <si>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</si>
  <si>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</si>
  <si>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</si>
  <si>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</si>
  <si>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</si>
  <si>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</si>
  <si>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</si>
  <si>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</si>
  <si>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</si>
  <si>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</si>
  <si>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</si>
  <si>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</si>
  <si>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</si>
  <si>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</si>
  <si>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</si>
  <si>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</si>
  <si>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</si>
  <si>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</si>
  <si>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</si>
  <si>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</si>
  <si>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</si>
  <si>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</si>
  <si>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</si>
  <si>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</si>
  <si>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</si>
  <si>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</si>
  <si>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</si>
  <si>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</si>
  <si>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</si>
  <si>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</si>
  <si>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</si>
  <si>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</si>
  <si>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</si>
  <si>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</si>
  <si>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</si>
  <si>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</si>
  <si>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</si>
  <si>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</si>
  <si>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</si>
  <si>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</si>
  <si>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</si>
  <si>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</si>
  <si>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</si>
  <si>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</si>
  <si>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</si>
  <si>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</si>
  <si>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</si>
  <si>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</si>
  <si>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</si>
  <si>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</si>
  <si>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</si>
  <si>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</si>
  <si>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</si>
  <si>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</si>
  <si>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</si>
  <si>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</si>
  <si>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</si>
  <si>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</si>
  <si>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</si>
  <si>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</si>
  <si>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</si>
  <si>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</si>
  <si>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</si>
  <si>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</si>
  <si>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</si>
  <si>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</si>
  <si>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</si>
  <si>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</si>
  <si>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</si>
  <si>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</si>
  <si>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</si>
  <si>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</si>
  <si>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</si>
  <si>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</si>
  <si>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</si>
  <si>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</si>
  <si>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</si>
  <si>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</si>
  <si>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</si>
  <si>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</si>
  <si>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</si>
  <si>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</si>
  <si>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</si>
  <si>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</si>
  <si>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</si>
  <si>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</si>
  <si>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</si>
  <si>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</si>
  <si>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</si>
  <si>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</si>
  <si>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</si>
  <si>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</si>
  <si>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</si>
  <si>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</si>
  <si>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</si>
  <si>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</si>
  <si>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</si>
  <si>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</si>
  <si>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</si>
  <si>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</si>
  <si>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</si>
  <si>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</si>
  <si>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</si>
  <si>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</si>
  <si>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</si>
  <si>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</si>
  <si>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</si>
  <si>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</si>
  <si>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</si>
  <si>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</si>
  <si>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</si>
  <si>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</si>
  <si>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</si>
  <si>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</si>
  <si>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</si>
  <si>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</si>
  <si>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</si>
  <si>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</si>
  <si>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</si>
  <si>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</si>
  <si>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</si>
  <si>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</si>
  <si>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</si>
  <si>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</si>
  <si>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</si>
  <si>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</si>
  <si>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</si>
  <si>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</si>
  <si>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</si>
  <si>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</si>
  <si>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</si>
  <si>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</si>
  <si>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</si>
  <si>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</si>
  <si>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</si>
  <si>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</si>
  <si>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</si>
  <si>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</si>
  <si>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</si>
  <si>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</si>
  <si>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</si>
  <si>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</si>
  <si>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</si>
  <si>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</si>
  <si>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</si>
  <si>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</si>
  <si>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</si>
  <si>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</si>
  <si>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</si>
  <si>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</si>
  <si>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</si>
  <si>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</si>
  <si>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</si>
  <si>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</si>
  <si>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</si>
  <si>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</si>
  <si>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</si>
  <si>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</si>
  <si>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</si>
  <si>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</si>
  <si>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</si>
  <si>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</si>
  <si>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</si>
  <si>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</si>
  <si>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</si>
  <si>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</si>
  <si>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</si>
  <si>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</si>
  <si>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</si>
  <si>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</si>
  <si>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</si>
  <si>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</si>
  <si>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</si>
  <si>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</si>
  <si>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</si>
  <si>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</si>
  <si>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</si>
  <si>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</si>
  <si>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</si>
  <si>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</si>
  <si>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</si>
  <si>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</si>
  <si>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</si>
  <si>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</si>
  <si>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</si>
  <si>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</si>
  <si>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</si>
  <si>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</si>
  <si>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</si>
  <si>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</si>
  <si>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</si>
  <si>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</si>
  <si>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</si>
  <si>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</si>
  <si>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</si>
  <si>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</si>
  <si>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</si>
  <si>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</si>
  <si>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</si>
  <si>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</si>
  <si>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</si>
  <si>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</si>
  <si>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</si>
  <si>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</si>
  <si>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</si>
  <si>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</si>
  <si>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</si>
  <si>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</si>
  <si>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</si>
  <si>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</si>
  <si>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</si>
  <si>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</si>
  <si>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</si>
  <si>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</si>
  <si>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</si>
  <si>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</si>
  <si>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</si>
  <si>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</si>
  <si>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</si>
  <si>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</si>
  <si>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</si>
  <si>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</si>
  <si>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</si>
  <si>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</si>
  <si>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</si>
  <si>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</si>
  <si>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</si>
  <si>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</si>
  <si>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</si>
  <si>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</si>
  <si>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</si>
  <si>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</si>
  <si>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</si>
  <si>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</si>
  <si>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</si>
  <si>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</si>
  <si>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</si>
  <si>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</si>
  <si>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</si>
  <si>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</si>
  <si>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</si>
  <si>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</si>
  <si>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</si>
  <si>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</si>
  <si>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</si>
  <si>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</si>
  <si>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</si>
  <si>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</si>
  <si>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</si>
  <si>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</si>
  <si>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</si>
  <si>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</si>
  <si>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</si>
  <si>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</si>
  <si>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</si>
  <si>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</si>
  <si>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</si>
  <si>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</si>
  <si>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</si>
  <si>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</si>
  <si>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</si>
  <si>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</si>
  <si>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</si>
  <si>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</si>
  <si>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</si>
  <si>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</si>
  <si>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</si>
  <si>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</si>
  <si>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</si>
  <si>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</si>
  <si>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</si>
  <si>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</si>
  <si>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</si>
  <si>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</si>
  <si>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</si>
  <si>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</si>
  <si>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</si>
  <si>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</si>
  <si>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</si>
  <si>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</si>
  <si>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</si>
  <si>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</si>
  <si>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</si>
  <si>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</si>
  <si>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</si>
  <si>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</si>
  <si>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</si>
  <si>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</si>
  <si>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</si>
  <si>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</si>
  <si>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</si>
  <si>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</si>
  <si>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</si>
  <si>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</si>
  <si>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</si>
  <si>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</si>
  <si>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</si>
  <si>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</si>
  <si>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</si>
  <si>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</si>
  <si>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</si>
  <si>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</si>
  <si>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</si>
  <si>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</si>
  <si>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</si>
  <si>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</si>
  <si>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</si>
  <si>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</si>
  <si>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</si>
  <si>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</si>
  <si>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</si>
  <si>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</si>
  <si>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</si>
  <si>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</si>
  <si>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</si>
  <si>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</si>
  <si>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</si>
  <si>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</si>
  <si>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</si>
  <si>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</si>
  <si>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</si>
  <si>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</si>
  <si>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</si>
  <si>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</si>
  <si>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</si>
  <si>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</si>
  <si>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</si>
  <si>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</si>
  <si>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</si>
  <si>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</si>
  <si>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</si>
  <si>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</si>
  <si>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</si>
  <si>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</si>
  <si>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</si>
  <si>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</si>
  <si>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</si>
  <si>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</si>
  <si>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</si>
  <si>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</si>
  <si>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</si>
  <si>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</si>
  <si>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</si>
  <si>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</si>
  <si>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</si>
  <si>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</si>
  <si>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</si>
  <si>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</si>
  <si>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</si>
  <si>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</si>
  <si>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</si>
  <si>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</si>
  <si>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</si>
  <si>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</si>
  <si>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</si>
  <si>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</si>
  <si>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</si>
  <si>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</si>
  <si>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</si>
  <si>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</si>
  <si>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</si>
  <si>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</si>
  <si>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</si>
  <si>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</si>
  <si>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</si>
  <si>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</si>
  <si>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</si>
  <si>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</si>
  <si>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</si>
  <si>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</si>
  <si>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</si>
  <si>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</si>
  <si>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</si>
  <si>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</si>
  <si>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</si>
  <si>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</si>
  <si>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</si>
  <si>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</si>
  <si>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</si>
  <si>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</si>
  <si>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</si>
  <si>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</si>
  <si>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</si>
  <si>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</si>
  <si>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</si>
  <si>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</si>
  <si>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</si>
  <si>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</si>
  <si>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</si>
  <si>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</si>
  <si>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</si>
  <si>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</si>
  <si>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</si>
  <si>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</si>
  <si>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</si>
  <si>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</si>
  <si>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</si>
  <si>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</si>
  <si>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</si>
  <si>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</si>
  <si>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</si>
  <si>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</si>
  <si>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</si>
  <si>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</si>
  <si>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</si>
  <si>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</si>
  <si>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</si>
  <si>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</si>
  <si>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</si>
  <si>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</si>
  <si>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</si>
  <si>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</si>
  <si>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</si>
  <si>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</si>
  <si>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</si>
  <si>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</si>
  <si>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</si>
  <si>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</si>
  <si>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</si>
  <si>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</si>
  <si>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</si>
  <si>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</si>
  <si>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</si>
  <si>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</si>
  <si>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</si>
  <si>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</si>
  <si>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</si>
  <si>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</si>
  <si>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</si>
  <si>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</si>
  <si>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</si>
  <si>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</si>
  <si>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</si>
  <si>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</si>
  <si>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</si>
  <si>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</si>
  <si>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</si>
  <si>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</si>
  <si>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</si>
  <si>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</si>
  <si>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</si>
  <si>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</si>
  <si>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</si>
  <si>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</si>
  <si>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</si>
  <si>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</si>
  <si>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</si>
  <si>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</si>
  <si>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</si>
  <si>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</si>
  <si>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</si>
  <si>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</si>
  <si>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</si>
  <si>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</si>
  <si>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</si>
  <si>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</si>
  <si>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</si>
  <si>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</si>
  <si>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</si>
  <si>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</si>
  <si>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</si>
  <si>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</si>
  <si>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</si>
  <si>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</si>
  <si>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</si>
  <si>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</si>
  <si>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</si>
  <si>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</si>
  <si>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</si>
  <si>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</si>
  <si>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</si>
  <si>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</si>
  <si>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</si>
  <si>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</si>
  <si>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</si>
  <si>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</si>
  <si>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</si>
  <si>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</si>
  <si>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</si>
  <si>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</si>
  <si>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</si>
  <si>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</si>
  <si>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</si>
  <si>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</si>
  <si>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</si>
  <si>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</si>
  <si>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</si>
  <si>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</si>
  <si>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</si>
  <si>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</si>
  <si>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</si>
  <si>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</si>
  <si>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</si>
  <si>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</si>
  <si>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</si>
  <si>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</si>
  <si>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</si>
  <si>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</si>
  <si>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</si>
  <si>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</si>
  <si>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</si>
  <si>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</si>
  <si>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</si>
  <si>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</si>
  <si>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</si>
  <si>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</si>
  <si>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</si>
  <si>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</si>
  <si>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</si>
  <si>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</si>
  <si>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</si>
  <si>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</si>
  <si>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</si>
  <si>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</si>
  <si>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</si>
  <si>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</si>
  <si>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</si>
  <si>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</si>
  <si>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</si>
  <si>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</si>
  <si>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</si>
  <si>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</si>
  <si>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</si>
  <si>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</si>
  <si>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</si>
  <si>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</si>
  <si>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</si>
  <si>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</si>
  <si>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</si>
  <si>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</si>
  <si>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</si>
  <si>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</si>
  <si>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</si>
  <si>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</si>
  <si>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</si>
  <si>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</si>
  <si>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</si>
  <si>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</si>
  <si>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</si>
  <si>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</si>
  <si>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</si>
  <si>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</si>
  <si>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</si>
  <si>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</si>
  <si>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</si>
  <si>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</si>
  <si>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</si>
  <si>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</si>
  <si>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</si>
  <si>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</si>
  <si>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</si>
  <si>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</si>
  <si>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</si>
  <si>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</si>
  <si>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</si>
  <si>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</si>
  <si>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</si>
  <si>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</si>
  <si>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</si>
  <si>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</si>
  <si>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</si>
  <si>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</si>
  <si>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</si>
  <si>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</si>
  <si>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</si>
  <si>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</si>
  <si>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</si>
  <si>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</si>
  <si>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</si>
  <si>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</si>
  <si>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</si>
  <si>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</si>
  <si>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</si>
  <si>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</si>
  <si>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</si>
  <si>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</si>
  <si>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</si>
  <si>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</si>
  <si>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</si>
  <si>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</si>
  <si>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</si>
  <si>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</si>
  <si>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</si>
  <si>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</si>
  <si>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</si>
  <si>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</si>
  <si>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</si>
  <si>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</si>
  <si>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</si>
  <si>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</si>
  <si>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</si>
  <si>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</si>
  <si>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</si>
  <si>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</si>
  <si>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</si>
  <si>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</si>
  <si>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</si>
  <si>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</si>
  <si>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</si>
  <si>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</si>
  <si>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</si>
  <si>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</si>
  <si>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</si>
  <si>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</si>
  <si>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</si>
  <si>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</si>
  <si>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</si>
  <si>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</si>
  <si>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</si>
  <si>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</si>
  <si>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</si>
  <si>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</si>
  <si>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</si>
  <si>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</si>
  <si>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</si>
  <si>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</si>
  <si>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</si>
  <si>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</si>
  <si>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</si>
  <si>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</si>
  <si>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</si>
  <si>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</si>
  <si>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</si>
  <si>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</si>
  <si>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</si>
  <si>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</si>
  <si>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</si>
  <si>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</si>
  <si>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</si>
  <si>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</si>
  <si>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</si>
  <si>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</si>
  <si>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</si>
  <si>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</si>
  <si>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</si>
  <si>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</si>
  <si>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</si>
  <si>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</si>
  <si>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</si>
  <si>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</si>
  <si>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</si>
  <si>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</si>
  <si>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</si>
  <si>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</si>
  <si>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</si>
  <si>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</si>
  <si>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</si>
  <si>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</si>
  <si>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</si>
  <si>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</si>
  <si>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</si>
  <si>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</si>
  <si>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</si>
  <si>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</si>
  <si>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</si>
  <si>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</si>
  <si>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</si>
  <si>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</si>
  <si>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</si>
  <si>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</si>
  <si>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</si>
  <si>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</si>
  <si>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</si>
  <si>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</si>
  <si>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</si>
  <si>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</si>
  <si>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</si>
  <si>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</si>
  <si>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</si>
  <si>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</si>
  <si>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</si>
  <si>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</si>
  <si>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</si>
  <si>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</si>
  <si>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</si>
  <si>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</si>
  <si>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</si>
  <si>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</si>
  <si>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</si>
  <si>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</si>
  <si>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</si>
  <si>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</si>
  <si>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</si>
  <si>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</si>
  <si>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</si>
  <si>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</si>
  <si>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</si>
  <si>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</si>
  <si>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</si>
  <si>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</si>
  <si>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</si>
  <si>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</si>
  <si>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</si>
  <si>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</si>
  <si>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</si>
  <si>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</si>
  <si>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</si>
  <si>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</si>
  <si>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</si>
  <si>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</si>
  <si>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</si>
  <si>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</si>
  <si>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</si>
  <si>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</si>
  <si>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</si>
  <si>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</si>
  <si>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</si>
  <si>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</si>
  <si>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</si>
  <si>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</si>
  <si>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</si>
  <si>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</si>
  <si>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</si>
  <si>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</si>
  <si>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</si>
  <si>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</si>
  <si>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</si>
  <si>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</si>
  <si>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</si>
  <si>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</si>
  <si>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</si>
  <si>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</si>
  <si>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</si>
  <si>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</si>
  <si>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</si>
  <si>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</si>
  <si>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</si>
  <si>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</si>
  <si>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</si>
  <si>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</si>
  <si>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</si>
  <si>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</si>
  <si>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</si>
  <si>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</si>
  <si>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</si>
  <si>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</si>
  <si>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</si>
  <si>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</si>
  <si>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</si>
  <si>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</si>
  <si>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</si>
  <si>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</si>
  <si>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</si>
  <si>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</si>
  <si>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</si>
  <si>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</si>
  <si>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</si>
  <si>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</si>
  <si>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</si>
  <si>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</si>
  <si>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</si>
  <si>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</si>
  <si>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</si>
  <si>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</si>
  <si>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</si>
  <si>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</si>
  <si>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</si>
  <si>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</si>
  <si>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</si>
  <si>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</si>
  <si>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</si>
  <si>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</si>
  <si>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</si>
  <si>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</si>
  <si>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</si>
  <si>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</si>
  <si>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</si>
  <si>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</si>
  <si>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</si>
  <si>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</si>
  <si>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</si>
  <si>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</si>
  <si>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</si>
  <si>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</si>
  <si>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</si>
  <si>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</si>
  <si>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</si>
  <si>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</si>
  <si>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</si>
  <si>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</si>
  <si>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</si>
  <si>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</si>
  <si>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</si>
  <si>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</si>
  <si>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</si>
  <si>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</si>
  <si>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</si>
  <si>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</si>
  <si>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</si>
  <si>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</si>
  <si>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</si>
  <si>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</si>
  <si>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</si>
  <si>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</si>
  <si>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</si>
  <si>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</si>
  <si>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</si>
  <si>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</si>
  <si>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</si>
  <si>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</si>
  <si>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</si>
  <si>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</si>
  <si>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</si>
  <si>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</si>
  <si>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</si>
  <si>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</si>
  <si>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</si>
  <si>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</si>
  <si>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</si>
  <si>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</si>
  <si>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</si>
  <si>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</si>
  <si>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</si>
  <si>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</si>
  <si>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</si>
  <si>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</si>
  <si>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</si>
  <si>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</si>
  <si>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</si>
  <si>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</si>
  <si>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</si>
  <si>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</si>
  <si>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</si>
  <si>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</si>
  <si>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</si>
  <si>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</si>
  <si>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</si>
  <si>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</si>
  <si>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</si>
  <si>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</si>
  <si>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</si>
  <si>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</si>
  <si>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</si>
  <si>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</si>
  <si>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</si>
  <si>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</si>
  <si>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</si>
  <si>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</si>
  <si>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</si>
  <si>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</si>
  <si>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</si>
  <si>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</si>
  <si>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</si>
  <si>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</si>
  <si>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</si>
  <si>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</si>
  <si>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</si>
  <si>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</si>
  <si>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</si>
  <si>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</si>
  <si>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</si>
  <si>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</si>
  <si>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</si>
  <si>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</si>
  <si>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</si>
  <si>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</si>
  <si>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</si>
  <si>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</si>
  <si>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</si>
  <si>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</si>
  <si>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</si>
  <si>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</si>
  <si>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</si>
  <si>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</si>
  <si>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</si>
  <si>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</si>
  <si>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</si>
  <si>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</si>
  <si>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</si>
  <si>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</si>
  <si>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</si>
  <si>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</si>
  <si>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</si>
  <si>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</si>
  <si>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</si>
  <si>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</si>
  <si>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</si>
  <si>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</si>
  <si>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</si>
  <si>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</si>
  <si>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</si>
  <si>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</si>
  <si>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</si>
  <si>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</si>
  <si>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</si>
  <si>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</si>
  <si>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</si>
  <si>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</si>
  <si>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</si>
  <si>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</si>
  <si>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</si>
  <si>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</si>
  <si>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</si>
  <si>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</si>
  <si>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</si>
  <si>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</si>
  <si>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</si>
  <si>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</si>
  <si>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</si>
  <si>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</si>
  <si>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</si>
  <si>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</si>
  <si>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</si>
  <si>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</si>
  <si>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</si>
  <si>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</si>
  <si>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</si>
  <si>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</si>
  <si>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</si>
  <si>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</si>
  <si>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</si>
  <si>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</si>
  <si>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</si>
  <si>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</si>
  <si>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</si>
  <si>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</si>
  <si>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</si>
  <si>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</si>
  <si>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</si>
  <si>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</si>
  <si>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</si>
  <si>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</si>
  <si>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</si>
  <si>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</si>
  <si>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</si>
  <si>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</si>
  <si>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</si>
  <si>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</si>
  <si>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</si>
  <si>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</si>
  <si>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</si>
  <si>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</si>
  <si>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</si>
  <si>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</si>
  <si>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</si>
  <si>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</si>
  <si>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</si>
  <si>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</si>
  <si>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</si>
  <si>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</si>
  <si>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</si>
  <si>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</si>
  <si>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</si>
  <si>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</si>
  <si>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</si>
  <si>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</si>
  <si>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</si>
  <si>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</si>
  <si>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</si>
  <si>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</si>
  <si>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</si>
  <si>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</si>
  <si>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</si>
  <si>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</si>
  <si>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</si>
  <si>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</si>
  <si>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</si>
  <si>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</si>
  <si>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</si>
  <si>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</si>
  <si>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</si>
  <si>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</si>
  <si>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</si>
  <si>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</si>
  <si>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</si>
  <si>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</si>
  <si>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</si>
  <si>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</si>
  <si>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</si>
  <si>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</si>
  <si>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</si>
  <si>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</si>
  <si>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</si>
  <si>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</si>
  <si>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</si>
  <si>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</si>
  <si>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</si>
  <si>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</si>
  <si>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</si>
  <si>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</si>
  <si>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</si>
  <si>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</si>
  <si>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</si>
  <si>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</si>
  <si>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</si>
  <si>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</si>
  <si>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</si>
  <si>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</si>
  <si>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</si>
  <si>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</si>
  <si>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</si>
  <si>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</si>
  <si>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</si>
  <si>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</si>
  <si>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</si>
  <si>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</si>
  <si>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</si>
  <si>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</si>
  <si>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</si>
  <si>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</si>
  <si>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</si>
  <si>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</si>
  <si>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</si>
  <si>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</si>
  <si>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</si>
  <si>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</si>
  <si>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</si>
  <si>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</si>
  <si>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</si>
  <si>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</si>
  <si>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</si>
  <si>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</si>
  <si>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</si>
  <si>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</si>
  <si>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</si>
  <si>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</si>
  <si>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</si>
  <si>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</si>
  <si>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</si>
  <si>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</si>
  <si>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</si>
  <si>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</si>
  <si>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</si>
  <si>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</si>
  <si>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</si>
  <si>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</si>
  <si>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</si>
  <si>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</si>
  <si>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</si>
  <si>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</si>
  <si>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</si>
  <si>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</si>
  <si>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</si>
  <si>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</si>
  <si>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</si>
  <si>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</si>
  <si>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</si>
  <si>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</si>
  <si>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</si>
  <si>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</si>
  <si>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</si>
  <si>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</si>
  <si>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</si>
  <si>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</si>
  <si>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</si>
  <si>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</si>
  <si>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</si>
  <si>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</si>
  <si>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</si>
  <si>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</si>
  <si>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</si>
  <si>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</si>
  <si>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</si>
  <si>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</si>
  <si>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</si>
  <si>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</si>
  <si>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</si>
  <si>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</si>
  <si>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</si>
  <si>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</si>
  <si>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</si>
  <si>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</si>
  <si>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</si>
  <si>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</si>
  <si>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</si>
  <si>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</si>
  <si>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</si>
  <si>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</si>
  <si>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</si>
  <si>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</si>
  <si>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</si>
  <si>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</si>
  <si>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</si>
  <si>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</si>
  <si>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</si>
  <si>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</si>
  <si>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</si>
  <si>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</si>
  <si>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</si>
  <si>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</si>
  <si>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</si>
  <si>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</si>
  <si>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</si>
  <si>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</si>
  <si>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</si>
  <si>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</si>
  <si>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</si>
  <si>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</si>
  <si>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</si>
  <si>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</si>
  <si>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</si>
  <si>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</si>
  <si>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</si>
  <si>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</si>
  <si>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</si>
  <si>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</si>
  <si>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</si>
  <si>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</si>
  <si>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</si>
  <si>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</si>
  <si>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</si>
  <si>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</si>
  <si>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</si>
  <si>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</si>
  <si>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</si>
  <si>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</si>
  <si>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</si>
  <si>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</si>
  <si>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</si>
  <si>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</si>
  <si>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</si>
  <si>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</si>
  <si>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</si>
  <si>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</si>
  <si>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</si>
  <si>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</si>
  <si>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</si>
  <si>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</si>
  <si>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</si>
  <si>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</si>
  <si>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</si>
  <si>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</si>
  <si>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</si>
  <si>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</si>
  <si>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</si>
  <si>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</si>
  <si>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</si>
  <si>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</si>
  <si>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</si>
  <si>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</si>
  <si>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</si>
  <si>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</si>
  <si>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</si>
  <si>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</si>
  <si>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</si>
  <si>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</si>
  <si>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</si>
  <si>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</si>
  <si>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</si>
  <si>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</si>
  <si>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</si>
  <si>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</si>
  <si>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</si>
  <si>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</si>
  <si>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</si>
  <si>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</si>
  <si>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</si>
  <si>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</si>
  <si>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</si>
  <si>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</si>
  <si>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</si>
  <si>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</si>
  <si>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</si>
  <si>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</si>
  <si>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</si>
  <si>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</si>
  <si>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</si>
  <si>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</si>
  <si>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</si>
  <si>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</si>
  <si>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</si>
  <si>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</si>
  <si>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</si>
  <si>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</si>
  <si>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</si>
  <si>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</si>
  <si>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</si>
  <si>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</si>
  <si>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</si>
  <si>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</si>
  <si>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</si>
  <si>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</si>
  <si>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</si>
  <si>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</si>
  <si>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</si>
  <si>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</si>
  <si>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</si>
  <si>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</si>
  <si>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</si>
  <si>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</si>
  <si>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</si>
  <si>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</si>
  <si>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</si>
  <si>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</si>
  <si>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</si>
  <si>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</si>
  <si>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</si>
  <si>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</si>
  <si>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</si>
  <si>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</si>
  <si>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</si>
  <si>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</si>
  <si>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</si>
  <si>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</si>
  <si>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</si>
  <si>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</si>
  <si>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</si>
  <si>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</si>
  <si>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</si>
  <si>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</si>
  <si>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</si>
  <si>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</si>
  <si>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</si>
  <si>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</si>
  <si>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</si>
  <si>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</si>
  <si>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</si>
  <si>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</si>
  <si>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</si>
  <si>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</si>
  <si>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</si>
  <si>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</si>
  <si>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</si>
  <si>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</si>
  <si>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</si>
  <si>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</si>
  <si>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</si>
  <si>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</si>
  <si>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</si>
  <si>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</si>
  <si>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</si>
  <si>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</si>
  <si>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</si>
  <si>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</si>
  <si>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</si>
  <si>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</si>
  <si>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</si>
  <si>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</si>
  <si>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</si>
  <si>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</si>
  <si>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</si>
  <si>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</si>
  <si>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</si>
  <si>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</si>
  <si>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</si>
  <si>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</si>
  <si>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</si>
  <si>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</si>
  <si>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</si>
  <si>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</si>
  <si>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</si>
  <si>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</si>
  <si>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</si>
  <si>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</si>
  <si>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</si>
  <si>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</si>
  <si>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</si>
  <si>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</si>
  <si>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</si>
  <si>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</si>
  <si>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</si>
  <si>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</si>
  <si>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</si>
  <si>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</si>
  <si>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</si>
  <si>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</si>
  <si>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</si>
  <si>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</si>
  <si>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</si>
  <si>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</si>
  <si>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</si>
  <si>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</si>
  <si>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</si>
  <si>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</si>
  <si>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</si>
  <si>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</si>
  <si>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</si>
  <si>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</si>
  <si>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</si>
  <si>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</si>
  <si>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</si>
  <si>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</si>
  <si>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</si>
  <si>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</si>
  <si>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</si>
  <si>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</si>
  <si>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</si>
  <si>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</si>
  <si>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</si>
  <si>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</si>
  <si>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</si>
  <si>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</si>
  <si>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</si>
  <si>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</si>
  <si>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</si>
  <si>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</si>
  <si>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</si>
  <si>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</si>
  <si>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</si>
  <si>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</si>
  <si>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</si>
  <si>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</si>
  <si>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</si>
  <si>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</si>
  <si>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</si>
  <si>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</si>
  <si>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</si>
  <si>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</si>
  <si>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</si>
  <si>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</si>
  <si>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</si>
  <si>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</si>
  <si>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</si>
  <si>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</si>
  <si>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</si>
  <si>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</si>
  <si>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</si>
  <si>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</si>
  <si>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</si>
  <si>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</si>
  <si>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</si>
  <si>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</si>
  <si>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</si>
  <si>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</si>
  <si>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</si>
  <si>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</si>
  <si>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</si>
  <si>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</si>
  <si>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</si>
  <si>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</si>
  <si>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</si>
  <si>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</si>
  <si>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</si>
  <si>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</si>
  <si>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</si>
  <si>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</si>
  <si>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</si>
  <si>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</si>
  <si>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</si>
  <si>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</si>
  <si>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</si>
  <si>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</si>
  <si>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</si>
  <si>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</si>
  <si>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</si>
  <si>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</si>
  <si>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</si>
  <si>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</si>
  <si>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</si>
  <si>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</si>
  <si>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</si>
  <si>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</si>
  <si>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</si>
  <si>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</si>
  <si>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</si>
  <si>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</si>
  <si>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</si>
  <si>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</si>
  <si>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</si>
  <si>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</si>
  <si>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</si>
  <si>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</si>
  <si>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</si>
  <si>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</si>
  <si>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</si>
  <si>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</si>
  <si>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</si>
  <si>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</si>
  <si>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</si>
  <si>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</si>
  <si>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</si>
  <si>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</si>
  <si>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</si>
  <si>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</si>
  <si>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</si>
  <si>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</si>
  <si>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</si>
  <si>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</si>
  <si>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</si>
  <si>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</si>
  <si>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</si>
  <si>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</si>
  <si>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</si>
  <si>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</si>
  <si>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</si>
  <si>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</si>
  <si>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</si>
  <si>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</si>
  <si>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</si>
  <si>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</si>
  <si>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</si>
  <si>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</si>
  <si>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</si>
  <si>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</si>
  <si>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</si>
  <si>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</si>
  <si>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</si>
  <si>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</si>
  <si>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</si>
  <si>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</si>
  <si>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</si>
  <si>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</si>
  <si>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</si>
  <si>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</si>
  <si>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</si>
  <si>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</si>
  <si>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</si>
  <si>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</si>
  <si>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</si>
  <si>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</si>
  <si>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</si>
  <si>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</si>
  <si>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</si>
  <si>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</si>
  <si>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</si>
  <si>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</si>
  <si>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</si>
  <si>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</si>
  <si>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</si>
  <si>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</si>
  <si>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</si>
  <si>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</si>
  <si>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</si>
  <si>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</si>
  <si>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</si>
  <si>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</si>
  <si>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</si>
  <si>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</si>
  <si>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</si>
  <si>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</si>
  <si>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</si>
  <si>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</si>
  <si>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</si>
  <si>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</si>
  <si>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</si>
  <si>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</si>
  <si>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</si>
  <si>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</si>
  <si>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</si>
  <si>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</si>
  <si>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</si>
  <si>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</si>
  <si>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</si>
  <si>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</si>
  <si>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</si>
  <si>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</si>
  <si>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</si>
  <si>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</si>
  <si>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</si>
  <si>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</si>
  <si>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</si>
  <si>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</si>
  <si>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</si>
  <si>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</si>
  <si>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</si>
  <si>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</si>
  <si>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</si>
  <si>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</si>
  <si>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</si>
  <si>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</si>
  <si>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</si>
  <si>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</si>
  <si>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</si>
  <si>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</si>
  <si>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</si>
  <si>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</si>
  <si>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</si>
  <si>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</si>
  <si>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</si>
  <si>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</si>
  <si>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</si>
  <si>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</si>
  <si>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</si>
  <si>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</si>
  <si>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</si>
  <si>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</si>
  <si>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</si>
  <si>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</si>
  <si>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</si>
  <si>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</si>
  <si>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</si>
  <si>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</si>
  <si>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</si>
  <si>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</si>
  <si>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</si>
  <si>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</si>
  <si>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</si>
  <si>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</si>
  <si>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</si>
  <si>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</si>
  <si>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</si>
  <si>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</si>
  <si>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</si>
  <si>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</si>
  <si>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</si>
  <si>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</si>
  <si>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</si>
  <si>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</si>
  <si>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</si>
  <si>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</si>
  <si>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</si>
  <si>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</si>
  <si>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</si>
  <si>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</si>
  <si>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</si>
  <si>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</si>
  <si>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</si>
  <si>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</si>
  <si>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</si>
  <si>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</si>
  <si>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</si>
  <si>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</si>
  <si>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</si>
  <si>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</si>
  <si>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</si>
  <si>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</si>
  <si>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</si>
  <si>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</si>
  <si>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</si>
  <si>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</si>
  <si>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</si>
  <si>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</si>
  <si>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</si>
  <si>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</si>
  <si>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</si>
  <si>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</si>
  <si>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</si>
  <si>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</si>
  <si>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</si>
  <si>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</si>
  <si>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</si>
  <si>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</si>
  <si>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</si>
  <si>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</si>
  <si>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</si>
  <si>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</si>
  <si>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</si>
  <si>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</si>
  <si>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</si>
  <si>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</si>
  <si>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</si>
  <si>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</si>
  <si>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</si>
  <si>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</si>
  <si>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</si>
  <si>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</si>
  <si>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</si>
  <si>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</si>
  <si>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</si>
  <si>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</si>
  <si>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</si>
  <si>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</si>
  <si>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</si>
  <si>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</si>
  <si>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</si>
  <si>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</si>
  <si>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</si>
  <si>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</si>
  <si>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</si>
  <si>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</si>
  <si>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</si>
  <si>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</si>
  <si>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</si>
  <si>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</si>
  <si>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</si>
  <si>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</si>
  <si>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</si>
  <si>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</si>
  <si>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</si>
  <si>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</si>
  <si>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</si>
  <si>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</si>
  <si>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</si>
  <si>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</si>
  <si>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</si>
  <si>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</si>
  <si>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</si>
  <si>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</si>
  <si>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</si>
  <si>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</si>
  <si>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</si>
  <si>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</si>
  <si>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</si>
  <si>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</si>
  <si>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</si>
  <si>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</si>
  <si>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</si>
  <si>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</si>
  <si>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</si>
  <si>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</si>
  <si>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</si>
  <si>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</si>
  <si>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</si>
  <si>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</si>
  <si>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</si>
  <si>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</si>
  <si>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</si>
  <si>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</si>
  <si>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</si>
  <si>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</si>
  <si>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</si>
  <si>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</si>
  <si>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</si>
  <si>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</si>
  <si>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</si>
  <si>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</si>
  <si>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</si>
  <si>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</si>
  <si>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</si>
  <si>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</si>
  <si>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</si>
  <si>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</si>
  <si>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</si>
  <si>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</si>
  <si>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</si>
  <si>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</si>
  <si>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</si>
  <si>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</si>
  <si>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</si>
  <si>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</si>
  <si>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</si>
  <si>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</si>
  <si>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</si>
  <si>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</si>
  <si>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</si>
  <si>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</si>
  <si>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</si>
  <si>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</si>
  <si>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</si>
  <si>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</si>
  <si>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</si>
  <si>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</si>
  <si>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</si>
  <si>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</si>
  <si>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</si>
  <si>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</si>
  <si>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</si>
  <si>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</si>
  <si>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</si>
  <si>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</si>
  <si>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</si>
  <si>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</si>
  <si>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</si>
  <si>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</si>
  <si>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</si>
  <si>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</si>
  <si>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</si>
  <si>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</si>
  <si>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</si>
  <si>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</si>
  <si>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</si>
  <si>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</si>
  <si>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</si>
  <si>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</si>
  <si>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</si>
  <si>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</si>
  <si>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</si>
  <si>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</si>
  <si>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</si>
  <si>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</si>
  <si>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</si>
  <si>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</si>
  <si>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</si>
  <si>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</si>
  <si>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</si>
  <si>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</si>
  <si>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</si>
  <si>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</si>
  <si>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</si>
  <si>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</si>
  <si>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</si>
  <si>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</si>
  <si>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</si>
  <si>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</si>
  <si>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</si>
  <si>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</si>
  <si>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</si>
  <si>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</si>
  <si>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</si>
  <si>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</si>
  <si>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</si>
  <si>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</si>
  <si>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</si>
  <si>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</si>
  <si>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</si>
  <si>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</si>
  <si>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</si>
  <si>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</si>
  <si>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</si>
  <si>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</si>
  <si>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</si>
  <si>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</si>
  <si>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</si>
  <si>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</si>
  <si>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</si>
  <si>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</si>
  <si>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</si>
  <si>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</si>
  <si>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</si>
  <si>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</si>
  <si>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</si>
  <si>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</si>
  <si>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</si>
  <si>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</si>
  <si>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</si>
  <si>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</si>
  <si>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</si>
  <si>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</si>
  <si>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</si>
  <si>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</si>
  <si>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</si>
  <si>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</si>
  <si>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</si>
  <si>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</si>
  <si>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</si>
  <si>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</si>
  <si>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</si>
  <si>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</si>
  <si>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</si>
  <si>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</si>
  <si>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</si>
  <si>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</si>
  <si>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</si>
  <si>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</si>
  <si>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</si>
  <si>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</si>
  <si>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</si>
  <si>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</si>
  <si>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</si>
  <si>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</si>
  <si>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</si>
  <si>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</si>
  <si>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</si>
  <si>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</si>
  <si>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</si>
  <si>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</si>
  <si>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</si>
  <si>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</si>
  <si>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</si>
  <si>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</si>
  <si>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</si>
  <si>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</si>
  <si>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</si>
  <si>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</si>
  <si>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</si>
  <si>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</si>
  <si>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</si>
  <si>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</si>
  <si>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</si>
  <si>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</si>
  <si>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</si>
  <si>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</si>
  <si>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</si>
  <si>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</si>
  <si>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</si>
  <si>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</si>
  <si>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</si>
  <si>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</si>
  <si>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</si>
  <si>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</si>
  <si>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</si>
  <si>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</si>
  <si>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</si>
  <si>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</si>
  <si>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</si>
  <si>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</si>
  <si>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</si>
  <si>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</si>
  <si>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</si>
  <si>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</si>
  <si>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</si>
  <si>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</si>
  <si>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</si>
  <si>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</si>
  <si>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</si>
  <si>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</si>
  <si>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</si>
  <si>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</si>
  <si>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</si>
  <si>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</si>
  <si>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</si>
  <si>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</si>
  <si>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</si>
  <si>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</si>
  <si>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</si>
  <si>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</si>
  <si>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</si>
  <si>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</si>
  <si>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</si>
  <si>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</si>
  <si>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</si>
  <si>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</si>
  <si>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</si>
  <si>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</si>
  <si>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</si>
  <si>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</si>
  <si>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</si>
  <si>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</si>
  <si>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</si>
  <si>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</si>
  <si>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</si>
  <si>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</si>
  <si>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</si>
  <si>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</si>
  <si>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</si>
  <si>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</si>
  <si>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</si>
  <si>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</si>
  <si>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</si>
  <si>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</si>
  <si>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</si>
  <si>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</si>
  <si>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</si>
  <si>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</si>
  <si>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</si>
  <si>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</si>
  <si>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</si>
  <si>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</si>
  <si>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</si>
  <si>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</si>
  <si>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</si>
  <si>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</si>
  <si>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</si>
  <si>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</si>
  <si>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</si>
  <si>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</si>
  <si>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</si>
  <si>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</si>
  <si>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</si>
  <si>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</si>
  <si>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</si>
  <si>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</si>
  <si>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</si>
  <si>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</si>
  <si>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</si>
  <si>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</si>
  <si>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</si>
  <si>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</si>
  <si>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</si>
  <si>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</si>
  <si>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</si>
  <si>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</si>
  <si>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</si>
  <si>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</si>
  <si>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</si>
  <si>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</si>
  <si>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</si>
  <si>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</si>
  <si>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</si>
  <si>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</si>
  <si>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</si>
  <si>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</si>
  <si>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</si>
  <si>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</si>
  <si>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</si>
  <si>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</si>
  <si>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</si>
  <si>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</si>
  <si>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</si>
  <si>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</si>
  <si>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</si>
  <si>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</si>
  <si>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</si>
  <si>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</si>
  <si>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</si>
  <si>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</si>
  <si>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</si>
  <si>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</si>
  <si>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</si>
  <si>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</si>
  <si>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</si>
  <si>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</si>
  <si>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</si>
  <si>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</si>
  <si>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</si>
  <si>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</si>
  <si>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</si>
  <si>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</si>
  <si>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</si>
  <si>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</si>
  <si>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</si>
  <si>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</si>
  <si>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</si>
  <si>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</si>
  <si>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</si>
  <si>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</si>
  <si>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</si>
  <si>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</si>
  <si>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</si>
  <si>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</si>
  <si>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</si>
  <si>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</si>
  <si>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</si>
  <si>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</si>
  <si>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</si>
  <si>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</si>
  <si>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</si>
  <si>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</si>
  <si>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</si>
  <si>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</si>
  <si>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</si>
  <si>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</si>
  <si>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</si>
  <si>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</si>
  <si>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</si>
  <si>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</si>
  <si>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</si>
  <si>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</si>
  <si>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</si>
  <si>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</si>
  <si>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</si>
  <si>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</si>
  <si>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</si>
  <si>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</si>
  <si>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</si>
  <si>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</si>
  <si>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</si>
  <si>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</si>
  <si>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</si>
  <si>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</si>
  <si>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</si>
  <si>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</si>
  <si>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</si>
  <si>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</si>
  <si>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</si>
  <si>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</si>
  <si>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</si>
  <si>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</si>
  <si>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</si>
  <si>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</si>
  <si>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</si>
  <si>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</si>
  <si>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</si>
  <si>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</si>
  <si>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</si>
  <si>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</si>
  <si>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</si>
  <si>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</si>
  <si>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</si>
  <si>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</si>
  <si>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</si>
  <si>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</si>
  <si>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</si>
  <si>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</si>
  <si>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</si>
  <si>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</si>
  <si>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</si>
  <si>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</si>
  <si>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</si>
  <si>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</si>
  <si>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</si>
  <si>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</si>
  <si>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</si>
  <si>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</si>
  <si>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</si>
  <si>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</si>
  <si>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</si>
  <si>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</si>
  <si>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</si>
  <si>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</si>
  <si>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</si>
  <si>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</si>
  <si>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</si>
  <si>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</si>
  <si>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</si>
  <si>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</si>
  <si>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</si>
  <si>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</si>
  <si>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</si>
  <si>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</si>
  <si>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</si>
  <si>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</si>
  <si>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</si>
  <si>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</si>
  <si>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</si>
  <si>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</si>
  <si>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</si>
  <si>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</si>
  <si>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</si>
  <si>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</si>
  <si>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</si>
  <si>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</si>
  <si>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</si>
  <si>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</si>
  <si>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</si>
  <si>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</si>
  <si>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</si>
  <si>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</si>
  <si>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</si>
  <si>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</si>
  <si>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</si>
  <si>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</si>
  <si>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</si>
  <si>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</si>
  <si>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</si>
  <si>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</si>
  <si>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</si>
  <si>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</si>
  <si>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</si>
  <si>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</si>
  <si>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</si>
  <si>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</si>
  <si>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</si>
  <si>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</si>
  <si>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</si>
  <si>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</si>
  <si>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</si>
  <si>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</si>
  <si>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</si>
  <si>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</si>
  <si>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</si>
  <si>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</si>
  <si>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</si>
  <si>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</si>
  <si>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</si>
  <si>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</si>
  <si>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</si>
  <si>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</si>
  <si>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</si>
  <si>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</si>
  <si>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</si>
  <si>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</si>
  <si>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</si>
  <si>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</si>
  <si>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</si>
  <si>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</si>
  <si>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</si>
  <si>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</si>
  <si>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</si>
  <si>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</si>
  <si>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</si>
  <si>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</si>
  <si>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</si>
  <si>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</si>
  <si>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</si>
  <si>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</si>
  <si>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</si>
  <si>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</si>
  <si>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</si>
  <si>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</si>
  <si>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</si>
  <si>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</si>
  <si>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</si>
  <si>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</si>
  <si>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</si>
  <si>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</si>
  <si>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</si>
  <si>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</si>
  <si>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</si>
  <si>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</si>
  <si>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</si>
  <si>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</si>
  <si>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</si>
  <si>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</si>
  <si>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</si>
  <si>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</si>
  <si>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</si>
  <si>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</si>
  <si>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</si>
  <si>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</si>
  <si>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</si>
  <si>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</si>
  <si>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</si>
  <si>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</si>
  <si>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</si>
  <si>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</si>
  <si>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</si>
  <si>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</si>
  <si>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</si>
  <si>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</si>
  <si>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</si>
  <si>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</si>
  <si>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</si>
  <si>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</si>
  <si>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</si>
  <si>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</si>
  <si>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</si>
  <si>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</si>
  <si>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</si>
  <si>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</si>
  <si>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</si>
  <si>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</si>
  <si>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</si>
  <si>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</si>
  <si>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</si>
  <si>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</si>
  <si>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</si>
  <si>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</si>
  <si>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</si>
  <si>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</si>
  <si>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</si>
  <si>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</si>
  <si>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</si>
  <si>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</si>
  <si>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</si>
  <si>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</si>
  <si>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</si>
  <si>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</si>
  <si>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</si>
  <si>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</si>
  <si>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</si>
  <si>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</si>
  <si>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</si>
  <si>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</si>
  <si>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</si>
  <si>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</si>
  <si>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</si>
  <si>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</si>
  <si>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</si>
  <si>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</si>
  <si>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</si>
  <si>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</si>
  <si>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</si>
  <si>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</si>
  <si>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</si>
  <si>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</si>
  <si>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</si>
  <si>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</si>
  <si>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</si>
  <si>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</si>
  <si>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</si>
  <si>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</si>
  <si>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</si>
  <si>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</si>
  <si>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</si>
  <si>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</si>
  <si>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</si>
  <si>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</si>
  <si>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</si>
  <si>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</si>
  <si>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</si>
  <si>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</si>
  <si>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</si>
  <si>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</si>
  <si>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</si>
  <si>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</si>
  <si>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</si>
  <si>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</si>
  <si>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</si>
  <si>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</si>
  <si>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</si>
  <si>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</si>
  <si>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</si>
  <si>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</si>
  <si>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</si>
  <si>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</si>
  <si>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</si>
  <si>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</si>
  <si>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</si>
  <si>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</si>
  <si>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</si>
  <si>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</si>
  <si>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</si>
  <si>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</si>
  <si>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</si>
  <si>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</si>
  <si>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</si>
  <si>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</si>
  <si>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</si>
  <si>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</si>
  <si>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</si>
  <si>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</si>
  <si>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</si>
  <si>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</si>
  <si>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AEO Table 47, EPA Annex</t>
  </si>
  <si>
    <t>aviation adjustment</t>
  </si>
  <si>
    <t>US EPA</t>
  </si>
  <si>
    <t>https://www.epa.gov/ghgemissions/inventory-us-greenhouse-gas-emissions-and-sinks-1990-2022</t>
  </si>
  <si>
    <t>Inventory of U.S. Greenhouse Gas Emissions and Sinks: 1990-2022, Annex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</si>
</sst>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xf numFmtId="0" fontId="0" fillId="28" borderId="0" xfId="0" applyFill="1"/>
    <xf numFmtId="3" fontId="0" fillId="28" borderId="0" xfId="0" applyNumberFormat="1" applyFill="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SYFAFE/Start%20Year%20Fleet%20Avg%20Fuel%20Economy.xlsx" TargetMode="External"/><Relationship Id="rId2" Type="http://schemas.openxmlformats.org/officeDocument/2006/relationships/externalLinkPath" Target="file:///C:\Users\OliviaAshmoore\Documents\Github%20Repos\eps-us\InputData\trans\SYFAFE\Start%20Year%20Fleet%20Avg%20Fuel%20Economy.xlsx" TargetMode="External"/><Relationship Id="rId1" Type="http://schemas.openxmlformats.org/officeDocument/2006/relationships/externalLinkPath" Target="/Users/OliviaAshmoore/Documents/Github%20Repos/eps-us/InputData/trans/SYFAFE/Start%20Year%20Fleet%20Avg%20Fuel%20Economy.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source data&gt;"/>
      <sheetName val="EPA_Table 3-13"/>
      <sheetName val="AVLo-passengers"/>
      <sheetName val="AVLo-freight"/>
      <sheetName val="PEI-TFPEI-HDVs"/>
      <sheetName val="AEO 2023 7"/>
      <sheetName val="AEO 2023 35"/>
      <sheetName val="AEO 2023 36"/>
      <sheetName val="AEO 2023 37"/>
      <sheetName val="AEO 2023 41"/>
      <sheetName val="AEO 2023 43"/>
      <sheetName val="AEO 2023 46"/>
      <sheetName val="AEO 2023 47"/>
      <sheetName val="AEO 2023 48"/>
      <sheetName val="AEO 2023 49"/>
      <sheetName val="AEO 2025 Table 7"/>
      <sheetName val="AEO 2025 Table 7 Alt T"/>
      <sheetName val="AEO 2025 Table 35"/>
      <sheetName val="AEO 2025 Table 36 Alt T"/>
      <sheetName val="AEO 2025 Table 37"/>
      <sheetName val="AEO 2025 Table 41"/>
      <sheetName val="AEO 2025 Table 49"/>
      <sheetName val="AEO 2025 Table 43"/>
      <sheetName val="AEO 2026 Table 7"/>
      <sheetName val="AEO 2026 Table 35"/>
      <sheetName val="AEO 2026 Table 37"/>
      <sheetName val="AEO 2026 Table 41"/>
      <sheetName val="AEO 2026 Table 43"/>
      <sheetName val="AEO 2026 Table 46"/>
      <sheetName val="AEO 2026 Table 49"/>
      <sheetName val="SYVbT-passenger"/>
      <sheetName val="SYVbT-freight"/>
      <sheetName val="BAADTbVT-passenger"/>
      <sheetName val="BAADTbVT-frgt"/>
      <sheetName val="NTS 1-40"/>
      <sheetName val="NRBS 40"/>
      <sheetName val="Annual Service Data_rail only"/>
      <sheetName val="EPA-Annex3-Table A94"/>
      <sheetName val="Fuel and Energy_rail only"/>
      <sheetName val="calcs&gt;"/>
      <sheetName val="Calibration Adjustments"/>
      <sheetName val="psgr rail calcs"/>
      <sheetName val="Calculations Etc"/>
      <sheetName val="calc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1"/>
  <sheetViews>
    <sheetView topLeftCell="A24" workbookViewId="0">
      <selection activeCell="B41" sqref="B41"/>
    </sheetView>
  </sheetViews>
  <sheetFormatPr defaultRowHeight="15"/>
  <cols>
    <col min="2" max="2" width="51.5703125" customWidth="1"/>
  </cols>
  <sheetData>
    <row r="1" spans="1:2">
      <c r="A1" s="1" t="s">
        <v>1378</v>
      </c>
    </row>
    <row r="2" spans="1:2">
      <c r="A2" s="1" t="s">
        <v>36</v>
      </c>
    </row>
    <row r="4" spans="1:2">
      <c r="A4" s="1" t="s">
        <v>0</v>
      </c>
      <c r="B4" s="4" t="s">
        <v>186</v>
      </c>
    </row>
    <row r="5" spans="1:2">
      <c r="B5" s="281" t="s">
        <v>3926</v>
      </c>
    </row>
    <row r="6" spans="1:2">
      <c r="B6" s="2">
        <v>2025</v>
      </c>
    </row>
    <row r="7" spans="1:2">
      <c r="B7" t="s">
        <v>3927</v>
      </c>
    </row>
    <row r="8" spans="1:2">
      <c r="B8" t="s">
        <v>3928</v>
      </c>
    </row>
    <row r="9" spans="1:2">
      <c r="B9" t="s">
        <v>3929</v>
      </c>
    </row>
    <row r="10" spans="1:2">
      <c r="B10" s="282" t="s">
        <v>3930</v>
      </c>
    </row>
    <row r="11" spans="1:2">
      <c r="B11" s="282"/>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7" spans="1:2">
      <c r="B37" s="4" t="s">
        <v>4860</v>
      </c>
    </row>
    <row r="38" spans="1:2">
      <c r="B38" t="s">
        <v>4861</v>
      </c>
    </row>
    <row r="39" spans="1:2">
      <c r="B39" t="s">
        <v>4863</v>
      </c>
    </row>
    <row r="40" spans="1:2">
      <c r="B40">
        <v>2023</v>
      </c>
    </row>
    <row r="41" spans="1:2">
      <c r="B41" s="3" t="s">
        <v>4862</v>
      </c>
    </row>
    <row r="44" spans="1:2">
      <c r="B44" s="1"/>
    </row>
    <row r="45" spans="1:2">
      <c r="A45" s="1" t="s">
        <v>10</v>
      </c>
      <c r="B45" s="7"/>
    </row>
    <row r="46" spans="1:2">
      <c r="A46" t="s">
        <v>29</v>
      </c>
      <c r="B46" s="7"/>
    </row>
    <row r="47" spans="1:2">
      <c r="A47" t="s">
        <v>30</v>
      </c>
      <c r="B47" s="7"/>
    </row>
    <row r="48" spans="1:2">
      <c r="B48" s="7"/>
    </row>
    <row r="49" spans="1:2">
      <c r="A49" t="s">
        <v>12</v>
      </c>
    </row>
    <row r="50" spans="1:2">
      <c r="A50" t="s">
        <v>1375</v>
      </c>
    </row>
    <row r="53" spans="1:2">
      <c r="A53" t="s">
        <v>217</v>
      </c>
    </row>
    <row r="54" spans="1:2">
      <c r="A54" t="s">
        <v>218</v>
      </c>
    </row>
    <row r="56" spans="1:2">
      <c r="A56" t="s">
        <v>155</v>
      </c>
      <c r="B56">
        <v>2023</v>
      </c>
    </row>
    <row r="57" spans="1:2">
      <c r="A57" t="s">
        <v>190</v>
      </c>
    </row>
    <row r="58" spans="1:2">
      <c r="A58" t="s">
        <v>322</v>
      </c>
    </row>
    <row r="59" spans="1:2">
      <c r="A59" t="s">
        <v>219</v>
      </c>
    </row>
    <row r="60" spans="1:2">
      <c r="A60" t="s">
        <v>1376</v>
      </c>
    </row>
    <row r="61" spans="1:2">
      <c r="A61"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6767</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43386</v>
      </c>
      <c r="C2">
        <v>25537</v>
      </c>
      <c r="D2">
        <v>12855699</v>
      </c>
      <c r="E2">
        <v>10752831</v>
      </c>
      <c r="F2">
        <v>0</v>
      </c>
      <c r="G2">
        <v>2325</v>
      </c>
      <c r="H2">
        <v>0</v>
      </c>
    </row>
    <row r="3" spans="1:8">
      <c r="A3" t="s">
        <v>5</v>
      </c>
      <c r="B3">
        <v>2114</v>
      </c>
      <c r="C3">
        <v>57392</v>
      </c>
      <c r="D3">
        <v>38136</v>
      </c>
      <c r="E3">
        <v>5453223</v>
      </c>
      <c r="F3">
        <v>0</v>
      </c>
      <c r="G3">
        <v>3057</v>
      </c>
      <c r="H3">
        <v>0</v>
      </c>
    </row>
    <row r="4" spans="1:8">
      <c r="A4" t="s">
        <v>6</v>
      </c>
      <c r="B4">
        <v>0</v>
      </c>
      <c r="C4">
        <v>0</v>
      </c>
      <c r="D4">
        <v>0</v>
      </c>
      <c r="E4">
        <v>925</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5" t="s">
        <v>62</v>
      </c>
      <c r="C28" s="286">
        <v>444.898865</v>
      </c>
      <c r="D28" s="286">
        <v>450.42761200000001</v>
      </c>
      <c r="E28" s="286">
        <v>448.61004600000001</v>
      </c>
      <c r="F28" s="286">
        <v>446.74627700000002</v>
      </c>
      <c r="G28" s="286">
        <v>445.22772200000003</v>
      </c>
      <c r="H28" s="286">
        <v>442.84777800000001</v>
      </c>
      <c r="I28" s="286">
        <v>440.43005399999998</v>
      </c>
      <c r="J28" s="286">
        <v>437.02459700000003</v>
      </c>
      <c r="K28" s="286">
        <v>434.036407</v>
      </c>
      <c r="L28" s="286">
        <v>431.39211999999998</v>
      </c>
      <c r="M28" s="286">
        <v>429.99737499999998</v>
      </c>
      <c r="N28" s="286">
        <v>428.16067500000003</v>
      </c>
      <c r="O28" s="286">
        <v>426.27862499999998</v>
      </c>
      <c r="P28" s="286">
        <v>424.17816199999999</v>
      </c>
      <c r="Q28" s="286">
        <v>421.71697999999998</v>
      </c>
      <c r="R28" s="286">
        <v>419.81463600000001</v>
      </c>
      <c r="S28" s="286">
        <v>417.567047</v>
      </c>
      <c r="T28" s="286">
        <v>415.80767800000001</v>
      </c>
      <c r="U28" s="286">
        <v>414.04513500000002</v>
      </c>
      <c r="V28" s="286">
        <v>412.52209499999998</v>
      </c>
      <c r="W28" s="286">
        <v>411.24774200000002</v>
      </c>
      <c r="X28" s="286">
        <v>409.97735599999999</v>
      </c>
      <c r="Y28" s="286">
        <v>408.52224699999999</v>
      </c>
      <c r="Z28" s="286">
        <v>406.63034099999999</v>
      </c>
      <c r="AA28" s="286">
        <v>405.358521</v>
      </c>
      <c r="AB28" s="286">
        <v>403.865906</v>
      </c>
      <c r="AC28" s="286">
        <v>401.97906499999999</v>
      </c>
      <c r="AD28" s="286">
        <v>400.55664100000001</v>
      </c>
      <c r="AE28" s="286">
        <v>400.09832799999998</v>
      </c>
      <c r="AF28" s="287">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4" t="s">
        <v>662</v>
      </c>
      <c r="C89" s="295"/>
      <c r="D89" s="295"/>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3"/>
      <c r="C308" s="293"/>
      <c r="D308" s="293"/>
      <c r="E308" s="293"/>
      <c r="F308" s="293"/>
      <c r="G308" s="293"/>
      <c r="H308" s="293"/>
      <c r="I308" s="293"/>
      <c r="J308" s="293"/>
      <c r="K308" s="293"/>
      <c r="L308" s="293"/>
      <c r="M308" s="293"/>
      <c r="N308" s="293"/>
      <c r="O308" s="293"/>
      <c r="P308" s="293"/>
      <c r="Q308" s="293"/>
      <c r="R308" s="293"/>
      <c r="S308" s="293"/>
      <c r="T308" s="293"/>
      <c r="U308" s="293"/>
      <c r="V308" s="293"/>
      <c r="W308" s="293"/>
      <c r="X308" s="293"/>
      <c r="Y308" s="293"/>
      <c r="Z308" s="293"/>
      <c r="AA308" s="293"/>
      <c r="AB308" s="293"/>
      <c r="AC308" s="293"/>
      <c r="AD308" s="293"/>
      <c r="AE308" s="293"/>
      <c r="AF308" s="293"/>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3"/>
      <c r="C511" s="293"/>
      <c r="D511" s="293"/>
      <c r="E511" s="293"/>
      <c r="F511" s="293"/>
      <c r="G511" s="293"/>
      <c r="H511" s="293"/>
      <c r="I511" s="293"/>
      <c r="J511" s="293"/>
      <c r="K511" s="293"/>
      <c r="L511" s="293"/>
      <c r="M511" s="293"/>
      <c r="N511" s="293"/>
      <c r="O511" s="293"/>
      <c r="P511" s="293"/>
      <c r="Q511" s="293"/>
      <c r="R511" s="293"/>
      <c r="S511" s="293"/>
      <c r="T511" s="293"/>
      <c r="U511" s="293"/>
      <c r="V511" s="293"/>
      <c r="W511" s="293"/>
      <c r="X511" s="293"/>
      <c r="Y511" s="293"/>
      <c r="Z511" s="293"/>
      <c r="AA511" s="293"/>
      <c r="AB511" s="293"/>
      <c r="AC511" s="293"/>
      <c r="AD511" s="293"/>
      <c r="AE511" s="293"/>
      <c r="AF511" s="293"/>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3"/>
      <c r="C712" s="293"/>
      <c r="D712" s="293"/>
      <c r="E712" s="293"/>
      <c r="F712" s="293"/>
      <c r="G712" s="293"/>
      <c r="H712" s="293"/>
      <c r="I712" s="293"/>
      <c r="J712" s="293"/>
      <c r="K712" s="293"/>
      <c r="L712" s="293"/>
      <c r="M712" s="293"/>
      <c r="N712" s="293"/>
      <c r="O712" s="293"/>
      <c r="P712" s="293"/>
      <c r="Q712" s="293"/>
      <c r="R712" s="293"/>
      <c r="S712" s="293"/>
      <c r="T712" s="293"/>
      <c r="U712" s="293"/>
      <c r="V712" s="293"/>
      <c r="W712" s="293"/>
      <c r="X712" s="293"/>
      <c r="Y712" s="293"/>
      <c r="Z712" s="293"/>
      <c r="AA712" s="293"/>
      <c r="AB712" s="293"/>
      <c r="AC712" s="293"/>
      <c r="AD712" s="293"/>
      <c r="AE712" s="293"/>
      <c r="AF712" s="293"/>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3"/>
      <c r="C887" s="293"/>
      <c r="D887" s="293"/>
      <c r="E887" s="293"/>
      <c r="F887" s="293"/>
      <c r="G887" s="293"/>
      <c r="H887" s="293"/>
      <c r="I887" s="293"/>
      <c r="J887" s="293"/>
      <c r="K887" s="293"/>
      <c r="L887" s="293"/>
      <c r="M887" s="293"/>
      <c r="N887" s="293"/>
      <c r="O887" s="293"/>
      <c r="P887" s="293"/>
      <c r="Q887" s="293"/>
      <c r="R887" s="293"/>
      <c r="S887" s="293"/>
      <c r="T887" s="293"/>
      <c r="U887" s="293"/>
      <c r="V887" s="293"/>
      <c r="W887" s="293"/>
      <c r="X887" s="293"/>
      <c r="Y887" s="293"/>
      <c r="Z887" s="293"/>
      <c r="AA887" s="293"/>
      <c r="AB887" s="293"/>
      <c r="AC887" s="293"/>
      <c r="AD887" s="293"/>
      <c r="AE887" s="293"/>
      <c r="AF887" s="293"/>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3"/>
      <c r="C1101" s="293"/>
      <c r="D1101" s="293"/>
      <c r="E1101" s="293"/>
      <c r="F1101" s="293"/>
      <c r="G1101" s="293"/>
      <c r="H1101" s="293"/>
      <c r="I1101" s="293"/>
      <c r="J1101" s="293"/>
      <c r="K1101" s="293"/>
      <c r="L1101" s="293"/>
      <c r="M1101" s="293"/>
      <c r="N1101" s="293"/>
      <c r="O1101" s="293"/>
      <c r="P1101" s="293"/>
      <c r="Q1101" s="293"/>
      <c r="R1101" s="293"/>
      <c r="S1101" s="293"/>
      <c r="T1101" s="293"/>
      <c r="U1101" s="293"/>
      <c r="V1101" s="293"/>
      <c r="W1101" s="293"/>
      <c r="X1101" s="293"/>
      <c r="Y1101" s="293"/>
      <c r="Z1101" s="293"/>
      <c r="AA1101" s="293"/>
      <c r="AB1101" s="293"/>
      <c r="AC1101" s="293"/>
      <c r="AD1101" s="293"/>
      <c r="AE1101" s="293"/>
      <c r="AF1101" s="293"/>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3"/>
      <c r="C1229" s="293"/>
      <c r="D1229" s="293"/>
      <c r="E1229" s="293"/>
      <c r="F1229" s="293"/>
      <c r="G1229" s="293"/>
      <c r="H1229" s="293"/>
      <c r="I1229" s="293"/>
      <c r="J1229" s="293"/>
      <c r="K1229" s="293"/>
      <c r="L1229" s="293"/>
      <c r="M1229" s="293"/>
      <c r="N1229" s="293"/>
      <c r="O1229" s="293"/>
      <c r="P1229" s="293"/>
      <c r="Q1229" s="293"/>
      <c r="R1229" s="293"/>
      <c r="S1229" s="293"/>
      <c r="T1229" s="293"/>
      <c r="U1229" s="293"/>
      <c r="V1229" s="293"/>
      <c r="W1229" s="293"/>
      <c r="X1229" s="293"/>
      <c r="Y1229" s="293"/>
      <c r="Z1229" s="293"/>
      <c r="AA1229" s="293"/>
      <c r="AB1229" s="293"/>
      <c r="AC1229" s="293"/>
      <c r="AD1229" s="293"/>
      <c r="AE1229" s="293"/>
      <c r="AF1229" s="293"/>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3"/>
      <c r="C1390" s="293"/>
      <c r="D1390" s="293"/>
      <c r="E1390" s="293"/>
      <c r="F1390" s="293"/>
      <c r="G1390" s="293"/>
      <c r="H1390" s="293"/>
      <c r="I1390" s="293"/>
      <c r="J1390" s="293"/>
      <c r="K1390" s="293"/>
      <c r="L1390" s="293"/>
      <c r="M1390" s="293"/>
      <c r="N1390" s="293"/>
      <c r="O1390" s="293"/>
      <c r="P1390" s="293"/>
      <c r="Q1390" s="293"/>
      <c r="R1390" s="293"/>
      <c r="S1390" s="293"/>
      <c r="T1390" s="293"/>
      <c r="U1390" s="293"/>
      <c r="V1390" s="293"/>
      <c r="W1390" s="293"/>
      <c r="X1390" s="293"/>
      <c r="Y1390" s="293"/>
      <c r="Z1390" s="293"/>
      <c r="AA1390" s="293"/>
      <c r="AB1390" s="293"/>
      <c r="AC1390" s="293"/>
      <c r="AD1390" s="293"/>
      <c r="AE1390" s="293"/>
      <c r="AF1390" s="293"/>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3"/>
      <c r="C1502" s="293"/>
      <c r="D1502" s="293"/>
      <c r="E1502" s="293"/>
      <c r="F1502" s="293"/>
      <c r="G1502" s="293"/>
      <c r="H1502" s="293"/>
      <c r="I1502" s="293"/>
      <c r="J1502" s="293"/>
      <c r="K1502" s="293"/>
      <c r="L1502" s="293"/>
      <c r="M1502" s="293"/>
      <c r="N1502" s="293"/>
      <c r="O1502" s="293"/>
      <c r="P1502" s="293"/>
      <c r="Q1502" s="293"/>
      <c r="R1502" s="293"/>
      <c r="S1502" s="293"/>
      <c r="T1502" s="293"/>
      <c r="U1502" s="293"/>
      <c r="V1502" s="293"/>
      <c r="W1502" s="293"/>
      <c r="X1502" s="293"/>
      <c r="Y1502" s="293"/>
      <c r="Z1502" s="293"/>
      <c r="AA1502" s="293"/>
      <c r="AB1502" s="293"/>
      <c r="AC1502" s="293"/>
      <c r="AD1502" s="293"/>
      <c r="AE1502" s="293"/>
      <c r="AF1502" s="293"/>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3"/>
      <c r="C1604" s="293"/>
      <c r="D1604" s="293"/>
      <c r="E1604" s="293"/>
      <c r="F1604" s="293"/>
      <c r="G1604" s="293"/>
      <c r="H1604" s="293"/>
      <c r="I1604" s="293"/>
      <c r="J1604" s="293"/>
      <c r="K1604" s="293"/>
      <c r="L1604" s="293"/>
      <c r="M1604" s="293"/>
      <c r="N1604" s="293"/>
      <c r="O1604" s="293"/>
      <c r="P1604" s="293"/>
      <c r="Q1604" s="293"/>
      <c r="R1604" s="293"/>
      <c r="S1604" s="293"/>
      <c r="T1604" s="293"/>
      <c r="U1604" s="293"/>
      <c r="V1604" s="293"/>
      <c r="W1604" s="293"/>
      <c r="X1604" s="293"/>
      <c r="Y1604" s="293"/>
      <c r="Z1604" s="293"/>
      <c r="AA1604" s="293"/>
      <c r="AB1604" s="293"/>
      <c r="AC1604" s="293"/>
      <c r="AD1604" s="293"/>
      <c r="AE1604" s="293"/>
      <c r="AF1604" s="293"/>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3"/>
      <c r="C1699" s="293"/>
      <c r="D1699" s="293"/>
      <c r="E1699" s="293"/>
      <c r="F1699" s="293"/>
      <c r="G1699" s="293"/>
      <c r="H1699" s="293"/>
      <c r="I1699" s="293"/>
      <c r="J1699" s="293"/>
      <c r="K1699" s="293"/>
      <c r="L1699" s="293"/>
      <c r="M1699" s="293"/>
      <c r="N1699" s="293"/>
      <c r="O1699" s="293"/>
      <c r="P1699" s="293"/>
      <c r="Q1699" s="293"/>
      <c r="R1699" s="293"/>
      <c r="S1699" s="293"/>
      <c r="T1699" s="293"/>
      <c r="U1699" s="293"/>
      <c r="V1699" s="293"/>
      <c r="W1699" s="293"/>
      <c r="X1699" s="293"/>
      <c r="Y1699" s="293"/>
      <c r="Z1699" s="293"/>
      <c r="AA1699" s="293"/>
      <c r="AB1699" s="293"/>
      <c r="AC1699" s="293"/>
      <c r="AD1699" s="293"/>
      <c r="AE1699" s="293"/>
      <c r="AF1699" s="293"/>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3"/>
      <c r="C1945" s="293"/>
      <c r="D1945" s="293"/>
      <c r="E1945" s="293"/>
      <c r="F1945" s="293"/>
      <c r="G1945" s="293"/>
      <c r="H1945" s="293"/>
      <c r="I1945" s="293"/>
      <c r="J1945" s="293"/>
      <c r="K1945" s="293"/>
      <c r="L1945" s="293"/>
      <c r="M1945" s="293"/>
      <c r="N1945" s="293"/>
      <c r="O1945" s="293"/>
      <c r="P1945" s="293"/>
      <c r="Q1945" s="293"/>
      <c r="R1945" s="293"/>
      <c r="S1945" s="293"/>
      <c r="T1945" s="293"/>
      <c r="U1945" s="293"/>
      <c r="V1945" s="293"/>
      <c r="W1945" s="293"/>
      <c r="X1945" s="293"/>
      <c r="Y1945" s="293"/>
      <c r="Z1945" s="293"/>
      <c r="AA1945" s="293"/>
      <c r="AB1945" s="293"/>
      <c r="AC1945" s="293"/>
      <c r="AD1945" s="293"/>
      <c r="AE1945" s="293"/>
      <c r="AF1945" s="293"/>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3"/>
      <c r="C2031" s="293"/>
      <c r="D2031" s="293"/>
      <c r="E2031" s="293"/>
      <c r="F2031" s="293"/>
      <c r="G2031" s="293"/>
      <c r="H2031" s="293"/>
      <c r="I2031" s="293"/>
      <c r="J2031" s="293"/>
      <c r="K2031" s="293"/>
      <c r="L2031" s="293"/>
      <c r="M2031" s="293"/>
      <c r="N2031" s="293"/>
      <c r="O2031" s="293"/>
      <c r="P2031" s="293"/>
      <c r="Q2031" s="293"/>
      <c r="R2031" s="293"/>
      <c r="S2031" s="293"/>
      <c r="T2031" s="293"/>
      <c r="U2031" s="293"/>
      <c r="V2031" s="293"/>
      <c r="W2031" s="293"/>
      <c r="X2031" s="293"/>
      <c r="Y2031" s="293"/>
      <c r="Z2031" s="293"/>
      <c r="AA2031" s="293"/>
      <c r="AB2031" s="293"/>
      <c r="AC2031" s="293"/>
      <c r="AD2031" s="293"/>
      <c r="AE2031" s="293"/>
      <c r="AF2031" s="293"/>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3"/>
      <c r="C2153" s="293"/>
      <c r="D2153" s="293"/>
      <c r="E2153" s="293"/>
      <c r="F2153" s="293"/>
      <c r="G2153" s="293"/>
      <c r="H2153" s="293"/>
      <c r="I2153" s="293"/>
      <c r="J2153" s="293"/>
      <c r="K2153" s="293"/>
      <c r="L2153" s="293"/>
      <c r="M2153" s="293"/>
      <c r="N2153" s="293"/>
      <c r="O2153" s="293"/>
      <c r="P2153" s="293"/>
      <c r="Q2153" s="293"/>
      <c r="R2153" s="293"/>
      <c r="S2153" s="293"/>
      <c r="T2153" s="293"/>
      <c r="U2153" s="293"/>
      <c r="V2153" s="293"/>
      <c r="W2153" s="293"/>
      <c r="X2153" s="293"/>
      <c r="Y2153" s="293"/>
      <c r="Z2153" s="293"/>
      <c r="AA2153" s="293"/>
      <c r="AB2153" s="293"/>
      <c r="AC2153" s="293"/>
      <c r="AD2153" s="293"/>
      <c r="AE2153" s="293"/>
      <c r="AF2153" s="293"/>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3"/>
      <c r="C2317" s="293"/>
      <c r="D2317" s="293"/>
      <c r="E2317" s="293"/>
      <c r="F2317" s="293"/>
      <c r="G2317" s="293"/>
      <c r="H2317" s="293"/>
      <c r="I2317" s="293"/>
      <c r="J2317" s="293"/>
      <c r="K2317" s="293"/>
      <c r="L2317" s="293"/>
      <c r="M2317" s="293"/>
      <c r="N2317" s="293"/>
      <c r="O2317" s="293"/>
      <c r="P2317" s="293"/>
      <c r="Q2317" s="293"/>
      <c r="R2317" s="293"/>
      <c r="S2317" s="293"/>
      <c r="T2317" s="293"/>
      <c r="U2317" s="293"/>
      <c r="V2317" s="293"/>
      <c r="W2317" s="293"/>
      <c r="X2317" s="293"/>
      <c r="Y2317" s="293"/>
      <c r="Z2317" s="293"/>
      <c r="AA2317" s="293"/>
      <c r="AB2317" s="293"/>
      <c r="AC2317" s="293"/>
      <c r="AD2317" s="293"/>
      <c r="AE2317" s="293"/>
      <c r="AF2317" s="293"/>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3"/>
      <c r="C2419" s="293"/>
      <c r="D2419" s="293"/>
      <c r="E2419" s="293"/>
      <c r="F2419" s="293"/>
      <c r="G2419" s="293"/>
      <c r="H2419" s="293"/>
      <c r="I2419" s="293"/>
      <c r="J2419" s="293"/>
      <c r="K2419" s="293"/>
      <c r="L2419" s="293"/>
      <c r="M2419" s="293"/>
      <c r="N2419" s="293"/>
      <c r="O2419" s="293"/>
      <c r="P2419" s="293"/>
      <c r="Q2419" s="293"/>
      <c r="R2419" s="293"/>
      <c r="S2419" s="293"/>
      <c r="T2419" s="293"/>
      <c r="U2419" s="293"/>
      <c r="V2419" s="293"/>
      <c r="W2419" s="293"/>
      <c r="X2419" s="293"/>
      <c r="Y2419" s="293"/>
      <c r="Z2419" s="293"/>
      <c r="AA2419" s="293"/>
      <c r="AB2419" s="293"/>
      <c r="AC2419" s="293"/>
      <c r="AD2419" s="293"/>
      <c r="AE2419" s="293"/>
      <c r="AF2419" s="293"/>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3"/>
      <c r="C2509" s="293"/>
      <c r="D2509" s="293"/>
      <c r="E2509" s="293"/>
      <c r="F2509" s="293"/>
      <c r="G2509" s="293"/>
      <c r="H2509" s="293"/>
      <c r="I2509" s="293"/>
      <c r="J2509" s="293"/>
      <c r="K2509" s="293"/>
      <c r="L2509" s="293"/>
      <c r="M2509" s="293"/>
      <c r="N2509" s="293"/>
      <c r="O2509" s="293"/>
      <c r="P2509" s="293"/>
      <c r="Q2509" s="293"/>
      <c r="R2509" s="293"/>
      <c r="S2509" s="293"/>
      <c r="T2509" s="293"/>
      <c r="U2509" s="293"/>
      <c r="V2509" s="293"/>
      <c r="W2509" s="293"/>
      <c r="X2509" s="293"/>
      <c r="Y2509" s="293"/>
      <c r="Z2509" s="293"/>
      <c r="AA2509" s="293"/>
      <c r="AB2509" s="293"/>
      <c r="AC2509" s="293"/>
      <c r="AD2509" s="293"/>
      <c r="AE2509" s="293"/>
      <c r="AF2509" s="293"/>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3"/>
      <c r="C2598" s="293"/>
      <c r="D2598" s="293"/>
      <c r="E2598" s="293"/>
      <c r="F2598" s="293"/>
      <c r="G2598" s="293"/>
      <c r="H2598" s="293"/>
      <c r="I2598" s="293"/>
      <c r="J2598" s="293"/>
      <c r="K2598" s="293"/>
      <c r="L2598" s="293"/>
      <c r="M2598" s="293"/>
      <c r="N2598" s="293"/>
      <c r="O2598" s="293"/>
      <c r="P2598" s="293"/>
      <c r="Q2598" s="293"/>
      <c r="R2598" s="293"/>
      <c r="S2598" s="293"/>
      <c r="T2598" s="293"/>
      <c r="U2598" s="293"/>
      <c r="V2598" s="293"/>
      <c r="W2598" s="293"/>
      <c r="X2598" s="293"/>
      <c r="Y2598" s="293"/>
      <c r="Z2598" s="293"/>
      <c r="AA2598" s="293"/>
      <c r="AB2598" s="293"/>
      <c r="AC2598" s="293"/>
      <c r="AD2598" s="293"/>
      <c r="AE2598" s="293"/>
      <c r="AF2598" s="293"/>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3"/>
      <c r="C2719" s="293"/>
      <c r="D2719" s="293"/>
      <c r="E2719" s="293"/>
      <c r="F2719" s="293"/>
      <c r="G2719" s="293"/>
      <c r="H2719" s="293"/>
      <c r="I2719" s="293"/>
      <c r="J2719" s="293"/>
      <c r="K2719" s="293"/>
      <c r="L2719" s="293"/>
      <c r="M2719" s="293"/>
      <c r="N2719" s="293"/>
      <c r="O2719" s="293"/>
      <c r="P2719" s="293"/>
      <c r="Q2719" s="293"/>
      <c r="R2719" s="293"/>
      <c r="S2719" s="293"/>
      <c r="T2719" s="293"/>
      <c r="U2719" s="293"/>
      <c r="V2719" s="293"/>
      <c r="W2719" s="293"/>
      <c r="X2719" s="293"/>
      <c r="Y2719" s="293"/>
      <c r="Z2719" s="293"/>
      <c r="AA2719" s="293"/>
      <c r="AB2719" s="293"/>
      <c r="AC2719" s="293"/>
      <c r="AD2719" s="293"/>
      <c r="AE2719" s="293"/>
      <c r="AF2719" s="293"/>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3"/>
      <c r="C2837" s="293"/>
      <c r="D2837" s="293"/>
      <c r="E2837" s="293"/>
      <c r="F2837" s="293"/>
      <c r="G2837" s="293"/>
      <c r="H2837" s="293"/>
      <c r="I2837" s="293"/>
      <c r="J2837" s="293"/>
      <c r="K2837" s="293"/>
      <c r="L2837" s="293"/>
      <c r="M2837" s="293"/>
      <c r="N2837" s="293"/>
      <c r="O2837" s="293"/>
      <c r="P2837" s="293"/>
      <c r="Q2837" s="293"/>
      <c r="R2837" s="293"/>
      <c r="S2837" s="293"/>
      <c r="T2837" s="293"/>
      <c r="U2837" s="293"/>
      <c r="V2837" s="293"/>
      <c r="W2837" s="293"/>
      <c r="X2837" s="293"/>
      <c r="Y2837" s="293"/>
      <c r="Z2837" s="293"/>
      <c r="AA2837" s="293"/>
      <c r="AB2837" s="293"/>
      <c r="AC2837" s="293"/>
      <c r="AD2837" s="293"/>
      <c r="AE2837" s="293"/>
      <c r="AF2837" s="293"/>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8" t="s">
        <v>406</v>
      </c>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7"/>
      <c r="C259" s="297"/>
      <c r="D259" s="297"/>
      <c r="E259" s="297"/>
      <c r="F259" s="297"/>
      <c r="G259" s="297"/>
      <c r="H259" s="297"/>
      <c r="I259" s="297"/>
      <c r="J259" s="297"/>
      <c r="K259" s="297"/>
      <c r="L259" s="297"/>
      <c r="M259" s="297"/>
      <c r="N259" s="297"/>
      <c r="O259" s="297"/>
      <c r="P259" s="297"/>
      <c r="Q259" s="297"/>
      <c r="R259" s="297"/>
      <c r="S259" s="297"/>
      <c r="T259" s="297"/>
      <c r="U259" s="297"/>
      <c r="V259" s="297"/>
      <c r="W259" s="297"/>
      <c r="X259" s="297"/>
      <c r="Y259" s="297"/>
      <c r="Z259" s="297"/>
      <c r="AA259" s="297"/>
      <c r="AB259" s="297"/>
      <c r="AC259" s="297"/>
      <c r="AD259" s="297"/>
      <c r="AE259" s="297"/>
      <c r="AF259" s="297"/>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7"/>
      <c r="C339" s="297"/>
      <c r="D339" s="297"/>
      <c r="E339" s="297"/>
      <c r="F339" s="297"/>
      <c r="G339" s="297"/>
      <c r="H339" s="297"/>
      <c r="I339" s="297"/>
      <c r="J339" s="297"/>
      <c r="K339" s="297"/>
      <c r="L339" s="297"/>
      <c r="M339" s="297"/>
      <c r="N339" s="297"/>
      <c r="O339" s="297"/>
      <c r="P339" s="297"/>
      <c r="Q339" s="297"/>
      <c r="R339" s="297"/>
      <c r="S339" s="297"/>
      <c r="T339" s="297"/>
      <c r="U339" s="297"/>
      <c r="V339" s="297"/>
      <c r="W339" s="297"/>
      <c r="X339" s="297"/>
      <c r="Y339" s="297"/>
      <c r="Z339" s="297"/>
      <c r="AA339" s="297"/>
      <c r="AB339" s="297"/>
      <c r="AC339" s="297"/>
      <c r="AD339" s="297"/>
      <c r="AE339" s="297"/>
      <c r="AF339" s="297"/>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7"/>
      <c r="C452" s="297"/>
      <c r="D452" s="297"/>
      <c r="E452" s="297"/>
      <c r="F452" s="297"/>
      <c r="G452" s="297"/>
      <c r="H452" s="297"/>
      <c r="I452" s="297"/>
      <c r="J452" s="297"/>
      <c r="K452" s="297"/>
      <c r="L452" s="297"/>
      <c r="M452" s="297"/>
      <c r="N452" s="297"/>
      <c r="O452" s="297"/>
      <c r="P452" s="297"/>
      <c r="Q452" s="297"/>
      <c r="R452" s="297"/>
      <c r="S452" s="297"/>
      <c r="T452" s="297"/>
      <c r="U452" s="297"/>
      <c r="V452" s="297"/>
      <c r="W452" s="297"/>
      <c r="X452" s="297"/>
      <c r="Y452" s="297"/>
      <c r="Z452" s="297"/>
      <c r="AA452" s="297"/>
      <c r="AB452" s="297"/>
      <c r="AC452" s="297"/>
      <c r="AD452" s="297"/>
      <c r="AE452" s="297"/>
      <c r="AF452" s="29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7"/>
      <c r="C565" s="297"/>
      <c r="D565" s="297"/>
      <c r="E565" s="297"/>
      <c r="F565" s="297"/>
      <c r="G565" s="297"/>
      <c r="H565" s="297"/>
      <c r="I565" s="297"/>
      <c r="J565" s="297"/>
      <c r="K565" s="297"/>
      <c r="L565" s="297"/>
      <c r="M565" s="297"/>
      <c r="N565" s="297"/>
      <c r="O565" s="297"/>
      <c r="P565" s="297"/>
      <c r="Q565" s="297"/>
      <c r="R565" s="297"/>
      <c r="S565" s="297"/>
      <c r="T565" s="297"/>
      <c r="U565" s="297"/>
      <c r="V565" s="297"/>
      <c r="W565" s="297"/>
      <c r="X565" s="297"/>
      <c r="Y565" s="297"/>
      <c r="Z565" s="297"/>
      <c r="AA565" s="297"/>
      <c r="AB565" s="297"/>
      <c r="AC565" s="297"/>
      <c r="AD565" s="297"/>
      <c r="AE565" s="297"/>
      <c r="AF565" s="297"/>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7"/>
      <c r="C663" s="297"/>
      <c r="D663" s="297"/>
      <c r="E663" s="297"/>
      <c r="F663" s="297"/>
      <c r="G663" s="297"/>
      <c r="H663" s="297"/>
      <c r="I663" s="297"/>
      <c r="J663" s="297"/>
      <c r="K663" s="297"/>
      <c r="L663" s="297"/>
      <c r="M663" s="297"/>
      <c r="N663" s="297"/>
      <c r="O663" s="297"/>
      <c r="P663" s="297"/>
      <c r="Q663" s="297"/>
      <c r="R663" s="297"/>
      <c r="S663" s="297"/>
      <c r="T663" s="297"/>
      <c r="U663" s="297"/>
      <c r="V663" s="297"/>
      <c r="W663" s="297"/>
      <c r="X663" s="297"/>
      <c r="Y663" s="297"/>
      <c r="Z663" s="297"/>
      <c r="AA663" s="297"/>
      <c r="AB663" s="297"/>
      <c r="AC663" s="297"/>
      <c r="AD663" s="297"/>
      <c r="AE663" s="297"/>
      <c r="AF663" s="297"/>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7"/>
      <c r="C735" s="297"/>
      <c r="D735" s="297"/>
      <c r="E735" s="297"/>
      <c r="F735" s="297"/>
      <c r="G735" s="297"/>
      <c r="H735" s="297"/>
      <c r="I735" s="297"/>
      <c r="J735" s="297"/>
      <c r="K735" s="297"/>
      <c r="L735" s="297"/>
      <c r="M735" s="297"/>
      <c r="N735" s="297"/>
      <c r="O735" s="297"/>
      <c r="P735" s="297"/>
      <c r="Q735" s="297"/>
      <c r="R735" s="297"/>
      <c r="S735" s="297"/>
      <c r="T735" s="297"/>
      <c r="U735" s="297"/>
      <c r="V735" s="297"/>
      <c r="W735" s="297"/>
      <c r="X735" s="297"/>
      <c r="Y735" s="297"/>
      <c r="Z735" s="297"/>
      <c r="AA735" s="297"/>
      <c r="AB735" s="297"/>
      <c r="AC735" s="297"/>
      <c r="AD735" s="297"/>
      <c r="AE735" s="297"/>
      <c r="AF735" s="297"/>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7"/>
      <c r="C911" s="297"/>
      <c r="D911" s="297"/>
      <c r="E911" s="297"/>
      <c r="F911" s="297"/>
      <c r="G911" s="297"/>
      <c r="H911" s="297"/>
      <c r="I911" s="297"/>
      <c r="J911" s="297"/>
      <c r="K911" s="297"/>
      <c r="L911" s="297"/>
      <c r="M911" s="297"/>
      <c r="N911" s="297"/>
      <c r="O911" s="297"/>
      <c r="P911" s="297"/>
      <c r="Q911" s="297"/>
      <c r="R911" s="297"/>
      <c r="S911" s="297"/>
      <c r="T911" s="297"/>
      <c r="U911" s="297"/>
      <c r="V911" s="297"/>
      <c r="W911" s="297"/>
      <c r="X911" s="297"/>
      <c r="Y911" s="297"/>
      <c r="Z911" s="297"/>
      <c r="AA911" s="297"/>
      <c r="AB911" s="297"/>
      <c r="AC911" s="297"/>
      <c r="AD911" s="297"/>
      <c r="AE911" s="297"/>
      <c r="AF911" s="297"/>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7"/>
      <c r="C994" s="297"/>
      <c r="D994" s="297"/>
      <c r="E994" s="297"/>
      <c r="F994" s="297"/>
      <c r="G994" s="297"/>
      <c r="H994" s="297"/>
      <c r="I994" s="297"/>
      <c r="J994" s="297"/>
      <c r="K994" s="297"/>
      <c r="L994" s="297"/>
      <c r="M994" s="297"/>
      <c r="N994" s="297"/>
      <c r="O994" s="297"/>
      <c r="P994" s="297"/>
      <c r="Q994" s="297"/>
      <c r="R994" s="297"/>
      <c r="S994" s="297"/>
      <c r="T994" s="297"/>
      <c r="U994" s="297"/>
      <c r="V994" s="297"/>
      <c r="W994" s="297"/>
      <c r="X994" s="297"/>
      <c r="Y994" s="297"/>
      <c r="Z994" s="297"/>
      <c r="AA994" s="297"/>
      <c r="AB994" s="297"/>
      <c r="AC994" s="297"/>
      <c r="AD994" s="297"/>
      <c r="AE994" s="297"/>
      <c r="AF994" s="297"/>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7"/>
      <c r="C1096" s="297"/>
      <c r="D1096" s="297"/>
      <c r="E1096" s="297"/>
      <c r="F1096" s="297"/>
      <c r="G1096" s="297"/>
      <c r="H1096" s="297"/>
      <c r="I1096" s="297"/>
      <c r="J1096" s="297"/>
      <c r="K1096" s="297"/>
      <c r="L1096" s="297"/>
      <c r="M1096" s="297"/>
      <c r="N1096" s="297"/>
      <c r="O1096" s="297"/>
      <c r="P1096" s="297"/>
      <c r="Q1096" s="297"/>
      <c r="R1096" s="297"/>
      <c r="S1096" s="297"/>
      <c r="T1096" s="297"/>
      <c r="U1096" s="297"/>
      <c r="V1096" s="297"/>
      <c r="W1096" s="297"/>
      <c r="X1096" s="297"/>
      <c r="Y1096" s="297"/>
      <c r="Z1096" s="297"/>
      <c r="AA1096" s="297"/>
      <c r="AB1096" s="297"/>
      <c r="AC1096" s="297"/>
      <c r="AD1096" s="297"/>
      <c r="AE1096" s="297"/>
      <c r="AF1096" s="297"/>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7"/>
      <c r="C1194" s="297"/>
      <c r="D1194" s="297"/>
      <c r="E1194" s="297"/>
      <c r="F1194" s="297"/>
      <c r="G1194" s="297"/>
      <c r="H1194" s="297"/>
      <c r="I1194" s="297"/>
      <c r="J1194" s="297"/>
      <c r="K1194" s="297"/>
      <c r="L1194" s="297"/>
      <c r="M1194" s="297"/>
      <c r="N1194" s="297"/>
      <c r="O1194" s="297"/>
      <c r="P1194" s="297"/>
      <c r="Q1194" s="297"/>
      <c r="R1194" s="297"/>
      <c r="S1194" s="297"/>
      <c r="T1194" s="297"/>
      <c r="U1194" s="297"/>
      <c r="V1194" s="297"/>
      <c r="W1194" s="297"/>
      <c r="X1194" s="297"/>
      <c r="Y1194" s="297"/>
      <c r="Z1194" s="297"/>
      <c r="AA1194" s="297"/>
      <c r="AB1194" s="297"/>
      <c r="AC1194" s="297"/>
      <c r="AD1194" s="297"/>
      <c r="AE1194" s="297"/>
      <c r="AF1194" s="297"/>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7"/>
      <c r="C1294" s="297"/>
      <c r="D1294" s="297"/>
      <c r="E1294" s="297"/>
      <c r="F1294" s="297"/>
      <c r="G1294" s="297"/>
      <c r="H1294" s="297"/>
      <c r="I1294" s="297"/>
      <c r="J1294" s="297"/>
      <c r="K1294" s="297"/>
      <c r="L1294" s="297"/>
      <c r="M1294" s="297"/>
      <c r="N1294" s="297"/>
      <c r="O1294" s="297"/>
      <c r="P1294" s="297"/>
      <c r="Q1294" s="297"/>
      <c r="R1294" s="297"/>
      <c r="S1294" s="297"/>
      <c r="T1294" s="297"/>
      <c r="U1294" s="297"/>
      <c r="V1294" s="297"/>
      <c r="W1294" s="297"/>
      <c r="X1294" s="297"/>
      <c r="Y1294" s="297"/>
      <c r="Z1294" s="297"/>
      <c r="AA1294" s="297"/>
      <c r="AB1294" s="297"/>
      <c r="AC1294" s="297"/>
      <c r="AD1294" s="297"/>
      <c r="AE1294" s="297"/>
      <c r="AF1294" s="297"/>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7"/>
      <c r="C1590" s="297"/>
      <c r="D1590" s="297"/>
      <c r="E1590" s="297"/>
      <c r="F1590" s="297"/>
      <c r="G1590" s="297"/>
      <c r="H1590" s="297"/>
      <c r="I1590" s="297"/>
      <c r="J1590" s="297"/>
      <c r="K1590" s="297"/>
      <c r="L1590" s="297"/>
      <c r="M1590" s="297"/>
      <c r="N1590" s="297"/>
      <c r="O1590" s="297"/>
      <c r="P1590" s="297"/>
      <c r="Q1590" s="297"/>
      <c r="R1590" s="297"/>
      <c r="S1590" s="297"/>
      <c r="T1590" s="297"/>
      <c r="U1590" s="297"/>
      <c r="V1590" s="297"/>
      <c r="W1590" s="297"/>
      <c r="X1590" s="297"/>
      <c r="Y1590" s="297"/>
      <c r="Z1590" s="297"/>
      <c r="AA1590" s="297"/>
      <c r="AB1590" s="297"/>
      <c r="AC1590" s="297"/>
      <c r="AD1590" s="297"/>
      <c r="AE1590" s="297"/>
      <c r="AF1590" s="297"/>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7"/>
      <c r="C1813" s="297"/>
      <c r="D1813" s="297"/>
      <c r="E1813" s="297"/>
      <c r="F1813" s="297"/>
      <c r="G1813" s="297"/>
      <c r="H1813" s="297"/>
      <c r="I1813" s="297"/>
      <c r="J1813" s="297"/>
      <c r="K1813" s="297"/>
      <c r="L1813" s="297"/>
      <c r="M1813" s="297"/>
      <c r="N1813" s="297"/>
      <c r="O1813" s="297"/>
      <c r="P1813" s="297"/>
      <c r="Q1813" s="297"/>
      <c r="R1813" s="297"/>
      <c r="S1813" s="297"/>
      <c r="T1813" s="297"/>
      <c r="U1813" s="297"/>
      <c r="V1813" s="297"/>
      <c r="W1813" s="297"/>
      <c r="X1813" s="297"/>
      <c r="Y1813" s="297"/>
      <c r="Z1813" s="297"/>
      <c r="AA1813" s="297"/>
      <c r="AB1813" s="297"/>
      <c r="AC1813" s="297"/>
      <c r="AD1813" s="297"/>
      <c r="AE1813" s="297"/>
      <c r="AF1813" s="297"/>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7"/>
      <c r="C2090" s="297"/>
      <c r="D2090" s="297"/>
      <c r="E2090" s="297"/>
      <c r="F2090" s="297"/>
      <c r="G2090" s="297"/>
      <c r="H2090" s="297"/>
      <c r="I2090" s="297"/>
      <c r="J2090" s="297"/>
      <c r="K2090" s="297"/>
      <c r="L2090" s="297"/>
      <c r="M2090" s="297"/>
      <c r="N2090" s="297"/>
      <c r="O2090" s="297"/>
      <c r="P2090" s="297"/>
      <c r="Q2090" s="297"/>
      <c r="R2090" s="297"/>
      <c r="S2090" s="297"/>
      <c r="T2090" s="297"/>
      <c r="U2090" s="297"/>
      <c r="V2090" s="297"/>
      <c r="W2090" s="297"/>
      <c r="X2090" s="297"/>
      <c r="Y2090" s="297"/>
      <c r="Z2090" s="297"/>
      <c r="AA2090" s="297"/>
      <c r="AB2090" s="297"/>
      <c r="AC2090" s="297"/>
      <c r="AD2090" s="297"/>
      <c r="AE2090" s="297"/>
      <c r="AF2090" s="297"/>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7"/>
      <c r="C2425" s="297"/>
      <c r="D2425" s="297"/>
      <c r="E2425" s="297"/>
      <c r="F2425" s="297"/>
      <c r="G2425" s="297"/>
      <c r="H2425" s="297"/>
      <c r="I2425" s="297"/>
      <c r="J2425" s="297"/>
      <c r="K2425" s="297"/>
      <c r="L2425" s="297"/>
      <c r="M2425" s="297"/>
      <c r="N2425" s="297"/>
      <c r="O2425" s="297"/>
      <c r="P2425" s="297"/>
      <c r="Q2425" s="297"/>
      <c r="R2425" s="297"/>
      <c r="S2425" s="297"/>
      <c r="T2425" s="297"/>
      <c r="U2425" s="297"/>
      <c r="V2425" s="297"/>
      <c r="W2425" s="297"/>
      <c r="X2425" s="297"/>
      <c r="Y2425" s="297"/>
      <c r="Z2425" s="297"/>
      <c r="AA2425" s="297"/>
      <c r="AB2425" s="297"/>
      <c r="AC2425" s="297"/>
      <c r="AD2425" s="297"/>
      <c r="AE2425" s="297"/>
      <c r="AF2425" s="297"/>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7"/>
      <c r="C2745" s="297"/>
      <c r="D2745" s="297"/>
      <c r="E2745" s="297"/>
      <c r="F2745" s="297"/>
      <c r="G2745" s="297"/>
      <c r="H2745" s="297"/>
      <c r="I2745" s="297"/>
      <c r="J2745" s="297"/>
      <c r="K2745" s="297"/>
      <c r="L2745" s="297"/>
      <c r="M2745" s="297"/>
      <c r="N2745" s="297"/>
      <c r="O2745" s="297"/>
      <c r="P2745" s="297"/>
      <c r="Q2745" s="297"/>
      <c r="R2745" s="297"/>
      <c r="S2745" s="297"/>
      <c r="T2745" s="297"/>
      <c r="U2745" s="297"/>
      <c r="V2745" s="297"/>
      <c r="W2745" s="297"/>
      <c r="X2745" s="297"/>
      <c r="Y2745" s="297"/>
      <c r="Z2745" s="297"/>
      <c r="AA2745" s="297"/>
      <c r="AB2745" s="297"/>
      <c r="AC2745" s="297"/>
      <c r="AD2745" s="297"/>
      <c r="AE2745" s="297"/>
      <c r="AF2745" s="297"/>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7"/>
      <c r="C3076" s="297"/>
      <c r="D3076" s="297"/>
      <c r="E3076" s="297"/>
      <c r="F3076" s="297"/>
      <c r="G3076" s="297"/>
      <c r="H3076" s="297"/>
      <c r="I3076" s="297"/>
      <c r="J3076" s="297"/>
      <c r="K3076" s="297"/>
      <c r="L3076" s="297"/>
      <c r="M3076" s="297"/>
      <c r="N3076" s="297"/>
      <c r="O3076" s="297"/>
      <c r="P3076" s="297"/>
      <c r="Q3076" s="297"/>
      <c r="R3076" s="297"/>
      <c r="S3076" s="297"/>
      <c r="T3076" s="297"/>
      <c r="U3076" s="297"/>
      <c r="V3076" s="297"/>
      <c r="W3076" s="297"/>
      <c r="X3076" s="297"/>
      <c r="Y3076" s="297"/>
      <c r="Z3076" s="297"/>
      <c r="AA3076" s="297"/>
      <c r="AB3076" s="297"/>
      <c r="AC3076" s="297"/>
      <c r="AD3076" s="297"/>
      <c r="AE3076" s="297"/>
      <c r="AF3076" s="297"/>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7"/>
      <c r="C3393" s="297"/>
      <c r="D3393" s="297"/>
      <c r="E3393" s="297"/>
      <c r="F3393" s="297"/>
      <c r="G3393" s="297"/>
      <c r="H3393" s="297"/>
      <c r="I3393" s="297"/>
      <c r="J3393" s="297"/>
      <c r="K3393" s="297"/>
      <c r="L3393" s="297"/>
      <c r="M3393" s="297"/>
      <c r="N3393" s="297"/>
      <c r="O3393" s="297"/>
      <c r="P3393" s="297"/>
      <c r="Q3393" s="297"/>
      <c r="R3393" s="297"/>
      <c r="S3393" s="297"/>
      <c r="T3393" s="297"/>
      <c r="U3393" s="297"/>
      <c r="V3393" s="297"/>
      <c r="W3393" s="297"/>
      <c r="X3393" s="297"/>
      <c r="Y3393" s="297"/>
      <c r="Z3393" s="297"/>
      <c r="AA3393" s="297"/>
      <c r="AB3393" s="297"/>
      <c r="AC3393" s="297"/>
      <c r="AD3393" s="297"/>
      <c r="AE3393" s="297"/>
      <c r="AF3393" s="297"/>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7"/>
      <c r="C3502" s="297"/>
      <c r="D3502" s="297"/>
      <c r="E3502" s="297"/>
      <c r="F3502" s="297"/>
      <c r="G3502" s="297"/>
      <c r="H3502" s="297"/>
      <c r="I3502" s="297"/>
      <c r="J3502" s="297"/>
      <c r="K3502" s="297"/>
      <c r="L3502" s="297"/>
      <c r="M3502" s="297"/>
      <c r="N3502" s="297"/>
      <c r="O3502" s="297"/>
      <c r="P3502" s="297"/>
      <c r="Q3502" s="297"/>
      <c r="R3502" s="297"/>
      <c r="S3502" s="297"/>
      <c r="T3502" s="297"/>
      <c r="U3502" s="297"/>
      <c r="V3502" s="297"/>
      <c r="W3502" s="297"/>
      <c r="X3502" s="297"/>
      <c r="Y3502" s="297"/>
      <c r="Z3502" s="297"/>
      <c r="AA3502" s="297"/>
      <c r="AB3502" s="297"/>
      <c r="AC3502" s="297"/>
      <c r="AD3502" s="297"/>
      <c r="AE3502" s="297"/>
      <c r="AF3502" s="297"/>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7"/>
      <c r="C3627" s="297"/>
      <c r="D3627" s="297"/>
      <c r="E3627" s="297"/>
      <c r="F3627" s="297"/>
      <c r="G3627" s="297"/>
      <c r="H3627" s="297"/>
      <c r="I3627" s="297"/>
      <c r="J3627" s="297"/>
      <c r="K3627" s="297"/>
      <c r="L3627" s="297"/>
      <c r="M3627" s="297"/>
      <c r="N3627" s="297"/>
      <c r="O3627" s="297"/>
      <c r="P3627" s="297"/>
      <c r="Q3627" s="297"/>
      <c r="R3627" s="297"/>
      <c r="S3627" s="297"/>
      <c r="T3627" s="297"/>
      <c r="U3627" s="297"/>
      <c r="V3627" s="297"/>
      <c r="W3627" s="297"/>
      <c r="X3627" s="297"/>
      <c r="Y3627" s="297"/>
      <c r="Z3627" s="297"/>
      <c r="AA3627" s="297"/>
      <c r="AB3627" s="297"/>
      <c r="AC3627" s="297"/>
      <c r="AD3627" s="297"/>
      <c r="AE3627" s="297"/>
      <c r="AF3627" s="297"/>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7"/>
      <c r="C3752" s="297"/>
      <c r="D3752" s="297"/>
      <c r="E3752" s="297"/>
      <c r="F3752" s="297"/>
      <c r="G3752" s="297"/>
      <c r="H3752" s="297"/>
      <c r="I3752" s="297"/>
      <c r="J3752" s="297"/>
      <c r="K3752" s="297"/>
      <c r="L3752" s="297"/>
      <c r="M3752" s="297"/>
      <c r="N3752" s="297"/>
      <c r="O3752" s="297"/>
      <c r="P3752" s="297"/>
      <c r="Q3752" s="297"/>
      <c r="R3752" s="297"/>
      <c r="S3752" s="297"/>
      <c r="T3752" s="297"/>
      <c r="U3752" s="297"/>
      <c r="V3752" s="297"/>
      <c r="W3752" s="297"/>
      <c r="X3752" s="297"/>
      <c r="Y3752" s="297"/>
      <c r="Z3752" s="297"/>
      <c r="AA3752" s="297"/>
      <c r="AB3752" s="297"/>
      <c r="AC3752" s="297"/>
      <c r="AD3752" s="297"/>
      <c r="AE3752" s="297"/>
      <c r="AF3752" s="297"/>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7"/>
      <c r="C3877" s="297"/>
      <c r="D3877" s="297"/>
      <c r="E3877" s="297"/>
      <c r="F3877" s="297"/>
      <c r="G3877" s="297"/>
      <c r="H3877" s="297"/>
      <c r="I3877" s="297"/>
      <c r="J3877" s="297"/>
      <c r="K3877" s="297"/>
      <c r="L3877" s="297"/>
      <c r="M3877" s="297"/>
      <c r="N3877" s="297"/>
      <c r="O3877" s="297"/>
      <c r="P3877" s="297"/>
      <c r="Q3877" s="297"/>
      <c r="R3877" s="297"/>
      <c r="S3877" s="297"/>
      <c r="T3877" s="297"/>
      <c r="U3877" s="297"/>
      <c r="V3877" s="297"/>
      <c r="W3877" s="297"/>
      <c r="X3877" s="297"/>
      <c r="Y3877" s="297"/>
      <c r="Z3877" s="297"/>
      <c r="AA3877" s="297"/>
      <c r="AB3877" s="297"/>
      <c r="AC3877" s="297"/>
      <c r="AD3877" s="297"/>
      <c r="AE3877" s="297"/>
      <c r="AF3877" s="297"/>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7"/>
      <c r="C4002" s="297"/>
      <c r="D4002" s="297"/>
      <c r="E4002" s="297"/>
      <c r="F4002" s="297"/>
      <c r="G4002" s="297"/>
      <c r="H4002" s="297"/>
      <c r="I4002" s="297"/>
      <c r="J4002" s="297"/>
      <c r="K4002" s="297"/>
      <c r="L4002" s="297"/>
      <c r="M4002" s="297"/>
      <c r="N4002" s="297"/>
      <c r="O4002" s="297"/>
      <c r="P4002" s="297"/>
      <c r="Q4002" s="297"/>
      <c r="R4002" s="297"/>
      <c r="S4002" s="297"/>
      <c r="T4002" s="297"/>
      <c r="U4002" s="297"/>
      <c r="V4002" s="297"/>
      <c r="W4002" s="297"/>
      <c r="X4002" s="297"/>
      <c r="Y4002" s="297"/>
      <c r="Z4002" s="297"/>
      <c r="AA4002" s="297"/>
      <c r="AB4002" s="297"/>
      <c r="AC4002" s="297"/>
      <c r="AD4002" s="297"/>
      <c r="AE4002" s="297"/>
      <c r="AF4002" s="297"/>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7"/>
      <c r="C4127" s="297"/>
      <c r="D4127" s="297"/>
      <c r="E4127" s="297"/>
      <c r="F4127" s="297"/>
      <c r="G4127" s="297"/>
      <c r="H4127" s="297"/>
      <c r="I4127" s="297"/>
      <c r="J4127" s="297"/>
      <c r="K4127" s="297"/>
      <c r="L4127" s="297"/>
      <c r="M4127" s="297"/>
      <c r="N4127" s="297"/>
      <c r="O4127" s="297"/>
      <c r="P4127" s="297"/>
      <c r="Q4127" s="297"/>
      <c r="R4127" s="297"/>
      <c r="S4127" s="297"/>
      <c r="T4127" s="297"/>
      <c r="U4127" s="297"/>
      <c r="V4127" s="297"/>
      <c r="W4127" s="297"/>
      <c r="X4127" s="297"/>
      <c r="Y4127" s="297"/>
      <c r="Z4127" s="297"/>
      <c r="AA4127" s="297"/>
      <c r="AB4127" s="297"/>
      <c r="AC4127" s="297"/>
      <c r="AD4127" s="297"/>
      <c r="AE4127" s="297"/>
      <c r="AF4127" s="297"/>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7"/>
      <c r="C4252" s="297"/>
      <c r="D4252" s="297"/>
      <c r="E4252" s="297"/>
      <c r="F4252" s="297"/>
      <c r="G4252" s="297"/>
      <c r="H4252" s="297"/>
      <c r="I4252" s="297"/>
      <c r="J4252" s="297"/>
      <c r="K4252" s="297"/>
      <c r="L4252" s="297"/>
      <c r="M4252" s="297"/>
      <c r="N4252" s="297"/>
      <c r="O4252" s="297"/>
      <c r="P4252" s="297"/>
      <c r="Q4252" s="297"/>
      <c r="R4252" s="297"/>
      <c r="S4252" s="297"/>
      <c r="T4252" s="297"/>
      <c r="U4252" s="297"/>
      <c r="V4252" s="297"/>
      <c r="W4252" s="297"/>
      <c r="X4252" s="297"/>
      <c r="Y4252" s="297"/>
      <c r="Z4252" s="297"/>
      <c r="AA4252" s="297"/>
      <c r="AB4252" s="297"/>
      <c r="AC4252" s="297"/>
      <c r="AD4252" s="297"/>
      <c r="AE4252" s="297"/>
      <c r="AF4252" s="297"/>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7"/>
      <c r="C4377" s="297"/>
      <c r="D4377" s="297"/>
      <c r="E4377" s="297"/>
      <c r="F4377" s="297"/>
      <c r="G4377" s="297"/>
      <c r="H4377" s="297"/>
      <c r="I4377" s="297"/>
      <c r="J4377" s="297"/>
      <c r="K4377" s="297"/>
      <c r="L4377" s="297"/>
      <c r="M4377" s="297"/>
      <c r="N4377" s="297"/>
      <c r="O4377" s="297"/>
      <c r="P4377" s="297"/>
      <c r="Q4377" s="297"/>
      <c r="R4377" s="297"/>
      <c r="S4377" s="297"/>
      <c r="T4377" s="297"/>
      <c r="U4377" s="297"/>
      <c r="V4377" s="297"/>
      <c r="W4377" s="297"/>
      <c r="X4377" s="297"/>
      <c r="Y4377" s="297"/>
      <c r="Z4377" s="297"/>
      <c r="AA4377" s="297"/>
      <c r="AB4377" s="297"/>
      <c r="AC4377" s="297"/>
      <c r="AD4377" s="297"/>
      <c r="AE4377" s="297"/>
      <c r="AF4377" s="297"/>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7"/>
      <c r="C4502" s="297"/>
      <c r="D4502" s="297"/>
      <c r="E4502" s="297"/>
      <c r="F4502" s="297"/>
      <c r="G4502" s="297"/>
      <c r="H4502" s="297"/>
      <c r="I4502" s="297"/>
      <c r="J4502" s="297"/>
      <c r="K4502" s="297"/>
      <c r="L4502" s="297"/>
      <c r="M4502" s="297"/>
      <c r="N4502" s="297"/>
      <c r="O4502" s="297"/>
      <c r="P4502" s="297"/>
      <c r="Q4502" s="297"/>
      <c r="R4502" s="297"/>
      <c r="S4502" s="297"/>
      <c r="T4502" s="297"/>
      <c r="U4502" s="297"/>
      <c r="V4502" s="297"/>
      <c r="W4502" s="297"/>
      <c r="X4502" s="297"/>
      <c r="Y4502" s="297"/>
      <c r="Z4502" s="297"/>
      <c r="AA4502" s="297"/>
      <c r="AB4502" s="297"/>
      <c r="AC4502" s="297"/>
      <c r="AD4502" s="297"/>
      <c r="AE4502" s="297"/>
      <c r="AF4502" s="297"/>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8" t="s">
        <v>406</v>
      </c>
      <c r="C79" s="295"/>
      <c r="D79" s="295"/>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3"/>
      <c r="C259" s="293"/>
      <c r="D259" s="293"/>
      <c r="E259" s="293"/>
      <c r="F259" s="293"/>
      <c r="G259" s="293"/>
      <c r="H259" s="293"/>
      <c r="I259" s="293"/>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3"/>
      <c r="C339" s="293"/>
      <c r="D339" s="293"/>
      <c r="E339" s="293"/>
      <c r="F339" s="293"/>
      <c r="G339" s="293"/>
      <c r="H339" s="293"/>
      <c r="I339" s="293"/>
      <c r="J339" s="293"/>
      <c r="K339" s="293"/>
      <c r="L339" s="293"/>
      <c r="M339" s="293"/>
      <c r="N339" s="293"/>
      <c r="O339" s="293"/>
      <c r="P339" s="293"/>
      <c r="Q339" s="293"/>
      <c r="R339" s="293"/>
      <c r="S339" s="293"/>
      <c r="T339" s="293"/>
      <c r="U339" s="293"/>
      <c r="V339" s="293"/>
      <c r="W339" s="293"/>
      <c r="X339" s="293"/>
      <c r="Y339" s="293"/>
      <c r="Z339" s="293"/>
      <c r="AA339" s="293"/>
      <c r="AB339" s="293"/>
      <c r="AC339" s="293"/>
      <c r="AD339" s="293"/>
      <c r="AE339" s="293"/>
      <c r="AF339" s="293"/>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3"/>
      <c r="C452" s="293"/>
      <c r="D452" s="293"/>
      <c r="E452" s="293"/>
      <c r="F452" s="293"/>
      <c r="G452" s="293"/>
      <c r="H452" s="293"/>
      <c r="I452" s="293"/>
      <c r="J452" s="293"/>
      <c r="K452" s="293"/>
      <c r="L452" s="293"/>
      <c r="M452" s="293"/>
      <c r="N452" s="293"/>
      <c r="O452" s="293"/>
      <c r="P452" s="293"/>
      <c r="Q452" s="293"/>
      <c r="R452" s="293"/>
      <c r="S452" s="293"/>
      <c r="T452" s="293"/>
      <c r="U452" s="293"/>
      <c r="V452" s="293"/>
      <c r="W452" s="293"/>
      <c r="X452" s="293"/>
      <c r="Y452" s="293"/>
      <c r="Z452" s="293"/>
      <c r="AA452" s="293"/>
      <c r="AB452" s="293"/>
      <c r="AC452" s="293"/>
      <c r="AD452" s="293"/>
      <c r="AE452" s="293"/>
      <c r="AF452" s="293"/>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3"/>
      <c r="C565" s="293"/>
      <c r="D565" s="293"/>
      <c r="E565" s="293"/>
      <c r="F565" s="293"/>
      <c r="G565" s="293"/>
      <c r="H565" s="293"/>
      <c r="I565" s="293"/>
      <c r="J565" s="293"/>
      <c r="K565" s="293"/>
      <c r="L565" s="293"/>
      <c r="M565" s="293"/>
      <c r="N565" s="293"/>
      <c r="O565" s="293"/>
      <c r="P565" s="293"/>
      <c r="Q565" s="293"/>
      <c r="R565" s="293"/>
      <c r="S565" s="293"/>
      <c r="T565" s="293"/>
      <c r="U565" s="293"/>
      <c r="V565" s="293"/>
      <c r="W565" s="293"/>
      <c r="X565" s="293"/>
      <c r="Y565" s="293"/>
      <c r="Z565" s="293"/>
      <c r="AA565" s="293"/>
      <c r="AB565" s="293"/>
      <c r="AC565" s="293"/>
      <c r="AD565" s="293"/>
      <c r="AE565" s="293"/>
      <c r="AF565" s="293"/>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3"/>
      <c r="C663" s="293"/>
      <c r="D663" s="293"/>
      <c r="E663" s="293"/>
      <c r="F663" s="293"/>
      <c r="G663" s="293"/>
      <c r="H663" s="293"/>
      <c r="I663" s="293"/>
      <c r="J663" s="293"/>
      <c r="K663" s="293"/>
      <c r="L663" s="293"/>
      <c r="M663" s="293"/>
      <c r="N663" s="293"/>
      <c r="O663" s="293"/>
      <c r="P663" s="293"/>
      <c r="Q663" s="293"/>
      <c r="R663" s="293"/>
      <c r="S663" s="293"/>
      <c r="T663" s="293"/>
      <c r="U663" s="293"/>
      <c r="V663" s="293"/>
      <c r="W663" s="293"/>
      <c r="X663" s="293"/>
      <c r="Y663" s="293"/>
      <c r="Z663" s="293"/>
      <c r="AA663" s="293"/>
      <c r="AB663" s="293"/>
      <c r="AC663" s="293"/>
      <c r="AD663" s="293"/>
      <c r="AE663" s="293"/>
      <c r="AF663" s="293"/>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3"/>
      <c r="C735" s="293"/>
      <c r="D735" s="293"/>
      <c r="E735" s="293"/>
      <c r="F735" s="293"/>
      <c r="G735" s="293"/>
      <c r="H735" s="293"/>
      <c r="I735" s="293"/>
      <c r="J735" s="293"/>
      <c r="K735" s="293"/>
      <c r="L735" s="293"/>
      <c r="M735" s="293"/>
      <c r="N735" s="293"/>
      <c r="O735" s="293"/>
      <c r="P735" s="293"/>
      <c r="Q735" s="293"/>
      <c r="R735" s="293"/>
      <c r="S735" s="293"/>
      <c r="T735" s="293"/>
      <c r="U735" s="293"/>
      <c r="V735" s="293"/>
      <c r="W735" s="293"/>
      <c r="X735" s="293"/>
      <c r="Y735" s="293"/>
      <c r="Z735" s="293"/>
      <c r="AA735" s="293"/>
      <c r="AB735" s="293"/>
      <c r="AC735" s="293"/>
      <c r="AD735" s="293"/>
      <c r="AE735" s="293"/>
      <c r="AF735" s="293"/>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3"/>
      <c r="C911" s="293"/>
      <c r="D911" s="293"/>
      <c r="E911" s="293"/>
      <c r="F911" s="293"/>
      <c r="G911" s="293"/>
      <c r="H911" s="293"/>
      <c r="I911" s="293"/>
      <c r="J911" s="293"/>
      <c r="K911" s="293"/>
      <c r="L911" s="293"/>
      <c r="M911" s="293"/>
      <c r="N911" s="293"/>
      <c r="O911" s="293"/>
      <c r="P911" s="293"/>
      <c r="Q911" s="293"/>
      <c r="R911" s="293"/>
      <c r="S911" s="293"/>
      <c r="T911" s="293"/>
      <c r="U911" s="293"/>
      <c r="V911" s="293"/>
      <c r="W911" s="293"/>
      <c r="X911" s="293"/>
      <c r="Y911" s="293"/>
      <c r="Z911" s="293"/>
      <c r="AA911" s="293"/>
      <c r="AB911" s="293"/>
      <c r="AC911" s="293"/>
      <c r="AD911" s="293"/>
      <c r="AE911" s="293"/>
      <c r="AF911" s="293"/>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3"/>
      <c r="C994" s="293"/>
      <c r="D994" s="293"/>
      <c r="E994" s="293"/>
      <c r="F994" s="293"/>
      <c r="G994" s="293"/>
      <c r="H994" s="293"/>
      <c r="I994" s="293"/>
      <c r="J994" s="293"/>
      <c r="K994" s="293"/>
      <c r="L994" s="293"/>
      <c r="M994" s="293"/>
      <c r="N994" s="293"/>
      <c r="O994" s="293"/>
      <c r="P994" s="293"/>
      <c r="Q994" s="293"/>
      <c r="R994" s="293"/>
      <c r="S994" s="293"/>
      <c r="T994" s="293"/>
      <c r="U994" s="293"/>
      <c r="V994" s="293"/>
      <c r="W994" s="293"/>
      <c r="X994" s="293"/>
      <c r="Y994" s="293"/>
      <c r="Z994" s="293"/>
      <c r="AA994" s="293"/>
      <c r="AB994" s="293"/>
      <c r="AC994" s="293"/>
      <c r="AD994" s="293"/>
      <c r="AE994" s="293"/>
      <c r="AF994" s="293"/>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3"/>
      <c r="C1096" s="293"/>
      <c r="D1096" s="293"/>
      <c r="E1096" s="293"/>
      <c r="F1096" s="293"/>
      <c r="G1096" s="293"/>
      <c r="H1096" s="293"/>
      <c r="I1096" s="293"/>
      <c r="J1096" s="293"/>
      <c r="K1096" s="293"/>
      <c r="L1096" s="293"/>
      <c r="M1096" s="293"/>
      <c r="N1096" s="293"/>
      <c r="O1096" s="293"/>
      <c r="P1096" s="293"/>
      <c r="Q1096" s="293"/>
      <c r="R1096" s="293"/>
      <c r="S1096" s="293"/>
      <c r="T1096" s="293"/>
      <c r="U1096" s="293"/>
      <c r="V1096" s="293"/>
      <c r="W1096" s="293"/>
      <c r="X1096" s="293"/>
      <c r="Y1096" s="293"/>
      <c r="Z1096" s="293"/>
      <c r="AA1096" s="293"/>
      <c r="AB1096" s="293"/>
      <c r="AC1096" s="293"/>
      <c r="AD1096" s="293"/>
      <c r="AE1096" s="293"/>
      <c r="AF1096" s="293"/>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3"/>
      <c r="C1194" s="293"/>
      <c r="D1194" s="293"/>
      <c r="E1194" s="293"/>
      <c r="F1194" s="293"/>
      <c r="G1194" s="293"/>
      <c r="H1194" s="293"/>
      <c r="I1194" s="293"/>
      <c r="J1194" s="293"/>
      <c r="K1194" s="293"/>
      <c r="L1194" s="293"/>
      <c r="M1194" s="293"/>
      <c r="N1194" s="293"/>
      <c r="O1194" s="293"/>
      <c r="P1194" s="293"/>
      <c r="Q1194" s="293"/>
      <c r="R1194" s="293"/>
      <c r="S1194" s="293"/>
      <c r="T1194" s="293"/>
      <c r="U1194" s="293"/>
      <c r="V1194" s="293"/>
      <c r="W1194" s="293"/>
      <c r="X1194" s="293"/>
      <c r="Y1194" s="293"/>
      <c r="Z1194" s="293"/>
      <c r="AA1194" s="293"/>
      <c r="AB1194" s="293"/>
      <c r="AC1194" s="293"/>
      <c r="AD1194" s="293"/>
      <c r="AE1194" s="293"/>
      <c r="AF1194" s="293"/>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3"/>
      <c r="C1294" s="293"/>
      <c r="D1294" s="293"/>
      <c r="E1294" s="293"/>
      <c r="F1294" s="293"/>
      <c r="G1294" s="293"/>
      <c r="H1294" s="293"/>
      <c r="I1294" s="293"/>
      <c r="J1294" s="293"/>
      <c r="K1294" s="293"/>
      <c r="L1294" s="293"/>
      <c r="M1294" s="293"/>
      <c r="N1294" s="293"/>
      <c r="O1294" s="293"/>
      <c r="P1294" s="293"/>
      <c r="Q1294" s="293"/>
      <c r="R1294" s="293"/>
      <c r="S1294" s="293"/>
      <c r="T1294" s="293"/>
      <c r="U1294" s="293"/>
      <c r="V1294" s="293"/>
      <c r="W1294" s="293"/>
      <c r="X1294" s="293"/>
      <c r="Y1294" s="293"/>
      <c r="Z1294" s="293"/>
      <c r="AA1294" s="293"/>
      <c r="AB1294" s="293"/>
      <c r="AC1294" s="293"/>
      <c r="AD1294" s="293"/>
      <c r="AE1294" s="293"/>
      <c r="AF1294" s="293"/>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3"/>
      <c r="C1590" s="293"/>
      <c r="D1590" s="293"/>
      <c r="E1590" s="293"/>
      <c r="F1590" s="293"/>
      <c r="G1590" s="293"/>
      <c r="H1590" s="293"/>
      <c r="I1590" s="293"/>
      <c r="J1590" s="293"/>
      <c r="K1590" s="293"/>
      <c r="L1590" s="293"/>
      <c r="M1590" s="293"/>
      <c r="N1590" s="293"/>
      <c r="O1590" s="293"/>
      <c r="P1590" s="293"/>
      <c r="Q1590" s="293"/>
      <c r="R1590" s="293"/>
      <c r="S1590" s="293"/>
      <c r="T1590" s="293"/>
      <c r="U1590" s="293"/>
      <c r="V1590" s="293"/>
      <c r="W1590" s="293"/>
      <c r="X1590" s="293"/>
      <c r="Y1590" s="293"/>
      <c r="Z1590" s="293"/>
      <c r="AA1590" s="293"/>
      <c r="AB1590" s="293"/>
      <c r="AC1590" s="293"/>
      <c r="AD1590" s="293"/>
      <c r="AE1590" s="293"/>
      <c r="AF1590" s="293"/>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3"/>
      <c r="C1813" s="293"/>
      <c r="D1813" s="293"/>
      <c r="E1813" s="293"/>
      <c r="F1813" s="293"/>
      <c r="G1813" s="293"/>
      <c r="H1813" s="293"/>
      <c r="I1813" s="293"/>
      <c r="J1813" s="293"/>
      <c r="K1813" s="293"/>
      <c r="L1813" s="293"/>
      <c r="M1813" s="293"/>
      <c r="N1813" s="293"/>
      <c r="O1813" s="293"/>
      <c r="P1813" s="293"/>
      <c r="Q1813" s="293"/>
      <c r="R1813" s="293"/>
      <c r="S1813" s="293"/>
      <c r="T1813" s="293"/>
      <c r="U1813" s="293"/>
      <c r="V1813" s="293"/>
      <c r="W1813" s="293"/>
      <c r="X1813" s="293"/>
      <c r="Y1813" s="293"/>
      <c r="Z1813" s="293"/>
      <c r="AA1813" s="293"/>
      <c r="AB1813" s="293"/>
      <c r="AC1813" s="293"/>
      <c r="AD1813" s="293"/>
      <c r="AE1813" s="293"/>
      <c r="AF1813" s="293"/>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3"/>
      <c r="C2090" s="293"/>
      <c r="D2090" s="293"/>
      <c r="E2090" s="293"/>
      <c r="F2090" s="293"/>
      <c r="G2090" s="293"/>
      <c r="H2090" s="293"/>
      <c r="I2090" s="293"/>
      <c r="J2090" s="293"/>
      <c r="K2090" s="293"/>
      <c r="L2090" s="293"/>
      <c r="M2090" s="293"/>
      <c r="N2090" s="293"/>
      <c r="O2090" s="293"/>
      <c r="P2090" s="293"/>
      <c r="Q2090" s="293"/>
      <c r="R2090" s="293"/>
      <c r="S2090" s="293"/>
      <c r="T2090" s="293"/>
      <c r="U2090" s="293"/>
      <c r="V2090" s="293"/>
      <c r="W2090" s="293"/>
      <c r="X2090" s="293"/>
      <c r="Y2090" s="293"/>
      <c r="Z2090" s="293"/>
      <c r="AA2090" s="293"/>
      <c r="AB2090" s="293"/>
      <c r="AC2090" s="293"/>
      <c r="AD2090" s="293"/>
      <c r="AE2090" s="293"/>
      <c r="AF2090" s="293"/>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3"/>
      <c r="C2425" s="293"/>
      <c r="D2425" s="293"/>
      <c r="E2425" s="293"/>
      <c r="F2425" s="293"/>
      <c r="G2425" s="293"/>
      <c r="H2425" s="293"/>
      <c r="I2425" s="293"/>
      <c r="J2425" s="293"/>
      <c r="K2425" s="293"/>
      <c r="L2425" s="293"/>
      <c r="M2425" s="293"/>
      <c r="N2425" s="293"/>
      <c r="O2425" s="293"/>
      <c r="P2425" s="293"/>
      <c r="Q2425" s="293"/>
      <c r="R2425" s="293"/>
      <c r="S2425" s="293"/>
      <c r="T2425" s="293"/>
      <c r="U2425" s="293"/>
      <c r="V2425" s="293"/>
      <c r="W2425" s="293"/>
      <c r="X2425" s="293"/>
      <c r="Y2425" s="293"/>
      <c r="Z2425" s="293"/>
      <c r="AA2425" s="293"/>
      <c r="AB2425" s="293"/>
      <c r="AC2425" s="293"/>
      <c r="AD2425" s="293"/>
      <c r="AE2425" s="293"/>
      <c r="AF2425" s="293"/>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3"/>
      <c r="C2745" s="293"/>
      <c r="D2745" s="293"/>
      <c r="E2745" s="293"/>
      <c r="F2745" s="293"/>
      <c r="G2745" s="293"/>
      <c r="H2745" s="293"/>
      <c r="I2745" s="293"/>
      <c r="J2745" s="293"/>
      <c r="K2745" s="293"/>
      <c r="L2745" s="293"/>
      <c r="M2745" s="293"/>
      <c r="N2745" s="293"/>
      <c r="O2745" s="293"/>
      <c r="P2745" s="293"/>
      <c r="Q2745" s="293"/>
      <c r="R2745" s="293"/>
      <c r="S2745" s="293"/>
      <c r="T2745" s="293"/>
      <c r="U2745" s="293"/>
      <c r="V2745" s="293"/>
      <c r="W2745" s="293"/>
      <c r="X2745" s="293"/>
      <c r="Y2745" s="293"/>
      <c r="Z2745" s="293"/>
      <c r="AA2745" s="293"/>
      <c r="AB2745" s="293"/>
      <c r="AC2745" s="293"/>
      <c r="AD2745" s="293"/>
      <c r="AE2745" s="293"/>
      <c r="AF2745" s="293"/>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3"/>
      <c r="C3076" s="293"/>
      <c r="D3076" s="293"/>
      <c r="E3076" s="293"/>
      <c r="F3076" s="293"/>
      <c r="G3076" s="293"/>
      <c r="H3076" s="293"/>
      <c r="I3076" s="293"/>
      <c r="J3076" s="293"/>
      <c r="K3076" s="293"/>
      <c r="L3076" s="293"/>
      <c r="M3076" s="293"/>
      <c r="N3076" s="293"/>
      <c r="O3076" s="293"/>
      <c r="P3076" s="293"/>
      <c r="Q3076" s="293"/>
      <c r="R3076" s="293"/>
      <c r="S3076" s="293"/>
      <c r="T3076" s="293"/>
      <c r="U3076" s="293"/>
      <c r="V3076" s="293"/>
      <c r="W3076" s="293"/>
      <c r="X3076" s="293"/>
      <c r="Y3076" s="293"/>
      <c r="Z3076" s="293"/>
      <c r="AA3076" s="293"/>
      <c r="AB3076" s="293"/>
      <c r="AC3076" s="293"/>
      <c r="AD3076" s="293"/>
      <c r="AE3076" s="293"/>
      <c r="AF3076" s="293"/>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3"/>
      <c r="C3393" s="293"/>
      <c r="D3393" s="293"/>
      <c r="E3393" s="293"/>
      <c r="F3393" s="293"/>
      <c r="G3393" s="293"/>
      <c r="H3393" s="293"/>
      <c r="I3393" s="293"/>
      <c r="J3393" s="293"/>
      <c r="K3393" s="293"/>
      <c r="L3393" s="293"/>
      <c r="M3393" s="293"/>
      <c r="N3393" s="293"/>
      <c r="O3393" s="293"/>
      <c r="P3393" s="293"/>
      <c r="Q3393" s="293"/>
      <c r="R3393" s="293"/>
      <c r="S3393" s="293"/>
      <c r="T3393" s="293"/>
      <c r="U3393" s="293"/>
      <c r="V3393" s="293"/>
      <c r="W3393" s="293"/>
      <c r="X3393" s="293"/>
      <c r="Y3393" s="293"/>
      <c r="Z3393" s="293"/>
      <c r="AA3393" s="293"/>
      <c r="AB3393" s="293"/>
      <c r="AC3393" s="293"/>
      <c r="AD3393" s="293"/>
      <c r="AE3393" s="293"/>
      <c r="AF3393" s="293"/>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3"/>
      <c r="C3502" s="293"/>
      <c r="D3502" s="293"/>
      <c r="E3502" s="293"/>
      <c r="F3502" s="293"/>
      <c r="G3502" s="293"/>
      <c r="H3502" s="293"/>
      <c r="I3502" s="293"/>
      <c r="J3502" s="293"/>
      <c r="K3502" s="293"/>
      <c r="L3502" s="293"/>
      <c r="M3502" s="293"/>
      <c r="N3502" s="293"/>
      <c r="O3502" s="293"/>
      <c r="P3502" s="293"/>
      <c r="Q3502" s="293"/>
      <c r="R3502" s="293"/>
      <c r="S3502" s="293"/>
      <c r="T3502" s="293"/>
      <c r="U3502" s="293"/>
      <c r="V3502" s="293"/>
      <c r="W3502" s="293"/>
      <c r="X3502" s="293"/>
      <c r="Y3502" s="293"/>
      <c r="Z3502" s="293"/>
      <c r="AA3502" s="293"/>
      <c r="AB3502" s="293"/>
      <c r="AC3502" s="293"/>
      <c r="AD3502" s="293"/>
      <c r="AE3502" s="293"/>
      <c r="AF3502" s="293"/>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3"/>
      <c r="C3627" s="293"/>
      <c r="D3627" s="293"/>
      <c r="E3627" s="293"/>
      <c r="F3627" s="293"/>
      <c r="G3627" s="293"/>
      <c r="H3627" s="293"/>
      <c r="I3627" s="293"/>
      <c r="J3627" s="293"/>
      <c r="K3627" s="293"/>
      <c r="L3627" s="293"/>
      <c r="M3627" s="293"/>
      <c r="N3627" s="293"/>
      <c r="O3627" s="293"/>
      <c r="P3627" s="293"/>
      <c r="Q3627" s="293"/>
      <c r="R3627" s="293"/>
      <c r="S3627" s="293"/>
      <c r="T3627" s="293"/>
      <c r="U3627" s="293"/>
      <c r="V3627" s="293"/>
      <c r="W3627" s="293"/>
      <c r="X3627" s="293"/>
      <c r="Y3627" s="293"/>
      <c r="Z3627" s="293"/>
      <c r="AA3627" s="293"/>
      <c r="AB3627" s="293"/>
      <c r="AC3627" s="293"/>
      <c r="AD3627" s="293"/>
      <c r="AE3627" s="293"/>
      <c r="AF3627" s="293"/>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3"/>
      <c r="C3752" s="293"/>
      <c r="D3752" s="293"/>
      <c r="E3752" s="293"/>
      <c r="F3752" s="293"/>
      <c r="G3752" s="293"/>
      <c r="H3752" s="293"/>
      <c r="I3752" s="293"/>
      <c r="J3752" s="293"/>
      <c r="K3752" s="293"/>
      <c r="L3752" s="293"/>
      <c r="M3752" s="293"/>
      <c r="N3752" s="293"/>
      <c r="O3752" s="293"/>
      <c r="P3752" s="293"/>
      <c r="Q3752" s="293"/>
      <c r="R3752" s="293"/>
      <c r="S3752" s="293"/>
      <c r="T3752" s="293"/>
      <c r="U3752" s="293"/>
      <c r="V3752" s="293"/>
      <c r="W3752" s="293"/>
      <c r="X3752" s="293"/>
      <c r="Y3752" s="293"/>
      <c r="Z3752" s="293"/>
      <c r="AA3752" s="293"/>
      <c r="AB3752" s="293"/>
      <c r="AC3752" s="293"/>
      <c r="AD3752" s="293"/>
      <c r="AE3752" s="293"/>
      <c r="AF3752" s="293"/>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3"/>
      <c r="C3877" s="293"/>
      <c r="D3877" s="293"/>
      <c r="E3877" s="293"/>
      <c r="F3877" s="293"/>
      <c r="G3877" s="293"/>
      <c r="H3877" s="293"/>
      <c r="I3877" s="293"/>
      <c r="J3877" s="293"/>
      <c r="K3877" s="293"/>
      <c r="L3877" s="293"/>
      <c r="M3877" s="293"/>
      <c r="N3877" s="293"/>
      <c r="O3877" s="293"/>
      <c r="P3877" s="293"/>
      <c r="Q3877" s="293"/>
      <c r="R3877" s="293"/>
      <c r="S3877" s="293"/>
      <c r="T3877" s="293"/>
      <c r="U3877" s="293"/>
      <c r="V3877" s="293"/>
      <c r="W3877" s="293"/>
      <c r="X3877" s="293"/>
      <c r="Y3877" s="293"/>
      <c r="Z3877" s="293"/>
      <c r="AA3877" s="293"/>
      <c r="AB3877" s="293"/>
      <c r="AC3877" s="293"/>
      <c r="AD3877" s="293"/>
      <c r="AE3877" s="293"/>
      <c r="AF3877" s="293"/>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3"/>
      <c r="C4002" s="293"/>
      <c r="D4002" s="293"/>
      <c r="E4002" s="293"/>
      <c r="F4002" s="293"/>
      <c r="G4002" s="293"/>
      <c r="H4002" s="293"/>
      <c r="I4002" s="293"/>
      <c r="J4002" s="293"/>
      <c r="K4002" s="293"/>
      <c r="L4002" s="293"/>
      <c r="M4002" s="293"/>
      <c r="N4002" s="293"/>
      <c r="O4002" s="293"/>
      <c r="P4002" s="293"/>
      <c r="Q4002" s="293"/>
      <c r="R4002" s="293"/>
      <c r="S4002" s="293"/>
      <c r="T4002" s="293"/>
      <c r="U4002" s="293"/>
      <c r="V4002" s="293"/>
      <c r="W4002" s="293"/>
      <c r="X4002" s="293"/>
      <c r="Y4002" s="293"/>
      <c r="Z4002" s="293"/>
      <c r="AA4002" s="293"/>
      <c r="AB4002" s="293"/>
      <c r="AC4002" s="293"/>
      <c r="AD4002" s="293"/>
      <c r="AE4002" s="293"/>
      <c r="AF4002" s="293"/>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3"/>
      <c r="C4127" s="293"/>
      <c r="D4127" s="293"/>
      <c r="E4127" s="293"/>
      <c r="F4127" s="293"/>
      <c r="G4127" s="293"/>
      <c r="H4127" s="293"/>
      <c r="I4127" s="293"/>
      <c r="J4127" s="293"/>
      <c r="K4127" s="293"/>
      <c r="L4127" s="293"/>
      <c r="M4127" s="293"/>
      <c r="N4127" s="293"/>
      <c r="O4127" s="293"/>
      <c r="P4127" s="293"/>
      <c r="Q4127" s="293"/>
      <c r="R4127" s="293"/>
      <c r="S4127" s="293"/>
      <c r="T4127" s="293"/>
      <c r="U4127" s="293"/>
      <c r="V4127" s="293"/>
      <c r="W4127" s="293"/>
      <c r="X4127" s="293"/>
      <c r="Y4127" s="293"/>
      <c r="Z4127" s="293"/>
      <c r="AA4127" s="293"/>
      <c r="AB4127" s="293"/>
      <c r="AC4127" s="293"/>
      <c r="AD4127" s="293"/>
      <c r="AE4127" s="293"/>
      <c r="AF4127" s="293"/>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3"/>
      <c r="C4252" s="293"/>
      <c r="D4252" s="293"/>
      <c r="E4252" s="293"/>
      <c r="F4252" s="293"/>
      <c r="G4252" s="293"/>
      <c r="H4252" s="293"/>
      <c r="I4252" s="293"/>
      <c r="J4252" s="293"/>
      <c r="K4252" s="293"/>
      <c r="L4252" s="293"/>
      <c r="M4252" s="293"/>
      <c r="N4252" s="293"/>
      <c r="O4252" s="293"/>
      <c r="P4252" s="293"/>
      <c r="Q4252" s="293"/>
      <c r="R4252" s="293"/>
      <c r="S4252" s="293"/>
      <c r="T4252" s="293"/>
      <c r="U4252" s="293"/>
      <c r="V4252" s="293"/>
      <c r="W4252" s="293"/>
      <c r="X4252" s="293"/>
      <c r="Y4252" s="293"/>
      <c r="Z4252" s="293"/>
      <c r="AA4252" s="293"/>
      <c r="AB4252" s="293"/>
      <c r="AC4252" s="293"/>
      <c r="AD4252" s="293"/>
      <c r="AE4252" s="293"/>
      <c r="AF4252" s="293"/>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3"/>
      <c r="C4377" s="293"/>
      <c r="D4377" s="293"/>
      <c r="E4377" s="293"/>
      <c r="F4377" s="293"/>
      <c r="G4377" s="293"/>
      <c r="H4377" s="293"/>
      <c r="I4377" s="293"/>
      <c r="J4377" s="293"/>
      <c r="K4377" s="293"/>
      <c r="L4377" s="293"/>
      <c r="M4377" s="293"/>
      <c r="N4377" s="293"/>
      <c r="O4377" s="293"/>
      <c r="P4377" s="293"/>
      <c r="Q4377" s="293"/>
      <c r="R4377" s="293"/>
      <c r="S4377" s="293"/>
      <c r="T4377" s="293"/>
      <c r="U4377" s="293"/>
      <c r="V4377" s="293"/>
      <c r="W4377" s="293"/>
      <c r="X4377" s="293"/>
      <c r="Y4377" s="293"/>
      <c r="Z4377" s="293"/>
      <c r="AA4377" s="293"/>
      <c r="AB4377" s="293"/>
      <c r="AC4377" s="293"/>
      <c r="AD4377" s="293"/>
      <c r="AE4377" s="293"/>
      <c r="AF4377" s="293"/>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3"/>
      <c r="C4502" s="293"/>
      <c r="D4502" s="293"/>
      <c r="E4502" s="293"/>
      <c r="F4502" s="293"/>
      <c r="G4502" s="293"/>
      <c r="H4502" s="293"/>
      <c r="I4502" s="293"/>
      <c r="J4502" s="293"/>
      <c r="K4502" s="293"/>
      <c r="L4502" s="293"/>
      <c r="M4502" s="293"/>
      <c r="N4502" s="293"/>
      <c r="O4502" s="293"/>
      <c r="P4502" s="293"/>
      <c r="Q4502" s="293"/>
      <c r="R4502" s="293"/>
      <c r="S4502" s="293"/>
      <c r="T4502" s="293"/>
      <c r="U4502" s="293"/>
      <c r="V4502" s="293"/>
      <c r="W4502" s="293"/>
      <c r="X4502" s="293"/>
      <c r="Y4502" s="293"/>
      <c r="Z4502" s="293"/>
      <c r="AA4502" s="293"/>
      <c r="AB4502" s="293"/>
      <c r="AC4502" s="293"/>
      <c r="AD4502" s="293"/>
      <c r="AE4502" s="293"/>
      <c r="AF4502" s="293"/>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815B-8111-4B3A-A54B-14697021093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4831</v>
      </c>
    </row>
    <row r="2" spans="1:7">
      <c r="A2" t="s">
        <v>4832</v>
      </c>
      <c r="B2" t="s">
        <v>4833</v>
      </c>
      <c r="C2" t="s">
        <v>4834</v>
      </c>
      <c r="D2" t="s">
        <v>4835</v>
      </c>
      <c r="E2" t="s">
        <v>4836</v>
      </c>
      <c r="F2" t="s">
        <v>4837</v>
      </c>
      <c r="G2" t="s">
        <v>4838</v>
      </c>
    </row>
    <row r="3" spans="1:7">
      <c r="A3">
        <v>1990</v>
      </c>
      <c r="B3" t="s">
        <v>4839</v>
      </c>
      <c r="C3" s="9">
        <v>4057195988</v>
      </c>
      <c r="D3" s="9">
        <v>11568</v>
      </c>
      <c r="E3" s="9">
        <v>1562</v>
      </c>
      <c r="F3" s="9">
        <v>34820800463</v>
      </c>
      <c r="G3">
        <v>109.9</v>
      </c>
    </row>
    <row r="4" spans="1:7">
      <c r="B4" t="s">
        <v>4840</v>
      </c>
      <c r="C4" s="9">
        <v>599486893</v>
      </c>
      <c r="D4" s="9">
        <v>3155</v>
      </c>
      <c r="E4">
        <v>426</v>
      </c>
      <c r="F4" s="9">
        <v>9497397919</v>
      </c>
      <c r="G4">
        <v>30</v>
      </c>
    </row>
    <row r="5" spans="1:7">
      <c r="B5" t="s">
        <v>4841</v>
      </c>
      <c r="C5" s="9">
        <v>3984482217</v>
      </c>
      <c r="D5" s="9">
        <v>11287</v>
      </c>
      <c r="E5" s="9">
        <v>1524</v>
      </c>
      <c r="F5" s="9">
        <v>33972832399</v>
      </c>
      <c r="G5">
        <v>107.2</v>
      </c>
    </row>
    <row r="6" spans="1:7">
      <c r="B6" t="s">
        <v>4842</v>
      </c>
      <c r="C6" s="9">
        <v>617671849</v>
      </c>
      <c r="D6" s="9">
        <v>3228</v>
      </c>
      <c r="E6">
        <v>436</v>
      </c>
      <c r="F6" s="9">
        <v>9714974766</v>
      </c>
      <c r="G6">
        <v>30.7</v>
      </c>
    </row>
    <row r="7" spans="1:7">
      <c r="A7" t="s">
        <v>4843</v>
      </c>
      <c r="B7" t="s">
        <v>4839</v>
      </c>
      <c r="C7" t="s">
        <v>4844</v>
      </c>
      <c r="D7" s="9">
        <v>12136</v>
      </c>
      <c r="E7" s="9">
        <v>1638</v>
      </c>
      <c r="F7" s="9">
        <v>36528990675</v>
      </c>
      <c r="G7">
        <v>115.2</v>
      </c>
    </row>
    <row r="8" spans="1:7">
      <c r="A8" t="s">
        <v>4845</v>
      </c>
      <c r="B8" t="s">
        <v>4839</v>
      </c>
      <c r="C8" t="s">
        <v>4844</v>
      </c>
      <c r="D8" s="9">
        <v>12492</v>
      </c>
      <c r="E8" s="9">
        <v>1686</v>
      </c>
      <c r="F8" s="9">
        <v>37600624534</v>
      </c>
      <c r="G8">
        <v>118.6</v>
      </c>
    </row>
    <row r="9" spans="1:7">
      <c r="A9" t="s">
        <v>4846</v>
      </c>
      <c r="B9" t="s">
        <v>4839</v>
      </c>
      <c r="C9" t="s">
        <v>4844</v>
      </c>
      <c r="D9" s="9">
        <v>12937</v>
      </c>
      <c r="E9" s="9">
        <v>1747</v>
      </c>
      <c r="F9" s="9">
        <v>38940896854</v>
      </c>
      <c r="G9">
        <v>122.9</v>
      </c>
    </row>
    <row r="10" spans="1:7">
      <c r="A10" t="s">
        <v>4847</v>
      </c>
      <c r="B10" t="s">
        <v>4839</v>
      </c>
      <c r="C10" t="s">
        <v>4844</v>
      </c>
      <c r="D10" s="9">
        <v>12601</v>
      </c>
      <c r="E10" s="9">
        <v>1701</v>
      </c>
      <c r="F10" s="9">
        <v>37930582643</v>
      </c>
      <c r="G10">
        <v>119.7</v>
      </c>
    </row>
    <row r="11" spans="1:7">
      <c r="A11" t="s">
        <v>4848</v>
      </c>
      <c r="B11" t="s">
        <v>4839</v>
      </c>
      <c r="C11" t="s">
        <v>4844</v>
      </c>
      <c r="D11" s="9">
        <v>13726</v>
      </c>
      <c r="E11" s="9">
        <v>1853</v>
      </c>
      <c r="F11" s="9">
        <v>41314843250</v>
      </c>
      <c r="G11">
        <v>130.30000000000001</v>
      </c>
    </row>
    <row r="12" spans="1:7">
      <c r="A12">
        <v>2000</v>
      </c>
      <c r="B12" t="s">
        <v>4839</v>
      </c>
      <c r="C12" s="9">
        <v>5994679944</v>
      </c>
      <c r="D12" s="9">
        <v>14672</v>
      </c>
      <c r="E12" s="9">
        <v>1981</v>
      </c>
      <c r="F12" s="9">
        <v>44161841348</v>
      </c>
      <c r="G12">
        <v>139.30000000000001</v>
      </c>
    </row>
    <row r="13" spans="1:7">
      <c r="B13" t="s">
        <v>4840</v>
      </c>
      <c r="C13" s="9">
        <v>1309565963</v>
      </c>
      <c r="D13" s="9">
        <v>6040</v>
      </c>
      <c r="E13">
        <v>815</v>
      </c>
      <c r="F13" s="9">
        <v>18181535058</v>
      </c>
      <c r="G13">
        <v>57.4</v>
      </c>
    </row>
    <row r="14" spans="1:7">
      <c r="B14" t="s">
        <v>4841</v>
      </c>
      <c r="C14" s="9">
        <v>5891481028</v>
      </c>
      <c r="D14" s="9">
        <v>14349</v>
      </c>
      <c r="E14" s="9">
        <v>1937</v>
      </c>
      <c r="F14" s="9">
        <v>43191000202</v>
      </c>
      <c r="G14">
        <v>136.30000000000001</v>
      </c>
    </row>
    <row r="15" spans="1:7">
      <c r="B15" t="s">
        <v>4842</v>
      </c>
      <c r="C15" s="9">
        <v>1331784289</v>
      </c>
      <c r="D15" s="9">
        <v>6117</v>
      </c>
      <c r="E15">
        <v>826</v>
      </c>
      <c r="F15" s="9">
        <v>18412169613</v>
      </c>
      <c r="G15">
        <v>58.1</v>
      </c>
    </row>
    <row r="16" spans="1:7">
      <c r="A16" t="s">
        <v>4849</v>
      </c>
      <c r="B16" t="s">
        <v>4839</v>
      </c>
      <c r="C16" s="9">
        <v>5360977447</v>
      </c>
      <c r="D16" s="9">
        <v>13121</v>
      </c>
      <c r="E16" s="9">
        <v>1771</v>
      </c>
      <c r="F16" s="9">
        <v>39493457147</v>
      </c>
      <c r="G16">
        <v>124.6</v>
      </c>
    </row>
    <row r="17" spans="1:7">
      <c r="B17" t="s">
        <v>4840</v>
      </c>
      <c r="C17" s="9">
        <v>1171130679</v>
      </c>
      <c r="D17" s="9">
        <v>5402</v>
      </c>
      <c r="E17">
        <v>729</v>
      </c>
      <c r="F17" s="9">
        <v>16259550186</v>
      </c>
      <c r="G17">
        <v>51.3</v>
      </c>
    </row>
    <row r="18" spans="1:7">
      <c r="B18" t="s">
        <v>4841</v>
      </c>
      <c r="C18" s="9">
        <v>5268687772</v>
      </c>
      <c r="D18" s="9">
        <v>12832</v>
      </c>
      <c r="E18" s="9">
        <v>1732</v>
      </c>
      <c r="F18" s="9">
        <v>38625244409</v>
      </c>
      <c r="G18">
        <v>121.9</v>
      </c>
    </row>
    <row r="19" spans="1:7">
      <c r="B19" t="s">
        <v>4842</v>
      </c>
      <c r="C19" s="9">
        <v>1191000288</v>
      </c>
      <c r="D19" s="9">
        <v>5470</v>
      </c>
      <c r="E19">
        <v>739</v>
      </c>
      <c r="F19" s="9">
        <v>16465804174</v>
      </c>
      <c r="G19">
        <v>51.9</v>
      </c>
    </row>
    <row r="20" spans="1:7">
      <c r="A20" t="s">
        <v>4850</v>
      </c>
      <c r="B20" t="s">
        <v>4839</v>
      </c>
      <c r="C20" s="9">
        <v>5219345344</v>
      </c>
      <c r="D20" s="9">
        <v>12774</v>
      </c>
      <c r="E20" s="9">
        <v>1725</v>
      </c>
      <c r="F20" s="9">
        <v>38450076259</v>
      </c>
      <c r="G20">
        <v>121.3</v>
      </c>
    </row>
    <row r="21" spans="1:7">
      <c r="B21" t="s">
        <v>4840</v>
      </c>
      <c r="C21" s="9">
        <v>1140190481</v>
      </c>
      <c r="D21" s="9">
        <v>5259</v>
      </c>
      <c r="E21">
        <v>710</v>
      </c>
      <c r="F21" s="9">
        <v>15829987794</v>
      </c>
      <c r="G21">
        <v>49.9</v>
      </c>
    </row>
    <row r="22" spans="1:7">
      <c r="B22" t="s">
        <v>4841</v>
      </c>
      <c r="C22" s="9">
        <v>5129493877</v>
      </c>
      <c r="D22" s="9">
        <v>12493</v>
      </c>
      <c r="E22" s="9">
        <v>1687</v>
      </c>
      <c r="F22" s="9">
        <v>37604800905</v>
      </c>
      <c r="G22">
        <v>118.6</v>
      </c>
    </row>
    <row r="23" spans="1:7">
      <c r="B23" t="s">
        <v>4842</v>
      </c>
      <c r="C23" s="9">
        <v>1159535153</v>
      </c>
      <c r="D23" s="9">
        <v>5326</v>
      </c>
      <c r="E23">
        <v>719</v>
      </c>
      <c r="F23" s="9">
        <v>16030792741</v>
      </c>
      <c r="G23">
        <v>50.6</v>
      </c>
    </row>
    <row r="24" spans="1:7">
      <c r="A24" t="s">
        <v>4851</v>
      </c>
      <c r="B24" t="s">
        <v>4839</v>
      </c>
      <c r="C24" s="9">
        <v>5288138079</v>
      </c>
      <c r="D24" s="9">
        <v>12942</v>
      </c>
      <c r="E24" s="9">
        <v>1747</v>
      </c>
      <c r="F24" s="9">
        <v>38956861262</v>
      </c>
      <c r="G24">
        <v>122.9</v>
      </c>
    </row>
    <row r="25" spans="1:7">
      <c r="B25" t="s">
        <v>4840</v>
      </c>
      <c r="C25" s="9">
        <v>1155218577</v>
      </c>
      <c r="D25" s="9">
        <v>5328</v>
      </c>
      <c r="E25">
        <v>719</v>
      </c>
      <c r="F25" s="9">
        <v>16038632384</v>
      </c>
      <c r="G25">
        <v>50.6</v>
      </c>
    </row>
    <row r="26" spans="1:7">
      <c r="B26" t="s">
        <v>4841</v>
      </c>
      <c r="C26" s="9">
        <v>5197102340</v>
      </c>
      <c r="D26" s="9">
        <v>12658</v>
      </c>
      <c r="E26" s="9">
        <v>1709</v>
      </c>
      <c r="F26" s="9">
        <v>38100444893</v>
      </c>
      <c r="G26">
        <v>120.2</v>
      </c>
    </row>
    <row r="27" spans="1:7">
      <c r="B27" t="s">
        <v>4842</v>
      </c>
      <c r="C27" s="9">
        <v>1174818219</v>
      </c>
      <c r="D27" s="9">
        <v>5396</v>
      </c>
      <c r="E27">
        <v>728</v>
      </c>
      <c r="F27" s="9">
        <v>16242084008</v>
      </c>
      <c r="G27">
        <v>51.2</v>
      </c>
    </row>
    <row r="28" spans="1:7">
      <c r="A28" t="s">
        <v>4852</v>
      </c>
      <c r="B28" t="s">
        <v>4839</v>
      </c>
      <c r="C28" s="9">
        <v>5371498689</v>
      </c>
      <c r="D28" s="9">
        <v>13146</v>
      </c>
      <c r="E28" s="9">
        <v>1775</v>
      </c>
      <c r="F28" s="9">
        <v>39570965441</v>
      </c>
      <c r="G28">
        <v>124.8</v>
      </c>
    </row>
    <row r="29" spans="1:7">
      <c r="B29" t="s">
        <v>4840</v>
      </c>
      <c r="C29" s="9">
        <v>1173429093</v>
      </c>
      <c r="D29" s="9">
        <v>5412</v>
      </c>
      <c r="E29">
        <v>731</v>
      </c>
      <c r="F29" s="9">
        <v>16291460535</v>
      </c>
      <c r="G29">
        <v>51.4</v>
      </c>
    </row>
    <row r="30" spans="1:7">
      <c r="B30" t="s">
        <v>4841</v>
      </c>
      <c r="C30" s="9">
        <v>5279027890</v>
      </c>
      <c r="D30" s="9">
        <v>12857</v>
      </c>
      <c r="E30" s="9">
        <v>1736</v>
      </c>
      <c r="F30" s="9">
        <v>38701048784</v>
      </c>
      <c r="G30">
        <v>122.1</v>
      </c>
    </row>
    <row r="31" spans="1:7">
      <c r="B31" t="s">
        <v>4842</v>
      </c>
      <c r="C31" s="9">
        <v>1193337698</v>
      </c>
      <c r="D31" s="9">
        <v>5481</v>
      </c>
      <c r="E31">
        <v>740</v>
      </c>
      <c r="F31" s="9">
        <v>16498119309</v>
      </c>
      <c r="G31">
        <v>52.1</v>
      </c>
    </row>
    <row r="32" spans="1:7">
      <c r="A32">
        <v>2005</v>
      </c>
      <c r="B32" t="s">
        <v>4839</v>
      </c>
      <c r="C32" s="9">
        <v>6476007697</v>
      </c>
      <c r="D32" s="9">
        <v>13976</v>
      </c>
      <c r="E32" s="9">
        <v>1887</v>
      </c>
      <c r="F32" s="9">
        <v>42067562737</v>
      </c>
      <c r="G32">
        <v>132.69999999999999</v>
      </c>
    </row>
    <row r="33" spans="1:7">
      <c r="B33" t="s">
        <v>4840</v>
      </c>
      <c r="C33" s="9">
        <v>1373543928</v>
      </c>
      <c r="D33" s="9">
        <v>5858</v>
      </c>
      <c r="E33">
        <v>791</v>
      </c>
      <c r="F33" s="9">
        <v>17633508081</v>
      </c>
      <c r="G33">
        <v>55.6</v>
      </c>
    </row>
    <row r="34" spans="1:7">
      <c r="B34" t="s">
        <v>4841</v>
      </c>
      <c r="C34" s="9">
        <v>6370544998</v>
      </c>
      <c r="D34" s="9">
        <v>13654</v>
      </c>
      <c r="E34" s="9">
        <v>1843</v>
      </c>
      <c r="F34" s="9">
        <v>41098359387</v>
      </c>
      <c r="G34">
        <v>129.69999999999999</v>
      </c>
    </row>
    <row r="35" spans="1:7">
      <c r="B35" t="s">
        <v>4842</v>
      </c>
      <c r="C35" s="9">
        <v>1397051323</v>
      </c>
      <c r="D35" s="9">
        <v>5936</v>
      </c>
      <c r="E35">
        <v>801</v>
      </c>
      <c r="F35" s="9">
        <v>17868972965</v>
      </c>
      <c r="G35">
        <v>56.4</v>
      </c>
    </row>
    <row r="36" spans="1:7">
      <c r="A36" t="s">
        <v>4853</v>
      </c>
      <c r="B36" t="s">
        <v>4839</v>
      </c>
      <c r="C36" s="9">
        <v>5894323482</v>
      </c>
      <c r="D36" s="9">
        <v>14426</v>
      </c>
      <c r="E36" s="9">
        <v>1948</v>
      </c>
      <c r="F36" s="9">
        <v>43422531461</v>
      </c>
      <c r="G36">
        <v>137</v>
      </c>
    </row>
    <row r="37" spans="1:7">
      <c r="B37" t="s">
        <v>4840</v>
      </c>
      <c r="C37" s="9">
        <v>1287642623</v>
      </c>
      <c r="D37" s="9">
        <v>5939</v>
      </c>
      <c r="E37">
        <v>802</v>
      </c>
      <c r="F37" s="9">
        <v>17877159421</v>
      </c>
      <c r="G37">
        <v>56.4</v>
      </c>
    </row>
    <row r="38" spans="1:7">
      <c r="B38" t="s">
        <v>4841</v>
      </c>
      <c r="C38" s="9">
        <v>5792852211</v>
      </c>
      <c r="D38" s="9">
        <v>14109</v>
      </c>
      <c r="E38" s="9">
        <v>1905</v>
      </c>
      <c r="F38" s="9">
        <v>42467943091</v>
      </c>
      <c r="G38">
        <v>134</v>
      </c>
    </row>
    <row r="39" spans="1:7">
      <c r="B39" t="s">
        <v>4842</v>
      </c>
      <c r="C39" s="9">
        <v>1309488994</v>
      </c>
      <c r="D39" s="9">
        <v>6015</v>
      </c>
      <c r="E39">
        <v>812</v>
      </c>
      <c r="F39" s="9">
        <v>18103932940</v>
      </c>
      <c r="G39">
        <v>57.1</v>
      </c>
    </row>
    <row r="40" spans="1:7">
      <c r="A40" t="s">
        <v>4854</v>
      </c>
      <c r="B40" t="s">
        <v>4839</v>
      </c>
      <c r="C40" s="9">
        <v>6009247818</v>
      </c>
      <c r="D40" s="9">
        <v>14707</v>
      </c>
      <c r="E40" s="9">
        <v>1986</v>
      </c>
      <c r="F40" s="9">
        <v>44269160525</v>
      </c>
      <c r="G40">
        <v>139.69999999999999</v>
      </c>
    </row>
    <row r="41" spans="1:7">
      <c r="B41" t="s">
        <v>4840</v>
      </c>
      <c r="C41" s="9">
        <v>1312748383</v>
      </c>
      <c r="D41" s="9">
        <v>6055</v>
      </c>
      <c r="E41">
        <v>817</v>
      </c>
      <c r="F41" s="9">
        <v>18225718619</v>
      </c>
      <c r="G41">
        <v>57.5</v>
      </c>
    </row>
    <row r="42" spans="1:7">
      <c r="B42" t="s">
        <v>4841</v>
      </c>
      <c r="C42" s="9">
        <v>5905798114</v>
      </c>
      <c r="D42" s="9">
        <v>14384</v>
      </c>
      <c r="E42" s="9">
        <v>1942</v>
      </c>
      <c r="F42" s="9">
        <v>43295960105</v>
      </c>
      <c r="G42">
        <v>136.6</v>
      </c>
    </row>
    <row r="43" spans="1:7">
      <c r="B43" t="s">
        <v>4842</v>
      </c>
      <c r="C43" s="9">
        <v>1335020703</v>
      </c>
      <c r="D43" s="9">
        <v>6132</v>
      </c>
      <c r="E43">
        <v>828</v>
      </c>
      <c r="F43" s="9">
        <v>18456913646</v>
      </c>
      <c r="G43">
        <v>58.2</v>
      </c>
    </row>
    <row r="44" spans="1:7">
      <c r="A44" t="s">
        <v>4855</v>
      </c>
      <c r="B44" t="s">
        <v>4839</v>
      </c>
      <c r="C44" s="9">
        <v>5475092456</v>
      </c>
      <c r="D44" s="9">
        <v>13400</v>
      </c>
      <c r="E44" s="9">
        <v>1809</v>
      </c>
      <c r="F44" s="9">
        <v>40334124033</v>
      </c>
      <c r="G44">
        <v>127.3</v>
      </c>
    </row>
    <row r="45" spans="1:7">
      <c r="B45" t="s">
        <v>4840</v>
      </c>
      <c r="C45" s="9">
        <v>1196059638</v>
      </c>
      <c r="D45" s="9">
        <v>5517</v>
      </c>
      <c r="E45">
        <v>745</v>
      </c>
      <c r="F45" s="9">
        <v>16605654741</v>
      </c>
      <c r="G45">
        <v>52.4</v>
      </c>
    </row>
    <row r="46" spans="1:7">
      <c r="B46" t="s">
        <v>4841</v>
      </c>
      <c r="C46" s="9">
        <v>5380838282</v>
      </c>
      <c r="D46" s="9">
        <v>13105</v>
      </c>
      <c r="E46" s="9">
        <v>1769</v>
      </c>
      <c r="F46" s="9">
        <v>39447430318</v>
      </c>
      <c r="G46">
        <v>124.5</v>
      </c>
    </row>
    <row r="47" spans="1:7">
      <c r="B47" t="s">
        <v>4842</v>
      </c>
      <c r="C47" s="9">
        <v>1216352196</v>
      </c>
      <c r="D47" s="9">
        <v>5587</v>
      </c>
      <c r="E47">
        <v>754</v>
      </c>
      <c r="F47" s="9">
        <v>16816299099</v>
      </c>
      <c r="G47">
        <v>53.1</v>
      </c>
    </row>
    <row r="48" spans="1:7">
      <c r="A48" t="s">
        <v>4856</v>
      </c>
      <c r="B48" t="s">
        <v>4839</v>
      </c>
      <c r="C48" s="9">
        <v>5143268671</v>
      </c>
      <c r="D48" s="9">
        <v>12588</v>
      </c>
      <c r="E48" s="9">
        <v>1699</v>
      </c>
      <c r="F48" s="9">
        <v>37889631668</v>
      </c>
      <c r="G48">
        <v>119.5</v>
      </c>
    </row>
    <row r="49" spans="1:7">
      <c r="B49" t="s">
        <v>4840</v>
      </c>
      <c r="C49" s="9">
        <v>1123571175</v>
      </c>
      <c r="D49" s="9">
        <v>5182</v>
      </c>
      <c r="E49">
        <v>700</v>
      </c>
      <c r="F49" s="9">
        <v>15599251424</v>
      </c>
      <c r="G49">
        <v>49.2</v>
      </c>
    </row>
    <row r="50" spans="1:7">
      <c r="B50" t="s">
        <v>4841</v>
      </c>
      <c r="C50" s="9">
        <v>5054726871</v>
      </c>
      <c r="D50" s="9">
        <v>12311</v>
      </c>
      <c r="E50" s="9">
        <v>1662</v>
      </c>
      <c r="F50" s="9">
        <v>37056676966</v>
      </c>
      <c r="G50">
        <v>116.9</v>
      </c>
    </row>
    <row r="51" spans="1:7">
      <c r="B51" t="s">
        <v>4842</v>
      </c>
      <c r="C51" s="9">
        <v>1142633881</v>
      </c>
      <c r="D51" s="9">
        <v>5248</v>
      </c>
      <c r="E51">
        <v>709</v>
      </c>
      <c r="F51" s="9">
        <v>15797129457</v>
      </c>
      <c r="G51">
        <v>49.8</v>
      </c>
    </row>
    <row r="52" spans="1:7">
      <c r="A52">
        <v>2010</v>
      </c>
      <c r="B52" t="s">
        <v>4839</v>
      </c>
      <c r="C52" s="9">
        <v>5652264576</v>
      </c>
      <c r="D52" s="9">
        <v>11931</v>
      </c>
      <c r="E52" s="9">
        <v>1611</v>
      </c>
      <c r="F52" s="9">
        <v>35912723830</v>
      </c>
      <c r="G52">
        <v>113.3</v>
      </c>
    </row>
    <row r="53" spans="1:7">
      <c r="B53" t="s">
        <v>4840</v>
      </c>
      <c r="C53" s="9">
        <v>1474839733</v>
      </c>
      <c r="D53" s="9">
        <v>6044</v>
      </c>
      <c r="E53">
        <v>816</v>
      </c>
      <c r="F53" s="9">
        <v>18192953916</v>
      </c>
      <c r="G53">
        <v>57.4</v>
      </c>
    </row>
    <row r="54" spans="1:7">
      <c r="B54" t="s">
        <v>4841</v>
      </c>
      <c r="C54" s="9">
        <v>5554043585</v>
      </c>
      <c r="D54" s="9">
        <v>11667</v>
      </c>
      <c r="E54" s="9">
        <v>1575</v>
      </c>
      <c r="F54" s="9">
        <v>35116863245</v>
      </c>
      <c r="G54">
        <v>110.8</v>
      </c>
    </row>
    <row r="55" spans="1:7">
      <c r="B55" t="s">
        <v>4842</v>
      </c>
      <c r="C55" s="9">
        <v>1497606695</v>
      </c>
      <c r="D55" s="9">
        <v>6113</v>
      </c>
      <c r="E55">
        <v>825</v>
      </c>
      <c r="F55" s="9">
        <v>18398996825</v>
      </c>
      <c r="G55">
        <v>58</v>
      </c>
    </row>
    <row r="56" spans="1:7">
      <c r="A56">
        <v>2011</v>
      </c>
      <c r="B56" t="s">
        <v>4839</v>
      </c>
      <c r="C56" s="9">
        <v>5767378664</v>
      </c>
      <c r="D56" s="9">
        <v>12067</v>
      </c>
      <c r="E56" s="9">
        <v>1629</v>
      </c>
      <c r="F56" s="9">
        <v>36321170730</v>
      </c>
      <c r="G56">
        <v>114.6</v>
      </c>
    </row>
    <row r="57" spans="1:7">
      <c r="B57" t="s">
        <v>4840</v>
      </c>
      <c r="C57" s="9">
        <v>1576982962</v>
      </c>
      <c r="D57" s="9">
        <v>6496</v>
      </c>
      <c r="E57">
        <v>877</v>
      </c>
      <c r="F57" s="9">
        <v>19551631939</v>
      </c>
      <c r="G57">
        <v>61.7</v>
      </c>
    </row>
    <row r="58" spans="1:7">
      <c r="B58" t="s">
        <v>4841</v>
      </c>
      <c r="C58" s="9">
        <v>5673689481</v>
      </c>
      <c r="D58" s="9">
        <v>11823</v>
      </c>
      <c r="E58" s="9">
        <v>1596</v>
      </c>
      <c r="F58" s="9">
        <v>35588754827</v>
      </c>
      <c r="G58">
        <v>112.3</v>
      </c>
    </row>
    <row r="59" spans="1:7">
      <c r="B59" t="s">
        <v>4842</v>
      </c>
      <c r="C59" s="9">
        <v>1596797398</v>
      </c>
      <c r="D59" s="9">
        <v>6554</v>
      </c>
      <c r="E59">
        <v>885</v>
      </c>
      <c r="F59" s="9">
        <v>19727043614</v>
      </c>
      <c r="G59">
        <v>62.2</v>
      </c>
    </row>
    <row r="60" spans="1:7">
      <c r="A60">
        <v>2012</v>
      </c>
      <c r="B60" t="s">
        <v>4839</v>
      </c>
      <c r="C60" s="9">
        <v>5735605432</v>
      </c>
      <c r="D60" s="9">
        <v>11932</v>
      </c>
      <c r="E60" s="9">
        <v>1611</v>
      </c>
      <c r="F60" s="9">
        <v>35915745616</v>
      </c>
      <c r="G60">
        <v>113.3</v>
      </c>
    </row>
    <row r="61" spans="1:7">
      <c r="B61" t="s">
        <v>4840</v>
      </c>
      <c r="C61" s="9">
        <v>1619012587</v>
      </c>
      <c r="D61" s="9">
        <v>6464</v>
      </c>
      <c r="E61">
        <v>873</v>
      </c>
      <c r="F61" s="9">
        <v>19457378739</v>
      </c>
      <c r="G61">
        <v>61.4</v>
      </c>
    </row>
    <row r="62" spans="1:7">
      <c r="B62" t="s">
        <v>4841</v>
      </c>
      <c r="C62" s="9">
        <v>5636910529</v>
      </c>
      <c r="D62" s="9">
        <v>11672</v>
      </c>
      <c r="E62" s="9">
        <v>1576</v>
      </c>
      <c r="F62" s="9">
        <v>35132961140</v>
      </c>
      <c r="G62">
        <v>110.8</v>
      </c>
    </row>
    <row r="63" spans="1:7">
      <c r="B63" t="s">
        <v>4842</v>
      </c>
      <c r="C63" s="9">
        <v>1637917110</v>
      </c>
      <c r="D63" s="9">
        <v>6507</v>
      </c>
      <c r="E63">
        <v>879</v>
      </c>
      <c r="F63" s="9">
        <v>19587140347</v>
      </c>
      <c r="G63">
        <v>61.8</v>
      </c>
    </row>
    <row r="64" spans="1:7">
      <c r="A64">
        <v>2013</v>
      </c>
      <c r="B64" t="s">
        <v>4839</v>
      </c>
      <c r="C64" s="9">
        <v>5808034123</v>
      </c>
      <c r="D64" s="9">
        <v>12031</v>
      </c>
      <c r="E64" s="9">
        <v>1624</v>
      </c>
      <c r="F64" s="9">
        <v>36212974471</v>
      </c>
      <c r="G64">
        <v>114.3</v>
      </c>
    </row>
    <row r="65" spans="1:7">
      <c r="B65" t="s">
        <v>4840</v>
      </c>
      <c r="C65" s="9">
        <v>1641151400</v>
      </c>
      <c r="D65" s="9">
        <v>6611</v>
      </c>
      <c r="E65">
        <v>892</v>
      </c>
      <c r="F65" s="9">
        <v>19898871458</v>
      </c>
      <c r="G65">
        <v>62.8</v>
      </c>
    </row>
    <row r="66" spans="1:7">
      <c r="B66" t="s">
        <v>4841</v>
      </c>
      <c r="C66" s="9">
        <v>5708807315</v>
      </c>
      <c r="D66" s="9">
        <v>11780</v>
      </c>
      <c r="E66" s="9">
        <v>1590</v>
      </c>
      <c r="F66" s="9">
        <v>35458690595</v>
      </c>
      <c r="G66">
        <v>111.9</v>
      </c>
    </row>
    <row r="67" spans="1:7">
      <c r="B67" t="s">
        <v>4842</v>
      </c>
      <c r="C67" s="9">
        <v>1661167498</v>
      </c>
      <c r="D67" s="9">
        <v>6657</v>
      </c>
      <c r="E67">
        <v>899</v>
      </c>
      <c r="F67" s="9">
        <v>20036865038</v>
      </c>
      <c r="G67">
        <v>63.2</v>
      </c>
    </row>
    <row r="68" spans="1:7">
      <c r="A68">
        <v>2014</v>
      </c>
      <c r="B68" t="s">
        <v>4839</v>
      </c>
      <c r="C68" s="9">
        <v>5825999388</v>
      </c>
      <c r="D68" s="9">
        <v>12131</v>
      </c>
      <c r="E68" s="9">
        <v>1638</v>
      </c>
      <c r="F68" s="9">
        <v>36514970659</v>
      </c>
      <c r="G68">
        <v>115.2</v>
      </c>
    </row>
    <row r="69" spans="1:7">
      <c r="B69" t="s">
        <v>4840</v>
      </c>
      <c r="C69" s="9">
        <v>1724559209</v>
      </c>
      <c r="D69" s="9">
        <v>6980</v>
      </c>
      <c r="E69">
        <v>942</v>
      </c>
      <c r="F69" s="9">
        <v>21008818741</v>
      </c>
      <c r="G69">
        <v>66.3</v>
      </c>
    </row>
    <row r="70" spans="1:7">
      <c r="B70" t="s">
        <v>4841</v>
      </c>
      <c r="C70" s="9">
        <v>5725819482</v>
      </c>
      <c r="D70" s="9">
        <v>11882</v>
      </c>
      <c r="E70" s="9">
        <v>1604</v>
      </c>
      <c r="F70" s="9">
        <v>35764791774</v>
      </c>
      <c r="G70">
        <v>112.8</v>
      </c>
    </row>
    <row r="71" spans="1:7">
      <c r="B71" t="s">
        <v>4842</v>
      </c>
      <c r="C71" s="9">
        <v>1745315059</v>
      </c>
      <c r="D71" s="9">
        <v>7027</v>
      </c>
      <c r="E71">
        <v>949</v>
      </c>
      <c r="F71" s="9">
        <v>21152418387</v>
      </c>
      <c r="G71">
        <v>66.7</v>
      </c>
    </row>
    <row r="72" spans="1:7">
      <c r="A72">
        <v>2015</v>
      </c>
      <c r="B72" t="s">
        <v>4839</v>
      </c>
      <c r="C72" s="9">
        <v>5900440363</v>
      </c>
      <c r="D72" s="9">
        <v>12534</v>
      </c>
      <c r="E72" s="9">
        <v>1692</v>
      </c>
      <c r="F72" s="9">
        <v>37727860796</v>
      </c>
      <c r="G72">
        <v>119</v>
      </c>
    </row>
    <row r="73" spans="1:7">
      <c r="B73" t="s">
        <v>4840</v>
      </c>
      <c r="C73" s="9">
        <v>1757724661</v>
      </c>
      <c r="D73" s="9">
        <v>7227</v>
      </c>
      <c r="E73">
        <v>976</v>
      </c>
      <c r="F73" s="9">
        <v>21752301359</v>
      </c>
      <c r="G73">
        <v>68.599999999999994</v>
      </c>
    </row>
    <row r="74" spans="1:7">
      <c r="B74" t="s">
        <v>4841</v>
      </c>
      <c r="C74" s="9">
        <v>5801594806</v>
      </c>
      <c r="D74" s="9">
        <v>12291</v>
      </c>
      <c r="E74" s="9">
        <v>1659</v>
      </c>
      <c r="F74" s="9">
        <v>36997658406</v>
      </c>
      <c r="G74">
        <v>116.7</v>
      </c>
    </row>
    <row r="75" spans="1:7">
      <c r="B75" t="s">
        <v>4842</v>
      </c>
      <c r="C75" s="9">
        <v>1793787700</v>
      </c>
      <c r="D75" s="9">
        <v>7310</v>
      </c>
      <c r="E75">
        <v>987</v>
      </c>
      <c r="F75" s="9">
        <v>22002733062</v>
      </c>
      <c r="G75">
        <v>69.400000000000006</v>
      </c>
    </row>
    <row r="76" spans="1:7">
      <c r="A76">
        <v>2016</v>
      </c>
      <c r="B76" t="s">
        <v>4839</v>
      </c>
      <c r="C76" s="9">
        <v>5929429373</v>
      </c>
      <c r="D76" s="9">
        <v>12674</v>
      </c>
      <c r="E76" s="9">
        <v>1711</v>
      </c>
      <c r="F76" s="9">
        <v>38148578811</v>
      </c>
      <c r="G76">
        <v>120.4</v>
      </c>
    </row>
    <row r="77" spans="1:7">
      <c r="B77" t="s">
        <v>4840</v>
      </c>
      <c r="C77" s="9">
        <v>1817739570</v>
      </c>
      <c r="D77" s="9">
        <v>7453</v>
      </c>
      <c r="E77" s="9">
        <v>1006</v>
      </c>
      <c r="F77" s="9">
        <v>22434619940</v>
      </c>
      <c r="G77">
        <v>70.8</v>
      </c>
    </row>
    <row r="78" spans="1:7">
      <c r="B78" t="s">
        <v>4841</v>
      </c>
      <c r="C78" s="9">
        <v>5827141640</v>
      </c>
      <c r="D78" s="9">
        <v>12422</v>
      </c>
      <c r="E78" s="9">
        <v>1677</v>
      </c>
      <c r="F78" s="9">
        <v>37391339601</v>
      </c>
      <c r="G78">
        <v>118</v>
      </c>
    </row>
    <row r="79" spans="1:7">
      <c r="B79" t="s">
        <v>4842</v>
      </c>
      <c r="C79" s="9">
        <v>1839651091</v>
      </c>
      <c r="D79" s="9">
        <v>7504</v>
      </c>
      <c r="E79" s="9">
        <v>1013</v>
      </c>
      <c r="F79" s="9">
        <v>22588366704</v>
      </c>
      <c r="G79">
        <v>71.3</v>
      </c>
    </row>
    <row r="80" spans="1:7">
      <c r="A80">
        <v>2017</v>
      </c>
      <c r="B80" t="s">
        <v>4839</v>
      </c>
      <c r="C80" s="9">
        <v>6264650997</v>
      </c>
      <c r="D80" s="9">
        <v>13475</v>
      </c>
      <c r="E80" s="9">
        <v>1819</v>
      </c>
      <c r="F80" s="9">
        <v>40560206261</v>
      </c>
      <c r="G80">
        <v>128</v>
      </c>
    </row>
    <row r="81" spans="1:7">
      <c r="B81" t="s">
        <v>4840</v>
      </c>
      <c r="C81" s="9">
        <v>1944104275</v>
      </c>
      <c r="D81" s="9">
        <v>7841</v>
      </c>
      <c r="E81" s="9">
        <v>1059</v>
      </c>
      <c r="F81" s="9">
        <v>23602935694</v>
      </c>
      <c r="G81">
        <v>74.5</v>
      </c>
    </row>
    <row r="82" spans="1:7">
      <c r="B82" t="s">
        <v>4841</v>
      </c>
      <c r="C82" s="9">
        <v>6214083068</v>
      </c>
      <c r="D82" s="9">
        <v>13358</v>
      </c>
      <c r="E82" s="9">
        <v>1803</v>
      </c>
      <c r="F82" s="9">
        <v>40207759885</v>
      </c>
      <c r="G82">
        <v>126.9</v>
      </c>
    </row>
    <row r="83" spans="1:7">
      <c r="B83" t="s">
        <v>4842</v>
      </c>
      <c r="C83" s="9">
        <v>1912096739</v>
      </c>
      <c r="D83" s="9">
        <v>7755</v>
      </c>
      <c r="E83" s="9">
        <v>1047</v>
      </c>
      <c r="F83" s="9">
        <v>23343627689</v>
      </c>
      <c r="G83">
        <v>73.599999999999994</v>
      </c>
    </row>
    <row r="84" spans="1:7">
      <c r="A84">
        <v>2018</v>
      </c>
      <c r="B84" t="s">
        <v>4839</v>
      </c>
      <c r="C84" s="9">
        <v>6408870104</v>
      </c>
      <c r="D84" s="9">
        <v>13650</v>
      </c>
      <c r="E84" s="9">
        <v>1843</v>
      </c>
      <c r="F84" s="9">
        <v>41085494597</v>
      </c>
      <c r="G84">
        <v>129.6</v>
      </c>
    </row>
    <row r="85" spans="1:7">
      <c r="B85" t="s">
        <v>4840</v>
      </c>
      <c r="C85" s="9">
        <v>2037055865</v>
      </c>
      <c r="D85" s="9">
        <v>8402</v>
      </c>
      <c r="E85" s="9">
        <v>1134</v>
      </c>
      <c r="F85" s="9">
        <v>25291329878</v>
      </c>
      <c r="G85">
        <v>79.8</v>
      </c>
    </row>
    <row r="86" spans="1:7">
      <c r="B86" t="s">
        <v>4841</v>
      </c>
      <c r="C86" s="9">
        <v>6318774158</v>
      </c>
      <c r="D86" s="9">
        <v>13425</v>
      </c>
      <c r="E86" s="9">
        <v>1812</v>
      </c>
      <c r="F86" s="9">
        <v>40410478534</v>
      </c>
      <c r="G86">
        <v>127.5</v>
      </c>
    </row>
    <row r="87" spans="1:7">
      <c r="B87" t="s">
        <v>4842</v>
      </c>
      <c r="C87" s="9">
        <v>2066756708</v>
      </c>
      <c r="D87" s="9">
        <v>8254</v>
      </c>
      <c r="E87" s="9">
        <v>1114</v>
      </c>
      <c r="F87" s="9">
        <v>24843232462</v>
      </c>
      <c r="G87">
        <v>78.400000000000006</v>
      </c>
    </row>
    <row r="88" spans="1:7">
      <c r="B88" t="s">
        <v>4839</v>
      </c>
      <c r="C88" s="9">
        <v>6721417987</v>
      </c>
      <c r="D88" s="9">
        <v>14397</v>
      </c>
      <c r="E88" s="9">
        <v>1944</v>
      </c>
      <c r="F88" s="9">
        <v>43334968184</v>
      </c>
      <c r="G88">
        <v>136.69999999999999</v>
      </c>
    </row>
    <row r="89" spans="1:7">
      <c r="A89">
        <v>2019</v>
      </c>
      <c r="B89" t="s">
        <v>4840</v>
      </c>
      <c r="C89" s="9">
        <v>1980425952</v>
      </c>
      <c r="D89" s="9">
        <v>7908</v>
      </c>
      <c r="E89" s="9">
        <v>1068</v>
      </c>
      <c r="F89" s="9">
        <v>23803403228</v>
      </c>
      <c r="G89">
        <v>75.099999999999994</v>
      </c>
    </row>
    <row r="90" spans="1:7">
      <c r="B90" t="s">
        <v>4841</v>
      </c>
      <c r="C90" s="9">
        <v>6617074577</v>
      </c>
      <c r="D90" s="9">
        <v>14131</v>
      </c>
      <c r="E90" s="9">
        <v>1908</v>
      </c>
      <c r="F90" s="9">
        <v>42535165758</v>
      </c>
      <c r="G90">
        <v>134.19999999999999</v>
      </c>
    </row>
    <row r="91" spans="1:7">
      <c r="B91" t="s">
        <v>4842</v>
      </c>
      <c r="C91" s="9">
        <v>2008158986</v>
      </c>
      <c r="D91" s="9">
        <v>7973</v>
      </c>
      <c r="E91" s="9">
        <v>1076</v>
      </c>
      <c r="F91" s="9">
        <v>23997773004</v>
      </c>
      <c r="G91">
        <v>75.7</v>
      </c>
    </row>
    <row r="92" spans="1:7">
      <c r="A92">
        <v>2020</v>
      </c>
      <c r="B92" t="s">
        <v>4839</v>
      </c>
      <c r="C92" s="9">
        <v>4391123811</v>
      </c>
      <c r="D92" s="9">
        <v>9613</v>
      </c>
      <c r="E92" s="9">
        <v>1298</v>
      </c>
      <c r="F92" s="9">
        <v>28934254672</v>
      </c>
      <c r="G92">
        <v>91.3</v>
      </c>
    </row>
    <row r="93" spans="1:7">
      <c r="B93" t="s">
        <v>4840</v>
      </c>
      <c r="C93" s="9">
        <v>910801671</v>
      </c>
      <c r="D93" s="9">
        <v>3863</v>
      </c>
      <c r="E93">
        <v>521</v>
      </c>
      <c r="F93" s="9">
        <v>11626780467</v>
      </c>
      <c r="G93">
        <v>36.700000000000003</v>
      </c>
    </row>
    <row r="94" spans="1:7">
      <c r="B94" t="s">
        <v>4841</v>
      </c>
      <c r="C94" s="9">
        <v>4297034877</v>
      </c>
      <c r="D94" s="9">
        <v>9358</v>
      </c>
      <c r="E94" s="9">
        <v>1263</v>
      </c>
      <c r="F94" s="9">
        <v>28167145166</v>
      </c>
      <c r="G94">
        <v>88.9</v>
      </c>
    </row>
    <row r="95" spans="1:7">
      <c r="B95" t="s">
        <v>4842</v>
      </c>
      <c r="C95" s="9">
        <v>944600496</v>
      </c>
      <c r="D95" s="9">
        <v>3954</v>
      </c>
      <c r="E95">
        <v>534</v>
      </c>
      <c r="F95" s="9">
        <v>11900792661</v>
      </c>
      <c r="G95">
        <v>37.5</v>
      </c>
    </row>
    <row r="96" spans="1:7">
      <c r="A96">
        <v>2021</v>
      </c>
      <c r="B96" t="s">
        <v>4839</v>
      </c>
      <c r="C96" s="9">
        <v>5930926254</v>
      </c>
      <c r="D96" s="9">
        <v>12527</v>
      </c>
      <c r="E96" s="9">
        <v>1691</v>
      </c>
      <c r="F96" s="9">
        <v>37706548317</v>
      </c>
      <c r="G96">
        <v>119</v>
      </c>
    </row>
    <row r="97" spans="1:7">
      <c r="B97" t="s">
        <v>4840</v>
      </c>
      <c r="C97" s="9">
        <v>1287078625</v>
      </c>
      <c r="D97" s="9">
        <v>5013</v>
      </c>
      <c r="E97">
        <v>677</v>
      </c>
      <c r="F97" s="9">
        <v>15089773728</v>
      </c>
      <c r="G97">
        <v>47.6</v>
      </c>
    </row>
    <row r="98" spans="1:7">
      <c r="B98" t="s">
        <v>4841</v>
      </c>
      <c r="C98" s="9">
        <v>5800480719</v>
      </c>
      <c r="D98" s="9">
        <v>12207</v>
      </c>
      <c r="E98" s="9">
        <v>1648</v>
      </c>
      <c r="F98" s="9">
        <v>36742811013</v>
      </c>
      <c r="G98">
        <v>115.9</v>
      </c>
    </row>
    <row r="99" spans="1:7">
      <c r="B99" t="s">
        <v>4842</v>
      </c>
      <c r="C99" s="9">
        <v>1346199492</v>
      </c>
      <c r="D99" s="9">
        <v>5156</v>
      </c>
      <c r="E99">
        <v>696</v>
      </c>
      <c r="F99" s="9">
        <v>15520560694</v>
      </c>
      <c r="G99">
        <v>49</v>
      </c>
    </row>
    <row r="100" spans="1:7" s="300" customFormat="1">
      <c r="A100" s="300">
        <v>2022</v>
      </c>
      <c r="B100" s="300" t="s">
        <v>4839</v>
      </c>
      <c r="C100" s="301">
        <v>6469480586</v>
      </c>
      <c r="D100" s="301">
        <v>13654</v>
      </c>
      <c r="E100" s="301">
        <v>1843</v>
      </c>
      <c r="F100" s="301">
        <v>41099281239</v>
      </c>
      <c r="G100" s="300">
        <v>129.69999999999999</v>
      </c>
    </row>
    <row r="101" spans="1:7" s="300" customFormat="1">
      <c r="B101" s="300" t="s">
        <v>4840</v>
      </c>
      <c r="C101" s="301">
        <v>1757904798</v>
      </c>
      <c r="D101" s="301">
        <v>6682</v>
      </c>
      <c r="E101" s="300">
        <v>902</v>
      </c>
      <c r="F101" s="301">
        <v>20112901563</v>
      </c>
      <c r="G101" s="300">
        <v>63.5</v>
      </c>
    </row>
    <row r="102" spans="1:7">
      <c r="B102" t="s">
        <v>4841</v>
      </c>
      <c r="C102" s="9">
        <v>6344925589</v>
      </c>
      <c r="D102" s="9">
        <v>13354</v>
      </c>
      <c r="E102" s="9">
        <v>1803</v>
      </c>
      <c r="F102" s="9">
        <v>40195855499</v>
      </c>
      <c r="G102">
        <v>126.8</v>
      </c>
    </row>
    <row r="103" spans="1:7">
      <c r="B103" t="s">
        <v>4857</v>
      </c>
      <c r="C103" s="9">
        <v>1814091613</v>
      </c>
      <c r="D103" s="9">
        <v>6816</v>
      </c>
      <c r="E103">
        <v>920</v>
      </c>
      <c r="F103" s="9">
        <v>20515625892</v>
      </c>
      <c r="G103">
        <v>64.7</v>
      </c>
    </row>
    <row r="104" spans="1:7">
      <c r="A104" t="s">
        <v>4858</v>
      </c>
    </row>
    <row r="105" spans="1:7">
      <c r="E105" s="9"/>
      <c r="F105" s="9"/>
    </row>
    <row r="106" spans="1:7">
      <c r="E106" s="125"/>
      <c r="F106" s="125"/>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28515625" customWidth="1"/>
    <col min="2" max="2" width="88"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9" customWidth="1"/>
    <col min="3" max="4" width="0" hidden="1" customWidth="1"/>
    <col min="5" max="5" width="8.4257812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3" customFormat="1">
      <c r="A68" s="283" t="s">
        <v>195</v>
      </c>
      <c r="B68" s="283" t="s">
        <v>2743</v>
      </c>
      <c r="C68" s="283" t="s">
        <v>2742</v>
      </c>
      <c r="D68" s="283" t="s">
        <v>2264</v>
      </c>
      <c r="F68" s="283">
        <v>51.452095</v>
      </c>
      <c r="G68" s="283">
        <v>52.590789999999998</v>
      </c>
      <c r="H68" s="283">
        <v>53.859558</v>
      </c>
      <c r="I68" s="283">
        <v>55.048133999999997</v>
      </c>
      <c r="J68" s="283">
        <v>56.123325000000001</v>
      </c>
      <c r="K68" s="283">
        <v>57.271408000000001</v>
      </c>
      <c r="L68" s="283">
        <v>58.376846</v>
      </c>
      <c r="M68" s="283">
        <v>59.385468000000003</v>
      </c>
      <c r="N68" s="283">
        <v>60.493416000000003</v>
      </c>
      <c r="O68" s="283">
        <v>61.658783</v>
      </c>
      <c r="P68" s="283">
        <v>62.810963000000001</v>
      </c>
      <c r="Q68" s="283">
        <v>64.039214999999999</v>
      </c>
      <c r="R68" s="283">
        <v>65.291115000000005</v>
      </c>
      <c r="S68" s="283">
        <v>66.600005999999993</v>
      </c>
      <c r="T68" s="283">
        <v>67.978249000000005</v>
      </c>
      <c r="U68" s="283">
        <v>69.367919999999998</v>
      </c>
      <c r="V68" s="283">
        <v>70.769645999999995</v>
      </c>
      <c r="W68" s="283">
        <v>72.166388999999995</v>
      </c>
      <c r="X68" s="283">
        <v>73.644210999999999</v>
      </c>
      <c r="Y68" s="283">
        <v>75.112540999999993</v>
      </c>
      <c r="Z68" s="283">
        <v>76.530411000000001</v>
      </c>
      <c r="AA68" s="283">
        <v>77.9422</v>
      </c>
      <c r="AB68" s="283">
        <v>79.349777000000003</v>
      </c>
      <c r="AC68" s="283">
        <v>80.910233000000005</v>
      </c>
      <c r="AD68" s="283">
        <v>82.547386000000003</v>
      </c>
      <c r="AE68" s="283">
        <v>84.153701999999996</v>
      </c>
      <c r="AF68" s="283">
        <v>85.759247000000002</v>
      </c>
      <c r="AG68" s="284">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3" customFormat="1">
      <c r="A7" s="283" t="s">
        <v>195</v>
      </c>
      <c r="B7" s="283" t="s">
        <v>3429</v>
      </c>
      <c r="C7" s="283" t="s">
        <v>3428</v>
      </c>
      <c r="D7" s="283" t="s">
        <v>2349</v>
      </c>
      <c r="F7" s="283">
        <v>7961.8115230000003</v>
      </c>
      <c r="G7" s="283">
        <v>8114.1367190000001</v>
      </c>
      <c r="H7" s="283">
        <v>8300.2080079999996</v>
      </c>
      <c r="I7" s="283">
        <v>8472.6796880000002</v>
      </c>
      <c r="J7" s="283">
        <v>8615.5263670000004</v>
      </c>
      <c r="K7" s="283">
        <v>8770.4619139999995</v>
      </c>
      <c r="L7" s="283">
        <v>8906.6884769999997</v>
      </c>
      <c r="M7" s="283">
        <v>9018.9091800000006</v>
      </c>
      <c r="N7" s="283">
        <v>9150.0859380000002</v>
      </c>
      <c r="O7" s="283">
        <v>9291.1201170000004</v>
      </c>
      <c r="P7" s="283">
        <v>9427</v>
      </c>
      <c r="Q7" s="283">
        <v>9577.34375</v>
      </c>
      <c r="R7" s="283">
        <v>9730.7988280000009</v>
      </c>
      <c r="S7" s="283">
        <v>9894.3769530000009</v>
      </c>
      <c r="T7" s="283">
        <v>10070.627930000001</v>
      </c>
      <c r="U7" s="283">
        <v>10247.341796999999</v>
      </c>
      <c r="V7" s="283">
        <v>10424.302734000001</v>
      </c>
      <c r="W7" s="283">
        <v>10598.201171999999</v>
      </c>
      <c r="X7" s="283">
        <v>10787.068359000001</v>
      </c>
      <c r="Y7" s="283">
        <v>10971.892578000001</v>
      </c>
      <c r="Z7" s="283">
        <v>11144.199219</v>
      </c>
      <c r="AA7" s="283">
        <v>11313.208984000001</v>
      </c>
      <c r="AB7" s="283">
        <v>11479.341796999999</v>
      </c>
      <c r="AC7" s="283">
        <v>11674.663086</v>
      </c>
      <c r="AD7" s="283">
        <v>11883.263671999999</v>
      </c>
      <c r="AE7" s="283">
        <v>12083.059569999999</v>
      </c>
      <c r="AF7" s="283">
        <v>12280.137694999999</v>
      </c>
      <c r="AG7" s="284">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3" customFormat="1">
      <c r="A76" s="283" t="s">
        <v>195</v>
      </c>
      <c r="B76" s="283" t="s">
        <v>3293</v>
      </c>
      <c r="C76" s="283" t="s">
        <v>3292</v>
      </c>
      <c r="D76" s="283" t="s">
        <v>2349</v>
      </c>
      <c r="F76" s="283">
        <v>6646.0996089999999</v>
      </c>
      <c r="G76" s="283">
        <v>6787.3227539999998</v>
      </c>
      <c r="H76" s="283">
        <v>6959.5649409999996</v>
      </c>
      <c r="I76" s="283">
        <v>7119.3955079999996</v>
      </c>
      <c r="J76" s="283">
        <v>7251.236328</v>
      </c>
      <c r="K76" s="283">
        <v>7393.5234380000002</v>
      </c>
      <c r="L76" s="283">
        <v>7517.5341799999997</v>
      </c>
      <c r="M76" s="283">
        <v>7618.9179690000001</v>
      </c>
      <c r="N76" s="283">
        <v>7737.2568359999996</v>
      </c>
      <c r="O76" s="283">
        <v>7864.2241210000002</v>
      </c>
      <c r="P76" s="283">
        <v>7986.0410160000001</v>
      </c>
      <c r="Q76" s="283">
        <v>8120.8369140000004</v>
      </c>
      <c r="R76" s="283">
        <v>8258.1699219999991</v>
      </c>
      <c r="S76" s="283">
        <v>8404.5097659999992</v>
      </c>
      <c r="T76" s="283">
        <v>8562.2236329999996</v>
      </c>
      <c r="U76" s="283">
        <v>8720.0830079999996</v>
      </c>
      <c r="V76" s="283">
        <v>8877.8691409999992</v>
      </c>
      <c r="W76" s="283">
        <v>9032.5605469999991</v>
      </c>
      <c r="X76" s="283">
        <v>9200.7851559999999</v>
      </c>
      <c r="Y76" s="283">
        <v>9365.0214840000008</v>
      </c>
      <c r="Z76" s="283">
        <v>9517.4570309999999</v>
      </c>
      <c r="AA76" s="283">
        <v>9666.5917969999991</v>
      </c>
      <c r="AB76" s="283">
        <v>9812.8144530000009</v>
      </c>
      <c r="AC76" s="283">
        <v>9985.6748050000006</v>
      </c>
      <c r="AD76" s="283">
        <v>10170.505859000001</v>
      </c>
      <c r="AE76" s="283">
        <v>10346.943359000001</v>
      </c>
      <c r="AF76" s="283">
        <v>10520.594727</v>
      </c>
      <c r="AG76" s="284">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19.42578125" customWidth="1"/>
    <col min="2" max="2" width="10"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1">
        <v>5.05863E-5</v>
      </c>
      <c r="E6" s="291">
        <v>5.05863E-5</v>
      </c>
      <c r="F6" s="291">
        <v>5.05863E-5</v>
      </c>
      <c r="G6">
        <v>0</v>
      </c>
      <c r="H6">
        <v>0</v>
      </c>
      <c r="I6">
        <v>1.5175900000000001E-4</v>
      </c>
    </row>
    <row r="7" spans="1:9">
      <c r="B7" t="s">
        <v>8</v>
      </c>
      <c r="C7" s="291">
        <v>3.9768799999999998E-5</v>
      </c>
      <c r="D7">
        <v>0</v>
      </c>
      <c r="E7" s="291">
        <v>1.2375600000000001E-5</v>
      </c>
      <c r="F7" s="291">
        <v>1.2375600000000001E-5</v>
      </c>
      <c r="G7">
        <v>0</v>
      </c>
      <c r="H7">
        <v>0</v>
      </c>
      <c r="I7" s="291">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1">
        <v>7.0204850469879831E-5</v>
      </c>
      <c r="E12">
        <v>1.0066053377187421E-4</v>
      </c>
      <c r="F12" s="291">
        <v>7.8079341843850301E-5</v>
      </c>
      <c r="G12">
        <v>1.7525323807361898E-4</v>
      </c>
      <c r="H12" s="291">
        <v>5.5270584840087177E-5</v>
      </c>
      <c r="I12" s="291">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5" workbookViewId="0"/>
  </sheetViews>
  <sheetFormatPr defaultRowHeight="15"/>
  <cols>
    <col min="1" max="1" width="27.14062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5"/>
  <cols>
    <col min="1" max="1" width="29" customWidth="1"/>
    <col min="2" max="2" width="21.4257812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topLeftCell="A163" workbookViewId="0"/>
  </sheetViews>
  <sheetFormatPr defaultRowHeight="15"/>
  <sheetData>
    <row r="1" spans="1:31">
      <c r="A1" t="s">
        <v>2355</v>
      </c>
    </row>
    <row r="2" spans="1:31">
      <c r="A2" t="s">
        <v>4748</v>
      </c>
    </row>
    <row r="3" spans="1:31">
      <c r="A3" t="s">
        <v>4747</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2347</v>
      </c>
    </row>
    <row r="7" spans="1:31">
      <c r="A7" t="s">
        <v>2346</v>
      </c>
    </row>
    <row r="8" spans="1:31">
      <c r="A8" t="s">
        <v>1905</v>
      </c>
    </row>
    <row r="9" spans="1:31">
      <c r="A9" t="s">
        <v>201</v>
      </c>
      <c r="B9" t="s">
        <v>4746</v>
      </c>
      <c r="C9" t="s">
        <v>4745</v>
      </c>
      <c r="D9" t="s">
        <v>2264</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4">
        <v>-2.1999999999999999E-2</v>
      </c>
    </row>
    <row r="10" spans="1:31">
      <c r="A10" t="s">
        <v>202</v>
      </c>
      <c r="B10" t="s">
        <v>4744</v>
      </c>
      <c r="C10" t="s">
        <v>4743</v>
      </c>
      <c r="D10" t="s">
        <v>2264</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4">
        <v>7.0000000000000001E-3</v>
      </c>
    </row>
    <row r="11" spans="1:31">
      <c r="A11" t="s">
        <v>203</v>
      </c>
      <c r="B11" t="s">
        <v>4742</v>
      </c>
      <c r="C11" t="s">
        <v>4741</v>
      </c>
      <c r="D11" t="s">
        <v>2264</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4">
        <v>2.5999999999999999E-2</v>
      </c>
    </row>
    <row r="12" spans="1:31">
      <c r="A12" t="s">
        <v>204</v>
      </c>
      <c r="B12" t="s">
        <v>4740</v>
      </c>
      <c r="C12" t="s">
        <v>4739</v>
      </c>
      <c r="D12" t="s">
        <v>2264</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4">
        <v>9.7000000000000003E-2</v>
      </c>
    </row>
    <row r="13" spans="1:31">
      <c r="A13" t="s">
        <v>205</v>
      </c>
      <c r="B13" t="s">
        <v>4738</v>
      </c>
      <c r="C13" t="s">
        <v>4737</v>
      </c>
      <c r="D13" t="s">
        <v>2264</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4">
        <v>-0.115</v>
      </c>
    </row>
    <row r="14" spans="1:31">
      <c r="A14" t="s">
        <v>206</v>
      </c>
      <c r="B14" t="s">
        <v>4736</v>
      </c>
      <c r="C14" t="s">
        <v>4735</v>
      </c>
      <c r="D14" t="s">
        <v>2264</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4">
        <v>0.192</v>
      </c>
    </row>
    <row r="15" spans="1:31">
      <c r="A15" t="s">
        <v>207</v>
      </c>
      <c r="B15" t="s">
        <v>4734</v>
      </c>
      <c r="C15" t="s">
        <v>4733</v>
      </c>
      <c r="D15" t="s">
        <v>2264</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1769</v>
      </c>
    </row>
    <row r="16" spans="1:31">
      <c r="A16" t="s">
        <v>208</v>
      </c>
      <c r="B16" t="s">
        <v>4732</v>
      </c>
      <c r="C16" t="s">
        <v>4731</v>
      </c>
      <c r="D16" t="s">
        <v>2264</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1769</v>
      </c>
    </row>
    <row r="17" spans="1:31">
      <c r="A17" t="s">
        <v>209</v>
      </c>
      <c r="B17" t="s">
        <v>4730</v>
      </c>
      <c r="C17" t="s">
        <v>4729</v>
      </c>
      <c r="D17" t="s">
        <v>2264</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1769</v>
      </c>
    </row>
    <row r="18" spans="1:31">
      <c r="A18" t="s">
        <v>1830</v>
      </c>
      <c r="B18" t="s">
        <v>4728</v>
      </c>
      <c r="C18" t="s">
        <v>4727</v>
      </c>
      <c r="D18" t="s">
        <v>2264</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1769</v>
      </c>
    </row>
    <row r="19" spans="1:31">
      <c r="A19" t="s">
        <v>1827</v>
      </c>
      <c r="B19" t="s">
        <v>4726</v>
      </c>
      <c r="C19" t="s">
        <v>4725</v>
      </c>
      <c r="D19" t="s">
        <v>2264</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4">
        <v>0.27300000000000002</v>
      </c>
    </row>
    <row r="20" spans="1:31">
      <c r="A20" t="s">
        <v>1824</v>
      </c>
      <c r="B20" t="s">
        <v>4724</v>
      </c>
      <c r="C20" t="s">
        <v>4723</v>
      </c>
      <c r="D20" t="s">
        <v>2264</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1769</v>
      </c>
    </row>
    <row r="21" spans="1:31">
      <c r="A21" t="s">
        <v>1880</v>
      </c>
      <c r="B21" t="s">
        <v>4722</v>
      </c>
      <c r="C21" t="s">
        <v>4721</v>
      </c>
      <c r="D21" t="s">
        <v>2264</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4">
        <v>1.2999999999999999E-2</v>
      </c>
    </row>
    <row r="22" spans="1:31">
      <c r="A22" t="s">
        <v>1877</v>
      </c>
    </row>
    <row r="23" spans="1:31">
      <c r="A23" t="s">
        <v>201</v>
      </c>
      <c r="B23" t="s">
        <v>4720</v>
      </c>
      <c r="C23" t="s">
        <v>4719</v>
      </c>
      <c r="D23" t="s">
        <v>2264</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4">
        <v>-1.2E-2</v>
      </c>
    </row>
    <row r="24" spans="1:31">
      <c r="A24" t="s">
        <v>202</v>
      </c>
      <c r="B24" t="s">
        <v>4718</v>
      </c>
      <c r="C24" t="s">
        <v>4717</v>
      </c>
      <c r="D24" t="s">
        <v>2264</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4">
        <v>1E-3</v>
      </c>
    </row>
    <row r="25" spans="1:31">
      <c r="A25" t="s">
        <v>203</v>
      </c>
      <c r="B25" t="s">
        <v>4716</v>
      </c>
      <c r="C25" t="s">
        <v>4715</v>
      </c>
      <c r="D25" t="s">
        <v>2264</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4">
        <v>-0.1</v>
      </c>
    </row>
    <row r="26" spans="1:31">
      <c r="A26" t="s">
        <v>204</v>
      </c>
      <c r="B26" t="s">
        <v>4714</v>
      </c>
      <c r="C26" t="s">
        <v>4713</v>
      </c>
      <c r="D26" t="s">
        <v>2264</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4">
        <v>3.9E-2</v>
      </c>
    </row>
    <row r="27" spans="1:31">
      <c r="A27" t="s">
        <v>205</v>
      </c>
      <c r="B27" t="s">
        <v>4712</v>
      </c>
      <c r="C27" t="s">
        <v>4711</v>
      </c>
      <c r="D27" t="s">
        <v>2264</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4">
        <v>-9.5000000000000001E-2</v>
      </c>
    </row>
    <row r="28" spans="1:31">
      <c r="A28" t="s">
        <v>206</v>
      </c>
      <c r="B28" t="s">
        <v>4710</v>
      </c>
      <c r="C28" t="s">
        <v>4709</v>
      </c>
      <c r="D28" t="s">
        <v>2264</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4">
        <v>4.3999999999999997E-2</v>
      </c>
    </row>
    <row r="29" spans="1:31">
      <c r="A29" t="s">
        <v>207</v>
      </c>
      <c r="B29" t="s">
        <v>4708</v>
      </c>
      <c r="C29" t="s">
        <v>4707</v>
      </c>
      <c r="D29" t="s">
        <v>2264</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1769</v>
      </c>
    </row>
    <row r="30" spans="1:31">
      <c r="A30" t="s">
        <v>208</v>
      </c>
      <c r="B30" t="s">
        <v>4706</v>
      </c>
      <c r="C30" t="s">
        <v>4705</v>
      </c>
      <c r="D30" t="s">
        <v>2264</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4">
        <v>-8.3000000000000004E-2</v>
      </c>
    </row>
    <row r="31" spans="1:31">
      <c r="A31" t="s">
        <v>209</v>
      </c>
      <c r="B31" t="s">
        <v>4704</v>
      </c>
      <c r="C31" t="s">
        <v>4703</v>
      </c>
      <c r="D31" t="s">
        <v>2264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1769</v>
      </c>
    </row>
    <row r="32" spans="1:31">
      <c r="A32" t="s">
        <v>1830</v>
      </c>
      <c r="B32" t="s">
        <v>4702</v>
      </c>
      <c r="C32" t="s">
        <v>4701</v>
      </c>
      <c r="D32" t="s">
        <v>2264</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1769</v>
      </c>
    </row>
    <row r="33" spans="1:31">
      <c r="A33" t="s">
        <v>1827</v>
      </c>
      <c r="B33" t="s">
        <v>4700</v>
      </c>
      <c r="C33" t="s">
        <v>4699</v>
      </c>
      <c r="D33" t="s">
        <v>2264</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4">
        <v>0.22800000000000001</v>
      </c>
    </row>
    <row r="34" spans="1:31">
      <c r="A34" t="s">
        <v>1824</v>
      </c>
      <c r="B34" t="s">
        <v>4698</v>
      </c>
      <c r="C34" t="s">
        <v>4697</v>
      </c>
      <c r="D34" t="s">
        <v>2264</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1769</v>
      </c>
    </row>
    <row r="35" spans="1:31">
      <c r="A35" t="s">
        <v>1852</v>
      </c>
      <c r="B35" t="s">
        <v>4696</v>
      </c>
      <c r="C35" t="s">
        <v>4695</v>
      </c>
      <c r="D35" t="s">
        <v>2264</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4">
        <v>-1E-3</v>
      </c>
    </row>
    <row r="36" spans="1:31">
      <c r="A36" t="s">
        <v>1849</v>
      </c>
    </row>
    <row r="37" spans="1:31">
      <c r="A37" t="s">
        <v>201</v>
      </c>
      <c r="B37" t="s">
        <v>4694</v>
      </c>
      <c r="C37" t="s">
        <v>4693</v>
      </c>
      <c r="D37" t="s">
        <v>2264</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4">
        <v>8.0000000000000002E-3</v>
      </c>
    </row>
    <row r="38" spans="1:31">
      <c r="A38" t="s">
        <v>202</v>
      </c>
      <c r="B38" t="s">
        <v>4692</v>
      </c>
      <c r="C38" t="s">
        <v>4691</v>
      </c>
      <c r="D38" t="s">
        <v>2264</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4">
        <v>-3.5999999999999997E-2</v>
      </c>
    </row>
    <row r="39" spans="1:31">
      <c r="A39" t="s">
        <v>203</v>
      </c>
      <c r="B39" t="s">
        <v>4690</v>
      </c>
      <c r="C39" t="s">
        <v>4689</v>
      </c>
      <c r="D39" t="s">
        <v>2264</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4">
        <v>-9.2999999999999999E-2</v>
      </c>
    </row>
    <row r="40" spans="1:31">
      <c r="A40" t="s">
        <v>204</v>
      </c>
      <c r="B40" t="s">
        <v>4688</v>
      </c>
      <c r="C40" t="s">
        <v>4687</v>
      </c>
      <c r="D40" t="s">
        <v>2264</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4">
        <v>4.4999999999999998E-2</v>
      </c>
    </row>
    <row r="41" spans="1:31">
      <c r="A41" t="s">
        <v>205</v>
      </c>
      <c r="B41" t="s">
        <v>4686</v>
      </c>
      <c r="C41" t="s">
        <v>4685</v>
      </c>
      <c r="D41" t="s">
        <v>2264</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1769</v>
      </c>
    </row>
    <row r="42" spans="1:31">
      <c r="A42" t="s">
        <v>206</v>
      </c>
      <c r="B42" t="s">
        <v>4684</v>
      </c>
      <c r="C42" t="s">
        <v>4683</v>
      </c>
      <c r="D42" t="s">
        <v>2264</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4">
        <v>0.05</v>
      </c>
    </row>
    <row r="43" spans="1:31">
      <c r="A43" t="s">
        <v>207</v>
      </c>
      <c r="B43" t="s">
        <v>4682</v>
      </c>
      <c r="C43" t="s">
        <v>4681</v>
      </c>
      <c r="D43" t="s">
        <v>2264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1">
      <c r="A44" t="s">
        <v>208</v>
      </c>
      <c r="B44" t="s">
        <v>4680</v>
      </c>
      <c r="C44" t="s">
        <v>4679</v>
      </c>
      <c r="D44" t="s">
        <v>2264</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1769</v>
      </c>
    </row>
    <row r="45" spans="1:31">
      <c r="A45" t="s">
        <v>209</v>
      </c>
      <c r="B45" t="s">
        <v>4678</v>
      </c>
      <c r="C45" t="s">
        <v>4677</v>
      </c>
      <c r="D45" t="s">
        <v>2264</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1830</v>
      </c>
      <c r="B46" t="s">
        <v>4676</v>
      </c>
      <c r="C46" t="s">
        <v>4675</v>
      </c>
      <c r="D46" t="s">
        <v>2264</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1827</v>
      </c>
      <c r="B47" t="s">
        <v>4674</v>
      </c>
      <c r="C47" t="s">
        <v>4673</v>
      </c>
      <c r="D47" t="s">
        <v>2264</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1824</v>
      </c>
      <c r="B48" t="s">
        <v>4672</v>
      </c>
      <c r="C48" t="s">
        <v>4671</v>
      </c>
      <c r="D48" t="s">
        <v>2264</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1821</v>
      </c>
      <c r="B49" t="s">
        <v>4670</v>
      </c>
      <c r="C49" t="s">
        <v>4669</v>
      </c>
      <c r="D49" t="s">
        <v>2264</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4">
        <v>8.9999999999999993E-3</v>
      </c>
    </row>
    <row r="50" spans="1:31">
      <c r="A50" t="s">
        <v>2267</v>
      </c>
      <c r="B50" t="s">
        <v>4668</v>
      </c>
      <c r="C50" t="s">
        <v>4667</v>
      </c>
      <c r="D50" t="s">
        <v>2264</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4">
        <v>8.9999999999999993E-3</v>
      </c>
    </row>
    <row r="51" spans="1:31">
      <c r="A51" t="s">
        <v>2263</v>
      </c>
    </row>
    <row r="52" spans="1:31">
      <c r="A52" t="s">
        <v>1905</v>
      </c>
    </row>
    <row r="53" spans="1:31">
      <c r="A53" t="s">
        <v>201</v>
      </c>
      <c r="B53" t="s">
        <v>4666</v>
      </c>
      <c r="C53" t="s">
        <v>4665</v>
      </c>
      <c r="D53" t="s">
        <v>1766</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4">
        <v>-2.5000000000000001E-2</v>
      </c>
    </row>
    <row r="54" spans="1:31">
      <c r="A54" t="s">
        <v>202</v>
      </c>
      <c r="B54" t="s">
        <v>4664</v>
      </c>
      <c r="C54" t="s">
        <v>4663</v>
      </c>
      <c r="D54" t="s">
        <v>1766</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4">
        <v>5.0000000000000001E-3</v>
      </c>
    </row>
    <row r="55" spans="1:31">
      <c r="A55" t="s">
        <v>203</v>
      </c>
      <c r="B55" t="s">
        <v>4662</v>
      </c>
      <c r="C55" t="s">
        <v>4661</v>
      </c>
      <c r="D55" t="s">
        <v>1766</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4">
        <v>1.6E-2</v>
      </c>
    </row>
    <row r="56" spans="1:31">
      <c r="A56" t="s">
        <v>204</v>
      </c>
      <c r="B56" t="s">
        <v>4660</v>
      </c>
      <c r="C56" t="s">
        <v>4659</v>
      </c>
      <c r="D56" t="s">
        <v>1766</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4">
        <v>9.1999999999999998E-2</v>
      </c>
    </row>
    <row r="57" spans="1:31">
      <c r="A57" t="s">
        <v>205</v>
      </c>
      <c r="B57" t="s">
        <v>4658</v>
      </c>
      <c r="C57" t="s">
        <v>4657</v>
      </c>
      <c r="D57" t="s">
        <v>1766</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4">
        <v>-0.115</v>
      </c>
    </row>
    <row r="58" spans="1:31">
      <c r="A58" t="s">
        <v>206</v>
      </c>
      <c r="B58" t="s">
        <v>4656</v>
      </c>
      <c r="C58" t="s">
        <v>4655</v>
      </c>
      <c r="D58" t="s">
        <v>1766</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4">
        <v>0.189</v>
      </c>
    </row>
    <row r="59" spans="1:31">
      <c r="A59" t="s">
        <v>207</v>
      </c>
      <c r="B59" t="s">
        <v>4654</v>
      </c>
      <c r="C59" t="s">
        <v>4653</v>
      </c>
      <c r="D59" t="s">
        <v>1766</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1769</v>
      </c>
    </row>
    <row r="60" spans="1:31">
      <c r="A60" t="s">
        <v>208</v>
      </c>
      <c r="B60" t="s">
        <v>4652</v>
      </c>
      <c r="C60" t="s">
        <v>4651</v>
      </c>
      <c r="D60" t="s">
        <v>1766</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1769</v>
      </c>
    </row>
    <row r="61" spans="1:31">
      <c r="A61" t="s">
        <v>209</v>
      </c>
      <c r="B61" t="s">
        <v>4650</v>
      </c>
      <c r="C61" t="s">
        <v>4649</v>
      </c>
      <c r="D61" t="s">
        <v>1766</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1769</v>
      </c>
    </row>
    <row r="62" spans="1:31">
      <c r="A62" t="s">
        <v>1830</v>
      </c>
      <c r="B62" t="s">
        <v>4648</v>
      </c>
      <c r="C62" t="s">
        <v>4647</v>
      </c>
      <c r="D62" t="s">
        <v>1766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1769</v>
      </c>
    </row>
    <row r="63" spans="1:31">
      <c r="A63" t="s">
        <v>1827</v>
      </c>
      <c r="B63" t="s">
        <v>4646</v>
      </c>
      <c r="C63" t="s">
        <v>4645</v>
      </c>
      <c r="D63" t="s">
        <v>1766</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4">
        <v>0.27100000000000002</v>
      </c>
    </row>
    <row r="64" spans="1:31">
      <c r="A64" t="s">
        <v>1824</v>
      </c>
      <c r="B64" t="s">
        <v>4644</v>
      </c>
      <c r="C64" t="s">
        <v>4643</v>
      </c>
      <c r="D64" t="s">
        <v>1766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1769</v>
      </c>
    </row>
    <row r="65" spans="1:31">
      <c r="A65" t="s">
        <v>1880</v>
      </c>
      <c r="B65" t="s">
        <v>4642</v>
      </c>
      <c r="C65" t="s">
        <v>4641</v>
      </c>
      <c r="D65" t="s">
        <v>1766</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4">
        <v>6.0000000000000001E-3</v>
      </c>
    </row>
    <row r="66" spans="1:31">
      <c r="A66" t="s">
        <v>1877</v>
      </c>
    </row>
    <row r="67" spans="1:31">
      <c r="A67" t="s">
        <v>201</v>
      </c>
      <c r="B67" t="s">
        <v>4640</v>
      </c>
      <c r="C67" t="s">
        <v>4639</v>
      </c>
      <c r="D67" t="s">
        <v>1766</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4">
        <v>-2.1000000000000001E-2</v>
      </c>
    </row>
    <row r="68" spans="1:31">
      <c r="A68" t="s">
        <v>202</v>
      </c>
      <c r="B68" t="s">
        <v>4638</v>
      </c>
      <c r="C68" t="s">
        <v>4637</v>
      </c>
      <c r="D68" t="s">
        <v>1766</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4">
        <v>-4.0000000000000001E-3</v>
      </c>
    </row>
    <row r="69" spans="1:31">
      <c r="A69" t="s">
        <v>203</v>
      </c>
      <c r="B69" t="s">
        <v>4636</v>
      </c>
      <c r="C69" t="s">
        <v>4635</v>
      </c>
      <c r="D69" t="s">
        <v>1766</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4">
        <v>-0.104</v>
      </c>
    </row>
    <row r="70" spans="1:31">
      <c r="A70" t="s">
        <v>204</v>
      </c>
      <c r="B70" t="s">
        <v>4634</v>
      </c>
      <c r="C70" t="s">
        <v>4633</v>
      </c>
      <c r="D70" t="s">
        <v>1766</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4">
        <v>2.8000000000000001E-2</v>
      </c>
    </row>
    <row r="71" spans="1:31">
      <c r="A71" t="s">
        <v>205</v>
      </c>
      <c r="B71" t="s">
        <v>4632</v>
      </c>
      <c r="C71" t="s">
        <v>4631</v>
      </c>
      <c r="D71" t="s">
        <v>1766</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4">
        <v>-9.5000000000000001E-2</v>
      </c>
    </row>
    <row r="72" spans="1:31">
      <c r="A72" t="s">
        <v>206</v>
      </c>
      <c r="B72" t="s">
        <v>4630</v>
      </c>
      <c r="C72" t="s">
        <v>4629</v>
      </c>
      <c r="D72" t="s">
        <v>1766</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4">
        <v>4.5999999999999999E-2</v>
      </c>
    </row>
    <row r="73" spans="1:31">
      <c r="A73" t="s">
        <v>207</v>
      </c>
      <c r="B73" t="s">
        <v>4628</v>
      </c>
      <c r="C73" t="s">
        <v>4627</v>
      </c>
      <c r="D73" t="s">
        <v>1766</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1769</v>
      </c>
    </row>
    <row r="74" spans="1:31">
      <c r="A74" t="s">
        <v>208</v>
      </c>
      <c r="B74" t="s">
        <v>4626</v>
      </c>
      <c r="C74" t="s">
        <v>4625</v>
      </c>
      <c r="D74" t="s">
        <v>1766</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4">
        <v>-8.3000000000000004E-2</v>
      </c>
    </row>
    <row r="75" spans="1:31">
      <c r="A75" t="s">
        <v>209</v>
      </c>
      <c r="B75" t="s">
        <v>4624</v>
      </c>
      <c r="C75" t="s">
        <v>4623</v>
      </c>
      <c r="D75" t="s">
        <v>1766</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1769</v>
      </c>
    </row>
    <row r="76" spans="1:31">
      <c r="A76" t="s">
        <v>1830</v>
      </c>
      <c r="B76" t="s">
        <v>4622</v>
      </c>
      <c r="C76" t="s">
        <v>4621</v>
      </c>
      <c r="D76" t="s">
        <v>1766</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1769</v>
      </c>
    </row>
    <row r="77" spans="1:31">
      <c r="A77" t="s">
        <v>1827</v>
      </c>
      <c r="B77" t="s">
        <v>4620</v>
      </c>
      <c r="C77" t="s">
        <v>4619</v>
      </c>
      <c r="D77" t="s">
        <v>1766</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4">
        <v>0.22500000000000001</v>
      </c>
    </row>
    <row r="78" spans="1:31">
      <c r="A78" t="s">
        <v>1824</v>
      </c>
      <c r="B78" t="s">
        <v>4618</v>
      </c>
      <c r="C78" t="s">
        <v>4617</v>
      </c>
      <c r="D78" t="s">
        <v>1766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1769</v>
      </c>
    </row>
    <row r="79" spans="1:31">
      <c r="A79" t="s">
        <v>1852</v>
      </c>
      <c r="B79" t="s">
        <v>4616</v>
      </c>
      <c r="C79" t="s">
        <v>4615</v>
      </c>
      <c r="D79" t="s">
        <v>1766</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4">
        <v>-8.9999999999999993E-3</v>
      </c>
    </row>
    <row r="80" spans="1:31">
      <c r="A80" t="s">
        <v>1849</v>
      </c>
    </row>
    <row r="81" spans="1:31">
      <c r="A81" t="s">
        <v>201</v>
      </c>
      <c r="B81" t="s">
        <v>4614</v>
      </c>
      <c r="C81" t="s">
        <v>4613</v>
      </c>
      <c r="D81" t="s">
        <v>1766</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4">
        <v>0</v>
      </c>
    </row>
    <row r="82" spans="1:31">
      <c r="A82" t="s">
        <v>202</v>
      </c>
      <c r="B82" t="s">
        <v>4612</v>
      </c>
      <c r="C82" t="s">
        <v>4611</v>
      </c>
      <c r="D82" t="s">
        <v>1766</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4">
        <v>-4.3999999999999997E-2</v>
      </c>
    </row>
    <row r="83" spans="1:31">
      <c r="A83" t="s">
        <v>203</v>
      </c>
      <c r="B83" t="s">
        <v>4610</v>
      </c>
      <c r="C83" t="s">
        <v>4609</v>
      </c>
      <c r="D83" t="s">
        <v>1766</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4">
        <v>-9.2999999999999999E-2</v>
      </c>
    </row>
    <row r="84" spans="1:31">
      <c r="A84" t="s">
        <v>204</v>
      </c>
      <c r="B84" t="s">
        <v>4608</v>
      </c>
      <c r="C84" t="s">
        <v>4607</v>
      </c>
      <c r="D84" t="s">
        <v>1766</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4">
        <v>3.6999999999999998E-2</v>
      </c>
    </row>
    <row r="85" spans="1:31">
      <c r="A85" t="s">
        <v>205</v>
      </c>
      <c r="B85" t="s">
        <v>4606</v>
      </c>
      <c r="C85" t="s">
        <v>4605</v>
      </c>
      <c r="D85" t="s">
        <v>1766</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1769</v>
      </c>
    </row>
    <row r="86" spans="1:31">
      <c r="A86" t="s">
        <v>206</v>
      </c>
      <c r="B86" t="s">
        <v>4604</v>
      </c>
      <c r="C86" t="s">
        <v>4603</v>
      </c>
      <c r="D86" t="s">
        <v>1766</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4">
        <v>4.4999999999999998E-2</v>
      </c>
    </row>
    <row r="87" spans="1:31">
      <c r="A87" t="s">
        <v>207</v>
      </c>
      <c r="B87" t="s">
        <v>4602</v>
      </c>
      <c r="C87" t="s">
        <v>4601</v>
      </c>
      <c r="D87" t="s">
        <v>1766</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1769</v>
      </c>
    </row>
    <row r="88" spans="1:31">
      <c r="A88" t="s">
        <v>208</v>
      </c>
      <c r="B88" t="s">
        <v>4600</v>
      </c>
      <c r="C88" t="s">
        <v>4599</v>
      </c>
      <c r="D88" t="s">
        <v>1766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1769</v>
      </c>
    </row>
    <row r="89" spans="1:31">
      <c r="A89" t="s">
        <v>209</v>
      </c>
      <c r="B89" t="s">
        <v>4598</v>
      </c>
      <c r="C89" t="s">
        <v>4597</v>
      </c>
      <c r="D89" t="s">
        <v>1766</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1769</v>
      </c>
    </row>
    <row r="90" spans="1:31">
      <c r="A90" t="s">
        <v>1830</v>
      </c>
      <c r="B90" t="s">
        <v>4596</v>
      </c>
      <c r="C90" t="s">
        <v>4595</v>
      </c>
      <c r="D90" t="s">
        <v>1766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1769</v>
      </c>
    </row>
    <row r="91" spans="1:31">
      <c r="A91" t="s">
        <v>1827</v>
      </c>
      <c r="B91" t="s">
        <v>4594</v>
      </c>
      <c r="C91" t="s">
        <v>4593</v>
      </c>
      <c r="D91" t="s">
        <v>1766</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1769</v>
      </c>
    </row>
    <row r="92" spans="1:31">
      <c r="A92" t="s">
        <v>1824</v>
      </c>
      <c r="B92" t="s">
        <v>4592</v>
      </c>
      <c r="C92" t="s">
        <v>4591</v>
      </c>
      <c r="D92" t="s">
        <v>1766</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1769</v>
      </c>
    </row>
    <row r="93" spans="1:31">
      <c r="A93" t="s">
        <v>1821</v>
      </c>
      <c r="B93" t="s">
        <v>4590</v>
      </c>
      <c r="C93" t="s">
        <v>4589</v>
      </c>
      <c r="D93" t="s">
        <v>1766</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4">
        <v>1E-3</v>
      </c>
    </row>
    <row r="94" spans="1:31">
      <c r="A94" t="s">
        <v>1905</v>
      </c>
      <c r="B94" t="s">
        <v>210</v>
      </c>
      <c r="C94" t="s">
        <v>2184</v>
      </c>
    </row>
    <row r="95" spans="1:31">
      <c r="A95" t="s">
        <v>201</v>
      </c>
      <c r="B95" t="s">
        <v>4588</v>
      </c>
      <c r="C95" t="s">
        <v>4587</v>
      </c>
      <c r="D95" t="s">
        <v>1766</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4">
        <v>-4.0000000000000001E-3</v>
      </c>
    </row>
    <row r="96" spans="1:31">
      <c r="A96" t="s">
        <v>202</v>
      </c>
      <c r="B96" t="s">
        <v>4586</v>
      </c>
      <c r="C96" t="s">
        <v>4585</v>
      </c>
      <c r="D96" t="s">
        <v>1766</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4">
        <v>1E-3</v>
      </c>
    </row>
    <row r="97" spans="1:31">
      <c r="A97" t="s">
        <v>203</v>
      </c>
      <c r="B97" t="s">
        <v>4584</v>
      </c>
      <c r="C97" t="s">
        <v>4583</v>
      </c>
      <c r="D97" t="s">
        <v>1766</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4">
        <v>-9.1999999999999998E-2</v>
      </c>
    </row>
    <row r="98" spans="1:31">
      <c r="A98" t="s">
        <v>204</v>
      </c>
      <c r="B98" t="s">
        <v>4582</v>
      </c>
      <c r="C98" t="s">
        <v>4581</v>
      </c>
      <c r="D98" t="s">
        <v>1766</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4">
        <v>3.7999999999999999E-2</v>
      </c>
    </row>
    <row r="99" spans="1:31">
      <c r="A99" t="s">
        <v>205</v>
      </c>
      <c r="B99" t="s">
        <v>4580</v>
      </c>
      <c r="C99" t="s">
        <v>4579</v>
      </c>
      <c r="D99" t="s">
        <v>1766</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4">
        <v>-0.111</v>
      </c>
    </row>
    <row r="100" spans="1:31">
      <c r="A100" t="s">
        <v>206</v>
      </c>
      <c r="B100" t="s">
        <v>4578</v>
      </c>
      <c r="C100" t="s">
        <v>4577</v>
      </c>
      <c r="D100" t="s">
        <v>1766</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4">
        <v>0.123</v>
      </c>
    </row>
    <row r="101" spans="1:31">
      <c r="A101" t="s">
        <v>207</v>
      </c>
      <c r="B101" t="s">
        <v>4576</v>
      </c>
      <c r="C101" t="s">
        <v>4575</v>
      </c>
      <c r="D101" t="s">
        <v>1766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1769</v>
      </c>
    </row>
    <row r="102" spans="1:31">
      <c r="A102" t="s">
        <v>208</v>
      </c>
      <c r="B102" t="s">
        <v>4574</v>
      </c>
      <c r="C102" t="s">
        <v>4573</v>
      </c>
      <c r="D102" t="s">
        <v>1766</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4">
        <v>-8.3000000000000004E-2</v>
      </c>
    </row>
    <row r="103" spans="1:31">
      <c r="A103" t="s">
        <v>209</v>
      </c>
      <c r="B103" t="s">
        <v>4572</v>
      </c>
      <c r="C103" t="s">
        <v>4571</v>
      </c>
      <c r="D103" t="s">
        <v>1766</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1769</v>
      </c>
    </row>
    <row r="104" spans="1:31">
      <c r="A104" t="s">
        <v>1830</v>
      </c>
      <c r="B104" t="s">
        <v>4570</v>
      </c>
      <c r="C104" t="s">
        <v>4569</v>
      </c>
      <c r="D104" t="s">
        <v>1766</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1769</v>
      </c>
    </row>
    <row r="105" spans="1:31">
      <c r="A105" t="s">
        <v>1827</v>
      </c>
      <c r="B105" t="s">
        <v>4568</v>
      </c>
      <c r="C105" t="s">
        <v>4567</v>
      </c>
      <c r="D105" t="s">
        <v>1766</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4">
        <v>0.25700000000000001</v>
      </c>
    </row>
    <row r="106" spans="1:31">
      <c r="A106" t="s">
        <v>1824</v>
      </c>
      <c r="B106" t="s">
        <v>4566</v>
      </c>
      <c r="C106" t="s">
        <v>4565</v>
      </c>
      <c r="D106" t="s">
        <v>1766</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1769</v>
      </c>
    </row>
    <row r="107" spans="1:31">
      <c r="A107" t="s">
        <v>2159</v>
      </c>
      <c r="B107" t="s">
        <v>4564</v>
      </c>
      <c r="C107" t="s">
        <v>4563</v>
      </c>
      <c r="D107" t="s">
        <v>1766</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4">
        <v>0</v>
      </c>
    </row>
    <row r="108" spans="1:31">
      <c r="A108" t="s">
        <v>1994</v>
      </c>
    </row>
    <row r="109" spans="1:31">
      <c r="A109" t="s">
        <v>1905</v>
      </c>
    </row>
    <row r="110" spans="1:31">
      <c r="A110" t="s">
        <v>201</v>
      </c>
      <c r="B110" t="s">
        <v>4562</v>
      </c>
      <c r="C110" t="s">
        <v>4561</v>
      </c>
      <c r="D110" t="s">
        <v>1913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4">
        <v>3.0000000000000001E-3</v>
      </c>
    </row>
    <row r="111" spans="1:31">
      <c r="A111" t="s">
        <v>202</v>
      </c>
      <c r="B111" t="s">
        <v>4560</v>
      </c>
      <c r="C111" t="s">
        <v>4559</v>
      </c>
      <c r="D111" t="s">
        <v>1916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4">
        <v>2E-3</v>
      </c>
    </row>
    <row r="112" spans="1:31">
      <c r="A112" t="s">
        <v>203</v>
      </c>
      <c r="B112" t="s">
        <v>4558</v>
      </c>
      <c r="C112" t="s">
        <v>4557</v>
      </c>
      <c r="D112" t="s">
        <v>1916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4">
        <v>0.01</v>
      </c>
    </row>
    <row r="113" spans="1:31">
      <c r="A113" t="s">
        <v>204</v>
      </c>
      <c r="B113" t="s">
        <v>4556</v>
      </c>
      <c r="C113" t="s">
        <v>4555</v>
      </c>
      <c r="D113" t="s">
        <v>1916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4">
        <v>5.0000000000000001E-3</v>
      </c>
    </row>
    <row r="114" spans="1:31">
      <c r="A114" t="s">
        <v>205</v>
      </c>
      <c r="B114" t="s">
        <v>4554</v>
      </c>
      <c r="C114" t="s">
        <v>4553</v>
      </c>
      <c r="D114" t="s">
        <v>1916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4">
        <v>0</v>
      </c>
    </row>
    <row r="115" spans="1:31">
      <c r="A115" t="s">
        <v>206</v>
      </c>
      <c r="B115" t="s">
        <v>4552</v>
      </c>
      <c r="C115" t="s">
        <v>4551</v>
      </c>
      <c r="D115" t="s">
        <v>1913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4">
        <v>1E-3</v>
      </c>
    </row>
    <row r="116" spans="1:31">
      <c r="A116" t="s">
        <v>207</v>
      </c>
      <c r="B116" t="s">
        <v>4550</v>
      </c>
      <c r="C116" t="s">
        <v>4549</v>
      </c>
      <c r="D116" t="s">
        <v>1913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1769</v>
      </c>
    </row>
    <row r="117" spans="1:31">
      <c r="A117" t="s">
        <v>208</v>
      </c>
      <c r="B117" t="s">
        <v>4548</v>
      </c>
      <c r="C117" t="s">
        <v>4547</v>
      </c>
      <c r="D117" t="s">
        <v>1916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1769</v>
      </c>
    </row>
    <row r="118" spans="1:31">
      <c r="A118" t="s">
        <v>209</v>
      </c>
      <c r="B118" t="s">
        <v>4546</v>
      </c>
      <c r="C118" t="s">
        <v>4545</v>
      </c>
      <c r="D118" t="s">
        <v>1913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1769</v>
      </c>
    </row>
    <row r="119" spans="1:31">
      <c r="A119" t="s">
        <v>1830</v>
      </c>
      <c r="B119" t="s">
        <v>4544</v>
      </c>
      <c r="C119" t="s">
        <v>4543</v>
      </c>
      <c r="D119" t="s">
        <v>1913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1769</v>
      </c>
    </row>
    <row r="120" spans="1:31">
      <c r="A120" t="s">
        <v>1827</v>
      </c>
      <c r="B120" t="s">
        <v>4542</v>
      </c>
      <c r="C120" t="s">
        <v>4541</v>
      </c>
      <c r="D120" t="s">
        <v>1916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4">
        <v>1E-3</v>
      </c>
    </row>
    <row r="121" spans="1:31">
      <c r="A121" t="s">
        <v>1824</v>
      </c>
      <c r="B121" t="s">
        <v>4540</v>
      </c>
      <c r="C121" t="s">
        <v>4539</v>
      </c>
      <c r="D121" t="s">
        <v>1913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1769</v>
      </c>
    </row>
    <row r="122" spans="1:31">
      <c r="A122" t="s">
        <v>1969</v>
      </c>
      <c r="B122" t="s">
        <v>4538</v>
      </c>
      <c r="C122" t="s">
        <v>4537</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4">
        <v>6.0000000000000001E-3</v>
      </c>
    </row>
    <row r="123" spans="1:31">
      <c r="A123" t="s">
        <v>1877</v>
      </c>
    </row>
    <row r="124" spans="1:31">
      <c r="A124" t="s">
        <v>201</v>
      </c>
      <c r="B124" t="s">
        <v>4536</v>
      </c>
      <c r="C124" t="s">
        <v>4535</v>
      </c>
      <c r="D124" t="s">
        <v>1913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4">
        <v>8.9999999999999993E-3</v>
      </c>
    </row>
    <row r="125" spans="1:31">
      <c r="A125" t="s">
        <v>202</v>
      </c>
      <c r="B125" t="s">
        <v>4534</v>
      </c>
      <c r="C125" t="s">
        <v>4533</v>
      </c>
      <c r="D125" t="s">
        <v>1916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4">
        <v>5.0000000000000001E-3</v>
      </c>
    </row>
    <row r="126" spans="1:31">
      <c r="A126" t="s">
        <v>203</v>
      </c>
      <c r="B126" t="s">
        <v>4532</v>
      </c>
      <c r="C126" t="s">
        <v>4531</v>
      </c>
      <c r="D126" t="s">
        <v>1916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4">
        <v>4.0000000000000001E-3</v>
      </c>
    </row>
    <row r="127" spans="1:31">
      <c r="A127" t="s">
        <v>204</v>
      </c>
      <c r="B127" t="s">
        <v>4530</v>
      </c>
      <c r="C127" t="s">
        <v>4529</v>
      </c>
      <c r="D127" t="s">
        <v>1916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4">
        <v>0.01</v>
      </c>
    </row>
    <row r="128" spans="1:31">
      <c r="A128" t="s">
        <v>205</v>
      </c>
      <c r="B128" t="s">
        <v>4528</v>
      </c>
      <c r="C128" t="s">
        <v>4527</v>
      </c>
      <c r="D128" t="s">
        <v>1956</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4">
        <v>0</v>
      </c>
    </row>
    <row r="129" spans="1:31">
      <c r="A129" t="s">
        <v>206</v>
      </c>
      <c r="B129" t="s">
        <v>4526</v>
      </c>
      <c r="C129" t="s">
        <v>4525</v>
      </c>
      <c r="D129" t="s">
        <v>1916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4">
        <v>-3.0000000000000001E-3</v>
      </c>
    </row>
    <row r="130" spans="1:31">
      <c r="A130" t="s">
        <v>207</v>
      </c>
      <c r="B130" t="s">
        <v>4524</v>
      </c>
      <c r="C130" t="s">
        <v>4523</v>
      </c>
      <c r="D130" t="s">
        <v>1916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1769</v>
      </c>
    </row>
    <row r="131" spans="1:31">
      <c r="A131" t="s">
        <v>208</v>
      </c>
      <c r="B131" t="s">
        <v>4522</v>
      </c>
      <c r="C131" t="s">
        <v>4521</v>
      </c>
      <c r="D131" t="s">
        <v>1916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4">
        <v>0</v>
      </c>
    </row>
    <row r="132" spans="1:31">
      <c r="A132" t="s">
        <v>209</v>
      </c>
      <c r="B132" t="s">
        <v>4520</v>
      </c>
      <c r="C132" t="s">
        <v>4519</v>
      </c>
      <c r="D132" t="s">
        <v>1916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1769</v>
      </c>
    </row>
    <row r="133" spans="1:31">
      <c r="A133" t="s">
        <v>1830</v>
      </c>
      <c r="B133" t="s">
        <v>4518</v>
      </c>
      <c r="C133" t="s">
        <v>4517</v>
      </c>
      <c r="D133" t="s">
        <v>1913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1769</v>
      </c>
    </row>
    <row r="134" spans="1:31">
      <c r="A134" t="s">
        <v>1827</v>
      </c>
      <c r="B134" t="s">
        <v>4516</v>
      </c>
      <c r="C134" t="s">
        <v>4515</v>
      </c>
      <c r="D134" t="s">
        <v>1916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4">
        <v>3.0000000000000001E-3</v>
      </c>
    </row>
    <row r="135" spans="1:31">
      <c r="A135" t="s">
        <v>1824</v>
      </c>
      <c r="B135" t="s">
        <v>4514</v>
      </c>
      <c r="C135" t="s">
        <v>4513</v>
      </c>
      <c r="D135" t="s">
        <v>1913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1769</v>
      </c>
    </row>
    <row r="136" spans="1:31">
      <c r="A136" t="s">
        <v>1941</v>
      </c>
      <c r="B136" t="s">
        <v>4512</v>
      </c>
      <c r="C136" t="s">
        <v>4511</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4">
        <v>7.0000000000000001E-3</v>
      </c>
    </row>
    <row r="137" spans="1:31">
      <c r="A137" t="s">
        <v>1849</v>
      </c>
    </row>
    <row r="138" spans="1:31">
      <c r="A138" t="s">
        <v>201</v>
      </c>
      <c r="B138" t="s">
        <v>4510</v>
      </c>
      <c r="C138" t="s">
        <v>4509</v>
      </c>
      <c r="D138" t="s">
        <v>1913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4">
        <v>8.0000000000000002E-3</v>
      </c>
    </row>
    <row r="139" spans="1:31">
      <c r="A139" t="s">
        <v>202</v>
      </c>
      <c r="B139" t="s">
        <v>4508</v>
      </c>
      <c r="C139" t="s">
        <v>4507</v>
      </c>
      <c r="D139" t="s">
        <v>1916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4">
        <v>8.9999999999999993E-3</v>
      </c>
    </row>
    <row r="140" spans="1:31">
      <c r="A140" t="s">
        <v>203</v>
      </c>
      <c r="B140" t="s">
        <v>4506</v>
      </c>
      <c r="C140" t="s">
        <v>4505</v>
      </c>
      <c r="D140" t="s">
        <v>1916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4">
        <v>0</v>
      </c>
    </row>
    <row r="141" spans="1:31">
      <c r="A141" t="s">
        <v>204</v>
      </c>
      <c r="B141" t="s">
        <v>4504</v>
      </c>
      <c r="C141" t="s">
        <v>4503</v>
      </c>
      <c r="D141" t="s">
        <v>1913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4">
        <v>8.0000000000000002E-3</v>
      </c>
    </row>
    <row r="142" spans="1:31">
      <c r="A142" t="s">
        <v>205</v>
      </c>
      <c r="B142" t="s">
        <v>4502</v>
      </c>
      <c r="C142" t="s">
        <v>4501</v>
      </c>
      <c r="D142" t="s">
        <v>1916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1769</v>
      </c>
    </row>
    <row r="143" spans="1:31">
      <c r="A143" t="s">
        <v>206</v>
      </c>
      <c r="B143" t="s">
        <v>4500</v>
      </c>
      <c r="C143" t="s">
        <v>4499</v>
      </c>
      <c r="D143" t="s">
        <v>1913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4">
        <v>3.0000000000000001E-3</v>
      </c>
    </row>
    <row r="144" spans="1:31">
      <c r="A144" t="s">
        <v>207</v>
      </c>
      <c r="B144" t="s">
        <v>4498</v>
      </c>
      <c r="C144" t="s">
        <v>4497</v>
      </c>
      <c r="D144" t="s">
        <v>1913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1769</v>
      </c>
    </row>
    <row r="145" spans="1:31">
      <c r="A145" t="s">
        <v>208</v>
      </c>
      <c r="B145" t="s">
        <v>4496</v>
      </c>
      <c r="C145" t="s">
        <v>4495</v>
      </c>
      <c r="D145" t="s">
        <v>1916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1769</v>
      </c>
    </row>
    <row r="146" spans="1:31">
      <c r="A146" t="s">
        <v>209</v>
      </c>
      <c r="B146" t="s">
        <v>4494</v>
      </c>
      <c r="C146" t="s">
        <v>4493</v>
      </c>
      <c r="D146" t="s">
        <v>1913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1769</v>
      </c>
    </row>
    <row r="147" spans="1:31">
      <c r="A147" t="s">
        <v>1830</v>
      </c>
      <c r="B147" t="s">
        <v>4492</v>
      </c>
      <c r="C147" t="s">
        <v>4491</v>
      </c>
      <c r="D147" t="s">
        <v>1913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1769</v>
      </c>
    </row>
    <row r="148" spans="1:31">
      <c r="A148" t="s">
        <v>1827</v>
      </c>
      <c r="B148" t="s">
        <v>4490</v>
      </c>
      <c r="C148" t="s">
        <v>4489</v>
      </c>
      <c r="D148" t="s">
        <v>1916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1769</v>
      </c>
    </row>
    <row r="149" spans="1:31">
      <c r="A149" t="s">
        <v>1824</v>
      </c>
      <c r="B149" t="s">
        <v>4488</v>
      </c>
      <c r="C149" t="s">
        <v>4487</v>
      </c>
      <c r="D149" t="s">
        <v>1913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1769</v>
      </c>
    </row>
    <row r="150" spans="1:31">
      <c r="A150" t="s">
        <v>1912</v>
      </c>
      <c r="B150" t="s">
        <v>4486</v>
      </c>
      <c r="C150" t="s">
        <v>4485</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4">
        <v>8.0000000000000002E-3</v>
      </c>
    </row>
    <row r="151" spans="1:31">
      <c r="A151" t="s">
        <v>1909</v>
      </c>
      <c r="B151" t="s">
        <v>4484</v>
      </c>
      <c r="C151" t="s">
        <v>4483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4">
        <v>8.0000000000000002E-3</v>
      </c>
    </row>
    <row r="152" spans="1:31">
      <c r="A152" t="s">
        <v>2076</v>
      </c>
    </row>
    <row r="153" spans="1:31">
      <c r="A153" t="s">
        <v>1905</v>
      </c>
    </row>
    <row r="154" spans="1:31">
      <c r="A154" t="s">
        <v>201</v>
      </c>
      <c r="B154" t="s">
        <v>4482</v>
      </c>
      <c r="C154" t="s">
        <v>4481</v>
      </c>
      <c r="D154" t="s">
        <v>1995</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4">
        <v>-4.0000000000000001E-3</v>
      </c>
    </row>
    <row r="155" spans="1:31">
      <c r="A155" t="s">
        <v>202</v>
      </c>
      <c r="B155" t="s">
        <v>4480</v>
      </c>
      <c r="C155" t="s">
        <v>4479</v>
      </c>
      <c r="D155" t="s">
        <v>1995</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4">
        <v>2.3E-2</v>
      </c>
    </row>
    <row r="156" spans="1:31">
      <c r="A156" t="s">
        <v>203</v>
      </c>
      <c r="B156" t="s">
        <v>4478</v>
      </c>
      <c r="C156" t="s">
        <v>4477</v>
      </c>
      <c r="D156" t="s">
        <v>1995</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4">
        <v>-6.0000000000000001E-3</v>
      </c>
    </row>
    <row r="157" spans="1:31">
      <c r="A157" t="s">
        <v>204</v>
      </c>
      <c r="B157" t="s">
        <v>4476</v>
      </c>
      <c r="C157" t="s">
        <v>4475</v>
      </c>
      <c r="D157" t="s">
        <v>1995</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4">
        <v>0.126</v>
      </c>
    </row>
    <row r="158" spans="1:31">
      <c r="A158" t="s">
        <v>205</v>
      </c>
      <c r="B158" t="s">
        <v>4474</v>
      </c>
      <c r="C158" t="s">
        <v>4473</v>
      </c>
      <c r="D158" t="s">
        <v>1995</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4">
        <v>-6.5000000000000002E-2</v>
      </c>
    </row>
    <row r="159" spans="1:31">
      <c r="A159" t="s">
        <v>206</v>
      </c>
      <c r="B159" t="s">
        <v>4472</v>
      </c>
      <c r="C159" t="s">
        <v>4471</v>
      </c>
      <c r="D159" t="s">
        <v>1995</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4">
        <v>0.21199999999999999</v>
      </c>
    </row>
    <row r="160" spans="1:31">
      <c r="A160" t="s">
        <v>207</v>
      </c>
      <c r="B160" t="s">
        <v>4470</v>
      </c>
      <c r="C160" t="s">
        <v>4469</v>
      </c>
      <c r="D160" t="s">
        <v>1995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1769</v>
      </c>
    </row>
    <row r="161" spans="1:31">
      <c r="A161" t="s">
        <v>208</v>
      </c>
      <c r="B161" t="s">
        <v>4468</v>
      </c>
      <c r="C161" t="s">
        <v>4467</v>
      </c>
      <c r="D161" t="s">
        <v>1995</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1769</v>
      </c>
    </row>
    <row r="162" spans="1:31">
      <c r="A162" t="s">
        <v>209</v>
      </c>
      <c r="B162" t="s">
        <v>4466</v>
      </c>
      <c r="C162" t="s">
        <v>4465</v>
      </c>
      <c r="D162" t="s">
        <v>1995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1769</v>
      </c>
    </row>
    <row r="163" spans="1:31">
      <c r="A163" t="s">
        <v>1830</v>
      </c>
      <c r="B163" t="s">
        <v>4464</v>
      </c>
      <c r="C163" t="s">
        <v>4463</v>
      </c>
      <c r="D163" t="s">
        <v>1995</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1769</v>
      </c>
    </row>
    <row r="164" spans="1:31">
      <c r="A164" t="s">
        <v>1827</v>
      </c>
      <c r="B164" t="s">
        <v>4462</v>
      </c>
      <c r="C164" t="s">
        <v>4461</v>
      </c>
      <c r="D164" t="s">
        <v>1995</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4">
        <v>0.33</v>
      </c>
    </row>
    <row r="165" spans="1:31">
      <c r="A165" t="s">
        <v>1824</v>
      </c>
      <c r="B165" t="s">
        <v>4460</v>
      </c>
      <c r="C165" t="s">
        <v>4459</v>
      </c>
      <c r="D165" t="s">
        <v>1995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1769</v>
      </c>
    </row>
    <row r="166" spans="1:31">
      <c r="A166" t="s">
        <v>1880</v>
      </c>
      <c r="B166" t="s">
        <v>4458</v>
      </c>
      <c r="C166" t="s">
        <v>4457</v>
      </c>
      <c r="D166" t="s">
        <v>1995</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4">
        <v>2.3E-2</v>
      </c>
    </row>
    <row r="167" spans="1:31">
      <c r="A167" t="s">
        <v>1877</v>
      </c>
    </row>
    <row r="168" spans="1:31">
      <c r="A168" t="s">
        <v>201</v>
      </c>
      <c r="B168" t="s">
        <v>4456</v>
      </c>
      <c r="C168" t="s">
        <v>4455</v>
      </c>
      <c r="D168" t="s">
        <v>1995</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4">
        <v>-5.0000000000000001E-3</v>
      </c>
    </row>
    <row r="169" spans="1:31">
      <c r="A169" t="s">
        <v>202</v>
      </c>
      <c r="B169" t="s">
        <v>4454</v>
      </c>
      <c r="C169" t="s">
        <v>4453</v>
      </c>
      <c r="D169" t="s">
        <v>1995</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4">
        <v>8.0000000000000002E-3</v>
      </c>
    </row>
    <row r="170" spans="1:31">
      <c r="A170" t="s">
        <v>203</v>
      </c>
      <c r="B170" t="s">
        <v>4452</v>
      </c>
      <c r="C170" t="s">
        <v>4451</v>
      </c>
      <c r="D170" t="s">
        <v>1995</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4">
        <v>-8.2000000000000003E-2</v>
      </c>
    </row>
    <row r="171" spans="1:31">
      <c r="A171" t="s">
        <v>204</v>
      </c>
      <c r="B171" t="s">
        <v>4450</v>
      </c>
      <c r="C171" t="s">
        <v>4449</v>
      </c>
      <c r="D171" t="s">
        <v>1995</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4">
        <v>6.4000000000000001E-2</v>
      </c>
    </row>
    <row r="172" spans="1:31">
      <c r="A172" t="s">
        <v>205</v>
      </c>
      <c r="B172" t="s">
        <v>4448</v>
      </c>
      <c r="C172" t="s">
        <v>4447</v>
      </c>
      <c r="D172" t="s">
        <v>1995</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4">
        <v>-5.1999999999999998E-2</v>
      </c>
    </row>
    <row r="173" spans="1:31">
      <c r="A173" t="s">
        <v>206</v>
      </c>
      <c r="B173" t="s">
        <v>4446</v>
      </c>
      <c r="C173" t="s">
        <v>4445</v>
      </c>
      <c r="D173" t="s">
        <v>1995</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4">
        <v>7.0999999999999994E-2</v>
      </c>
    </row>
    <row r="174" spans="1:31">
      <c r="A174" t="s">
        <v>207</v>
      </c>
      <c r="B174" t="s">
        <v>4444</v>
      </c>
      <c r="C174" t="s">
        <v>4443</v>
      </c>
      <c r="D174" t="s">
        <v>1995</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1769</v>
      </c>
    </row>
    <row r="175" spans="1:31">
      <c r="A175" t="s">
        <v>208</v>
      </c>
      <c r="B175" t="s">
        <v>4442</v>
      </c>
      <c r="C175" t="s">
        <v>4441</v>
      </c>
      <c r="D175" t="s">
        <v>1995</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4">
        <v>-1.9E-2</v>
      </c>
    </row>
    <row r="176" spans="1:31">
      <c r="A176" t="s">
        <v>209</v>
      </c>
      <c r="B176" t="s">
        <v>4440</v>
      </c>
      <c r="C176" t="s">
        <v>4439</v>
      </c>
      <c r="D176" t="s">
        <v>1995</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1769</v>
      </c>
    </row>
    <row r="177" spans="1:31">
      <c r="A177" t="s">
        <v>1830</v>
      </c>
      <c r="B177" t="s">
        <v>4438</v>
      </c>
      <c r="C177" t="s">
        <v>4437</v>
      </c>
      <c r="D177" t="s">
        <v>1995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1769</v>
      </c>
    </row>
    <row r="178" spans="1:31">
      <c r="A178" t="s">
        <v>1827</v>
      </c>
      <c r="B178" t="s">
        <v>4436</v>
      </c>
      <c r="C178" t="s">
        <v>4435</v>
      </c>
      <c r="D178" t="s">
        <v>1995</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4">
        <v>0.27500000000000002</v>
      </c>
    </row>
    <row r="179" spans="1:31">
      <c r="A179" t="s">
        <v>1824</v>
      </c>
      <c r="B179" t="s">
        <v>4434</v>
      </c>
      <c r="C179" t="s">
        <v>4433</v>
      </c>
      <c r="D179" t="s">
        <v>1995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1769</v>
      </c>
    </row>
    <row r="180" spans="1:31">
      <c r="A180" t="s">
        <v>1852</v>
      </c>
      <c r="B180" t="s">
        <v>4432</v>
      </c>
      <c r="C180" t="s">
        <v>4431</v>
      </c>
      <c r="D180" t="s">
        <v>1995</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4">
        <v>6.0000000000000001E-3</v>
      </c>
    </row>
    <row r="181" spans="1:31">
      <c r="A181" t="s">
        <v>1849</v>
      </c>
    </row>
    <row r="182" spans="1:31">
      <c r="A182" t="s">
        <v>201</v>
      </c>
      <c r="B182" t="s">
        <v>4430</v>
      </c>
      <c r="C182" t="s">
        <v>4429</v>
      </c>
      <c r="D182" t="s">
        <v>1995</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4">
        <v>1.2E-2</v>
      </c>
    </row>
    <row r="183" spans="1:31">
      <c r="A183" t="s">
        <v>202</v>
      </c>
      <c r="B183" t="s">
        <v>4428</v>
      </c>
      <c r="C183" t="s">
        <v>4427</v>
      </c>
      <c r="D183" t="s">
        <v>1995</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4">
        <v>-5.0999999999999997E-2</v>
      </c>
    </row>
    <row r="184" spans="1:31">
      <c r="A184" t="s">
        <v>203</v>
      </c>
      <c r="B184" t="s">
        <v>4426</v>
      </c>
      <c r="C184" t="s">
        <v>4425</v>
      </c>
      <c r="D184" t="s">
        <v>1995</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4">
        <v>-5.7000000000000002E-2</v>
      </c>
    </row>
    <row r="185" spans="1:31">
      <c r="A185" t="s">
        <v>204</v>
      </c>
      <c r="B185" t="s">
        <v>4424</v>
      </c>
      <c r="C185" t="s">
        <v>4423</v>
      </c>
      <c r="D185" t="s">
        <v>1995</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4">
        <v>4.3999999999999997E-2</v>
      </c>
    </row>
    <row r="186" spans="1:31">
      <c r="A186" t="s">
        <v>205</v>
      </c>
      <c r="B186" t="s">
        <v>4422</v>
      </c>
      <c r="C186" t="s">
        <v>4421</v>
      </c>
      <c r="D186" t="s">
        <v>1995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1769</v>
      </c>
    </row>
    <row r="187" spans="1:31">
      <c r="A187" t="s">
        <v>206</v>
      </c>
      <c r="B187" t="s">
        <v>4420</v>
      </c>
      <c r="C187" t="s">
        <v>4419</v>
      </c>
      <c r="D187" t="s">
        <v>1995</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4">
        <v>8.4000000000000005E-2</v>
      </c>
    </row>
    <row r="188" spans="1:31">
      <c r="A188" t="s">
        <v>207</v>
      </c>
      <c r="B188" t="s">
        <v>4418</v>
      </c>
      <c r="C188" t="s">
        <v>4417</v>
      </c>
      <c r="D188" t="s">
        <v>1995</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1769</v>
      </c>
    </row>
    <row r="189" spans="1:31">
      <c r="A189" t="s">
        <v>208</v>
      </c>
      <c r="B189" t="s">
        <v>4416</v>
      </c>
      <c r="C189" t="s">
        <v>4415</v>
      </c>
      <c r="D189" t="s">
        <v>1995</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1769</v>
      </c>
    </row>
    <row r="190" spans="1:31">
      <c r="A190" t="s">
        <v>209</v>
      </c>
      <c r="B190" t="s">
        <v>4414</v>
      </c>
      <c r="C190" t="s">
        <v>4413</v>
      </c>
      <c r="D190" t="s">
        <v>1995</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1769</v>
      </c>
    </row>
    <row r="191" spans="1:31">
      <c r="A191" t="s">
        <v>1830</v>
      </c>
      <c r="B191" t="s">
        <v>4412</v>
      </c>
      <c r="C191" t="s">
        <v>4411</v>
      </c>
      <c r="D191" t="s">
        <v>1995</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1769</v>
      </c>
    </row>
    <row r="192" spans="1:31">
      <c r="A192" t="s">
        <v>1827</v>
      </c>
      <c r="B192" t="s">
        <v>4410</v>
      </c>
      <c r="C192" t="s">
        <v>4409</v>
      </c>
      <c r="D192" t="s">
        <v>1995</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1769</v>
      </c>
    </row>
    <row r="193" spans="1:31">
      <c r="A193" t="s">
        <v>1824</v>
      </c>
      <c r="B193" t="s">
        <v>4408</v>
      </c>
      <c r="C193" t="s">
        <v>4407</v>
      </c>
      <c r="D193" t="s">
        <v>1995</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1769</v>
      </c>
    </row>
    <row r="194" spans="1:31">
      <c r="A194" t="s">
        <v>1821</v>
      </c>
      <c r="B194" t="s">
        <v>4406</v>
      </c>
      <c r="C194" t="s">
        <v>4405</v>
      </c>
      <c r="D194" t="s">
        <v>1995</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4">
        <v>1.2E-2</v>
      </c>
    </row>
    <row r="195" spans="1:31">
      <c r="A195" t="s">
        <v>211</v>
      </c>
      <c r="B195" t="s">
        <v>4404</v>
      </c>
      <c r="C195" t="s">
        <v>4403</v>
      </c>
      <c r="D195" t="s">
        <v>1995</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4">
        <v>1.4999999999999999E-2</v>
      </c>
    </row>
    <row r="196" spans="1:31">
      <c r="A196" t="s">
        <v>191</v>
      </c>
    </row>
    <row r="197" spans="1:31">
      <c r="A197" t="s">
        <v>1994</v>
      </c>
    </row>
    <row r="198" spans="1:31">
      <c r="A198" t="s">
        <v>1905</v>
      </c>
    </row>
    <row r="199" spans="1:31">
      <c r="A199" t="s">
        <v>201</v>
      </c>
      <c r="B199" t="s">
        <v>4402</v>
      </c>
      <c r="C199" t="s">
        <v>4401</v>
      </c>
      <c r="D199" t="s">
        <v>1913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4">
        <v>3.0000000000000001E-3</v>
      </c>
    </row>
    <row r="200" spans="1:31">
      <c r="A200" t="s">
        <v>202</v>
      </c>
      <c r="B200" t="s">
        <v>4400</v>
      </c>
      <c r="C200" t="s">
        <v>4399</v>
      </c>
      <c r="D200" t="s">
        <v>1916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4">
        <v>2E-3</v>
      </c>
    </row>
    <row r="201" spans="1:31">
      <c r="A201" t="s">
        <v>203</v>
      </c>
      <c r="B201" t="s">
        <v>4398</v>
      </c>
      <c r="C201" t="s">
        <v>4397</v>
      </c>
      <c r="D201" t="s">
        <v>1916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4">
        <v>2E-3</v>
      </c>
    </row>
    <row r="202" spans="1:31">
      <c r="A202" t="s">
        <v>204</v>
      </c>
      <c r="B202" t="s">
        <v>4396</v>
      </c>
      <c r="C202" t="s">
        <v>4395</v>
      </c>
      <c r="D202" t="s">
        <v>1916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4">
        <v>5.0000000000000001E-3</v>
      </c>
    </row>
    <row r="203" spans="1:31">
      <c r="A203" t="s">
        <v>205</v>
      </c>
      <c r="B203" t="s">
        <v>4394</v>
      </c>
      <c r="C203" t="s">
        <v>4393</v>
      </c>
      <c r="D203" t="s">
        <v>1916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4">
        <v>2E-3</v>
      </c>
    </row>
    <row r="204" spans="1:31">
      <c r="A204" t="s">
        <v>206</v>
      </c>
      <c r="B204" t="s">
        <v>4392</v>
      </c>
      <c r="C204" t="s">
        <v>4391</v>
      </c>
      <c r="D204" t="s">
        <v>1913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4">
        <v>0</v>
      </c>
    </row>
    <row r="205" spans="1:31">
      <c r="A205" t="s">
        <v>207</v>
      </c>
      <c r="B205" t="s">
        <v>4390</v>
      </c>
      <c r="C205" t="s">
        <v>4389</v>
      </c>
      <c r="D205" t="s">
        <v>1913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1769</v>
      </c>
    </row>
    <row r="206" spans="1:31">
      <c r="A206" t="s">
        <v>208</v>
      </c>
      <c r="B206" t="s">
        <v>4388</v>
      </c>
      <c r="C206" t="s">
        <v>4387</v>
      </c>
      <c r="D206" t="s">
        <v>1916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1769</v>
      </c>
    </row>
    <row r="207" spans="1:31">
      <c r="A207" t="s">
        <v>209</v>
      </c>
      <c r="B207" t="s">
        <v>4386</v>
      </c>
      <c r="C207" t="s">
        <v>4385</v>
      </c>
      <c r="D207" t="s">
        <v>1913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1769</v>
      </c>
    </row>
    <row r="208" spans="1:31">
      <c r="A208" t="s">
        <v>1830</v>
      </c>
      <c r="B208" t="s">
        <v>4384</v>
      </c>
      <c r="C208" t="s">
        <v>4383</v>
      </c>
      <c r="D208" t="s">
        <v>1913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1769</v>
      </c>
    </row>
    <row r="209" spans="1:31">
      <c r="A209" t="s">
        <v>1827</v>
      </c>
      <c r="B209" t="s">
        <v>4382</v>
      </c>
      <c r="C209" t="s">
        <v>4381</v>
      </c>
      <c r="D209" t="s">
        <v>1916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4">
        <v>1E-3</v>
      </c>
    </row>
    <row r="210" spans="1:31">
      <c r="A210" t="s">
        <v>1824</v>
      </c>
      <c r="B210" t="s">
        <v>4380</v>
      </c>
      <c r="C210" t="s">
        <v>4379</v>
      </c>
      <c r="D210" t="s">
        <v>1913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1769</v>
      </c>
    </row>
    <row r="211" spans="1:31">
      <c r="A211" t="s">
        <v>1969</v>
      </c>
      <c r="B211" t="s">
        <v>4378</v>
      </c>
      <c r="C211" t="s">
        <v>4377</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4">
        <v>1.0999999999999999E-2</v>
      </c>
    </row>
    <row r="212" spans="1:31">
      <c r="A212" t="s">
        <v>1877</v>
      </c>
    </row>
    <row r="213" spans="1:31">
      <c r="A213" t="s">
        <v>201</v>
      </c>
      <c r="B213" t="s">
        <v>4376</v>
      </c>
      <c r="C213" t="s">
        <v>4375</v>
      </c>
      <c r="D213" t="s">
        <v>1913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4">
        <v>6.0000000000000001E-3</v>
      </c>
    </row>
    <row r="214" spans="1:31">
      <c r="A214" t="s">
        <v>202</v>
      </c>
      <c r="B214" t="s">
        <v>4374</v>
      </c>
      <c r="C214" t="s">
        <v>4373</v>
      </c>
      <c r="D214" t="s">
        <v>1916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4">
        <v>6.0000000000000001E-3</v>
      </c>
    </row>
    <row r="215" spans="1:31">
      <c r="A215" t="s">
        <v>203</v>
      </c>
      <c r="B215" t="s">
        <v>4372</v>
      </c>
      <c r="C215" t="s">
        <v>4371</v>
      </c>
      <c r="D215" t="s">
        <v>1916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4">
        <v>1.2E-2</v>
      </c>
    </row>
    <row r="216" spans="1:31">
      <c r="A216" t="s">
        <v>204</v>
      </c>
      <c r="B216" t="s">
        <v>4370</v>
      </c>
      <c r="C216" t="s">
        <v>4369</v>
      </c>
      <c r="D216" t="s">
        <v>1916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4">
        <v>8.9999999999999993E-3</v>
      </c>
    </row>
    <row r="217" spans="1:31">
      <c r="A217" t="s">
        <v>205</v>
      </c>
      <c r="B217" t="s">
        <v>4368</v>
      </c>
      <c r="C217" t="s">
        <v>4367</v>
      </c>
      <c r="D217" t="s">
        <v>1956</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4">
        <v>7.0000000000000001E-3</v>
      </c>
    </row>
    <row r="218" spans="1:31">
      <c r="A218" t="s">
        <v>206</v>
      </c>
      <c r="B218" t="s">
        <v>4366</v>
      </c>
      <c r="C218" t="s">
        <v>4365</v>
      </c>
      <c r="D218" t="s">
        <v>1916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4">
        <v>1E-3</v>
      </c>
    </row>
    <row r="219" spans="1:31">
      <c r="A219" t="s">
        <v>207</v>
      </c>
      <c r="B219" t="s">
        <v>4364</v>
      </c>
      <c r="C219" t="s">
        <v>4363</v>
      </c>
      <c r="D219" t="s">
        <v>1916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1769</v>
      </c>
    </row>
    <row r="220" spans="1:31">
      <c r="A220" t="s">
        <v>208</v>
      </c>
      <c r="B220" t="s">
        <v>4362</v>
      </c>
      <c r="C220" t="s">
        <v>4361</v>
      </c>
      <c r="D220" t="s">
        <v>1916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4">
        <v>0</v>
      </c>
    </row>
    <row r="221" spans="1:31">
      <c r="A221" t="s">
        <v>209</v>
      </c>
      <c r="B221" t="s">
        <v>4360</v>
      </c>
      <c r="C221" t="s">
        <v>4359</v>
      </c>
      <c r="D221" t="s">
        <v>1916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1769</v>
      </c>
    </row>
    <row r="222" spans="1:31">
      <c r="A222" t="s">
        <v>1830</v>
      </c>
      <c r="B222" t="s">
        <v>4358</v>
      </c>
      <c r="C222" t="s">
        <v>4357</v>
      </c>
      <c r="D222" t="s">
        <v>1913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1769</v>
      </c>
    </row>
    <row r="223" spans="1:31">
      <c r="A223" t="s">
        <v>1827</v>
      </c>
      <c r="B223" t="s">
        <v>4356</v>
      </c>
      <c r="C223" t="s">
        <v>4355</v>
      </c>
      <c r="D223" t="s">
        <v>1916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4">
        <v>3.0000000000000001E-3</v>
      </c>
    </row>
    <row r="224" spans="1:31">
      <c r="A224" t="s">
        <v>1824</v>
      </c>
      <c r="B224" t="s">
        <v>4354</v>
      </c>
      <c r="C224" t="s">
        <v>4353</v>
      </c>
      <c r="D224" t="s">
        <v>1913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1769</v>
      </c>
    </row>
    <row r="225" spans="1:31">
      <c r="A225" t="s">
        <v>1941</v>
      </c>
      <c r="B225" t="s">
        <v>4352</v>
      </c>
      <c r="C225" t="s">
        <v>4351</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4">
        <v>6.0000000000000001E-3</v>
      </c>
    </row>
    <row r="226" spans="1:31">
      <c r="A226" t="s">
        <v>1849</v>
      </c>
    </row>
    <row r="227" spans="1:31">
      <c r="A227" t="s">
        <v>201</v>
      </c>
      <c r="B227" t="s">
        <v>4350</v>
      </c>
      <c r="C227" t="s">
        <v>4349</v>
      </c>
      <c r="D227" t="s">
        <v>1913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4">
        <v>6.0000000000000001E-3</v>
      </c>
    </row>
    <row r="228" spans="1:31">
      <c r="A228" t="s">
        <v>202</v>
      </c>
      <c r="B228" t="s">
        <v>4348</v>
      </c>
      <c r="C228" t="s">
        <v>4347</v>
      </c>
      <c r="D228" t="s">
        <v>1916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4">
        <v>7.0000000000000001E-3</v>
      </c>
    </row>
    <row r="229" spans="1:31">
      <c r="A229" t="s">
        <v>203</v>
      </c>
      <c r="B229" t="s">
        <v>4346</v>
      </c>
      <c r="C229" t="s">
        <v>4345</v>
      </c>
      <c r="D229" t="s">
        <v>1916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4">
        <v>0</v>
      </c>
    </row>
    <row r="230" spans="1:31">
      <c r="A230" t="s">
        <v>204</v>
      </c>
      <c r="B230" t="s">
        <v>4344</v>
      </c>
      <c r="C230" t="s">
        <v>4343</v>
      </c>
      <c r="D230" t="s">
        <v>1913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4">
        <v>0.01</v>
      </c>
    </row>
    <row r="231" spans="1:31">
      <c r="A231" t="s">
        <v>205</v>
      </c>
      <c r="B231" t="s">
        <v>4342</v>
      </c>
      <c r="C231" t="s">
        <v>4341</v>
      </c>
      <c r="D231" t="s">
        <v>1916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1769</v>
      </c>
    </row>
    <row r="232" spans="1:31">
      <c r="A232" t="s">
        <v>206</v>
      </c>
      <c r="B232" t="s">
        <v>4340</v>
      </c>
      <c r="C232" t="s">
        <v>4339</v>
      </c>
      <c r="D232" t="s">
        <v>1913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4">
        <v>5.0000000000000001E-3</v>
      </c>
    </row>
    <row r="233" spans="1:31">
      <c r="A233" t="s">
        <v>207</v>
      </c>
      <c r="B233" t="s">
        <v>4338</v>
      </c>
      <c r="C233" t="s">
        <v>4337</v>
      </c>
      <c r="D233" t="s">
        <v>1913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1769</v>
      </c>
    </row>
    <row r="234" spans="1:31">
      <c r="A234" t="s">
        <v>208</v>
      </c>
      <c r="B234" t="s">
        <v>4336</v>
      </c>
      <c r="C234" t="s">
        <v>4335</v>
      </c>
      <c r="D234" t="s">
        <v>1916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1769</v>
      </c>
    </row>
    <row r="235" spans="1:31">
      <c r="A235" t="s">
        <v>209</v>
      </c>
      <c r="B235" t="s">
        <v>4334</v>
      </c>
      <c r="C235" t="s">
        <v>4333</v>
      </c>
      <c r="D235" t="s">
        <v>1913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1769</v>
      </c>
    </row>
    <row r="236" spans="1:31">
      <c r="A236" t="s">
        <v>1830</v>
      </c>
      <c r="B236" t="s">
        <v>4332</v>
      </c>
      <c r="C236" t="s">
        <v>4331</v>
      </c>
      <c r="D236" t="s">
        <v>1913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1769</v>
      </c>
    </row>
    <row r="237" spans="1:31">
      <c r="A237" t="s">
        <v>1827</v>
      </c>
      <c r="B237" t="s">
        <v>4330</v>
      </c>
      <c r="C237" t="s">
        <v>4329</v>
      </c>
      <c r="D237" t="s">
        <v>1916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1769</v>
      </c>
    </row>
    <row r="238" spans="1:31">
      <c r="A238" t="s">
        <v>1824</v>
      </c>
      <c r="B238" t="s">
        <v>4328</v>
      </c>
      <c r="C238" t="s">
        <v>4327</v>
      </c>
      <c r="D238" t="s">
        <v>1913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1769</v>
      </c>
    </row>
    <row r="239" spans="1:31">
      <c r="A239" t="s">
        <v>1912</v>
      </c>
      <c r="B239" t="s">
        <v>4326</v>
      </c>
      <c r="C239" t="s">
        <v>4325</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4">
        <v>6.0000000000000001E-3</v>
      </c>
    </row>
    <row r="240" spans="1:31">
      <c r="A240" t="s">
        <v>1909</v>
      </c>
      <c r="B240" t="s">
        <v>4324</v>
      </c>
      <c r="C240" t="s">
        <v>4323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4">
        <v>8.0000000000000002E-3</v>
      </c>
    </row>
    <row r="241" spans="1:31">
      <c r="A241" t="s">
        <v>1906</v>
      </c>
    </row>
    <row r="242" spans="1:31">
      <c r="A242" t="s">
        <v>1905</v>
      </c>
    </row>
    <row r="243" spans="1:31">
      <c r="A243" t="s">
        <v>201</v>
      </c>
      <c r="B243" t="s">
        <v>4322</v>
      </c>
      <c r="C243" t="s">
        <v>4321</v>
      </c>
      <c r="D243" t="s">
        <v>1815</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4">
        <v>-5.8000000000000003E-2</v>
      </c>
    </row>
    <row r="244" spans="1:31">
      <c r="A244" t="s">
        <v>202</v>
      </c>
      <c r="B244" t="s">
        <v>4320</v>
      </c>
      <c r="C244" t="s">
        <v>4319</v>
      </c>
      <c r="D244" t="s">
        <v>1815</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4">
        <v>-4.1000000000000002E-2</v>
      </c>
    </row>
    <row r="245" spans="1:31">
      <c r="A245" t="s">
        <v>203</v>
      </c>
      <c r="B245" t="s">
        <v>4318</v>
      </c>
      <c r="C245" t="s">
        <v>4317</v>
      </c>
      <c r="D245" t="s">
        <v>1815</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4">
        <v>1.0999999999999999E-2</v>
      </c>
    </row>
    <row r="246" spans="1:31">
      <c r="A246" t="s">
        <v>204</v>
      </c>
      <c r="B246" t="s">
        <v>4316</v>
      </c>
      <c r="C246" t="s">
        <v>4315</v>
      </c>
      <c r="D246" t="s">
        <v>1815</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4">
        <v>4.9000000000000002E-2</v>
      </c>
    </row>
    <row r="247" spans="1:31">
      <c r="A247" t="s">
        <v>205</v>
      </c>
      <c r="B247" t="s">
        <v>4314</v>
      </c>
      <c r="C247" t="s">
        <v>4313</v>
      </c>
      <c r="D247" t="s">
        <v>1815</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4">
        <v>1.0999999999999999E-2</v>
      </c>
    </row>
    <row r="248" spans="1:31">
      <c r="A248" t="s">
        <v>206</v>
      </c>
      <c r="B248" t="s">
        <v>4312</v>
      </c>
      <c r="C248" t="s">
        <v>4311</v>
      </c>
      <c r="D248" t="s">
        <v>1815</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4">
        <v>0.192</v>
      </c>
    </row>
    <row r="249" spans="1:31">
      <c r="A249" t="s">
        <v>207</v>
      </c>
      <c r="B249" t="s">
        <v>4310</v>
      </c>
      <c r="C249" t="s">
        <v>4309</v>
      </c>
      <c r="D249" t="s">
        <v>1815</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1769</v>
      </c>
    </row>
    <row r="250" spans="1:31">
      <c r="A250" t="s">
        <v>208</v>
      </c>
      <c r="B250" t="s">
        <v>4308</v>
      </c>
      <c r="C250" t="s">
        <v>4307</v>
      </c>
      <c r="D250" t="s">
        <v>1815</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1769</v>
      </c>
    </row>
    <row r="251" spans="1:31">
      <c r="A251" t="s">
        <v>209</v>
      </c>
      <c r="B251" t="s">
        <v>4306</v>
      </c>
      <c r="C251" t="s">
        <v>4305</v>
      </c>
      <c r="D251" t="s">
        <v>1815</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1769</v>
      </c>
    </row>
    <row r="252" spans="1:31">
      <c r="A252" t="s">
        <v>1830</v>
      </c>
      <c r="B252" t="s">
        <v>4304</v>
      </c>
      <c r="C252" t="s">
        <v>4303</v>
      </c>
      <c r="D252" t="s">
        <v>1815</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1769</v>
      </c>
    </row>
    <row r="253" spans="1:31">
      <c r="A253" t="s">
        <v>1827</v>
      </c>
      <c r="B253" t="s">
        <v>4302</v>
      </c>
      <c r="C253" t="s">
        <v>4301</v>
      </c>
      <c r="D253" t="s">
        <v>1815</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4">
        <v>0.19500000000000001</v>
      </c>
    </row>
    <row r="254" spans="1:31">
      <c r="A254" t="s">
        <v>1824</v>
      </c>
      <c r="B254" t="s">
        <v>4300</v>
      </c>
      <c r="C254" t="s">
        <v>4299</v>
      </c>
      <c r="D254" t="s">
        <v>1815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1769</v>
      </c>
    </row>
    <row r="255" spans="1:31">
      <c r="A255" t="s">
        <v>1880</v>
      </c>
      <c r="B255" t="s">
        <v>4298</v>
      </c>
      <c r="C255" t="s">
        <v>4297</v>
      </c>
      <c r="D255" t="s">
        <v>1815</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4">
        <v>1.2E-2</v>
      </c>
    </row>
    <row r="256" spans="1:31">
      <c r="A256" t="s">
        <v>1877</v>
      </c>
    </row>
    <row r="257" spans="1:31">
      <c r="A257" t="s">
        <v>201</v>
      </c>
      <c r="B257" t="s">
        <v>4296</v>
      </c>
      <c r="C257" t="s">
        <v>4295</v>
      </c>
      <c r="D257" t="s">
        <v>1815</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4">
        <v>-1.0999999999999999E-2</v>
      </c>
    </row>
    <row r="258" spans="1:31">
      <c r="A258" t="s">
        <v>202</v>
      </c>
      <c r="B258" t="s">
        <v>4294</v>
      </c>
      <c r="C258" t="s">
        <v>4293</v>
      </c>
      <c r="D258" t="s">
        <v>1815</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4">
        <v>-1E-3</v>
      </c>
    </row>
    <row r="259" spans="1:31">
      <c r="A259" t="s">
        <v>203</v>
      </c>
      <c r="B259" t="s">
        <v>4292</v>
      </c>
      <c r="C259" t="s">
        <v>4291</v>
      </c>
      <c r="D259" t="s">
        <v>1815</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4">
        <v>2E-3</v>
      </c>
    </row>
    <row r="260" spans="1:31">
      <c r="A260" t="s">
        <v>204</v>
      </c>
      <c r="B260" t="s">
        <v>4290</v>
      </c>
      <c r="C260" t="s">
        <v>4289</v>
      </c>
      <c r="D260" t="s">
        <v>1815</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4">
        <v>0</v>
      </c>
    </row>
    <row r="261" spans="1:31">
      <c r="A261" t="s">
        <v>205</v>
      </c>
      <c r="B261" t="s">
        <v>4288</v>
      </c>
      <c r="C261" t="s">
        <v>4287</v>
      </c>
      <c r="D261" t="s">
        <v>1815</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4">
        <v>2E-3</v>
      </c>
    </row>
    <row r="262" spans="1:31">
      <c r="A262" t="s">
        <v>206</v>
      </c>
      <c r="B262" t="s">
        <v>4286</v>
      </c>
      <c r="C262" t="s">
        <v>4285</v>
      </c>
      <c r="D262" t="s">
        <v>1815</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4">
        <v>2E-3</v>
      </c>
    </row>
    <row r="263" spans="1:31">
      <c r="A263" t="s">
        <v>207</v>
      </c>
      <c r="B263" t="s">
        <v>4284</v>
      </c>
      <c r="C263" t="s">
        <v>4283</v>
      </c>
      <c r="D263" t="s">
        <v>1815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1769</v>
      </c>
    </row>
    <row r="264" spans="1:31">
      <c r="A264" t="s">
        <v>208</v>
      </c>
      <c r="B264" t="s">
        <v>4282</v>
      </c>
      <c r="C264" t="s">
        <v>4281</v>
      </c>
      <c r="D264" t="s">
        <v>1815</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4">
        <v>-1</v>
      </c>
    </row>
    <row r="265" spans="1:31">
      <c r="A265" t="s">
        <v>209</v>
      </c>
      <c r="B265" t="s">
        <v>4280</v>
      </c>
      <c r="C265" t="s">
        <v>4279</v>
      </c>
      <c r="D265" t="s">
        <v>1815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1769</v>
      </c>
    </row>
    <row r="266" spans="1:31">
      <c r="A266" t="s">
        <v>1830</v>
      </c>
      <c r="B266" t="s">
        <v>4278</v>
      </c>
      <c r="C266" t="s">
        <v>4277</v>
      </c>
      <c r="D266" t="s">
        <v>1815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1769</v>
      </c>
    </row>
    <row r="267" spans="1:31">
      <c r="A267" t="s">
        <v>1827</v>
      </c>
      <c r="B267" t="s">
        <v>4276</v>
      </c>
      <c r="C267" t="s">
        <v>4275</v>
      </c>
      <c r="D267" t="s">
        <v>1815</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4">
        <v>0.14099999999999999</v>
      </c>
    </row>
    <row r="268" spans="1:31">
      <c r="A268" t="s">
        <v>1824</v>
      </c>
      <c r="B268" t="s">
        <v>4274</v>
      </c>
      <c r="C268" t="s">
        <v>4273</v>
      </c>
      <c r="D268" t="s">
        <v>1815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1769</v>
      </c>
    </row>
    <row r="269" spans="1:31">
      <c r="A269" t="s">
        <v>1852</v>
      </c>
      <c r="B269" t="s">
        <v>4272</v>
      </c>
      <c r="C269" t="s">
        <v>4271</v>
      </c>
      <c r="D269" t="s">
        <v>1815</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4">
        <v>2E-3</v>
      </c>
    </row>
    <row r="270" spans="1:31">
      <c r="A270" t="s">
        <v>1849</v>
      </c>
    </row>
    <row r="271" spans="1:31">
      <c r="A271" t="s">
        <v>201</v>
      </c>
      <c r="B271" t="s">
        <v>4270</v>
      </c>
      <c r="C271" t="s">
        <v>4269</v>
      </c>
      <c r="D271" t="s">
        <v>1815</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4">
        <v>1E-3</v>
      </c>
    </row>
    <row r="272" spans="1:31">
      <c r="A272" t="s">
        <v>202</v>
      </c>
      <c r="B272" t="s">
        <v>4268</v>
      </c>
      <c r="C272" t="s">
        <v>4267</v>
      </c>
      <c r="D272" t="s">
        <v>1815</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4">
        <v>2E-3</v>
      </c>
    </row>
    <row r="273" spans="1:31">
      <c r="A273" t="s">
        <v>203</v>
      </c>
      <c r="B273" t="s">
        <v>4266</v>
      </c>
      <c r="C273" t="s">
        <v>4265</v>
      </c>
      <c r="D273" t="s">
        <v>1815</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1769</v>
      </c>
    </row>
    <row r="274" spans="1:31">
      <c r="A274" t="s">
        <v>204</v>
      </c>
      <c r="B274" t="s">
        <v>4264</v>
      </c>
      <c r="C274" t="s">
        <v>4263</v>
      </c>
      <c r="D274" t="s">
        <v>1815</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4">
        <v>3.6999999999999998E-2</v>
      </c>
    </row>
    <row r="275" spans="1:31">
      <c r="A275" t="s">
        <v>205</v>
      </c>
      <c r="B275" t="s">
        <v>4262</v>
      </c>
      <c r="C275" t="s">
        <v>4261</v>
      </c>
      <c r="D275" t="s">
        <v>1815</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1769</v>
      </c>
    </row>
    <row r="276" spans="1:31">
      <c r="A276" t="s">
        <v>206</v>
      </c>
      <c r="B276" t="s">
        <v>4260</v>
      </c>
      <c r="C276" t="s">
        <v>4259</v>
      </c>
      <c r="D276" t="s">
        <v>1815</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4">
        <v>2E-3</v>
      </c>
    </row>
    <row r="277" spans="1:31">
      <c r="A277" t="s">
        <v>207</v>
      </c>
      <c r="B277" t="s">
        <v>4258</v>
      </c>
      <c r="C277" t="s">
        <v>4257</v>
      </c>
      <c r="D277" t="s">
        <v>1815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1769</v>
      </c>
    </row>
    <row r="278" spans="1:31">
      <c r="A278" t="s">
        <v>208</v>
      </c>
      <c r="B278" t="s">
        <v>4256</v>
      </c>
      <c r="C278" t="s">
        <v>4255</v>
      </c>
      <c r="D278" t="s">
        <v>1815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1769</v>
      </c>
    </row>
    <row r="279" spans="1:31">
      <c r="A279" t="s">
        <v>209</v>
      </c>
      <c r="B279" t="s">
        <v>4254</v>
      </c>
      <c r="C279" t="s">
        <v>4253</v>
      </c>
      <c r="D279" t="s">
        <v>1815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1769</v>
      </c>
    </row>
    <row r="280" spans="1:31">
      <c r="A280" t="s">
        <v>1830</v>
      </c>
      <c r="B280" t="s">
        <v>4252</v>
      </c>
      <c r="C280" t="s">
        <v>4251</v>
      </c>
      <c r="D280" t="s">
        <v>1815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1769</v>
      </c>
    </row>
    <row r="281" spans="1:31">
      <c r="A281" t="s">
        <v>1827</v>
      </c>
      <c r="B281" t="s">
        <v>4250</v>
      </c>
      <c r="C281" t="s">
        <v>4249</v>
      </c>
      <c r="D281" t="s">
        <v>1815</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1769</v>
      </c>
    </row>
    <row r="282" spans="1:31">
      <c r="A282" t="s">
        <v>1824</v>
      </c>
      <c r="B282" t="s">
        <v>4248</v>
      </c>
      <c r="C282" t="s">
        <v>4247</v>
      </c>
      <c r="D282" t="s">
        <v>1815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1769</v>
      </c>
    </row>
    <row r="283" spans="1:31">
      <c r="A283" t="s">
        <v>1821</v>
      </c>
      <c r="B283" t="s">
        <v>4246</v>
      </c>
      <c r="C283" t="s">
        <v>4245</v>
      </c>
      <c r="D283" t="s">
        <v>1815</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4">
        <v>2E-3</v>
      </c>
    </row>
    <row r="284" spans="1:31">
      <c r="A284" t="s">
        <v>1818</v>
      </c>
      <c r="B284" t="s">
        <v>4244</v>
      </c>
      <c r="C284" t="s">
        <v>4243</v>
      </c>
      <c r="D284" t="s">
        <v>1815</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4">
        <v>7.0000000000000001E-3</v>
      </c>
    </row>
    <row r="285" spans="1:31">
      <c r="A285" t="s">
        <v>192</v>
      </c>
    </row>
    <row r="286" spans="1:31">
      <c r="A286" t="s">
        <v>1814</v>
      </c>
      <c r="B286" t="s">
        <v>4242</v>
      </c>
      <c r="C286" t="s">
        <v>4241</v>
      </c>
      <c r="D286" t="s">
        <v>1798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4">
        <v>0</v>
      </c>
    </row>
    <row r="287" spans="1:31">
      <c r="A287" t="s">
        <v>1797</v>
      </c>
      <c r="B287" t="s">
        <v>4240</v>
      </c>
      <c r="C287" t="s">
        <v>4239</v>
      </c>
      <c r="D287" t="s">
        <v>1794</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4">
        <v>1E-3</v>
      </c>
    </row>
    <row r="288" spans="1:31">
      <c r="A288" t="s">
        <v>154</v>
      </c>
    </row>
    <row r="289" spans="1:31">
      <c r="A289" t="s">
        <v>212</v>
      </c>
      <c r="B289" t="s">
        <v>4238</v>
      </c>
      <c r="C289" t="s">
        <v>4237</v>
      </c>
      <c r="D289" t="s">
        <v>1766</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4">
        <v>-1E-3</v>
      </c>
    </row>
    <row r="290" spans="1:31">
      <c r="A290" t="s">
        <v>213</v>
      </c>
      <c r="B290" t="s">
        <v>4236</v>
      </c>
      <c r="C290" t="s">
        <v>4235</v>
      </c>
      <c r="D290" t="s">
        <v>1766</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1769</v>
      </c>
    </row>
    <row r="291" spans="1:31">
      <c r="A291" t="s">
        <v>214</v>
      </c>
      <c r="B291" t="s">
        <v>4234</v>
      </c>
      <c r="C291" t="s">
        <v>4233</v>
      </c>
      <c r="D291" t="s">
        <v>1766</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1769</v>
      </c>
    </row>
    <row r="292" spans="1:31">
      <c r="A292" t="s">
        <v>215</v>
      </c>
      <c r="B292" t="s">
        <v>4232</v>
      </c>
      <c r="C292" t="s">
        <v>4231</v>
      </c>
      <c r="D292" t="s">
        <v>1766</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1769</v>
      </c>
    </row>
    <row r="293" spans="1:31">
      <c r="A293" t="s">
        <v>193</v>
      </c>
    </row>
    <row r="294" spans="1:31">
      <c r="A294" t="s">
        <v>1801</v>
      </c>
      <c r="B294" t="s">
        <v>4230</v>
      </c>
      <c r="C294" t="s">
        <v>4229</v>
      </c>
      <c r="D294" t="s">
        <v>1798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4">
        <v>-2E-3</v>
      </c>
    </row>
    <row r="295" spans="1:31">
      <c r="A295" t="s">
        <v>1797</v>
      </c>
      <c r="B295" t="s">
        <v>4228</v>
      </c>
      <c r="C295" t="s">
        <v>4227</v>
      </c>
      <c r="D295" t="s">
        <v>1794</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4">
        <v>4.0000000000000001E-3</v>
      </c>
    </row>
    <row r="296" spans="1:31">
      <c r="A296" t="s">
        <v>154</v>
      </c>
    </row>
    <row r="297" spans="1:31">
      <c r="A297" t="s">
        <v>212</v>
      </c>
      <c r="B297" t="s">
        <v>4226</v>
      </c>
      <c r="C297" t="s">
        <v>4225</v>
      </c>
      <c r="D297" t="s">
        <v>1766</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4">
        <v>-7.0000000000000001E-3</v>
      </c>
    </row>
    <row r="298" spans="1:31">
      <c r="A298" t="s">
        <v>213</v>
      </c>
      <c r="B298" t="s">
        <v>4224</v>
      </c>
      <c r="C298" t="s">
        <v>4223</v>
      </c>
      <c r="D298" t="s">
        <v>1766</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4">
        <v>-5.3999999999999999E-2</v>
      </c>
    </row>
    <row r="299" spans="1:31">
      <c r="A299" t="s">
        <v>214</v>
      </c>
      <c r="B299" t="s">
        <v>4222</v>
      </c>
      <c r="C299" t="s">
        <v>4221</v>
      </c>
      <c r="D299" t="s">
        <v>1766</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1769</v>
      </c>
    </row>
    <row r="300" spans="1:31">
      <c r="A300" t="s">
        <v>215</v>
      </c>
      <c r="B300" t="s">
        <v>4220</v>
      </c>
      <c r="C300" t="s">
        <v>4219</v>
      </c>
      <c r="D300" t="s">
        <v>1766</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4">
        <v>5.0999999999999997E-2</v>
      </c>
    </row>
    <row r="301" spans="1:31">
      <c r="A301" t="s">
        <v>194</v>
      </c>
    </row>
    <row r="302" spans="1:31">
      <c r="A302" t="s">
        <v>1785</v>
      </c>
      <c r="B302" t="s">
        <v>4218</v>
      </c>
      <c r="C302" t="s">
        <v>4217</v>
      </c>
      <c r="D302" t="s">
        <v>1776</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4">
        <v>2.5000000000000001E-2</v>
      </c>
    </row>
    <row r="303" spans="1:31">
      <c r="A303" t="s">
        <v>1782</v>
      </c>
      <c r="B303" t="s">
        <v>4216</v>
      </c>
      <c r="C303" t="s">
        <v>4215</v>
      </c>
      <c r="D303" t="s">
        <v>1776</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4">
        <v>2.3E-2</v>
      </c>
    </row>
    <row r="304" spans="1:31">
      <c r="A304" t="s">
        <v>1779</v>
      </c>
      <c r="B304" t="s">
        <v>4214</v>
      </c>
      <c r="C304" t="s">
        <v>4213</v>
      </c>
      <c r="D304" t="s">
        <v>1776</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4">
        <v>2.7E-2</v>
      </c>
    </row>
    <row r="305" spans="1:31">
      <c r="A305" t="s">
        <v>154</v>
      </c>
    </row>
    <row r="306" spans="1:31">
      <c r="A306" t="s">
        <v>212</v>
      </c>
      <c r="B306" t="s">
        <v>4212</v>
      </c>
      <c r="C306" t="s">
        <v>4211</v>
      </c>
      <c r="D306" t="s">
        <v>1766</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4">
        <v>1.4999999999999999E-2</v>
      </c>
    </row>
    <row r="307" spans="1:31">
      <c r="A307" t="s">
        <v>213</v>
      </c>
      <c r="B307" t="s">
        <v>4210</v>
      </c>
      <c r="C307" t="s">
        <v>4209</v>
      </c>
      <c r="D307" t="s">
        <v>1766</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4">
        <v>0.01</v>
      </c>
    </row>
    <row r="308" spans="1:31">
      <c r="A308" t="s">
        <v>214</v>
      </c>
      <c r="B308" t="s">
        <v>4208</v>
      </c>
      <c r="C308" t="s">
        <v>4207</v>
      </c>
      <c r="D308" t="s">
        <v>1766</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1769</v>
      </c>
    </row>
    <row r="309" spans="1:31">
      <c r="A309" t="s">
        <v>215</v>
      </c>
      <c r="B309" t="s">
        <v>4206</v>
      </c>
      <c r="C309" t="s">
        <v>4205</v>
      </c>
      <c r="D309" t="s">
        <v>1766</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4">
        <v>2.5000000000000001E-2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topLeftCell="A32" workbookViewId="0"/>
  </sheetViews>
  <sheetFormatPr defaultRowHeight="15"/>
  <sheetData>
    <row r="1" spans="1:31">
      <c r="A1" t="s">
        <v>3646</v>
      </c>
    </row>
    <row r="2" spans="1:31">
      <c r="A2" t="s">
        <v>4830</v>
      </c>
    </row>
    <row r="3" spans="1:31">
      <c r="A3" t="s">
        <v>4829</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4828</v>
      </c>
      <c r="C8" t="s">
        <v>4827</v>
      </c>
      <c r="D8" t="s">
        <v>1815</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4">
        <v>-3.6999999999999998E-2</v>
      </c>
    </row>
    <row r="9" spans="1:31">
      <c r="A9" t="s">
        <v>339</v>
      </c>
      <c r="B9" t="s">
        <v>4826</v>
      </c>
      <c r="C9" t="s">
        <v>4825</v>
      </c>
      <c r="D9" t="s">
        <v>1815</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4">
        <v>-0.11700000000000001</v>
      </c>
    </row>
    <row r="10" spans="1:31">
      <c r="A10" t="s">
        <v>2978</v>
      </c>
      <c r="B10" t="s">
        <v>4824</v>
      </c>
      <c r="C10" t="s">
        <v>4823</v>
      </c>
      <c r="D10" t="s">
        <v>1815</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4">
        <v>-3.6999999999999998E-2</v>
      </c>
    </row>
    <row r="11" spans="1:31">
      <c r="A11" t="s">
        <v>2975</v>
      </c>
    </row>
    <row r="12" spans="1:31">
      <c r="A12" t="s">
        <v>344</v>
      </c>
      <c r="B12" t="s">
        <v>4822</v>
      </c>
      <c r="C12" t="s">
        <v>4821</v>
      </c>
      <c r="D12" t="s">
        <v>1815</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4">
        <v>-0.113</v>
      </c>
    </row>
    <row r="13" spans="1:31">
      <c r="A13" t="s">
        <v>2928</v>
      </c>
      <c r="B13" t="s">
        <v>4820</v>
      </c>
      <c r="C13" t="s">
        <v>4819</v>
      </c>
      <c r="D13" t="s">
        <v>1815</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4">
        <v>1.7000000000000001E-2</v>
      </c>
    </row>
    <row r="14" spans="1:31">
      <c r="A14" t="s">
        <v>2925</v>
      </c>
      <c r="B14" t="s">
        <v>4818</v>
      </c>
      <c r="C14" t="s">
        <v>4817</v>
      </c>
      <c r="D14" t="s">
        <v>1815</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4">
        <v>5.3999999999999999E-2</v>
      </c>
    </row>
    <row r="15" spans="1:31">
      <c r="A15" t="s">
        <v>2922</v>
      </c>
      <c r="B15" t="s">
        <v>4816</v>
      </c>
      <c r="C15" t="s">
        <v>4815</v>
      </c>
      <c r="D15" t="s">
        <v>1815</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4">
        <v>6.2E-2</v>
      </c>
    </row>
    <row r="16" spans="1:31">
      <c r="A16" t="s">
        <v>2919</v>
      </c>
      <c r="B16" t="s">
        <v>4814</v>
      </c>
      <c r="C16" t="s">
        <v>4813</v>
      </c>
      <c r="D16" t="s">
        <v>1815</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4">
        <v>-3.2000000000000001E-2</v>
      </c>
    </row>
    <row r="17" spans="1:31">
      <c r="A17" t="s">
        <v>2916</v>
      </c>
      <c r="B17" t="s">
        <v>4812</v>
      </c>
      <c r="C17" t="s">
        <v>4811</v>
      </c>
      <c r="D17" t="s">
        <v>1815</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4">
        <v>0.01</v>
      </c>
    </row>
    <row r="18" spans="1:31">
      <c r="A18" t="s">
        <v>353</v>
      </c>
      <c r="B18" t="s">
        <v>4810</v>
      </c>
      <c r="C18" t="s">
        <v>4809</v>
      </c>
      <c r="D18" t="s">
        <v>1815</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4">
        <v>2.3E-2</v>
      </c>
    </row>
    <row r="19" spans="1:31">
      <c r="A19" t="s">
        <v>365</v>
      </c>
      <c r="B19" t="s">
        <v>4808</v>
      </c>
      <c r="C19" t="s">
        <v>4807</v>
      </c>
      <c r="D19" t="s">
        <v>1815</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4">
        <v>-0.113</v>
      </c>
    </row>
    <row r="20" spans="1:31">
      <c r="A20" t="s">
        <v>2946</v>
      </c>
      <c r="B20" t="s">
        <v>4806</v>
      </c>
      <c r="C20" t="s">
        <v>4805</v>
      </c>
      <c r="D20" t="s">
        <v>1815</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4">
        <v>3.3000000000000002E-2</v>
      </c>
    </row>
    <row r="21" spans="1:31">
      <c r="A21" t="s">
        <v>708</v>
      </c>
      <c r="B21" t="s">
        <v>4804</v>
      </c>
      <c r="C21" t="s">
        <v>4803</v>
      </c>
      <c r="D21" t="s">
        <v>1815</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4">
        <v>-1.7000000000000001E-2</v>
      </c>
    </row>
    <row r="22" spans="1:31">
      <c r="A22" t="s">
        <v>3496</v>
      </c>
    </row>
    <row r="23" spans="1:31">
      <c r="A23" t="s">
        <v>2939</v>
      </c>
    </row>
    <row r="24" spans="1:31">
      <c r="A24" t="s">
        <v>337</v>
      </c>
      <c r="B24" t="s">
        <v>4802</v>
      </c>
      <c r="C24" t="s">
        <v>4801</v>
      </c>
      <c r="D24" t="s">
        <v>1815</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4">
        <v>-5.0000000000000001E-3</v>
      </c>
    </row>
    <row r="25" spans="1:31">
      <c r="A25" t="s">
        <v>339</v>
      </c>
      <c r="B25" t="s">
        <v>4800</v>
      </c>
      <c r="C25" t="s">
        <v>4799</v>
      </c>
      <c r="D25" t="s">
        <v>1815</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4">
        <v>2.1999999999999999E-2</v>
      </c>
    </row>
    <row r="26" spans="1:31">
      <c r="A26" t="s">
        <v>2934</v>
      </c>
      <c r="B26" t="s">
        <v>4798</v>
      </c>
      <c r="C26" t="s">
        <v>4797</v>
      </c>
      <c r="D26" t="s">
        <v>1815</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4">
        <v>-4.0000000000000001E-3</v>
      </c>
    </row>
    <row r="27" spans="1:31">
      <c r="A27" t="s">
        <v>2931</v>
      </c>
    </row>
    <row r="28" spans="1:31">
      <c r="A28" t="s">
        <v>344</v>
      </c>
      <c r="B28" t="s">
        <v>4796</v>
      </c>
      <c r="C28" t="s">
        <v>4795</v>
      </c>
      <c r="D28" t="s">
        <v>1815</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4">
        <v>-0.114</v>
      </c>
    </row>
    <row r="29" spans="1:31">
      <c r="A29" t="s">
        <v>2928</v>
      </c>
      <c r="B29" t="s">
        <v>4794</v>
      </c>
      <c r="C29" t="s">
        <v>4793</v>
      </c>
      <c r="D29" t="s">
        <v>1815</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4">
        <v>8.8999999999999996E-2</v>
      </c>
    </row>
    <row r="30" spans="1:31">
      <c r="A30" t="s">
        <v>2925</v>
      </c>
      <c r="B30" t="s">
        <v>4792</v>
      </c>
      <c r="C30" t="s">
        <v>4791</v>
      </c>
      <c r="D30" t="s">
        <v>1815</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4">
        <v>0.14199999999999999</v>
      </c>
    </row>
    <row r="31" spans="1:31">
      <c r="A31" t="s">
        <v>2922</v>
      </c>
      <c r="B31" t="s">
        <v>4790</v>
      </c>
      <c r="C31" t="s">
        <v>4789</v>
      </c>
      <c r="D31" t="s">
        <v>1815</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4">
        <v>0.113</v>
      </c>
    </row>
    <row r="32" spans="1:31">
      <c r="A32" t="s">
        <v>2919</v>
      </c>
      <c r="B32" t="s">
        <v>4788</v>
      </c>
      <c r="C32" t="s">
        <v>4787</v>
      </c>
      <c r="D32" t="s">
        <v>1815</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4">
        <v>3.5000000000000003E-2</v>
      </c>
    </row>
    <row r="33" spans="1:31">
      <c r="A33" t="s">
        <v>2916</v>
      </c>
      <c r="B33" t="s">
        <v>4786</v>
      </c>
      <c r="C33" t="s">
        <v>4785</v>
      </c>
      <c r="D33" t="s">
        <v>1815</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4">
        <v>6.5000000000000002E-2</v>
      </c>
    </row>
    <row r="34" spans="1:31">
      <c r="A34" t="s">
        <v>353</v>
      </c>
      <c r="B34" t="s">
        <v>4784</v>
      </c>
      <c r="C34" t="s">
        <v>4783</v>
      </c>
      <c r="D34" t="s">
        <v>1815</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4">
        <v>7.3999999999999996E-2</v>
      </c>
    </row>
    <row r="35" spans="1:31">
      <c r="A35" t="s">
        <v>365</v>
      </c>
      <c r="B35" t="s">
        <v>4782</v>
      </c>
      <c r="C35" t="s">
        <v>4781</v>
      </c>
      <c r="D35" t="s">
        <v>1815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1769</v>
      </c>
    </row>
    <row r="36" spans="1:31">
      <c r="A36" t="s">
        <v>2897</v>
      </c>
      <c r="B36" t="s">
        <v>4780</v>
      </c>
      <c r="C36" t="s">
        <v>4779</v>
      </c>
      <c r="D36" t="s">
        <v>1815</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4">
        <v>5.0999999999999997E-2</v>
      </c>
    </row>
    <row r="37" spans="1:31">
      <c r="A37" t="s">
        <v>731</v>
      </c>
      <c r="B37" t="s">
        <v>4778</v>
      </c>
      <c r="C37" t="s">
        <v>4777</v>
      </c>
      <c r="D37" t="s">
        <v>1815</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4">
        <v>1.0999999999999999E-2</v>
      </c>
    </row>
    <row r="38" spans="1:31">
      <c r="A38" t="s">
        <v>393</v>
      </c>
      <c r="B38" t="s">
        <v>4776</v>
      </c>
      <c r="C38" t="s">
        <v>4775</v>
      </c>
      <c r="D38" t="s">
        <v>1815</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4">
        <v>3.0000000000000001E-3</v>
      </c>
    </row>
    <row r="39" spans="1:31">
      <c r="A39" t="s">
        <v>202</v>
      </c>
      <c r="B39" t="s">
        <v>4774</v>
      </c>
      <c r="C39" t="s">
        <v>4773</v>
      </c>
      <c r="D39" t="s">
        <v>1815</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4">
        <v>-8.9999999999999993E-3</v>
      </c>
    </row>
    <row r="40" spans="1:31">
      <c r="A40" t="s">
        <v>201</v>
      </c>
      <c r="B40" t="s">
        <v>4772</v>
      </c>
      <c r="C40" t="s">
        <v>4771</v>
      </c>
      <c r="D40" t="s">
        <v>1815</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4">
        <v>-3.5999999999999997E-2</v>
      </c>
    </row>
    <row r="41" spans="1:31">
      <c r="A41" t="s">
        <v>203</v>
      </c>
      <c r="B41" t="s">
        <v>4770</v>
      </c>
      <c r="C41" t="s">
        <v>4769</v>
      </c>
      <c r="D41" t="s">
        <v>1815</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4">
        <v>5.8000000000000003E-2</v>
      </c>
    </row>
    <row r="42" spans="1:31">
      <c r="A42" t="s">
        <v>204</v>
      </c>
      <c r="B42" t="s">
        <v>4768</v>
      </c>
      <c r="C42" t="s">
        <v>4767</v>
      </c>
      <c r="D42" t="s">
        <v>1815</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4">
        <v>0.11799999999999999</v>
      </c>
    </row>
    <row r="43" spans="1:31">
      <c r="A43" t="s">
        <v>205</v>
      </c>
      <c r="B43" t="s">
        <v>4766</v>
      </c>
      <c r="C43" t="s">
        <v>4765</v>
      </c>
      <c r="D43" t="s">
        <v>1815</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4">
        <v>-6.4000000000000001E-2</v>
      </c>
    </row>
    <row r="44" spans="1:31">
      <c r="A44" t="s">
        <v>206</v>
      </c>
      <c r="B44" t="s">
        <v>4764</v>
      </c>
      <c r="C44" t="s">
        <v>4763</v>
      </c>
      <c r="D44" t="s">
        <v>1815</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4">
        <v>0.10100000000000001</v>
      </c>
    </row>
    <row r="45" spans="1:31">
      <c r="A45" t="s">
        <v>208</v>
      </c>
      <c r="B45" t="s">
        <v>4762</v>
      </c>
      <c r="C45" t="s">
        <v>4761</v>
      </c>
      <c r="D45" t="s">
        <v>1815</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207</v>
      </c>
      <c r="B46" t="s">
        <v>4760</v>
      </c>
      <c r="C46" t="s">
        <v>4759</v>
      </c>
      <c r="D46" t="s">
        <v>1815</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209</v>
      </c>
      <c r="B47" t="s">
        <v>4758</v>
      </c>
      <c r="C47" t="s">
        <v>4757</v>
      </c>
      <c r="D47" t="s">
        <v>1815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1830</v>
      </c>
      <c r="B48" t="s">
        <v>4756</v>
      </c>
      <c r="C48" t="s">
        <v>4755</v>
      </c>
      <c r="D48" t="s">
        <v>1815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1827</v>
      </c>
      <c r="B49" t="s">
        <v>4754</v>
      </c>
      <c r="C49" t="s">
        <v>4753</v>
      </c>
      <c r="D49" t="s">
        <v>1815</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4">
        <v>0.35499999999999998</v>
      </c>
    </row>
    <row r="50" spans="1:31">
      <c r="A50" t="s">
        <v>1824</v>
      </c>
      <c r="B50" t="s">
        <v>4752</v>
      </c>
      <c r="C50" t="s">
        <v>4751</v>
      </c>
      <c r="D50" t="s">
        <v>1815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1769</v>
      </c>
    </row>
    <row r="51" spans="1:31">
      <c r="A51" t="s">
        <v>3541</v>
      </c>
      <c r="B51" t="s">
        <v>4750</v>
      </c>
      <c r="C51" t="s">
        <v>4749</v>
      </c>
      <c r="D51" t="s">
        <v>1815</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4">
        <v>-1E-3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8"/>
    </row>
    <row r="11" spans="1:33">
      <c r="A11" t="s">
        <v>3921</v>
      </c>
      <c r="B11" s="279">
        <v>0.32500000000000001</v>
      </c>
      <c r="C11" s="279"/>
      <c r="D11" s="279"/>
      <c r="E11" s="279"/>
      <c r="F11" s="279"/>
      <c r="G11" s="279"/>
      <c r="H11" s="279"/>
      <c r="I11" s="279"/>
      <c r="J11" s="279"/>
      <c r="K11" s="279"/>
      <c r="L11" s="279"/>
      <c r="M11" s="279"/>
      <c r="N11" s="279"/>
      <c r="O11" s="279"/>
      <c r="P11" s="279"/>
      <c r="Q11" s="279"/>
      <c r="R11" s="279"/>
      <c r="S11" s="279"/>
      <c r="T11" s="279"/>
      <c r="U11" s="279"/>
      <c r="V11" s="279"/>
      <c r="W11" s="279"/>
      <c r="X11" s="279"/>
      <c r="Y11" s="279"/>
      <c r="Z11" s="279"/>
      <c r="AA11" s="279"/>
      <c r="AB11" s="279"/>
      <c r="AC11" s="279"/>
      <c r="AD11" s="279"/>
      <c r="AE11" s="279"/>
      <c r="AF11" s="279"/>
      <c r="AG11" s="279"/>
    </row>
    <row r="12" spans="1:33">
      <c r="A12" t="s">
        <v>3922</v>
      </c>
      <c r="B12" s="279">
        <v>0.95</v>
      </c>
      <c r="C12" s="279"/>
      <c r="D12" s="279"/>
      <c r="E12" s="279"/>
      <c r="F12" s="279"/>
      <c r="G12" s="279"/>
      <c r="H12" s="279"/>
      <c r="I12" s="279"/>
      <c r="J12" s="279"/>
      <c r="K12" s="279"/>
      <c r="L12" s="279"/>
      <c r="M12" s="279"/>
      <c r="N12" s="279"/>
      <c r="O12" s="279"/>
      <c r="P12" s="279"/>
      <c r="Q12" s="279"/>
      <c r="R12" s="279"/>
      <c r="S12" s="279"/>
      <c r="T12" s="279"/>
      <c r="U12" s="279"/>
      <c r="V12" s="279"/>
      <c r="W12" s="279"/>
      <c r="X12" s="279"/>
      <c r="Y12" s="279"/>
      <c r="Z12" s="279"/>
      <c r="AA12" s="279"/>
      <c r="AB12" s="279"/>
      <c r="AC12" s="279"/>
      <c r="AD12" s="279"/>
      <c r="AE12" s="279"/>
      <c r="AF12" s="279"/>
      <c r="AG12" s="279"/>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0">
        <f>'EPA-Annex3-Table A94'!E100/SUM('EPA-Annex3-Table A94'!$E$100:$E$101)</f>
        <v>0.67140255009107463</v>
      </c>
      <c r="B17" t="s">
        <v>3925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89" t="s">
        <v>3938</v>
      </c>
      <c r="B2" s="290"/>
      <c r="C2" s="290"/>
      <c r="D2" s="290"/>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8">
        <v>1113.9000000000001</v>
      </c>
      <c r="D8" s="288">
        <v>1367.5</v>
      </c>
    </row>
    <row r="9" spans="1:4">
      <c r="A9" t="s">
        <v>3931</v>
      </c>
    </row>
    <row r="11" spans="1:4">
      <c r="A11" s="289" t="s">
        <v>3939</v>
      </c>
      <c r="B11" s="289"/>
      <c r="C11" s="289"/>
      <c r="D11" s="289"/>
    </row>
    <row r="13" spans="1:4">
      <c r="A13" t="s">
        <v>3940</v>
      </c>
      <c r="B13" s="291">
        <f>SUM('AEO 2023 Table 7'!C62:C63)*10^15</f>
        <v>1033266999999999.9</v>
      </c>
    </row>
    <row r="15" spans="1:4">
      <c r="A15" s="289" t="s">
        <v>3941</v>
      </c>
      <c r="B15" s="289"/>
      <c r="C15" s="289"/>
      <c r="D15" s="289"/>
    </row>
    <row r="16" spans="1:4">
      <c r="A16" t="s">
        <v>3738</v>
      </c>
      <c r="B16" s="291">
        <f>B13</f>
        <v>1033266999999999.9</v>
      </c>
    </row>
    <row r="17" spans="1:2">
      <c r="A17" t="s">
        <v>3942</v>
      </c>
      <c r="B17" s="291">
        <f>SUM(D6:D7)*10^12</f>
        <v>422000000000000</v>
      </c>
    </row>
    <row r="18" spans="1:2">
      <c r="A18" t="s">
        <v>3943</v>
      </c>
      <c r="B18" s="291">
        <f>B16-B17</f>
        <v>611266999999999.88</v>
      </c>
    </row>
    <row r="19" spans="1:2">
      <c r="A19" t="s">
        <v>3944</v>
      </c>
      <c r="B19" s="125">
        <f>B18/B16</f>
        <v>0.59158668572595463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14" sqref="C14"/>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A5" t="s">
        <v>4859</v>
      </c>
      <c r="B5" t="s">
        <v>6</v>
      </c>
      <c r="C5" s="292">
        <f>(SUM('AEO 2025 Table 47'!F31)*10^9)/'SYVbT-passenger'!E4/'AVLo-passengers'!C4*Misc!$A$17</f>
        <v>685003.40700490924</v>
      </c>
      <c r="D5" s="131"/>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8796.9039565577605</v>
      </c>
      <c r="D8" s="125"/>
    </row>
    <row r="9" spans="1:4">
      <c r="C9" s="6"/>
    </row>
    <row r="10" spans="1:4" s="146" customFormat="1">
      <c r="A10" s="145"/>
      <c r="B10" s="145" t="s">
        <v>3882</v>
      </c>
    </row>
    <row r="11" spans="1:4" ht="30">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9916.3869272760912</v>
      </c>
      <c r="D12" s="131"/>
    </row>
    <row r="13" spans="1:4">
      <c r="A13" t="s">
        <v>3890</v>
      </c>
      <c r="B13" t="s">
        <v>5</v>
      </c>
      <c r="C13" s="6">
        <f>(INDEX('AEO 2025 Table 49'!49:49,MATCH(C11,'AEO 2025 Table 49'!5:5,0)))*1000000000/SUM('SYVbT-freight'!$B$3:$H$3)</f>
        <v>35195.270297278214</v>
      </c>
    </row>
    <row r="14" spans="1:4">
      <c r="A14" t="s">
        <v>4859</v>
      </c>
      <c r="B14" t="s">
        <v>6</v>
      </c>
      <c r="C14" s="292">
        <f>('AEO 2025 Table 47'!F68*10^9)/'SYVbT-freight'!E4/'AVLo-freight'!B4*Misc!$A$17</f>
        <v>889421.41850474558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30">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D21</f>
        <v>11353.892430019025</v>
      </c>
      <c r="D21" s="6">
        <f>C3</f>
        <v>11353.892430019025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row>
    <row r="22" spans="1:30">
      <c r="A22" t="s">
        <v>3887</v>
      </c>
      <c r="B22" t="s">
        <v>5</v>
      </c>
      <c r="C22" s="6">
        <f t="shared" ref="C22:C26" si="0">C4</f>
        <v>16360.697127270498</v>
      </c>
      <c r="D22" s="6">
        <f t="shared" ref="D22:D26" si="1">C4</f>
        <v>16360.697127270498</v>
      </c>
      <c r="E22" s="6">
        <f t="shared" ref="E22:AD23" si="2">D22</f>
        <v>16360.697127270498</v>
      </c>
      <c r="F22" s="6">
        <f t="shared" si="2"/>
        <v>16360.697127270498</v>
      </c>
      <c r="G22" s="6">
        <f t="shared" si="2"/>
        <v>16360.697127270498</v>
      </c>
      <c r="H22" s="6">
        <f t="shared" si="2"/>
        <v>16360.697127270498</v>
      </c>
      <c r="I22" s="6">
        <f t="shared" si="2"/>
        <v>16360.697127270498</v>
      </c>
      <c r="J22" s="6">
        <f t="shared" si="2"/>
        <v>16360.697127270498</v>
      </c>
      <c r="K22" s="6">
        <f t="shared" si="2"/>
        <v>16360.697127270498</v>
      </c>
      <c r="L22" s="6">
        <f t="shared" si="2"/>
        <v>16360.697127270498</v>
      </c>
      <c r="M22" s="6">
        <f t="shared" si="2"/>
        <v>16360.697127270498</v>
      </c>
      <c r="N22" s="6">
        <f t="shared" si="2"/>
        <v>16360.697127270498</v>
      </c>
      <c r="O22" s="6">
        <f t="shared" si="2"/>
        <v>16360.697127270498</v>
      </c>
      <c r="P22" s="6">
        <f t="shared" si="2"/>
        <v>16360.697127270498</v>
      </c>
      <c r="Q22" s="6">
        <f t="shared" si="2"/>
        <v>16360.697127270498</v>
      </c>
      <c r="R22" s="6">
        <f t="shared" si="2"/>
        <v>16360.697127270498</v>
      </c>
      <c r="S22" s="6">
        <f t="shared" si="2"/>
        <v>16360.697127270498</v>
      </c>
      <c r="T22" s="6">
        <f t="shared" si="2"/>
        <v>16360.697127270498</v>
      </c>
      <c r="U22" s="6">
        <f t="shared" si="2"/>
        <v>16360.697127270498</v>
      </c>
      <c r="V22" s="6">
        <f t="shared" si="2"/>
        <v>16360.697127270498</v>
      </c>
      <c r="W22" s="6">
        <f t="shared" si="2"/>
        <v>16360.697127270498</v>
      </c>
      <c r="X22" s="6">
        <f t="shared" si="2"/>
        <v>16360.697127270498</v>
      </c>
      <c r="Y22" s="6">
        <f t="shared" si="2"/>
        <v>16360.697127270498</v>
      </c>
      <c r="Z22" s="6">
        <f t="shared" si="2"/>
        <v>16360.697127270498</v>
      </c>
      <c r="AA22" s="6">
        <f t="shared" si="2"/>
        <v>16360.697127270498</v>
      </c>
      <c r="AB22" s="6">
        <f t="shared" si="2"/>
        <v>16360.697127270498</v>
      </c>
      <c r="AC22" s="6">
        <f t="shared" si="2"/>
        <v>16360.697127270498</v>
      </c>
      <c r="AD22" s="6">
        <f t="shared" si="2"/>
        <v>16360.697127270498</v>
      </c>
    </row>
    <row r="23" spans="1:30">
      <c r="A23" t="s">
        <v>3890</v>
      </c>
      <c r="B23" t="s">
        <v>6</v>
      </c>
      <c r="C23" s="6">
        <f>C5</f>
        <v>685003.40700490924</v>
      </c>
      <c r="D23" s="6">
        <f t="shared" si="1"/>
        <v>685003.40700490924</v>
      </c>
      <c r="E23" s="6">
        <f>D23</f>
        <v>685003.40700490924</v>
      </c>
      <c r="F23" s="6">
        <f t="shared" si="2"/>
        <v>685003.40700490924</v>
      </c>
      <c r="G23" s="6">
        <f t="shared" si="2"/>
        <v>685003.40700490924</v>
      </c>
      <c r="H23" s="6">
        <f t="shared" si="2"/>
        <v>685003.40700490924</v>
      </c>
      <c r="I23" s="6">
        <f t="shared" si="2"/>
        <v>685003.40700490924</v>
      </c>
      <c r="J23" s="6">
        <f t="shared" si="2"/>
        <v>685003.40700490924</v>
      </c>
      <c r="K23" s="6">
        <f t="shared" si="2"/>
        <v>685003.40700490924</v>
      </c>
      <c r="L23" s="6">
        <f t="shared" si="2"/>
        <v>685003.40700490924</v>
      </c>
      <c r="M23" s="6">
        <f t="shared" si="2"/>
        <v>685003.40700490924</v>
      </c>
      <c r="N23" s="6">
        <f t="shared" si="2"/>
        <v>685003.40700490924</v>
      </c>
      <c r="O23" s="6">
        <f t="shared" si="2"/>
        <v>685003.40700490924</v>
      </c>
      <c r="P23" s="6">
        <f t="shared" si="2"/>
        <v>685003.40700490924</v>
      </c>
      <c r="Q23" s="6">
        <f t="shared" si="2"/>
        <v>685003.40700490924</v>
      </c>
      <c r="R23" s="6">
        <f t="shared" si="2"/>
        <v>685003.40700490924</v>
      </c>
      <c r="S23" s="6">
        <f t="shared" si="2"/>
        <v>685003.40700490924</v>
      </c>
      <c r="T23" s="6">
        <f t="shared" si="2"/>
        <v>685003.40700490924</v>
      </c>
      <c r="U23" s="6">
        <f t="shared" si="2"/>
        <v>685003.40700490924</v>
      </c>
      <c r="V23" s="6">
        <f t="shared" si="2"/>
        <v>685003.40700490924</v>
      </c>
      <c r="W23" s="6">
        <f t="shared" si="2"/>
        <v>685003.40700490924</v>
      </c>
      <c r="X23" s="6">
        <f t="shared" si="2"/>
        <v>685003.40700490924</v>
      </c>
      <c r="Y23" s="6">
        <f t="shared" si="2"/>
        <v>685003.40700490924</v>
      </c>
      <c r="Z23" s="6">
        <f t="shared" si="2"/>
        <v>685003.40700490924</v>
      </c>
      <c r="AA23" s="6">
        <f t="shared" si="2"/>
        <v>685003.40700490924</v>
      </c>
      <c r="AB23" s="6">
        <f t="shared" si="2"/>
        <v>685003.40700490924</v>
      </c>
      <c r="AC23" s="6">
        <f t="shared" si="2"/>
        <v>685003.40700490924</v>
      </c>
      <c r="AD23" s="6">
        <f t="shared" si="2"/>
        <v>685003.40700490924</v>
      </c>
    </row>
    <row r="24" spans="1:30">
      <c r="A24" t="s">
        <v>3908</v>
      </c>
      <c r="B24" t="s">
        <v>7</v>
      </c>
      <c r="C24" s="6">
        <f t="shared" si="0"/>
        <v>395569.47080291971</v>
      </c>
      <c r="D24" s="6">
        <f t="shared" si="1"/>
        <v>395569.47080291971</v>
      </c>
      <c r="E24" s="6">
        <f t="shared" ref="E24:AD24" si="3">D24</f>
        <v>395569.47080291971</v>
      </c>
      <c r="F24" s="6">
        <f t="shared" si="3"/>
        <v>395569.47080291971</v>
      </c>
      <c r="G24" s="6">
        <f t="shared" si="3"/>
        <v>395569.47080291971</v>
      </c>
      <c r="H24" s="6">
        <f t="shared" si="3"/>
        <v>395569.47080291971</v>
      </c>
      <c r="I24" s="6">
        <f t="shared" si="3"/>
        <v>395569.47080291971</v>
      </c>
      <c r="J24" s="6">
        <f t="shared" si="3"/>
        <v>395569.47080291971</v>
      </c>
      <c r="K24" s="6">
        <f t="shared" si="3"/>
        <v>395569.47080291971</v>
      </c>
      <c r="L24" s="6">
        <f t="shared" si="3"/>
        <v>395569.47080291971</v>
      </c>
      <c r="M24" s="6">
        <f t="shared" si="3"/>
        <v>395569.47080291971</v>
      </c>
      <c r="N24" s="6">
        <f t="shared" si="3"/>
        <v>395569.47080291971</v>
      </c>
      <c r="O24" s="6">
        <f t="shared" si="3"/>
        <v>395569.47080291971</v>
      </c>
      <c r="P24" s="6">
        <f t="shared" si="3"/>
        <v>395569.47080291971</v>
      </c>
      <c r="Q24" s="6">
        <f t="shared" si="3"/>
        <v>395569.47080291971</v>
      </c>
      <c r="R24" s="6">
        <f t="shared" si="3"/>
        <v>395569.47080291971</v>
      </c>
      <c r="S24" s="6">
        <f t="shared" si="3"/>
        <v>395569.47080291971</v>
      </c>
      <c r="T24" s="6">
        <f t="shared" si="3"/>
        <v>395569.47080291971</v>
      </c>
      <c r="U24" s="6">
        <f t="shared" si="3"/>
        <v>395569.47080291971</v>
      </c>
      <c r="V24" s="6">
        <f t="shared" si="3"/>
        <v>395569.47080291971</v>
      </c>
      <c r="W24" s="6">
        <f t="shared" si="3"/>
        <v>395569.47080291971</v>
      </c>
      <c r="X24" s="6">
        <f t="shared" si="3"/>
        <v>395569.47080291971</v>
      </c>
      <c r="Y24" s="6">
        <f t="shared" si="3"/>
        <v>395569.47080291971</v>
      </c>
      <c r="Z24" s="6">
        <f t="shared" si="3"/>
        <v>395569.47080291971</v>
      </c>
      <c r="AA24" s="6">
        <f t="shared" si="3"/>
        <v>395569.47080291971</v>
      </c>
      <c r="AB24" s="6">
        <f t="shared" si="3"/>
        <v>395569.47080291971</v>
      </c>
      <c r="AC24" s="6">
        <f t="shared" si="3"/>
        <v>395569.47080291971</v>
      </c>
      <c r="AD24" s="6">
        <f t="shared" si="3"/>
        <v>395569.47080291971</v>
      </c>
    </row>
    <row r="25" spans="1:30">
      <c r="A25" t="s">
        <v>3889</v>
      </c>
      <c r="B25" t="s">
        <v>8</v>
      </c>
      <c r="C25" s="6">
        <f t="shared" si="0"/>
        <v>194.17552144824873</v>
      </c>
      <c r="D25" s="6">
        <f t="shared" si="1"/>
        <v>194.17552144824873</v>
      </c>
      <c r="E25" s="6">
        <f t="shared" ref="E25:AD25" si="4">D25</f>
        <v>194.17552144824873</v>
      </c>
      <c r="F25" s="6">
        <f t="shared" si="4"/>
        <v>194.17552144824873</v>
      </c>
      <c r="G25" s="6">
        <f t="shared" si="4"/>
        <v>194.17552144824873</v>
      </c>
      <c r="H25" s="6">
        <f t="shared" si="4"/>
        <v>194.17552144824873</v>
      </c>
      <c r="I25" s="6">
        <f t="shared" si="4"/>
        <v>194.17552144824873</v>
      </c>
      <c r="J25" s="6">
        <f t="shared" si="4"/>
        <v>194.17552144824873</v>
      </c>
      <c r="K25" s="6">
        <f t="shared" si="4"/>
        <v>194.17552144824873</v>
      </c>
      <c r="L25" s="6">
        <f t="shared" si="4"/>
        <v>194.17552144824873</v>
      </c>
      <c r="M25" s="6">
        <f t="shared" si="4"/>
        <v>194.17552144824873</v>
      </c>
      <c r="N25" s="6">
        <f t="shared" si="4"/>
        <v>194.17552144824873</v>
      </c>
      <c r="O25" s="6">
        <f t="shared" si="4"/>
        <v>194.17552144824873</v>
      </c>
      <c r="P25" s="6">
        <f t="shared" si="4"/>
        <v>194.17552144824873</v>
      </c>
      <c r="Q25" s="6">
        <f t="shared" si="4"/>
        <v>194.17552144824873</v>
      </c>
      <c r="R25" s="6">
        <f t="shared" si="4"/>
        <v>194.17552144824873</v>
      </c>
      <c r="S25" s="6">
        <f t="shared" si="4"/>
        <v>194.17552144824873</v>
      </c>
      <c r="T25" s="6">
        <f t="shared" si="4"/>
        <v>194.17552144824873</v>
      </c>
      <c r="U25" s="6">
        <f t="shared" si="4"/>
        <v>194.17552144824873</v>
      </c>
      <c r="V25" s="6">
        <f t="shared" si="4"/>
        <v>194.17552144824873</v>
      </c>
      <c r="W25" s="6">
        <f t="shared" si="4"/>
        <v>194.17552144824873</v>
      </c>
      <c r="X25" s="6">
        <f t="shared" si="4"/>
        <v>194.17552144824873</v>
      </c>
      <c r="Y25" s="6">
        <f t="shared" si="4"/>
        <v>194.17552144824873</v>
      </c>
      <c r="Z25" s="6">
        <f t="shared" si="4"/>
        <v>194.17552144824873</v>
      </c>
      <c r="AA25" s="6">
        <f t="shared" si="4"/>
        <v>194.17552144824873</v>
      </c>
      <c r="AB25" s="6">
        <f t="shared" si="4"/>
        <v>194.17552144824873</v>
      </c>
      <c r="AC25" s="6">
        <f t="shared" si="4"/>
        <v>194.17552144824873</v>
      </c>
      <c r="AD25" s="6">
        <f t="shared" si="4"/>
        <v>194.17552144824873</v>
      </c>
    </row>
    <row r="26" spans="1:30">
      <c r="A26" t="s">
        <v>3887</v>
      </c>
      <c r="B26" t="s">
        <v>9</v>
      </c>
      <c r="C26" s="6">
        <f t="shared" si="0"/>
        <v>8796.9039565577605</v>
      </c>
      <c r="D26" s="6">
        <f t="shared" si="1"/>
        <v>8796.9039565577605</v>
      </c>
      <c r="E26" s="6">
        <f t="shared" ref="E26:AD26" si="5">D26</f>
        <v>8796.9039565577605</v>
      </c>
      <c r="F26" s="6">
        <f t="shared" si="5"/>
        <v>8796.9039565577605</v>
      </c>
      <c r="G26" s="6">
        <f t="shared" si="5"/>
        <v>8796.9039565577605</v>
      </c>
      <c r="H26" s="6">
        <f t="shared" si="5"/>
        <v>8796.9039565577605</v>
      </c>
      <c r="I26" s="6">
        <f t="shared" si="5"/>
        <v>8796.9039565577605</v>
      </c>
      <c r="J26" s="6">
        <f t="shared" si="5"/>
        <v>8796.9039565577605</v>
      </c>
      <c r="K26" s="6">
        <f t="shared" si="5"/>
        <v>8796.9039565577605</v>
      </c>
      <c r="L26" s="6">
        <f t="shared" si="5"/>
        <v>8796.9039565577605</v>
      </c>
      <c r="M26" s="6">
        <f t="shared" si="5"/>
        <v>8796.9039565577605</v>
      </c>
      <c r="N26" s="6">
        <f t="shared" si="5"/>
        <v>8796.9039565577605</v>
      </c>
      <c r="O26" s="6">
        <f t="shared" si="5"/>
        <v>8796.9039565577605</v>
      </c>
      <c r="P26" s="6">
        <f t="shared" si="5"/>
        <v>8796.9039565577605</v>
      </c>
      <c r="Q26" s="6">
        <f t="shared" si="5"/>
        <v>8796.9039565577605</v>
      </c>
      <c r="R26" s="6">
        <f t="shared" si="5"/>
        <v>8796.9039565577605</v>
      </c>
      <c r="S26" s="6">
        <f t="shared" si="5"/>
        <v>8796.9039565577605</v>
      </c>
      <c r="T26" s="6">
        <f t="shared" si="5"/>
        <v>8796.9039565577605</v>
      </c>
      <c r="U26" s="6">
        <f t="shared" si="5"/>
        <v>8796.9039565577605</v>
      </c>
      <c r="V26" s="6">
        <f t="shared" si="5"/>
        <v>8796.9039565577605</v>
      </c>
      <c r="W26" s="6">
        <f t="shared" si="5"/>
        <v>8796.9039565577605</v>
      </c>
      <c r="X26" s="6">
        <f t="shared" si="5"/>
        <v>8796.9039565577605</v>
      </c>
      <c r="Y26" s="6">
        <f t="shared" si="5"/>
        <v>8796.9039565577605</v>
      </c>
      <c r="Z26" s="6">
        <f t="shared" si="5"/>
        <v>8796.9039565577605</v>
      </c>
      <c r="AA26" s="6">
        <f t="shared" si="5"/>
        <v>8796.9039565577605</v>
      </c>
      <c r="AB26" s="6">
        <f t="shared" si="5"/>
        <v>8796.9039565577605</v>
      </c>
      <c r="AC26" s="6">
        <f t="shared" si="5"/>
        <v>8796.9039565577605</v>
      </c>
      <c r="AD26" s="6">
        <f t="shared" si="5"/>
        <v>8796.9039565577605</v>
      </c>
    </row>
    <row r="28" spans="1:30" s="146" customFormat="1">
      <c r="A28" s="145"/>
      <c r="B28" s="145" t="s">
        <v>3884</v>
      </c>
    </row>
    <row r="29" spans="1:30" ht="30">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9916.3869272760912</v>
      </c>
      <c r="D30" s="6">
        <f>C30</f>
        <v>9916.3869272760912</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0">
      <c r="A31" t="s">
        <v>3890</v>
      </c>
      <c r="B31" t="s">
        <v>5</v>
      </c>
      <c r="C31" s="6">
        <f t="shared" ref="C31:C35" si="6">C13</f>
        <v>35195.270297278214</v>
      </c>
      <c r="D31" s="6">
        <f>C31</f>
        <v>35195.270297278214</v>
      </c>
      <c r="E31" s="6">
        <f t="shared" ref="E31: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0">
      <c r="A32" t="s">
        <v>3909</v>
      </c>
      <c r="B32" t="s">
        <v>6</v>
      </c>
      <c r="C32" s="6">
        <f>C14</f>
        <v>889421.41850474558</v>
      </c>
      <c r="D32" s="6">
        <f>C32</f>
        <v>889421.41850474558</v>
      </c>
      <c r="E32" s="6">
        <f t="shared" ref="E32:AD32" si="8">D32</f>
        <v>889421.41850474558</v>
      </c>
      <c r="F32" s="6">
        <f t="shared" si="8"/>
        <v>889421.41850474558</v>
      </c>
      <c r="G32" s="6">
        <f t="shared" si="8"/>
        <v>889421.41850474558</v>
      </c>
      <c r="H32" s="6">
        <f t="shared" si="8"/>
        <v>889421.41850474558</v>
      </c>
      <c r="I32" s="6">
        <f t="shared" si="8"/>
        <v>889421.41850474558</v>
      </c>
      <c r="J32" s="6">
        <f t="shared" si="8"/>
        <v>889421.41850474558</v>
      </c>
      <c r="K32" s="6">
        <f t="shared" si="8"/>
        <v>889421.41850474558</v>
      </c>
      <c r="L32" s="6">
        <f t="shared" si="8"/>
        <v>889421.41850474558</v>
      </c>
      <c r="M32" s="6">
        <f t="shared" si="8"/>
        <v>889421.41850474558</v>
      </c>
      <c r="N32" s="6">
        <f t="shared" si="8"/>
        <v>889421.41850474558</v>
      </c>
      <c r="O32" s="6">
        <f t="shared" si="8"/>
        <v>889421.41850474558</v>
      </c>
      <c r="P32" s="6">
        <f t="shared" si="8"/>
        <v>889421.41850474558</v>
      </c>
      <c r="Q32" s="6">
        <f t="shared" si="8"/>
        <v>889421.41850474558</v>
      </c>
      <c r="R32" s="6">
        <f t="shared" si="8"/>
        <v>889421.41850474558</v>
      </c>
      <c r="S32" s="6">
        <f t="shared" si="8"/>
        <v>889421.41850474558</v>
      </c>
      <c r="T32" s="6">
        <f t="shared" si="8"/>
        <v>889421.41850474558</v>
      </c>
      <c r="U32" s="6">
        <f t="shared" si="8"/>
        <v>889421.41850474558</v>
      </c>
      <c r="V32" s="6">
        <f t="shared" si="8"/>
        <v>889421.41850474558</v>
      </c>
      <c r="W32" s="6">
        <f t="shared" si="8"/>
        <v>889421.41850474558</v>
      </c>
      <c r="X32" s="6">
        <f t="shared" si="8"/>
        <v>889421.41850474558</v>
      </c>
      <c r="Y32" s="6">
        <f t="shared" si="8"/>
        <v>889421.41850474558</v>
      </c>
      <c r="Z32" s="6">
        <f t="shared" si="8"/>
        <v>889421.41850474558</v>
      </c>
      <c r="AA32" s="6">
        <f t="shared" si="8"/>
        <v>889421.41850474558</v>
      </c>
      <c r="AB32" s="6">
        <f t="shared" si="8"/>
        <v>889421.41850474558</v>
      </c>
      <c r="AC32" s="6">
        <f t="shared" si="8"/>
        <v>889421.41850474558</v>
      </c>
      <c r="AD32" s="6">
        <f t="shared" si="8"/>
        <v>889421.41850474558</v>
      </c>
    </row>
    <row r="33" spans="1:30">
      <c r="A33" t="s">
        <v>3890</v>
      </c>
      <c r="B33" t="s">
        <v>7</v>
      </c>
      <c r="C33" s="6">
        <f t="shared" si="6"/>
        <v>17004.703401126964</v>
      </c>
      <c r="D33" s="6">
        <f t="shared" ref="D33:AD33" si="9">C33</f>
        <v>17004.703401126964</v>
      </c>
      <c r="E33" s="6">
        <f t="shared" si="9"/>
        <v>17004.703401126964</v>
      </c>
      <c r="F33" s="6">
        <f t="shared" si="9"/>
        <v>17004.703401126964</v>
      </c>
      <c r="G33" s="6">
        <f t="shared" si="9"/>
        <v>17004.703401126964</v>
      </c>
      <c r="H33" s="6">
        <f t="shared" si="9"/>
        <v>17004.703401126964</v>
      </c>
      <c r="I33" s="6">
        <f t="shared" si="9"/>
        <v>17004.703401126964</v>
      </c>
      <c r="J33" s="6">
        <f t="shared" si="9"/>
        <v>17004.703401126964</v>
      </c>
      <c r="K33" s="6">
        <f t="shared" si="9"/>
        <v>17004.703401126964</v>
      </c>
      <c r="L33" s="6">
        <f t="shared" si="9"/>
        <v>17004.703401126964</v>
      </c>
      <c r="M33" s="6">
        <f t="shared" si="9"/>
        <v>17004.703401126964</v>
      </c>
      <c r="N33" s="6">
        <f t="shared" si="9"/>
        <v>17004.703401126964</v>
      </c>
      <c r="O33" s="6">
        <f t="shared" si="9"/>
        <v>17004.703401126964</v>
      </c>
      <c r="P33" s="6">
        <f t="shared" si="9"/>
        <v>17004.703401126964</v>
      </c>
      <c r="Q33" s="6">
        <f t="shared" si="9"/>
        <v>17004.703401126964</v>
      </c>
      <c r="R33" s="6">
        <f t="shared" si="9"/>
        <v>17004.703401126964</v>
      </c>
      <c r="S33" s="6">
        <f t="shared" si="9"/>
        <v>17004.703401126964</v>
      </c>
      <c r="T33" s="6">
        <f t="shared" si="9"/>
        <v>17004.703401126964</v>
      </c>
      <c r="U33" s="6">
        <f t="shared" si="9"/>
        <v>17004.703401126964</v>
      </c>
      <c r="V33" s="6">
        <f t="shared" si="9"/>
        <v>17004.703401126964</v>
      </c>
      <c r="W33" s="6">
        <f t="shared" si="9"/>
        <v>17004.703401126964</v>
      </c>
      <c r="X33" s="6">
        <f t="shared" si="9"/>
        <v>17004.703401126964</v>
      </c>
      <c r="Y33" s="6">
        <f t="shared" si="9"/>
        <v>17004.703401126964</v>
      </c>
      <c r="Z33" s="6">
        <f t="shared" si="9"/>
        <v>17004.703401126964</v>
      </c>
      <c r="AA33" s="6">
        <f t="shared" si="9"/>
        <v>17004.703401126964</v>
      </c>
      <c r="AB33" s="6">
        <f t="shared" si="9"/>
        <v>17004.703401126964</v>
      </c>
      <c r="AC33" s="6">
        <f t="shared" si="9"/>
        <v>17004.703401126964</v>
      </c>
      <c r="AD33" s="6">
        <f t="shared" si="9"/>
        <v>17004.703401126964</v>
      </c>
    </row>
    <row r="34" spans="1:30">
      <c r="A34" t="s">
        <v>3890</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40625" defaultRowHeight="15"/>
  <cols>
    <col min="1" max="1" width="16.5703125" customWidth="1"/>
    <col min="2" max="2" width="9" customWidth="1"/>
  </cols>
  <sheetData>
    <row r="1" spans="1:2">
      <c r="A1" t="s">
        <v>189</v>
      </c>
      <c r="B1">
        <v>2024</v>
      </c>
    </row>
    <row r="2" spans="1:2">
      <c r="A2" t="s">
        <v>4</v>
      </c>
      <c r="B2" s="6">
        <f>'BAADTbVT-passengers'!B2</f>
        <v>11354</v>
      </c>
    </row>
    <row r="3" spans="1:2">
      <c r="A3" t="s">
        <v>5</v>
      </c>
      <c r="B3" s="6">
        <f>'BAADTbVT-passengers'!B3</f>
        <v>16361</v>
      </c>
    </row>
    <row r="4" spans="1:2">
      <c r="A4" t="s">
        <v>6</v>
      </c>
      <c r="B4" s="6">
        <f>'BAADTbVT-passengers'!B4</f>
        <v>685003</v>
      </c>
    </row>
    <row r="5" spans="1:2">
      <c r="A5" t="s">
        <v>7</v>
      </c>
      <c r="B5" s="6">
        <f>'BAADTbVT-passengers'!B5</f>
        <v>395569</v>
      </c>
    </row>
    <row r="6" spans="1:2">
      <c r="A6" t="s">
        <v>8</v>
      </c>
      <c r="B6" s="6">
        <f>'BAADTbVT-passengers'!B6</f>
        <v>194</v>
      </c>
    </row>
    <row r="7" spans="1:2">
      <c r="A7" t="s">
        <v>9</v>
      </c>
      <c r="B7" s="6">
        <f>'BAADTbVT-passengers'!B7</f>
        <v>8797</v>
      </c>
    </row>
    <row r="9" spans="1:2">
      <c r="B9" s="6"/>
    </row>
  </sheetData>
  <pageMargins left="0.7" right="0.7" top="0.75" bottom="0.75" header="0.3" footer="0.3"/>
  <pageSetup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189</v>
      </c>
      <c r="B1">
        <f>calcs!C11</f>
        <v>2024</v>
      </c>
    </row>
    <row r="2" spans="1:2">
      <c r="A2" t="s">
        <v>4</v>
      </c>
      <c r="B2" s="6">
        <f>'BAADTbVT-freight'!B2</f>
        <v>9916</v>
      </c>
    </row>
    <row r="3" spans="1:2">
      <c r="A3" t="s">
        <v>5</v>
      </c>
      <c r="B3" s="6">
        <f>'BAADTbVT-freight'!B3</f>
        <v>35195</v>
      </c>
    </row>
    <row r="4" spans="1:2">
      <c r="A4" t="s">
        <v>6</v>
      </c>
      <c r="B4" s="6">
        <f>'BAADTbVT-freight'!B4</f>
        <v>889421</v>
      </c>
    </row>
    <row r="5" spans="1:2">
      <c r="A5" t="s">
        <v>7</v>
      </c>
      <c r="B5" s="6">
        <f>'BAADTbVT-freight'!B5</f>
        <v>17005</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workbookViewId="0"/>
  </sheetViews>
  <sheetFormatPr defaultColWidth="9.140625" defaultRowHeight="15"/>
  <cols>
    <col min="1" max="1" width="16.5703125" customWidth="1"/>
  </cols>
  <sheetData>
    <row r="1" spans="1:29">
      <c r="A1" t="s">
        <v>189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s="6">
        <f>ROUND(calcs!D21,0)</f>
        <v>11354</v>
      </c>
      <c r="C2" s="6">
        <f>ROUND(calcs!E21,0)</f>
        <v>10518</v>
      </c>
      <c r="D2" s="6">
        <f>ROUND(calcs!F21,0)</f>
        <v>10488</v>
      </c>
      <c r="E2" s="6">
        <f>ROUND(calcs!G21,0)</f>
        <v>10461</v>
      </c>
      <c r="F2" s="6">
        <f>ROUND(calcs!H21,0)</f>
        <v>10399</v>
      </c>
      <c r="G2" s="6">
        <f>ROUND(calcs!I21,0)</f>
        <v>10327</v>
      </c>
      <c r="H2" s="6">
        <f>ROUND(calcs!J21,0)</f>
        <v>10237</v>
      </c>
      <c r="I2" s="6">
        <f>ROUND(calcs!K21,0)</f>
        <v>10141</v>
      </c>
      <c r="J2" s="6">
        <f>ROUND(calcs!L21,0)</f>
        <v>10051</v>
      </c>
      <c r="K2" s="6">
        <f>ROUND(calcs!M21,0)</f>
        <v>9948</v>
      </c>
      <c r="L2" s="6">
        <f>ROUND(calcs!N21,0)</f>
        <v>9859</v>
      </c>
      <c r="M2" s="6">
        <f>ROUND(calcs!O21,0)</f>
        <v>9767</v>
      </c>
      <c r="N2" s="6">
        <f>ROUND(calcs!P21,0)</f>
        <v>9694</v>
      </c>
      <c r="O2" s="6">
        <f>ROUND(calcs!Q21,0)</f>
        <v>9628</v>
      </c>
      <c r="P2" s="6">
        <f>ROUND(calcs!R21,0)</f>
        <v>9565</v>
      </c>
      <c r="Q2" s="6">
        <f>ROUND(calcs!S21,0)</f>
        <v>9500</v>
      </c>
      <c r="R2" s="6">
        <f>ROUND(calcs!T21,0)</f>
        <v>9440</v>
      </c>
      <c r="S2" s="6">
        <f>ROUND(calcs!U21,0)</f>
        <v>9380</v>
      </c>
      <c r="T2" s="6">
        <f>ROUND(calcs!V21,0)</f>
        <v>9325</v>
      </c>
      <c r="U2" s="6">
        <f>ROUND(calcs!W21,0)</f>
        <v>9274</v>
      </c>
      <c r="V2" s="6">
        <f>ROUND(calcs!X21,0)</f>
        <v>9232</v>
      </c>
      <c r="W2" s="6">
        <f>ROUND(calcs!Y21,0)</f>
        <v>9195</v>
      </c>
      <c r="X2" s="6">
        <f>ROUND(calcs!Z21,0)</f>
        <v>9164</v>
      </c>
      <c r="Y2" s="6">
        <f>ROUND(calcs!AA21,0)</f>
        <v>9133</v>
      </c>
      <c r="Z2" s="6">
        <f>ROUND(calcs!AB21,0)</f>
        <v>9112</v>
      </c>
      <c r="AA2" s="6">
        <f>ROUND(calcs!AC21,0)</f>
        <v>9095</v>
      </c>
      <c r="AB2" s="6">
        <f>ROUND(calcs!AD21,0)</f>
        <v>9092</v>
      </c>
      <c r="AC2" s="6"/>
    </row>
    <row r="3" spans="1:29">
      <c r="A3" t="s">
        <v>5</v>
      </c>
      <c r="B3" s="6">
        <f>ROUND(calcs!D22,0)</f>
        <v>16361</v>
      </c>
      <c r="C3" s="6">
        <f>ROUND(calcs!E22,0)</f>
        <v>16361</v>
      </c>
      <c r="D3" s="6">
        <f>ROUND(calcs!F22,0)</f>
        <v>16361</v>
      </c>
      <c r="E3" s="6">
        <f>ROUND(calcs!G22,0)</f>
        <v>16361</v>
      </c>
      <c r="F3" s="6">
        <f>ROUND(calcs!H22,0)</f>
        <v>16361</v>
      </c>
      <c r="G3" s="6">
        <f>ROUND(calcs!I22,0)</f>
        <v>16361</v>
      </c>
      <c r="H3" s="6">
        <f>ROUND(calcs!J22,0)</f>
        <v>16361</v>
      </c>
      <c r="I3" s="6">
        <f>ROUND(calcs!K22,0)</f>
        <v>16361</v>
      </c>
      <c r="J3" s="6">
        <f>ROUND(calcs!L22,0)</f>
        <v>16361</v>
      </c>
      <c r="K3" s="6">
        <f>ROUND(calcs!M22,0)</f>
        <v>16361</v>
      </c>
      <c r="L3" s="6">
        <f>ROUND(calcs!N22,0)</f>
        <v>16361</v>
      </c>
      <c r="M3" s="6">
        <f>ROUND(calcs!O22,0)</f>
        <v>16361</v>
      </c>
      <c r="N3" s="6">
        <f>ROUND(calcs!P22,0)</f>
        <v>16361</v>
      </c>
      <c r="O3" s="6">
        <f>ROUND(calcs!Q22,0)</f>
        <v>16361</v>
      </c>
      <c r="P3" s="6">
        <f>ROUND(calcs!R22,0)</f>
        <v>16361</v>
      </c>
      <c r="Q3" s="6">
        <f>ROUND(calcs!S22,0)</f>
        <v>16361</v>
      </c>
      <c r="R3" s="6">
        <f>ROUND(calcs!T22,0)</f>
        <v>16361</v>
      </c>
      <c r="S3" s="6">
        <f>ROUND(calcs!U22,0)</f>
        <v>16361</v>
      </c>
      <c r="T3" s="6">
        <f>ROUND(calcs!V22,0)</f>
        <v>16361</v>
      </c>
      <c r="U3" s="6">
        <f>ROUND(calcs!W22,0)</f>
        <v>16361</v>
      </c>
      <c r="V3" s="6">
        <f>ROUND(calcs!X22,0)</f>
        <v>16361</v>
      </c>
      <c r="W3" s="6">
        <f>ROUND(calcs!Y22,0)</f>
        <v>16361</v>
      </c>
      <c r="X3" s="6">
        <f>ROUND(calcs!Z22,0)</f>
        <v>16361</v>
      </c>
      <c r="Y3" s="6">
        <f>ROUND(calcs!AA22,0)</f>
        <v>16361</v>
      </c>
      <c r="Z3" s="6">
        <f>ROUND(calcs!AB22,0)</f>
        <v>16361</v>
      </c>
      <c r="AA3" s="6">
        <f>ROUND(calcs!AC22,0)</f>
        <v>16361</v>
      </c>
      <c r="AB3" s="6">
        <f>ROUND(calcs!AD22,0)</f>
        <v>16361</v>
      </c>
      <c r="AC3" s="6"/>
    </row>
    <row r="4" spans="1:29">
      <c r="A4" t="s">
        <v>6</v>
      </c>
      <c r="B4" s="6">
        <f>ROUND(calcs!D23,0)</f>
        <v>685003</v>
      </c>
      <c r="C4" s="6">
        <f>ROUND(calcs!E23,0)</f>
        <v>685003</v>
      </c>
      <c r="D4" s="6">
        <f>ROUND(calcs!F23,0)</f>
        <v>685003</v>
      </c>
      <c r="E4" s="6">
        <f>ROUND(calcs!G23,0)</f>
        <v>685003</v>
      </c>
      <c r="F4" s="6">
        <f>ROUND(calcs!H23,0)</f>
        <v>685003</v>
      </c>
      <c r="G4" s="6">
        <f>ROUND(calcs!I23,0)</f>
        <v>685003</v>
      </c>
      <c r="H4" s="6">
        <f>ROUND(calcs!J23,0)</f>
        <v>685003</v>
      </c>
      <c r="I4" s="6">
        <f>ROUND(calcs!K23,0)</f>
        <v>685003</v>
      </c>
      <c r="J4" s="6">
        <f>ROUND(calcs!L23,0)</f>
        <v>685003</v>
      </c>
      <c r="K4" s="6">
        <f>ROUND(calcs!M23,0)</f>
        <v>685003</v>
      </c>
      <c r="L4" s="6">
        <f>ROUND(calcs!N23,0)</f>
        <v>685003</v>
      </c>
      <c r="M4" s="6">
        <f>ROUND(calcs!O23,0)</f>
        <v>685003</v>
      </c>
      <c r="N4" s="6">
        <f>ROUND(calcs!P23,0)</f>
        <v>685003</v>
      </c>
      <c r="O4" s="6">
        <f>ROUND(calcs!Q23,0)</f>
        <v>685003</v>
      </c>
      <c r="P4" s="6">
        <f>ROUND(calcs!R23,0)</f>
        <v>685003</v>
      </c>
      <c r="Q4" s="6">
        <f>ROUND(calcs!S23,0)</f>
        <v>685003</v>
      </c>
      <c r="R4" s="6">
        <f>ROUND(calcs!T23,0)</f>
        <v>685003</v>
      </c>
      <c r="S4" s="6">
        <f>ROUND(calcs!U23,0)</f>
        <v>685003</v>
      </c>
      <c r="T4" s="6">
        <f>ROUND(calcs!V23,0)</f>
        <v>685003</v>
      </c>
      <c r="U4" s="6">
        <f>ROUND(calcs!W23,0)</f>
        <v>685003</v>
      </c>
      <c r="V4" s="6">
        <f>ROUND(calcs!X23,0)</f>
        <v>685003</v>
      </c>
      <c r="W4" s="6">
        <f>ROUND(calcs!Y23,0)</f>
        <v>685003</v>
      </c>
      <c r="X4" s="6">
        <f>ROUND(calcs!Z23,0)</f>
        <v>685003</v>
      </c>
      <c r="Y4" s="6">
        <f>ROUND(calcs!AA23,0)</f>
        <v>685003</v>
      </c>
      <c r="Z4" s="6">
        <f>ROUND(calcs!AB23,0)</f>
        <v>685003</v>
      </c>
      <c r="AA4" s="6">
        <f>ROUND(calcs!AC23,0)</f>
        <v>685003</v>
      </c>
      <c r="AB4" s="6">
        <f>ROUND(calcs!AD23,0)</f>
        <v>685003</v>
      </c>
      <c r="AC4" s="6"/>
    </row>
    <row r="5" spans="1:29">
      <c r="A5" t="s">
        <v>7</v>
      </c>
      <c r="B5" s="6">
        <f>ROUND(calcs!D24,0)</f>
        <v>395569</v>
      </c>
      <c r="C5" s="6">
        <f>ROUND(calcs!E24,0)</f>
        <v>395569</v>
      </c>
      <c r="D5" s="6">
        <f>ROUND(calcs!F24,0)</f>
        <v>395569</v>
      </c>
      <c r="E5" s="6">
        <f>ROUND(calcs!G24,0)</f>
        <v>395569</v>
      </c>
      <c r="F5" s="6">
        <f>ROUND(calcs!H24,0)</f>
        <v>395569</v>
      </c>
      <c r="G5" s="6">
        <f>ROUND(calcs!I24,0)</f>
        <v>395569</v>
      </c>
      <c r="H5" s="6">
        <f>ROUND(calcs!J24,0)</f>
        <v>395569</v>
      </c>
      <c r="I5" s="6">
        <f>ROUND(calcs!K24,0)</f>
        <v>395569</v>
      </c>
      <c r="J5" s="6">
        <f>ROUND(calcs!L24,0)</f>
        <v>395569</v>
      </c>
      <c r="K5" s="6">
        <f>ROUND(calcs!M24,0)</f>
        <v>395569</v>
      </c>
      <c r="L5" s="6">
        <f>ROUND(calcs!N24,0)</f>
        <v>395569</v>
      </c>
      <c r="M5" s="6">
        <f>ROUND(calcs!O24,0)</f>
        <v>395569</v>
      </c>
      <c r="N5" s="6">
        <f>ROUND(calcs!P24,0)</f>
        <v>395569</v>
      </c>
      <c r="O5" s="6">
        <f>ROUND(calcs!Q24,0)</f>
        <v>395569</v>
      </c>
      <c r="P5" s="6">
        <f>ROUND(calcs!R24,0)</f>
        <v>395569</v>
      </c>
      <c r="Q5" s="6">
        <f>ROUND(calcs!S24,0)</f>
        <v>395569</v>
      </c>
      <c r="R5" s="6">
        <f>ROUND(calcs!T24,0)</f>
        <v>395569</v>
      </c>
      <c r="S5" s="6">
        <f>ROUND(calcs!U24,0)</f>
        <v>395569</v>
      </c>
      <c r="T5" s="6">
        <f>ROUND(calcs!V24,0)</f>
        <v>395569</v>
      </c>
      <c r="U5" s="6">
        <f>ROUND(calcs!W24,0)</f>
        <v>395569</v>
      </c>
      <c r="V5" s="6">
        <f>ROUND(calcs!X24,0)</f>
        <v>395569</v>
      </c>
      <c r="W5" s="6">
        <f>ROUND(calcs!Y24,0)</f>
        <v>395569</v>
      </c>
      <c r="X5" s="6">
        <f>ROUND(calcs!Z24,0)</f>
        <v>395569</v>
      </c>
      <c r="Y5" s="6">
        <f>ROUND(calcs!AA24,0)</f>
        <v>395569</v>
      </c>
      <c r="Z5" s="6">
        <f>ROUND(calcs!AB24,0)</f>
        <v>395569</v>
      </c>
      <c r="AA5" s="6">
        <f>ROUND(calcs!AC24,0)</f>
        <v>395569</v>
      </c>
      <c r="AB5" s="6">
        <f>ROUND(calcs!AD24,0)</f>
        <v>395569</v>
      </c>
      <c r="AC5" s="6"/>
    </row>
    <row r="6" spans="1:29">
      <c r="A6" t="s">
        <v>8</v>
      </c>
      <c r="B6" s="6">
        <f>ROUND(calcs!D25,0)</f>
        <v>194</v>
      </c>
      <c r="C6" s="6">
        <f>ROUND(calcs!E25,0)</f>
        <v>194</v>
      </c>
      <c r="D6" s="6">
        <f>ROUND(calcs!F25,0)</f>
        <v>194</v>
      </c>
      <c r="E6" s="6">
        <f>ROUND(calcs!G25,0)</f>
        <v>194</v>
      </c>
      <c r="F6" s="6">
        <f>ROUND(calcs!H25,0)</f>
        <v>194</v>
      </c>
      <c r="G6" s="6">
        <f>ROUND(calcs!I25,0)</f>
        <v>194</v>
      </c>
      <c r="H6" s="6">
        <f>ROUND(calcs!J25,0)</f>
        <v>194</v>
      </c>
      <c r="I6" s="6">
        <f>ROUND(calcs!K25,0)</f>
        <v>194</v>
      </c>
      <c r="J6" s="6">
        <f>ROUND(calcs!L25,0)</f>
        <v>194</v>
      </c>
      <c r="K6" s="6">
        <f>ROUND(calcs!M25,0)</f>
        <v>194</v>
      </c>
      <c r="L6" s="6">
        <f>ROUND(calcs!N25,0)</f>
        <v>194</v>
      </c>
      <c r="M6" s="6">
        <f>ROUND(calcs!O25,0)</f>
        <v>194</v>
      </c>
      <c r="N6" s="6">
        <f>ROUND(calcs!P25,0)</f>
        <v>194</v>
      </c>
      <c r="O6" s="6">
        <f>ROUND(calcs!Q25,0)</f>
        <v>194</v>
      </c>
      <c r="P6" s="6">
        <f>ROUND(calcs!R25,0)</f>
        <v>194</v>
      </c>
      <c r="Q6" s="6">
        <f>ROUND(calcs!S25,0)</f>
        <v>194</v>
      </c>
      <c r="R6" s="6">
        <f>ROUND(calcs!T25,0)</f>
        <v>194</v>
      </c>
      <c r="S6" s="6">
        <f>ROUND(calcs!U25,0)</f>
        <v>194</v>
      </c>
      <c r="T6" s="6">
        <f>ROUND(calcs!V25,0)</f>
        <v>194</v>
      </c>
      <c r="U6" s="6">
        <f>ROUND(calcs!W25,0)</f>
        <v>194</v>
      </c>
      <c r="V6" s="6">
        <f>ROUND(calcs!X25,0)</f>
        <v>194</v>
      </c>
      <c r="W6" s="6">
        <f>ROUND(calcs!Y25,0)</f>
        <v>194</v>
      </c>
      <c r="X6" s="6">
        <f>ROUND(calcs!Z25,0)</f>
        <v>194</v>
      </c>
      <c r="Y6" s="6">
        <f>ROUND(calcs!AA25,0)</f>
        <v>194</v>
      </c>
      <c r="Z6" s="6">
        <f>ROUND(calcs!AB25,0)</f>
        <v>194</v>
      </c>
      <c r="AA6" s="6">
        <f>ROUND(calcs!AC25,0)</f>
        <v>194</v>
      </c>
      <c r="AB6" s="6">
        <f>ROUND(calcs!AD25,0)</f>
        <v>194</v>
      </c>
      <c r="AC6" s="6"/>
    </row>
    <row r="7" spans="1:29">
      <c r="A7" t="s">
        <v>9</v>
      </c>
      <c r="B7" s="6">
        <f>ROUND(calcs!D26,0)</f>
        <v>8797</v>
      </c>
      <c r="C7" s="6">
        <f>ROUND(calcs!E26,0)</f>
        <v>8797</v>
      </c>
      <c r="D7" s="6">
        <f>ROUND(calcs!F26,0)</f>
        <v>8797</v>
      </c>
      <c r="E7" s="6">
        <f>ROUND(calcs!G26,0)</f>
        <v>8797</v>
      </c>
      <c r="F7" s="6">
        <f>ROUND(calcs!H26,0)</f>
        <v>8797</v>
      </c>
      <c r="G7" s="6">
        <f>ROUND(calcs!I26,0)</f>
        <v>8797</v>
      </c>
      <c r="H7" s="6">
        <f>ROUND(calcs!J26,0)</f>
        <v>8797</v>
      </c>
      <c r="I7" s="6">
        <f>ROUND(calcs!K26,0)</f>
        <v>8797</v>
      </c>
      <c r="J7" s="6">
        <f>ROUND(calcs!L26,0)</f>
        <v>8797</v>
      </c>
      <c r="K7" s="6">
        <f>ROUND(calcs!M26,0)</f>
        <v>8797</v>
      </c>
      <c r="L7" s="6">
        <f>ROUND(calcs!N26,0)</f>
        <v>8797</v>
      </c>
      <c r="M7" s="6">
        <f>ROUND(calcs!O26,0)</f>
        <v>8797</v>
      </c>
      <c r="N7" s="6">
        <f>ROUND(calcs!P26,0)</f>
        <v>8797</v>
      </c>
      <c r="O7" s="6">
        <f>ROUND(calcs!Q26,0)</f>
        <v>8797</v>
      </c>
      <c r="P7" s="6">
        <f>ROUND(calcs!R26,0)</f>
        <v>8797</v>
      </c>
      <c r="Q7" s="6">
        <f>ROUND(calcs!S26,0)</f>
        <v>8797</v>
      </c>
      <c r="R7" s="6">
        <f>ROUND(calcs!T26,0)</f>
        <v>8797</v>
      </c>
      <c r="S7" s="6">
        <f>ROUND(calcs!U26,0)</f>
        <v>8797</v>
      </c>
      <c r="T7" s="6">
        <f>ROUND(calcs!V26,0)</f>
        <v>8797</v>
      </c>
      <c r="U7" s="6">
        <f>ROUND(calcs!W26,0)</f>
        <v>8797</v>
      </c>
      <c r="V7" s="6">
        <f>ROUND(calcs!X26,0)</f>
        <v>8797</v>
      </c>
      <c r="W7" s="6">
        <f>ROUND(calcs!Y26,0)</f>
        <v>8797</v>
      </c>
      <c r="X7" s="6">
        <f>ROUND(calcs!Z26,0)</f>
        <v>8797</v>
      </c>
      <c r="Y7" s="6">
        <f>ROUND(calcs!AA26,0)</f>
        <v>8797</v>
      </c>
      <c r="Z7" s="6">
        <f>ROUND(calcs!AB26,0)</f>
        <v>8797</v>
      </c>
      <c r="AA7" s="6">
        <f>ROUND(calcs!AC26,0)</f>
        <v>8797</v>
      </c>
      <c r="AB7" s="6">
        <f>ROUND(calcs!AD26,0)</f>
        <v>8797</v>
      </c>
      <c r="AC7" s="6"/>
    </row>
  </sheetData>
  <pageMargins left="0.7" right="0.7" top="0.75" bottom="0.75" header="0.3" footer="0.3"/>
  <pageSetup orientation="portrait" horizontalDpi="1200" verticalDpi="1200"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workbookViewId="0"/>
  </sheetViews>
  <sheetFormatPr defaultColWidth="9.140625" defaultRowHeight="15"/>
  <cols>
    <col min="1" max="1" width="16.5703125" customWidth="1"/>
  </cols>
  <sheetData>
    <row r="1" spans="1:28" ht="30">
      <c r="A1" s="8" t="s">
        <v>189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s="6">
        <f>ROUND(calcs!D30,0)</f>
        <v>9916</v>
      </c>
      <c r="C2" s="6">
        <f>ROUND(calcs!E30,0)</f>
        <v>9797</v>
      </c>
      <c r="D2" s="6">
        <f>ROUND(calcs!F30,0)</f>
        <v>9782</v>
      </c>
      <c r="E2" s="6">
        <f>ROUND(calcs!G30,0)</f>
        <v>9778</v>
      </c>
      <c r="F2" s="6">
        <f>ROUND(calcs!H30,0)</f>
        <v>9750</v>
      </c>
      <c r="G2" s="6">
        <f>ROUND(calcs!I30,0)</f>
        <v>9718</v>
      </c>
      <c r="H2" s="6">
        <f>ROUND(calcs!J30,0)</f>
        <v>9714</v>
      </c>
      <c r="I2" s="6">
        <f>ROUND(calcs!K30,0)</f>
        <v>9691</v>
      </c>
      <c r="J2" s="6">
        <f>ROUND(calcs!L30,0)</f>
        <v>9669</v>
      </c>
      <c r="K2" s="6">
        <f>ROUND(calcs!M30,0)</f>
        <v>9644</v>
      </c>
      <c r="L2" s="6">
        <f>ROUND(calcs!N30,0)</f>
        <v>9645</v>
      </c>
      <c r="M2" s="6">
        <f>ROUND(calcs!O30,0)</f>
        <v>9658</v>
      </c>
      <c r="N2" s="6">
        <f>ROUND(calcs!P30,0)</f>
        <v>9681</v>
      </c>
      <c r="O2" s="6">
        <f>ROUND(calcs!Q30,0)</f>
        <v>9721</v>
      </c>
      <c r="P2" s="6">
        <f>ROUND(calcs!R30,0)</f>
        <v>9777</v>
      </c>
      <c r="Q2" s="6">
        <f>ROUND(calcs!S30,0)</f>
        <v>9839</v>
      </c>
      <c r="R2" s="6">
        <f>ROUND(calcs!T30,0)</f>
        <v>9911</v>
      </c>
      <c r="S2" s="6">
        <f>ROUND(calcs!U30,0)</f>
        <v>9969</v>
      </c>
      <c r="T2" s="6">
        <f>ROUND(calcs!V30,0)</f>
        <v>10020</v>
      </c>
      <c r="U2" s="6">
        <f>ROUND(calcs!W30,0)</f>
        <v>10030</v>
      </c>
      <c r="V2" s="6">
        <f>ROUND(calcs!X30,0)</f>
        <v>10027</v>
      </c>
      <c r="W2" s="6">
        <f>ROUND(calcs!Y30,0)</f>
        <v>10040</v>
      </c>
      <c r="X2" s="6">
        <f>ROUND(calcs!Z30,0)</f>
        <v>10066</v>
      </c>
      <c r="Y2" s="6">
        <f>ROUND(calcs!AA30,0)</f>
        <v>10101</v>
      </c>
      <c r="Z2" s="6">
        <f>ROUND(calcs!AB30,0)</f>
        <v>10132</v>
      </c>
      <c r="AA2" s="6">
        <f>ROUND(calcs!AC30,0)</f>
        <v>10185</v>
      </c>
      <c r="AB2" s="6">
        <f>ROUND(calcs!AD30,0)</f>
        <v>10246</v>
      </c>
    </row>
    <row r="3" spans="1:28">
      <c r="A3" t="s">
        <v>5</v>
      </c>
      <c r="B3" s="6">
        <f>ROUND(calcs!D31,0)</f>
        <v>35195</v>
      </c>
      <c r="C3" s="6">
        <f>ROUND(calcs!E31,0)</f>
        <v>35195</v>
      </c>
      <c r="D3" s="6">
        <f>ROUND(calcs!F31,0)</f>
        <v>35195</v>
      </c>
      <c r="E3" s="6">
        <f>ROUND(calcs!G31,0)</f>
        <v>35195</v>
      </c>
      <c r="F3" s="6">
        <f>ROUND(calcs!H31,0)</f>
        <v>35195</v>
      </c>
      <c r="G3" s="6">
        <f>ROUND(calcs!I31,0)</f>
        <v>35195</v>
      </c>
      <c r="H3" s="6">
        <f>ROUND(calcs!J31,0)</f>
        <v>35195</v>
      </c>
      <c r="I3" s="6">
        <f>ROUND(calcs!K31,0)</f>
        <v>35195</v>
      </c>
      <c r="J3" s="6">
        <f>ROUND(calcs!L31,0)</f>
        <v>35195</v>
      </c>
      <c r="K3" s="6">
        <f>ROUND(calcs!M31,0)</f>
        <v>35195</v>
      </c>
      <c r="L3" s="6">
        <f>ROUND(calcs!N31,0)</f>
        <v>35195</v>
      </c>
      <c r="M3" s="6">
        <f>ROUND(calcs!O31,0)</f>
        <v>35195</v>
      </c>
      <c r="N3" s="6">
        <f>ROUND(calcs!P31,0)</f>
        <v>35195</v>
      </c>
      <c r="O3" s="6">
        <f>ROUND(calcs!Q31,0)</f>
        <v>35195</v>
      </c>
      <c r="P3" s="6">
        <f>ROUND(calcs!R31,0)</f>
        <v>35195</v>
      </c>
      <c r="Q3" s="6">
        <f>ROUND(calcs!S31,0)</f>
        <v>35195</v>
      </c>
      <c r="R3" s="6">
        <f>ROUND(calcs!T31,0)</f>
        <v>35195</v>
      </c>
      <c r="S3" s="6">
        <f>ROUND(calcs!U31,0)</f>
        <v>35195</v>
      </c>
      <c r="T3" s="6">
        <f>ROUND(calcs!V31,0)</f>
        <v>35195</v>
      </c>
      <c r="U3" s="6">
        <f>ROUND(calcs!W31,0)</f>
        <v>35195</v>
      </c>
      <c r="V3" s="6">
        <f>ROUND(calcs!X31,0)</f>
        <v>35195</v>
      </c>
      <c r="W3" s="6">
        <f>ROUND(calcs!Y31,0)</f>
        <v>35195</v>
      </c>
      <c r="X3" s="6">
        <f>ROUND(calcs!Z31,0)</f>
        <v>35195</v>
      </c>
      <c r="Y3" s="6">
        <f>ROUND(calcs!AA31,0)</f>
        <v>35195</v>
      </c>
      <c r="Z3" s="6">
        <f>ROUND(calcs!AB31,0)</f>
        <v>35195</v>
      </c>
      <c r="AA3" s="6">
        <f>ROUND(calcs!AC31,0)</f>
        <v>35195</v>
      </c>
      <c r="AB3" s="6">
        <f>ROUND(calcs!AD31,0)</f>
        <v>35195</v>
      </c>
    </row>
    <row r="4" spans="1:28">
      <c r="A4" t="s">
        <v>6</v>
      </c>
      <c r="B4" s="6">
        <f>ROUND(calcs!D32,0)</f>
        <v>889421</v>
      </c>
      <c r="C4" s="6">
        <f>ROUND(calcs!E32,0)</f>
        <v>889421</v>
      </c>
      <c r="D4" s="6">
        <f>ROUND(calcs!F32,0)</f>
        <v>889421</v>
      </c>
      <c r="E4" s="6">
        <f>ROUND(calcs!G32,0)</f>
        <v>889421</v>
      </c>
      <c r="F4" s="6">
        <f>ROUND(calcs!H32,0)</f>
        <v>889421</v>
      </c>
      <c r="G4" s="6">
        <f>ROUND(calcs!I32,0)</f>
        <v>889421</v>
      </c>
      <c r="H4" s="6">
        <f>ROUND(calcs!J32,0)</f>
        <v>889421</v>
      </c>
      <c r="I4" s="6">
        <f>ROUND(calcs!K32,0)</f>
        <v>889421</v>
      </c>
      <c r="J4" s="6">
        <f>ROUND(calcs!L32,0)</f>
        <v>889421</v>
      </c>
      <c r="K4" s="6">
        <f>ROUND(calcs!M32,0)</f>
        <v>889421</v>
      </c>
      <c r="L4" s="6">
        <f>ROUND(calcs!N32,0)</f>
        <v>889421</v>
      </c>
      <c r="M4" s="6">
        <f>ROUND(calcs!O32,0)</f>
        <v>889421</v>
      </c>
      <c r="N4" s="6">
        <f>ROUND(calcs!P32,0)</f>
        <v>889421</v>
      </c>
      <c r="O4" s="6">
        <f>ROUND(calcs!Q32,0)</f>
        <v>889421</v>
      </c>
      <c r="P4" s="6">
        <f>ROUND(calcs!R32,0)</f>
        <v>889421</v>
      </c>
      <c r="Q4" s="6">
        <f>ROUND(calcs!S32,0)</f>
        <v>889421</v>
      </c>
      <c r="R4" s="6">
        <f>ROUND(calcs!T32,0)</f>
        <v>889421</v>
      </c>
      <c r="S4" s="6">
        <f>ROUND(calcs!U32,0)</f>
        <v>889421</v>
      </c>
      <c r="T4" s="6">
        <f>ROUND(calcs!V32,0)</f>
        <v>889421</v>
      </c>
      <c r="U4" s="6">
        <f>ROUND(calcs!W32,0)</f>
        <v>889421</v>
      </c>
      <c r="V4" s="6">
        <f>ROUND(calcs!X32,0)</f>
        <v>889421</v>
      </c>
      <c r="W4" s="6">
        <f>ROUND(calcs!Y32,0)</f>
        <v>889421</v>
      </c>
      <c r="X4" s="6">
        <f>ROUND(calcs!Z32,0)</f>
        <v>889421</v>
      </c>
      <c r="Y4" s="6">
        <f>ROUND(calcs!AA32,0)</f>
        <v>889421</v>
      </c>
      <c r="Z4" s="6">
        <f>ROUND(calcs!AB32,0)</f>
        <v>889421</v>
      </c>
      <c r="AA4" s="6">
        <f>ROUND(calcs!AC32,0)</f>
        <v>889421</v>
      </c>
      <c r="AB4" s="6">
        <f>ROUND(calcs!AD32,0)</f>
        <v>889421</v>
      </c>
    </row>
    <row r="5" spans="1:28">
      <c r="A5" t="s">
        <v>7</v>
      </c>
      <c r="B5" s="6">
        <f>ROUND(calcs!D33,0)</f>
        <v>17005</v>
      </c>
      <c r="C5" s="6">
        <f>ROUND(calcs!E33,0)</f>
        <v>17005</v>
      </c>
      <c r="D5" s="6">
        <f>ROUND(calcs!F33,0)</f>
        <v>17005</v>
      </c>
      <c r="E5" s="6">
        <f>ROUND(calcs!G33,0)</f>
        <v>17005</v>
      </c>
      <c r="F5" s="6">
        <f>ROUND(calcs!H33,0)</f>
        <v>17005</v>
      </c>
      <c r="G5" s="6">
        <f>ROUND(calcs!I33,0)</f>
        <v>17005</v>
      </c>
      <c r="H5" s="6">
        <f>ROUND(calcs!J33,0)</f>
        <v>17005</v>
      </c>
      <c r="I5" s="6">
        <f>ROUND(calcs!K33,0)</f>
        <v>17005</v>
      </c>
      <c r="J5" s="6">
        <f>ROUND(calcs!L33,0)</f>
        <v>17005</v>
      </c>
      <c r="K5" s="6">
        <f>ROUND(calcs!M33,0)</f>
        <v>17005</v>
      </c>
      <c r="L5" s="6">
        <f>ROUND(calcs!N33,0)</f>
        <v>17005</v>
      </c>
      <c r="M5" s="6">
        <f>ROUND(calcs!O33,0)</f>
        <v>17005</v>
      </c>
      <c r="N5" s="6">
        <f>ROUND(calcs!P33,0)</f>
        <v>17005</v>
      </c>
      <c r="O5" s="6">
        <f>ROUND(calcs!Q33,0)</f>
        <v>17005</v>
      </c>
      <c r="P5" s="6">
        <f>ROUND(calcs!R33,0)</f>
        <v>17005</v>
      </c>
      <c r="Q5" s="6">
        <f>ROUND(calcs!S33,0)</f>
        <v>17005</v>
      </c>
      <c r="R5" s="6">
        <f>ROUND(calcs!T33,0)</f>
        <v>17005</v>
      </c>
      <c r="S5" s="6">
        <f>ROUND(calcs!U33,0)</f>
        <v>17005</v>
      </c>
      <c r="T5" s="6">
        <f>ROUND(calcs!V33,0)</f>
        <v>17005</v>
      </c>
      <c r="U5" s="6">
        <f>ROUND(calcs!W33,0)</f>
        <v>17005</v>
      </c>
      <c r="V5" s="6">
        <f>ROUND(calcs!X33,0)</f>
        <v>17005</v>
      </c>
      <c r="W5" s="6">
        <f>ROUND(calcs!Y33,0)</f>
        <v>17005</v>
      </c>
      <c r="X5" s="6">
        <f>ROUND(calcs!Z33,0)</f>
        <v>17005</v>
      </c>
      <c r="Y5" s="6">
        <f>ROUND(calcs!AA33,0)</f>
        <v>17005</v>
      </c>
      <c r="Z5" s="6">
        <f>ROUND(calcs!AB33,0)</f>
        <v>17005</v>
      </c>
      <c r="AA5" s="6">
        <f>ROUND(calcs!AC33,0)</f>
        <v>17005</v>
      </c>
      <c r="AB5" s="6">
        <f>ROUND(calcs!AD33,0)</f>
        <v>17005</v>
      </c>
    </row>
    <row r="6" spans="1:28">
      <c r="A6" t="s">
        <v>8</v>
      </c>
      <c r="B6" s="6">
        <f>ROUND(calcs!D34,0)</f>
        <v>7513092</v>
      </c>
      <c r="C6" s="6">
        <f>ROUND(calcs!E34,0)</f>
        <v>7513092</v>
      </c>
      <c r="D6" s="6">
        <f>ROUND(calcs!F34,0)</f>
        <v>7513092</v>
      </c>
      <c r="E6" s="6">
        <f>ROUND(calcs!G34,0)</f>
        <v>7513092</v>
      </c>
      <c r="F6" s="6">
        <f>ROUND(calcs!H34,0)</f>
        <v>7513092</v>
      </c>
      <c r="G6" s="6">
        <f>ROUND(calcs!I34,0)</f>
        <v>7513092</v>
      </c>
      <c r="H6" s="6">
        <f>ROUND(calcs!J34,0)</f>
        <v>7513092</v>
      </c>
      <c r="I6" s="6">
        <f>ROUND(calcs!K34,0)</f>
        <v>7513092</v>
      </c>
      <c r="J6" s="6">
        <f>ROUND(calcs!L34,0)</f>
        <v>7513092</v>
      </c>
      <c r="K6" s="6">
        <f>ROUND(calcs!M34,0)</f>
        <v>7513092</v>
      </c>
      <c r="L6" s="6">
        <f>ROUND(calcs!N34,0)</f>
        <v>7513092</v>
      </c>
      <c r="M6" s="6">
        <f>ROUND(calcs!O34,0)</f>
        <v>7513092</v>
      </c>
      <c r="N6" s="6">
        <f>ROUND(calcs!P34,0)</f>
        <v>7513092</v>
      </c>
      <c r="O6" s="6">
        <f>ROUND(calcs!Q34,0)</f>
        <v>7513092</v>
      </c>
      <c r="P6" s="6">
        <f>ROUND(calcs!R34,0)</f>
        <v>7513092</v>
      </c>
      <c r="Q6" s="6">
        <f>ROUND(calcs!S34,0)</f>
        <v>7513092</v>
      </c>
      <c r="R6" s="6">
        <f>ROUND(calcs!T34,0)</f>
        <v>7513092</v>
      </c>
      <c r="S6" s="6">
        <f>ROUND(calcs!U34,0)</f>
        <v>7513092</v>
      </c>
      <c r="T6" s="6">
        <f>ROUND(calcs!V34,0)</f>
        <v>7513092</v>
      </c>
      <c r="U6" s="6">
        <f>ROUND(calcs!W34,0)</f>
        <v>7513092</v>
      </c>
      <c r="V6" s="6">
        <f>ROUND(calcs!X34,0)</f>
        <v>7513092</v>
      </c>
      <c r="W6" s="6">
        <f>ROUND(calcs!Y34,0)</f>
        <v>7513092</v>
      </c>
      <c r="X6" s="6">
        <f>ROUND(calcs!Z34,0)</f>
        <v>7513092</v>
      </c>
      <c r="Y6" s="6">
        <f>ROUND(calcs!AA34,0)</f>
        <v>7513092</v>
      </c>
      <c r="Z6" s="6">
        <f>ROUND(calcs!AB34,0)</f>
        <v>7513092</v>
      </c>
      <c r="AA6" s="6">
        <f>ROUND(calcs!AC34,0)</f>
        <v>7513092</v>
      </c>
      <c r="AB6" s="6">
        <f>ROUND(calcs!AD34,0)</f>
        <v>7513092</v>
      </c>
    </row>
    <row r="7" spans="1:28">
      <c r="A7" t="s">
        <v>9</v>
      </c>
      <c r="B7" s="6">
        <f>ROUND(calcs!D35,0)</f>
        <v>0</v>
      </c>
      <c r="C7" s="6">
        <f>ROUND(calcs!E35,0)</f>
        <v>0</v>
      </c>
      <c r="D7" s="6">
        <f>ROUND(calcs!F35,0)</f>
        <v>0</v>
      </c>
      <c r="E7" s="6">
        <f>ROUND(calcs!G35,0)</f>
        <v>0</v>
      </c>
      <c r="F7" s="6">
        <f>ROUND(calcs!H35,0)</f>
        <v>0</v>
      </c>
      <c r="G7" s="6">
        <f>ROUND(calcs!I35,0)</f>
        <v>0</v>
      </c>
      <c r="H7" s="6">
        <f>ROUND(calcs!J35,0)</f>
        <v>0</v>
      </c>
      <c r="I7" s="6">
        <f>ROUND(calcs!K35,0)</f>
        <v>0</v>
      </c>
      <c r="J7" s="6">
        <f>ROUND(calcs!L35,0)</f>
        <v>0</v>
      </c>
      <c r="K7" s="6">
        <f>ROUND(calcs!M35,0)</f>
        <v>0</v>
      </c>
      <c r="L7" s="6">
        <f>ROUND(calcs!N35,0)</f>
        <v>0</v>
      </c>
      <c r="M7" s="6">
        <f>ROUND(calcs!O35,0)</f>
        <v>0</v>
      </c>
      <c r="N7" s="6">
        <f>ROUND(calcs!P35,0)</f>
        <v>0</v>
      </c>
      <c r="O7" s="6">
        <f>ROUND(calcs!Q35,0)</f>
        <v>0</v>
      </c>
      <c r="P7" s="6">
        <f>ROUND(calcs!R35,0)</f>
        <v>0</v>
      </c>
      <c r="Q7" s="6">
        <f>ROUND(calcs!S35,0)</f>
        <v>0</v>
      </c>
      <c r="R7" s="6">
        <f>ROUND(calcs!T35,0)</f>
        <v>0</v>
      </c>
      <c r="S7" s="6">
        <f>ROUND(calcs!U35,0)</f>
        <v>0</v>
      </c>
      <c r="T7" s="6">
        <f>ROUND(calcs!V35,0)</f>
        <v>0</v>
      </c>
      <c r="U7" s="6">
        <f>ROUND(calcs!W35,0)</f>
        <v>0</v>
      </c>
      <c r="V7" s="6">
        <f>ROUND(calcs!X35,0)</f>
        <v>0</v>
      </c>
      <c r="W7" s="6">
        <f>ROUND(calcs!Y35,0)</f>
        <v>0</v>
      </c>
      <c r="X7" s="6">
        <f>ROUND(calcs!Z35,0)</f>
        <v>0</v>
      </c>
      <c r="Y7" s="6">
        <f>ROUND(calcs!AA35,0)</f>
        <v>0</v>
      </c>
      <c r="Z7" s="6">
        <f>ROUND(calcs!AB35,0)</f>
        <v>0</v>
      </c>
      <c r="AA7" s="6">
        <f>ROUND(calcs!AC35,0)</f>
        <v>0</v>
      </c>
      <c r="AB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EPA-Annex3-Table A94</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AEO 2026 Table 49</vt:lpstr>
      <vt:lpstr>AEO 2026 Table 45</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2026-05-12T17:57:53Z</dcterms:modified>
</cp:coreProperties>
</file>