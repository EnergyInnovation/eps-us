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Olivia Ashmoore\Documents\EPS_Models by Region\United States\us-eps\InputData\trans\BAADTbVT\"/>
    </mc:Choice>
  </mc:AlternateContent>
  <xr:revisionPtr revIDLastSave="0" documentId="13_ncr:1_{1062C1BE-9CE1-42D5-8500-C3230A7BD7F2}" xr6:coauthVersionLast="47" xr6:coauthVersionMax="47" xr10:uidLastSave="{00000000-0000-0000-0000-000000000000}"/>
  <bookViews>
    <workbookView xWindow="-120" yWindow="-120" windowWidth="29040" windowHeight="17520" tabRatio="726" activeTab="2" xr2:uid="{00000000-000D-0000-FFFF-FFFF00000000}"/>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calcs&gt;" sheetId="67" r:id="rId27"/>
    <sheet name="psgr rail calcs" sheetId="56" r:id="rId28"/>
    <sheet name="Calibration multiplier" sheetId="57" r:id="rId29"/>
    <sheet name="calcs" sheetId="68" r:id="rId30"/>
    <sheet name="SYAADTbVT-passengers" sheetId="6" r:id="rId31"/>
    <sheet name="SYAADTbVT-freight" sheetId="12" r:id="rId32"/>
    <sheet name="BAADTbVT-passengers" sheetId="32" r:id="rId33"/>
    <sheet name="BAADTbVT-freight" sheetId="33" r:id="rId34"/>
  </sheets>
  <externalReferences>
    <externalReference r:id="rId35"/>
    <externalReference r:id="rId36"/>
  </externalReferences>
  <definedNames>
    <definedName name="_xlnm._FilterDatabase" localSheetId="24" hidden="1">'Annual Service Data_rail only'!$A$1:$AX$1</definedName>
    <definedName name="Eno_TM" localSheetId="14">'[1]1997  Table 1a Modified'!#REF!</definedName>
    <definedName name="Eno_TM">'[2]1997  Table 1a Modified'!#REF!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14">'[1]1997  Table 1a Modified'!#REF!</definedName>
    <definedName name="Sum_T2">'[2]1997  Table 1a Modified'!#REF!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33" l="1"/>
  <c r="D2" i="33"/>
  <c r="E2" i="33"/>
  <c r="F2" i="33"/>
  <c r="G2" i="33"/>
  <c r="H2" i="33"/>
  <c r="I2" i="33"/>
  <c r="J2" i="33"/>
  <c r="K2" i="33"/>
  <c r="L2" i="33"/>
  <c r="M2" i="33"/>
  <c r="N2" i="33"/>
  <c r="O2" i="33"/>
  <c r="P2" i="33"/>
  <c r="Q2" i="33"/>
  <c r="R2" i="33"/>
  <c r="S2" i="33"/>
  <c r="T2" i="33"/>
  <c r="U2" i="33"/>
  <c r="V2" i="33"/>
  <c r="W2" i="33"/>
  <c r="X2" i="33"/>
  <c r="Y2" i="33"/>
  <c r="Z2" i="33"/>
  <c r="AA2" i="33"/>
  <c r="AB2" i="33"/>
  <c r="AC2" i="33"/>
  <c r="C3" i="33"/>
  <c r="D3" i="33"/>
  <c r="E3" i="33"/>
  <c r="F3" i="33"/>
  <c r="G3" i="33"/>
  <c r="H3" i="33"/>
  <c r="I3" i="33"/>
  <c r="J3" i="33"/>
  <c r="K3" i="33"/>
  <c r="L3" i="33"/>
  <c r="M3" i="33"/>
  <c r="N3" i="33"/>
  <c r="O3" i="33"/>
  <c r="P3" i="33"/>
  <c r="Q3" i="33"/>
  <c r="R3" i="33"/>
  <c r="S3" i="33"/>
  <c r="T3" i="33"/>
  <c r="U3" i="33"/>
  <c r="V3" i="33"/>
  <c r="W3" i="33"/>
  <c r="X3" i="33"/>
  <c r="Y3" i="33"/>
  <c r="Z3" i="33"/>
  <c r="AA3" i="33"/>
  <c r="AB3" i="33"/>
  <c r="AC3" i="33"/>
  <c r="C4" i="33"/>
  <c r="D4" i="33"/>
  <c r="E4" i="33"/>
  <c r="F4" i="33"/>
  <c r="G4" i="33"/>
  <c r="H4" i="33"/>
  <c r="I4" i="33"/>
  <c r="J4" i="33"/>
  <c r="K4" i="33"/>
  <c r="L4" i="33"/>
  <c r="M4" i="33"/>
  <c r="N4" i="33"/>
  <c r="O4" i="33"/>
  <c r="P4" i="33"/>
  <c r="Q4" i="33"/>
  <c r="R4" i="33"/>
  <c r="S4" i="33"/>
  <c r="T4" i="33"/>
  <c r="U4" i="33"/>
  <c r="V4" i="33"/>
  <c r="W4" i="33"/>
  <c r="X4" i="33"/>
  <c r="Y4" i="33"/>
  <c r="Z4" i="33"/>
  <c r="AA4" i="33"/>
  <c r="AB4" i="33"/>
  <c r="AC4" i="33"/>
  <c r="C7" i="33"/>
  <c r="D7" i="33"/>
  <c r="E7" i="33"/>
  <c r="F7" i="33"/>
  <c r="G7" i="33"/>
  <c r="H7" i="33"/>
  <c r="I7" i="33"/>
  <c r="J7" i="33"/>
  <c r="K7" i="33"/>
  <c r="L7" i="33"/>
  <c r="M7" i="33"/>
  <c r="N7" i="33"/>
  <c r="O7" i="33"/>
  <c r="P7" i="33"/>
  <c r="Q7" i="33"/>
  <c r="R7" i="33"/>
  <c r="S7" i="33"/>
  <c r="T7" i="33"/>
  <c r="U7" i="33"/>
  <c r="V7" i="33"/>
  <c r="W7" i="33"/>
  <c r="X7" i="33"/>
  <c r="Y7" i="33"/>
  <c r="Z7" i="33"/>
  <c r="AA7" i="33"/>
  <c r="AB7" i="33"/>
  <c r="AC7" i="33"/>
  <c r="B4"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D4" i="32"/>
  <c r="E4" i="32"/>
  <c r="F4" i="32"/>
  <c r="G4" i="32"/>
  <c r="H4" i="32"/>
  <c r="I4" i="32"/>
  <c r="J4" i="32"/>
  <c r="K4" i="32"/>
  <c r="L4" i="32"/>
  <c r="M4" i="32"/>
  <c r="N4" i="32"/>
  <c r="O4" i="32"/>
  <c r="P4" i="32"/>
  <c r="Q4" i="32"/>
  <c r="R4" i="32"/>
  <c r="S4" i="32"/>
  <c r="T4" i="32"/>
  <c r="U4" i="32"/>
  <c r="V4" i="32"/>
  <c r="W4" i="32"/>
  <c r="X4" i="32"/>
  <c r="Y4" i="32"/>
  <c r="Z4" i="32"/>
  <c r="AA4" i="32"/>
  <c r="AB4" i="32"/>
  <c r="AC4" i="32"/>
  <c r="B4" i="32"/>
  <c r="B5" i="32"/>
  <c r="B6" i="32"/>
  <c r="B4" i="12"/>
  <c r="B7" i="12"/>
  <c r="B4" i="6"/>
  <c r="B5" i="6"/>
  <c r="B6" i="6"/>
  <c r="E31" i="68"/>
  <c r="F31" i="68"/>
  <c r="G31" i="68"/>
  <c r="H31" i="68"/>
  <c r="I31" i="68"/>
  <c r="J31" i="68"/>
  <c r="K31" i="68"/>
  <c r="L31" i="68"/>
  <c r="M31" i="68"/>
  <c r="N31" i="68"/>
  <c r="O31" i="68"/>
  <c r="P31" i="68"/>
  <c r="Q31" i="68"/>
  <c r="R31" i="68"/>
  <c r="S31" i="68"/>
  <c r="T31" i="68"/>
  <c r="U31" i="68"/>
  <c r="V31" i="68"/>
  <c r="W31" i="68"/>
  <c r="X31" i="68"/>
  <c r="Y31" i="68"/>
  <c r="Z31" i="68"/>
  <c r="AA31" i="68"/>
  <c r="AB31" i="68"/>
  <c r="AC31" i="68"/>
  <c r="AD31" i="68"/>
  <c r="D31" i="68"/>
  <c r="C32" i="68"/>
  <c r="C35" i="68"/>
  <c r="C23" i="68"/>
  <c r="C24" i="68"/>
  <c r="C25" i="68"/>
  <c r="C14" i="68"/>
  <c r="C5" i="68"/>
  <c r="E30" i="68"/>
  <c r="F30" i="68"/>
  <c r="G30" i="68"/>
  <c r="H30" i="68"/>
  <c r="I30" i="68"/>
  <c r="J30" i="68"/>
  <c r="K30" i="68"/>
  <c r="L30" i="68"/>
  <c r="M30" i="68"/>
  <c r="N30" i="68"/>
  <c r="O30" i="68"/>
  <c r="P30" i="68"/>
  <c r="Q30" i="68"/>
  <c r="R30" i="68"/>
  <c r="S30" i="68"/>
  <c r="T30" i="68"/>
  <c r="U30" i="68"/>
  <c r="V30" i="68"/>
  <c r="W30" i="68"/>
  <c r="X30" i="68"/>
  <c r="Y30" i="68"/>
  <c r="Z30" i="68"/>
  <c r="AA30" i="68"/>
  <c r="AB30" i="68"/>
  <c r="AC30" i="68"/>
  <c r="AD30" i="68"/>
  <c r="D30" i="68"/>
  <c r="E23" i="68"/>
  <c r="F23" i="68"/>
  <c r="G23" i="68"/>
  <c r="H23" i="68"/>
  <c r="I23" i="68"/>
  <c r="J23" i="68"/>
  <c r="K23" i="68"/>
  <c r="L23" i="68"/>
  <c r="M23" i="68"/>
  <c r="N23" i="68"/>
  <c r="O23" i="68"/>
  <c r="P23" i="68"/>
  <c r="Q23" i="68"/>
  <c r="R23" i="68"/>
  <c r="S23" i="68"/>
  <c r="T23" i="68"/>
  <c r="U23" i="68"/>
  <c r="V23" i="68"/>
  <c r="W23" i="68"/>
  <c r="X23" i="68"/>
  <c r="Y23" i="68"/>
  <c r="Z23" i="68"/>
  <c r="AA23" i="68"/>
  <c r="AB23" i="68"/>
  <c r="AC23" i="68"/>
  <c r="AD23" i="68"/>
  <c r="D23" i="68"/>
  <c r="E21"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D21" i="68"/>
  <c r="B1" i="12"/>
  <c r="C4" i="68" l="1"/>
  <c r="D25" i="68"/>
  <c r="C6" i="32" s="1"/>
  <c r="D24" i="68"/>
  <c r="C5" i="32" s="1"/>
  <c r="C16" i="68"/>
  <c r="C15" i="68"/>
  <c r="C13" i="68"/>
  <c r="C12" i="68"/>
  <c r="C8" i="68"/>
  <c r="C3"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B3" i="33" s="1"/>
  <c r="C34" i="68"/>
  <c r="B6" i="33" s="1"/>
  <c r="B6" i="12"/>
  <c r="C30" i="68"/>
  <c r="B2" i="33" s="1"/>
  <c r="B2" i="12"/>
  <c r="E24" i="68"/>
  <c r="D5" i="32" s="1"/>
  <c r="E25" i="68"/>
  <c r="D6" i="32" s="1"/>
  <c r="E35" i="68"/>
  <c r="D34" i="68"/>
  <c r="C6" i="33" s="1"/>
  <c r="D33" i="68"/>
  <c r="C5" i="33" s="1"/>
  <c r="D32" i="68"/>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B3" i="32" l="1"/>
  <c r="D22" i="68"/>
  <c r="B7" i="32"/>
  <c r="D26" i="68"/>
  <c r="F25" i="68"/>
  <c r="E6" i="32" s="1"/>
  <c r="F24" i="68"/>
  <c r="E5" i="32" s="1"/>
  <c r="E32" i="68"/>
  <c r="F35" i="68"/>
  <c r="E33" i="68"/>
  <c r="D5" i="33" s="1"/>
  <c r="E34" i="68"/>
  <c r="D6" i="33" s="1"/>
  <c r="O62" i="56"/>
  <c r="V62" i="56" s="1"/>
  <c r="T64" i="56" s="1"/>
  <c r="V25" i="56"/>
  <c r="V46" i="56"/>
  <c r="V9" i="56"/>
  <c r="U9" i="56"/>
  <c r="N62" i="56"/>
  <c r="U62" i="56" s="1"/>
  <c r="U53" i="56"/>
  <c r="U57" i="56"/>
  <c r="C7" i="32" l="1"/>
  <c r="E26" i="68"/>
  <c r="C3" i="32"/>
  <c r="E22" i="68"/>
  <c r="G24" i="68"/>
  <c r="F5" i="32" s="1"/>
  <c r="G25" i="68"/>
  <c r="F6" i="32" s="1"/>
  <c r="F32" i="68"/>
  <c r="F34" i="68"/>
  <c r="E6" i="33" s="1"/>
  <c r="F33" i="68"/>
  <c r="E5" i="33" s="1"/>
  <c r="G35" i="68"/>
  <c r="E64" i="56"/>
  <c r="S64" i="56"/>
  <c r="G64" i="56"/>
  <c r="D3" i="32" l="1"/>
  <c r="F22" i="68"/>
  <c r="D7" i="32"/>
  <c r="F26" i="68"/>
  <c r="H25" i="68"/>
  <c r="G6" i="32" s="1"/>
  <c r="H24" i="68"/>
  <c r="G5" i="32" s="1"/>
  <c r="H35" i="68"/>
  <c r="G33" i="68"/>
  <c r="F5" i="33" s="1"/>
  <c r="G34" i="68"/>
  <c r="F6" i="33" s="1"/>
  <c r="G32" i="68"/>
  <c r="E7" i="32" l="1"/>
  <c r="G26" i="68"/>
  <c r="E3" i="32"/>
  <c r="G22" i="68"/>
  <c r="I24" i="68"/>
  <c r="H5" i="32" s="1"/>
  <c r="I25" i="68"/>
  <c r="H6" i="32" s="1"/>
  <c r="H33" i="68"/>
  <c r="G5" i="33" s="1"/>
  <c r="I35" i="68"/>
  <c r="H32" i="68"/>
  <c r="H34" i="68"/>
  <c r="G6" i="33" s="1"/>
  <c r="F3" i="32" l="1"/>
  <c r="H22" i="68"/>
  <c r="F7" i="32"/>
  <c r="H26" i="68"/>
  <c r="J25" i="68"/>
  <c r="I6" i="32" s="1"/>
  <c r="J24" i="68"/>
  <c r="I5" i="32" s="1"/>
  <c r="I33" i="68"/>
  <c r="H5" i="33" s="1"/>
  <c r="J35" i="68"/>
  <c r="I34" i="68"/>
  <c r="H6" i="33" s="1"/>
  <c r="I32" i="68"/>
  <c r="G7" i="32" l="1"/>
  <c r="I26" i="68"/>
  <c r="G3" i="32"/>
  <c r="I22" i="68"/>
  <c r="K24" i="68"/>
  <c r="J5" i="32" s="1"/>
  <c r="K25" i="68"/>
  <c r="J6" i="32" s="1"/>
  <c r="K35" i="68"/>
  <c r="J32" i="68"/>
  <c r="J34" i="68"/>
  <c r="I6" i="33" s="1"/>
  <c r="J33" i="68"/>
  <c r="I5" i="33" s="1"/>
  <c r="H7" i="32" l="1"/>
  <c r="J26" i="68"/>
  <c r="H3" i="32"/>
  <c r="J22" i="68"/>
  <c r="L25" i="68"/>
  <c r="K6" i="32" s="1"/>
  <c r="L24" i="68"/>
  <c r="K5" i="32" s="1"/>
  <c r="K32" i="68"/>
  <c r="K33" i="68"/>
  <c r="J5" i="33" s="1"/>
  <c r="K34" i="68"/>
  <c r="J6" i="33" s="1"/>
  <c r="L35" i="68"/>
  <c r="I3" i="32" l="1"/>
  <c r="K22" i="68"/>
  <c r="I7" i="32"/>
  <c r="K26" i="68"/>
  <c r="M24" i="68"/>
  <c r="L5" i="32" s="1"/>
  <c r="M25" i="68"/>
  <c r="L6" i="32" s="1"/>
  <c r="L33" i="68"/>
  <c r="K5" i="33" s="1"/>
  <c r="M35" i="68"/>
  <c r="L34" i="68"/>
  <c r="K6" i="33" s="1"/>
  <c r="L32" i="68"/>
  <c r="J7" i="32" l="1"/>
  <c r="L26" i="68"/>
  <c r="J3" i="32"/>
  <c r="L22" i="68"/>
  <c r="N25" i="68"/>
  <c r="M6" i="32" s="1"/>
  <c r="N24" i="68"/>
  <c r="M5" i="32" s="1"/>
  <c r="M32" i="68"/>
  <c r="M33" i="68"/>
  <c r="L5" i="33" s="1"/>
  <c r="M34" i="68"/>
  <c r="L6" i="33" s="1"/>
  <c r="N35" i="68"/>
  <c r="K7" i="32" l="1"/>
  <c r="M26" i="68"/>
  <c r="K3" i="32"/>
  <c r="M22" i="68"/>
  <c r="O25" i="68"/>
  <c r="N6" i="32" s="1"/>
  <c r="O24" i="68"/>
  <c r="N5" i="32" s="1"/>
  <c r="O35" i="68"/>
  <c r="N34" i="68"/>
  <c r="M6" i="33" s="1"/>
  <c r="N33" i="68"/>
  <c r="M5" i="33" s="1"/>
  <c r="N32" i="68"/>
  <c r="L3" i="32" l="1"/>
  <c r="N22" i="68"/>
  <c r="L7" i="32"/>
  <c r="N26" i="68"/>
  <c r="P24" i="68"/>
  <c r="O5" i="32" s="1"/>
  <c r="P25" i="68"/>
  <c r="O6" i="32" s="1"/>
  <c r="P35" i="68"/>
  <c r="O32" i="68"/>
  <c r="O33" i="68"/>
  <c r="N5" i="33" s="1"/>
  <c r="O34" i="68"/>
  <c r="N6" i="33" s="1"/>
  <c r="M3" i="32" l="1"/>
  <c r="O22" i="68"/>
  <c r="M7" i="32"/>
  <c r="O26" i="68"/>
  <c r="Q25" i="68"/>
  <c r="P6" i="32" s="1"/>
  <c r="Q24" i="68"/>
  <c r="P5" i="32" s="1"/>
  <c r="P34" i="68"/>
  <c r="O6" i="33" s="1"/>
  <c r="P33" i="68"/>
  <c r="O5" i="33" s="1"/>
  <c r="P32" i="68"/>
  <c r="Q35" i="68"/>
  <c r="N7" i="32" l="1"/>
  <c r="P26" i="68"/>
  <c r="N3" i="32"/>
  <c r="P22" i="68"/>
  <c r="R24" i="68"/>
  <c r="Q5" i="32" s="1"/>
  <c r="R25" i="68"/>
  <c r="Q6" i="32" s="1"/>
  <c r="R35" i="68"/>
  <c r="Q32" i="68"/>
  <c r="Q33" i="68"/>
  <c r="P5" i="33" s="1"/>
  <c r="Q34" i="68"/>
  <c r="P6" i="33" s="1"/>
  <c r="O3" i="32" l="1"/>
  <c r="Q22" i="68"/>
  <c r="O7" i="32"/>
  <c r="Q26" i="68"/>
  <c r="S25" i="68"/>
  <c r="R6" i="32" s="1"/>
  <c r="S24" i="68"/>
  <c r="R5" i="32" s="1"/>
  <c r="R32" i="68"/>
  <c r="R34" i="68"/>
  <c r="Q6" i="33" s="1"/>
  <c r="R33" i="68"/>
  <c r="Q5" i="33" s="1"/>
  <c r="S35" i="68"/>
  <c r="P3" i="32" l="1"/>
  <c r="R22" i="68"/>
  <c r="P7" i="32"/>
  <c r="R26" i="68"/>
  <c r="T24" i="68"/>
  <c r="S5" i="32" s="1"/>
  <c r="T25" i="68"/>
  <c r="S6" i="32" s="1"/>
  <c r="S34" i="68"/>
  <c r="R6" i="33" s="1"/>
  <c r="T35" i="68"/>
  <c r="S33" i="68"/>
  <c r="R5" i="33" s="1"/>
  <c r="S32" i="68"/>
  <c r="Q3" i="32" l="1"/>
  <c r="S22" i="68"/>
  <c r="Q7" i="32"/>
  <c r="S26" i="68"/>
  <c r="U25" i="68"/>
  <c r="T6" i="32" s="1"/>
  <c r="U24" i="68"/>
  <c r="T5" i="32" s="1"/>
  <c r="T33" i="68"/>
  <c r="S5" i="33" s="1"/>
  <c r="U35" i="68"/>
  <c r="T32" i="68"/>
  <c r="T34" i="68"/>
  <c r="S6" i="33" s="1"/>
  <c r="R7" i="32" l="1"/>
  <c r="T26" i="68"/>
  <c r="R3" i="32"/>
  <c r="T22" i="68"/>
  <c r="V24" i="68"/>
  <c r="U5" i="32" s="1"/>
  <c r="V25" i="68"/>
  <c r="U6" i="32" s="1"/>
  <c r="U34" i="68"/>
  <c r="T6" i="33" s="1"/>
  <c r="U32" i="68"/>
  <c r="V35" i="68"/>
  <c r="U33" i="68"/>
  <c r="T5" i="33" s="1"/>
  <c r="S3" i="32" l="1"/>
  <c r="U22" i="68"/>
  <c r="S7" i="32"/>
  <c r="U26" i="68"/>
  <c r="W25" i="68"/>
  <c r="V6" i="32" s="1"/>
  <c r="W24" i="68"/>
  <c r="V5" i="32" s="1"/>
  <c r="V33" i="68"/>
  <c r="U5" i="33" s="1"/>
  <c r="V32" i="68"/>
  <c r="W35" i="68"/>
  <c r="V34" i="68"/>
  <c r="U6" i="33" s="1"/>
  <c r="T3" i="32" l="1"/>
  <c r="V22" i="68"/>
  <c r="T7" i="32"/>
  <c r="V26" i="68"/>
  <c r="X24" i="68"/>
  <c r="W5" i="32" s="1"/>
  <c r="X25" i="68"/>
  <c r="W6" i="32" s="1"/>
  <c r="W34" i="68"/>
  <c r="V6" i="33" s="1"/>
  <c r="X35" i="68"/>
  <c r="W33" i="68"/>
  <c r="V5" i="33" s="1"/>
  <c r="W32" i="68"/>
  <c r="U3" i="32" l="1"/>
  <c r="W22" i="68"/>
  <c r="U7" i="32"/>
  <c r="W26" i="68"/>
  <c r="Y24" i="68"/>
  <c r="X5" i="32" s="1"/>
  <c r="Y25" i="68"/>
  <c r="X6" i="32" s="1"/>
  <c r="X34" i="68"/>
  <c r="W6" i="33" s="1"/>
  <c r="X32" i="68"/>
  <c r="X33" i="68"/>
  <c r="W5" i="33" s="1"/>
  <c r="Y35" i="68"/>
  <c r="V3" i="32" l="1"/>
  <c r="X22" i="68"/>
  <c r="V7" i="32"/>
  <c r="X26" i="68"/>
  <c r="Z25" i="68"/>
  <c r="Y6" i="32" s="1"/>
  <c r="Z24" i="68"/>
  <c r="Y5" i="32" s="1"/>
  <c r="Y33" i="68"/>
  <c r="X5" i="33" s="1"/>
  <c r="Y34" i="68"/>
  <c r="X6" i="33" s="1"/>
  <c r="Z35" i="68"/>
  <c r="Y32" i="68"/>
  <c r="W3" i="32" l="1"/>
  <c r="Y22" i="68"/>
  <c r="W7" i="32"/>
  <c r="Y26" i="68"/>
  <c r="AA25" i="68"/>
  <c r="Z6" i="32" s="1"/>
  <c r="AA24" i="68"/>
  <c r="Z5" i="32" s="1"/>
  <c r="Z33" i="68"/>
  <c r="Y5" i="33" s="1"/>
  <c r="Z32" i="68"/>
  <c r="AA35" i="68"/>
  <c r="Z34" i="68"/>
  <c r="Y6" i="33" s="1"/>
  <c r="X7" i="32" l="1"/>
  <c r="Z26" i="68"/>
  <c r="X3" i="32"/>
  <c r="Z22" i="68"/>
  <c r="AB24" i="68"/>
  <c r="AA5" i="32" s="1"/>
  <c r="AB25" i="68"/>
  <c r="AA6" i="32" s="1"/>
  <c r="AA33" i="68"/>
  <c r="Z5" i="33" s="1"/>
  <c r="AA34" i="68"/>
  <c r="Z6" i="33" s="1"/>
  <c r="AB35" i="68"/>
  <c r="AA32" i="68"/>
  <c r="Y3" i="32" l="1"/>
  <c r="AA22" i="68"/>
  <c r="Y7" i="32"/>
  <c r="AA26" i="68"/>
  <c r="AC25" i="68"/>
  <c r="AB6" i="32" s="1"/>
  <c r="AC24" i="68"/>
  <c r="AB5" i="32" s="1"/>
  <c r="AB33" i="68"/>
  <c r="AA5" i="33" s="1"/>
  <c r="AB32" i="68"/>
  <c r="AC35" i="68"/>
  <c r="AB34" i="68"/>
  <c r="AA6" i="33" s="1"/>
  <c r="Z7" i="32" l="1"/>
  <c r="AB26" i="68"/>
  <c r="Z3" i="32"/>
  <c r="AB22" i="68"/>
  <c r="AD24" i="68"/>
  <c r="AC5" i="32" s="1"/>
  <c r="AD25" i="68"/>
  <c r="AC6" i="32" s="1"/>
  <c r="AC33" i="68"/>
  <c r="AB5" i="33" s="1"/>
  <c r="AC34" i="68"/>
  <c r="AB6" i="33" s="1"/>
  <c r="AD35" i="68"/>
  <c r="AC32" i="68"/>
  <c r="AA3" i="32" l="1"/>
  <c r="AC22" i="68"/>
  <c r="AA7" i="32"/>
  <c r="AC26" i="68"/>
  <c r="AD32" i="68"/>
  <c r="AD33" i="68"/>
  <c r="AC5" i="33" s="1"/>
  <c r="AD34" i="68"/>
  <c r="AC6" i="33" s="1"/>
  <c r="AB7" i="32" l="1"/>
  <c r="AD26" i="68"/>
  <c r="AC7" i="32" s="1"/>
  <c r="AB3" i="32"/>
  <c r="AD22" i="68"/>
  <c r="AC3" i="32" s="1"/>
</calcChain>
</file>

<file path=xl/sharedStrings.xml><?xml version="1.0" encoding="utf-8"?>
<sst xmlns="http://schemas.openxmlformats.org/spreadsheetml/2006/main" count="8257" uniqueCount="3918">
  <si>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</si>
  <si>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</si>
  <si>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</si>
  <si>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</si>
  <si>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</si>
  <si>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</si>
  <si>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</si>
  <si>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</si>
  <si>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</si>
  <si>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</si>
  <si>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</si>
  <si>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</si>
  <si>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</si>
  <si>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</si>
  <si>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</si>
  <si>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</si>
  <si>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</si>
  <si>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</si>
  <si>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</si>
  <si>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</si>
  <si>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</si>
  <si>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</si>
  <si>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</si>
  <si>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</si>
  <si>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</si>
  <si>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</si>
  <si>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</si>
  <si>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</si>
  <si>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</si>
  <si>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</si>
  <si>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</si>
  <si>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</si>
  <si>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</si>
  <si>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</si>
  <si>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</si>
  <si>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</si>
  <si>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</si>
  <si>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</si>
  <si>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</si>
  <si>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</si>
  <si>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</si>
  <si>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</si>
  <si>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</si>
  <si>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</si>
  <si>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</si>
  <si>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</si>
  <si>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</si>
  <si>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</si>
  <si>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</si>
  <si>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</si>
  <si>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</si>
  <si>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</si>
  <si>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</si>
  <si>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</si>
  <si>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</si>
  <si>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</si>
  <si>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</si>
  <si>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</si>
  <si>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</si>
  <si>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</si>
  <si>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</si>
  <si>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</si>
  <si>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</si>
  <si>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</si>
  <si>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</si>
  <si>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</si>
  <si>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</si>
  <si>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</si>
  <si>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</si>
  <si>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</si>
  <si>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</si>
  <si>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</si>
  <si>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</si>
  <si>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</si>
  <si>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</si>
  <si>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</si>
  <si>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</si>
  <si>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</si>
  <si>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</si>
  <si>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</si>
  <si>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</si>
  <si>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</si>
  <si>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</si>
  <si>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</si>
  <si>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</si>
  <si>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</si>
  <si>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</si>
  <si>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</si>
  <si>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</si>
  <si>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</si>
  <si>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</si>
  <si>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</si>
  <si>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</si>
  <si>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</si>
  <si>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</si>
  <si>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</si>
  <si>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</si>
  <si>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</si>
  <si>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</si>
  <si>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</si>
  <si>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</si>
  <si>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</si>
  <si>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</si>
  <si>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</si>
  <si>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</si>
  <si>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</si>
  <si>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</si>
  <si>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</si>
  <si>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</si>
  <si>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</si>
  <si>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</si>
  <si>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</si>
  <si>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</si>
  <si>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</si>
  <si>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</si>
  <si>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</si>
  <si>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</si>
  <si>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</si>
  <si>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</si>
  <si>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</si>
  <si>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</si>
  <si>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</si>
  <si>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</si>
  <si>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</si>
  <si>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</si>
  <si>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</si>
  <si>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</si>
  <si>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</si>
  <si>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</si>
  <si>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</si>
  <si>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</si>
  <si>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</si>
  <si>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</si>
  <si>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</si>
  <si>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</si>
  <si>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</si>
  <si>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</si>
  <si>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</si>
  <si>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</si>
  <si>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</si>
  <si>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</si>
  <si>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</si>
  <si>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</si>
  <si>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</si>
  <si>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</si>
  <si>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</si>
  <si>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</si>
  <si>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</si>
  <si>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</si>
  <si>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</si>
  <si>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</si>
  <si>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</si>
  <si>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</si>
  <si>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</si>
  <si>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</si>
  <si>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</si>
  <si>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</si>
  <si>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</si>
  <si>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</si>
  <si>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</si>
  <si>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</si>
  <si>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</si>
  <si>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</si>
  <si>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</si>
  <si>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</si>
  <si>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</si>
  <si>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</si>
  <si>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</si>
  <si>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</si>
  <si>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</si>
  <si>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</si>
  <si>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</si>
  <si>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</si>
  <si>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</si>
  <si>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</si>
  <si>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</si>
  <si>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</si>
  <si>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</si>
  <si>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</si>
  <si>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</si>
  <si>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</si>
  <si>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</si>
  <si>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</si>
  <si>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</si>
  <si>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</si>
  <si>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</si>
  <si>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</si>
  <si>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EIA</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</si>
  <si>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</si>
  <si>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</si>
  <si>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</si>
  <si>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</si>
  <si>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</si>
  <si>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</si>
  <si>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</si>
  <si>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</si>
  <si>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</si>
  <si>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</si>
  <si>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</si>
  <si>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</si>
  <si>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</si>
  <si>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</si>
  <si>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</si>
  <si>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</si>
  <si>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</si>
  <si>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</si>
  <si>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</si>
  <si>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</si>
  <si>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</si>
  <si>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</si>
  <si>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</si>
  <si>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</si>
  <si>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</si>
  <si>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</si>
  <si>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</si>
  <si>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</si>
  <si>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</si>
  <si>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</si>
  <si>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https://www.eia.gov/outlooks/aeo/tables_side.php</t>
  </si>
  <si>
    <t>We classify AEO's light commercial trucks category as well as light-medium and medium duty vehicles</t>
  </si>
  <si>
    <t>in "freight LDVs" and heavy duty vehicles in "freight HDVs."</t>
  </si>
  <si>
    <t>Tables 7, 46, 47, 49</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</si>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</sst>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i/>
      <sz val="11"/>
      <color theme="1"/>
      <name val="Calibri"/>
      <family val="2"/>
      <scheme val="minor"/>
    </font>
  </fonts>
  <fills count="42">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279">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68" fillId="0" borderId="0" xfId="0" applyFo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55" fillId="0" borderId="9" xfId="157" applyFont="1" applyAlignment="1"/>
    <xf numFmtId="0" fontId="9" fillId="0" borderId="9" xfId="154" applyBorder="1"/>
    <xf numFmtId="0" fontId="9" fillId="0" borderId="0" xfId="154"/>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4"/>
  <sheetViews>
    <sheetView workbookViewId="0">
      <selection activeCell="F14" sqref="F14"/>
    </sheetView>
  </sheetViews>
  <sheetFormatPr defaultRowHeight="15"/>
  <cols>
    <col min="2" max="2" width="51.5703125" customWidth="1"/>
  </cols>
  <sheetData>
    <row r="1" spans="1:2">
      <c r="A1" s="1" t="s">
        <v>1381</v>
      </c>
    </row>
    <row r="2" spans="1:2">
      <c r="A2" s="1" t="s">
        <v>36</v>
      </c>
    </row>
    <row r="4" spans="1:2">
      <c r="A4" s="1" t="s">
        <v>0</v>
      </c>
      <c r="B4" s="4" t="s">
        <v>186</v>
      </c>
    </row>
    <row r="5" spans="1:2">
      <c r="B5" t="s">
        <v>187</v>
      </c>
    </row>
    <row r="6" spans="1:2">
      <c r="B6" s="2">
        <v>2023</v>
      </c>
    </row>
    <row r="7" spans="1:2">
      <c r="B7" t="s">
        <v>653</v>
      </c>
    </row>
    <row r="8" spans="1:2">
      <c r="B8" t="s">
        <v>218</v>
      </c>
    </row>
    <row r="9" spans="1:2">
      <c r="B9" t="s">
        <v>221</v>
      </c>
    </row>
    <row r="11" spans="1:2">
      <c r="B11" s="4" t="s">
        <v>3917</v>
      </c>
    </row>
    <row r="12" spans="1:2">
      <c r="B12" t="s">
        <v>1</v>
      </c>
    </row>
    <row r="13" spans="1:2">
      <c r="B13" s="2">
        <v>2025</v>
      </c>
    </row>
    <row r="14" spans="1:2">
      <c r="B14" t="s">
        <v>3914</v>
      </c>
    </row>
    <row r="15" spans="1:2">
      <c r="B15" s="3" t="s">
        <v>3913</v>
      </c>
    </row>
    <row r="16" spans="1:2">
      <c r="B16" s="3"/>
    </row>
    <row r="17" spans="2:2">
      <c r="B17" s="4" t="s">
        <v>3917</v>
      </c>
    </row>
    <row r="18" spans="2:2">
      <c r="B18" t="s">
        <v>1</v>
      </c>
    </row>
    <row r="19" spans="2:2">
      <c r="B19" s="2">
        <v>2025</v>
      </c>
    </row>
    <row r="20" spans="2:2">
      <c r="B20" t="s">
        <v>3916</v>
      </c>
    </row>
    <row r="21" spans="2:2">
      <c r="B21" s="3" t="s">
        <v>3915</v>
      </c>
    </row>
    <row r="23" spans="2:2">
      <c r="B23" s="10" t="s">
        <v>31</v>
      </c>
    </row>
    <row r="24" spans="2:2">
      <c r="B24" t="s">
        <v>32</v>
      </c>
    </row>
    <row r="25" spans="2:2">
      <c r="B25" s="2">
        <v>2013</v>
      </c>
    </row>
    <row r="26" spans="2:2">
      <c r="B26" t="s">
        <v>33</v>
      </c>
    </row>
    <row r="27" spans="2:2">
      <c r="B27" t="s">
        <v>34</v>
      </c>
    </row>
    <row r="28" spans="2:2">
      <c r="B28" t="s">
        <v>35</v>
      </c>
    </row>
    <row r="30" spans="2:2">
      <c r="B30" s="4" t="s">
        <v>1382</v>
      </c>
    </row>
    <row r="31" spans="2:2">
      <c r="B31" t="s">
        <v>1383</v>
      </c>
    </row>
    <row r="32" spans="2:2">
      <c r="B32" t="s">
        <v>1384</v>
      </c>
    </row>
    <row r="33" spans="1:2">
      <c r="B33">
        <v>2020</v>
      </c>
    </row>
    <row r="34" spans="1:2">
      <c r="B34" s="3" t="s">
        <v>1385</v>
      </c>
    </row>
    <row r="37" spans="1:2">
      <c r="B37" s="1"/>
    </row>
    <row r="38" spans="1:2">
      <c r="A38" s="1" t="s">
        <v>10</v>
      </c>
      <c r="B38" s="7"/>
    </row>
    <row r="39" spans="1:2">
      <c r="A39" t="s">
        <v>29</v>
      </c>
      <c r="B39" s="7"/>
    </row>
    <row r="40" spans="1:2">
      <c r="A40" t="s">
        <v>30</v>
      </c>
      <c r="B40" s="7"/>
    </row>
    <row r="41" spans="1:2">
      <c r="B41" s="7"/>
    </row>
    <row r="42" spans="1:2">
      <c r="A42" t="s">
        <v>12</v>
      </c>
    </row>
    <row r="43" spans="1:2">
      <c r="A43" t="s">
        <v>1378</v>
      </c>
    </row>
    <row r="46" spans="1:2">
      <c r="A46" t="s">
        <v>219</v>
      </c>
    </row>
    <row r="47" spans="1:2">
      <c r="A47" t="s">
        <v>220</v>
      </c>
    </row>
    <row r="49" spans="1:2">
      <c r="A49" t="s">
        <v>155</v>
      </c>
      <c r="B49">
        <v>2023</v>
      </c>
    </row>
    <row r="50" spans="1:2">
      <c r="A50" t="s">
        <v>191</v>
      </c>
    </row>
    <row r="51" spans="1:2">
      <c r="A51" t="s">
        <v>325</v>
      </c>
    </row>
    <row r="52" spans="1:2">
      <c r="A52" t="s">
        <v>222</v>
      </c>
    </row>
    <row r="53" spans="1:2">
      <c r="A53" t="s">
        <v>1379</v>
      </c>
    </row>
    <row r="54" spans="1:2">
      <c r="A54" t="s">
        <v>1380</v>
      </c>
    </row>
  </sheetData>
  <hyperlinks>
    <hyperlink ref="B34"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217</v>
      </c>
      <c r="B1" t="s">
        <v>156</v>
      </c>
      <c r="C1" t="s">
        <v>157</v>
      </c>
      <c r="D1" t="s">
        <v>158</v>
      </c>
      <c r="E1" t="s">
        <v>159</v>
      </c>
      <c r="F1" t="s">
        <v>160</v>
      </c>
      <c r="G1" t="s">
        <v>188</v>
      </c>
      <c r="H1" t="s">
        <v>189</v>
      </c>
    </row>
    <row r="2" spans="1:8">
      <c r="A2" t="s">
        <v>4</v>
      </c>
      <c r="B2">
        <v>2799214</v>
      </c>
      <c r="C2">
        <v>16648</v>
      </c>
      <c r="D2">
        <v>256819978</v>
      </c>
      <c r="E2">
        <v>1348635</v>
      </c>
      <c r="F2">
        <v>1130472</v>
      </c>
      <c r="G2">
        <v>16384</v>
      </c>
      <c r="H2">
        <v>15809</v>
      </c>
    </row>
    <row r="3" spans="1:8">
      <c r="A3" t="s">
        <v>5</v>
      </c>
      <c r="B3">
        <v>300</v>
      </c>
      <c r="C3">
        <v>123405.86320000001</v>
      </c>
      <c r="D3">
        <v>98369.804889999999</v>
      </c>
      <c r="E3">
        <v>703911.92879999999</v>
      </c>
      <c r="F3">
        <v>0</v>
      </c>
      <c r="G3">
        <v>41837.429479999999</v>
      </c>
      <c r="H3">
        <v>105.315567</v>
      </c>
    </row>
    <row r="4" spans="1:8">
      <c r="A4" t="s">
        <v>6</v>
      </c>
      <c r="B4">
        <v>0</v>
      </c>
      <c r="C4">
        <v>0</v>
      </c>
      <c r="D4">
        <v>0</v>
      </c>
      <c r="E4">
        <v>415.80289579999999</v>
      </c>
      <c r="F4">
        <v>0</v>
      </c>
      <c r="G4">
        <v>0</v>
      </c>
      <c r="H4">
        <v>0</v>
      </c>
    </row>
    <row r="5" spans="1:8">
      <c r="A5" t="s">
        <v>7</v>
      </c>
      <c r="B5">
        <v>2563.6060360000001</v>
      </c>
      <c r="C5">
        <v>0</v>
      </c>
      <c r="D5">
        <v>0</v>
      </c>
      <c r="E5">
        <v>173.39396389999999</v>
      </c>
      <c r="F5">
        <v>0</v>
      </c>
      <c r="G5">
        <v>0</v>
      </c>
      <c r="H5">
        <v>0</v>
      </c>
    </row>
    <row r="6" spans="1:8">
      <c r="A6" t="s">
        <v>8</v>
      </c>
      <c r="B6">
        <v>0</v>
      </c>
      <c r="C6">
        <v>0</v>
      </c>
      <c r="D6">
        <v>10231405.02</v>
      </c>
      <c r="E6">
        <v>2473594.5350000001</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217</v>
      </c>
      <c r="B1" t="s">
        <v>156</v>
      </c>
      <c r="C1" t="s">
        <v>157</v>
      </c>
      <c r="D1" t="s">
        <v>158</v>
      </c>
      <c r="E1" t="s">
        <v>159</v>
      </c>
      <c r="F1" t="s">
        <v>160</v>
      </c>
      <c r="G1" t="s">
        <v>188</v>
      </c>
      <c r="H1" t="s">
        <v>189</v>
      </c>
    </row>
    <row r="2" spans="1:8">
      <c r="A2" t="s">
        <v>4</v>
      </c>
      <c r="B2">
        <v>368</v>
      </c>
      <c r="C2">
        <v>15529</v>
      </c>
      <c r="D2">
        <v>12709652</v>
      </c>
      <c r="E2">
        <v>10634737</v>
      </c>
      <c r="F2">
        <v>2288</v>
      </c>
      <c r="G2">
        <v>3349</v>
      </c>
      <c r="H2">
        <v>0</v>
      </c>
    </row>
    <row r="3" spans="1:8">
      <c r="A3" t="s">
        <v>5</v>
      </c>
      <c r="B3">
        <v>255</v>
      </c>
      <c r="C3">
        <v>53506</v>
      </c>
      <c r="D3">
        <v>39244</v>
      </c>
      <c r="E3">
        <v>5288878</v>
      </c>
      <c r="F3">
        <v>0</v>
      </c>
      <c r="G3">
        <v>3134</v>
      </c>
      <c r="H3">
        <v>0</v>
      </c>
    </row>
    <row r="4" spans="1:8">
      <c r="A4" t="s">
        <v>6</v>
      </c>
      <c r="B4">
        <v>0</v>
      </c>
      <c r="C4">
        <v>0</v>
      </c>
      <c r="D4">
        <v>0</v>
      </c>
      <c r="E4">
        <v>46</v>
      </c>
      <c r="F4">
        <v>0</v>
      </c>
      <c r="G4">
        <v>0</v>
      </c>
      <c r="H4">
        <v>0</v>
      </c>
    </row>
    <row r="5" spans="1:8">
      <c r="A5" t="s">
        <v>7</v>
      </c>
      <c r="B5">
        <v>0</v>
      </c>
      <c r="C5">
        <v>0</v>
      </c>
      <c r="D5">
        <v>0</v>
      </c>
      <c r="E5">
        <v>24526</v>
      </c>
      <c r="F5">
        <v>0</v>
      </c>
      <c r="G5">
        <v>0</v>
      </c>
      <c r="H5">
        <v>0</v>
      </c>
    </row>
    <row r="6" spans="1:8">
      <c r="A6" t="s">
        <v>8</v>
      </c>
      <c r="B6">
        <v>0</v>
      </c>
      <c r="C6">
        <v>0</v>
      </c>
      <c r="D6">
        <v>0</v>
      </c>
      <c r="E6">
        <v>9678</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election activeCell="O24" sqref="O24"/>
    </sheetView>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election activeCell="L35" sqref="L35"/>
    </sheetView>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109375" defaultRowHeight="15"/>
  <cols>
    <col min="2" max="2" width="38" customWidth="1"/>
  </cols>
  <sheetData>
    <row r="1" spans="1:33" ht="15.75" thickBot="1">
      <c r="A1" s="29"/>
      <c r="B1" s="147" t="s">
        <v>652</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658</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659</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660</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661</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7" customFormat="1">
      <c r="A18" s="232" t="s">
        <v>44</v>
      </c>
      <c r="B18" s="233" t="s">
        <v>45</v>
      </c>
      <c r="C18" s="234">
        <v>2843.298096</v>
      </c>
      <c r="D18" s="234">
        <v>2901.3588869999999</v>
      </c>
      <c r="E18" s="234">
        <v>2922.5065920000002</v>
      </c>
      <c r="F18" s="234">
        <v>2933.360107</v>
      </c>
      <c r="G18" s="234">
        <v>2954.2380370000001</v>
      </c>
      <c r="H18" s="234">
        <v>2981.9343260000001</v>
      </c>
      <c r="I18" s="234">
        <v>3007.5581050000001</v>
      </c>
      <c r="J18" s="234">
        <v>3027.5729980000001</v>
      </c>
      <c r="K18" s="234">
        <v>3042.8432619999999</v>
      </c>
      <c r="L18" s="234">
        <v>3055.7746579999998</v>
      </c>
      <c r="M18" s="234">
        <v>3066.6516109999998</v>
      </c>
      <c r="N18" s="234">
        <v>3082.359375</v>
      </c>
      <c r="O18" s="234">
        <v>3102.4182129999999</v>
      </c>
      <c r="P18" s="234">
        <v>3120.7375489999999</v>
      </c>
      <c r="Q18" s="234">
        <v>3135.6208499999998</v>
      </c>
      <c r="R18" s="234">
        <v>3152.9177249999998</v>
      </c>
      <c r="S18" s="234">
        <v>3172.435547</v>
      </c>
      <c r="T18" s="234">
        <v>3192.100586</v>
      </c>
      <c r="U18" s="234">
        <v>3214.5629880000001</v>
      </c>
      <c r="V18" s="234">
        <v>3237.5805660000001</v>
      </c>
      <c r="W18" s="234">
        <v>3261.5847170000002</v>
      </c>
      <c r="X18" s="234">
        <v>3284.897461</v>
      </c>
      <c r="Y18" s="234">
        <v>3309.0390619999998</v>
      </c>
      <c r="Z18" s="234">
        <v>3334.7033689999998</v>
      </c>
      <c r="AA18" s="234">
        <v>3364.522461</v>
      </c>
      <c r="AB18" s="234">
        <v>3396.5351559999999</v>
      </c>
      <c r="AC18" s="234">
        <v>3429.5627439999998</v>
      </c>
      <c r="AD18" s="234">
        <v>3463.0249020000001</v>
      </c>
      <c r="AE18" s="234">
        <v>3499.5429690000001</v>
      </c>
      <c r="AF18" s="235">
        <v>7.4440000000000001E-3</v>
      </c>
      <c r="AG18" s="236"/>
    </row>
    <row r="19" spans="1:33" s="255" customFormat="1">
      <c r="A19" s="250" t="s">
        <v>46</v>
      </c>
      <c r="B19" s="251" t="s">
        <v>47</v>
      </c>
      <c r="C19" s="252">
        <v>102.214951</v>
      </c>
      <c r="D19" s="252">
        <v>103.34345999999999</v>
      </c>
      <c r="E19" s="252">
        <v>103.55378</v>
      </c>
      <c r="F19" s="252">
        <v>104.36998699999999</v>
      </c>
      <c r="G19" s="252">
        <v>105.656265</v>
      </c>
      <c r="H19" s="252">
        <v>107.002548</v>
      </c>
      <c r="I19" s="252">
        <v>108.204063</v>
      </c>
      <c r="J19" s="252">
        <v>109.329842</v>
      </c>
      <c r="K19" s="252">
        <v>110.214569</v>
      </c>
      <c r="L19" s="252">
        <v>111.063705</v>
      </c>
      <c r="M19" s="252">
        <v>112.175911</v>
      </c>
      <c r="N19" s="252">
        <v>113.26731100000001</v>
      </c>
      <c r="O19" s="252">
        <v>114.361328</v>
      </c>
      <c r="P19" s="252">
        <v>115.539856</v>
      </c>
      <c r="Q19" s="252">
        <v>116.693398</v>
      </c>
      <c r="R19" s="252">
        <v>117.934776</v>
      </c>
      <c r="S19" s="252">
        <v>119.26325199999999</v>
      </c>
      <c r="T19" s="252">
        <v>120.517143</v>
      </c>
      <c r="U19" s="252">
        <v>121.965698</v>
      </c>
      <c r="V19" s="252">
        <v>123.543205</v>
      </c>
      <c r="W19" s="252">
        <v>125.055435</v>
      </c>
      <c r="X19" s="252">
        <v>126.490196</v>
      </c>
      <c r="Y19" s="252">
        <v>127.831902</v>
      </c>
      <c r="Z19" s="252">
        <v>129.14802599999999</v>
      </c>
      <c r="AA19" s="252">
        <v>130.647919</v>
      </c>
      <c r="AB19" s="252">
        <v>132.25534099999999</v>
      </c>
      <c r="AC19" s="252">
        <v>133.71923799999999</v>
      </c>
      <c r="AD19" s="252">
        <v>135.16911300000001</v>
      </c>
      <c r="AE19" s="252">
        <v>137.065033</v>
      </c>
      <c r="AF19" s="253">
        <v>1.0533000000000001E-2</v>
      </c>
      <c r="AG19" s="254"/>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c r="A28" s="30" t="s">
        <v>60</v>
      </c>
      <c r="B28" s="153" t="s">
        <v>62</v>
      </c>
      <c r="C28" s="154">
        <v>444.898865</v>
      </c>
      <c r="D28" s="154">
        <v>450.42761200000001</v>
      </c>
      <c r="E28" s="154">
        <v>448.61004600000001</v>
      </c>
      <c r="F28" s="154">
        <v>446.74627700000002</v>
      </c>
      <c r="G28" s="154">
        <v>445.22772200000003</v>
      </c>
      <c r="H28" s="154">
        <v>442.84777800000001</v>
      </c>
      <c r="I28" s="154">
        <v>440.43005399999998</v>
      </c>
      <c r="J28" s="154">
        <v>437.02459700000003</v>
      </c>
      <c r="K28" s="154">
        <v>434.036407</v>
      </c>
      <c r="L28" s="154">
        <v>431.39211999999998</v>
      </c>
      <c r="M28" s="154">
        <v>429.99737499999998</v>
      </c>
      <c r="N28" s="154">
        <v>428.16067500000003</v>
      </c>
      <c r="O28" s="154">
        <v>426.27862499999998</v>
      </c>
      <c r="P28" s="154">
        <v>424.17816199999999</v>
      </c>
      <c r="Q28" s="154">
        <v>421.71697999999998</v>
      </c>
      <c r="R28" s="154">
        <v>419.81463600000001</v>
      </c>
      <c r="S28" s="154">
        <v>417.567047</v>
      </c>
      <c r="T28" s="154">
        <v>415.80767800000001</v>
      </c>
      <c r="U28" s="154">
        <v>414.04513500000002</v>
      </c>
      <c r="V28" s="154">
        <v>412.52209499999998</v>
      </c>
      <c r="W28" s="154">
        <v>411.24774200000002</v>
      </c>
      <c r="X28" s="154">
        <v>409.97735599999999</v>
      </c>
      <c r="Y28" s="154">
        <v>408.52224699999999</v>
      </c>
      <c r="Z28" s="154">
        <v>406.63034099999999</v>
      </c>
      <c r="AA28" s="154">
        <v>405.358521</v>
      </c>
      <c r="AB28" s="154">
        <v>403.865906</v>
      </c>
      <c r="AC28" s="154">
        <v>401.97906499999999</v>
      </c>
      <c r="AD28" s="154">
        <v>400.55664100000001</v>
      </c>
      <c r="AE28" s="154">
        <v>400.09832799999998</v>
      </c>
      <c r="AF28" s="155">
        <v>-3.7829999999999999E-3</v>
      </c>
      <c r="AG28" s="31"/>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662</v>
      </c>
      <c r="B69" s="153" t="s">
        <v>663</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664</v>
      </c>
      <c r="B86" s="153" t="s">
        <v>663</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72" t="s">
        <v>665</v>
      </c>
      <c r="C89" s="273"/>
      <c r="D89" s="273"/>
      <c r="E89" s="273"/>
      <c r="F89" s="273"/>
      <c r="G89" s="273"/>
      <c r="H89" s="273"/>
      <c r="I89" s="273"/>
      <c r="J89" s="273"/>
      <c r="K89" s="273"/>
      <c r="L89" s="273"/>
      <c r="M89" s="273"/>
      <c r="N89" s="273"/>
      <c r="O89" s="273"/>
      <c r="P89" s="273"/>
      <c r="Q89" s="273"/>
      <c r="R89" s="273"/>
      <c r="S89" s="273"/>
      <c r="T89" s="273"/>
      <c r="U89" s="273"/>
      <c r="V89" s="273"/>
      <c r="W89" s="273"/>
      <c r="X89" s="273"/>
      <c r="Y89" s="273"/>
      <c r="Z89" s="273"/>
      <c r="AA89" s="273"/>
      <c r="AB89" s="273"/>
      <c r="AC89" s="273"/>
      <c r="AD89" s="273"/>
      <c r="AE89" s="273"/>
      <c r="AF89" s="273"/>
      <c r="AG89" s="273"/>
      <c r="AH89" s="32"/>
    </row>
    <row r="90" spans="1:34">
      <c r="A90" s="29"/>
      <c r="B90" s="31" t="s">
        <v>326</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327</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666</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328</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329</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667</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330</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331</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332</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668</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669</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75"/>
      <c r="C112" s="275"/>
      <c r="D112" s="275"/>
      <c r="E112" s="275"/>
      <c r="F112" s="275"/>
      <c r="G112" s="275"/>
      <c r="H112" s="275"/>
      <c r="I112" s="275"/>
      <c r="J112" s="275"/>
      <c r="K112" s="275"/>
      <c r="L112" s="275"/>
      <c r="M112" s="275"/>
      <c r="N112" s="275"/>
      <c r="O112" s="275"/>
      <c r="P112" s="275"/>
      <c r="Q112" s="275"/>
      <c r="R112" s="275"/>
      <c r="S112" s="275"/>
      <c r="T112" s="275"/>
      <c r="U112" s="275"/>
      <c r="V112" s="275"/>
      <c r="W112" s="275"/>
      <c r="X112" s="275"/>
      <c r="Y112" s="275"/>
      <c r="Z112" s="275"/>
      <c r="AA112" s="275"/>
      <c r="AB112" s="275"/>
      <c r="AC112" s="275"/>
      <c r="AD112" s="275"/>
      <c r="AE112" s="275"/>
      <c r="AF112" s="275"/>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74"/>
      <c r="C308" s="274"/>
      <c r="D308" s="274"/>
      <c r="E308" s="274"/>
      <c r="F308" s="274"/>
      <c r="G308" s="274"/>
      <c r="H308" s="274"/>
      <c r="I308" s="274"/>
      <c r="J308" s="274"/>
      <c r="K308" s="274"/>
      <c r="L308" s="274"/>
      <c r="M308" s="274"/>
      <c r="N308" s="274"/>
      <c r="O308" s="274"/>
      <c r="P308" s="274"/>
      <c r="Q308" s="274"/>
      <c r="R308" s="274"/>
      <c r="S308" s="274"/>
      <c r="T308" s="274"/>
      <c r="U308" s="274"/>
      <c r="V308" s="274"/>
      <c r="W308" s="274"/>
      <c r="X308" s="274"/>
      <c r="Y308" s="274"/>
      <c r="Z308" s="274"/>
      <c r="AA308" s="274"/>
      <c r="AB308" s="274"/>
      <c r="AC308" s="274"/>
      <c r="AD308" s="274"/>
      <c r="AE308" s="274"/>
      <c r="AF308" s="274"/>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74"/>
      <c r="C511" s="274"/>
      <c r="D511" s="274"/>
      <c r="E511" s="274"/>
      <c r="F511" s="274"/>
      <c r="G511" s="274"/>
      <c r="H511" s="274"/>
      <c r="I511" s="274"/>
      <c r="J511" s="274"/>
      <c r="K511" s="274"/>
      <c r="L511" s="274"/>
      <c r="M511" s="274"/>
      <c r="N511" s="274"/>
      <c r="O511" s="274"/>
      <c r="P511" s="274"/>
      <c r="Q511" s="274"/>
      <c r="R511" s="274"/>
      <c r="S511" s="274"/>
      <c r="T511" s="274"/>
      <c r="U511" s="274"/>
      <c r="V511" s="274"/>
      <c r="W511" s="274"/>
      <c r="X511" s="274"/>
      <c r="Y511" s="274"/>
      <c r="Z511" s="274"/>
      <c r="AA511" s="274"/>
      <c r="AB511" s="274"/>
      <c r="AC511" s="274"/>
      <c r="AD511" s="274"/>
      <c r="AE511" s="274"/>
      <c r="AF511" s="274"/>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74"/>
      <c r="C712" s="274"/>
      <c r="D712" s="274"/>
      <c r="E712" s="274"/>
      <c r="F712" s="274"/>
      <c r="G712" s="274"/>
      <c r="H712" s="274"/>
      <c r="I712" s="274"/>
      <c r="J712" s="274"/>
      <c r="K712" s="274"/>
      <c r="L712" s="274"/>
      <c r="M712" s="274"/>
      <c r="N712" s="274"/>
      <c r="O712" s="274"/>
      <c r="P712" s="274"/>
      <c r="Q712" s="274"/>
      <c r="R712" s="274"/>
      <c r="S712" s="274"/>
      <c r="T712" s="274"/>
      <c r="U712" s="274"/>
      <c r="V712" s="274"/>
      <c r="W712" s="274"/>
      <c r="X712" s="274"/>
      <c r="Y712" s="274"/>
      <c r="Z712" s="274"/>
      <c r="AA712" s="274"/>
      <c r="AB712" s="274"/>
      <c r="AC712" s="274"/>
      <c r="AD712" s="274"/>
      <c r="AE712" s="274"/>
      <c r="AF712" s="274"/>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74"/>
      <c r="C887" s="274"/>
      <c r="D887" s="274"/>
      <c r="E887" s="274"/>
      <c r="F887" s="274"/>
      <c r="G887" s="274"/>
      <c r="H887" s="274"/>
      <c r="I887" s="274"/>
      <c r="J887" s="274"/>
      <c r="K887" s="274"/>
      <c r="L887" s="274"/>
      <c r="M887" s="274"/>
      <c r="N887" s="274"/>
      <c r="O887" s="274"/>
      <c r="P887" s="274"/>
      <c r="Q887" s="274"/>
      <c r="R887" s="274"/>
      <c r="S887" s="274"/>
      <c r="T887" s="274"/>
      <c r="U887" s="274"/>
      <c r="V887" s="274"/>
      <c r="W887" s="274"/>
      <c r="X887" s="274"/>
      <c r="Y887" s="274"/>
      <c r="Z887" s="274"/>
      <c r="AA887" s="274"/>
      <c r="AB887" s="274"/>
      <c r="AC887" s="274"/>
      <c r="AD887" s="274"/>
      <c r="AE887" s="274"/>
      <c r="AF887" s="274"/>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74"/>
      <c r="C1101" s="274"/>
      <c r="D1101" s="274"/>
      <c r="E1101" s="274"/>
      <c r="F1101" s="274"/>
      <c r="G1101" s="274"/>
      <c r="H1101" s="274"/>
      <c r="I1101" s="274"/>
      <c r="J1101" s="274"/>
      <c r="K1101" s="274"/>
      <c r="L1101" s="274"/>
      <c r="M1101" s="274"/>
      <c r="N1101" s="274"/>
      <c r="O1101" s="274"/>
      <c r="P1101" s="274"/>
      <c r="Q1101" s="274"/>
      <c r="R1101" s="274"/>
      <c r="S1101" s="274"/>
      <c r="T1101" s="274"/>
      <c r="U1101" s="274"/>
      <c r="V1101" s="274"/>
      <c r="W1101" s="274"/>
      <c r="X1101" s="274"/>
      <c r="Y1101" s="274"/>
      <c r="Z1101" s="274"/>
      <c r="AA1101" s="274"/>
      <c r="AB1101" s="274"/>
      <c r="AC1101" s="274"/>
      <c r="AD1101" s="274"/>
      <c r="AE1101" s="274"/>
      <c r="AF1101" s="274"/>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74"/>
      <c r="C1229" s="274"/>
      <c r="D1229" s="274"/>
      <c r="E1229" s="274"/>
      <c r="F1229" s="274"/>
      <c r="G1229" s="274"/>
      <c r="H1229" s="274"/>
      <c r="I1229" s="274"/>
      <c r="J1229" s="274"/>
      <c r="K1229" s="274"/>
      <c r="L1229" s="274"/>
      <c r="M1229" s="274"/>
      <c r="N1229" s="274"/>
      <c r="O1229" s="274"/>
      <c r="P1229" s="274"/>
      <c r="Q1229" s="274"/>
      <c r="R1229" s="274"/>
      <c r="S1229" s="274"/>
      <c r="T1229" s="274"/>
      <c r="U1229" s="274"/>
      <c r="V1229" s="274"/>
      <c r="W1229" s="274"/>
      <c r="X1229" s="274"/>
      <c r="Y1229" s="274"/>
      <c r="Z1229" s="274"/>
      <c r="AA1229" s="274"/>
      <c r="AB1229" s="274"/>
      <c r="AC1229" s="274"/>
      <c r="AD1229" s="274"/>
      <c r="AE1229" s="274"/>
      <c r="AF1229" s="274"/>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74"/>
      <c r="C1390" s="274"/>
      <c r="D1390" s="274"/>
      <c r="E1390" s="274"/>
      <c r="F1390" s="274"/>
      <c r="G1390" s="274"/>
      <c r="H1390" s="274"/>
      <c r="I1390" s="274"/>
      <c r="J1390" s="274"/>
      <c r="K1390" s="274"/>
      <c r="L1390" s="274"/>
      <c r="M1390" s="274"/>
      <c r="N1390" s="274"/>
      <c r="O1390" s="274"/>
      <c r="P1390" s="274"/>
      <c r="Q1390" s="274"/>
      <c r="R1390" s="274"/>
      <c r="S1390" s="274"/>
      <c r="T1390" s="274"/>
      <c r="U1390" s="274"/>
      <c r="V1390" s="274"/>
      <c r="W1390" s="274"/>
      <c r="X1390" s="274"/>
      <c r="Y1390" s="274"/>
      <c r="Z1390" s="274"/>
      <c r="AA1390" s="274"/>
      <c r="AB1390" s="274"/>
      <c r="AC1390" s="274"/>
      <c r="AD1390" s="274"/>
      <c r="AE1390" s="274"/>
      <c r="AF1390" s="274"/>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74"/>
      <c r="C1502" s="274"/>
      <c r="D1502" s="274"/>
      <c r="E1502" s="274"/>
      <c r="F1502" s="274"/>
      <c r="G1502" s="274"/>
      <c r="H1502" s="274"/>
      <c r="I1502" s="274"/>
      <c r="J1502" s="274"/>
      <c r="K1502" s="274"/>
      <c r="L1502" s="274"/>
      <c r="M1502" s="274"/>
      <c r="N1502" s="274"/>
      <c r="O1502" s="274"/>
      <c r="P1502" s="274"/>
      <c r="Q1502" s="274"/>
      <c r="R1502" s="274"/>
      <c r="S1502" s="274"/>
      <c r="T1502" s="274"/>
      <c r="U1502" s="274"/>
      <c r="V1502" s="274"/>
      <c r="W1502" s="274"/>
      <c r="X1502" s="274"/>
      <c r="Y1502" s="274"/>
      <c r="Z1502" s="274"/>
      <c r="AA1502" s="274"/>
      <c r="AB1502" s="274"/>
      <c r="AC1502" s="274"/>
      <c r="AD1502" s="274"/>
      <c r="AE1502" s="274"/>
      <c r="AF1502" s="274"/>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74"/>
      <c r="C1604" s="274"/>
      <c r="D1604" s="274"/>
      <c r="E1604" s="274"/>
      <c r="F1604" s="274"/>
      <c r="G1604" s="274"/>
      <c r="H1604" s="274"/>
      <c r="I1604" s="274"/>
      <c r="J1604" s="274"/>
      <c r="K1604" s="274"/>
      <c r="L1604" s="274"/>
      <c r="M1604" s="274"/>
      <c r="N1604" s="274"/>
      <c r="O1604" s="274"/>
      <c r="P1604" s="274"/>
      <c r="Q1604" s="274"/>
      <c r="R1604" s="274"/>
      <c r="S1604" s="274"/>
      <c r="T1604" s="274"/>
      <c r="U1604" s="274"/>
      <c r="V1604" s="274"/>
      <c r="W1604" s="274"/>
      <c r="X1604" s="274"/>
      <c r="Y1604" s="274"/>
      <c r="Z1604" s="274"/>
      <c r="AA1604" s="274"/>
      <c r="AB1604" s="274"/>
      <c r="AC1604" s="274"/>
      <c r="AD1604" s="274"/>
      <c r="AE1604" s="274"/>
      <c r="AF1604" s="274"/>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74"/>
      <c r="C1699" s="274"/>
      <c r="D1699" s="274"/>
      <c r="E1699" s="274"/>
      <c r="F1699" s="274"/>
      <c r="G1699" s="274"/>
      <c r="H1699" s="274"/>
      <c r="I1699" s="274"/>
      <c r="J1699" s="274"/>
      <c r="K1699" s="274"/>
      <c r="L1699" s="274"/>
      <c r="M1699" s="274"/>
      <c r="N1699" s="274"/>
      <c r="O1699" s="274"/>
      <c r="P1699" s="274"/>
      <c r="Q1699" s="274"/>
      <c r="R1699" s="274"/>
      <c r="S1699" s="274"/>
      <c r="T1699" s="274"/>
      <c r="U1699" s="274"/>
      <c r="V1699" s="274"/>
      <c r="W1699" s="274"/>
      <c r="X1699" s="274"/>
      <c r="Y1699" s="274"/>
      <c r="Z1699" s="274"/>
      <c r="AA1699" s="274"/>
      <c r="AB1699" s="274"/>
      <c r="AC1699" s="274"/>
      <c r="AD1699" s="274"/>
      <c r="AE1699" s="274"/>
      <c r="AF1699" s="274"/>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74"/>
      <c r="C1945" s="274"/>
      <c r="D1945" s="274"/>
      <c r="E1945" s="274"/>
      <c r="F1945" s="274"/>
      <c r="G1945" s="274"/>
      <c r="H1945" s="274"/>
      <c r="I1945" s="274"/>
      <c r="J1945" s="274"/>
      <c r="K1945" s="274"/>
      <c r="L1945" s="274"/>
      <c r="M1945" s="274"/>
      <c r="N1945" s="274"/>
      <c r="O1945" s="274"/>
      <c r="P1945" s="274"/>
      <c r="Q1945" s="274"/>
      <c r="R1945" s="274"/>
      <c r="S1945" s="274"/>
      <c r="T1945" s="274"/>
      <c r="U1945" s="274"/>
      <c r="V1945" s="274"/>
      <c r="W1945" s="274"/>
      <c r="X1945" s="274"/>
      <c r="Y1945" s="274"/>
      <c r="Z1945" s="274"/>
      <c r="AA1945" s="274"/>
      <c r="AB1945" s="274"/>
      <c r="AC1945" s="274"/>
      <c r="AD1945" s="274"/>
      <c r="AE1945" s="274"/>
      <c r="AF1945" s="274"/>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74"/>
      <c r="C2031" s="274"/>
      <c r="D2031" s="274"/>
      <c r="E2031" s="274"/>
      <c r="F2031" s="274"/>
      <c r="G2031" s="274"/>
      <c r="H2031" s="274"/>
      <c r="I2031" s="274"/>
      <c r="J2031" s="274"/>
      <c r="K2031" s="274"/>
      <c r="L2031" s="274"/>
      <c r="M2031" s="274"/>
      <c r="N2031" s="274"/>
      <c r="O2031" s="274"/>
      <c r="P2031" s="274"/>
      <c r="Q2031" s="274"/>
      <c r="R2031" s="274"/>
      <c r="S2031" s="274"/>
      <c r="T2031" s="274"/>
      <c r="U2031" s="274"/>
      <c r="V2031" s="274"/>
      <c r="W2031" s="274"/>
      <c r="X2031" s="274"/>
      <c r="Y2031" s="274"/>
      <c r="Z2031" s="274"/>
      <c r="AA2031" s="274"/>
      <c r="AB2031" s="274"/>
      <c r="AC2031" s="274"/>
      <c r="AD2031" s="274"/>
      <c r="AE2031" s="274"/>
      <c r="AF2031" s="274"/>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74"/>
      <c r="C2153" s="274"/>
      <c r="D2153" s="274"/>
      <c r="E2153" s="274"/>
      <c r="F2153" s="274"/>
      <c r="G2153" s="274"/>
      <c r="H2153" s="274"/>
      <c r="I2153" s="274"/>
      <c r="J2153" s="274"/>
      <c r="K2153" s="274"/>
      <c r="L2153" s="274"/>
      <c r="M2153" s="274"/>
      <c r="N2153" s="274"/>
      <c r="O2153" s="274"/>
      <c r="P2153" s="274"/>
      <c r="Q2153" s="274"/>
      <c r="R2153" s="274"/>
      <c r="S2153" s="274"/>
      <c r="T2153" s="274"/>
      <c r="U2153" s="274"/>
      <c r="V2153" s="274"/>
      <c r="W2153" s="274"/>
      <c r="X2153" s="274"/>
      <c r="Y2153" s="274"/>
      <c r="Z2153" s="274"/>
      <c r="AA2153" s="274"/>
      <c r="AB2153" s="274"/>
      <c r="AC2153" s="274"/>
      <c r="AD2153" s="274"/>
      <c r="AE2153" s="274"/>
      <c r="AF2153" s="274"/>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74"/>
      <c r="C2317" s="274"/>
      <c r="D2317" s="274"/>
      <c r="E2317" s="274"/>
      <c r="F2317" s="274"/>
      <c r="G2317" s="274"/>
      <c r="H2317" s="274"/>
      <c r="I2317" s="274"/>
      <c r="J2317" s="274"/>
      <c r="K2317" s="274"/>
      <c r="L2317" s="274"/>
      <c r="M2317" s="274"/>
      <c r="N2317" s="274"/>
      <c r="O2317" s="274"/>
      <c r="P2317" s="274"/>
      <c r="Q2317" s="274"/>
      <c r="R2317" s="274"/>
      <c r="S2317" s="274"/>
      <c r="T2317" s="274"/>
      <c r="U2317" s="274"/>
      <c r="V2317" s="274"/>
      <c r="W2317" s="274"/>
      <c r="X2317" s="274"/>
      <c r="Y2317" s="274"/>
      <c r="Z2317" s="274"/>
      <c r="AA2317" s="274"/>
      <c r="AB2317" s="274"/>
      <c r="AC2317" s="274"/>
      <c r="AD2317" s="274"/>
      <c r="AE2317" s="274"/>
      <c r="AF2317" s="274"/>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74"/>
      <c r="C2419" s="274"/>
      <c r="D2419" s="274"/>
      <c r="E2419" s="274"/>
      <c r="F2419" s="274"/>
      <c r="G2419" s="274"/>
      <c r="H2419" s="274"/>
      <c r="I2419" s="274"/>
      <c r="J2419" s="274"/>
      <c r="K2419" s="274"/>
      <c r="L2419" s="274"/>
      <c r="M2419" s="274"/>
      <c r="N2419" s="274"/>
      <c r="O2419" s="274"/>
      <c r="P2419" s="274"/>
      <c r="Q2419" s="274"/>
      <c r="R2419" s="274"/>
      <c r="S2419" s="274"/>
      <c r="T2419" s="274"/>
      <c r="U2419" s="274"/>
      <c r="V2419" s="274"/>
      <c r="W2419" s="274"/>
      <c r="X2419" s="274"/>
      <c r="Y2419" s="274"/>
      <c r="Z2419" s="274"/>
      <c r="AA2419" s="274"/>
      <c r="AB2419" s="274"/>
      <c r="AC2419" s="274"/>
      <c r="AD2419" s="274"/>
      <c r="AE2419" s="274"/>
      <c r="AF2419" s="274"/>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74"/>
      <c r="C2509" s="274"/>
      <c r="D2509" s="274"/>
      <c r="E2509" s="274"/>
      <c r="F2509" s="274"/>
      <c r="G2509" s="274"/>
      <c r="H2509" s="274"/>
      <c r="I2509" s="274"/>
      <c r="J2509" s="274"/>
      <c r="K2509" s="274"/>
      <c r="L2509" s="274"/>
      <c r="M2509" s="274"/>
      <c r="N2509" s="274"/>
      <c r="O2509" s="274"/>
      <c r="P2509" s="274"/>
      <c r="Q2509" s="274"/>
      <c r="R2509" s="274"/>
      <c r="S2509" s="274"/>
      <c r="T2509" s="274"/>
      <c r="U2509" s="274"/>
      <c r="V2509" s="274"/>
      <c r="W2509" s="274"/>
      <c r="X2509" s="274"/>
      <c r="Y2509" s="274"/>
      <c r="Z2509" s="274"/>
      <c r="AA2509" s="274"/>
      <c r="AB2509" s="274"/>
      <c r="AC2509" s="274"/>
      <c r="AD2509" s="274"/>
      <c r="AE2509" s="274"/>
      <c r="AF2509" s="274"/>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74"/>
      <c r="C2598" s="274"/>
      <c r="D2598" s="274"/>
      <c r="E2598" s="274"/>
      <c r="F2598" s="274"/>
      <c r="G2598" s="274"/>
      <c r="H2598" s="274"/>
      <c r="I2598" s="274"/>
      <c r="J2598" s="274"/>
      <c r="K2598" s="274"/>
      <c r="L2598" s="274"/>
      <c r="M2598" s="274"/>
      <c r="N2598" s="274"/>
      <c r="O2598" s="274"/>
      <c r="P2598" s="274"/>
      <c r="Q2598" s="274"/>
      <c r="R2598" s="274"/>
      <c r="S2598" s="274"/>
      <c r="T2598" s="274"/>
      <c r="U2598" s="274"/>
      <c r="V2598" s="274"/>
      <c r="W2598" s="274"/>
      <c r="X2598" s="274"/>
      <c r="Y2598" s="274"/>
      <c r="Z2598" s="274"/>
      <c r="AA2598" s="274"/>
      <c r="AB2598" s="274"/>
      <c r="AC2598" s="274"/>
      <c r="AD2598" s="274"/>
      <c r="AE2598" s="274"/>
      <c r="AF2598" s="274"/>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74"/>
      <c r="C2719" s="274"/>
      <c r="D2719" s="274"/>
      <c r="E2719" s="274"/>
      <c r="F2719" s="274"/>
      <c r="G2719" s="274"/>
      <c r="H2719" s="274"/>
      <c r="I2719" s="274"/>
      <c r="J2719" s="274"/>
      <c r="K2719" s="274"/>
      <c r="L2719" s="274"/>
      <c r="M2719" s="274"/>
      <c r="N2719" s="274"/>
      <c r="O2719" s="274"/>
      <c r="P2719" s="274"/>
      <c r="Q2719" s="274"/>
      <c r="R2719" s="274"/>
      <c r="S2719" s="274"/>
      <c r="T2719" s="274"/>
      <c r="U2719" s="274"/>
      <c r="V2719" s="274"/>
      <c r="W2719" s="274"/>
      <c r="X2719" s="274"/>
      <c r="Y2719" s="274"/>
      <c r="Z2719" s="274"/>
      <c r="AA2719" s="274"/>
      <c r="AB2719" s="274"/>
      <c r="AC2719" s="274"/>
      <c r="AD2719" s="274"/>
      <c r="AE2719" s="274"/>
      <c r="AF2719" s="274"/>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74"/>
      <c r="C2837" s="274"/>
      <c r="D2837" s="274"/>
      <c r="E2837" s="274"/>
      <c r="F2837" s="274"/>
      <c r="G2837" s="274"/>
      <c r="H2837" s="274"/>
      <c r="I2837" s="274"/>
      <c r="J2837" s="274"/>
      <c r="K2837" s="274"/>
      <c r="L2837" s="274"/>
      <c r="M2837" s="274"/>
      <c r="N2837" s="274"/>
      <c r="O2837" s="274"/>
      <c r="P2837" s="274"/>
      <c r="Q2837" s="274"/>
      <c r="R2837" s="274"/>
      <c r="S2837" s="274"/>
      <c r="T2837" s="274"/>
      <c r="U2837" s="274"/>
      <c r="V2837" s="274"/>
      <c r="W2837" s="274"/>
      <c r="X2837" s="274"/>
      <c r="Y2837" s="274"/>
      <c r="Z2837" s="274"/>
      <c r="AA2837" s="274"/>
      <c r="AB2837" s="274"/>
      <c r="AC2837" s="274"/>
      <c r="AD2837" s="274"/>
      <c r="AE2837" s="274"/>
      <c r="AF2837" s="274"/>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topLeftCell="A49" workbookViewId="0">
      <selection sqref="A1:AH4502"/>
    </sheetView>
  </sheetViews>
  <sheetFormatPr defaultRowHeight="15"/>
  <cols>
    <col min="2" max="2" width="37"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670</v>
      </c>
      <c r="B10" s="45" t="s">
        <v>671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t="s">
        <v>672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336</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673</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338</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674</v>
      </c>
      <c r="B17" s="210" t="s">
        <v>675</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676</v>
      </c>
      <c r="B18" s="210" t="s">
        <v>677</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678</v>
      </c>
      <c r="B19" s="210" t="s">
        <v>679</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345</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680</v>
      </c>
      <c r="B22" s="210" t="s">
        <v>681</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682</v>
      </c>
      <c r="B23" s="210" t="s">
        <v>683</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684</v>
      </c>
      <c r="B24" s="210" t="s">
        <v>685</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686</v>
      </c>
      <c r="B25" s="210" t="s">
        <v>687</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688</v>
      </c>
      <c r="B26" s="210" t="s">
        <v>689</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690</v>
      </c>
      <c r="B27" s="210" t="s">
        <v>691</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692</v>
      </c>
      <c r="B28" s="210" t="s">
        <v>693</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343</v>
      </c>
      <c r="AG28" s="31"/>
    </row>
    <row r="29" spans="1:33">
      <c r="A29" s="30" t="s">
        <v>694</v>
      </c>
      <c r="B29" s="210" t="s">
        <v>695</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696</v>
      </c>
      <c r="B30" s="210" t="s">
        <v>697</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698</v>
      </c>
      <c r="B31" s="210" t="s">
        <v>699</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700</v>
      </c>
      <c r="B32" s="210" t="s">
        <v>701</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702</v>
      </c>
      <c r="B33" s="210" t="s">
        <v>703</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704</v>
      </c>
      <c r="B34" s="210" t="s">
        <v>705</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343</v>
      </c>
      <c r="AG34" s="31"/>
    </row>
    <row r="35" spans="1:33">
      <c r="A35" s="30" t="s">
        <v>706</v>
      </c>
      <c r="B35" s="210" t="s">
        <v>707</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708</v>
      </c>
      <c r="B36" s="210" t="s">
        <v>709</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710</v>
      </c>
      <c r="B38" s="209" t="s">
        <v>711</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712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713</v>
      </c>
      <c r="B42" s="210" t="s">
        <v>675</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714</v>
      </c>
      <c r="B43" s="210" t="s">
        <v>677</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715</v>
      </c>
      <c r="B44" s="210" t="s">
        <v>716</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377</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717</v>
      </c>
      <c r="B47" s="210" t="s">
        <v>681</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718</v>
      </c>
      <c r="B48" s="210" t="s">
        <v>683</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719</v>
      </c>
      <c r="B49" s="210" t="s">
        <v>685</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720</v>
      </c>
      <c r="B50" s="210" t="s">
        <v>687</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721</v>
      </c>
      <c r="B51" s="210" t="s">
        <v>689</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722</v>
      </c>
      <c r="B52" s="210" t="s">
        <v>691</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723</v>
      </c>
      <c r="B53" s="210" t="s">
        <v>693</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343</v>
      </c>
      <c r="AG53" s="31"/>
    </row>
    <row r="54" spans="1:33">
      <c r="A54" s="30" t="s">
        <v>724</v>
      </c>
      <c r="B54" s="210" t="s">
        <v>695</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725</v>
      </c>
      <c r="B55" s="210" t="s">
        <v>697</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726</v>
      </c>
      <c r="B56" s="210" t="s">
        <v>699</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727</v>
      </c>
      <c r="B57" s="210" t="s">
        <v>701</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728</v>
      </c>
      <c r="B58" s="210" t="s">
        <v>703</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729</v>
      </c>
      <c r="B59" s="210" t="s">
        <v>705</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343</v>
      </c>
      <c r="AG59" s="31"/>
    </row>
    <row r="60" spans="1:33">
      <c r="A60" s="30" t="s">
        <v>730</v>
      </c>
      <c r="B60" s="210" t="s">
        <v>707</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731</v>
      </c>
      <c r="B61" s="210" t="s">
        <v>732</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733</v>
      </c>
      <c r="B63" s="209" t="s">
        <v>734</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7" customFormat="1">
      <c r="A65" s="232" t="s">
        <v>735</v>
      </c>
      <c r="B65" s="238" t="s">
        <v>736</v>
      </c>
      <c r="C65" s="239">
        <v>261.58056599999998</v>
      </c>
      <c r="D65" s="239">
        <v>262.14712500000002</v>
      </c>
      <c r="E65" s="239">
        <v>263.21313500000002</v>
      </c>
      <c r="F65" s="239">
        <v>264.447632</v>
      </c>
      <c r="G65" s="239">
        <v>265.72799700000002</v>
      </c>
      <c r="H65" s="239">
        <v>266.88964800000002</v>
      </c>
      <c r="I65" s="239">
        <v>267.85632299999997</v>
      </c>
      <c r="J65" s="239">
        <v>268.824524</v>
      </c>
      <c r="K65" s="239">
        <v>269.648438</v>
      </c>
      <c r="L65" s="239">
        <v>270.33343500000001</v>
      </c>
      <c r="M65" s="239">
        <v>270.91931199999999</v>
      </c>
      <c r="N65" s="239">
        <v>271.41503899999998</v>
      </c>
      <c r="O65" s="239">
        <v>271.84841899999998</v>
      </c>
      <c r="P65" s="239">
        <v>272.37396200000001</v>
      </c>
      <c r="Q65" s="239">
        <v>273.06338499999998</v>
      </c>
      <c r="R65" s="239">
        <v>273.90936299999998</v>
      </c>
      <c r="S65" s="239">
        <v>274.95187399999998</v>
      </c>
      <c r="T65" s="239">
        <v>276.16525300000001</v>
      </c>
      <c r="U65" s="239">
        <v>277.578979</v>
      </c>
      <c r="V65" s="239">
        <v>279.06506300000001</v>
      </c>
      <c r="W65" s="239">
        <v>280.62301600000001</v>
      </c>
      <c r="X65" s="239">
        <v>282.20675699999998</v>
      </c>
      <c r="Y65" s="239">
        <v>283.82251000000002</v>
      </c>
      <c r="Z65" s="239">
        <v>285.48770100000002</v>
      </c>
      <c r="AA65" s="239">
        <v>287.18682899999999</v>
      </c>
      <c r="AB65" s="239">
        <v>288.88067599999999</v>
      </c>
      <c r="AC65" s="239">
        <v>290.55407700000001</v>
      </c>
      <c r="AD65" s="239">
        <v>292.26516700000002</v>
      </c>
      <c r="AE65" s="239">
        <v>294.07318099999998</v>
      </c>
      <c r="AF65" s="240">
        <v>4.1900000000000001E-3</v>
      </c>
      <c r="AG65" s="236"/>
      <c r="AH65" s="241"/>
    </row>
    <row r="66" spans="1:34">
      <c r="A66" s="30" t="s">
        <v>737</v>
      </c>
      <c r="B66" s="210" t="s">
        <v>738</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739</v>
      </c>
      <c r="B67" s="210" t="s">
        <v>740</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741</v>
      </c>
      <c r="B68" s="210" t="s">
        <v>742</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743</v>
      </c>
      <c r="B69" s="210" t="s">
        <v>744</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745</v>
      </c>
      <c r="B70" s="210" t="s">
        <v>746</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747</v>
      </c>
      <c r="B71" s="210" t="s">
        <v>748</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749</v>
      </c>
      <c r="B72" s="210" t="s">
        <v>750</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751</v>
      </c>
      <c r="B73" s="210" t="s">
        <v>752</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753</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411</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754</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412</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332</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755</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658</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election activeCell="B29" sqref="B29"/>
    </sheetView>
  </sheetViews>
  <sheetFormatPr defaultRowHeight="15"/>
  <cols>
    <col min="1" max="1" width="20.85546875" hidden="1" customWidth="1"/>
    <col min="2" max="2" width="45.7109375" customWidth="1"/>
  </cols>
  <sheetData>
    <row r="1" spans="1:33" ht="15" customHeight="1" thickBot="1">
      <c r="B1" s="34" t="s">
        <v>652</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268</v>
      </c>
      <c r="D3" s="40" t="s">
        <v>653</v>
      </c>
      <c r="E3" s="36"/>
      <c r="F3" s="36"/>
      <c r="G3" s="36"/>
    </row>
    <row r="4" spans="1:33" ht="15" customHeight="1">
      <c r="C4" s="40" t="s">
        <v>269</v>
      </c>
      <c r="D4" s="40" t="s">
        <v>654</v>
      </c>
      <c r="E4" s="36"/>
      <c r="F4" s="36"/>
      <c r="G4" s="40" t="s">
        <v>655</v>
      </c>
    </row>
    <row r="5" spans="1:33" ht="15" customHeight="1">
      <c r="C5" s="40" t="s">
        <v>270</v>
      </c>
      <c r="D5" s="40" t="s">
        <v>656</v>
      </c>
      <c r="E5" s="36"/>
      <c r="F5" s="36"/>
      <c r="G5" s="36"/>
    </row>
    <row r="6" spans="1:33" ht="15" customHeight="1">
      <c r="C6" s="40" t="s">
        <v>271</v>
      </c>
      <c r="D6" s="36"/>
      <c r="E6" s="40" t="s">
        <v>657</v>
      </c>
      <c r="F6" s="36"/>
      <c r="G6" s="36"/>
    </row>
    <row r="7" spans="1:33" ht="12" customHeight="1"/>
    <row r="8" spans="1:33" ht="12" customHeight="1"/>
    <row r="9" spans="1:33" ht="12" customHeight="1"/>
    <row r="10" spans="1:33" ht="15" customHeight="1">
      <c r="A10" s="11" t="s">
        <v>1322</v>
      </c>
      <c r="B10" s="45" t="s">
        <v>1323</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659</v>
      </c>
      <c r="AG10" s="12"/>
    </row>
    <row r="11" spans="1:33" ht="15" customHeight="1">
      <c r="B11" s="46" t="s">
        <v>1324</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660</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661</v>
      </c>
      <c r="AG12" s="12"/>
    </row>
    <row r="13" spans="1:33" ht="15" customHeight="1" thickBot="1">
      <c r="B13" s="47" t="s">
        <v>336</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673</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338</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1325</v>
      </c>
      <c r="B17" s="43" t="s">
        <v>675</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1326</v>
      </c>
      <c r="B18" s="43" t="s">
        <v>677</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1327</v>
      </c>
      <c r="B19" s="43" t="s">
        <v>679</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345</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1328</v>
      </c>
      <c r="B22" s="43" t="s">
        <v>681</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1329</v>
      </c>
      <c r="B23" s="43" t="s">
        <v>683</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1330</v>
      </c>
      <c r="B24" s="43" t="s">
        <v>685</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1331</v>
      </c>
      <c r="B25" s="43" t="s">
        <v>687</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1332</v>
      </c>
      <c r="B26" s="43" t="s">
        <v>689</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1333</v>
      </c>
      <c r="B27" s="43" t="s">
        <v>691</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1334</v>
      </c>
      <c r="B28" s="43" t="s">
        <v>693</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343</v>
      </c>
      <c r="AG28" s="12"/>
    </row>
    <row r="29" spans="1:33" ht="15" customHeight="1">
      <c r="A29" s="11" t="s">
        <v>1335</v>
      </c>
      <c r="B29" s="43" t="s">
        <v>695</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1336</v>
      </c>
      <c r="B30" s="43" t="s">
        <v>697</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1337</v>
      </c>
      <c r="B31" s="43" t="s">
        <v>699</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1338</v>
      </c>
      <c r="B32" s="43" t="s">
        <v>701</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1339</v>
      </c>
      <c r="B33" s="43" t="s">
        <v>703</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1340</v>
      </c>
      <c r="B34" s="43" t="s">
        <v>705</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343</v>
      </c>
      <c r="AG34" s="12"/>
    </row>
    <row r="35" spans="1:33" ht="15" customHeight="1">
      <c r="A35" s="11" t="s">
        <v>1341</v>
      </c>
      <c r="B35" s="43" t="s">
        <v>707</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1342</v>
      </c>
      <c r="B36" s="43" t="s">
        <v>709</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1343</v>
      </c>
      <c r="B38" s="43" t="s">
        <v>1344</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712</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373</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1345</v>
      </c>
      <c r="B42" s="43" t="s">
        <v>675</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1346</v>
      </c>
      <c r="B43" s="43" t="s">
        <v>677</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1347</v>
      </c>
      <c r="B44" s="43" t="s">
        <v>716</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377</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1348</v>
      </c>
      <c r="B47" s="43" t="s">
        <v>681</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1349</v>
      </c>
      <c r="B48" s="43" t="s">
        <v>683</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1350</v>
      </c>
      <c r="B49" s="43" t="s">
        <v>685</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1351</v>
      </c>
      <c r="B50" s="43" t="s">
        <v>687</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1352</v>
      </c>
      <c r="B51" s="43" t="s">
        <v>689</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1353</v>
      </c>
      <c r="B52" s="43" t="s">
        <v>691</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1354</v>
      </c>
      <c r="B53" s="43" t="s">
        <v>693</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343</v>
      </c>
      <c r="AG53" s="12"/>
    </row>
    <row r="54" spans="1:33" ht="15" customHeight="1">
      <c r="A54" s="11" t="s">
        <v>1355</v>
      </c>
      <c r="B54" s="43" t="s">
        <v>695</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1356</v>
      </c>
      <c r="B55" s="43" t="s">
        <v>697</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1357</v>
      </c>
      <c r="B56" s="43" t="s">
        <v>699</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1358</v>
      </c>
      <c r="B57" s="43" t="s">
        <v>701</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1359</v>
      </c>
      <c r="B58" s="43" t="s">
        <v>703</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1360</v>
      </c>
      <c r="B59" s="43" t="s">
        <v>705</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343</v>
      </c>
      <c r="AG59" s="12"/>
    </row>
    <row r="60" spans="1:33" ht="15" customHeight="1">
      <c r="A60" s="11" t="s">
        <v>1361</v>
      </c>
      <c r="B60" s="43" t="s">
        <v>707</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1362</v>
      </c>
      <c r="B61" s="43" t="s">
        <v>732</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1363</v>
      </c>
      <c r="B63" s="43" t="s">
        <v>1364</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1365</v>
      </c>
      <c r="B65" s="49" t="s">
        <v>396</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1366</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1367</v>
      </c>
      <c r="B68" s="43" t="s">
        <v>756</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1368</v>
      </c>
      <c r="B69" s="43" t="s">
        <v>757</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1369</v>
      </c>
      <c r="B70" s="43" t="s">
        <v>758</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1370</v>
      </c>
      <c r="B71" s="43" t="s">
        <v>759</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1371</v>
      </c>
      <c r="B72" s="43" t="s">
        <v>760</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1372</v>
      </c>
      <c r="B73" s="43" t="s">
        <v>744</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343</v>
      </c>
      <c r="AG73" s="12"/>
    </row>
    <row r="74" spans="1:34" ht="15" customHeight="1">
      <c r="A74" s="11" t="s">
        <v>1373</v>
      </c>
      <c r="B74" s="43" t="s">
        <v>761</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343</v>
      </c>
      <c r="AG74" s="12"/>
    </row>
    <row r="75" spans="1:34" ht="15" customHeight="1">
      <c r="A75" s="11" t="s">
        <v>1374</v>
      </c>
      <c r="B75" s="43" t="s">
        <v>762</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343</v>
      </c>
      <c r="AG75" s="12"/>
    </row>
    <row r="76" spans="1:34" ht="15" customHeight="1">
      <c r="A76" s="11" t="s">
        <v>1375</v>
      </c>
      <c r="B76" s="43" t="s">
        <v>752</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343</v>
      </c>
      <c r="AG76" s="12"/>
    </row>
    <row r="77" spans="1:34" s="260" customFormat="1" ht="15" customHeight="1">
      <c r="A77" s="262" t="s">
        <v>1376</v>
      </c>
      <c r="B77" s="263" t="s">
        <v>1377</v>
      </c>
      <c r="C77" s="264">
        <v>14814.711914</v>
      </c>
      <c r="D77" s="264">
        <v>14797.678711</v>
      </c>
      <c r="E77" s="264">
        <v>14839.655273</v>
      </c>
      <c r="F77" s="264">
        <v>14923.662109000001</v>
      </c>
      <c r="G77" s="264">
        <v>15026.384765999999</v>
      </c>
      <c r="H77" s="264">
        <v>15135.905273</v>
      </c>
      <c r="I77" s="264">
        <v>15243.676758</v>
      </c>
      <c r="J77" s="264">
        <v>15345.804688</v>
      </c>
      <c r="K77" s="264">
        <v>15445.272461</v>
      </c>
      <c r="L77" s="264">
        <v>15533.75</v>
      </c>
      <c r="M77" s="264">
        <v>15630.535156</v>
      </c>
      <c r="N77" s="264">
        <v>15711.363281</v>
      </c>
      <c r="O77" s="264">
        <v>15783.764648</v>
      </c>
      <c r="P77" s="264">
        <v>15847.455078000001</v>
      </c>
      <c r="Q77" s="264">
        <v>15910.726562</v>
      </c>
      <c r="R77" s="264">
        <v>15968.269531</v>
      </c>
      <c r="S77" s="264">
        <v>16023.462890999999</v>
      </c>
      <c r="T77" s="264">
        <v>16085.165039</v>
      </c>
      <c r="U77" s="264">
        <v>16147.872069999999</v>
      </c>
      <c r="V77" s="264">
        <v>16223.551758</v>
      </c>
      <c r="W77" s="264">
        <v>16306.708008</v>
      </c>
      <c r="X77" s="264">
        <v>16410.376952999999</v>
      </c>
      <c r="Y77" s="264">
        <v>16528.242188</v>
      </c>
      <c r="Z77" s="264">
        <v>16646.162109000001</v>
      </c>
      <c r="AA77" s="264">
        <v>16762.939452999999</v>
      </c>
      <c r="AB77" s="264">
        <v>16879.820312</v>
      </c>
      <c r="AC77" s="264">
        <v>16994.386718999998</v>
      </c>
      <c r="AD77" s="264">
        <v>17093.916015999999</v>
      </c>
      <c r="AE77" s="264">
        <v>17188.173827999999</v>
      </c>
      <c r="AF77" s="265">
        <v>5.3210000000000002E-3</v>
      </c>
      <c r="AG77" s="266"/>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77" t="s">
        <v>409</v>
      </c>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79"/>
    </row>
    <row r="80" spans="1:34" ht="15" customHeight="1">
      <c r="B80" s="12" t="s">
        <v>410</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411</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754</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412</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332</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755</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658</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76"/>
      <c r="C259" s="276"/>
      <c r="D259" s="276"/>
      <c r="E259" s="276"/>
      <c r="F259" s="276"/>
      <c r="G259" s="276"/>
      <c r="H259" s="276"/>
      <c r="I259" s="276"/>
      <c r="J259" s="276"/>
      <c r="K259" s="276"/>
      <c r="L259" s="276"/>
      <c r="M259" s="276"/>
      <c r="N259" s="276"/>
      <c r="O259" s="276"/>
      <c r="P259" s="276"/>
      <c r="Q259" s="276"/>
      <c r="R259" s="276"/>
      <c r="S259" s="276"/>
      <c r="T259" s="276"/>
      <c r="U259" s="276"/>
      <c r="V259" s="276"/>
      <c r="W259" s="276"/>
      <c r="X259" s="276"/>
      <c r="Y259" s="276"/>
      <c r="Z259" s="276"/>
      <c r="AA259" s="276"/>
      <c r="AB259" s="276"/>
      <c r="AC259" s="276"/>
      <c r="AD259" s="276"/>
      <c r="AE259" s="276"/>
      <c r="AF259" s="276"/>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76"/>
      <c r="C339" s="276"/>
      <c r="D339" s="276"/>
      <c r="E339" s="276"/>
      <c r="F339" s="276"/>
      <c r="G339" s="276"/>
      <c r="H339" s="276"/>
      <c r="I339" s="276"/>
      <c r="J339" s="276"/>
      <c r="K339" s="276"/>
      <c r="L339" s="276"/>
      <c r="M339" s="276"/>
      <c r="N339" s="276"/>
      <c r="O339" s="276"/>
      <c r="P339" s="276"/>
      <c r="Q339" s="276"/>
      <c r="R339" s="276"/>
      <c r="S339" s="276"/>
      <c r="T339" s="276"/>
      <c r="U339" s="276"/>
      <c r="V339" s="276"/>
      <c r="W339" s="276"/>
      <c r="X339" s="276"/>
      <c r="Y339" s="276"/>
      <c r="Z339" s="276"/>
      <c r="AA339" s="276"/>
      <c r="AB339" s="276"/>
      <c r="AC339" s="276"/>
      <c r="AD339" s="276"/>
      <c r="AE339" s="276"/>
      <c r="AF339" s="276"/>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76"/>
      <c r="C452" s="276"/>
      <c r="D452" s="276"/>
      <c r="E452" s="276"/>
      <c r="F452" s="276"/>
      <c r="G452" s="276"/>
      <c r="H452" s="276"/>
      <c r="I452" s="276"/>
      <c r="J452" s="276"/>
      <c r="K452" s="276"/>
      <c r="L452" s="276"/>
      <c r="M452" s="276"/>
      <c r="N452" s="276"/>
      <c r="O452" s="276"/>
      <c r="P452" s="276"/>
      <c r="Q452" s="276"/>
      <c r="R452" s="276"/>
      <c r="S452" s="276"/>
      <c r="T452" s="276"/>
      <c r="U452" s="276"/>
      <c r="V452" s="276"/>
      <c r="W452" s="276"/>
      <c r="X452" s="276"/>
      <c r="Y452" s="276"/>
      <c r="Z452" s="276"/>
      <c r="AA452" s="276"/>
      <c r="AB452" s="276"/>
      <c r="AC452" s="276"/>
      <c r="AD452" s="276"/>
      <c r="AE452" s="276"/>
      <c r="AF452" s="276"/>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76"/>
      <c r="C565" s="276"/>
      <c r="D565" s="276"/>
      <c r="E565" s="276"/>
      <c r="F565" s="276"/>
      <c r="G565" s="276"/>
      <c r="H565" s="276"/>
      <c r="I565" s="276"/>
      <c r="J565" s="276"/>
      <c r="K565" s="276"/>
      <c r="L565" s="276"/>
      <c r="M565" s="276"/>
      <c r="N565" s="276"/>
      <c r="O565" s="276"/>
      <c r="P565" s="276"/>
      <c r="Q565" s="276"/>
      <c r="R565" s="276"/>
      <c r="S565" s="276"/>
      <c r="T565" s="276"/>
      <c r="U565" s="276"/>
      <c r="V565" s="276"/>
      <c r="W565" s="276"/>
      <c r="X565" s="276"/>
      <c r="Y565" s="276"/>
      <c r="Z565" s="276"/>
      <c r="AA565" s="276"/>
      <c r="AB565" s="276"/>
      <c r="AC565" s="276"/>
      <c r="AD565" s="276"/>
      <c r="AE565" s="276"/>
      <c r="AF565" s="276"/>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76"/>
      <c r="C663" s="276"/>
      <c r="D663" s="276"/>
      <c r="E663" s="276"/>
      <c r="F663" s="276"/>
      <c r="G663" s="276"/>
      <c r="H663" s="276"/>
      <c r="I663" s="276"/>
      <c r="J663" s="276"/>
      <c r="K663" s="276"/>
      <c r="L663" s="276"/>
      <c r="M663" s="276"/>
      <c r="N663" s="276"/>
      <c r="O663" s="276"/>
      <c r="P663" s="276"/>
      <c r="Q663" s="276"/>
      <c r="R663" s="276"/>
      <c r="S663" s="276"/>
      <c r="T663" s="276"/>
      <c r="U663" s="276"/>
      <c r="V663" s="276"/>
      <c r="W663" s="276"/>
      <c r="X663" s="276"/>
      <c r="Y663" s="276"/>
      <c r="Z663" s="276"/>
      <c r="AA663" s="276"/>
      <c r="AB663" s="276"/>
      <c r="AC663" s="276"/>
      <c r="AD663" s="276"/>
      <c r="AE663" s="276"/>
      <c r="AF663" s="276"/>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76"/>
      <c r="C735" s="276"/>
      <c r="D735" s="276"/>
      <c r="E735" s="276"/>
      <c r="F735" s="276"/>
      <c r="G735" s="276"/>
      <c r="H735" s="276"/>
      <c r="I735" s="276"/>
      <c r="J735" s="276"/>
      <c r="K735" s="276"/>
      <c r="L735" s="276"/>
      <c r="M735" s="276"/>
      <c r="N735" s="276"/>
      <c r="O735" s="276"/>
      <c r="P735" s="276"/>
      <c r="Q735" s="276"/>
      <c r="R735" s="276"/>
      <c r="S735" s="276"/>
      <c r="T735" s="276"/>
      <c r="U735" s="276"/>
      <c r="V735" s="276"/>
      <c r="W735" s="276"/>
      <c r="X735" s="276"/>
      <c r="Y735" s="276"/>
      <c r="Z735" s="276"/>
      <c r="AA735" s="276"/>
      <c r="AB735" s="276"/>
      <c r="AC735" s="276"/>
      <c r="AD735" s="276"/>
      <c r="AE735" s="276"/>
      <c r="AF735" s="276"/>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76"/>
      <c r="C911" s="276"/>
      <c r="D911" s="276"/>
      <c r="E911" s="276"/>
      <c r="F911" s="276"/>
      <c r="G911" s="276"/>
      <c r="H911" s="276"/>
      <c r="I911" s="276"/>
      <c r="J911" s="276"/>
      <c r="K911" s="276"/>
      <c r="L911" s="276"/>
      <c r="M911" s="276"/>
      <c r="N911" s="276"/>
      <c r="O911" s="276"/>
      <c r="P911" s="276"/>
      <c r="Q911" s="276"/>
      <c r="R911" s="276"/>
      <c r="S911" s="276"/>
      <c r="T911" s="276"/>
      <c r="U911" s="276"/>
      <c r="V911" s="276"/>
      <c r="W911" s="276"/>
      <c r="X911" s="276"/>
      <c r="Y911" s="276"/>
      <c r="Z911" s="276"/>
      <c r="AA911" s="276"/>
      <c r="AB911" s="276"/>
      <c r="AC911" s="276"/>
      <c r="AD911" s="276"/>
      <c r="AE911" s="276"/>
      <c r="AF911" s="276"/>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76"/>
      <c r="C994" s="276"/>
      <c r="D994" s="276"/>
      <c r="E994" s="276"/>
      <c r="F994" s="276"/>
      <c r="G994" s="276"/>
      <c r="H994" s="276"/>
      <c r="I994" s="276"/>
      <c r="J994" s="276"/>
      <c r="K994" s="276"/>
      <c r="L994" s="276"/>
      <c r="M994" s="276"/>
      <c r="N994" s="276"/>
      <c r="O994" s="276"/>
      <c r="P994" s="276"/>
      <c r="Q994" s="276"/>
      <c r="R994" s="276"/>
      <c r="S994" s="276"/>
      <c r="T994" s="276"/>
      <c r="U994" s="276"/>
      <c r="V994" s="276"/>
      <c r="W994" s="276"/>
      <c r="X994" s="276"/>
      <c r="Y994" s="276"/>
      <c r="Z994" s="276"/>
      <c r="AA994" s="276"/>
      <c r="AB994" s="276"/>
      <c r="AC994" s="276"/>
      <c r="AD994" s="276"/>
      <c r="AE994" s="276"/>
      <c r="AF994" s="276"/>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76"/>
      <c r="C1096" s="276"/>
      <c r="D1096" s="276"/>
      <c r="E1096" s="276"/>
      <c r="F1096" s="276"/>
      <c r="G1096" s="276"/>
      <c r="H1096" s="276"/>
      <c r="I1096" s="276"/>
      <c r="J1096" s="276"/>
      <c r="K1096" s="276"/>
      <c r="L1096" s="276"/>
      <c r="M1096" s="276"/>
      <c r="N1096" s="276"/>
      <c r="O1096" s="276"/>
      <c r="P1096" s="276"/>
      <c r="Q1096" s="276"/>
      <c r="R1096" s="276"/>
      <c r="S1096" s="276"/>
      <c r="T1096" s="276"/>
      <c r="U1096" s="276"/>
      <c r="V1096" s="276"/>
      <c r="W1096" s="276"/>
      <c r="X1096" s="276"/>
      <c r="Y1096" s="276"/>
      <c r="Z1096" s="276"/>
      <c r="AA1096" s="276"/>
      <c r="AB1096" s="276"/>
      <c r="AC1096" s="276"/>
      <c r="AD1096" s="276"/>
      <c r="AE1096" s="276"/>
      <c r="AF1096" s="276"/>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76"/>
      <c r="C1194" s="276"/>
      <c r="D1194" s="276"/>
      <c r="E1194" s="276"/>
      <c r="F1194" s="276"/>
      <c r="G1194" s="276"/>
      <c r="H1194" s="276"/>
      <c r="I1194" s="276"/>
      <c r="J1194" s="276"/>
      <c r="K1194" s="276"/>
      <c r="L1194" s="276"/>
      <c r="M1194" s="276"/>
      <c r="N1194" s="276"/>
      <c r="O1194" s="276"/>
      <c r="P1194" s="276"/>
      <c r="Q1194" s="276"/>
      <c r="R1194" s="276"/>
      <c r="S1194" s="276"/>
      <c r="T1194" s="276"/>
      <c r="U1194" s="276"/>
      <c r="V1194" s="276"/>
      <c r="W1194" s="276"/>
      <c r="X1194" s="276"/>
      <c r="Y1194" s="276"/>
      <c r="Z1194" s="276"/>
      <c r="AA1194" s="276"/>
      <c r="AB1194" s="276"/>
      <c r="AC1194" s="276"/>
      <c r="AD1194" s="276"/>
      <c r="AE1194" s="276"/>
      <c r="AF1194" s="276"/>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76"/>
      <c r="C1294" s="276"/>
      <c r="D1294" s="276"/>
      <c r="E1294" s="276"/>
      <c r="F1294" s="276"/>
      <c r="G1294" s="276"/>
      <c r="H1294" s="276"/>
      <c r="I1294" s="276"/>
      <c r="J1294" s="276"/>
      <c r="K1294" s="276"/>
      <c r="L1294" s="276"/>
      <c r="M1294" s="276"/>
      <c r="N1294" s="276"/>
      <c r="O1294" s="276"/>
      <c r="P1294" s="276"/>
      <c r="Q1294" s="276"/>
      <c r="R1294" s="276"/>
      <c r="S1294" s="276"/>
      <c r="T1294" s="276"/>
      <c r="U1294" s="276"/>
      <c r="V1294" s="276"/>
      <c r="W1294" s="276"/>
      <c r="X1294" s="276"/>
      <c r="Y1294" s="276"/>
      <c r="Z1294" s="276"/>
      <c r="AA1294" s="276"/>
      <c r="AB1294" s="276"/>
      <c r="AC1294" s="276"/>
      <c r="AD1294" s="276"/>
      <c r="AE1294" s="276"/>
      <c r="AF1294" s="276"/>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76"/>
      <c r="C1590" s="276"/>
      <c r="D1590" s="276"/>
      <c r="E1590" s="276"/>
      <c r="F1590" s="276"/>
      <c r="G1590" s="276"/>
      <c r="H1590" s="276"/>
      <c r="I1590" s="276"/>
      <c r="J1590" s="276"/>
      <c r="K1590" s="276"/>
      <c r="L1590" s="276"/>
      <c r="M1590" s="276"/>
      <c r="N1590" s="276"/>
      <c r="O1590" s="276"/>
      <c r="P1590" s="276"/>
      <c r="Q1590" s="276"/>
      <c r="R1590" s="276"/>
      <c r="S1590" s="276"/>
      <c r="T1590" s="276"/>
      <c r="U1590" s="276"/>
      <c r="V1590" s="276"/>
      <c r="W1590" s="276"/>
      <c r="X1590" s="276"/>
      <c r="Y1590" s="276"/>
      <c r="Z1590" s="276"/>
      <c r="AA1590" s="276"/>
      <c r="AB1590" s="276"/>
      <c r="AC1590" s="276"/>
      <c r="AD1590" s="276"/>
      <c r="AE1590" s="276"/>
      <c r="AF1590" s="276"/>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76"/>
      <c r="C1813" s="276"/>
      <c r="D1813" s="276"/>
      <c r="E1813" s="276"/>
      <c r="F1813" s="276"/>
      <c r="G1813" s="276"/>
      <c r="H1813" s="276"/>
      <c r="I1813" s="276"/>
      <c r="J1813" s="276"/>
      <c r="K1813" s="276"/>
      <c r="L1813" s="276"/>
      <c r="M1813" s="276"/>
      <c r="N1813" s="276"/>
      <c r="O1813" s="276"/>
      <c r="P1813" s="276"/>
      <c r="Q1813" s="276"/>
      <c r="R1813" s="276"/>
      <c r="S1813" s="276"/>
      <c r="T1813" s="276"/>
      <c r="U1813" s="276"/>
      <c r="V1813" s="276"/>
      <c r="W1813" s="276"/>
      <c r="X1813" s="276"/>
      <c r="Y1813" s="276"/>
      <c r="Z1813" s="276"/>
      <c r="AA1813" s="276"/>
      <c r="AB1813" s="276"/>
      <c r="AC1813" s="276"/>
      <c r="AD1813" s="276"/>
      <c r="AE1813" s="276"/>
      <c r="AF1813" s="276"/>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76"/>
      <c r="C2090" s="276"/>
      <c r="D2090" s="276"/>
      <c r="E2090" s="276"/>
      <c r="F2090" s="276"/>
      <c r="G2090" s="276"/>
      <c r="H2090" s="276"/>
      <c r="I2090" s="276"/>
      <c r="J2090" s="276"/>
      <c r="K2090" s="276"/>
      <c r="L2090" s="276"/>
      <c r="M2090" s="276"/>
      <c r="N2090" s="276"/>
      <c r="O2090" s="276"/>
      <c r="P2090" s="276"/>
      <c r="Q2090" s="276"/>
      <c r="R2090" s="276"/>
      <c r="S2090" s="276"/>
      <c r="T2090" s="276"/>
      <c r="U2090" s="276"/>
      <c r="V2090" s="276"/>
      <c r="W2090" s="276"/>
      <c r="X2090" s="276"/>
      <c r="Y2090" s="276"/>
      <c r="Z2090" s="276"/>
      <c r="AA2090" s="276"/>
      <c r="AB2090" s="276"/>
      <c r="AC2090" s="276"/>
      <c r="AD2090" s="276"/>
      <c r="AE2090" s="276"/>
      <c r="AF2090" s="276"/>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76"/>
      <c r="C2425" s="276"/>
      <c r="D2425" s="276"/>
      <c r="E2425" s="276"/>
      <c r="F2425" s="276"/>
      <c r="G2425" s="276"/>
      <c r="H2425" s="276"/>
      <c r="I2425" s="276"/>
      <c r="J2425" s="276"/>
      <c r="K2425" s="276"/>
      <c r="L2425" s="276"/>
      <c r="M2425" s="276"/>
      <c r="N2425" s="276"/>
      <c r="O2425" s="276"/>
      <c r="P2425" s="276"/>
      <c r="Q2425" s="276"/>
      <c r="R2425" s="276"/>
      <c r="S2425" s="276"/>
      <c r="T2425" s="276"/>
      <c r="U2425" s="276"/>
      <c r="V2425" s="276"/>
      <c r="W2425" s="276"/>
      <c r="X2425" s="276"/>
      <c r="Y2425" s="276"/>
      <c r="Z2425" s="276"/>
      <c r="AA2425" s="276"/>
      <c r="AB2425" s="276"/>
      <c r="AC2425" s="276"/>
      <c r="AD2425" s="276"/>
      <c r="AE2425" s="276"/>
      <c r="AF2425" s="276"/>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76"/>
      <c r="C2745" s="276"/>
      <c r="D2745" s="276"/>
      <c r="E2745" s="276"/>
      <c r="F2745" s="276"/>
      <c r="G2745" s="276"/>
      <c r="H2745" s="276"/>
      <c r="I2745" s="276"/>
      <c r="J2745" s="276"/>
      <c r="K2745" s="276"/>
      <c r="L2745" s="276"/>
      <c r="M2745" s="276"/>
      <c r="N2745" s="276"/>
      <c r="O2745" s="276"/>
      <c r="P2745" s="276"/>
      <c r="Q2745" s="276"/>
      <c r="R2745" s="276"/>
      <c r="S2745" s="276"/>
      <c r="T2745" s="276"/>
      <c r="U2745" s="276"/>
      <c r="V2745" s="276"/>
      <c r="W2745" s="276"/>
      <c r="X2745" s="276"/>
      <c r="Y2745" s="276"/>
      <c r="Z2745" s="276"/>
      <c r="AA2745" s="276"/>
      <c r="AB2745" s="276"/>
      <c r="AC2745" s="276"/>
      <c r="AD2745" s="276"/>
      <c r="AE2745" s="276"/>
      <c r="AF2745" s="276"/>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76"/>
      <c r="C3076" s="276"/>
      <c r="D3076" s="276"/>
      <c r="E3076" s="276"/>
      <c r="F3076" s="276"/>
      <c r="G3076" s="276"/>
      <c r="H3076" s="276"/>
      <c r="I3076" s="276"/>
      <c r="J3076" s="276"/>
      <c r="K3076" s="276"/>
      <c r="L3076" s="276"/>
      <c r="M3076" s="276"/>
      <c r="N3076" s="276"/>
      <c r="O3076" s="276"/>
      <c r="P3076" s="276"/>
      <c r="Q3076" s="276"/>
      <c r="R3076" s="276"/>
      <c r="S3076" s="276"/>
      <c r="T3076" s="276"/>
      <c r="U3076" s="276"/>
      <c r="V3076" s="276"/>
      <c r="W3076" s="276"/>
      <c r="X3076" s="276"/>
      <c r="Y3076" s="276"/>
      <c r="Z3076" s="276"/>
      <c r="AA3076" s="276"/>
      <c r="AB3076" s="276"/>
      <c r="AC3076" s="276"/>
      <c r="AD3076" s="276"/>
      <c r="AE3076" s="276"/>
      <c r="AF3076" s="276"/>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76"/>
      <c r="C3393" s="276"/>
      <c r="D3393" s="276"/>
      <c r="E3393" s="276"/>
      <c r="F3393" s="276"/>
      <c r="G3393" s="276"/>
      <c r="H3393" s="276"/>
      <c r="I3393" s="276"/>
      <c r="J3393" s="276"/>
      <c r="K3393" s="276"/>
      <c r="L3393" s="276"/>
      <c r="M3393" s="276"/>
      <c r="N3393" s="276"/>
      <c r="O3393" s="276"/>
      <c r="P3393" s="276"/>
      <c r="Q3393" s="276"/>
      <c r="R3393" s="276"/>
      <c r="S3393" s="276"/>
      <c r="T3393" s="276"/>
      <c r="U3393" s="276"/>
      <c r="V3393" s="276"/>
      <c r="W3393" s="276"/>
      <c r="X3393" s="276"/>
      <c r="Y3393" s="276"/>
      <c r="Z3393" s="276"/>
      <c r="AA3393" s="276"/>
      <c r="AB3393" s="276"/>
      <c r="AC3393" s="276"/>
      <c r="AD3393" s="276"/>
      <c r="AE3393" s="276"/>
      <c r="AF3393" s="276"/>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76"/>
      <c r="C3502" s="276"/>
      <c r="D3502" s="276"/>
      <c r="E3502" s="276"/>
      <c r="F3502" s="276"/>
      <c r="G3502" s="276"/>
      <c r="H3502" s="276"/>
      <c r="I3502" s="276"/>
      <c r="J3502" s="276"/>
      <c r="K3502" s="276"/>
      <c r="L3502" s="276"/>
      <c r="M3502" s="276"/>
      <c r="N3502" s="276"/>
      <c r="O3502" s="276"/>
      <c r="P3502" s="276"/>
      <c r="Q3502" s="276"/>
      <c r="R3502" s="276"/>
      <c r="S3502" s="276"/>
      <c r="T3502" s="276"/>
      <c r="U3502" s="276"/>
      <c r="V3502" s="276"/>
      <c r="W3502" s="276"/>
      <c r="X3502" s="276"/>
      <c r="Y3502" s="276"/>
      <c r="Z3502" s="276"/>
      <c r="AA3502" s="276"/>
      <c r="AB3502" s="276"/>
      <c r="AC3502" s="276"/>
      <c r="AD3502" s="276"/>
      <c r="AE3502" s="276"/>
      <c r="AF3502" s="276"/>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76"/>
      <c r="C3627" s="276"/>
      <c r="D3627" s="276"/>
      <c r="E3627" s="276"/>
      <c r="F3627" s="276"/>
      <c r="G3627" s="276"/>
      <c r="H3627" s="276"/>
      <c r="I3627" s="276"/>
      <c r="J3627" s="276"/>
      <c r="K3627" s="276"/>
      <c r="L3627" s="276"/>
      <c r="M3627" s="276"/>
      <c r="N3627" s="276"/>
      <c r="O3627" s="276"/>
      <c r="P3627" s="276"/>
      <c r="Q3627" s="276"/>
      <c r="R3627" s="276"/>
      <c r="S3627" s="276"/>
      <c r="T3627" s="276"/>
      <c r="U3627" s="276"/>
      <c r="V3627" s="276"/>
      <c r="W3627" s="276"/>
      <c r="X3627" s="276"/>
      <c r="Y3627" s="276"/>
      <c r="Z3627" s="276"/>
      <c r="AA3627" s="276"/>
      <c r="AB3627" s="276"/>
      <c r="AC3627" s="276"/>
      <c r="AD3627" s="276"/>
      <c r="AE3627" s="276"/>
      <c r="AF3627" s="276"/>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76"/>
      <c r="C3752" s="276"/>
      <c r="D3752" s="276"/>
      <c r="E3752" s="276"/>
      <c r="F3752" s="276"/>
      <c r="G3752" s="276"/>
      <c r="H3752" s="276"/>
      <c r="I3752" s="276"/>
      <c r="J3752" s="276"/>
      <c r="K3752" s="276"/>
      <c r="L3752" s="276"/>
      <c r="M3752" s="276"/>
      <c r="N3752" s="276"/>
      <c r="O3752" s="276"/>
      <c r="P3752" s="276"/>
      <c r="Q3752" s="276"/>
      <c r="R3752" s="276"/>
      <c r="S3752" s="276"/>
      <c r="T3752" s="276"/>
      <c r="U3752" s="276"/>
      <c r="V3752" s="276"/>
      <c r="W3752" s="276"/>
      <c r="X3752" s="276"/>
      <c r="Y3752" s="276"/>
      <c r="Z3752" s="276"/>
      <c r="AA3752" s="276"/>
      <c r="AB3752" s="276"/>
      <c r="AC3752" s="276"/>
      <c r="AD3752" s="276"/>
      <c r="AE3752" s="276"/>
      <c r="AF3752" s="276"/>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76"/>
      <c r="C3877" s="276"/>
      <c r="D3877" s="276"/>
      <c r="E3877" s="276"/>
      <c r="F3877" s="276"/>
      <c r="G3877" s="276"/>
      <c r="H3877" s="276"/>
      <c r="I3877" s="276"/>
      <c r="J3877" s="276"/>
      <c r="K3877" s="276"/>
      <c r="L3877" s="276"/>
      <c r="M3877" s="276"/>
      <c r="N3877" s="276"/>
      <c r="O3877" s="276"/>
      <c r="P3877" s="276"/>
      <c r="Q3877" s="276"/>
      <c r="R3877" s="276"/>
      <c r="S3877" s="276"/>
      <c r="T3877" s="276"/>
      <c r="U3877" s="276"/>
      <c r="V3877" s="276"/>
      <c r="W3877" s="276"/>
      <c r="X3877" s="276"/>
      <c r="Y3877" s="276"/>
      <c r="Z3877" s="276"/>
      <c r="AA3877" s="276"/>
      <c r="AB3877" s="276"/>
      <c r="AC3877" s="276"/>
      <c r="AD3877" s="276"/>
      <c r="AE3877" s="276"/>
      <c r="AF3877" s="276"/>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76"/>
      <c r="C4002" s="276"/>
      <c r="D4002" s="276"/>
      <c r="E4002" s="276"/>
      <c r="F4002" s="276"/>
      <c r="G4002" s="276"/>
      <c r="H4002" s="276"/>
      <c r="I4002" s="276"/>
      <c r="J4002" s="276"/>
      <c r="K4002" s="276"/>
      <c r="L4002" s="276"/>
      <c r="M4002" s="276"/>
      <c r="N4002" s="276"/>
      <c r="O4002" s="276"/>
      <c r="P4002" s="276"/>
      <c r="Q4002" s="276"/>
      <c r="R4002" s="276"/>
      <c r="S4002" s="276"/>
      <c r="T4002" s="276"/>
      <c r="U4002" s="276"/>
      <c r="V4002" s="276"/>
      <c r="W4002" s="276"/>
      <c r="X4002" s="276"/>
      <c r="Y4002" s="276"/>
      <c r="Z4002" s="276"/>
      <c r="AA4002" s="276"/>
      <c r="AB4002" s="276"/>
      <c r="AC4002" s="276"/>
      <c r="AD4002" s="276"/>
      <c r="AE4002" s="276"/>
      <c r="AF4002" s="276"/>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76"/>
      <c r="C4127" s="276"/>
      <c r="D4127" s="276"/>
      <c r="E4127" s="276"/>
      <c r="F4127" s="276"/>
      <c r="G4127" s="276"/>
      <c r="H4127" s="276"/>
      <c r="I4127" s="276"/>
      <c r="J4127" s="276"/>
      <c r="K4127" s="276"/>
      <c r="L4127" s="276"/>
      <c r="M4127" s="276"/>
      <c r="N4127" s="276"/>
      <c r="O4127" s="276"/>
      <c r="P4127" s="276"/>
      <c r="Q4127" s="276"/>
      <c r="R4127" s="276"/>
      <c r="S4127" s="276"/>
      <c r="T4127" s="276"/>
      <c r="U4127" s="276"/>
      <c r="V4127" s="276"/>
      <c r="W4127" s="276"/>
      <c r="X4127" s="276"/>
      <c r="Y4127" s="276"/>
      <c r="Z4127" s="276"/>
      <c r="AA4127" s="276"/>
      <c r="AB4127" s="276"/>
      <c r="AC4127" s="276"/>
      <c r="AD4127" s="276"/>
      <c r="AE4127" s="276"/>
      <c r="AF4127" s="276"/>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76"/>
      <c r="C4252" s="276"/>
      <c r="D4252" s="276"/>
      <c r="E4252" s="276"/>
      <c r="F4252" s="276"/>
      <c r="G4252" s="276"/>
      <c r="H4252" s="276"/>
      <c r="I4252" s="276"/>
      <c r="J4252" s="276"/>
      <c r="K4252" s="276"/>
      <c r="L4252" s="276"/>
      <c r="M4252" s="276"/>
      <c r="N4252" s="276"/>
      <c r="O4252" s="276"/>
      <c r="P4252" s="276"/>
      <c r="Q4252" s="276"/>
      <c r="R4252" s="276"/>
      <c r="S4252" s="276"/>
      <c r="T4252" s="276"/>
      <c r="U4252" s="276"/>
      <c r="V4252" s="276"/>
      <c r="W4252" s="276"/>
      <c r="X4252" s="276"/>
      <c r="Y4252" s="276"/>
      <c r="Z4252" s="276"/>
      <c r="AA4252" s="276"/>
      <c r="AB4252" s="276"/>
      <c r="AC4252" s="276"/>
      <c r="AD4252" s="276"/>
      <c r="AE4252" s="276"/>
      <c r="AF4252" s="276"/>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76"/>
      <c r="C4377" s="276"/>
      <c r="D4377" s="276"/>
      <c r="E4377" s="276"/>
      <c r="F4377" s="276"/>
      <c r="G4377" s="276"/>
      <c r="H4377" s="276"/>
      <c r="I4377" s="276"/>
      <c r="J4377" s="276"/>
      <c r="K4377" s="276"/>
      <c r="L4377" s="276"/>
      <c r="M4377" s="276"/>
      <c r="N4377" s="276"/>
      <c r="O4377" s="276"/>
      <c r="P4377" s="276"/>
      <c r="Q4377" s="276"/>
      <c r="R4377" s="276"/>
      <c r="S4377" s="276"/>
      <c r="T4377" s="276"/>
      <c r="U4377" s="276"/>
      <c r="V4377" s="276"/>
      <c r="W4377" s="276"/>
      <c r="X4377" s="276"/>
      <c r="Y4377" s="276"/>
      <c r="Z4377" s="276"/>
      <c r="AA4377" s="276"/>
      <c r="AB4377" s="276"/>
      <c r="AC4377" s="276"/>
      <c r="AD4377" s="276"/>
      <c r="AE4377" s="276"/>
      <c r="AF4377" s="276"/>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76"/>
      <c r="C4502" s="276"/>
      <c r="D4502" s="276"/>
      <c r="E4502" s="276"/>
      <c r="F4502" s="276"/>
      <c r="G4502" s="276"/>
      <c r="H4502" s="276"/>
      <c r="I4502" s="276"/>
      <c r="J4502" s="276"/>
      <c r="K4502" s="276"/>
      <c r="L4502" s="276"/>
      <c r="M4502" s="276"/>
      <c r="N4502" s="276"/>
      <c r="O4502" s="276"/>
      <c r="P4502" s="276"/>
      <c r="Q4502" s="276"/>
      <c r="R4502" s="276"/>
      <c r="S4502" s="276"/>
      <c r="T4502" s="276"/>
      <c r="U4502" s="276"/>
      <c r="V4502" s="276"/>
      <c r="W4502" s="276"/>
      <c r="X4502" s="276"/>
      <c r="Y4502" s="276"/>
      <c r="Z4502" s="276"/>
      <c r="AA4502" s="276"/>
      <c r="AB4502" s="276"/>
      <c r="AC4502" s="276"/>
      <c r="AD4502" s="276"/>
      <c r="AE4502" s="276"/>
      <c r="AF4502" s="276"/>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election sqref="A1:AH4502"/>
    </sheetView>
  </sheetViews>
  <sheetFormatPr defaultRowHeight="15"/>
  <sheetData>
    <row r="1" spans="1:33" ht="15.75" thickBot="1">
      <c r="A1" s="29"/>
      <c r="B1" s="34" t="s">
        <v>652</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333</v>
      </c>
      <c r="B10" s="45" t="s">
        <v>334</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t="s">
        <v>335</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37.5" thickBot="1">
      <c r="A13" s="29"/>
      <c r="B13" s="47" t="s">
        <v>336</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337</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338</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339</v>
      </c>
      <c r="B17" s="43" t="s">
        <v>675</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341</v>
      </c>
      <c r="B18" s="43" t="s">
        <v>677</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344</v>
      </c>
      <c r="B19" s="43" t="s">
        <v>679</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345</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346</v>
      </c>
      <c r="B22" s="43" t="s">
        <v>681</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348</v>
      </c>
      <c r="B23" s="43" t="s">
        <v>683</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349</v>
      </c>
      <c r="B24" s="43" t="s">
        <v>685</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350</v>
      </c>
      <c r="B25" s="43" t="s">
        <v>687</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351</v>
      </c>
      <c r="B26" s="43" t="s">
        <v>689</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352</v>
      </c>
      <c r="B27" s="43" t="s">
        <v>691</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353</v>
      </c>
      <c r="B28" s="43" t="s">
        <v>693</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343</v>
      </c>
      <c r="AG28" s="31"/>
    </row>
    <row r="29" spans="1:33" ht="36.75">
      <c r="A29" s="30" t="s">
        <v>355</v>
      </c>
      <c r="B29" s="43" t="s">
        <v>695</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357</v>
      </c>
      <c r="B30" s="43" t="s">
        <v>697</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359</v>
      </c>
      <c r="B31" s="43" t="s">
        <v>699</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361</v>
      </c>
      <c r="B32" s="43" t="s">
        <v>701</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363</v>
      </c>
      <c r="B33" s="43" t="s">
        <v>703</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365</v>
      </c>
      <c r="B34" s="43" t="s">
        <v>705</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343</v>
      </c>
      <c r="AG34" s="31"/>
    </row>
    <row r="35" spans="1:33" ht="24.75">
      <c r="A35" s="30" t="s">
        <v>367</v>
      </c>
      <c r="B35" s="43" t="s">
        <v>707</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369</v>
      </c>
      <c r="B36" s="43" t="s">
        <v>709</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370</v>
      </c>
      <c r="B38" s="43" t="s">
        <v>371</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372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374</v>
      </c>
      <c r="B42" s="43" t="s">
        <v>675</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375</v>
      </c>
      <c r="B43" s="43" t="s">
        <v>677</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376</v>
      </c>
      <c r="B44" s="43" t="s">
        <v>716</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377</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378</v>
      </c>
      <c r="B47" s="43" t="s">
        <v>681</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379</v>
      </c>
      <c r="B48" s="43" t="s">
        <v>683</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380</v>
      </c>
      <c r="B49" s="43" t="s">
        <v>685</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381</v>
      </c>
      <c r="B50" s="43" t="s">
        <v>687</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382</v>
      </c>
      <c r="B51" s="43" t="s">
        <v>689</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383</v>
      </c>
      <c r="B52" s="43" t="s">
        <v>691</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384</v>
      </c>
      <c r="B53" s="43" t="s">
        <v>693</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343</v>
      </c>
      <c r="AG53" s="31"/>
    </row>
    <row r="54" spans="1:33" ht="36.75">
      <c r="A54" s="30" t="s">
        <v>385</v>
      </c>
      <c r="B54" s="43" t="s">
        <v>695</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386</v>
      </c>
      <c r="B55" s="43" t="s">
        <v>697</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387</v>
      </c>
      <c r="B56" s="43" t="s">
        <v>699</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388</v>
      </c>
      <c r="B57" s="43" t="s">
        <v>701</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389</v>
      </c>
      <c r="B58" s="43" t="s">
        <v>703</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390</v>
      </c>
      <c r="B59" s="43" t="s">
        <v>705</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343</v>
      </c>
      <c r="AG59" s="31"/>
    </row>
    <row r="60" spans="1:33" ht="24.75">
      <c r="A60" s="30" t="s">
        <v>391</v>
      </c>
      <c r="B60" s="43" t="s">
        <v>707</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392</v>
      </c>
      <c r="B61" s="43" t="s">
        <v>732</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393</v>
      </c>
      <c r="B63" s="43" t="s">
        <v>394</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395</v>
      </c>
      <c r="B65" s="49" t="s">
        <v>396</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397</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398</v>
      </c>
      <c r="B68" s="43" t="s">
        <v>756</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399</v>
      </c>
      <c r="B69" s="43" t="s">
        <v>757</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400</v>
      </c>
      <c r="B70" s="43" t="s">
        <v>758</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401</v>
      </c>
      <c r="B71" s="43" t="s">
        <v>759</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402</v>
      </c>
      <c r="B72" s="43" t="s">
        <v>760</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403</v>
      </c>
      <c r="B73" s="43" t="s">
        <v>744</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343</v>
      </c>
      <c r="AG73" s="31"/>
      <c r="AH73" s="29"/>
    </row>
    <row r="74" spans="1:34" ht="36.75">
      <c r="A74" s="30" t="s">
        <v>404</v>
      </c>
      <c r="B74" s="43" t="s">
        <v>761</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343</v>
      </c>
      <c r="AG74" s="31"/>
      <c r="AH74" s="29"/>
    </row>
    <row r="75" spans="1:34" ht="36.75">
      <c r="A75" s="30" t="s">
        <v>405</v>
      </c>
      <c r="B75" s="43" t="s">
        <v>762</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343</v>
      </c>
      <c r="AG75" s="31"/>
      <c r="AH75" s="29"/>
    </row>
    <row r="76" spans="1:34">
      <c r="A76" s="30" t="s">
        <v>406</v>
      </c>
      <c r="B76" s="43" t="s">
        <v>752</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343</v>
      </c>
      <c r="AG76" s="31"/>
      <c r="AH76" s="29"/>
    </row>
    <row r="77" spans="1:34" ht="48.75">
      <c r="A77" s="30" t="s">
        <v>407</v>
      </c>
      <c r="B77" s="49" t="s">
        <v>763</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77" t="s">
        <v>409</v>
      </c>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32"/>
    </row>
    <row r="80" spans="1:34">
      <c r="A80" s="29"/>
      <c r="B80" s="31" t="s">
        <v>410</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411</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754</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412</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332</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755</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658</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74"/>
      <c r="C117" s="274"/>
      <c r="D117" s="274"/>
      <c r="E117" s="274"/>
      <c r="F117" s="274"/>
      <c r="G117" s="274"/>
      <c r="H117" s="274"/>
      <c r="I117" s="274"/>
      <c r="J117" s="274"/>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74"/>
      <c r="C259" s="274"/>
      <c r="D259" s="274"/>
      <c r="E259" s="274"/>
      <c r="F259" s="274"/>
      <c r="G259" s="274"/>
      <c r="H259" s="274"/>
      <c r="I259" s="274"/>
      <c r="J259" s="274"/>
      <c r="K259" s="274"/>
      <c r="L259" s="274"/>
      <c r="M259" s="274"/>
      <c r="N259" s="274"/>
      <c r="O259" s="274"/>
      <c r="P259" s="274"/>
      <c r="Q259" s="274"/>
      <c r="R259" s="274"/>
      <c r="S259" s="274"/>
      <c r="T259" s="274"/>
      <c r="U259" s="274"/>
      <c r="V259" s="274"/>
      <c r="W259" s="274"/>
      <c r="X259" s="274"/>
      <c r="Y259" s="274"/>
      <c r="Z259" s="274"/>
      <c r="AA259" s="274"/>
      <c r="AB259" s="274"/>
      <c r="AC259" s="274"/>
      <c r="AD259" s="274"/>
      <c r="AE259" s="274"/>
      <c r="AF259" s="274"/>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74"/>
      <c r="C339" s="274"/>
      <c r="D339" s="274"/>
      <c r="E339" s="274"/>
      <c r="F339" s="274"/>
      <c r="G339" s="274"/>
      <c r="H339" s="274"/>
      <c r="I339" s="274"/>
      <c r="J339" s="274"/>
      <c r="K339" s="274"/>
      <c r="L339" s="274"/>
      <c r="M339" s="274"/>
      <c r="N339" s="274"/>
      <c r="O339" s="274"/>
      <c r="P339" s="274"/>
      <c r="Q339" s="274"/>
      <c r="R339" s="274"/>
      <c r="S339" s="274"/>
      <c r="T339" s="274"/>
      <c r="U339" s="274"/>
      <c r="V339" s="274"/>
      <c r="W339" s="274"/>
      <c r="X339" s="274"/>
      <c r="Y339" s="274"/>
      <c r="Z339" s="274"/>
      <c r="AA339" s="274"/>
      <c r="AB339" s="274"/>
      <c r="AC339" s="274"/>
      <c r="AD339" s="274"/>
      <c r="AE339" s="274"/>
      <c r="AF339" s="274"/>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74"/>
      <c r="C452" s="274"/>
      <c r="D452" s="274"/>
      <c r="E452" s="274"/>
      <c r="F452" s="274"/>
      <c r="G452" s="274"/>
      <c r="H452" s="274"/>
      <c r="I452" s="274"/>
      <c r="J452" s="274"/>
      <c r="K452" s="274"/>
      <c r="L452" s="274"/>
      <c r="M452" s="274"/>
      <c r="N452" s="274"/>
      <c r="O452" s="274"/>
      <c r="P452" s="274"/>
      <c r="Q452" s="274"/>
      <c r="R452" s="274"/>
      <c r="S452" s="274"/>
      <c r="T452" s="274"/>
      <c r="U452" s="274"/>
      <c r="V452" s="274"/>
      <c r="W452" s="274"/>
      <c r="X452" s="274"/>
      <c r="Y452" s="274"/>
      <c r="Z452" s="274"/>
      <c r="AA452" s="274"/>
      <c r="AB452" s="274"/>
      <c r="AC452" s="274"/>
      <c r="AD452" s="274"/>
      <c r="AE452" s="274"/>
      <c r="AF452" s="274"/>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74"/>
      <c r="C565" s="274"/>
      <c r="D565" s="274"/>
      <c r="E565" s="274"/>
      <c r="F565" s="274"/>
      <c r="G565" s="274"/>
      <c r="H565" s="274"/>
      <c r="I565" s="274"/>
      <c r="J565" s="274"/>
      <c r="K565" s="274"/>
      <c r="L565" s="274"/>
      <c r="M565" s="274"/>
      <c r="N565" s="274"/>
      <c r="O565" s="274"/>
      <c r="P565" s="274"/>
      <c r="Q565" s="274"/>
      <c r="R565" s="274"/>
      <c r="S565" s="274"/>
      <c r="T565" s="274"/>
      <c r="U565" s="274"/>
      <c r="V565" s="274"/>
      <c r="W565" s="274"/>
      <c r="X565" s="274"/>
      <c r="Y565" s="274"/>
      <c r="Z565" s="274"/>
      <c r="AA565" s="274"/>
      <c r="AB565" s="274"/>
      <c r="AC565" s="274"/>
      <c r="AD565" s="274"/>
      <c r="AE565" s="274"/>
      <c r="AF565" s="274"/>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74"/>
      <c r="C663" s="274"/>
      <c r="D663" s="274"/>
      <c r="E663" s="274"/>
      <c r="F663" s="274"/>
      <c r="G663" s="274"/>
      <c r="H663" s="274"/>
      <c r="I663" s="274"/>
      <c r="J663" s="274"/>
      <c r="K663" s="274"/>
      <c r="L663" s="274"/>
      <c r="M663" s="274"/>
      <c r="N663" s="274"/>
      <c r="O663" s="274"/>
      <c r="P663" s="274"/>
      <c r="Q663" s="274"/>
      <c r="R663" s="274"/>
      <c r="S663" s="274"/>
      <c r="T663" s="274"/>
      <c r="U663" s="274"/>
      <c r="V663" s="274"/>
      <c r="W663" s="274"/>
      <c r="X663" s="274"/>
      <c r="Y663" s="274"/>
      <c r="Z663" s="274"/>
      <c r="AA663" s="274"/>
      <c r="AB663" s="274"/>
      <c r="AC663" s="274"/>
      <c r="AD663" s="274"/>
      <c r="AE663" s="274"/>
      <c r="AF663" s="274"/>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74"/>
      <c r="C735" s="274"/>
      <c r="D735" s="274"/>
      <c r="E735" s="274"/>
      <c r="F735" s="274"/>
      <c r="G735" s="274"/>
      <c r="H735" s="274"/>
      <c r="I735" s="274"/>
      <c r="J735" s="274"/>
      <c r="K735" s="274"/>
      <c r="L735" s="274"/>
      <c r="M735" s="274"/>
      <c r="N735" s="274"/>
      <c r="O735" s="274"/>
      <c r="P735" s="274"/>
      <c r="Q735" s="274"/>
      <c r="R735" s="274"/>
      <c r="S735" s="274"/>
      <c r="T735" s="274"/>
      <c r="U735" s="274"/>
      <c r="V735" s="274"/>
      <c r="W735" s="274"/>
      <c r="X735" s="274"/>
      <c r="Y735" s="274"/>
      <c r="Z735" s="274"/>
      <c r="AA735" s="274"/>
      <c r="AB735" s="274"/>
      <c r="AC735" s="274"/>
      <c r="AD735" s="274"/>
      <c r="AE735" s="274"/>
      <c r="AF735" s="274"/>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74"/>
      <c r="C911" s="274"/>
      <c r="D911" s="274"/>
      <c r="E911" s="274"/>
      <c r="F911" s="274"/>
      <c r="G911" s="274"/>
      <c r="H911" s="274"/>
      <c r="I911" s="274"/>
      <c r="J911" s="274"/>
      <c r="K911" s="274"/>
      <c r="L911" s="274"/>
      <c r="M911" s="274"/>
      <c r="N911" s="274"/>
      <c r="O911" s="274"/>
      <c r="P911" s="274"/>
      <c r="Q911" s="274"/>
      <c r="R911" s="274"/>
      <c r="S911" s="274"/>
      <c r="T911" s="274"/>
      <c r="U911" s="274"/>
      <c r="V911" s="274"/>
      <c r="W911" s="274"/>
      <c r="X911" s="274"/>
      <c r="Y911" s="274"/>
      <c r="Z911" s="274"/>
      <c r="AA911" s="274"/>
      <c r="AB911" s="274"/>
      <c r="AC911" s="274"/>
      <c r="AD911" s="274"/>
      <c r="AE911" s="274"/>
      <c r="AF911" s="274"/>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74"/>
      <c r="C994" s="274"/>
      <c r="D994" s="274"/>
      <c r="E994" s="274"/>
      <c r="F994" s="274"/>
      <c r="G994" s="274"/>
      <c r="H994" s="274"/>
      <c r="I994" s="274"/>
      <c r="J994" s="274"/>
      <c r="K994" s="274"/>
      <c r="L994" s="274"/>
      <c r="M994" s="274"/>
      <c r="N994" s="274"/>
      <c r="O994" s="274"/>
      <c r="P994" s="274"/>
      <c r="Q994" s="274"/>
      <c r="R994" s="274"/>
      <c r="S994" s="274"/>
      <c r="T994" s="274"/>
      <c r="U994" s="274"/>
      <c r="V994" s="274"/>
      <c r="W994" s="274"/>
      <c r="X994" s="274"/>
      <c r="Y994" s="274"/>
      <c r="Z994" s="274"/>
      <c r="AA994" s="274"/>
      <c r="AB994" s="274"/>
      <c r="AC994" s="274"/>
      <c r="AD994" s="274"/>
      <c r="AE994" s="274"/>
      <c r="AF994" s="274"/>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74"/>
      <c r="C1096" s="274"/>
      <c r="D1096" s="274"/>
      <c r="E1096" s="274"/>
      <c r="F1096" s="274"/>
      <c r="G1096" s="274"/>
      <c r="H1096" s="274"/>
      <c r="I1096" s="274"/>
      <c r="J1096" s="274"/>
      <c r="K1096" s="274"/>
      <c r="L1096" s="274"/>
      <c r="M1096" s="274"/>
      <c r="N1096" s="274"/>
      <c r="O1096" s="274"/>
      <c r="P1096" s="274"/>
      <c r="Q1096" s="274"/>
      <c r="R1096" s="274"/>
      <c r="S1096" s="274"/>
      <c r="T1096" s="274"/>
      <c r="U1096" s="274"/>
      <c r="V1096" s="274"/>
      <c r="W1096" s="274"/>
      <c r="X1096" s="274"/>
      <c r="Y1096" s="274"/>
      <c r="Z1096" s="274"/>
      <c r="AA1096" s="274"/>
      <c r="AB1096" s="274"/>
      <c r="AC1096" s="274"/>
      <c r="AD1096" s="274"/>
      <c r="AE1096" s="274"/>
      <c r="AF1096" s="274"/>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74"/>
      <c r="C1194" s="274"/>
      <c r="D1194" s="274"/>
      <c r="E1194" s="274"/>
      <c r="F1194" s="274"/>
      <c r="G1194" s="274"/>
      <c r="H1194" s="274"/>
      <c r="I1194" s="274"/>
      <c r="J1194" s="274"/>
      <c r="K1194" s="274"/>
      <c r="L1194" s="274"/>
      <c r="M1194" s="274"/>
      <c r="N1194" s="274"/>
      <c r="O1194" s="274"/>
      <c r="P1194" s="274"/>
      <c r="Q1194" s="274"/>
      <c r="R1194" s="274"/>
      <c r="S1194" s="274"/>
      <c r="T1194" s="274"/>
      <c r="U1194" s="274"/>
      <c r="V1194" s="274"/>
      <c r="W1194" s="274"/>
      <c r="X1194" s="274"/>
      <c r="Y1194" s="274"/>
      <c r="Z1194" s="274"/>
      <c r="AA1194" s="274"/>
      <c r="AB1194" s="274"/>
      <c r="AC1194" s="274"/>
      <c r="AD1194" s="274"/>
      <c r="AE1194" s="274"/>
      <c r="AF1194" s="274"/>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74"/>
      <c r="C1294" s="274"/>
      <c r="D1294" s="274"/>
      <c r="E1294" s="274"/>
      <c r="F1294" s="274"/>
      <c r="G1294" s="274"/>
      <c r="H1294" s="274"/>
      <c r="I1294" s="274"/>
      <c r="J1294" s="274"/>
      <c r="K1294" s="274"/>
      <c r="L1294" s="274"/>
      <c r="M1294" s="274"/>
      <c r="N1294" s="274"/>
      <c r="O1294" s="274"/>
      <c r="P1294" s="274"/>
      <c r="Q1294" s="274"/>
      <c r="R1294" s="274"/>
      <c r="S1294" s="274"/>
      <c r="T1294" s="274"/>
      <c r="U1294" s="274"/>
      <c r="V1294" s="274"/>
      <c r="W1294" s="274"/>
      <c r="X1294" s="274"/>
      <c r="Y1294" s="274"/>
      <c r="Z1294" s="274"/>
      <c r="AA1294" s="274"/>
      <c r="AB1294" s="274"/>
      <c r="AC1294" s="274"/>
      <c r="AD1294" s="274"/>
      <c r="AE1294" s="274"/>
      <c r="AF1294" s="274"/>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74"/>
      <c r="C1590" s="274"/>
      <c r="D1590" s="274"/>
      <c r="E1590" s="274"/>
      <c r="F1590" s="274"/>
      <c r="G1590" s="274"/>
      <c r="H1590" s="274"/>
      <c r="I1590" s="274"/>
      <c r="J1590" s="274"/>
      <c r="K1590" s="274"/>
      <c r="L1590" s="274"/>
      <c r="M1590" s="274"/>
      <c r="N1590" s="274"/>
      <c r="O1590" s="274"/>
      <c r="P1590" s="274"/>
      <c r="Q1590" s="274"/>
      <c r="R1590" s="274"/>
      <c r="S1590" s="274"/>
      <c r="T1590" s="274"/>
      <c r="U1590" s="274"/>
      <c r="V1590" s="274"/>
      <c r="W1590" s="274"/>
      <c r="X1590" s="274"/>
      <c r="Y1590" s="274"/>
      <c r="Z1590" s="274"/>
      <c r="AA1590" s="274"/>
      <c r="AB1590" s="274"/>
      <c r="AC1590" s="274"/>
      <c r="AD1590" s="274"/>
      <c r="AE1590" s="274"/>
      <c r="AF1590" s="274"/>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74"/>
      <c r="C1813" s="274"/>
      <c r="D1813" s="274"/>
      <c r="E1813" s="274"/>
      <c r="F1813" s="274"/>
      <c r="G1813" s="274"/>
      <c r="H1813" s="274"/>
      <c r="I1813" s="274"/>
      <c r="J1813" s="274"/>
      <c r="K1813" s="274"/>
      <c r="L1813" s="274"/>
      <c r="M1813" s="274"/>
      <c r="N1813" s="274"/>
      <c r="O1813" s="274"/>
      <c r="P1813" s="274"/>
      <c r="Q1813" s="274"/>
      <c r="R1813" s="274"/>
      <c r="S1813" s="274"/>
      <c r="T1813" s="274"/>
      <c r="U1813" s="274"/>
      <c r="V1813" s="274"/>
      <c r="W1813" s="274"/>
      <c r="X1813" s="274"/>
      <c r="Y1813" s="274"/>
      <c r="Z1813" s="274"/>
      <c r="AA1813" s="274"/>
      <c r="AB1813" s="274"/>
      <c r="AC1813" s="274"/>
      <c r="AD1813" s="274"/>
      <c r="AE1813" s="274"/>
      <c r="AF1813" s="274"/>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74"/>
      <c r="C2090" s="274"/>
      <c r="D2090" s="274"/>
      <c r="E2090" s="274"/>
      <c r="F2090" s="274"/>
      <c r="G2090" s="274"/>
      <c r="H2090" s="274"/>
      <c r="I2090" s="274"/>
      <c r="J2090" s="274"/>
      <c r="K2090" s="274"/>
      <c r="L2090" s="274"/>
      <c r="M2090" s="274"/>
      <c r="N2090" s="274"/>
      <c r="O2090" s="274"/>
      <c r="P2090" s="274"/>
      <c r="Q2090" s="274"/>
      <c r="R2090" s="274"/>
      <c r="S2090" s="274"/>
      <c r="T2090" s="274"/>
      <c r="U2090" s="274"/>
      <c r="V2090" s="274"/>
      <c r="W2090" s="274"/>
      <c r="X2090" s="274"/>
      <c r="Y2090" s="274"/>
      <c r="Z2090" s="274"/>
      <c r="AA2090" s="274"/>
      <c r="AB2090" s="274"/>
      <c r="AC2090" s="274"/>
      <c r="AD2090" s="274"/>
      <c r="AE2090" s="274"/>
      <c r="AF2090" s="274"/>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74"/>
      <c r="C2425" s="274"/>
      <c r="D2425" s="274"/>
      <c r="E2425" s="274"/>
      <c r="F2425" s="274"/>
      <c r="G2425" s="274"/>
      <c r="H2425" s="274"/>
      <c r="I2425" s="274"/>
      <c r="J2425" s="274"/>
      <c r="K2425" s="274"/>
      <c r="L2425" s="274"/>
      <c r="M2425" s="274"/>
      <c r="N2425" s="274"/>
      <c r="O2425" s="274"/>
      <c r="P2425" s="274"/>
      <c r="Q2425" s="274"/>
      <c r="R2425" s="274"/>
      <c r="S2425" s="274"/>
      <c r="T2425" s="274"/>
      <c r="U2425" s="274"/>
      <c r="V2425" s="274"/>
      <c r="W2425" s="274"/>
      <c r="X2425" s="274"/>
      <c r="Y2425" s="274"/>
      <c r="Z2425" s="274"/>
      <c r="AA2425" s="274"/>
      <c r="AB2425" s="274"/>
      <c r="AC2425" s="274"/>
      <c r="AD2425" s="274"/>
      <c r="AE2425" s="274"/>
      <c r="AF2425" s="274"/>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74"/>
      <c r="C2745" s="274"/>
      <c r="D2745" s="274"/>
      <c r="E2745" s="274"/>
      <c r="F2745" s="274"/>
      <c r="G2745" s="274"/>
      <c r="H2745" s="274"/>
      <c r="I2745" s="274"/>
      <c r="J2745" s="274"/>
      <c r="K2745" s="274"/>
      <c r="L2745" s="274"/>
      <c r="M2745" s="274"/>
      <c r="N2745" s="274"/>
      <c r="O2745" s="274"/>
      <c r="P2745" s="274"/>
      <c r="Q2745" s="274"/>
      <c r="R2745" s="274"/>
      <c r="S2745" s="274"/>
      <c r="T2745" s="274"/>
      <c r="U2745" s="274"/>
      <c r="V2745" s="274"/>
      <c r="W2745" s="274"/>
      <c r="X2745" s="274"/>
      <c r="Y2745" s="274"/>
      <c r="Z2745" s="274"/>
      <c r="AA2745" s="274"/>
      <c r="AB2745" s="274"/>
      <c r="AC2745" s="274"/>
      <c r="AD2745" s="274"/>
      <c r="AE2745" s="274"/>
      <c r="AF2745" s="274"/>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74"/>
      <c r="C3076" s="274"/>
      <c r="D3076" s="274"/>
      <c r="E3076" s="274"/>
      <c r="F3076" s="274"/>
      <c r="G3076" s="274"/>
      <c r="H3076" s="274"/>
      <c r="I3076" s="274"/>
      <c r="J3076" s="274"/>
      <c r="K3076" s="274"/>
      <c r="L3076" s="274"/>
      <c r="M3076" s="274"/>
      <c r="N3076" s="274"/>
      <c r="O3076" s="274"/>
      <c r="P3076" s="274"/>
      <c r="Q3076" s="274"/>
      <c r="R3076" s="274"/>
      <c r="S3076" s="274"/>
      <c r="T3076" s="274"/>
      <c r="U3076" s="274"/>
      <c r="V3076" s="274"/>
      <c r="W3076" s="274"/>
      <c r="X3076" s="274"/>
      <c r="Y3076" s="274"/>
      <c r="Z3076" s="274"/>
      <c r="AA3076" s="274"/>
      <c r="AB3076" s="274"/>
      <c r="AC3076" s="274"/>
      <c r="AD3076" s="274"/>
      <c r="AE3076" s="274"/>
      <c r="AF3076" s="274"/>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74"/>
      <c r="C3393" s="274"/>
      <c r="D3393" s="274"/>
      <c r="E3393" s="274"/>
      <c r="F3393" s="274"/>
      <c r="G3393" s="274"/>
      <c r="H3393" s="274"/>
      <c r="I3393" s="274"/>
      <c r="J3393" s="274"/>
      <c r="K3393" s="274"/>
      <c r="L3393" s="274"/>
      <c r="M3393" s="274"/>
      <c r="N3393" s="274"/>
      <c r="O3393" s="274"/>
      <c r="P3393" s="274"/>
      <c r="Q3393" s="274"/>
      <c r="R3393" s="274"/>
      <c r="S3393" s="274"/>
      <c r="T3393" s="274"/>
      <c r="U3393" s="274"/>
      <c r="V3393" s="274"/>
      <c r="W3393" s="274"/>
      <c r="X3393" s="274"/>
      <c r="Y3393" s="274"/>
      <c r="Z3393" s="274"/>
      <c r="AA3393" s="274"/>
      <c r="AB3393" s="274"/>
      <c r="AC3393" s="274"/>
      <c r="AD3393" s="274"/>
      <c r="AE3393" s="274"/>
      <c r="AF3393" s="274"/>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74"/>
      <c r="C3502" s="274"/>
      <c r="D3502" s="274"/>
      <c r="E3502" s="274"/>
      <c r="F3502" s="274"/>
      <c r="G3502" s="274"/>
      <c r="H3502" s="274"/>
      <c r="I3502" s="274"/>
      <c r="J3502" s="274"/>
      <c r="K3502" s="274"/>
      <c r="L3502" s="274"/>
      <c r="M3502" s="274"/>
      <c r="N3502" s="274"/>
      <c r="O3502" s="274"/>
      <c r="P3502" s="274"/>
      <c r="Q3502" s="274"/>
      <c r="R3502" s="274"/>
      <c r="S3502" s="274"/>
      <c r="T3502" s="274"/>
      <c r="U3502" s="274"/>
      <c r="V3502" s="274"/>
      <c r="W3502" s="274"/>
      <c r="X3502" s="274"/>
      <c r="Y3502" s="274"/>
      <c r="Z3502" s="274"/>
      <c r="AA3502" s="274"/>
      <c r="AB3502" s="274"/>
      <c r="AC3502" s="274"/>
      <c r="AD3502" s="274"/>
      <c r="AE3502" s="274"/>
      <c r="AF3502" s="274"/>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74"/>
      <c r="C3627" s="274"/>
      <c r="D3627" s="274"/>
      <c r="E3627" s="274"/>
      <c r="F3627" s="274"/>
      <c r="G3627" s="274"/>
      <c r="H3627" s="274"/>
      <c r="I3627" s="274"/>
      <c r="J3627" s="274"/>
      <c r="K3627" s="274"/>
      <c r="L3627" s="274"/>
      <c r="M3627" s="274"/>
      <c r="N3627" s="274"/>
      <c r="O3627" s="274"/>
      <c r="P3627" s="274"/>
      <c r="Q3627" s="274"/>
      <c r="R3627" s="274"/>
      <c r="S3627" s="274"/>
      <c r="T3627" s="274"/>
      <c r="U3627" s="274"/>
      <c r="V3627" s="274"/>
      <c r="W3627" s="274"/>
      <c r="X3627" s="274"/>
      <c r="Y3627" s="274"/>
      <c r="Z3627" s="274"/>
      <c r="AA3627" s="274"/>
      <c r="AB3627" s="274"/>
      <c r="AC3627" s="274"/>
      <c r="AD3627" s="274"/>
      <c r="AE3627" s="274"/>
      <c r="AF3627" s="274"/>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74"/>
      <c r="C3752" s="274"/>
      <c r="D3752" s="274"/>
      <c r="E3752" s="274"/>
      <c r="F3752" s="274"/>
      <c r="G3752" s="274"/>
      <c r="H3752" s="274"/>
      <c r="I3752" s="274"/>
      <c r="J3752" s="274"/>
      <c r="K3752" s="274"/>
      <c r="L3752" s="274"/>
      <c r="M3752" s="274"/>
      <c r="N3752" s="274"/>
      <c r="O3752" s="274"/>
      <c r="P3752" s="274"/>
      <c r="Q3752" s="274"/>
      <c r="R3752" s="274"/>
      <c r="S3752" s="274"/>
      <c r="T3752" s="274"/>
      <c r="U3752" s="274"/>
      <c r="V3752" s="274"/>
      <c r="W3752" s="274"/>
      <c r="X3752" s="274"/>
      <c r="Y3752" s="274"/>
      <c r="Z3752" s="274"/>
      <c r="AA3752" s="274"/>
      <c r="AB3752" s="274"/>
      <c r="AC3752" s="274"/>
      <c r="AD3752" s="274"/>
      <c r="AE3752" s="274"/>
      <c r="AF3752" s="274"/>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74"/>
      <c r="C3877" s="274"/>
      <c r="D3877" s="274"/>
      <c r="E3877" s="274"/>
      <c r="F3877" s="274"/>
      <c r="G3877" s="274"/>
      <c r="H3877" s="274"/>
      <c r="I3877" s="274"/>
      <c r="J3877" s="274"/>
      <c r="K3877" s="274"/>
      <c r="L3877" s="274"/>
      <c r="M3877" s="274"/>
      <c r="N3877" s="274"/>
      <c r="O3877" s="274"/>
      <c r="P3877" s="274"/>
      <c r="Q3877" s="274"/>
      <c r="R3877" s="274"/>
      <c r="S3877" s="274"/>
      <c r="T3877" s="274"/>
      <c r="U3877" s="274"/>
      <c r="V3877" s="274"/>
      <c r="W3877" s="274"/>
      <c r="X3877" s="274"/>
      <c r="Y3877" s="274"/>
      <c r="Z3877" s="274"/>
      <c r="AA3877" s="274"/>
      <c r="AB3877" s="274"/>
      <c r="AC3877" s="274"/>
      <c r="AD3877" s="274"/>
      <c r="AE3877" s="274"/>
      <c r="AF3877" s="274"/>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74"/>
      <c r="C4002" s="274"/>
      <c r="D4002" s="274"/>
      <c r="E4002" s="274"/>
      <c r="F4002" s="274"/>
      <c r="G4002" s="274"/>
      <c r="H4002" s="274"/>
      <c r="I4002" s="274"/>
      <c r="J4002" s="274"/>
      <c r="K4002" s="274"/>
      <c r="L4002" s="274"/>
      <c r="M4002" s="274"/>
      <c r="N4002" s="274"/>
      <c r="O4002" s="274"/>
      <c r="P4002" s="274"/>
      <c r="Q4002" s="274"/>
      <c r="R4002" s="274"/>
      <c r="S4002" s="274"/>
      <c r="T4002" s="274"/>
      <c r="U4002" s="274"/>
      <c r="V4002" s="274"/>
      <c r="W4002" s="274"/>
      <c r="X4002" s="274"/>
      <c r="Y4002" s="274"/>
      <c r="Z4002" s="274"/>
      <c r="AA4002" s="274"/>
      <c r="AB4002" s="274"/>
      <c r="AC4002" s="274"/>
      <c r="AD4002" s="274"/>
      <c r="AE4002" s="274"/>
      <c r="AF4002" s="274"/>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74"/>
      <c r="C4127" s="274"/>
      <c r="D4127" s="274"/>
      <c r="E4127" s="274"/>
      <c r="F4127" s="274"/>
      <c r="G4127" s="274"/>
      <c r="H4127" s="274"/>
      <c r="I4127" s="274"/>
      <c r="J4127" s="274"/>
      <c r="K4127" s="274"/>
      <c r="L4127" s="274"/>
      <c r="M4127" s="274"/>
      <c r="N4127" s="274"/>
      <c r="O4127" s="274"/>
      <c r="P4127" s="274"/>
      <c r="Q4127" s="274"/>
      <c r="R4127" s="274"/>
      <c r="S4127" s="274"/>
      <c r="T4127" s="274"/>
      <c r="U4127" s="274"/>
      <c r="V4127" s="274"/>
      <c r="W4127" s="274"/>
      <c r="X4127" s="274"/>
      <c r="Y4127" s="274"/>
      <c r="Z4127" s="274"/>
      <c r="AA4127" s="274"/>
      <c r="AB4127" s="274"/>
      <c r="AC4127" s="274"/>
      <c r="AD4127" s="274"/>
      <c r="AE4127" s="274"/>
      <c r="AF4127" s="274"/>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74"/>
      <c r="C4252" s="274"/>
      <c r="D4252" s="274"/>
      <c r="E4252" s="274"/>
      <c r="F4252" s="274"/>
      <c r="G4252" s="274"/>
      <c r="H4252" s="274"/>
      <c r="I4252" s="274"/>
      <c r="J4252" s="274"/>
      <c r="K4252" s="274"/>
      <c r="L4252" s="274"/>
      <c r="M4252" s="274"/>
      <c r="N4252" s="274"/>
      <c r="O4252" s="274"/>
      <c r="P4252" s="274"/>
      <c r="Q4252" s="274"/>
      <c r="R4252" s="274"/>
      <c r="S4252" s="274"/>
      <c r="T4252" s="274"/>
      <c r="U4252" s="274"/>
      <c r="V4252" s="274"/>
      <c r="W4252" s="274"/>
      <c r="X4252" s="274"/>
      <c r="Y4252" s="274"/>
      <c r="Z4252" s="274"/>
      <c r="AA4252" s="274"/>
      <c r="AB4252" s="274"/>
      <c r="AC4252" s="274"/>
      <c r="AD4252" s="274"/>
      <c r="AE4252" s="274"/>
      <c r="AF4252" s="274"/>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74"/>
      <c r="C4377" s="274"/>
      <c r="D4377" s="274"/>
      <c r="E4377" s="274"/>
      <c r="F4377" s="274"/>
      <c r="G4377" s="274"/>
      <c r="H4377" s="274"/>
      <c r="I4377" s="274"/>
      <c r="J4377" s="274"/>
      <c r="K4377" s="274"/>
      <c r="L4377" s="274"/>
      <c r="M4377" s="274"/>
      <c r="N4377" s="274"/>
      <c r="O4377" s="274"/>
      <c r="P4377" s="274"/>
      <c r="Q4377" s="274"/>
      <c r="R4377" s="274"/>
      <c r="S4377" s="274"/>
      <c r="T4377" s="274"/>
      <c r="U4377" s="274"/>
      <c r="V4377" s="274"/>
      <c r="W4377" s="274"/>
      <c r="X4377" s="274"/>
      <c r="Y4377" s="274"/>
      <c r="Z4377" s="274"/>
      <c r="AA4377" s="274"/>
      <c r="AB4377" s="274"/>
      <c r="AC4377" s="274"/>
      <c r="AD4377" s="274"/>
      <c r="AE4377" s="274"/>
      <c r="AF4377" s="274"/>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74"/>
      <c r="C4502" s="274"/>
      <c r="D4502" s="274"/>
      <c r="E4502" s="274"/>
      <c r="F4502" s="274"/>
      <c r="G4502" s="274"/>
      <c r="H4502" s="274"/>
      <c r="I4502" s="274"/>
      <c r="J4502" s="274"/>
      <c r="K4502" s="274"/>
      <c r="L4502" s="274"/>
      <c r="M4502" s="274"/>
      <c r="N4502" s="274"/>
      <c r="O4502" s="274"/>
      <c r="P4502" s="274"/>
      <c r="Q4502" s="274"/>
      <c r="R4502" s="274"/>
      <c r="S4502" s="274"/>
      <c r="T4502" s="274"/>
      <c r="U4502" s="274"/>
      <c r="V4502" s="274"/>
      <c r="W4502" s="274"/>
      <c r="X4502" s="274"/>
      <c r="Y4502" s="274"/>
      <c r="Z4502" s="274"/>
      <c r="AA4502" s="274"/>
      <c r="AB4502" s="274"/>
      <c r="AC4502" s="274"/>
      <c r="AD4502" s="274"/>
      <c r="AE4502" s="274"/>
      <c r="AF4502" s="274"/>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topLeftCell="A68" workbookViewId="0">
      <selection activeCell="A74" sqref="A74:XFD74"/>
    </sheetView>
  </sheetViews>
  <sheetFormatPr defaultRowHeight="15"/>
  <cols>
    <col min="2" max="2" width="48.5703125"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272</v>
      </c>
      <c r="B10" s="45" t="s">
        <v>273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274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275</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764</v>
      </c>
      <c r="B18" s="210" t="s">
        <v>276</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765</v>
      </c>
      <c r="B19" s="210" t="s">
        <v>277</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278</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766</v>
      </c>
      <c r="B23" s="210" t="s">
        <v>279</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767</v>
      </c>
      <c r="B24" s="210" t="s">
        <v>280</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768</v>
      </c>
      <c r="B25" s="210" t="s">
        <v>769</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770</v>
      </c>
      <c r="B26" s="210" t="s">
        <v>771</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772</v>
      </c>
      <c r="B27" s="210" t="s">
        <v>773</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774</v>
      </c>
      <c r="B28" s="210" t="s">
        <v>775</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776</v>
      </c>
      <c r="B29" s="210" t="s">
        <v>777</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778</v>
      </c>
      <c r="B30" s="210" t="s">
        <v>779</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780</v>
      </c>
      <c r="B31" s="210" t="s">
        <v>781</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782</v>
      </c>
      <c r="B32" s="210" t="s">
        <v>282</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783</v>
      </c>
      <c r="B33" s="210" t="s">
        <v>784</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785</v>
      </c>
      <c r="B34" s="210" t="s">
        <v>786</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787</v>
      </c>
      <c r="B35" s="210" t="s">
        <v>788</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789</v>
      </c>
      <c r="B36" s="210" t="s">
        <v>281</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790</v>
      </c>
      <c r="B37" s="210" t="s">
        <v>791</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792</v>
      </c>
      <c r="B38" s="210" t="s">
        <v>793</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794</v>
      </c>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8" customFormat="1">
      <c r="A43" s="243" t="s">
        <v>795</v>
      </c>
      <c r="B43" s="244" t="s">
        <v>284</v>
      </c>
      <c r="C43" s="245">
        <v>710.078979</v>
      </c>
      <c r="D43" s="245">
        <v>745.46997099999999</v>
      </c>
      <c r="E43" s="245">
        <v>746.32006799999999</v>
      </c>
      <c r="F43" s="245">
        <v>755.33380099999999</v>
      </c>
      <c r="G43" s="245">
        <v>772.24121100000002</v>
      </c>
      <c r="H43" s="245">
        <v>788.825378</v>
      </c>
      <c r="I43" s="245">
        <v>803.36663799999997</v>
      </c>
      <c r="J43" s="245">
        <v>815.28930700000001</v>
      </c>
      <c r="K43" s="245">
        <v>824.81445299999996</v>
      </c>
      <c r="L43" s="245">
        <v>834.85772699999995</v>
      </c>
      <c r="M43" s="245">
        <v>848.97833300000002</v>
      </c>
      <c r="N43" s="245">
        <v>865.444885</v>
      </c>
      <c r="O43" s="245">
        <v>881.70617700000003</v>
      </c>
      <c r="P43" s="245">
        <v>898.18823199999997</v>
      </c>
      <c r="Q43" s="245">
        <v>916.51141399999995</v>
      </c>
      <c r="R43" s="245">
        <v>936.63476600000001</v>
      </c>
      <c r="S43" s="245">
        <v>957.63073699999995</v>
      </c>
      <c r="T43" s="245">
        <v>978.95721400000002</v>
      </c>
      <c r="U43" s="245">
        <v>1003.341492</v>
      </c>
      <c r="V43" s="245">
        <v>1027.651611</v>
      </c>
      <c r="W43" s="245">
        <v>1052.540894</v>
      </c>
      <c r="X43" s="245">
        <v>1078.3070070000001</v>
      </c>
      <c r="Y43" s="245">
        <v>1103.5081789999999</v>
      </c>
      <c r="Z43" s="245">
        <v>1128.1469729999999</v>
      </c>
      <c r="AA43" s="245">
        <v>1153.3220209999999</v>
      </c>
      <c r="AB43" s="245">
        <v>1180.4858400000001</v>
      </c>
      <c r="AC43" s="245">
        <v>1208.165649</v>
      </c>
      <c r="AD43" s="245">
        <v>1236.08728</v>
      </c>
      <c r="AE43" s="245">
        <v>1266.459961</v>
      </c>
      <c r="AF43" s="246">
        <v>2.0879000000000002E-2</v>
      </c>
      <c r="AG43" s="247"/>
    </row>
    <row r="44" spans="1:33">
      <c r="A44" s="30" t="s">
        <v>796</v>
      </c>
      <c r="B44" s="210" t="s">
        <v>285</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797</v>
      </c>
      <c r="B45" s="210" t="s">
        <v>798</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799</v>
      </c>
      <c r="B46" s="210" t="s">
        <v>800</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801</v>
      </c>
      <c r="B47" s="210" t="s">
        <v>802</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803</v>
      </c>
      <c r="B48" s="210" t="s">
        <v>804</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805</v>
      </c>
      <c r="B49" s="210" t="s">
        <v>806</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807</v>
      </c>
      <c r="B50" s="210" t="s">
        <v>808</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809</v>
      </c>
      <c r="B51" s="210" t="s">
        <v>810</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811</v>
      </c>
      <c r="B52" s="210" t="s">
        <v>287</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812</v>
      </c>
      <c r="B53" s="210" t="s">
        <v>813</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814</v>
      </c>
      <c r="B54" s="210" t="s">
        <v>815</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816</v>
      </c>
      <c r="B55" s="210" t="s">
        <v>817</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818</v>
      </c>
      <c r="B56" s="210" t="s">
        <v>286</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819</v>
      </c>
      <c r="B57" s="210" t="s">
        <v>820</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821</v>
      </c>
      <c r="B58" s="210" t="s">
        <v>822</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823</v>
      </c>
      <c r="B59" s="210" t="s">
        <v>824</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825</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8" customFormat="1">
      <c r="A61" s="243" t="s">
        <v>826</v>
      </c>
      <c r="B61" s="244" t="s">
        <v>284</v>
      </c>
      <c r="C61" s="245">
        <v>243.14546200000001</v>
      </c>
      <c r="D61" s="245">
        <v>335.79156499999999</v>
      </c>
      <c r="E61" s="245">
        <v>383.935181</v>
      </c>
      <c r="F61" s="245">
        <v>400.52246100000002</v>
      </c>
      <c r="G61" s="245">
        <v>410.78866599999998</v>
      </c>
      <c r="H61" s="245">
        <v>421.01507600000002</v>
      </c>
      <c r="I61" s="245">
        <v>430.45114100000001</v>
      </c>
      <c r="J61" s="245">
        <v>438.83355699999998</v>
      </c>
      <c r="K61" s="245">
        <v>446.244843</v>
      </c>
      <c r="L61" s="245">
        <v>453.952179</v>
      </c>
      <c r="M61" s="245">
        <v>463.53869600000002</v>
      </c>
      <c r="N61" s="245">
        <v>474.25561499999998</v>
      </c>
      <c r="O61" s="245">
        <v>484.97164900000001</v>
      </c>
      <c r="P61" s="245">
        <v>495.876373</v>
      </c>
      <c r="Q61" s="245">
        <v>507.70068400000002</v>
      </c>
      <c r="R61" s="245">
        <v>520.43481399999996</v>
      </c>
      <c r="S61" s="245">
        <v>533.66839600000003</v>
      </c>
      <c r="T61" s="245">
        <v>547.159851</v>
      </c>
      <c r="U61" s="245">
        <v>562.15612799999997</v>
      </c>
      <c r="V61" s="245">
        <v>577.24011199999995</v>
      </c>
      <c r="W61" s="245">
        <v>592.71466099999998</v>
      </c>
      <c r="X61" s="245">
        <v>608.72131300000001</v>
      </c>
      <c r="Y61" s="245">
        <v>624.60186799999997</v>
      </c>
      <c r="Z61" s="245">
        <v>640.35766599999999</v>
      </c>
      <c r="AA61" s="245">
        <v>656.497253</v>
      </c>
      <c r="AB61" s="245">
        <v>673.70098900000005</v>
      </c>
      <c r="AC61" s="245">
        <v>691.29357900000002</v>
      </c>
      <c r="AD61" s="245">
        <v>709.15142800000001</v>
      </c>
      <c r="AE61" s="245">
        <v>728.31231700000001</v>
      </c>
      <c r="AF61" s="246">
        <v>3.9959000000000001E-2</v>
      </c>
      <c r="AG61" s="247"/>
    </row>
    <row r="62" spans="1:33">
      <c r="A62" s="30" t="s">
        <v>827</v>
      </c>
      <c r="B62" s="210" t="s">
        <v>285</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828</v>
      </c>
      <c r="B63" s="210" t="s">
        <v>798</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829</v>
      </c>
      <c r="B64" s="210" t="s">
        <v>800</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830</v>
      </c>
      <c r="B65" s="210" t="s">
        <v>802</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831</v>
      </c>
      <c r="B66" s="210" t="s">
        <v>804</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832</v>
      </c>
      <c r="B67" s="210" t="s">
        <v>806</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833</v>
      </c>
      <c r="B68" s="210" t="s">
        <v>808</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834</v>
      </c>
      <c r="B69" s="210" t="s">
        <v>810</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835</v>
      </c>
      <c r="B70" s="210" t="s">
        <v>287</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836</v>
      </c>
      <c r="B71" s="210" t="s">
        <v>813</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837</v>
      </c>
      <c r="B72" s="210" t="s">
        <v>815</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838</v>
      </c>
      <c r="B73" s="210" t="s">
        <v>817</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839</v>
      </c>
      <c r="B74" s="210" t="s">
        <v>286</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840</v>
      </c>
      <c r="B75" s="210" t="s">
        <v>820</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841</v>
      </c>
      <c r="B76" s="210" t="s">
        <v>822</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842</v>
      </c>
      <c r="B77" s="210" t="s">
        <v>843</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844</v>
      </c>
      <c r="B78" s="210" t="s">
        <v>306</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845</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846</v>
      </c>
      <c r="B81" s="224" t="s">
        <v>279</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847</v>
      </c>
      <c r="B82" s="210" t="s">
        <v>280</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848</v>
      </c>
      <c r="B83" s="210" t="s">
        <v>769</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849</v>
      </c>
      <c r="B84" s="210" t="s">
        <v>771</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850</v>
      </c>
      <c r="B85" s="210" t="s">
        <v>773</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851</v>
      </c>
      <c r="B86" s="210" t="s">
        <v>775</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852</v>
      </c>
      <c r="B87" s="210" t="s">
        <v>777</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853</v>
      </c>
      <c r="B88" s="210" t="s">
        <v>779</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854</v>
      </c>
      <c r="B89" s="210" t="s">
        <v>781</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855</v>
      </c>
      <c r="B90" s="210" t="s">
        <v>282</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856</v>
      </c>
      <c r="B91" s="210" t="s">
        <v>784</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857</v>
      </c>
      <c r="B92" s="210" t="s">
        <v>786</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858</v>
      </c>
      <c r="B93" s="210" t="s">
        <v>788</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859</v>
      </c>
      <c r="B94" s="210" t="s">
        <v>281</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860</v>
      </c>
      <c r="B95" s="210" t="s">
        <v>791</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861</v>
      </c>
      <c r="B96" s="210" t="s">
        <v>793</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862</v>
      </c>
      <c r="B97" s="210" t="s">
        <v>863</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864</v>
      </c>
      <c r="B98" s="210" t="s">
        <v>865</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866</v>
      </c>
      <c r="B99" s="210" t="s">
        <v>306</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867</v>
      </c>
      <c r="B102" s="210" t="s">
        <v>289</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868</v>
      </c>
      <c r="B103" s="210" t="s">
        <v>290</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869</v>
      </c>
      <c r="B104" s="210" t="s">
        <v>291</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870</v>
      </c>
      <c r="B105" s="210" t="s">
        <v>292</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871</v>
      </c>
      <c r="B106" s="210" t="s">
        <v>293</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872</v>
      </c>
      <c r="B107" s="210" t="s">
        <v>290</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873</v>
      </c>
      <c r="B108" s="210" t="s">
        <v>291</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874</v>
      </c>
      <c r="B109" s="210" t="s">
        <v>292</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875</v>
      </c>
      <c r="B110" s="210" t="s">
        <v>876</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877</v>
      </c>
      <c r="B111" s="210" t="s">
        <v>290</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878</v>
      </c>
      <c r="B112" s="210" t="s">
        <v>291</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879</v>
      </c>
      <c r="B113" s="210" t="s">
        <v>292</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880</v>
      </c>
      <c r="B114" s="210" t="s">
        <v>881</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882</v>
      </c>
      <c r="B115" s="210" t="s">
        <v>290</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883</v>
      </c>
      <c r="B116" s="210" t="s">
        <v>291</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884</v>
      </c>
      <c r="B117" s="210" t="s">
        <v>292</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885</v>
      </c>
      <c r="B118" s="210" t="s">
        <v>886</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887</v>
      </c>
      <c r="B119" s="210" t="s">
        <v>290</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888</v>
      </c>
      <c r="B120" s="210" t="s">
        <v>291</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889</v>
      </c>
      <c r="B121" s="210" t="s">
        <v>292</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890</v>
      </c>
      <c r="B122" s="210" t="s">
        <v>891</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892</v>
      </c>
      <c r="B123" s="210" t="s">
        <v>290</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893</v>
      </c>
      <c r="B124" s="210" t="s">
        <v>291</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894</v>
      </c>
      <c r="B125" s="210" t="s">
        <v>292</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895</v>
      </c>
      <c r="B126" s="210" t="s">
        <v>896</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897</v>
      </c>
      <c r="B127" s="210" t="s">
        <v>290</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898</v>
      </c>
      <c r="B128" s="210" t="s">
        <v>291</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899</v>
      </c>
      <c r="B129" s="210" t="s">
        <v>292</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900</v>
      </c>
      <c r="B130" s="210" t="s">
        <v>901</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902</v>
      </c>
      <c r="B131" s="210" t="s">
        <v>290</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903</v>
      </c>
      <c r="B132" s="210" t="s">
        <v>291</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904</v>
      </c>
      <c r="B133" s="210" t="s">
        <v>292</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905</v>
      </c>
      <c r="B134" s="210" t="s">
        <v>906</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907</v>
      </c>
      <c r="B135" s="210" t="s">
        <v>290</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908</v>
      </c>
      <c r="B136" s="210" t="s">
        <v>291</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909</v>
      </c>
      <c r="B137" s="210" t="s">
        <v>292</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910</v>
      </c>
      <c r="B138" s="210" t="s">
        <v>300</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911</v>
      </c>
      <c r="B139" s="210" t="s">
        <v>290</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912</v>
      </c>
      <c r="B140" s="210" t="s">
        <v>291</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913</v>
      </c>
      <c r="B141" s="210" t="s">
        <v>292</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914</v>
      </c>
      <c r="B142" s="210" t="s">
        <v>915</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916</v>
      </c>
      <c r="B143" s="210" t="s">
        <v>290</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917</v>
      </c>
      <c r="B144" s="210" t="s">
        <v>291</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918</v>
      </c>
      <c r="B145" s="210" t="s">
        <v>292</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919</v>
      </c>
      <c r="B146" s="210" t="s">
        <v>920</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921</v>
      </c>
      <c r="B147" s="210" t="s">
        <v>290</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922</v>
      </c>
      <c r="B148" s="210" t="s">
        <v>291</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923</v>
      </c>
      <c r="B149" s="210" t="s">
        <v>292</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924</v>
      </c>
      <c r="B150" s="210" t="s">
        <v>925</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926</v>
      </c>
      <c r="B151" s="210" t="s">
        <v>290</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927</v>
      </c>
      <c r="B152" s="210" t="s">
        <v>291</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928</v>
      </c>
      <c r="B153" s="210" t="s">
        <v>292</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929</v>
      </c>
      <c r="B154" s="210" t="s">
        <v>297</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930</v>
      </c>
      <c r="B155" s="210" t="s">
        <v>290</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931</v>
      </c>
      <c r="B156" s="210" t="s">
        <v>291</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932</v>
      </c>
      <c r="B157" s="210" t="s">
        <v>292</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933</v>
      </c>
      <c r="B158" s="210" t="s">
        <v>934</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935</v>
      </c>
      <c r="B159" s="210" t="s">
        <v>290</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936</v>
      </c>
      <c r="B160" s="210" t="s">
        <v>291</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937</v>
      </c>
      <c r="B161" s="210" t="s">
        <v>292</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938</v>
      </c>
      <c r="B162" s="210" t="s">
        <v>939</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940</v>
      </c>
      <c r="B163" s="210" t="s">
        <v>290</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941</v>
      </c>
      <c r="B164" s="210" t="s">
        <v>291</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942</v>
      </c>
      <c r="B165" s="210" t="s">
        <v>292</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943</v>
      </c>
      <c r="B166" s="210" t="s">
        <v>944</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945</v>
      </c>
      <c r="B167" s="210" t="s">
        <v>946</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947</v>
      </c>
      <c r="B168" s="210" t="s">
        <v>948</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305</v>
      </c>
      <c r="B169" s="210" t="s">
        <v>949</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950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951</v>
      </c>
      <c r="B172" s="210" t="s">
        <v>289</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952</v>
      </c>
      <c r="B173" s="210" t="s">
        <v>290</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953</v>
      </c>
      <c r="B174" s="210" t="s">
        <v>291</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343</v>
      </c>
      <c r="AG174" s="31"/>
    </row>
    <row r="175" spans="1:33">
      <c r="A175" s="30" t="s">
        <v>954</v>
      </c>
      <c r="B175" s="210" t="s">
        <v>292</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955</v>
      </c>
      <c r="B176" s="210" t="s">
        <v>293</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343</v>
      </c>
      <c r="AG176" s="31"/>
    </row>
    <row r="177" spans="1:33">
      <c r="A177" s="30" t="s">
        <v>956</v>
      </c>
      <c r="B177" s="210" t="s">
        <v>290</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343</v>
      </c>
      <c r="AG177" s="31"/>
    </row>
    <row r="178" spans="1:33">
      <c r="A178" s="30" t="s">
        <v>957</v>
      </c>
      <c r="B178" s="210" t="s">
        <v>291</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343</v>
      </c>
      <c r="AG178" s="31"/>
    </row>
    <row r="179" spans="1:33">
      <c r="A179" s="30" t="s">
        <v>958</v>
      </c>
      <c r="B179" s="210" t="s">
        <v>292</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343</v>
      </c>
      <c r="AG179" s="31"/>
    </row>
    <row r="180" spans="1:33">
      <c r="A180" s="30" t="s">
        <v>959</v>
      </c>
      <c r="B180" s="210" t="s">
        <v>876</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343</v>
      </c>
      <c r="AG180" s="31"/>
    </row>
    <row r="181" spans="1:33">
      <c r="A181" s="30" t="s">
        <v>960</v>
      </c>
      <c r="B181" s="210" t="s">
        <v>290</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343</v>
      </c>
      <c r="AG181" s="31"/>
    </row>
    <row r="182" spans="1:33">
      <c r="A182" s="30" t="s">
        <v>961</v>
      </c>
      <c r="B182" s="210" t="s">
        <v>291</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343</v>
      </c>
      <c r="AG182" s="31"/>
    </row>
    <row r="183" spans="1:33">
      <c r="A183" s="30" t="s">
        <v>962</v>
      </c>
      <c r="B183" s="210" t="s">
        <v>292</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343</v>
      </c>
      <c r="AG183" s="31"/>
    </row>
    <row r="184" spans="1:33">
      <c r="A184" s="30" t="s">
        <v>963</v>
      </c>
      <c r="B184" s="210" t="s">
        <v>881</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343</v>
      </c>
      <c r="AG184" s="31"/>
    </row>
    <row r="185" spans="1:33">
      <c r="A185" s="30" t="s">
        <v>964</v>
      </c>
      <c r="B185" s="210" t="s">
        <v>290</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343</v>
      </c>
      <c r="AG185" s="31"/>
    </row>
    <row r="186" spans="1:33">
      <c r="A186" s="30" t="s">
        <v>965</v>
      </c>
      <c r="B186" s="210" t="s">
        <v>291</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343</v>
      </c>
      <c r="AG186" s="31"/>
    </row>
    <row r="187" spans="1:33">
      <c r="A187" s="30" t="s">
        <v>966</v>
      </c>
      <c r="B187" s="210" t="s">
        <v>292</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343</v>
      </c>
      <c r="AG187" s="31"/>
    </row>
    <row r="188" spans="1:33">
      <c r="A188" s="30" t="s">
        <v>967</v>
      </c>
      <c r="B188" s="210" t="s">
        <v>886</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968</v>
      </c>
      <c r="B189" s="210" t="s">
        <v>290</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969</v>
      </c>
      <c r="B190" s="210" t="s">
        <v>291</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343</v>
      </c>
      <c r="AG190" s="31"/>
    </row>
    <row r="191" spans="1:33">
      <c r="A191" s="30" t="s">
        <v>970</v>
      </c>
      <c r="B191" s="210" t="s">
        <v>292</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343</v>
      </c>
      <c r="AG191" s="31"/>
    </row>
    <row r="192" spans="1:33">
      <c r="A192" s="30" t="s">
        <v>971</v>
      </c>
      <c r="B192" s="210" t="s">
        <v>891</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343</v>
      </c>
      <c r="AG192" s="31"/>
    </row>
    <row r="193" spans="1:33">
      <c r="A193" s="30" t="s">
        <v>972</v>
      </c>
      <c r="B193" s="210" t="s">
        <v>290</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343</v>
      </c>
      <c r="AG193" s="31"/>
    </row>
    <row r="194" spans="1:33">
      <c r="A194" s="30" t="s">
        <v>973</v>
      </c>
      <c r="B194" s="210" t="s">
        <v>291</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343</v>
      </c>
      <c r="AG194" s="31"/>
    </row>
    <row r="195" spans="1:33">
      <c r="A195" s="30" t="s">
        <v>974</v>
      </c>
      <c r="B195" s="210" t="s">
        <v>292</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343</v>
      </c>
      <c r="AG195" s="31"/>
    </row>
    <row r="196" spans="1:33">
      <c r="A196" s="30" t="s">
        <v>975</v>
      </c>
      <c r="B196" s="210" t="s">
        <v>896</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976</v>
      </c>
      <c r="B197" s="210" t="s">
        <v>290</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343</v>
      </c>
      <c r="AG197" s="31"/>
    </row>
    <row r="198" spans="1:33">
      <c r="A198" s="30" t="s">
        <v>977</v>
      </c>
      <c r="B198" s="210" t="s">
        <v>291</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343</v>
      </c>
      <c r="AG198" s="31"/>
    </row>
    <row r="199" spans="1:33">
      <c r="A199" s="30" t="s">
        <v>978</v>
      </c>
      <c r="B199" s="210" t="s">
        <v>292</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979</v>
      </c>
      <c r="B200" s="210" t="s">
        <v>901</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980</v>
      </c>
      <c r="B201" s="210" t="s">
        <v>290</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981</v>
      </c>
      <c r="B202" s="210" t="s">
        <v>291</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343</v>
      </c>
      <c r="AG202" s="31"/>
    </row>
    <row r="203" spans="1:33">
      <c r="A203" s="30" t="s">
        <v>982</v>
      </c>
      <c r="B203" s="210" t="s">
        <v>292</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983</v>
      </c>
      <c r="B204" s="210" t="s">
        <v>906</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343</v>
      </c>
      <c r="AG204" s="31"/>
    </row>
    <row r="205" spans="1:33">
      <c r="A205" s="30" t="s">
        <v>984</v>
      </c>
      <c r="B205" s="210" t="s">
        <v>290</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343</v>
      </c>
      <c r="AG205" s="31"/>
    </row>
    <row r="206" spans="1:33">
      <c r="A206" s="30" t="s">
        <v>985</v>
      </c>
      <c r="B206" s="210" t="s">
        <v>291</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343</v>
      </c>
      <c r="AG206" s="31"/>
    </row>
    <row r="207" spans="1:33">
      <c r="A207" s="30" t="s">
        <v>986</v>
      </c>
      <c r="B207" s="210" t="s">
        <v>292</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343</v>
      </c>
      <c r="AG207" s="31"/>
    </row>
    <row r="208" spans="1:33">
      <c r="A208" s="30" t="s">
        <v>987</v>
      </c>
      <c r="B208" s="210" t="s">
        <v>300</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988</v>
      </c>
      <c r="B209" s="210" t="s">
        <v>290</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989</v>
      </c>
      <c r="B210" s="210" t="s">
        <v>291</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343</v>
      </c>
      <c r="AG210" s="31"/>
    </row>
    <row r="211" spans="1:33">
      <c r="A211" s="30" t="s">
        <v>990</v>
      </c>
      <c r="B211" s="210" t="s">
        <v>292</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991</v>
      </c>
      <c r="B212" s="210" t="s">
        <v>915</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343</v>
      </c>
      <c r="AG212" s="31"/>
    </row>
    <row r="213" spans="1:33">
      <c r="A213" s="30" t="s">
        <v>992</v>
      </c>
      <c r="B213" s="210" t="s">
        <v>290</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343</v>
      </c>
      <c r="AG213" s="31"/>
    </row>
    <row r="214" spans="1:33">
      <c r="A214" s="30" t="s">
        <v>993</v>
      </c>
      <c r="B214" s="210" t="s">
        <v>291</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343</v>
      </c>
      <c r="AG214" s="31"/>
    </row>
    <row r="215" spans="1:33">
      <c r="A215" s="30" t="s">
        <v>994</v>
      </c>
      <c r="B215" s="210" t="s">
        <v>292</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343</v>
      </c>
      <c r="AG215" s="31"/>
    </row>
    <row r="216" spans="1:33">
      <c r="A216" s="30" t="s">
        <v>995</v>
      </c>
      <c r="B216" s="210" t="s">
        <v>920</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343</v>
      </c>
      <c r="AG216" s="31"/>
    </row>
    <row r="217" spans="1:33">
      <c r="A217" s="30" t="s">
        <v>996</v>
      </c>
      <c r="B217" s="210" t="s">
        <v>290</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343</v>
      </c>
      <c r="AG217" s="31"/>
    </row>
    <row r="218" spans="1:33">
      <c r="A218" s="30" t="s">
        <v>997</v>
      </c>
      <c r="B218" s="210" t="s">
        <v>291</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343</v>
      </c>
      <c r="AG218" s="31"/>
    </row>
    <row r="219" spans="1:33">
      <c r="A219" s="30" t="s">
        <v>998</v>
      </c>
      <c r="B219" s="210" t="s">
        <v>292</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343</v>
      </c>
      <c r="AG219" s="31"/>
    </row>
    <row r="220" spans="1:33">
      <c r="A220" s="30" t="s">
        <v>999</v>
      </c>
      <c r="B220" s="210" t="s">
        <v>925</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343</v>
      </c>
      <c r="AG220" s="31"/>
    </row>
    <row r="221" spans="1:33">
      <c r="A221" s="30" t="s">
        <v>1000</v>
      </c>
      <c r="B221" s="210" t="s">
        <v>290</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343</v>
      </c>
      <c r="AG221" s="31"/>
    </row>
    <row r="222" spans="1:33">
      <c r="A222" s="30" t="s">
        <v>1001</v>
      </c>
      <c r="B222" s="210" t="s">
        <v>291</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343</v>
      </c>
      <c r="AG222" s="31"/>
    </row>
    <row r="223" spans="1:33">
      <c r="A223" s="30" t="s">
        <v>1002</v>
      </c>
      <c r="B223" s="210" t="s">
        <v>292</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343</v>
      </c>
      <c r="AG223" s="31"/>
    </row>
    <row r="224" spans="1:33">
      <c r="A224" s="30" t="s">
        <v>1003</v>
      </c>
      <c r="B224" s="210" t="s">
        <v>297</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343</v>
      </c>
      <c r="AG224" s="31"/>
    </row>
    <row r="225" spans="1:33">
      <c r="A225" s="30" t="s">
        <v>1004</v>
      </c>
      <c r="B225" s="210" t="s">
        <v>290</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343</v>
      </c>
      <c r="AG225" s="31"/>
    </row>
    <row r="226" spans="1:33">
      <c r="A226" s="30" t="s">
        <v>1005</v>
      </c>
      <c r="B226" s="210" t="s">
        <v>291</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343</v>
      </c>
      <c r="AG226" s="31"/>
    </row>
    <row r="227" spans="1:33">
      <c r="A227" s="30" t="s">
        <v>1006</v>
      </c>
      <c r="B227" s="210" t="s">
        <v>292</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343</v>
      </c>
      <c r="AG227" s="31"/>
    </row>
    <row r="228" spans="1:33">
      <c r="A228" s="30" t="s">
        <v>1007</v>
      </c>
      <c r="B228" s="210" t="s">
        <v>934</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1008</v>
      </c>
      <c r="B229" s="210" t="s">
        <v>290</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1009</v>
      </c>
      <c r="B230" s="210" t="s">
        <v>291</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343</v>
      </c>
      <c r="AG230" s="31"/>
    </row>
    <row r="231" spans="1:33">
      <c r="A231" s="30" t="s">
        <v>1010</v>
      </c>
      <c r="B231" s="210" t="s">
        <v>292</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343</v>
      </c>
      <c r="AG231" s="31"/>
    </row>
    <row r="232" spans="1:33">
      <c r="A232" s="30" t="s">
        <v>1011</v>
      </c>
      <c r="B232" s="210" t="s">
        <v>939</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343</v>
      </c>
      <c r="AG232" s="31"/>
    </row>
    <row r="233" spans="1:33">
      <c r="A233" s="30" t="s">
        <v>1012</v>
      </c>
      <c r="B233" s="210" t="s">
        <v>290</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343</v>
      </c>
      <c r="AG233" s="31"/>
    </row>
    <row r="234" spans="1:33">
      <c r="A234" s="30" t="s">
        <v>1013</v>
      </c>
      <c r="B234" s="210" t="s">
        <v>291</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343</v>
      </c>
      <c r="AG234" s="31"/>
    </row>
    <row r="235" spans="1:33">
      <c r="A235" s="30" t="s">
        <v>1014</v>
      </c>
      <c r="B235" s="210" t="s">
        <v>292</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343</v>
      </c>
      <c r="AG235" s="31"/>
    </row>
    <row r="236" spans="1:33">
      <c r="A236" s="30" t="s">
        <v>1015</v>
      </c>
      <c r="B236" s="210" t="s">
        <v>944</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1016</v>
      </c>
      <c r="B237" s="210" t="s">
        <v>946</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1017</v>
      </c>
      <c r="B238" s="210" t="s">
        <v>948</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343</v>
      </c>
      <c r="AG238" s="31"/>
    </row>
    <row r="239" spans="1:33">
      <c r="A239" s="30" t="s">
        <v>307</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1018</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308</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309</v>
      </c>
      <c r="B243" s="210" t="s">
        <v>290</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310</v>
      </c>
      <c r="B244" s="210" t="s">
        <v>291</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311</v>
      </c>
      <c r="B245" s="210" t="s">
        <v>292</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312</v>
      </c>
      <c r="B246" s="210" t="s">
        <v>313</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314</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315</v>
      </c>
      <c r="B248" s="210" t="s">
        <v>290</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316</v>
      </c>
      <c r="B249" s="210" t="s">
        <v>291</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317</v>
      </c>
      <c r="B250" s="210" t="s">
        <v>292</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318</v>
      </c>
      <c r="B251" s="210" t="s">
        <v>313</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319</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1019</v>
      </c>
      <c r="B255" s="210" t="s">
        <v>279</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1020</v>
      </c>
      <c r="B256" s="210" t="s">
        <v>280</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1021</v>
      </c>
      <c r="B257" s="210" t="s">
        <v>769</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1022</v>
      </c>
      <c r="B258" s="210" t="s">
        <v>771</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1023</v>
      </c>
      <c r="B259" s="210" t="s">
        <v>773</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1024</v>
      </c>
      <c r="B260" s="210" t="s">
        <v>775</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1025</v>
      </c>
      <c r="B261" s="210" t="s">
        <v>777</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1026</v>
      </c>
      <c r="B262" s="210" t="s">
        <v>779</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1027</v>
      </c>
      <c r="B263" s="210" t="s">
        <v>781</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1028</v>
      </c>
      <c r="B264" s="210" t="s">
        <v>282</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1029</v>
      </c>
      <c r="B265" s="210" t="s">
        <v>784</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1030</v>
      </c>
      <c r="B266" s="210" t="s">
        <v>786</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1031</v>
      </c>
      <c r="B267" s="210" t="s">
        <v>788</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1032</v>
      </c>
      <c r="B268" s="210" t="s">
        <v>281</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1033</v>
      </c>
      <c r="B269" s="210" t="s">
        <v>791</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1034</v>
      </c>
      <c r="B270" s="210" t="s">
        <v>793</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320</v>
      </c>
      <c r="B271" s="210" t="s">
        <v>288</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321</v>
      </c>
      <c r="B272" s="210" t="s">
        <v>322</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323</v>
      </c>
      <c r="B273" s="210" t="s">
        <v>324</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1035</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1036</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1037</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414</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331</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412</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332</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668</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1038</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658</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topLeftCell="A164" workbookViewId="0">
      <selection activeCell="C184" sqref="C184"/>
    </sheetView>
  </sheetViews>
  <sheetFormatPr defaultRowHeight="15"/>
  <cols>
    <col min="2" max="2" width="41"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1142</v>
      </c>
      <c r="B10" s="45" t="s">
        <v>1143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1144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8" customFormat="1">
      <c r="A16" s="243" t="s">
        <v>1145</v>
      </c>
      <c r="B16" s="244" t="s">
        <v>289</v>
      </c>
      <c r="C16" s="245">
        <v>8417.4228519999997</v>
      </c>
      <c r="D16" s="245">
        <v>8744.3818360000005</v>
      </c>
      <c r="E16" s="245">
        <v>8724.5507809999999</v>
      </c>
      <c r="F16" s="245">
        <v>8650.2841800000006</v>
      </c>
      <c r="G16" s="245">
        <v>8751.3476559999999</v>
      </c>
      <c r="H16" s="245">
        <v>8859.109375</v>
      </c>
      <c r="I16" s="245">
        <v>8953.6679690000001</v>
      </c>
      <c r="J16" s="245">
        <v>9029.546875</v>
      </c>
      <c r="K16" s="245">
        <v>9088.5722659999992</v>
      </c>
      <c r="L16" s="245">
        <v>9156.734375</v>
      </c>
      <c r="M16" s="245">
        <v>9265.4619139999995</v>
      </c>
      <c r="N16" s="245">
        <v>9398.5556639999995</v>
      </c>
      <c r="O16" s="245">
        <v>9532.7480469999991</v>
      </c>
      <c r="P16" s="245">
        <v>9671.5986329999996</v>
      </c>
      <c r="Q16" s="245">
        <v>9829.265625</v>
      </c>
      <c r="R16" s="245">
        <v>10005.096680000001</v>
      </c>
      <c r="S16" s="245">
        <v>10190.660156</v>
      </c>
      <c r="T16" s="245">
        <v>10381.003906</v>
      </c>
      <c r="U16" s="245">
        <v>10599.732421999999</v>
      </c>
      <c r="V16" s="245">
        <v>10819.25</v>
      </c>
      <c r="W16" s="245">
        <v>11045.252930000001</v>
      </c>
      <c r="X16" s="245">
        <v>11280.291992</v>
      </c>
      <c r="Y16" s="245">
        <v>11511.640625</v>
      </c>
      <c r="Z16" s="245">
        <v>11739.291015999999</v>
      </c>
      <c r="AA16" s="245">
        <v>11972.834961</v>
      </c>
      <c r="AB16" s="245">
        <v>12224.970703000001</v>
      </c>
      <c r="AC16" s="245">
        <v>12482.743164</v>
      </c>
      <c r="AD16" s="245">
        <v>12743.724609000001</v>
      </c>
      <c r="AE16" s="245">
        <v>13027.213867</v>
      </c>
      <c r="AF16" s="246">
        <v>1.5720000000000001E-2</v>
      </c>
      <c r="AG16" s="247"/>
    </row>
    <row r="17" spans="1:33">
      <c r="A17" s="30" t="s">
        <v>1146</v>
      </c>
      <c r="B17" s="210" t="s">
        <v>290</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1147</v>
      </c>
      <c r="B18" s="210" t="s">
        <v>291</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1148</v>
      </c>
      <c r="B19" s="210" t="s">
        <v>292</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1149</v>
      </c>
      <c r="B20" s="210" t="s">
        <v>293</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1150</v>
      </c>
      <c r="B21" s="210" t="s">
        <v>290</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1151</v>
      </c>
      <c r="B22" s="210" t="s">
        <v>291</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1152</v>
      </c>
      <c r="B23" s="210" t="s">
        <v>292</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1153</v>
      </c>
      <c r="B24" s="210" t="s">
        <v>294</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1154</v>
      </c>
      <c r="B25" s="210" t="s">
        <v>290</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1155</v>
      </c>
      <c r="B26" s="210" t="s">
        <v>291</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1156</v>
      </c>
      <c r="B27" s="210" t="s">
        <v>292</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1157</v>
      </c>
      <c r="B28" s="210" t="s">
        <v>295</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1158</v>
      </c>
      <c r="B29" s="210" t="s">
        <v>290</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1159</v>
      </c>
      <c r="B30" s="210" t="s">
        <v>291</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1160</v>
      </c>
      <c r="B31" s="210" t="s">
        <v>292</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1161</v>
      </c>
      <c r="B32" s="210" t="s">
        <v>296</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1162</v>
      </c>
      <c r="B33" s="210" t="s">
        <v>290</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1163</v>
      </c>
      <c r="B34" s="210" t="s">
        <v>291</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1164</v>
      </c>
      <c r="B35" s="210" t="s">
        <v>292</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1165</v>
      </c>
      <c r="B36" s="210" t="s">
        <v>297</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1166</v>
      </c>
      <c r="B37" s="210" t="s">
        <v>290</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1167</v>
      </c>
      <c r="B38" s="210" t="s">
        <v>291</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1168</v>
      </c>
      <c r="B39" s="210" t="s">
        <v>292</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1169</v>
      </c>
      <c r="B40" s="210" t="s">
        <v>298</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1170</v>
      </c>
      <c r="B41" s="210" t="s">
        <v>290</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1171</v>
      </c>
      <c r="B42" s="210" t="s">
        <v>291</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1172</v>
      </c>
      <c r="B43" s="210" t="s">
        <v>292</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1173</v>
      </c>
      <c r="B44" s="210" t="s">
        <v>299</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1174</v>
      </c>
      <c r="B45" s="210" t="s">
        <v>290</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1175</v>
      </c>
      <c r="B46" s="210" t="s">
        <v>291</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1176</v>
      </c>
      <c r="B47" s="210" t="s">
        <v>292</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1177</v>
      </c>
      <c r="B48" s="210" t="s">
        <v>300</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1178</v>
      </c>
      <c r="B49" s="210" t="s">
        <v>290</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1179</v>
      </c>
      <c r="B50" s="210" t="s">
        <v>291</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1180</v>
      </c>
      <c r="B51" s="210" t="s">
        <v>292</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1181</v>
      </c>
      <c r="B52" s="210" t="s">
        <v>301</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1182</v>
      </c>
      <c r="B53" s="210" t="s">
        <v>290</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1183</v>
      </c>
      <c r="B54" s="210" t="s">
        <v>291</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1184</v>
      </c>
      <c r="B55" s="210" t="s">
        <v>292</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1185</v>
      </c>
      <c r="B56" s="210" t="s">
        <v>302</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1186</v>
      </c>
      <c r="B57" s="210" t="s">
        <v>290</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1187</v>
      </c>
      <c r="B58" s="210" t="s">
        <v>291</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1188</v>
      </c>
      <c r="B59" s="210" t="s">
        <v>292</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1189</v>
      </c>
      <c r="B60" s="210" t="s">
        <v>303</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1190</v>
      </c>
      <c r="B61" s="210" t="s">
        <v>290</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1191</v>
      </c>
      <c r="B62" s="210" t="s">
        <v>291</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1192</v>
      </c>
      <c r="B63" s="210" t="s">
        <v>292</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1193</v>
      </c>
      <c r="B64" s="210" t="s">
        <v>304</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1194</v>
      </c>
      <c r="B65" s="210" t="s">
        <v>290</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1195</v>
      </c>
      <c r="B66" s="210" t="s">
        <v>291</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1196</v>
      </c>
      <c r="B67" s="210" t="s">
        <v>292</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1197</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1198</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30" t="s">
        <v>1199</v>
      </c>
      <c r="B72" s="210" t="s">
        <v>289</v>
      </c>
      <c r="C72" s="219">
        <v>554.21826199999998</v>
      </c>
      <c r="D72" s="219">
        <v>558.18225099999995</v>
      </c>
      <c r="E72" s="219">
        <v>616.61242700000003</v>
      </c>
      <c r="F72" s="219">
        <v>642.00720200000001</v>
      </c>
      <c r="G72" s="219">
        <v>677.56213400000001</v>
      </c>
      <c r="H72" s="219">
        <v>703.04217500000004</v>
      </c>
      <c r="I72" s="219">
        <v>726.45831299999998</v>
      </c>
      <c r="J72" s="219">
        <v>751.31414800000005</v>
      </c>
      <c r="K72" s="219">
        <v>777.54492200000004</v>
      </c>
      <c r="L72" s="219">
        <v>805.10766599999999</v>
      </c>
      <c r="M72" s="219">
        <v>833.80895999999996</v>
      </c>
      <c r="N72" s="219">
        <v>863.57214399999998</v>
      </c>
      <c r="O72" s="219">
        <v>894.38806199999999</v>
      </c>
      <c r="P72" s="219">
        <v>926.25329599999998</v>
      </c>
      <c r="Q72" s="219">
        <v>959.52636700000005</v>
      </c>
      <c r="R72" s="219">
        <v>993.94397000000004</v>
      </c>
      <c r="S72" s="219">
        <v>1029.4589840000001</v>
      </c>
      <c r="T72" s="219">
        <v>1066.0639650000001</v>
      </c>
      <c r="U72" s="219">
        <v>1103.774658</v>
      </c>
      <c r="V72" s="219">
        <v>1142.943237</v>
      </c>
      <c r="W72" s="219">
        <v>1183.2827150000001</v>
      </c>
      <c r="X72" s="219">
        <v>1224.766357</v>
      </c>
      <c r="Y72" s="219">
        <v>1267.4079589999999</v>
      </c>
      <c r="Z72" s="219">
        <v>1311.251831</v>
      </c>
      <c r="AA72" s="219">
        <v>1356.5870359999999</v>
      </c>
      <c r="AB72" s="219">
        <v>1403.1583250000001</v>
      </c>
      <c r="AC72" s="219">
        <v>1450.9521480000001</v>
      </c>
      <c r="AD72" s="219">
        <v>1499.9804690000001</v>
      </c>
      <c r="AE72" s="219">
        <v>1550.2852780000001</v>
      </c>
      <c r="AF72" s="212">
        <v>3.7420000000000002E-2</v>
      </c>
      <c r="AG72" s="31"/>
    </row>
    <row r="73" spans="1:33">
      <c r="A73" s="30" t="s">
        <v>1200</v>
      </c>
      <c r="B73" s="210" t="s">
        <v>290</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1201</v>
      </c>
      <c r="B74" s="210" t="s">
        <v>291</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1202</v>
      </c>
      <c r="B75" s="210" t="s">
        <v>292</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1203</v>
      </c>
      <c r="B76" s="210" t="s">
        <v>293</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1204</v>
      </c>
      <c r="B77" s="210" t="s">
        <v>290</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1205</v>
      </c>
      <c r="B78" s="210" t="s">
        <v>291</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1206</v>
      </c>
      <c r="B79" s="210" t="s">
        <v>292</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1207</v>
      </c>
      <c r="B80" s="210" t="s">
        <v>294</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1208</v>
      </c>
      <c r="B81" s="210" t="s">
        <v>290</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1209</v>
      </c>
      <c r="B82" s="210" t="s">
        <v>291</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1210</v>
      </c>
      <c r="B83" s="210" t="s">
        <v>292</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1211</v>
      </c>
      <c r="B84" s="210" t="s">
        <v>295</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1212</v>
      </c>
      <c r="B85" s="210" t="s">
        <v>290</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1213</v>
      </c>
      <c r="B86" s="210" t="s">
        <v>291</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1214</v>
      </c>
      <c r="B87" s="210" t="s">
        <v>292</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1215</v>
      </c>
      <c r="B88" s="210" t="s">
        <v>296</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1216</v>
      </c>
      <c r="B89" s="210" t="s">
        <v>290</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1217</v>
      </c>
      <c r="B90" s="210" t="s">
        <v>291</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1218</v>
      </c>
      <c r="B91" s="210" t="s">
        <v>292</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1219</v>
      </c>
      <c r="B92" s="210" t="s">
        <v>297</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1220</v>
      </c>
      <c r="B93" s="210" t="s">
        <v>290</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1221</v>
      </c>
      <c r="B94" s="210" t="s">
        <v>291</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1222</v>
      </c>
      <c r="B95" s="210" t="s">
        <v>292</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1223</v>
      </c>
      <c r="B96" s="210" t="s">
        <v>298</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1224</v>
      </c>
      <c r="B97" s="210" t="s">
        <v>290</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1225</v>
      </c>
      <c r="B98" s="210" t="s">
        <v>291</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1226</v>
      </c>
      <c r="B99" s="210" t="s">
        <v>292</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1227</v>
      </c>
      <c r="B100" s="210" t="s">
        <v>299</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1228</v>
      </c>
      <c r="B101" s="210" t="s">
        <v>290</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1229</v>
      </c>
      <c r="B102" s="210" t="s">
        <v>291</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1230</v>
      </c>
      <c r="B103" s="210" t="s">
        <v>292</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1231</v>
      </c>
      <c r="B104" s="210" t="s">
        <v>300</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1232</v>
      </c>
      <c r="B105" s="210" t="s">
        <v>290</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1233</v>
      </c>
      <c r="B106" s="210" t="s">
        <v>291</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1234</v>
      </c>
      <c r="B107" s="210" t="s">
        <v>292</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1235</v>
      </c>
      <c r="B108" s="210" t="s">
        <v>301</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1236</v>
      </c>
      <c r="B109" s="210" t="s">
        <v>290</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1237</v>
      </c>
      <c r="B110" s="210" t="s">
        <v>291</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1238</v>
      </c>
      <c r="B111" s="210" t="s">
        <v>292</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1239</v>
      </c>
      <c r="B112" s="210" t="s">
        <v>302</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1240</v>
      </c>
      <c r="B113" s="210" t="s">
        <v>290</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1241</v>
      </c>
      <c r="B114" s="210" t="s">
        <v>291</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1242</v>
      </c>
      <c r="B115" s="210" t="s">
        <v>292</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1243</v>
      </c>
      <c r="B116" s="210" t="s">
        <v>303</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1244</v>
      </c>
      <c r="B117" s="210" t="s">
        <v>290</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1245</v>
      </c>
      <c r="B118" s="210" t="s">
        <v>291</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1246</v>
      </c>
      <c r="B119" s="210" t="s">
        <v>292</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1247</v>
      </c>
      <c r="B120" s="210" t="s">
        <v>304</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1248</v>
      </c>
      <c r="B121" s="210" t="s">
        <v>290</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1249</v>
      </c>
      <c r="B122" s="210" t="s">
        <v>291</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1250</v>
      </c>
      <c r="B123" s="210" t="s">
        <v>292</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1251</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1252</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1253</v>
      </c>
      <c r="B128" s="210" t="s">
        <v>289</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1254</v>
      </c>
      <c r="B129" s="210" t="s">
        <v>290</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1255</v>
      </c>
      <c r="B130" s="210" t="s">
        <v>291</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1256</v>
      </c>
      <c r="B131" s="210" t="s">
        <v>292</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1257</v>
      </c>
      <c r="B132" s="210" t="s">
        <v>293</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1258</v>
      </c>
      <c r="B133" s="210" t="s">
        <v>290</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1259</v>
      </c>
      <c r="B134" s="210" t="s">
        <v>291</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1260</v>
      </c>
      <c r="B135" s="210" t="s">
        <v>292</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1261</v>
      </c>
      <c r="B136" s="210" t="s">
        <v>294</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1262</v>
      </c>
      <c r="B137" s="210" t="s">
        <v>290</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1263</v>
      </c>
      <c r="B138" s="210" t="s">
        <v>291</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1264</v>
      </c>
      <c r="B139" s="210" t="s">
        <v>292</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1265</v>
      </c>
      <c r="B140" s="210" t="s">
        <v>295</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1266</v>
      </c>
      <c r="B141" s="210" t="s">
        <v>290</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1267</v>
      </c>
      <c r="B142" s="210" t="s">
        <v>291</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1268</v>
      </c>
      <c r="B143" s="210" t="s">
        <v>292</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1269</v>
      </c>
      <c r="B144" s="210" t="s">
        <v>296</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1270</v>
      </c>
      <c r="B145" s="210" t="s">
        <v>290</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1271</v>
      </c>
      <c r="B146" s="210" t="s">
        <v>291</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1272</v>
      </c>
      <c r="B147" s="210" t="s">
        <v>292</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1273</v>
      </c>
      <c r="B148" s="210" t="s">
        <v>297</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1274</v>
      </c>
      <c r="B149" s="210" t="s">
        <v>290</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1275</v>
      </c>
      <c r="B150" s="210" t="s">
        <v>291</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1276</v>
      </c>
      <c r="B151" s="210" t="s">
        <v>292</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1277</v>
      </c>
      <c r="B152" s="210" t="s">
        <v>298</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1278</v>
      </c>
      <c r="B153" s="210" t="s">
        <v>290</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1279</v>
      </c>
      <c r="B154" s="210" t="s">
        <v>291</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1280</v>
      </c>
      <c r="B155" s="210" t="s">
        <v>292</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1281</v>
      </c>
      <c r="B156" s="210" t="s">
        <v>299</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1282</v>
      </c>
      <c r="B157" s="210" t="s">
        <v>290</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1283</v>
      </c>
      <c r="B158" s="210" t="s">
        <v>291</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1284</v>
      </c>
      <c r="B159" s="210" t="s">
        <v>292</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1285</v>
      </c>
      <c r="B160" s="210" t="s">
        <v>300</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1286</v>
      </c>
      <c r="B161" s="210" t="s">
        <v>290</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1287</v>
      </c>
      <c r="B162" s="210" t="s">
        <v>291</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1288</v>
      </c>
      <c r="B163" s="210" t="s">
        <v>292</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1289</v>
      </c>
      <c r="B164" s="210" t="s">
        <v>301</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1290</v>
      </c>
      <c r="B165" s="210" t="s">
        <v>290</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1291</v>
      </c>
      <c r="B166" s="210" t="s">
        <v>291</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1292</v>
      </c>
      <c r="B167" s="210" t="s">
        <v>292</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1293</v>
      </c>
      <c r="B168" s="210" t="s">
        <v>302</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1294</v>
      </c>
      <c r="B169" s="210" t="s">
        <v>290</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1295</v>
      </c>
      <c r="B170" s="210" t="s">
        <v>291</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1296</v>
      </c>
      <c r="B171" s="210" t="s">
        <v>292</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1297</v>
      </c>
      <c r="B172" s="210" t="s">
        <v>303</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1298</v>
      </c>
      <c r="B173" s="210" t="s">
        <v>290</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1299</v>
      </c>
      <c r="B174" s="210" t="s">
        <v>291</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1300</v>
      </c>
      <c r="B175" s="210" t="s">
        <v>292</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1301</v>
      </c>
      <c r="B176" s="210" t="s">
        <v>304</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1302</v>
      </c>
      <c r="B177" s="210" t="s">
        <v>290</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1303</v>
      </c>
      <c r="B178" s="210" t="s">
        <v>291</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1304</v>
      </c>
      <c r="B179" s="210" t="s">
        <v>292</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1305</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1306</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1307</v>
      </c>
      <c r="B184" s="210" t="s">
        <v>289</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1308</v>
      </c>
      <c r="B185" s="210" t="s">
        <v>293</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1309</v>
      </c>
      <c r="B186" s="210" t="s">
        <v>294</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1310</v>
      </c>
      <c r="B187" s="210" t="s">
        <v>295</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1311</v>
      </c>
      <c r="B188" s="210" t="s">
        <v>296</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1312</v>
      </c>
      <c r="B189" s="210" t="s">
        <v>297</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1313</v>
      </c>
      <c r="B190" s="210" t="s">
        <v>298</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1314</v>
      </c>
      <c r="B191" s="210" t="s">
        <v>299</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1315</v>
      </c>
      <c r="B192" s="210" t="s">
        <v>300</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1316</v>
      </c>
      <c r="B193" s="210" t="s">
        <v>301</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1317</v>
      </c>
      <c r="B194" s="210" t="s">
        <v>302</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1318</v>
      </c>
      <c r="B195" s="210" t="s">
        <v>303</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1319</v>
      </c>
      <c r="B196" s="210" t="s">
        <v>304</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1320</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1321</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658</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election activeCell="A28" sqref="A28:XFD28"/>
    </sheetView>
  </sheetViews>
  <sheetFormatPr defaultRowHeight="15"/>
  <cols>
    <col min="2" max="2" width="48"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415</v>
      </c>
      <c r="B10" s="45" t="s">
        <v>416</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417</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418</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1039</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420</v>
      </c>
      <c r="B19" s="210" t="s">
        <v>1040</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421</v>
      </c>
      <c r="B20" s="210" t="s">
        <v>1041</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422</v>
      </c>
      <c r="B21" s="210" t="s">
        <v>1042</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423</v>
      </c>
      <c r="B22" s="210" t="s">
        <v>1043</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424</v>
      </c>
      <c r="B23" s="210" t="s">
        <v>1044</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425</v>
      </c>
      <c r="B24" s="210" t="s">
        <v>1045</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426</v>
      </c>
      <c r="B25" s="210" t="s">
        <v>1046</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343</v>
      </c>
      <c r="AG25" s="31"/>
    </row>
    <row r="26" spans="1:33">
      <c r="A26" s="30" t="s">
        <v>427</v>
      </c>
      <c r="B26" s="210" t="s">
        <v>1047</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343</v>
      </c>
      <c r="AG26" s="31"/>
    </row>
    <row r="27" spans="1:33">
      <c r="A27" s="30" t="s">
        <v>428</v>
      </c>
      <c r="B27" s="210" t="s">
        <v>1048</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343</v>
      </c>
      <c r="AG27" s="31"/>
    </row>
    <row r="28" spans="1:33" s="255" customFormat="1">
      <c r="A28" s="250" t="s">
        <v>429</v>
      </c>
      <c r="B28" s="257" t="s">
        <v>1049</v>
      </c>
      <c r="C28" s="258">
        <v>75.048714000000004</v>
      </c>
      <c r="D28" s="258">
        <v>74.717513999999994</v>
      </c>
      <c r="E28" s="258">
        <v>75.046081999999998</v>
      </c>
      <c r="F28" s="258">
        <v>76.143508999999995</v>
      </c>
      <c r="G28" s="258">
        <v>77.597999999999999</v>
      </c>
      <c r="H28" s="258">
        <v>78.820419000000001</v>
      </c>
      <c r="I28" s="258">
        <v>79.976401999999993</v>
      </c>
      <c r="J28" s="258">
        <v>81.127167</v>
      </c>
      <c r="K28" s="258">
        <v>82.517714999999995</v>
      </c>
      <c r="L28" s="258">
        <v>84.228110999999998</v>
      </c>
      <c r="M28" s="258">
        <v>86.234122999999997</v>
      </c>
      <c r="N28" s="258">
        <v>88.077529999999996</v>
      </c>
      <c r="O28" s="258">
        <v>89.911659</v>
      </c>
      <c r="P28" s="258">
        <v>91.791747999999998</v>
      </c>
      <c r="Q28" s="258">
        <v>93.544196999999997</v>
      </c>
      <c r="R28" s="258">
        <v>95.400565999999998</v>
      </c>
      <c r="S28" s="258">
        <v>97.240463000000005</v>
      </c>
      <c r="T28" s="258">
        <v>99.104270999999997</v>
      </c>
      <c r="U28" s="258">
        <v>101.111</v>
      </c>
      <c r="V28" s="258">
        <v>103.19528200000001</v>
      </c>
      <c r="W28" s="258">
        <v>105.237099</v>
      </c>
      <c r="X28" s="258">
        <v>107.199234</v>
      </c>
      <c r="Y28" s="258">
        <v>109.127678</v>
      </c>
      <c r="Z28" s="258">
        <v>111.1437</v>
      </c>
      <c r="AA28" s="258">
        <v>113.446144</v>
      </c>
      <c r="AB28" s="258">
        <v>115.847984</v>
      </c>
      <c r="AC28" s="258">
        <v>118.10760500000001</v>
      </c>
      <c r="AD28" s="258">
        <v>120.49865</v>
      </c>
      <c r="AE28" s="258">
        <v>123.323883</v>
      </c>
      <c r="AF28" s="259">
        <v>1.7897E-2</v>
      </c>
      <c r="AG28" s="254"/>
    </row>
    <row r="29" spans="1:33">
      <c r="A29" s="29"/>
      <c r="B29" s="209" t="s">
        <v>1050</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430</v>
      </c>
      <c r="B30" s="210" t="s">
        <v>1040</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431</v>
      </c>
      <c r="B31" s="210" t="s">
        <v>1041</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432</v>
      </c>
      <c r="B32" s="210" t="s">
        <v>1042</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433</v>
      </c>
      <c r="B33" s="210" t="s">
        <v>1043</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434</v>
      </c>
      <c r="B34" s="210" t="s">
        <v>1044</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435</v>
      </c>
      <c r="B35" s="210" t="s">
        <v>1045</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436</v>
      </c>
      <c r="B36" s="210" t="s">
        <v>1046</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343</v>
      </c>
      <c r="AG36" s="31"/>
    </row>
    <row r="37" spans="1:33">
      <c r="A37" s="30" t="s">
        <v>437</v>
      </c>
      <c r="B37" s="210" t="s">
        <v>1047</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343</v>
      </c>
      <c r="AG37" s="31"/>
    </row>
    <row r="38" spans="1:33">
      <c r="A38" s="30" t="s">
        <v>438</v>
      </c>
      <c r="B38" s="210" t="s">
        <v>1048</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343</v>
      </c>
      <c r="AG38" s="31"/>
    </row>
    <row r="39" spans="1:33">
      <c r="A39" s="30" t="s">
        <v>439</v>
      </c>
      <c r="B39" s="210" t="s">
        <v>1051</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1052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440</v>
      </c>
      <c r="B41" s="210" t="s">
        <v>1040</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441</v>
      </c>
      <c r="B42" s="210" t="s">
        <v>1041</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442</v>
      </c>
      <c r="B43" s="210" t="s">
        <v>1042</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443</v>
      </c>
      <c r="B44" s="210" t="s">
        <v>1043</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444</v>
      </c>
      <c r="B45" s="210" t="s">
        <v>1044</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343</v>
      </c>
      <c r="AG45" s="31"/>
    </row>
    <row r="46" spans="1:33">
      <c r="A46" s="30" t="s">
        <v>445</v>
      </c>
      <c r="B46" s="210" t="s">
        <v>1045</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446</v>
      </c>
      <c r="B47" s="210" t="s">
        <v>1046</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343</v>
      </c>
      <c r="AG47" s="31"/>
    </row>
    <row r="48" spans="1:33">
      <c r="A48" s="30" t="s">
        <v>447</v>
      </c>
      <c r="B48" s="210" t="s">
        <v>1047</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343</v>
      </c>
      <c r="AG48" s="31"/>
    </row>
    <row r="49" spans="1:33">
      <c r="A49" s="30" t="s">
        <v>448</v>
      </c>
      <c r="B49" s="210" t="s">
        <v>1048</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343</v>
      </c>
      <c r="AG49" s="31"/>
    </row>
    <row r="50" spans="1:33">
      <c r="A50" s="30" t="s">
        <v>449</v>
      </c>
      <c r="B50" s="210" t="s">
        <v>1053</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450</v>
      </c>
      <c r="B51" s="209" t="s">
        <v>451</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452</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1039</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453</v>
      </c>
      <c r="B55" s="210" t="s">
        <v>1040</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454</v>
      </c>
      <c r="B56" s="210" t="s">
        <v>1041</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455</v>
      </c>
      <c r="B57" s="210" t="s">
        <v>1042</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456</v>
      </c>
      <c r="B58" s="210" t="s">
        <v>1043</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457</v>
      </c>
      <c r="B59" s="210" t="s">
        <v>1044</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458</v>
      </c>
      <c r="B60" s="210" t="s">
        <v>1045</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459</v>
      </c>
      <c r="B61" s="210" t="s">
        <v>1046</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343</v>
      </c>
      <c r="AG61" s="31"/>
    </row>
    <row r="62" spans="1:33">
      <c r="A62" s="30" t="s">
        <v>460</v>
      </c>
      <c r="B62" s="210" t="s">
        <v>1047</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343</v>
      </c>
      <c r="AG62" s="31"/>
    </row>
    <row r="63" spans="1:33">
      <c r="A63" s="30" t="s">
        <v>461</v>
      </c>
      <c r="B63" s="210" t="s">
        <v>1048</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343</v>
      </c>
      <c r="AG63" s="31"/>
    </row>
    <row r="64" spans="1:33">
      <c r="A64" s="30" t="s">
        <v>462</v>
      </c>
      <c r="B64" s="210" t="s">
        <v>1049</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1050</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463</v>
      </c>
      <c r="B66" s="210" t="s">
        <v>1040</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464</v>
      </c>
      <c r="B67" s="210" t="s">
        <v>1041</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465</v>
      </c>
      <c r="B68" s="210" t="s">
        <v>1042</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466</v>
      </c>
      <c r="B69" s="210" t="s">
        <v>1043</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467</v>
      </c>
      <c r="B70" s="210" t="s">
        <v>1044</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468</v>
      </c>
      <c r="B71" s="210" t="s">
        <v>1045</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469</v>
      </c>
      <c r="B72" s="210" t="s">
        <v>1046</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343</v>
      </c>
      <c r="AG72" s="31"/>
    </row>
    <row r="73" spans="1:33">
      <c r="A73" s="30" t="s">
        <v>470</v>
      </c>
      <c r="B73" s="210" t="s">
        <v>1047</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343</v>
      </c>
      <c r="AG73" s="31"/>
    </row>
    <row r="74" spans="1:33">
      <c r="A74" s="30" t="s">
        <v>471</v>
      </c>
      <c r="B74" s="210" t="s">
        <v>1048</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343</v>
      </c>
      <c r="AG74" s="31"/>
    </row>
    <row r="75" spans="1:33">
      <c r="A75" s="30" t="s">
        <v>472</v>
      </c>
      <c r="B75" s="210" t="s">
        <v>1051</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1052</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473</v>
      </c>
      <c r="B77" s="210" t="s">
        <v>1040</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474</v>
      </c>
      <c r="B78" s="210" t="s">
        <v>1041</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475</v>
      </c>
      <c r="B79" s="210" t="s">
        <v>1042</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476</v>
      </c>
      <c r="B80" s="210" t="s">
        <v>1043</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477</v>
      </c>
      <c r="B81" s="210" t="s">
        <v>1044</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343</v>
      </c>
      <c r="AG81" s="31"/>
    </row>
    <row r="82" spans="1:33">
      <c r="A82" s="30" t="s">
        <v>478</v>
      </c>
      <c r="B82" s="210" t="s">
        <v>1045</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479</v>
      </c>
      <c r="B83" s="210" t="s">
        <v>1046</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343</v>
      </c>
      <c r="AG83" s="31"/>
    </row>
    <row r="84" spans="1:33">
      <c r="A84" s="30" t="s">
        <v>480</v>
      </c>
      <c r="B84" s="210" t="s">
        <v>1047</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343</v>
      </c>
      <c r="AG84" s="31"/>
    </row>
    <row r="85" spans="1:33">
      <c r="A85" s="30" t="s">
        <v>481</v>
      </c>
      <c r="B85" s="210" t="s">
        <v>1048</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343</v>
      </c>
      <c r="AG85" s="31"/>
    </row>
    <row r="86" spans="1:33">
      <c r="A86" s="30" t="s">
        <v>482</v>
      </c>
      <c r="B86" s="210" t="s">
        <v>1053</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1054</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483</v>
      </c>
      <c r="B88" s="210" t="s">
        <v>1040</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484</v>
      </c>
      <c r="B89" s="210" t="s">
        <v>1041</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485</v>
      </c>
      <c r="B90" s="210" t="s">
        <v>1042</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486</v>
      </c>
      <c r="B91" s="210" t="s">
        <v>1043</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487</v>
      </c>
      <c r="B92" s="210" t="s">
        <v>1044</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488</v>
      </c>
      <c r="B93" s="210" t="s">
        <v>1045</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489</v>
      </c>
      <c r="B94" s="210" t="s">
        <v>1046</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343</v>
      </c>
      <c r="AG94" s="31"/>
    </row>
    <row r="95" spans="1:33">
      <c r="A95" s="30" t="s">
        <v>490</v>
      </c>
      <c r="B95" s="210" t="s">
        <v>1047</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343</v>
      </c>
      <c r="AG95" s="31"/>
    </row>
    <row r="96" spans="1:33">
      <c r="A96" s="30" t="s">
        <v>491</v>
      </c>
      <c r="B96" s="210" t="s">
        <v>1048</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343</v>
      </c>
      <c r="AG96" s="31"/>
    </row>
    <row r="97" spans="1:33">
      <c r="A97" s="30" t="s">
        <v>492</v>
      </c>
      <c r="B97" s="209" t="s">
        <v>1055</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493</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1039</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494</v>
      </c>
      <c r="B101" s="210" t="s">
        <v>1040</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495</v>
      </c>
      <c r="B102" s="210" t="s">
        <v>1041</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496</v>
      </c>
      <c r="B103" s="210" t="s">
        <v>1042</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497</v>
      </c>
      <c r="B104" s="210" t="s">
        <v>1043</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498</v>
      </c>
      <c r="B105" s="210" t="s">
        <v>1044</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499</v>
      </c>
      <c r="B106" s="210" t="s">
        <v>1045</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500</v>
      </c>
      <c r="B107" s="210" t="s">
        <v>1046</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343</v>
      </c>
      <c r="AG107" s="31"/>
    </row>
    <row r="108" spans="1:33">
      <c r="A108" s="30" t="s">
        <v>501</v>
      </c>
      <c r="B108" s="210" t="s">
        <v>1047</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343</v>
      </c>
      <c r="AG108" s="31"/>
    </row>
    <row r="109" spans="1:33">
      <c r="A109" s="30" t="s">
        <v>502</v>
      </c>
      <c r="B109" s="210" t="s">
        <v>1048</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343</v>
      </c>
      <c r="AG109" s="31"/>
    </row>
    <row r="110" spans="1:33">
      <c r="A110" s="30" t="s">
        <v>503</v>
      </c>
      <c r="B110" s="210" t="s">
        <v>1056</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1050</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504</v>
      </c>
      <c r="B112" s="210" t="s">
        <v>1040</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505</v>
      </c>
      <c r="B113" s="210" t="s">
        <v>1041</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506</v>
      </c>
      <c r="B114" s="210" t="s">
        <v>1042</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507</v>
      </c>
      <c r="B115" s="210" t="s">
        <v>1043</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508</v>
      </c>
      <c r="B116" s="210" t="s">
        <v>1044</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509</v>
      </c>
      <c r="B117" s="210" t="s">
        <v>1045</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510</v>
      </c>
      <c r="B118" s="210" t="s">
        <v>1046</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343</v>
      </c>
      <c r="AG118" s="31"/>
    </row>
    <row r="119" spans="1:33">
      <c r="A119" s="30" t="s">
        <v>511</v>
      </c>
      <c r="B119" s="210" t="s">
        <v>1047</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343</v>
      </c>
      <c r="AG119" s="31"/>
    </row>
    <row r="120" spans="1:33">
      <c r="A120" s="30" t="s">
        <v>512</v>
      </c>
      <c r="B120" s="210" t="s">
        <v>1048</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343</v>
      </c>
      <c r="AG120" s="31"/>
    </row>
    <row r="121" spans="1:33">
      <c r="A121" s="30" t="s">
        <v>513</v>
      </c>
      <c r="B121" s="210" t="s">
        <v>1057</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1052</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514</v>
      </c>
      <c r="B123" s="210" t="s">
        <v>1040</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515</v>
      </c>
      <c r="B124" s="210" t="s">
        <v>1041</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516</v>
      </c>
      <c r="B125" s="210" t="s">
        <v>1042</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517</v>
      </c>
      <c r="B126" s="210" t="s">
        <v>1043</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518</v>
      </c>
      <c r="B127" s="210" t="s">
        <v>1044</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343</v>
      </c>
      <c r="AG127" s="31"/>
    </row>
    <row r="128" spans="1:33">
      <c r="A128" s="30" t="s">
        <v>519</v>
      </c>
      <c r="B128" s="210" t="s">
        <v>1045</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520</v>
      </c>
      <c r="B129" s="210" t="s">
        <v>1046</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343</v>
      </c>
      <c r="AG129" s="31"/>
    </row>
    <row r="130" spans="1:33">
      <c r="A130" s="30" t="s">
        <v>521</v>
      </c>
      <c r="B130" s="210" t="s">
        <v>1047</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343</v>
      </c>
      <c r="AG130" s="31"/>
    </row>
    <row r="131" spans="1:33">
      <c r="A131" s="30" t="s">
        <v>522</v>
      </c>
      <c r="B131" s="210" t="s">
        <v>1048</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343</v>
      </c>
      <c r="AG131" s="31"/>
    </row>
    <row r="132" spans="1:33">
      <c r="A132" s="30" t="s">
        <v>523</v>
      </c>
      <c r="B132" s="210" t="s">
        <v>1058</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524</v>
      </c>
      <c r="B133" s="209" t="s">
        <v>525</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526</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1039</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527</v>
      </c>
      <c r="B137" s="210" t="s">
        <v>1040</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528</v>
      </c>
      <c r="B138" s="210" t="s">
        <v>1041</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529</v>
      </c>
      <c r="B139" s="210" t="s">
        <v>1042</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530</v>
      </c>
      <c r="B140" s="210" t="s">
        <v>1043</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531</v>
      </c>
      <c r="B141" s="210" t="s">
        <v>1044</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532</v>
      </c>
      <c r="B142" s="210" t="s">
        <v>1045</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533</v>
      </c>
      <c r="B143" s="210" t="s">
        <v>1046</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343</v>
      </c>
      <c r="AG143" s="31"/>
    </row>
    <row r="144" spans="1:33">
      <c r="A144" s="30" t="s">
        <v>534</v>
      </c>
      <c r="B144" s="210" t="s">
        <v>1047</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343</v>
      </c>
      <c r="AG144" s="31"/>
    </row>
    <row r="145" spans="1:33">
      <c r="A145" s="30" t="s">
        <v>535</v>
      </c>
      <c r="B145" s="210" t="s">
        <v>1048</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343</v>
      </c>
      <c r="AG145" s="31"/>
    </row>
    <row r="146" spans="1:33" s="260" customFormat="1">
      <c r="A146" s="267" t="s">
        <v>536</v>
      </c>
      <c r="B146" s="268" t="s">
        <v>1049</v>
      </c>
      <c r="C146" s="269">
        <v>4.5572350000000004</v>
      </c>
      <c r="D146" s="269">
        <v>4.7290020000000004</v>
      </c>
      <c r="E146" s="269">
        <v>4.9127999999999998</v>
      </c>
      <c r="F146" s="269">
        <v>5.1043260000000004</v>
      </c>
      <c r="G146" s="269">
        <v>5.2971899999999996</v>
      </c>
      <c r="H146" s="269">
        <v>5.487355</v>
      </c>
      <c r="I146" s="269">
        <v>5.6725500000000002</v>
      </c>
      <c r="J146" s="269">
        <v>5.8529099999999996</v>
      </c>
      <c r="K146" s="269">
        <v>6.02935</v>
      </c>
      <c r="L146" s="269">
        <v>6.2002790000000001</v>
      </c>
      <c r="M146" s="269">
        <v>6.3694100000000002</v>
      </c>
      <c r="N146" s="269">
        <v>6.5280370000000003</v>
      </c>
      <c r="O146" s="269">
        <v>6.6825029999999996</v>
      </c>
      <c r="P146" s="269">
        <v>6.8328829999999998</v>
      </c>
      <c r="Q146" s="269">
        <v>6.9851679999999998</v>
      </c>
      <c r="R146" s="269">
        <v>7.1385949999999996</v>
      </c>
      <c r="S146" s="269">
        <v>7.2927179999999998</v>
      </c>
      <c r="T146" s="269">
        <v>7.444204</v>
      </c>
      <c r="U146" s="269">
        <v>7.5930559999999998</v>
      </c>
      <c r="V146" s="269">
        <v>7.7457929999999999</v>
      </c>
      <c r="W146" s="269">
        <v>7.8962500000000002</v>
      </c>
      <c r="X146" s="269">
        <v>8.0561190000000007</v>
      </c>
      <c r="Y146" s="269">
        <v>8.2237679999999997</v>
      </c>
      <c r="Z146" s="269">
        <v>8.3889849999999999</v>
      </c>
      <c r="AA146" s="269">
        <v>8.5504960000000008</v>
      </c>
      <c r="AB146" s="269">
        <v>8.7149520000000003</v>
      </c>
      <c r="AC146" s="269">
        <v>8.8794520000000006</v>
      </c>
      <c r="AD146" s="269">
        <v>9.0347190000000008</v>
      </c>
      <c r="AE146" s="269">
        <v>9.1874509999999994</v>
      </c>
      <c r="AF146" s="270">
        <v>2.5356E-2</v>
      </c>
      <c r="AG146" s="271"/>
    </row>
    <row r="147" spans="1:33">
      <c r="A147" s="29"/>
      <c r="B147" s="209" t="s">
        <v>1050</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537</v>
      </c>
      <c r="B148" s="210" t="s">
        <v>1040</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538</v>
      </c>
      <c r="B149" s="210" t="s">
        <v>1041</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539</v>
      </c>
      <c r="B150" s="210" t="s">
        <v>1042</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540</v>
      </c>
      <c r="B151" s="210" t="s">
        <v>1043</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541</v>
      </c>
      <c r="B152" s="210" t="s">
        <v>1044</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542</v>
      </c>
      <c r="B153" s="210" t="s">
        <v>1045</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543</v>
      </c>
      <c r="B154" s="210" t="s">
        <v>1046</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343</v>
      </c>
      <c r="AG154" s="31"/>
    </row>
    <row r="155" spans="1:33">
      <c r="A155" s="30" t="s">
        <v>544</v>
      </c>
      <c r="B155" s="210" t="s">
        <v>1047</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343</v>
      </c>
      <c r="AG155" s="31"/>
    </row>
    <row r="156" spans="1:33">
      <c r="A156" s="30" t="s">
        <v>545</v>
      </c>
      <c r="B156" s="210" t="s">
        <v>1048</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343</v>
      </c>
      <c r="AG156" s="31"/>
    </row>
    <row r="157" spans="1:33" s="260" customFormat="1">
      <c r="A157" s="267" t="s">
        <v>546</v>
      </c>
      <c r="B157" s="268" t="s">
        <v>1051</v>
      </c>
      <c r="C157" s="269">
        <v>3.7854269999999999</v>
      </c>
      <c r="D157" s="269">
        <v>3.8392460000000002</v>
      </c>
      <c r="E157" s="269">
        <v>3.896935</v>
      </c>
      <c r="F157" s="269">
        <v>3.9585020000000002</v>
      </c>
      <c r="G157" s="269">
        <v>4.0249319999999997</v>
      </c>
      <c r="H157" s="269">
        <v>4.097626</v>
      </c>
      <c r="I157" s="269">
        <v>4.1719590000000002</v>
      </c>
      <c r="J157" s="269">
        <v>4.2410829999999997</v>
      </c>
      <c r="K157" s="269">
        <v>4.3058509999999997</v>
      </c>
      <c r="L157" s="269">
        <v>4.3627609999999999</v>
      </c>
      <c r="M157" s="269">
        <v>4.4210929999999999</v>
      </c>
      <c r="N157" s="269">
        <v>4.4727800000000002</v>
      </c>
      <c r="O157" s="269">
        <v>4.5209279999999996</v>
      </c>
      <c r="P157" s="269">
        <v>4.5731520000000003</v>
      </c>
      <c r="Q157" s="269">
        <v>4.6291640000000003</v>
      </c>
      <c r="R157" s="269">
        <v>4.6878130000000002</v>
      </c>
      <c r="S157" s="269">
        <v>4.7462020000000003</v>
      </c>
      <c r="T157" s="269">
        <v>4.8041939999999999</v>
      </c>
      <c r="U157" s="269">
        <v>4.8590020000000003</v>
      </c>
      <c r="V157" s="269">
        <v>4.9137469999999999</v>
      </c>
      <c r="W157" s="269">
        <v>4.9703020000000002</v>
      </c>
      <c r="X157" s="269">
        <v>5.0363410000000002</v>
      </c>
      <c r="Y157" s="269">
        <v>5.1081560000000001</v>
      </c>
      <c r="Z157" s="269">
        <v>5.1772010000000002</v>
      </c>
      <c r="AA157" s="269">
        <v>5.2410680000000003</v>
      </c>
      <c r="AB157" s="269">
        <v>5.3040250000000002</v>
      </c>
      <c r="AC157" s="269">
        <v>5.3662710000000002</v>
      </c>
      <c r="AD157" s="269">
        <v>5.4253349999999996</v>
      </c>
      <c r="AE157" s="269">
        <v>5.4803610000000003</v>
      </c>
      <c r="AF157" s="270">
        <v>1.3302E-2</v>
      </c>
      <c r="AG157" s="271"/>
    </row>
    <row r="158" spans="1:33">
      <c r="A158" s="29"/>
      <c r="B158" s="209" t="s">
        <v>1052</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547</v>
      </c>
      <c r="B159" s="210" t="s">
        <v>1040</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548</v>
      </c>
      <c r="B160" s="210" t="s">
        <v>1041</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549</v>
      </c>
      <c r="B161" s="210" t="s">
        <v>1042</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550</v>
      </c>
      <c r="B162" s="210" t="s">
        <v>1043</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551</v>
      </c>
      <c r="B163" s="210" t="s">
        <v>1044</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343</v>
      </c>
      <c r="AG163" s="31"/>
    </row>
    <row r="164" spans="1:33">
      <c r="A164" s="30" t="s">
        <v>552</v>
      </c>
      <c r="B164" s="210" t="s">
        <v>1045</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553</v>
      </c>
      <c r="B165" s="210" t="s">
        <v>1046</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343</v>
      </c>
      <c r="AG165" s="31"/>
    </row>
    <row r="166" spans="1:33">
      <c r="A166" s="30" t="s">
        <v>554</v>
      </c>
      <c r="B166" s="210" t="s">
        <v>1047</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343</v>
      </c>
      <c r="AG166" s="31"/>
    </row>
    <row r="167" spans="1:33">
      <c r="A167" s="30" t="s">
        <v>555</v>
      </c>
      <c r="B167" s="210" t="s">
        <v>1048</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343</v>
      </c>
      <c r="AG167" s="31"/>
    </row>
    <row r="168" spans="1:33">
      <c r="A168" s="30" t="s">
        <v>556</v>
      </c>
      <c r="B168" s="210" t="s">
        <v>1053</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557</v>
      </c>
      <c r="B169" s="209" t="s">
        <v>558</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192</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493</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1039</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559</v>
      </c>
      <c r="B175" s="210" t="s">
        <v>1040</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560</v>
      </c>
      <c r="B176" s="210" t="s">
        <v>1041</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561</v>
      </c>
      <c r="B177" s="210" t="s">
        <v>1042</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562</v>
      </c>
      <c r="B178" s="210" t="s">
        <v>1043</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563</v>
      </c>
      <c r="B179" s="210" t="s">
        <v>1044</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564</v>
      </c>
      <c r="B180" s="210" t="s">
        <v>1045</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565</v>
      </c>
      <c r="B181" s="210" t="s">
        <v>1046</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343</v>
      </c>
      <c r="AG181" s="31"/>
    </row>
    <row r="182" spans="1:33">
      <c r="A182" s="30" t="s">
        <v>566</v>
      </c>
      <c r="B182" s="210" t="s">
        <v>1047</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343</v>
      </c>
      <c r="AG182" s="31"/>
    </row>
    <row r="183" spans="1:33">
      <c r="A183" s="30" t="s">
        <v>567</v>
      </c>
      <c r="B183" s="210" t="s">
        <v>1048</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343</v>
      </c>
      <c r="AG183" s="31"/>
    </row>
    <row r="184" spans="1:33">
      <c r="A184" s="30" t="s">
        <v>568</v>
      </c>
      <c r="B184" s="210" t="s">
        <v>1056</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1050</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569</v>
      </c>
      <c r="B186" s="210" t="s">
        <v>1040</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570</v>
      </c>
      <c r="B187" s="210" t="s">
        <v>1041</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571</v>
      </c>
      <c r="B188" s="210" t="s">
        <v>1042</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572</v>
      </c>
      <c r="B189" s="210" t="s">
        <v>1043</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573</v>
      </c>
      <c r="B190" s="210" t="s">
        <v>1044</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574</v>
      </c>
      <c r="B191" s="210" t="s">
        <v>1045</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575</v>
      </c>
      <c r="B192" s="210" t="s">
        <v>1046</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343</v>
      </c>
      <c r="AG192" s="31"/>
    </row>
    <row r="193" spans="1:33">
      <c r="A193" s="30" t="s">
        <v>576</v>
      </c>
      <c r="B193" s="210" t="s">
        <v>1047</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343</v>
      </c>
      <c r="AG193" s="31"/>
    </row>
    <row r="194" spans="1:33">
      <c r="A194" s="30" t="s">
        <v>577</v>
      </c>
      <c r="B194" s="210" t="s">
        <v>1048</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343</v>
      </c>
      <c r="AG194" s="31"/>
    </row>
    <row r="195" spans="1:33">
      <c r="A195" s="30" t="s">
        <v>578</v>
      </c>
      <c r="B195" s="210" t="s">
        <v>1057</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1052</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579</v>
      </c>
      <c r="B197" s="210" t="s">
        <v>1040</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580</v>
      </c>
      <c r="B198" s="210" t="s">
        <v>1041</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581</v>
      </c>
      <c r="B199" s="210" t="s">
        <v>1042</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582</v>
      </c>
      <c r="B200" s="210" t="s">
        <v>1043</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583</v>
      </c>
      <c r="B201" s="210" t="s">
        <v>1044</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343</v>
      </c>
      <c r="AG201" s="31"/>
    </row>
    <row r="202" spans="1:33">
      <c r="A202" s="30" t="s">
        <v>584</v>
      </c>
      <c r="B202" s="210" t="s">
        <v>1045</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585</v>
      </c>
      <c r="B203" s="210" t="s">
        <v>1046</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343</v>
      </c>
      <c r="AG203" s="31"/>
    </row>
    <row r="204" spans="1:33">
      <c r="A204" s="30" t="s">
        <v>586</v>
      </c>
      <c r="B204" s="210" t="s">
        <v>1047</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343</v>
      </c>
      <c r="AG204" s="31"/>
    </row>
    <row r="205" spans="1:33">
      <c r="A205" s="30" t="s">
        <v>587</v>
      </c>
      <c r="B205" s="210" t="s">
        <v>1048</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343</v>
      </c>
      <c r="AG205" s="31"/>
    </row>
    <row r="206" spans="1:33">
      <c r="A206" s="30" t="s">
        <v>588</v>
      </c>
      <c r="B206" s="210" t="s">
        <v>1058</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589</v>
      </c>
      <c r="B207" s="209" t="s">
        <v>525</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590</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1039</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591</v>
      </c>
      <c r="B211" s="210" t="s">
        <v>1040</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592</v>
      </c>
      <c r="B212" s="210" t="s">
        <v>1041</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593</v>
      </c>
      <c r="B213" s="210" t="s">
        <v>1042</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343</v>
      </c>
      <c r="AG213" s="31"/>
    </row>
    <row r="214" spans="1:33">
      <c r="A214" s="30" t="s">
        <v>594</v>
      </c>
      <c r="B214" s="210" t="s">
        <v>1043</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343</v>
      </c>
      <c r="AG214" s="31"/>
    </row>
    <row r="215" spans="1:33">
      <c r="A215" s="30" t="s">
        <v>595</v>
      </c>
      <c r="B215" s="210" t="s">
        <v>1044</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596</v>
      </c>
      <c r="B216" s="210" t="s">
        <v>1045</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343</v>
      </c>
      <c r="AG216" s="31"/>
    </row>
    <row r="217" spans="1:33">
      <c r="A217" s="30" t="s">
        <v>597</v>
      </c>
      <c r="B217" s="210" t="s">
        <v>1046</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343</v>
      </c>
      <c r="AG217" s="31"/>
    </row>
    <row r="218" spans="1:33">
      <c r="A218" s="30" t="s">
        <v>598</v>
      </c>
      <c r="B218" s="210" t="s">
        <v>1047</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343</v>
      </c>
      <c r="AG218" s="31"/>
    </row>
    <row r="219" spans="1:33">
      <c r="A219" s="30" t="s">
        <v>599</v>
      </c>
      <c r="B219" s="210" t="s">
        <v>1048</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343</v>
      </c>
      <c r="AG219" s="31"/>
    </row>
    <row r="220" spans="1:33">
      <c r="A220" s="30" t="s">
        <v>600</v>
      </c>
      <c r="B220" s="210" t="s">
        <v>1049</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1050</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601</v>
      </c>
      <c r="B222" s="210" t="s">
        <v>1040</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602</v>
      </c>
      <c r="B223" s="210" t="s">
        <v>1041</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603</v>
      </c>
      <c r="B224" s="210" t="s">
        <v>1042</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604</v>
      </c>
      <c r="B225" s="210" t="s">
        <v>1043</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605</v>
      </c>
      <c r="B226" s="210" t="s">
        <v>1044</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606</v>
      </c>
      <c r="B227" s="210" t="s">
        <v>1045</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607</v>
      </c>
      <c r="B228" s="210" t="s">
        <v>1046</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343</v>
      </c>
      <c r="AG228" s="31"/>
    </row>
    <row r="229" spans="1:33">
      <c r="A229" s="30" t="s">
        <v>608</v>
      </c>
      <c r="B229" s="210" t="s">
        <v>1047</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343</v>
      </c>
      <c r="AG229" s="31"/>
    </row>
    <row r="230" spans="1:33">
      <c r="A230" s="30" t="s">
        <v>609</v>
      </c>
      <c r="B230" s="210" t="s">
        <v>1048</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343</v>
      </c>
      <c r="AG230" s="31"/>
    </row>
    <row r="231" spans="1:33">
      <c r="A231" s="30" t="s">
        <v>610</v>
      </c>
      <c r="B231" s="210" t="s">
        <v>1051</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1052</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611</v>
      </c>
      <c r="B233" s="210" t="s">
        <v>1040</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612</v>
      </c>
      <c r="B234" s="210" t="s">
        <v>1041</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613</v>
      </c>
      <c r="B235" s="210" t="s">
        <v>1042</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614</v>
      </c>
      <c r="B236" s="210" t="s">
        <v>1043</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615</v>
      </c>
      <c r="B237" s="210" t="s">
        <v>1044</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343</v>
      </c>
      <c r="AG237" s="31"/>
    </row>
    <row r="238" spans="1:33">
      <c r="A238" s="30" t="s">
        <v>616</v>
      </c>
      <c r="B238" s="210" t="s">
        <v>1045</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617</v>
      </c>
      <c r="B239" s="210" t="s">
        <v>1046</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343</v>
      </c>
      <c r="AG239" s="31"/>
    </row>
    <row r="240" spans="1:33">
      <c r="A240" s="30" t="s">
        <v>618</v>
      </c>
      <c r="B240" s="210" t="s">
        <v>1047</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343</v>
      </c>
      <c r="AG240" s="31"/>
    </row>
    <row r="241" spans="1:33">
      <c r="A241" s="30" t="s">
        <v>619</v>
      </c>
      <c r="B241" s="210" t="s">
        <v>1048</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343</v>
      </c>
      <c r="AG241" s="31"/>
    </row>
    <row r="242" spans="1:33">
      <c r="A242" s="30" t="s">
        <v>620</v>
      </c>
      <c r="B242" s="210" t="s">
        <v>1053</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621</v>
      </c>
      <c r="B243" s="209" t="s">
        <v>622</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193</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623</v>
      </c>
      <c r="B248" s="210" t="s">
        <v>624</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625</v>
      </c>
      <c r="B249" s="210" t="s">
        <v>626</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627</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628</v>
      </c>
      <c r="B251" s="210" t="s">
        <v>1059</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629</v>
      </c>
      <c r="B252" s="210" t="s">
        <v>1060</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343</v>
      </c>
      <c r="AG252" s="31"/>
    </row>
    <row r="253" spans="1:33">
      <c r="A253" s="30" t="s">
        <v>630</v>
      </c>
      <c r="B253" s="210" t="s">
        <v>1061</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343</v>
      </c>
      <c r="AG253" s="31"/>
    </row>
    <row r="254" spans="1:33">
      <c r="A254" s="30" t="s">
        <v>631</v>
      </c>
      <c r="B254" s="210" t="s">
        <v>1062</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194</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632</v>
      </c>
      <c r="B257" s="210" t="s">
        <v>633</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634</v>
      </c>
      <c r="B258" s="210" t="s">
        <v>626</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627</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635</v>
      </c>
      <c r="B260" s="210" t="s">
        <v>1059</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636</v>
      </c>
      <c r="B261" s="210" t="s">
        <v>1060</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637</v>
      </c>
      <c r="B262" s="210" t="s">
        <v>1061</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343</v>
      </c>
      <c r="AG262" s="31"/>
    </row>
    <row r="263" spans="1:33">
      <c r="A263" s="30" t="s">
        <v>638</v>
      </c>
      <c r="B263" s="210" t="s">
        <v>1062</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195</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639</v>
      </c>
      <c r="B266" s="210" t="s">
        <v>640</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641</v>
      </c>
      <c r="B267" s="210" t="s">
        <v>642</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643</v>
      </c>
      <c r="B268" s="210" t="s">
        <v>644</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627</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645</v>
      </c>
      <c r="B270" s="210" t="s">
        <v>1059</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646</v>
      </c>
      <c r="B271" s="210" t="s">
        <v>1060</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647</v>
      </c>
      <c r="B272" s="210" t="s">
        <v>1061</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343</v>
      </c>
      <c r="AG272" s="31"/>
    </row>
    <row r="273" spans="1:34">
      <c r="A273" s="30" t="s">
        <v>648</v>
      </c>
      <c r="B273" s="210" t="s">
        <v>1062</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649</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650</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331</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412</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651</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1063</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1064</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658</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zoomScaleNormal="100" workbookViewId="0">
      <pane xSplit="1" ySplit="2" topLeftCell="AD3" activePane="bottomRight" state="frozen"/>
      <selection pane="topRight" activeCell="B1" sqref="B1"/>
      <selection pane="bottomLeft" activeCell="A3" sqref="A3"/>
      <selection pane="bottomRight" activeCell="AM12" sqref="AM12"/>
    </sheetView>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3894</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223</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224</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225</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226</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227</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228</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229</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230</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231</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232</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233</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234</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235</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236</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237</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238</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239</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240</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3895</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241</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242</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243</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244</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245</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246</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247</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248</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249</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250</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251</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252</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253</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254</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255</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256</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257</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258</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259</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3896</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260</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261</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262</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3897</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263</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3898</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264</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3899</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265</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266</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3900</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267</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3901</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election sqref="A1:XFD1048576"/>
    </sheetView>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1066</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1067</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1068</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1069</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1070</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1071</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1072</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1073</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1074</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1075</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1076</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1077</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1078</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1079</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1080</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1081</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1082</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1083</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1084</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1085</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1086</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1087</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1088</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1089</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1090</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1091</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1092</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1093</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1094</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3902</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1095</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1096</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1097</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1098</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1099</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1100</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1101</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1102</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1103</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1104</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1105</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1106</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1107</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1108</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1109</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1110</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1111</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1112</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1113</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1114</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1115</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1116</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1117</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1118</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1119</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1120</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1121</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3903</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260</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1122</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1123</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1124</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1125</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1126</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3904</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1127</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3905</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1128</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1129</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3906</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1130</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1131</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1132</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1133</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1134</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3907</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1135</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1136</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1137</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3908</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1138</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1139</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1140</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3909</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1141</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3910</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3883</v>
      </c>
    </row>
    <row r="2" spans="1:34">
      <c r="A2" t="s">
        <v>3882</v>
      </c>
    </row>
    <row r="3" spans="1:34">
      <c r="A3" t="s">
        <v>3881</v>
      </c>
    </row>
    <row r="4" spans="1:34">
      <c r="A4" t="s">
        <v>2355</v>
      </c>
    </row>
    <row r="5" spans="1:34">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4">
      <c r="A6" t="s">
        <v>41</v>
      </c>
    </row>
    <row r="7" spans="1:34">
      <c r="A7" t="s">
        <v>42</v>
      </c>
    </row>
    <row r="8" spans="1:34">
      <c r="A8" t="s">
        <v>3880</v>
      </c>
    </row>
    <row r="9" spans="1:34">
      <c r="A9" t="s">
        <v>3879</v>
      </c>
      <c r="B9" t="s">
        <v>3878</v>
      </c>
      <c r="C9" t="s">
        <v>3877</v>
      </c>
      <c r="D9" t="s">
        <v>3876</v>
      </c>
      <c r="E9" t="s">
        <v>3869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5" customFormat="1">
      <c r="A10" s="255" t="s">
        <v>3779</v>
      </c>
      <c r="B10" s="255" t="s">
        <v>3875</v>
      </c>
      <c r="C10" s="255" t="s">
        <v>3874</v>
      </c>
      <c r="D10" s="255" t="s">
        <v>3869</v>
      </c>
      <c r="F10" s="255">
        <v>90.234665000000007</v>
      </c>
      <c r="G10" s="255">
        <v>88.746048000000002</v>
      </c>
      <c r="H10" s="255">
        <v>87.524918</v>
      </c>
      <c r="I10" s="255">
        <v>86.879401999999999</v>
      </c>
      <c r="J10" s="255">
        <v>86.146125999999995</v>
      </c>
      <c r="K10" s="255">
        <v>85.551413999999994</v>
      </c>
      <c r="L10" s="255">
        <v>85.088477999999995</v>
      </c>
      <c r="M10" s="255">
        <v>84.555840000000003</v>
      </c>
      <c r="N10" s="255">
        <v>84.013214000000005</v>
      </c>
      <c r="O10" s="255">
        <v>83.542664000000002</v>
      </c>
      <c r="P10" s="255">
        <v>83.043007000000003</v>
      </c>
      <c r="Q10" s="255">
        <v>82.538109000000006</v>
      </c>
      <c r="R10" s="255">
        <v>82.013915999999995</v>
      </c>
      <c r="S10" s="255">
        <v>81.499672000000004</v>
      </c>
      <c r="T10" s="255">
        <v>80.976737999999997</v>
      </c>
      <c r="U10" s="255">
        <v>80.459800999999999</v>
      </c>
      <c r="V10" s="255">
        <v>79.954575000000006</v>
      </c>
      <c r="W10" s="255">
        <v>79.410117999999997</v>
      </c>
      <c r="X10" s="255">
        <v>78.884186</v>
      </c>
      <c r="Y10" s="255">
        <v>78.326515000000001</v>
      </c>
      <c r="Z10" s="255">
        <v>77.806870000000004</v>
      </c>
      <c r="AA10" s="255">
        <v>77.239433000000005</v>
      </c>
      <c r="AB10" s="255">
        <v>76.680190999999994</v>
      </c>
      <c r="AC10" s="255">
        <v>76.081207000000006</v>
      </c>
      <c r="AD10" s="255">
        <v>75.451774999999998</v>
      </c>
      <c r="AE10" s="255">
        <v>74.792136999999997</v>
      </c>
      <c r="AF10" s="255">
        <v>74.117767000000001</v>
      </c>
      <c r="AG10" s="256">
        <v>-8.0000000000000002E-3</v>
      </c>
    </row>
    <row r="11" spans="1:34">
      <c r="A11" t="s">
        <v>3873</v>
      </c>
      <c r="B11" t="s">
        <v>3872</v>
      </c>
      <c r="C11" t="s">
        <v>3871</v>
      </c>
      <c r="D11" t="s">
        <v>3870</v>
      </c>
      <c r="E11" t="s">
        <v>3869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3868</v>
      </c>
    </row>
    <row r="13" spans="1:34">
      <c r="A13" t="s">
        <v>3776</v>
      </c>
      <c r="B13" t="s">
        <v>3867</v>
      </c>
      <c r="C13" t="s">
        <v>3866</v>
      </c>
      <c r="D13" t="s">
        <v>3862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3865</v>
      </c>
      <c r="B14" t="s">
        <v>3864</v>
      </c>
      <c r="C14" t="s">
        <v>3863</v>
      </c>
      <c r="D14" t="s">
        <v>3862</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3861</v>
      </c>
    </row>
    <row r="16" spans="1:34">
      <c r="A16" t="s">
        <v>161</v>
      </c>
      <c r="B16" t="s">
        <v>3860</v>
      </c>
      <c r="C16" t="s">
        <v>3859</v>
      </c>
      <c r="D16" t="s">
        <v>3858</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3857</v>
      </c>
    </row>
    <row r="18" spans="1:33">
      <c r="A18" t="s">
        <v>168</v>
      </c>
      <c r="B18" t="s">
        <v>3856</v>
      </c>
      <c r="C18" t="s">
        <v>3855</v>
      </c>
      <c r="D18" t="s">
        <v>3852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194</v>
      </c>
      <c r="B19" t="s">
        <v>3854</v>
      </c>
      <c r="C19" t="s">
        <v>3853</v>
      </c>
      <c r="D19" t="s">
        <v>3852</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3851</v>
      </c>
    </row>
    <row r="22" spans="1:33">
      <c r="A22" t="s">
        <v>3850</v>
      </c>
      <c r="B22" t="s">
        <v>3849</v>
      </c>
      <c r="C22" t="s">
        <v>3848</v>
      </c>
      <c r="D22" t="s">
        <v>1959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3826</v>
      </c>
      <c r="B23" t="s">
        <v>3847</v>
      </c>
      <c r="C23" t="s">
        <v>3846</v>
      </c>
      <c r="D23" t="s">
        <v>1959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3823</v>
      </c>
      <c r="B24" t="s">
        <v>3845</v>
      </c>
      <c r="C24" t="s">
        <v>3844</v>
      </c>
      <c r="D24" t="s">
        <v>1959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3843</v>
      </c>
      <c r="B25" t="s">
        <v>3842</v>
      </c>
      <c r="C25" t="s">
        <v>3841</v>
      </c>
      <c r="D25" t="s">
        <v>1959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3826</v>
      </c>
      <c r="B26" t="s">
        <v>3840</v>
      </c>
      <c r="C26" t="s">
        <v>3839</v>
      </c>
      <c r="D26" t="s">
        <v>1959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3823</v>
      </c>
      <c r="B27" t="s">
        <v>3838</v>
      </c>
      <c r="C27" t="s">
        <v>3837</v>
      </c>
      <c r="D27" t="s">
        <v>1959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3836</v>
      </c>
      <c r="B28" t="s">
        <v>3835</v>
      </c>
      <c r="C28" t="s">
        <v>3834</v>
      </c>
      <c r="D28" t="s">
        <v>1959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3826</v>
      </c>
      <c r="B29" t="s">
        <v>3833</v>
      </c>
      <c r="C29" t="s">
        <v>3832</v>
      </c>
      <c r="D29" t="s">
        <v>1959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3823</v>
      </c>
      <c r="B30" t="s">
        <v>3831</v>
      </c>
      <c r="C30" t="s">
        <v>3830</v>
      </c>
      <c r="D30" t="s">
        <v>1959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3829</v>
      </c>
      <c r="B31" t="s">
        <v>3828</v>
      </c>
      <c r="C31" t="s">
        <v>3827</v>
      </c>
      <c r="D31" t="s">
        <v>1959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3826</v>
      </c>
      <c r="B32" t="s">
        <v>3825</v>
      </c>
      <c r="C32" t="s">
        <v>3824</v>
      </c>
      <c r="D32" t="s">
        <v>1959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3823</v>
      </c>
      <c r="B33" t="s">
        <v>3822</v>
      </c>
      <c r="C33" t="s">
        <v>3821</v>
      </c>
      <c r="D33" t="s">
        <v>1959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3820</v>
      </c>
      <c r="B34" t="s">
        <v>3819</v>
      </c>
      <c r="C34" t="s">
        <v>3818</v>
      </c>
      <c r="D34" t="s">
        <v>1959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3817</v>
      </c>
      <c r="B35" t="s">
        <v>3816</v>
      </c>
      <c r="C35" t="s">
        <v>3815</v>
      </c>
      <c r="D35" t="s">
        <v>1959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3814</v>
      </c>
      <c r="B36" t="s">
        <v>3813</v>
      </c>
      <c r="C36" t="s">
        <v>3812</v>
      </c>
      <c r="D36" t="s">
        <v>1959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3811</v>
      </c>
      <c r="B37" t="s">
        <v>3810</v>
      </c>
      <c r="C37" t="s">
        <v>3809</v>
      </c>
      <c r="D37" t="s">
        <v>1959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3808</v>
      </c>
    </row>
    <row r="39" spans="1:33">
      <c r="A39" t="s">
        <v>3807</v>
      </c>
      <c r="B39" t="s">
        <v>3806</v>
      </c>
      <c r="C39" t="s">
        <v>3805</v>
      </c>
      <c r="D39" t="s">
        <v>2412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3804</v>
      </c>
    </row>
    <row r="41" spans="1:33">
      <c r="A41" t="s">
        <v>168</v>
      </c>
      <c r="B41" t="s">
        <v>3803</v>
      </c>
      <c r="C41" t="s">
        <v>3802</v>
      </c>
      <c r="D41" t="s">
        <v>1797</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194</v>
      </c>
      <c r="B42" t="s">
        <v>3801</v>
      </c>
      <c r="C42" t="s">
        <v>3800</v>
      </c>
      <c r="D42" t="s">
        <v>1797</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3799</v>
      </c>
    </row>
    <row r="45" spans="1:33">
      <c r="A45" t="s">
        <v>3713</v>
      </c>
      <c r="B45" t="s">
        <v>3781</v>
      </c>
      <c r="C45" t="s">
        <v>3798</v>
      </c>
      <c r="D45" t="s">
        <v>3783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3779</v>
      </c>
      <c r="B46" t="s">
        <v>3778</v>
      </c>
      <c r="C46" t="s">
        <v>3797</v>
      </c>
      <c r="D46" t="s">
        <v>3783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3776</v>
      </c>
      <c r="B47" t="s">
        <v>3775</v>
      </c>
      <c r="C47" t="s">
        <v>3796</v>
      </c>
      <c r="D47" t="s">
        <v>3783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3669</v>
      </c>
      <c r="B48" t="s">
        <v>3773</v>
      </c>
      <c r="C48" t="s">
        <v>3795</v>
      </c>
      <c r="D48" t="s">
        <v>3783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3771</v>
      </c>
      <c r="C49" t="s">
        <v>3770</v>
      </c>
      <c r="D49" t="s">
        <v>3794</v>
      </c>
      <c r="E49" t="s">
        <v>3783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3768</v>
      </c>
      <c r="C50" t="s">
        <v>3767</v>
      </c>
      <c r="D50" t="s">
        <v>3793</v>
      </c>
      <c r="E50" t="s">
        <v>3783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3762</v>
      </c>
      <c r="B51" t="s">
        <v>3765</v>
      </c>
      <c r="C51" t="s">
        <v>3764</v>
      </c>
      <c r="D51" t="s">
        <v>3792</v>
      </c>
      <c r="E51" t="s">
        <v>3783</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3762</v>
      </c>
      <c r="B52" t="s">
        <v>3761</v>
      </c>
      <c r="C52" t="s">
        <v>3760</v>
      </c>
      <c r="D52" t="s">
        <v>3791</v>
      </c>
      <c r="E52" t="s">
        <v>3783</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3758</v>
      </c>
      <c r="B53" t="s">
        <v>3757</v>
      </c>
      <c r="C53" t="s">
        <v>3790</v>
      </c>
      <c r="D53" t="s">
        <v>3783</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3755</v>
      </c>
      <c r="C54" t="s">
        <v>3789</v>
      </c>
      <c r="D54" t="s">
        <v>3783</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3753</v>
      </c>
      <c r="B55" t="s">
        <v>3752</v>
      </c>
      <c r="C55" t="s">
        <v>3788</v>
      </c>
      <c r="D55" t="s">
        <v>3783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3750</v>
      </c>
      <c r="B56" t="s">
        <v>3749</v>
      </c>
      <c r="C56" t="s">
        <v>3787</v>
      </c>
      <c r="D56" t="s">
        <v>3783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3747</v>
      </c>
      <c r="B57" t="s">
        <v>3746</v>
      </c>
      <c r="C57" t="s">
        <v>3786</v>
      </c>
      <c r="D57" t="s">
        <v>3783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3744</v>
      </c>
      <c r="B58" t="s">
        <v>3743</v>
      </c>
      <c r="C58" t="s">
        <v>3785</v>
      </c>
      <c r="D58" t="s">
        <v>3783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3741</v>
      </c>
      <c r="B59" t="s">
        <v>3740</v>
      </c>
      <c r="C59" t="s">
        <v>3784</v>
      </c>
      <c r="D59" t="s">
        <v>3783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3782</v>
      </c>
    </row>
    <row r="61" spans="1:34">
      <c r="A61" t="s">
        <v>3713</v>
      </c>
      <c r="B61" t="s">
        <v>3781</v>
      </c>
      <c r="C61" t="s">
        <v>3780</v>
      </c>
      <c r="D61" t="s">
        <v>3738</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3779</v>
      </c>
      <c r="B62" t="s">
        <v>3778</v>
      </c>
      <c r="C62" t="s">
        <v>3777</v>
      </c>
      <c r="D62" t="s">
        <v>3738</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3776</v>
      </c>
      <c r="B63" t="s">
        <v>3775</v>
      </c>
      <c r="C63" t="s">
        <v>3774</v>
      </c>
      <c r="D63" t="s">
        <v>3738</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3669</v>
      </c>
      <c r="B64" t="s">
        <v>3773</v>
      </c>
      <c r="C64" t="s">
        <v>3772</v>
      </c>
      <c r="D64" t="s">
        <v>3738</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3771</v>
      </c>
      <c r="C65" t="s">
        <v>3770</v>
      </c>
      <c r="D65" t="s">
        <v>3769</v>
      </c>
      <c r="E65" t="s">
        <v>3738</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3768</v>
      </c>
      <c r="C66" t="s">
        <v>3767</v>
      </c>
      <c r="D66" t="s">
        <v>3766</v>
      </c>
      <c r="E66" t="s">
        <v>3738</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3762</v>
      </c>
      <c r="B67" t="s">
        <v>3765</v>
      </c>
      <c r="C67" t="s">
        <v>3764</v>
      </c>
      <c r="D67" t="s">
        <v>3763</v>
      </c>
      <c r="E67" t="s">
        <v>3738</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3762</v>
      </c>
      <c r="B68" t="s">
        <v>3761</v>
      </c>
      <c r="C68" t="s">
        <v>3760</v>
      </c>
      <c r="D68" t="s">
        <v>3759</v>
      </c>
      <c r="E68" t="s">
        <v>3738</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3758</v>
      </c>
      <c r="B69" t="s">
        <v>3757</v>
      </c>
      <c r="C69" t="s">
        <v>3756</v>
      </c>
      <c r="D69" t="s">
        <v>3738</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3755</v>
      </c>
      <c r="C70" t="s">
        <v>3754</v>
      </c>
      <c r="D70" t="s">
        <v>3738</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3753</v>
      </c>
      <c r="B71" t="s">
        <v>3752</v>
      </c>
      <c r="C71" t="s">
        <v>3751</v>
      </c>
      <c r="D71" t="s">
        <v>3738</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3750</v>
      </c>
      <c r="B72" t="s">
        <v>3749</v>
      </c>
      <c r="C72" t="s">
        <v>3748</v>
      </c>
      <c r="D72" t="s">
        <v>3738</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3747</v>
      </c>
      <c r="B73" t="s">
        <v>3746</v>
      </c>
      <c r="C73" t="s">
        <v>3745</v>
      </c>
      <c r="D73" t="s">
        <v>3738</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3744</v>
      </c>
      <c r="B74" t="s">
        <v>3743</v>
      </c>
      <c r="C74" t="s">
        <v>3742</v>
      </c>
      <c r="D74" t="s">
        <v>3738</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3741</v>
      </c>
      <c r="B75" t="s">
        <v>3740</v>
      </c>
      <c r="C75" t="s">
        <v>3739</v>
      </c>
      <c r="D75" t="s">
        <v>3738</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3737</v>
      </c>
    </row>
    <row r="77" spans="1:34">
      <c r="A77" t="s">
        <v>3713</v>
      </c>
    </row>
    <row r="78" spans="1:34">
      <c r="A78" t="s">
        <v>3736</v>
      </c>
      <c r="B78" t="s">
        <v>3735</v>
      </c>
      <c r="C78" t="s">
        <v>3731</v>
      </c>
      <c r="D78" t="s">
        <v>3730</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3734</v>
      </c>
      <c r="B79" t="s">
        <v>3733</v>
      </c>
      <c r="C79" t="s">
        <v>3731</v>
      </c>
      <c r="D79" t="s">
        <v>3730</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3721</v>
      </c>
      <c r="B80" t="s">
        <v>3732</v>
      </c>
      <c r="C80" t="s">
        <v>3731</v>
      </c>
      <c r="D80" t="s">
        <v>3730</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3669</v>
      </c>
    </row>
    <row r="82" spans="1:33">
      <c r="A82" t="s">
        <v>3729</v>
      </c>
      <c r="B82" t="s">
        <v>3728</v>
      </c>
      <c r="C82" t="s">
        <v>3719</v>
      </c>
      <c r="D82" t="s">
        <v>3718</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3727</v>
      </c>
      <c r="B83" t="s">
        <v>3726</v>
      </c>
      <c r="C83" t="s">
        <v>3719</v>
      </c>
      <c r="D83" t="s">
        <v>3718</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3725</v>
      </c>
      <c r="B84" t="s">
        <v>3724</v>
      </c>
      <c r="C84" t="s">
        <v>3719</v>
      </c>
      <c r="D84" t="s">
        <v>3718</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3723</v>
      </c>
      <c r="B85" t="s">
        <v>3722</v>
      </c>
      <c r="C85" t="s">
        <v>3719</v>
      </c>
      <c r="D85" t="s">
        <v>3718</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3721</v>
      </c>
      <c r="B86" t="s">
        <v>3720</v>
      </c>
      <c r="C86" t="s">
        <v>3719</v>
      </c>
      <c r="D86" t="s">
        <v>3718</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3717</v>
      </c>
    </row>
    <row r="88" spans="1:33">
      <c r="A88" t="s">
        <v>3716</v>
      </c>
      <c r="B88" t="s">
        <v>3715</v>
      </c>
      <c r="C88" t="s">
        <v>3714</v>
      </c>
      <c r="D88" t="s">
        <v>3687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3713</v>
      </c>
      <c r="B89" t="s">
        <v>3712</v>
      </c>
      <c r="C89" t="s">
        <v>3705</v>
      </c>
      <c r="D89" t="s">
        <v>3687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3711</v>
      </c>
      <c r="B90" t="s">
        <v>3710</v>
      </c>
      <c r="C90" t="s">
        <v>3705</v>
      </c>
      <c r="D90" t="s">
        <v>3687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3709</v>
      </c>
      <c r="B91" t="s">
        <v>3708</v>
      </c>
      <c r="C91" t="s">
        <v>3705</v>
      </c>
      <c r="D91" t="s">
        <v>3687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3707</v>
      </c>
      <c r="B92" t="s">
        <v>3706</v>
      </c>
      <c r="C92" t="s">
        <v>3705</v>
      </c>
      <c r="D92" t="s">
        <v>3687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1075</v>
      </c>
      <c r="B93" t="s">
        <v>3704</v>
      </c>
      <c r="C93" t="s">
        <v>3697</v>
      </c>
      <c r="D93" t="s">
        <v>3687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3703</v>
      </c>
      <c r="B94" t="s">
        <v>3702</v>
      </c>
      <c r="C94" t="s">
        <v>3697</v>
      </c>
      <c r="D94" t="s">
        <v>3687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3701</v>
      </c>
      <c r="B95" t="s">
        <v>3700</v>
      </c>
      <c r="C95" t="s">
        <v>3697</v>
      </c>
      <c r="D95" t="s">
        <v>3687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3699</v>
      </c>
      <c r="B96" t="s">
        <v>3698</v>
      </c>
      <c r="C96" t="s">
        <v>3697</v>
      </c>
      <c r="D96" t="s">
        <v>3687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3696</v>
      </c>
      <c r="B97" t="s">
        <v>3695</v>
      </c>
      <c r="C97" t="s">
        <v>3692</v>
      </c>
      <c r="D97" t="s">
        <v>3687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3663</v>
      </c>
      <c r="B98" t="s">
        <v>3694</v>
      </c>
      <c r="C98" t="s">
        <v>3692</v>
      </c>
      <c r="D98" t="s">
        <v>3687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3666</v>
      </c>
      <c r="B99" t="s">
        <v>3693</v>
      </c>
      <c r="C99" t="s">
        <v>3692</v>
      </c>
      <c r="D99" t="s">
        <v>3687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3691</v>
      </c>
    </row>
    <row r="101" spans="1:33">
      <c r="A101" t="s">
        <v>3663</v>
      </c>
      <c r="B101" t="s">
        <v>3690</v>
      </c>
      <c r="C101" t="s">
        <v>3688</v>
      </c>
      <c r="D101" t="s">
        <v>3687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3666</v>
      </c>
      <c r="B102" t="s">
        <v>3689</v>
      </c>
      <c r="C102" t="s">
        <v>3688</v>
      </c>
      <c r="D102" t="s">
        <v>3687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3686</v>
      </c>
      <c r="B103" t="s">
        <v>3685</v>
      </c>
      <c r="C103" t="s">
        <v>3684</v>
      </c>
      <c r="D103" t="s">
        <v>3683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3682</v>
      </c>
    </row>
    <row r="105" spans="1:33">
      <c r="A105" t="s">
        <v>215</v>
      </c>
    </row>
    <row r="106" spans="1:33">
      <c r="A106" t="s">
        <v>3669</v>
      </c>
      <c r="B106" t="s">
        <v>3681</v>
      </c>
      <c r="C106" t="s">
        <v>3680</v>
      </c>
      <c r="D106" t="s">
        <v>3650</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3666</v>
      </c>
      <c r="B107" t="s">
        <v>3679</v>
      </c>
      <c r="C107" t="s">
        <v>3678</v>
      </c>
      <c r="D107" t="s">
        <v>3650</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3663</v>
      </c>
      <c r="B108" t="s">
        <v>3677</v>
      </c>
      <c r="C108" t="s">
        <v>3676</v>
      </c>
      <c r="D108" t="s">
        <v>3650</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3657</v>
      </c>
      <c r="B109" t="s">
        <v>3675</v>
      </c>
      <c r="C109" t="s">
        <v>3674</v>
      </c>
      <c r="D109" t="s">
        <v>3650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1772</v>
      </c>
    </row>
    <row r="110" spans="1:33">
      <c r="A110" t="s">
        <v>2818</v>
      </c>
      <c r="B110" t="s">
        <v>3673</v>
      </c>
      <c r="C110" t="s">
        <v>3672</v>
      </c>
      <c r="D110" t="s">
        <v>3650</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2783</v>
      </c>
      <c r="B111" t="s">
        <v>3671</v>
      </c>
      <c r="C111" t="s">
        <v>3670</v>
      </c>
      <c r="D111" t="s">
        <v>3650</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216</v>
      </c>
    </row>
    <row r="113" spans="1:33">
      <c r="A113" t="s">
        <v>3669</v>
      </c>
      <c r="B113" t="s">
        <v>3668</v>
      </c>
      <c r="C113" t="s">
        <v>3667</v>
      </c>
      <c r="D113" t="s">
        <v>3650</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3666</v>
      </c>
      <c r="B114" t="s">
        <v>3665</v>
      </c>
      <c r="C114" t="s">
        <v>3664</v>
      </c>
      <c r="D114" t="s">
        <v>3650</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3663</v>
      </c>
      <c r="B115" t="s">
        <v>3662</v>
      </c>
      <c r="C115" t="s">
        <v>3661</v>
      </c>
      <c r="D115" t="s">
        <v>3650</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3660</v>
      </c>
      <c r="B116" t="s">
        <v>3659</v>
      </c>
      <c r="C116" t="s">
        <v>3658</v>
      </c>
      <c r="D116" t="s">
        <v>3650</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3657</v>
      </c>
      <c r="B117" t="s">
        <v>3656</v>
      </c>
      <c r="C117" t="s">
        <v>3655</v>
      </c>
      <c r="D117" t="s">
        <v>3650</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2818</v>
      </c>
      <c r="B118" t="s">
        <v>3654</v>
      </c>
      <c r="C118" t="s">
        <v>3653</v>
      </c>
      <c r="D118" t="s">
        <v>3650</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2783</v>
      </c>
      <c r="B119" t="s">
        <v>3652</v>
      </c>
      <c r="C119" t="s">
        <v>3651</v>
      </c>
      <c r="D119" t="s">
        <v>3650</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sheetData>
    <row r="1" spans="1:33">
      <c r="A1" t="s">
        <v>3541</v>
      </c>
    </row>
    <row r="2" spans="1:33">
      <c r="A2" t="s">
        <v>3540</v>
      </c>
    </row>
    <row r="3" spans="1:33">
      <c r="A3" t="s">
        <v>3539</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3538</v>
      </c>
    </row>
    <row r="7" spans="1:33">
      <c r="A7" t="s">
        <v>2986</v>
      </c>
    </row>
    <row r="8" spans="1:33">
      <c r="A8" t="s">
        <v>340</v>
      </c>
      <c r="B8" t="s">
        <v>3537</v>
      </c>
      <c r="C8" t="s">
        <v>3536</v>
      </c>
      <c r="D8" t="s">
        <v>1998</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342</v>
      </c>
      <c r="B9" t="s">
        <v>3535</v>
      </c>
      <c r="C9" t="s">
        <v>3534</v>
      </c>
      <c r="D9" t="s">
        <v>1998</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2981</v>
      </c>
      <c r="B10" t="s">
        <v>3533</v>
      </c>
      <c r="C10" t="s">
        <v>3532</v>
      </c>
      <c r="D10" t="s">
        <v>1998</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2978</v>
      </c>
    </row>
    <row r="12" spans="1:33">
      <c r="A12" t="s">
        <v>347</v>
      </c>
      <c r="B12" t="s">
        <v>3531</v>
      </c>
      <c r="C12" t="s">
        <v>3530</v>
      </c>
      <c r="D12" t="s">
        <v>1998</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2931</v>
      </c>
      <c r="B13" t="s">
        <v>3529</v>
      </c>
      <c r="C13" t="s">
        <v>3528</v>
      </c>
      <c r="D13" t="s">
        <v>1998</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2928</v>
      </c>
      <c r="B14" t="s">
        <v>3527</v>
      </c>
      <c r="C14" t="s">
        <v>3526</v>
      </c>
      <c r="D14" t="s">
        <v>1998</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2925</v>
      </c>
      <c r="B15" t="s">
        <v>3525</v>
      </c>
      <c r="C15" t="s">
        <v>3524</v>
      </c>
      <c r="D15" t="s">
        <v>1998</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2922</v>
      </c>
      <c r="B16" t="s">
        <v>3523</v>
      </c>
      <c r="C16" t="s">
        <v>3522</v>
      </c>
      <c r="D16" t="s">
        <v>1998</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2919</v>
      </c>
      <c r="B17" t="s">
        <v>3521</v>
      </c>
      <c r="C17" t="s">
        <v>3520</v>
      </c>
      <c r="D17" t="s">
        <v>1998</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354</v>
      </c>
      <c r="B18" t="s">
        <v>3519</v>
      </c>
      <c r="C18" t="s">
        <v>3518</v>
      </c>
      <c r="D18" t="s">
        <v>1998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3517</v>
      </c>
      <c r="C19" t="s">
        <v>3516</v>
      </c>
      <c r="D19" t="s">
        <v>1998</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358</v>
      </c>
      <c r="B20" t="s">
        <v>3515</v>
      </c>
      <c r="C20" t="s">
        <v>3514</v>
      </c>
      <c r="D20" t="s">
        <v>1998</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360</v>
      </c>
      <c r="B21" t="s">
        <v>3513</v>
      </c>
      <c r="C21" t="s">
        <v>3512</v>
      </c>
      <c r="D21" t="s">
        <v>1998</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362</v>
      </c>
      <c r="B22" t="s">
        <v>3511</v>
      </c>
      <c r="C22" t="s">
        <v>3510</v>
      </c>
      <c r="D22" t="s">
        <v>1998</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364</v>
      </c>
      <c r="B23" t="s">
        <v>3509</v>
      </c>
      <c r="C23" t="s">
        <v>3508</v>
      </c>
      <c r="D23" t="s">
        <v>1998</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366</v>
      </c>
      <c r="B24" t="s">
        <v>3507</v>
      </c>
      <c r="C24" t="s">
        <v>3506</v>
      </c>
      <c r="D24" t="s">
        <v>1998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3505</v>
      </c>
      <c r="C25" t="s">
        <v>3504</v>
      </c>
      <c r="D25" t="s">
        <v>1998</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2949</v>
      </c>
      <c r="B26" t="s">
        <v>3503</v>
      </c>
      <c r="C26" t="s">
        <v>3502</v>
      </c>
      <c r="D26" t="s">
        <v>1998</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711</v>
      </c>
      <c r="B27" t="s">
        <v>3501</v>
      </c>
      <c r="C27" t="s">
        <v>3500</v>
      </c>
      <c r="D27" t="s">
        <v>1998</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3499</v>
      </c>
    </row>
    <row r="29" spans="1:33">
      <c r="A29" t="s">
        <v>2942</v>
      </c>
    </row>
    <row r="30" spans="1:33">
      <c r="A30" t="s">
        <v>340</v>
      </c>
      <c r="B30" t="s">
        <v>3498</v>
      </c>
      <c r="C30" t="s">
        <v>3497</v>
      </c>
      <c r="D30" t="s">
        <v>1998</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342</v>
      </c>
      <c r="B31" t="s">
        <v>3496</v>
      </c>
      <c r="C31" t="s">
        <v>3495</v>
      </c>
      <c r="D31" t="s">
        <v>1998</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2937</v>
      </c>
      <c r="B32" t="s">
        <v>3494</v>
      </c>
      <c r="C32" t="s">
        <v>3493</v>
      </c>
      <c r="D32" t="s">
        <v>1998</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2934</v>
      </c>
    </row>
    <row r="34" spans="1:33">
      <c r="A34" t="s">
        <v>347</v>
      </c>
      <c r="B34" t="s">
        <v>3492</v>
      </c>
      <c r="C34" t="s">
        <v>3491</v>
      </c>
      <c r="D34" t="s">
        <v>1998</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2931</v>
      </c>
      <c r="B35" t="s">
        <v>3490</v>
      </c>
      <c r="C35" t="s">
        <v>3489</v>
      </c>
      <c r="D35" t="s">
        <v>1998</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2928</v>
      </c>
      <c r="B36" t="s">
        <v>3488</v>
      </c>
      <c r="C36" t="s">
        <v>3487</v>
      </c>
      <c r="D36" t="s">
        <v>1998</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2925</v>
      </c>
      <c r="B37" t="s">
        <v>3486</v>
      </c>
      <c r="C37" t="s">
        <v>3485</v>
      </c>
      <c r="D37" t="s">
        <v>1998</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2922</v>
      </c>
      <c r="B38" t="s">
        <v>3484</v>
      </c>
      <c r="C38" t="s">
        <v>3483</v>
      </c>
      <c r="D38" t="s">
        <v>1998</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2919</v>
      </c>
      <c r="B39" t="s">
        <v>3482</v>
      </c>
      <c r="C39" t="s">
        <v>3481</v>
      </c>
      <c r="D39" t="s">
        <v>1998</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354</v>
      </c>
      <c r="B40" t="s">
        <v>3480</v>
      </c>
      <c r="C40" t="s">
        <v>3479</v>
      </c>
      <c r="D40" t="s">
        <v>1998</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3478</v>
      </c>
      <c r="C41" t="s">
        <v>3477</v>
      </c>
      <c r="D41" t="s">
        <v>1998</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358</v>
      </c>
      <c r="B42" t="s">
        <v>3476</v>
      </c>
      <c r="C42" t="s">
        <v>3475</v>
      </c>
      <c r="D42" t="s">
        <v>1998</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360</v>
      </c>
      <c r="B43" t="s">
        <v>3474</v>
      </c>
      <c r="C43" t="s">
        <v>3473</v>
      </c>
      <c r="D43" t="s">
        <v>1998</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362</v>
      </c>
      <c r="B44" t="s">
        <v>3472</v>
      </c>
      <c r="C44" t="s">
        <v>3471</v>
      </c>
      <c r="D44" t="s">
        <v>1998</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364</v>
      </c>
      <c r="B45" t="s">
        <v>3470</v>
      </c>
      <c r="C45" t="s">
        <v>3469</v>
      </c>
      <c r="D45" t="s">
        <v>1998</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366</v>
      </c>
      <c r="B46" t="s">
        <v>3468</v>
      </c>
      <c r="C46" t="s">
        <v>3467</v>
      </c>
      <c r="D46" t="s">
        <v>1998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3466</v>
      </c>
      <c r="C47" t="s">
        <v>3465</v>
      </c>
      <c r="D47" t="s">
        <v>1998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3464</v>
      </c>
      <c r="C48" t="s">
        <v>3463</v>
      </c>
      <c r="D48" t="s">
        <v>1998</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734</v>
      </c>
      <c r="B49" t="s">
        <v>3462</v>
      </c>
      <c r="C49" t="s">
        <v>3461</v>
      </c>
      <c r="D49" t="s">
        <v>1998</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7" customFormat="1">
      <c r="A50" s="237" t="s">
        <v>212</v>
      </c>
      <c r="B50" s="237" t="s">
        <v>3460</v>
      </c>
      <c r="C50" s="237" t="s">
        <v>3459</v>
      </c>
      <c r="D50" s="237" t="s">
        <v>3458</v>
      </c>
      <c r="E50" s="237" t="s">
        <v>1998</v>
      </c>
      <c r="F50" s="237">
        <v>265.43582199999997</v>
      </c>
      <c r="G50" s="237">
        <v>266.649292</v>
      </c>
      <c r="H50" s="237">
        <v>268.382812</v>
      </c>
      <c r="I50" s="237">
        <v>270.095642</v>
      </c>
      <c r="J50" s="237">
        <v>271.202271</v>
      </c>
      <c r="K50" s="237">
        <v>271.98632800000001</v>
      </c>
      <c r="L50" s="237">
        <v>272.49481200000002</v>
      </c>
      <c r="M50" s="237">
        <v>272.57971199999997</v>
      </c>
      <c r="N50" s="237">
        <v>272.468842</v>
      </c>
      <c r="O50" s="237">
        <v>272.35015900000002</v>
      </c>
      <c r="P50" s="237">
        <v>272.19085699999999</v>
      </c>
      <c r="Q50" s="237">
        <v>271.98223899999999</v>
      </c>
      <c r="R50" s="237">
        <v>271.77188100000001</v>
      </c>
      <c r="S50" s="237">
        <v>271.60205100000002</v>
      </c>
      <c r="T50" s="237">
        <v>271.55246</v>
      </c>
      <c r="U50" s="237">
        <v>271.63742100000002</v>
      </c>
      <c r="V50" s="237">
        <v>271.81369000000001</v>
      </c>
      <c r="W50" s="237">
        <v>271.98666400000002</v>
      </c>
      <c r="X50" s="237">
        <v>272.15136699999999</v>
      </c>
      <c r="Y50" s="237">
        <v>272.26608299999998</v>
      </c>
      <c r="Z50" s="237">
        <v>272.36206099999998</v>
      </c>
      <c r="AA50" s="237">
        <v>272.40039100000001</v>
      </c>
      <c r="AB50" s="237">
        <v>272.34985399999999</v>
      </c>
      <c r="AC50" s="237">
        <v>272.19482399999998</v>
      </c>
      <c r="AD50" s="237">
        <v>271.90271000000001</v>
      </c>
      <c r="AE50" s="237">
        <v>271.52453600000001</v>
      </c>
      <c r="AF50" s="237">
        <v>271.10485799999998</v>
      </c>
      <c r="AG50" s="242">
        <v>1E-3</v>
      </c>
      <c r="AH50" s="242"/>
    </row>
    <row r="51" spans="1:34">
      <c r="A51" t="s">
        <v>3457</v>
      </c>
      <c r="B51" t="s">
        <v>3456</v>
      </c>
      <c r="C51" t="s">
        <v>3455</v>
      </c>
      <c r="D51" t="s">
        <v>1998</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3454</v>
      </c>
      <c r="B52" t="s">
        <v>3453</v>
      </c>
      <c r="C52" t="s">
        <v>3452</v>
      </c>
      <c r="D52" t="s">
        <v>1998</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3451</v>
      </c>
      <c r="B53" t="s">
        <v>3450</v>
      </c>
      <c r="C53" t="s">
        <v>3449</v>
      </c>
      <c r="D53" t="s">
        <v>1998</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207</v>
      </c>
      <c r="B54" t="s">
        <v>3448</v>
      </c>
      <c r="C54" t="s">
        <v>3447</v>
      </c>
      <c r="D54" t="s">
        <v>1998</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3446</v>
      </c>
      <c r="B55" t="s">
        <v>3445</v>
      </c>
      <c r="C55" t="s">
        <v>3444</v>
      </c>
      <c r="D55" t="s">
        <v>1998</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3443</v>
      </c>
      <c r="B56" t="s">
        <v>3442</v>
      </c>
      <c r="C56" t="s">
        <v>3441</v>
      </c>
      <c r="D56" t="s">
        <v>1998</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3440</v>
      </c>
      <c r="B57" t="s">
        <v>3439</v>
      </c>
      <c r="C57" t="s">
        <v>3438</v>
      </c>
      <c r="D57" t="s">
        <v>1998</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210</v>
      </c>
      <c r="B58" t="s">
        <v>3437</v>
      </c>
      <c r="C58" t="s">
        <v>3436</v>
      </c>
      <c r="D58" t="s">
        <v>1998</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3649</v>
      </c>
    </row>
    <row r="2" spans="1:33">
      <c r="A2" t="s">
        <v>3648</v>
      </c>
    </row>
    <row r="3" spans="1:33">
      <c r="A3" t="s">
        <v>3647</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3538</v>
      </c>
    </row>
    <row r="7" spans="1:33">
      <c r="A7" t="s">
        <v>2986</v>
      </c>
    </row>
    <row r="8" spans="1:33">
      <c r="A8" t="s">
        <v>340</v>
      </c>
      <c r="B8" t="s">
        <v>3646</v>
      </c>
      <c r="C8" t="s">
        <v>3645</v>
      </c>
      <c r="D8" t="s">
        <v>1818</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342</v>
      </c>
      <c r="B9" t="s">
        <v>3644</v>
      </c>
      <c r="C9" t="s">
        <v>3643</v>
      </c>
      <c r="D9" t="s">
        <v>1818</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2981</v>
      </c>
      <c r="B10" t="s">
        <v>3642</v>
      </c>
      <c r="C10" t="s">
        <v>3641</v>
      </c>
      <c r="D10" t="s">
        <v>1818</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2978</v>
      </c>
    </row>
    <row r="12" spans="1:33">
      <c r="A12" t="s">
        <v>347</v>
      </c>
      <c r="B12" t="s">
        <v>3640</v>
      </c>
      <c r="C12" t="s">
        <v>3639</v>
      </c>
      <c r="D12" t="s">
        <v>1818</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2931</v>
      </c>
      <c r="B13" t="s">
        <v>3638</v>
      </c>
      <c r="C13" t="s">
        <v>3637</v>
      </c>
      <c r="D13" t="s">
        <v>1818</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2928</v>
      </c>
      <c r="B14" t="s">
        <v>3636</v>
      </c>
      <c r="C14" t="s">
        <v>3635</v>
      </c>
      <c r="D14" t="s">
        <v>1818</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2925</v>
      </c>
      <c r="B15" t="s">
        <v>3634</v>
      </c>
      <c r="C15" t="s">
        <v>3633</v>
      </c>
      <c r="D15" t="s">
        <v>1818</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2922</v>
      </c>
      <c r="B16" t="s">
        <v>3632</v>
      </c>
      <c r="C16" t="s">
        <v>3631</v>
      </c>
      <c r="D16" t="s">
        <v>1818</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2919</v>
      </c>
      <c r="B17" t="s">
        <v>3630</v>
      </c>
      <c r="C17" t="s">
        <v>3629</v>
      </c>
      <c r="D17" t="s">
        <v>1818</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354</v>
      </c>
      <c r="B18" t="s">
        <v>3628</v>
      </c>
      <c r="C18" t="s">
        <v>3627</v>
      </c>
      <c r="D18" t="s">
        <v>1818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3626</v>
      </c>
      <c r="C19" t="s">
        <v>3625</v>
      </c>
      <c r="D19" t="s">
        <v>1818</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358</v>
      </c>
      <c r="B20" t="s">
        <v>3624</v>
      </c>
      <c r="C20" t="s">
        <v>3623</v>
      </c>
      <c r="D20" t="s">
        <v>1818</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360</v>
      </c>
      <c r="B21" t="s">
        <v>3622</v>
      </c>
      <c r="C21" t="s">
        <v>3621</v>
      </c>
      <c r="D21" t="s">
        <v>1818</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362</v>
      </c>
      <c r="B22" t="s">
        <v>3620</v>
      </c>
      <c r="C22" t="s">
        <v>3619</v>
      </c>
      <c r="D22" t="s">
        <v>1818</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364</v>
      </c>
      <c r="B23" t="s">
        <v>3618</v>
      </c>
      <c r="C23" t="s">
        <v>3617</v>
      </c>
      <c r="D23" t="s">
        <v>1818</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366</v>
      </c>
      <c r="B24" t="s">
        <v>3616</v>
      </c>
      <c r="C24" t="s">
        <v>3615</v>
      </c>
      <c r="D24" t="s">
        <v>1818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3614</v>
      </c>
      <c r="C25" t="s">
        <v>3613</v>
      </c>
      <c r="D25" t="s">
        <v>1818</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2949</v>
      </c>
      <c r="B26" t="s">
        <v>3612</v>
      </c>
      <c r="C26" t="s">
        <v>3611</v>
      </c>
      <c r="D26" t="s">
        <v>1818</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711</v>
      </c>
      <c r="B27" t="s">
        <v>3610</v>
      </c>
      <c r="C27" t="s">
        <v>3609</v>
      </c>
      <c r="D27" t="s">
        <v>1818</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3499</v>
      </c>
    </row>
    <row r="29" spans="1:33">
      <c r="A29" t="s">
        <v>2942</v>
      </c>
    </row>
    <row r="30" spans="1:33">
      <c r="A30" t="s">
        <v>340</v>
      </c>
      <c r="B30" t="s">
        <v>3608</v>
      </c>
      <c r="C30" t="s">
        <v>3607</v>
      </c>
      <c r="D30" t="s">
        <v>1818</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342</v>
      </c>
      <c r="B31" t="s">
        <v>3606</v>
      </c>
      <c r="C31" t="s">
        <v>3605</v>
      </c>
      <c r="D31" t="s">
        <v>1818</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2937</v>
      </c>
      <c r="B32" t="s">
        <v>3604</v>
      </c>
      <c r="C32" t="s">
        <v>3603</v>
      </c>
      <c r="D32" t="s">
        <v>1818</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2934</v>
      </c>
    </row>
    <row r="34" spans="1:33">
      <c r="A34" t="s">
        <v>347</v>
      </c>
      <c r="B34" t="s">
        <v>3602</v>
      </c>
      <c r="C34" t="s">
        <v>3601</v>
      </c>
      <c r="D34" t="s">
        <v>1818</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2931</v>
      </c>
      <c r="B35" t="s">
        <v>3600</v>
      </c>
      <c r="C35" t="s">
        <v>3599</v>
      </c>
      <c r="D35" t="s">
        <v>1818</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2928</v>
      </c>
      <c r="B36" t="s">
        <v>3598</v>
      </c>
      <c r="C36" t="s">
        <v>3597</v>
      </c>
      <c r="D36" t="s">
        <v>1818</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2925</v>
      </c>
      <c r="B37" t="s">
        <v>3596</v>
      </c>
      <c r="C37" t="s">
        <v>3595</v>
      </c>
      <c r="D37" t="s">
        <v>1818</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2922</v>
      </c>
      <c r="B38" t="s">
        <v>3594</v>
      </c>
      <c r="C38" t="s">
        <v>3593</v>
      </c>
      <c r="D38" t="s">
        <v>1818</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2919</v>
      </c>
      <c r="B39" t="s">
        <v>3592</v>
      </c>
      <c r="C39" t="s">
        <v>3591</v>
      </c>
      <c r="D39" t="s">
        <v>1818</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354</v>
      </c>
      <c r="B40" t="s">
        <v>3590</v>
      </c>
      <c r="C40" t="s">
        <v>3589</v>
      </c>
      <c r="D40" t="s">
        <v>1818</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3588</v>
      </c>
      <c r="C41" t="s">
        <v>3587</v>
      </c>
      <c r="D41" t="s">
        <v>1818</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358</v>
      </c>
      <c r="B42" t="s">
        <v>3586</v>
      </c>
      <c r="C42" t="s">
        <v>3585</v>
      </c>
      <c r="D42" t="s">
        <v>1818</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360</v>
      </c>
      <c r="B43" t="s">
        <v>3584</v>
      </c>
      <c r="C43" t="s">
        <v>3583</v>
      </c>
      <c r="D43" t="s">
        <v>1818</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362</v>
      </c>
      <c r="B44" t="s">
        <v>3582</v>
      </c>
      <c r="C44" t="s">
        <v>3581</v>
      </c>
      <c r="D44" t="s">
        <v>1818</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364</v>
      </c>
      <c r="B45" t="s">
        <v>3580</v>
      </c>
      <c r="C45" t="s">
        <v>3579</v>
      </c>
      <c r="D45" t="s">
        <v>1818</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366</v>
      </c>
      <c r="B46" t="s">
        <v>3578</v>
      </c>
      <c r="C46" t="s">
        <v>3577</v>
      </c>
      <c r="D46" t="s">
        <v>1818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3576</v>
      </c>
      <c r="C47" t="s">
        <v>3575</v>
      </c>
      <c r="D47" t="s">
        <v>1818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3574</v>
      </c>
      <c r="C48" t="s">
        <v>3573</v>
      </c>
      <c r="D48" t="s">
        <v>1818</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734</v>
      </c>
      <c r="B49" t="s">
        <v>3572</v>
      </c>
      <c r="C49" t="s">
        <v>3571</v>
      </c>
      <c r="D49" t="s">
        <v>1818</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396</v>
      </c>
      <c r="B50" t="s">
        <v>3570</v>
      </c>
      <c r="C50" t="s">
        <v>3569</v>
      </c>
      <c r="D50" t="s">
        <v>1818</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203</v>
      </c>
      <c r="B51" t="s">
        <v>3568</v>
      </c>
      <c r="C51" t="s">
        <v>3567</v>
      </c>
      <c r="D51" t="s">
        <v>1818</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202</v>
      </c>
      <c r="B52" t="s">
        <v>3566</v>
      </c>
      <c r="C52" t="s">
        <v>3565</v>
      </c>
      <c r="D52" t="s">
        <v>1818</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204</v>
      </c>
      <c r="B53" t="s">
        <v>3564</v>
      </c>
      <c r="C53" t="s">
        <v>3563</v>
      </c>
      <c r="D53" t="s">
        <v>1818</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205</v>
      </c>
      <c r="B54" t="s">
        <v>3562</v>
      </c>
      <c r="C54" t="s">
        <v>3561</v>
      </c>
      <c r="D54" t="s">
        <v>1818</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206</v>
      </c>
      <c r="B55" t="s">
        <v>3560</v>
      </c>
      <c r="C55" t="s">
        <v>3559</v>
      </c>
      <c r="D55" t="s">
        <v>1818</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207</v>
      </c>
      <c r="B56" t="s">
        <v>3558</v>
      </c>
      <c r="C56" t="s">
        <v>3557</v>
      </c>
      <c r="D56" t="s">
        <v>1818</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209</v>
      </c>
      <c r="B57" t="s">
        <v>3556</v>
      </c>
      <c r="C57" t="s">
        <v>3555</v>
      </c>
      <c r="D57" t="s">
        <v>1818</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1772</v>
      </c>
    </row>
    <row r="58" spans="1:33">
      <c r="A58" t="s">
        <v>208</v>
      </c>
      <c r="B58" t="s">
        <v>3554</v>
      </c>
      <c r="C58" t="s">
        <v>3553</v>
      </c>
      <c r="D58" t="s">
        <v>1818</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1772</v>
      </c>
    </row>
    <row r="59" spans="1:33">
      <c r="A59" t="s">
        <v>210</v>
      </c>
      <c r="B59" t="s">
        <v>3552</v>
      </c>
      <c r="C59" t="s">
        <v>3551</v>
      </c>
      <c r="D59" t="s">
        <v>1818</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1833</v>
      </c>
      <c r="B60" t="s">
        <v>3550</v>
      </c>
      <c r="C60" t="s">
        <v>3549</v>
      </c>
      <c r="D60" t="s">
        <v>1818</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1830</v>
      </c>
      <c r="B61" t="s">
        <v>3548</v>
      </c>
      <c r="C61" t="s">
        <v>3547</v>
      </c>
      <c r="D61" t="s">
        <v>1818</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1772</v>
      </c>
    </row>
    <row r="62" spans="1:33">
      <c r="A62" t="s">
        <v>1827</v>
      </c>
      <c r="B62" t="s">
        <v>3546</v>
      </c>
      <c r="C62" t="s">
        <v>3545</v>
      </c>
      <c r="D62" t="s">
        <v>1818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s="260" customFormat="1">
      <c r="A63" s="260" t="s">
        <v>3544</v>
      </c>
      <c r="B63" s="260" t="s">
        <v>3543</v>
      </c>
      <c r="C63" s="260" t="s">
        <v>3542</v>
      </c>
      <c r="D63" s="260" t="s">
        <v>1818</v>
      </c>
      <c r="F63" s="260">
        <v>14603.680664</v>
      </c>
      <c r="G63" s="260">
        <v>14392.998046999999</v>
      </c>
      <c r="H63" s="260">
        <v>14248.249023</v>
      </c>
      <c r="I63" s="260">
        <v>14134.845703000001</v>
      </c>
      <c r="J63" s="260">
        <v>14022.575194999999</v>
      </c>
      <c r="K63" s="260">
        <v>13905.910156</v>
      </c>
      <c r="L63" s="260">
        <v>13787.850586</v>
      </c>
      <c r="M63" s="260">
        <v>13651.332031</v>
      </c>
      <c r="N63" s="260">
        <v>13526.305664</v>
      </c>
      <c r="O63" s="260">
        <v>13388.733398</v>
      </c>
      <c r="P63" s="260">
        <v>13243.805664</v>
      </c>
      <c r="Q63" s="260">
        <v>13086.811523</v>
      </c>
      <c r="R63" s="260">
        <v>12927.279296999999</v>
      </c>
      <c r="S63" s="260">
        <v>12761.181640999999</v>
      </c>
      <c r="T63" s="260">
        <v>12592.228515999999</v>
      </c>
      <c r="U63" s="260">
        <v>12435.185546999999</v>
      </c>
      <c r="V63" s="260">
        <v>12281.185546999999</v>
      </c>
      <c r="W63" s="260">
        <v>12146.511719</v>
      </c>
      <c r="X63" s="260">
        <v>12027.034180000001</v>
      </c>
      <c r="Y63" s="260">
        <v>11937.974609000001</v>
      </c>
      <c r="Z63" s="260">
        <v>11873.34375</v>
      </c>
      <c r="AA63" s="260">
        <v>11809.786133</v>
      </c>
      <c r="AB63" s="260">
        <v>11744.964844</v>
      </c>
      <c r="AC63" s="260">
        <v>11682.918944999999</v>
      </c>
      <c r="AD63" s="260">
        <v>11620.030273</v>
      </c>
      <c r="AE63" s="260">
        <v>11537.429688</v>
      </c>
      <c r="AF63" s="260">
        <v>11446.416992</v>
      </c>
      <c r="AG63" s="261">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2990</v>
      </c>
    </row>
    <row r="2" spans="1:33">
      <c r="A2" t="s">
        <v>2989</v>
      </c>
    </row>
    <row r="3" spans="1:33">
      <c r="A3" t="s">
        <v>2988</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2987</v>
      </c>
    </row>
    <row r="7" spans="1:33">
      <c r="A7" t="s">
        <v>2986</v>
      </c>
    </row>
    <row r="8" spans="1:33">
      <c r="A8" t="s">
        <v>340</v>
      </c>
      <c r="B8" t="s">
        <v>2985</v>
      </c>
      <c r="C8" t="s">
        <v>2984</v>
      </c>
      <c r="D8" t="s">
        <v>2267</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342</v>
      </c>
      <c r="B9" t="s">
        <v>2983</v>
      </c>
      <c r="C9" t="s">
        <v>2982</v>
      </c>
      <c r="D9" t="s">
        <v>2267</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2981</v>
      </c>
      <c r="B10" t="s">
        <v>2980</v>
      </c>
      <c r="C10" t="s">
        <v>2979</v>
      </c>
      <c r="D10" t="s">
        <v>2267</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2978</v>
      </c>
    </row>
    <row r="12" spans="1:33">
      <c r="A12" t="s">
        <v>347</v>
      </c>
      <c r="B12" t="s">
        <v>2977</v>
      </c>
      <c r="C12" t="s">
        <v>2976</v>
      </c>
      <c r="D12" t="s">
        <v>2267</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2931</v>
      </c>
      <c r="B13" t="s">
        <v>2975</v>
      </c>
      <c r="C13" t="s">
        <v>2974</v>
      </c>
      <c r="D13" t="s">
        <v>2267</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2928</v>
      </c>
      <c r="B14" t="s">
        <v>2973</v>
      </c>
      <c r="C14" t="s">
        <v>2972</v>
      </c>
      <c r="D14" t="s">
        <v>2267</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2925</v>
      </c>
      <c r="B15" t="s">
        <v>2971</v>
      </c>
      <c r="C15" t="s">
        <v>2970</v>
      </c>
      <c r="D15" t="s">
        <v>2267</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2922</v>
      </c>
      <c r="B16" t="s">
        <v>2969</v>
      </c>
      <c r="C16" t="s">
        <v>2968</v>
      </c>
      <c r="D16" t="s">
        <v>2267</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2919</v>
      </c>
      <c r="B17" t="s">
        <v>2967</v>
      </c>
      <c r="C17" t="s">
        <v>2966</v>
      </c>
      <c r="D17" t="s">
        <v>2267</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354</v>
      </c>
      <c r="B18" t="s">
        <v>2965</v>
      </c>
      <c r="C18" t="s">
        <v>2964</v>
      </c>
      <c r="D18" t="s">
        <v>2267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2963</v>
      </c>
      <c r="C19" t="s">
        <v>2962</v>
      </c>
      <c r="D19" t="s">
        <v>2267</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358</v>
      </c>
      <c r="B20" t="s">
        <v>2961</v>
      </c>
      <c r="C20" t="s">
        <v>2960</v>
      </c>
      <c r="D20" t="s">
        <v>2267</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360</v>
      </c>
      <c r="B21" t="s">
        <v>2959</v>
      </c>
      <c r="C21" t="s">
        <v>2958</v>
      </c>
      <c r="D21" t="s">
        <v>2267</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362</v>
      </c>
      <c r="B22" t="s">
        <v>2957</v>
      </c>
      <c r="C22" t="s">
        <v>2956</v>
      </c>
      <c r="D22" t="s">
        <v>2267</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364</v>
      </c>
      <c r="B23" t="s">
        <v>2955</v>
      </c>
      <c r="C23" t="s">
        <v>2954</v>
      </c>
      <c r="D23" t="s">
        <v>2267</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366</v>
      </c>
      <c r="B24" t="s">
        <v>2953</v>
      </c>
      <c r="C24" t="s">
        <v>2952</v>
      </c>
      <c r="D24" t="s">
        <v>2267</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2951</v>
      </c>
      <c r="C25" t="s">
        <v>2950</v>
      </c>
      <c r="D25" t="s">
        <v>2267</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2949</v>
      </c>
      <c r="B26" t="s">
        <v>2948</v>
      </c>
      <c r="C26" t="s">
        <v>2947</v>
      </c>
      <c r="D26" t="s">
        <v>2267</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2946</v>
      </c>
      <c r="B27" t="s">
        <v>2945</v>
      </c>
      <c r="C27" t="s">
        <v>2944</v>
      </c>
      <c r="D27" t="s">
        <v>2267</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2943</v>
      </c>
    </row>
    <row r="29" spans="1:33">
      <c r="A29" t="s">
        <v>2942</v>
      </c>
    </row>
    <row r="30" spans="1:33">
      <c r="A30" t="s">
        <v>340</v>
      </c>
      <c r="B30" t="s">
        <v>2941</v>
      </c>
      <c r="C30" t="s">
        <v>2940</v>
      </c>
      <c r="D30" t="s">
        <v>2267</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342</v>
      </c>
      <c r="B31" t="s">
        <v>2939</v>
      </c>
      <c r="C31" t="s">
        <v>2938</v>
      </c>
      <c r="D31" t="s">
        <v>2267</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2937</v>
      </c>
      <c r="B32" t="s">
        <v>2936</v>
      </c>
      <c r="C32" t="s">
        <v>2935</v>
      </c>
      <c r="D32" t="s">
        <v>2267</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2934</v>
      </c>
    </row>
    <row r="34" spans="1:33">
      <c r="A34" t="s">
        <v>347</v>
      </c>
      <c r="B34" t="s">
        <v>2933</v>
      </c>
      <c r="C34" t="s">
        <v>2932</v>
      </c>
      <c r="D34" t="s">
        <v>2267</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2931</v>
      </c>
      <c r="B35" t="s">
        <v>2930</v>
      </c>
      <c r="C35" t="s">
        <v>2929</v>
      </c>
      <c r="D35" t="s">
        <v>2267</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2928</v>
      </c>
      <c r="B36" t="s">
        <v>2927</v>
      </c>
      <c r="C36" t="s">
        <v>2926</v>
      </c>
      <c r="D36" t="s">
        <v>2267</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2925</v>
      </c>
      <c r="B37" t="s">
        <v>2924</v>
      </c>
      <c r="C37" t="s">
        <v>2923</v>
      </c>
      <c r="D37" t="s">
        <v>2267</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2922</v>
      </c>
      <c r="B38" t="s">
        <v>2921</v>
      </c>
      <c r="C38" t="s">
        <v>2920</v>
      </c>
      <c r="D38" t="s">
        <v>2267</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2919</v>
      </c>
      <c r="B39" t="s">
        <v>2918</v>
      </c>
      <c r="C39" t="s">
        <v>2917</v>
      </c>
      <c r="D39" t="s">
        <v>2267</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354</v>
      </c>
      <c r="B40" t="s">
        <v>2916</v>
      </c>
      <c r="C40" t="s">
        <v>2915</v>
      </c>
      <c r="D40" t="s">
        <v>2267</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2914</v>
      </c>
      <c r="C41" t="s">
        <v>2913</v>
      </c>
      <c r="D41" t="s">
        <v>2267</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358</v>
      </c>
      <c r="B42" t="s">
        <v>2912</v>
      </c>
      <c r="C42" t="s">
        <v>2911</v>
      </c>
      <c r="D42" t="s">
        <v>2267</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360</v>
      </c>
      <c r="B43" t="s">
        <v>2910</v>
      </c>
      <c r="C43" t="s">
        <v>2909</v>
      </c>
      <c r="D43" t="s">
        <v>2267</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362</v>
      </c>
      <c r="B44" t="s">
        <v>2908</v>
      </c>
      <c r="C44" t="s">
        <v>2907</v>
      </c>
      <c r="D44" t="s">
        <v>2267</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364</v>
      </c>
      <c r="B45" t="s">
        <v>2906</v>
      </c>
      <c r="C45" t="s">
        <v>2905</v>
      </c>
      <c r="D45" t="s">
        <v>2267</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366</v>
      </c>
      <c r="B46" t="s">
        <v>2904</v>
      </c>
      <c r="C46" t="s">
        <v>2903</v>
      </c>
      <c r="D46" t="s">
        <v>2267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2902</v>
      </c>
      <c r="C47" t="s">
        <v>2901</v>
      </c>
      <c r="D47" t="s">
        <v>2267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2899</v>
      </c>
      <c r="C48" t="s">
        <v>2898</v>
      </c>
      <c r="D48" t="s">
        <v>2267</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2897</v>
      </c>
      <c r="B49" t="s">
        <v>2896</v>
      </c>
      <c r="C49" t="s">
        <v>2895</v>
      </c>
      <c r="D49" t="s">
        <v>2267</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396</v>
      </c>
      <c r="B50" t="s">
        <v>2894</v>
      </c>
      <c r="C50" t="s">
        <v>2893</v>
      </c>
      <c r="D50" t="s">
        <v>2267</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203</v>
      </c>
      <c r="B51" t="s">
        <v>2892</v>
      </c>
      <c r="C51" t="s">
        <v>2891</v>
      </c>
      <c r="D51" t="s">
        <v>2267</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202</v>
      </c>
      <c r="B52" t="s">
        <v>2890</v>
      </c>
      <c r="C52" t="s">
        <v>2889</v>
      </c>
      <c r="D52" t="s">
        <v>2267</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204</v>
      </c>
      <c r="B53" t="s">
        <v>2888</v>
      </c>
      <c r="C53" t="s">
        <v>2887</v>
      </c>
      <c r="D53" t="s">
        <v>2267</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205</v>
      </c>
      <c r="B54" t="s">
        <v>2886</v>
      </c>
      <c r="C54" t="s">
        <v>2885</v>
      </c>
      <c r="D54" t="s">
        <v>2267</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206</v>
      </c>
      <c r="B55" t="s">
        <v>2884</v>
      </c>
      <c r="C55" t="s">
        <v>2883</v>
      </c>
      <c r="D55" t="s">
        <v>2267</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207</v>
      </c>
      <c r="B56" t="s">
        <v>2882</v>
      </c>
      <c r="C56" t="s">
        <v>2881</v>
      </c>
      <c r="D56" t="s">
        <v>2267</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209</v>
      </c>
      <c r="B57" t="s">
        <v>2880</v>
      </c>
      <c r="C57" t="s">
        <v>2879</v>
      </c>
      <c r="D57" t="s">
        <v>2267</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1772</v>
      </c>
    </row>
    <row r="58" spans="1:33">
      <c r="A58" t="s">
        <v>208</v>
      </c>
      <c r="B58" t="s">
        <v>2878</v>
      </c>
      <c r="C58" t="s">
        <v>2877</v>
      </c>
      <c r="D58" t="s">
        <v>2267</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1772</v>
      </c>
    </row>
    <row r="59" spans="1:33">
      <c r="A59" t="s">
        <v>210</v>
      </c>
      <c r="B59" t="s">
        <v>2876</v>
      </c>
      <c r="C59" t="s">
        <v>2875</v>
      </c>
      <c r="D59" t="s">
        <v>2267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1833</v>
      </c>
      <c r="B60" t="s">
        <v>2874</v>
      </c>
      <c r="C60" t="s">
        <v>2873</v>
      </c>
      <c r="D60" t="s">
        <v>2267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1830</v>
      </c>
      <c r="B61" t="s">
        <v>2872</v>
      </c>
      <c r="C61" t="s">
        <v>2871</v>
      </c>
      <c r="D61" t="s">
        <v>2267</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1772</v>
      </c>
    </row>
    <row r="62" spans="1:33">
      <c r="A62" t="s">
        <v>1827</v>
      </c>
      <c r="B62" t="s">
        <v>2870</v>
      </c>
      <c r="C62" t="s">
        <v>2869</v>
      </c>
      <c r="D62" t="s">
        <v>2267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c r="A63" t="s">
        <v>408</v>
      </c>
      <c r="B63" t="s">
        <v>2868</v>
      </c>
      <c r="C63" t="s">
        <v>2867</v>
      </c>
      <c r="D63" t="s">
        <v>2267</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5"/>
  <cols>
    <col min="1" max="1" width="25.7109375" customWidth="1"/>
    <col min="2" max="2" width="31.42578125" customWidth="1"/>
    <col min="3" max="5" width="0" hidden="1" customWidth="1"/>
  </cols>
  <sheetData>
    <row r="1" spans="1:33">
      <c r="A1" t="s">
        <v>2866</v>
      </c>
    </row>
    <row r="2" spans="1:33">
      <c r="A2" t="s">
        <v>2865</v>
      </c>
    </row>
    <row r="3" spans="1:33">
      <c r="A3" t="s">
        <v>2864</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2863</v>
      </c>
      <c r="B6" t="s">
        <v>2862</v>
      </c>
      <c r="C6" t="s">
        <v>2861</v>
      </c>
      <c r="D6" t="s">
        <v>2860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2859</v>
      </c>
      <c r="B8" t="s">
        <v>2858</v>
      </c>
      <c r="C8" t="s">
        <v>2857</v>
      </c>
      <c r="D8" t="s">
        <v>2853</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2856</v>
      </c>
      <c r="B9" t="s">
        <v>2855</v>
      </c>
      <c r="C9" t="s">
        <v>2854</v>
      </c>
      <c r="D9" t="s">
        <v>2853</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2852</v>
      </c>
    </row>
    <row r="12" spans="1:33">
      <c r="A12" t="s">
        <v>196</v>
      </c>
      <c r="B12" t="s">
        <v>2851</v>
      </c>
      <c r="C12" t="s">
        <v>2850</v>
      </c>
      <c r="D12" t="s">
        <v>1998</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197</v>
      </c>
      <c r="B13" t="s">
        <v>2849</v>
      </c>
      <c r="C13" t="s">
        <v>2848</v>
      </c>
      <c r="D13" t="s">
        <v>1998</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2406</v>
      </c>
      <c r="B14" t="s">
        <v>2847</v>
      </c>
      <c r="C14" t="s">
        <v>2846</v>
      </c>
      <c r="D14" t="s">
        <v>1998</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2403</v>
      </c>
      <c r="B15" t="s">
        <v>2845</v>
      </c>
      <c r="C15" t="s">
        <v>2844</v>
      </c>
      <c r="D15" t="s">
        <v>1998</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2400</v>
      </c>
      <c r="B16" t="s">
        <v>2843</v>
      </c>
      <c r="C16" t="s">
        <v>2842</v>
      </c>
      <c r="D16" t="s">
        <v>1998</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2397</v>
      </c>
      <c r="B17" t="s">
        <v>2841</v>
      </c>
      <c r="C17" t="s">
        <v>2840</v>
      </c>
      <c r="D17" t="s">
        <v>1998</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2394</v>
      </c>
      <c r="B18" t="s">
        <v>2839</v>
      </c>
      <c r="C18" t="s">
        <v>2838</v>
      </c>
      <c r="D18" t="s">
        <v>1998</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2391</v>
      </c>
      <c r="B19" t="s">
        <v>2837</v>
      </c>
      <c r="C19" t="s">
        <v>2836</v>
      </c>
      <c r="D19" t="s">
        <v>1998</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2388</v>
      </c>
      <c r="B20" t="s">
        <v>2835</v>
      </c>
      <c r="C20" t="s">
        <v>2834</v>
      </c>
      <c r="D20" t="s">
        <v>1998</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199</v>
      </c>
      <c r="B21" t="s">
        <v>2833</v>
      </c>
      <c r="C21" t="s">
        <v>2832</v>
      </c>
      <c r="D21" t="s">
        <v>1998</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2383</v>
      </c>
      <c r="B22" t="s">
        <v>2831</v>
      </c>
      <c r="C22" t="s">
        <v>2830</v>
      </c>
      <c r="D22" t="s">
        <v>1998</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2380</v>
      </c>
      <c r="B23" t="s">
        <v>2829</v>
      </c>
      <c r="C23" t="s">
        <v>2828</v>
      </c>
      <c r="D23" t="s">
        <v>1998</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2377</v>
      </c>
      <c r="B24" t="s">
        <v>2827</v>
      </c>
      <c r="C24" t="s">
        <v>2826</v>
      </c>
      <c r="D24" t="s">
        <v>1998</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198</v>
      </c>
      <c r="B25" t="s">
        <v>2825</v>
      </c>
      <c r="C25" t="s">
        <v>2824</v>
      </c>
      <c r="D25" t="s">
        <v>1998</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2372</v>
      </c>
      <c r="B26" t="s">
        <v>2823</v>
      </c>
      <c r="C26" t="s">
        <v>2822</v>
      </c>
      <c r="D26" t="s">
        <v>1998</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2369</v>
      </c>
      <c r="B27" t="s">
        <v>2821</v>
      </c>
      <c r="C27" t="s">
        <v>2820</v>
      </c>
      <c r="D27" t="s">
        <v>1998</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2819</v>
      </c>
    </row>
    <row r="30" spans="1:33">
      <c r="A30" t="s">
        <v>2818</v>
      </c>
    </row>
    <row r="31" spans="1:33" s="248" customFormat="1">
      <c r="A31" s="248" t="s">
        <v>196</v>
      </c>
      <c r="B31" s="248" t="s">
        <v>2817</v>
      </c>
      <c r="C31" s="248" t="s">
        <v>2816</v>
      </c>
      <c r="D31" s="248" t="s">
        <v>2267</v>
      </c>
      <c r="F31" s="248">
        <v>769.07440199999996</v>
      </c>
      <c r="G31" s="248">
        <v>784.82141100000001</v>
      </c>
      <c r="H31" s="248">
        <v>804.30224599999997</v>
      </c>
      <c r="I31" s="248">
        <v>822.31329300000004</v>
      </c>
      <c r="J31" s="248">
        <v>836.94464100000005</v>
      </c>
      <c r="K31" s="248">
        <v>852.79473900000005</v>
      </c>
      <c r="L31" s="248">
        <v>867.11852999999996</v>
      </c>
      <c r="M31" s="248">
        <v>878.67956500000003</v>
      </c>
      <c r="N31" s="248">
        <v>892.21368399999994</v>
      </c>
      <c r="O31" s="248">
        <v>906.72900400000003</v>
      </c>
      <c r="P31" s="248">
        <v>920.58386199999995</v>
      </c>
      <c r="Q31" s="248">
        <v>935.94891399999995</v>
      </c>
      <c r="R31" s="248">
        <v>951.57720900000004</v>
      </c>
      <c r="S31" s="248">
        <v>968.24322500000005</v>
      </c>
      <c r="T31" s="248">
        <v>986.23107900000002</v>
      </c>
      <c r="U31" s="248">
        <v>1004.200562</v>
      </c>
      <c r="V31" s="248">
        <v>1022.167603</v>
      </c>
      <c r="W31" s="248">
        <v>1039.7504879999999</v>
      </c>
      <c r="X31" s="248">
        <v>1058.9343260000001</v>
      </c>
      <c r="Y31" s="248">
        <v>1077.6267089999999</v>
      </c>
      <c r="Z31" s="248">
        <v>1094.8948969999999</v>
      </c>
      <c r="AA31" s="248">
        <v>1111.753052</v>
      </c>
      <c r="AB31" s="248">
        <v>1128.2475589999999</v>
      </c>
      <c r="AC31" s="248">
        <v>1147.9022219999999</v>
      </c>
      <c r="AD31" s="248">
        <v>1168.965942</v>
      </c>
      <c r="AE31" s="248">
        <v>1189.009399</v>
      </c>
      <c r="AF31" s="248">
        <v>1208.700439</v>
      </c>
      <c r="AG31" s="249">
        <v>1.7999999999999999E-2</v>
      </c>
    </row>
    <row r="32" spans="1:33">
      <c r="A32" t="s">
        <v>197</v>
      </c>
      <c r="B32" t="s">
        <v>2815</v>
      </c>
      <c r="C32" t="s">
        <v>2814</v>
      </c>
      <c r="D32" t="s">
        <v>2267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2406</v>
      </c>
      <c r="B33" t="s">
        <v>2813</v>
      </c>
      <c r="C33" t="s">
        <v>2812</v>
      </c>
      <c r="D33" t="s">
        <v>2267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2403</v>
      </c>
      <c r="B34" t="s">
        <v>2811</v>
      </c>
      <c r="C34" t="s">
        <v>2810</v>
      </c>
      <c r="D34" t="s">
        <v>2267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2400</v>
      </c>
      <c r="B35" t="s">
        <v>2809</v>
      </c>
      <c r="C35" t="s">
        <v>2808</v>
      </c>
      <c r="D35" t="s">
        <v>2267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2397</v>
      </c>
      <c r="B36" t="s">
        <v>2807</v>
      </c>
      <c r="C36" t="s">
        <v>2806</v>
      </c>
      <c r="D36" t="s">
        <v>2267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2394</v>
      </c>
      <c r="B37" t="s">
        <v>2805</v>
      </c>
      <c r="C37" t="s">
        <v>2804</v>
      </c>
      <c r="D37" t="s">
        <v>2267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2391</v>
      </c>
      <c r="B38" t="s">
        <v>2803</v>
      </c>
      <c r="C38" t="s">
        <v>2802</v>
      </c>
      <c r="D38" t="s">
        <v>2267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2388</v>
      </c>
      <c r="B39" t="s">
        <v>2801</v>
      </c>
      <c r="C39" t="s">
        <v>2800</v>
      </c>
      <c r="D39" t="s">
        <v>2267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199</v>
      </c>
      <c r="B40" t="s">
        <v>2799</v>
      </c>
      <c r="C40" t="s">
        <v>2798</v>
      </c>
      <c r="D40" t="s">
        <v>2267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2383</v>
      </c>
      <c r="B41" t="s">
        <v>2797</v>
      </c>
      <c r="C41" t="s">
        <v>2796</v>
      </c>
      <c r="D41" t="s">
        <v>2267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2380</v>
      </c>
      <c r="B42" t="s">
        <v>2795</v>
      </c>
      <c r="C42" t="s">
        <v>2794</v>
      </c>
      <c r="D42" t="s">
        <v>2267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2377</v>
      </c>
      <c r="B43" t="s">
        <v>2793</v>
      </c>
      <c r="C43" t="s">
        <v>2792</v>
      </c>
      <c r="D43" t="s">
        <v>2267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198</v>
      </c>
      <c r="B44" t="s">
        <v>2791</v>
      </c>
      <c r="C44" t="s">
        <v>2790</v>
      </c>
      <c r="D44" t="s">
        <v>2267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2372</v>
      </c>
      <c r="B45" t="s">
        <v>2789</v>
      </c>
      <c r="C45" t="s">
        <v>2788</v>
      </c>
      <c r="D45" t="s">
        <v>2267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2369</v>
      </c>
      <c r="B46" t="s">
        <v>2787</v>
      </c>
      <c r="C46" t="s">
        <v>2786</v>
      </c>
      <c r="D46" t="s">
        <v>2267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2714</v>
      </c>
      <c r="B47" t="s">
        <v>2785</v>
      </c>
      <c r="C47" t="s">
        <v>2784</v>
      </c>
      <c r="D47" t="s">
        <v>2267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2783</v>
      </c>
    </row>
    <row r="49" spans="1:33" s="248" customFormat="1">
      <c r="A49" s="248" t="s">
        <v>196</v>
      </c>
      <c r="B49" s="248" t="s">
        <v>2782</v>
      </c>
      <c r="C49" s="248" t="s">
        <v>2781</v>
      </c>
      <c r="D49" s="248" t="s">
        <v>2267</v>
      </c>
      <c r="F49" s="248">
        <v>430.05841099999998</v>
      </c>
      <c r="G49" s="248">
        <v>440.68881199999998</v>
      </c>
      <c r="H49" s="248">
        <v>452.96109000000001</v>
      </c>
      <c r="I49" s="248">
        <v>464.51516700000002</v>
      </c>
      <c r="J49" s="248">
        <v>474.60986300000002</v>
      </c>
      <c r="K49" s="248">
        <v>485.356537</v>
      </c>
      <c r="L49" s="248">
        <v>495.48510700000003</v>
      </c>
      <c r="M49" s="248">
        <v>504.40972900000003</v>
      </c>
      <c r="N49" s="248">
        <v>514.33551</v>
      </c>
      <c r="O49" s="248">
        <v>524.80676300000005</v>
      </c>
      <c r="P49" s="248">
        <v>535.051514</v>
      </c>
      <c r="Q49" s="248">
        <v>546.09051499999998</v>
      </c>
      <c r="R49" s="248">
        <v>557.34069799999997</v>
      </c>
      <c r="S49" s="248">
        <v>569.17608600000005</v>
      </c>
      <c r="T49" s="248">
        <v>581.73895300000004</v>
      </c>
      <c r="U49" s="248">
        <v>594.39086899999995</v>
      </c>
      <c r="V49" s="248">
        <v>607.14080799999999</v>
      </c>
      <c r="W49" s="248">
        <v>619.80383300000005</v>
      </c>
      <c r="X49" s="248">
        <v>633.34387200000003</v>
      </c>
      <c r="Y49" s="248">
        <v>646.74987799999997</v>
      </c>
      <c r="Z49" s="248">
        <v>659.56420900000001</v>
      </c>
      <c r="AA49" s="248">
        <v>672.27984600000002</v>
      </c>
      <c r="AB49" s="248">
        <v>684.91857900000002</v>
      </c>
      <c r="AC49" s="248">
        <v>699.22735599999999</v>
      </c>
      <c r="AD49" s="248">
        <v>714.35424799999998</v>
      </c>
      <c r="AE49" s="248">
        <v>729.09729000000004</v>
      </c>
      <c r="AF49" s="248">
        <v>743.78802499999995</v>
      </c>
      <c r="AG49" s="249">
        <v>2.1000000000000001E-2</v>
      </c>
    </row>
    <row r="50" spans="1:33">
      <c r="A50" t="s">
        <v>197</v>
      </c>
      <c r="B50" t="s">
        <v>2780</v>
      </c>
      <c r="C50" t="s">
        <v>2779</v>
      </c>
      <c r="D50" t="s">
        <v>2267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2406</v>
      </c>
      <c r="B51" t="s">
        <v>2778</v>
      </c>
      <c r="C51" t="s">
        <v>2777</v>
      </c>
      <c r="D51" t="s">
        <v>2267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2403</v>
      </c>
      <c r="B52" t="s">
        <v>2776</v>
      </c>
      <c r="C52" t="s">
        <v>2775</v>
      </c>
      <c r="D52" t="s">
        <v>2267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2400</v>
      </c>
      <c r="B53" t="s">
        <v>2774</v>
      </c>
      <c r="C53" t="s">
        <v>2773</v>
      </c>
      <c r="D53" t="s">
        <v>2267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2397</v>
      </c>
      <c r="B54" t="s">
        <v>2772</v>
      </c>
      <c r="C54" t="s">
        <v>2771</v>
      </c>
      <c r="D54" t="s">
        <v>2267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2394</v>
      </c>
      <c r="B55" t="s">
        <v>2770</v>
      </c>
      <c r="C55" t="s">
        <v>2769</v>
      </c>
      <c r="D55" t="s">
        <v>2267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2391</v>
      </c>
      <c r="B56" t="s">
        <v>2768</v>
      </c>
      <c r="C56" t="s">
        <v>2767</v>
      </c>
      <c r="D56" t="s">
        <v>2267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2388</v>
      </c>
      <c r="B57" t="s">
        <v>2766</v>
      </c>
      <c r="C57" t="s">
        <v>2765</v>
      </c>
      <c r="D57" t="s">
        <v>2267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199</v>
      </c>
      <c r="B58" t="s">
        <v>2764</v>
      </c>
      <c r="C58" t="s">
        <v>2763</v>
      </c>
      <c r="D58" t="s">
        <v>2267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2383</v>
      </c>
      <c r="B59" t="s">
        <v>2762</v>
      </c>
      <c r="C59" t="s">
        <v>2761</v>
      </c>
      <c r="D59" t="s">
        <v>2267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2380</v>
      </c>
      <c r="B60" t="s">
        <v>2760</v>
      </c>
      <c r="C60" t="s">
        <v>2759</v>
      </c>
      <c r="D60" t="s">
        <v>2267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2377</v>
      </c>
      <c r="B61" t="s">
        <v>2758</v>
      </c>
      <c r="C61" t="s">
        <v>2757</v>
      </c>
      <c r="D61" t="s">
        <v>2267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198</v>
      </c>
      <c r="B62" t="s">
        <v>2756</v>
      </c>
      <c r="C62" t="s">
        <v>2755</v>
      </c>
      <c r="D62" t="s">
        <v>2267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2372</v>
      </c>
      <c r="B63" t="s">
        <v>2754</v>
      </c>
      <c r="C63" t="s">
        <v>2753</v>
      </c>
      <c r="D63" t="s">
        <v>2267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2369</v>
      </c>
      <c r="B64" t="s">
        <v>2752</v>
      </c>
      <c r="C64" t="s">
        <v>2751</v>
      </c>
      <c r="D64" t="s">
        <v>2267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2712</v>
      </c>
      <c r="B65" t="s">
        <v>2750</v>
      </c>
      <c r="C65" t="s">
        <v>2748</v>
      </c>
      <c r="D65" t="s">
        <v>2267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2749</v>
      </c>
      <c r="C66" t="s">
        <v>2748</v>
      </c>
      <c r="D66" t="s">
        <v>2267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2747</v>
      </c>
    </row>
    <row r="68" spans="1:33">
      <c r="A68" t="s">
        <v>196</v>
      </c>
      <c r="B68" t="s">
        <v>2746</v>
      </c>
      <c r="C68" t="s">
        <v>2745</v>
      </c>
      <c r="D68" t="s">
        <v>2267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144">
        <v>0.02</v>
      </c>
    </row>
    <row r="69" spans="1:33">
      <c r="A69" t="s">
        <v>197</v>
      </c>
      <c r="B69" t="s">
        <v>2744</v>
      </c>
      <c r="C69" t="s">
        <v>2743</v>
      </c>
      <c r="D69" t="s">
        <v>2267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2406</v>
      </c>
      <c r="B70" t="s">
        <v>2742</v>
      </c>
      <c r="C70" t="s">
        <v>2741</v>
      </c>
      <c r="D70" t="s">
        <v>2267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2403</v>
      </c>
      <c r="B71" t="s">
        <v>2740</v>
      </c>
      <c r="C71" t="s">
        <v>2739</v>
      </c>
      <c r="D71" t="s">
        <v>2267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2400</v>
      </c>
      <c r="B72" t="s">
        <v>2738</v>
      </c>
      <c r="C72" t="s">
        <v>2737</v>
      </c>
      <c r="D72" t="s">
        <v>2267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2397</v>
      </c>
      <c r="B73" t="s">
        <v>2736</v>
      </c>
      <c r="C73" t="s">
        <v>2735</v>
      </c>
      <c r="D73" t="s">
        <v>2267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2394</v>
      </c>
      <c r="B74" t="s">
        <v>2734</v>
      </c>
      <c r="C74" t="s">
        <v>2733</v>
      </c>
      <c r="D74" t="s">
        <v>2267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2391</v>
      </c>
      <c r="B75" t="s">
        <v>2732</v>
      </c>
      <c r="C75" t="s">
        <v>2731</v>
      </c>
      <c r="D75" t="s">
        <v>2267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2388</v>
      </c>
      <c r="B76" t="s">
        <v>2730</v>
      </c>
      <c r="C76" t="s">
        <v>2729</v>
      </c>
      <c r="D76" t="s">
        <v>2267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199</v>
      </c>
      <c r="B77" t="s">
        <v>2728</v>
      </c>
      <c r="C77" t="s">
        <v>2727</v>
      </c>
      <c r="D77" t="s">
        <v>2267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2383</v>
      </c>
      <c r="B78" t="s">
        <v>2726</v>
      </c>
      <c r="C78" t="s">
        <v>2725</v>
      </c>
      <c r="D78" t="s">
        <v>2267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2380</v>
      </c>
      <c r="B79" t="s">
        <v>2724</v>
      </c>
      <c r="C79" t="s">
        <v>2723</v>
      </c>
      <c r="D79" t="s">
        <v>2267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2377</v>
      </c>
      <c r="B80" t="s">
        <v>2722</v>
      </c>
      <c r="C80" t="s">
        <v>2721</v>
      </c>
      <c r="D80" t="s">
        <v>2267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198</v>
      </c>
      <c r="B81" t="s">
        <v>2720</v>
      </c>
      <c r="C81" t="s">
        <v>2719</v>
      </c>
      <c r="D81" t="s">
        <v>2267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2372</v>
      </c>
      <c r="B82" t="s">
        <v>2718</v>
      </c>
      <c r="C82" t="s">
        <v>2717</v>
      </c>
      <c r="D82" t="s">
        <v>2267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2369</v>
      </c>
      <c r="B83" t="s">
        <v>2716</v>
      </c>
      <c r="C83" t="s">
        <v>2715</v>
      </c>
      <c r="D83" t="s">
        <v>2267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2714</v>
      </c>
      <c r="B84" t="s">
        <v>2713</v>
      </c>
      <c r="C84" t="s">
        <v>2709</v>
      </c>
      <c r="D84" t="s">
        <v>2267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2712</v>
      </c>
      <c r="B85" t="s">
        <v>2711</v>
      </c>
      <c r="C85" t="s">
        <v>2709</v>
      </c>
      <c r="D85" t="s">
        <v>2267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2710</v>
      </c>
      <c r="C86" t="s">
        <v>2709</v>
      </c>
      <c r="D86" t="s">
        <v>2267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196</v>
      </c>
      <c r="B88" t="s">
        <v>2708</v>
      </c>
      <c r="C88" t="s">
        <v>2707</v>
      </c>
      <c r="D88" t="s">
        <v>2267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2423</v>
      </c>
      <c r="B89" t="s">
        <v>2706</v>
      </c>
      <c r="C89" t="s">
        <v>2705</v>
      </c>
      <c r="D89" t="s">
        <v>2267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2420</v>
      </c>
      <c r="B90" t="s">
        <v>2704</v>
      </c>
      <c r="C90" t="s">
        <v>2703</v>
      </c>
      <c r="D90" t="s">
        <v>2267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2417</v>
      </c>
      <c r="B91" t="s">
        <v>2702</v>
      </c>
      <c r="C91" t="s">
        <v>2701</v>
      </c>
      <c r="D91" t="s">
        <v>2267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197</v>
      </c>
      <c r="B92" t="s">
        <v>2700</v>
      </c>
      <c r="C92" t="s">
        <v>2699</v>
      </c>
      <c r="D92" t="s">
        <v>2267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2423</v>
      </c>
      <c r="B93" t="s">
        <v>2698</v>
      </c>
      <c r="C93" t="s">
        <v>2697</v>
      </c>
      <c r="D93" t="s">
        <v>2267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2420</v>
      </c>
      <c r="B94" t="s">
        <v>2696</v>
      </c>
      <c r="C94" t="s">
        <v>2695</v>
      </c>
      <c r="D94" t="s">
        <v>2267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2417</v>
      </c>
      <c r="B95" t="s">
        <v>2694</v>
      </c>
      <c r="C95" t="s">
        <v>2693</v>
      </c>
      <c r="D95" t="s">
        <v>2267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2406</v>
      </c>
      <c r="B96" t="s">
        <v>2692</v>
      </c>
      <c r="C96" t="s">
        <v>2691</v>
      </c>
      <c r="D96" t="s">
        <v>2267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2423</v>
      </c>
      <c r="B97" t="s">
        <v>2690</v>
      </c>
      <c r="C97" t="s">
        <v>2689</v>
      </c>
      <c r="D97" t="s">
        <v>2267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2420</v>
      </c>
      <c r="B98" t="s">
        <v>2688</v>
      </c>
      <c r="C98" t="s">
        <v>2687</v>
      </c>
      <c r="D98" t="s">
        <v>2267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2417</v>
      </c>
      <c r="B99" t="s">
        <v>2686</v>
      </c>
      <c r="C99" t="s">
        <v>2685</v>
      </c>
      <c r="D99" t="s">
        <v>2267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2403</v>
      </c>
      <c r="B100" t="s">
        <v>2684</v>
      </c>
      <c r="C100" t="s">
        <v>2683</v>
      </c>
      <c r="D100" t="s">
        <v>2267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2423</v>
      </c>
      <c r="B101" t="s">
        <v>2682</v>
      </c>
      <c r="C101" t="s">
        <v>2681</v>
      </c>
      <c r="D101" t="s">
        <v>2267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2420</v>
      </c>
      <c r="B102" t="s">
        <v>2680</v>
      </c>
      <c r="C102" t="s">
        <v>2679</v>
      </c>
      <c r="D102" t="s">
        <v>2267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2417</v>
      </c>
      <c r="B103" t="s">
        <v>2678</v>
      </c>
      <c r="C103" t="s">
        <v>2677</v>
      </c>
      <c r="D103" t="s">
        <v>2267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2400</v>
      </c>
      <c r="B104" t="s">
        <v>2676</v>
      </c>
      <c r="C104" t="s">
        <v>2675</v>
      </c>
      <c r="D104" t="s">
        <v>2267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2423</v>
      </c>
      <c r="B105" t="s">
        <v>2674</v>
      </c>
      <c r="C105" t="s">
        <v>2673</v>
      </c>
      <c r="D105" t="s">
        <v>2267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2420</v>
      </c>
      <c r="B106" t="s">
        <v>2672</v>
      </c>
      <c r="C106" t="s">
        <v>2671</v>
      </c>
      <c r="D106" t="s">
        <v>2267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2417</v>
      </c>
      <c r="B107" t="s">
        <v>2670</v>
      </c>
      <c r="C107" t="s">
        <v>2669</v>
      </c>
      <c r="D107" t="s">
        <v>2267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2397</v>
      </c>
      <c r="B108" t="s">
        <v>2668</v>
      </c>
      <c r="C108" t="s">
        <v>2667</v>
      </c>
      <c r="D108" t="s">
        <v>2267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2423</v>
      </c>
      <c r="B109" t="s">
        <v>2666</v>
      </c>
      <c r="C109" t="s">
        <v>2665</v>
      </c>
      <c r="D109" t="s">
        <v>2267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2420</v>
      </c>
      <c r="B110" t="s">
        <v>2664</v>
      </c>
      <c r="C110" t="s">
        <v>2663</v>
      </c>
      <c r="D110" t="s">
        <v>2267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2417</v>
      </c>
      <c r="B111" t="s">
        <v>2662</v>
      </c>
      <c r="C111" t="s">
        <v>2661</v>
      </c>
      <c r="D111" t="s">
        <v>2267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2394</v>
      </c>
      <c r="B112" t="s">
        <v>2660</v>
      </c>
      <c r="C112" t="s">
        <v>2659</v>
      </c>
      <c r="D112" t="s">
        <v>2267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2423</v>
      </c>
      <c r="B113" t="s">
        <v>2658</v>
      </c>
      <c r="C113" t="s">
        <v>2657</v>
      </c>
      <c r="D113" t="s">
        <v>2267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2420</v>
      </c>
      <c r="B114" t="s">
        <v>2656</v>
      </c>
      <c r="C114" t="s">
        <v>2655</v>
      </c>
      <c r="D114" t="s">
        <v>2267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2417</v>
      </c>
      <c r="B115" t="s">
        <v>2654</v>
      </c>
      <c r="C115" t="s">
        <v>2653</v>
      </c>
      <c r="D115" t="s">
        <v>2267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2391</v>
      </c>
      <c r="B116" t="s">
        <v>2652</v>
      </c>
      <c r="C116" t="s">
        <v>2651</v>
      </c>
      <c r="D116" t="s">
        <v>2267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2423</v>
      </c>
      <c r="B117" t="s">
        <v>2650</v>
      </c>
      <c r="C117" t="s">
        <v>2649</v>
      </c>
      <c r="D117" t="s">
        <v>2267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2420</v>
      </c>
      <c r="B118" t="s">
        <v>2648</v>
      </c>
      <c r="C118" t="s">
        <v>2647</v>
      </c>
      <c r="D118" t="s">
        <v>2267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2417</v>
      </c>
      <c r="B119" t="s">
        <v>2646</v>
      </c>
      <c r="C119" t="s">
        <v>2645</v>
      </c>
      <c r="D119" t="s">
        <v>2267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2388</v>
      </c>
      <c r="B120" t="s">
        <v>2644</v>
      </c>
      <c r="C120" t="s">
        <v>2643</v>
      </c>
      <c r="D120" t="s">
        <v>2267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2423</v>
      </c>
      <c r="B121" t="s">
        <v>2642</v>
      </c>
      <c r="C121" t="s">
        <v>2641</v>
      </c>
      <c r="D121" t="s">
        <v>2267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2420</v>
      </c>
      <c r="B122" t="s">
        <v>2640</v>
      </c>
      <c r="C122" t="s">
        <v>2639</v>
      </c>
      <c r="D122" t="s">
        <v>2267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2417</v>
      </c>
      <c r="B123" t="s">
        <v>2638</v>
      </c>
      <c r="C123" t="s">
        <v>2637</v>
      </c>
      <c r="D123" t="s">
        <v>2267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199</v>
      </c>
      <c r="B124" t="s">
        <v>2636</v>
      </c>
      <c r="C124" t="s">
        <v>2635</v>
      </c>
      <c r="D124" t="s">
        <v>2267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2423</v>
      </c>
      <c r="B125" t="s">
        <v>2634</v>
      </c>
      <c r="C125" t="s">
        <v>2633</v>
      </c>
      <c r="D125" t="s">
        <v>2267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2420</v>
      </c>
      <c r="B126" t="s">
        <v>2632</v>
      </c>
      <c r="C126" t="s">
        <v>2631</v>
      </c>
      <c r="D126" t="s">
        <v>2267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2417</v>
      </c>
      <c r="B127" t="s">
        <v>2630</v>
      </c>
      <c r="C127" t="s">
        <v>2629</v>
      </c>
      <c r="D127" t="s">
        <v>2267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2383</v>
      </c>
      <c r="B128" t="s">
        <v>2628</v>
      </c>
      <c r="C128" t="s">
        <v>2627</v>
      </c>
      <c r="D128" t="s">
        <v>2267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2423</v>
      </c>
      <c r="B129" t="s">
        <v>2626</v>
      </c>
      <c r="C129" t="s">
        <v>2625</v>
      </c>
      <c r="D129" t="s">
        <v>2267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2420</v>
      </c>
      <c r="B130" t="s">
        <v>2624</v>
      </c>
      <c r="C130" t="s">
        <v>2623</v>
      </c>
      <c r="D130" t="s">
        <v>2267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2417</v>
      </c>
      <c r="B131" t="s">
        <v>2622</v>
      </c>
      <c r="C131" t="s">
        <v>2621</v>
      </c>
      <c r="D131" t="s">
        <v>2267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2380</v>
      </c>
      <c r="B132" t="s">
        <v>2620</v>
      </c>
      <c r="C132" t="s">
        <v>2619</v>
      </c>
      <c r="D132" t="s">
        <v>2267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2423</v>
      </c>
      <c r="B133" t="s">
        <v>2618</v>
      </c>
      <c r="C133" t="s">
        <v>2617</v>
      </c>
      <c r="D133" t="s">
        <v>2267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2420</v>
      </c>
      <c r="B134" t="s">
        <v>2616</v>
      </c>
      <c r="C134" t="s">
        <v>2615</v>
      </c>
      <c r="D134" t="s">
        <v>2267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2417</v>
      </c>
      <c r="B135" t="s">
        <v>2614</v>
      </c>
      <c r="C135" t="s">
        <v>2613</v>
      </c>
      <c r="D135" t="s">
        <v>2267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2377</v>
      </c>
      <c r="B136" t="s">
        <v>2612</v>
      </c>
      <c r="C136" t="s">
        <v>2611</v>
      </c>
      <c r="D136" t="s">
        <v>2267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2423</v>
      </c>
      <c r="B137" t="s">
        <v>2610</v>
      </c>
      <c r="C137" t="s">
        <v>2609</v>
      </c>
      <c r="D137" t="s">
        <v>2267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2420</v>
      </c>
      <c r="B138" t="s">
        <v>2608</v>
      </c>
      <c r="C138" t="s">
        <v>2607</v>
      </c>
      <c r="D138" t="s">
        <v>2267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2417</v>
      </c>
      <c r="B139" t="s">
        <v>2606</v>
      </c>
      <c r="C139" t="s">
        <v>2605</v>
      </c>
      <c r="D139" t="s">
        <v>2267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198</v>
      </c>
      <c r="B140" t="s">
        <v>2604</v>
      </c>
      <c r="C140" t="s">
        <v>2603</v>
      </c>
      <c r="D140" t="s">
        <v>2267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2423</v>
      </c>
      <c r="B141" t="s">
        <v>2602</v>
      </c>
      <c r="C141" t="s">
        <v>2601</v>
      </c>
      <c r="D141" t="s">
        <v>2267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2420</v>
      </c>
      <c r="B142" t="s">
        <v>2600</v>
      </c>
      <c r="C142" t="s">
        <v>2599</v>
      </c>
      <c r="D142" t="s">
        <v>2267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2417</v>
      </c>
      <c r="B143" t="s">
        <v>2598</v>
      </c>
      <c r="C143" t="s">
        <v>2597</v>
      </c>
      <c r="D143" t="s">
        <v>2267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2372</v>
      </c>
      <c r="B144" t="s">
        <v>2596</v>
      </c>
      <c r="C144" t="s">
        <v>2595</v>
      </c>
      <c r="D144" t="s">
        <v>2267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2423</v>
      </c>
      <c r="B145" t="s">
        <v>2594</v>
      </c>
      <c r="C145" t="s">
        <v>2593</v>
      </c>
      <c r="D145" t="s">
        <v>2267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2420</v>
      </c>
      <c r="B146" t="s">
        <v>2592</v>
      </c>
      <c r="C146" t="s">
        <v>2591</v>
      </c>
      <c r="D146" t="s">
        <v>2267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2417</v>
      </c>
      <c r="B147" t="s">
        <v>2590</v>
      </c>
      <c r="C147" t="s">
        <v>2589</v>
      </c>
      <c r="D147" t="s">
        <v>2267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2369</v>
      </c>
      <c r="B148" t="s">
        <v>2588</v>
      </c>
      <c r="C148" t="s">
        <v>2587</v>
      </c>
      <c r="D148" t="s">
        <v>2267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2423</v>
      </c>
      <c r="B149" t="s">
        <v>2586</v>
      </c>
      <c r="C149" t="s">
        <v>2585</v>
      </c>
      <c r="D149" t="s">
        <v>2267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2420</v>
      </c>
      <c r="B150" t="s">
        <v>2584</v>
      </c>
      <c r="C150" t="s">
        <v>2583</v>
      </c>
      <c r="D150" t="s">
        <v>2267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2417</v>
      </c>
      <c r="B151" t="s">
        <v>2582</v>
      </c>
      <c r="C151" t="s">
        <v>2581</v>
      </c>
      <c r="D151" t="s">
        <v>2267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2444</v>
      </c>
      <c r="B152" t="s">
        <v>2580</v>
      </c>
      <c r="C152" t="s">
        <v>2579</v>
      </c>
      <c r="D152" t="s">
        <v>2267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2441</v>
      </c>
      <c r="B153" t="s">
        <v>2578</v>
      </c>
      <c r="C153" t="s">
        <v>2577</v>
      </c>
      <c r="D153" t="s">
        <v>2267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2438</v>
      </c>
      <c r="B154" t="s">
        <v>2576</v>
      </c>
      <c r="C154" t="s">
        <v>2575</v>
      </c>
      <c r="D154" t="s">
        <v>2267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2574</v>
      </c>
      <c r="C155" t="s">
        <v>2573</v>
      </c>
      <c r="D155" t="s">
        <v>2267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950</v>
      </c>
    </row>
    <row r="157" spans="1:33">
      <c r="A157" t="s">
        <v>196</v>
      </c>
      <c r="B157" t="s">
        <v>2572</v>
      </c>
      <c r="C157" t="s">
        <v>2571</v>
      </c>
      <c r="D157" t="s">
        <v>2352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2423</v>
      </c>
      <c r="B158" t="s">
        <v>2570</v>
      </c>
      <c r="C158" t="s">
        <v>2569</v>
      </c>
      <c r="D158" t="s">
        <v>2352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2420</v>
      </c>
      <c r="B159" t="s">
        <v>2568</v>
      </c>
      <c r="C159" t="s">
        <v>2567</v>
      </c>
      <c r="D159" t="s">
        <v>2352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2417</v>
      </c>
      <c r="B160" t="s">
        <v>2566</v>
      </c>
      <c r="C160" t="s">
        <v>2565</v>
      </c>
      <c r="D160" t="s">
        <v>2352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197</v>
      </c>
      <c r="B161" t="s">
        <v>2564</v>
      </c>
      <c r="C161" t="s">
        <v>2563</v>
      </c>
      <c r="D161" t="s">
        <v>2352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2423</v>
      </c>
      <c r="B162" t="s">
        <v>2562</v>
      </c>
      <c r="C162" t="s">
        <v>2561</v>
      </c>
      <c r="D162" t="s">
        <v>2352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2420</v>
      </c>
      <c r="B163" t="s">
        <v>2560</v>
      </c>
      <c r="C163" t="s">
        <v>2559</v>
      </c>
      <c r="D163" t="s">
        <v>2352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2417</v>
      </c>
      <c r="B164" t="s">
        <v>2558</v>
      </c>
      <c r="C164" t="s">
        <v>2557</v>
      </c>
      <c r="D164" t="s">
        <v>2352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2406</v>
      </c>
      <c r="B165" t="s">
        <v>2556</v>
      </c>
      <c r="C165" t="s">
        <v>2555</v>
      </c>
      <c r="D165" t="s">
        <v>2352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2423</v>
      </c>
      <c r="B166" t="s">
        <v>2554</v>
      </c>
      <c r="C166" t="s">
        <v>2553</v>
      </c>
      <c r="D166" t="s">
        <v>2352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2420</v>
      </c>
      <c r="B167" t="s">
        <v>2552</v>
      </c>
      <c r="C167" t="s">
        <v>2551</v>
      </c>
      <c r="D167" t="s">
        <v>2352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2417</v>
      </c>
      <c r="B168" t="s">
        <v>2550</v>
      </c>
      <c r="C168" t="s">
        <v>2549</v>
      </c>
      <c r="D168" t="s">
        <v>2352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2403</v>
      </c>
      <c r="B169" t="s">
        <v>2548</v>
      </c>
      <c r="C169" t="s">
        <v>2547</v>
      </c>
      <c r="D169" t="s">
        <v>2352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2423</v>
      </c>
      <c r="B170" t="s">
        <v>2546</v>
      </c>
      <c r="C170" t="s">
        <v>2545</v>
      </c>
      <c r="D170" t="s">
        <v>2352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2420</v>
      </c>
      <c r="B171" t="s">
        <v>2544</v>
      </c>
      <c r="C171" t="s">
        <v>2543</v>
      </c>
      <c r="D171" t="s">
        <v>2352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2417</v>
      </c>
      <c r="B172" t="s">
        <v>2542</v>
      </c>
      <c r="C172" t="s">
        <v>2541</v>
      </c>
      <c r="D172" t="s">
        <v>2352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2400</v>
      </c>
      <c r="B173" t="s">
        <v>2540</v>
      </c>
      <c r="C173" t="s">
        <v>2539</v>
      </c>
      <c r="D173" t="s">
        <v>2352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2423</v>
      </c>
      <c r="B174" t="s">
        <v>2538</v>
      </c>
      <c r="C174" t="s">
        <v>2537</v>
      </c>
      <c r="D174" t="s">
        <v>2352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2420</v>
      </c>
      <c r="B175" t="s">
        <v>2536</v>
      </c>
      <c r="C175" t="s">
        <v>2535</v>
      </c>
      <c r="D175" t="s">
        <v>2352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2417</v>
      </c>
      <c r="B176" t="s">
        <v>2534</v>
      </c>
      <c r="C176" t="s">
        <v>2533</v>
      </c>
      <c r="D176" t="s">
        <v>2352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1772</v>
      </c>
    </row>
    <row r="177" spans="1:33">
      <c r="A177" t="s">
        <v>2397</v>
      </c>
      <c r="B177" t="s">
        <v>2532</v>
      </c>
      <c r="C177" t="s">
        <v>2531</v>
      </c>
      <c r="D177" t="s">
        <v>2352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2423</v>
      </c>
      <c r="B178" t="s">
        <v>2530</v>
      </c>
      <c r="C178" t="s">
        <v>2529</v>
      </c>
      <c r="D178" t="s">
        <v>2352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2420</v>
      </c>
      <c r="B179" t="s">
        <v>2528</v>
      </c>
      <c r="C179" t="s">
        <v>2527</v>
      </c>
      <c r="D179" t="s">
        <v>2352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2417</v>
      </c>
      <c r="B180" t="s">
        <v>2526</v>
      </c>
      <c r="C180" t="s">
        <v>2525</v>
      </c>
      <c r="D180" t="s">
        <v>2352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2394</v>
      </c>
      <c r="B181" t="s">
        <v>2524</v>
      </c>
      <c r="C181" t="s">
        <v>2523</v>
      </c>
      <c r="D181" t="s">
        <v>2352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2423</v>
      </c>
      <c r="B182" t="s">
        <v>2522</v>
      </c>
      <c r="C182" t="s">
        <v>2521</v>
      </c>
      <c r="D182" t="s">
        <v>2352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2420</v>
      </c>
      <c r="B183" t="s">
        <v>2520</v>
      </c>
      <c r="C183" t="s">
        <v>2519</v>
      </c>
      <c r="D183" t="s">
        <v>2352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2417</v>
      </c>
      <c r="B184" t="s">
        <v>2518</v>
      </c>
      <c r="C184" t="s">
        <v>2517</v>
      </c>
      <c r="D184" t="s">
        <v>2352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2391</v>
      </c>
      <c r="B185" t="s">
        <v>2516</v>
      </c>
      <c r="C185" t="s">
        <v>2515</v>
      </c>
      <c r="D185" t="s">
        <v>2352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2423</v>
      </c>
      <c r="B186" t="s">
        <v>2514</v>
      </c>
      <c r="C186" t="s">
        <v>2513</v>
      </c>
      <c r="D186" t="s">
        <v>2352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2420</v>
      </c>
      <c r="B187" t="s">
        <v>2512</v>
      </c>
      <c r="C187" t="s">
        <v>2511</v>
      </c>
      <c r="D187" t="s">
        <v>2352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2417</v>
      </c>
      <c r="B188" t="s">
        <v>2510</v>
      </c>
      <c r="C188" t="s">
        <v>2509</v>
      </c>
      <c r="D188" t="s">
        <v>2352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2388</v>
      </c>
      <c r="B189" t="s">
        <v>2508</v>
      </c>
      <c r="C189" t="s">
        <v>2507</v>
      </c>
      <c r="D189" t="s">
        <v>2352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2423</v>
      </c>
      <c r="B190" t="s">
        <v>2506</v>
      </c>
      <c r="C190" t="s">
        <v>2505</v>
      </c>
      <c r="D190" t="s">
        <v>2352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2420</v>
      </c>
      <c r="B191" t="s">
        <v>2504</v>
      </c>
      <c r="C191" t="s">
        <v>2503</v>
      </c>
      <c r="D191" t="s">
        <v>2352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2417</v>
      </c>
      <c r="B192" t="s">
        <v>2502</v>
      </c>
      <c r="C192" t="s">
        <v>2501</v>
      </c>
      <c r="D192" t="s">
        <v>2352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199</v>
      </c>
      <c r="B193" t="s">
        <v>2500</v>
      </c>
      <c r="C193" t="s">
        <v>2499</v>
      </c>
      <c r="D193" t="s">
        <v>2352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2423</v>
      </c>
      <c r="B194" t="s">
        <v>2498</v>
      </c>
      <c r="C194" t="s">
        <v>2497</v>
      </c>
      <c r="D194" t="s">
        <v>2352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2420</v>
      </c>
      <c r="B195" t="s">
        <v>2496</v>
      </c>
      <c r="C195" t="s">
        <v>2495</v>
      </c>
      <c r="D195" t="s">
        <v>2352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2417</v>
      </c>
      <c r="B196" t="s">
        <v>2494</v>
      </c>
      <c r="C196" t="s">
        <v>2493</v>
      </c>
      <c r="D196" t="s">
        <v>2352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2383</v>
      </c>
      <c r="B197" t="s">
        <v>2492</v>
      </c>
      <c r="C197" t="s">
        <v>2491</v>
      </c>
      <c r="D197" t="s">
        <v>2352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2423</v>
      </c>
      <c r="B198" t="s">
        <v>2490</v>
      </c>
      <c r="C198" t="s">
        <v>2489</v>
      </c>
      <c r="D198" t="s">
        <v>2352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2420</v>
      </c>
      <c r="B199" t="s">
        <v>2488</v>
      </c>
      <c r="C199" t="s">
        <v>2487</v>
      </c>
      <c r="D199" t="s">
        <v>2352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2417</v>
      </c>
      <c r="B200" t="s">
        <v>2486</v>
      </c>
      <c r="C200" t="s">
        <v>2485</v>
      </c>
      <c r="D200" t="s">
        <v>2352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2380</v>
      </c>
      <c r="B201" t="s">
        <v>2484</v>
      </c>
      <c r="C201" t="s">
        <v>2483</v>
      </c>
      <c r="D201" t="s">
        <v>2352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2423</v>
      </c>
      <c r="B202" t="s">
        <v>2482</v>
      </c>
      <c r="C202" t="s">
        <v>2481</v>
      </c>
      <c r="D202" t="s">
        <v>2352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2420</v>
      </c>
      <c r="B203" t="s">
        <v>2480</v>
      </c>
      <c r="C203" t="s">
        <v>2479</v>
      </c>
      <c r="D203" t="s">
        <v>2352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2417</v>
      </c>
      <c r="B204" t="s">
        <v>2478</v>
      </c>
      <c r="C204" t="s">
        <v>2477</v>
      </c>
      <c r="D204" t="s">
        <v>2352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2377</v>
      </c>
      <c r="B205" t="s">
        <v>2476</v>
      </c>
      <c r="C205" t="s">
        <v>2475</v>
      </c>
      <c r="D205" t="s">
        <v>2352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2423</v>
      </c>
      <c r="B206" t="s">
        <v>2474</v>
      </c>
      <c r="C206" t="s">
        <v>2473</v>
      </c>
      <c r="D206" t="s">
        <v>2352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2420</v>
      </c>
      <c r="B207" t="s">
        <v>2472</v>
      </c>
      <c r="C207" t="s">
        <v>2471</v>
      </c>
      <c r="D207" t="s">
        <v>2352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2417</v>
      </c>
      <c r="B208" t="s">
        <v>2470</v>
      </c>
      <c r="C208" t="s">
        <v>2469</v>
      </c>
      <c r="D208" t="s">
        <v>2352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198</v>
      </c>
      <c r="B209" t="s">
        <v>2468</v>
      </c>
      <c r="C209" t="s">
        <v>2467</v>
      </c>
      <c r="D209" t="s">
        <v>2352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2423</v>
      </c>
      <c r="B210" t="s">
        <v>2466</v>
      </c>
      <c r="C210" t="s">
        <v>2465</v>
      </c>
      <c r="D210" t="s">
        <v>2352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2420</v>
      </c>
      <c r="B211" t="s">
        <v>2464</v>
      </c>
      <c r="C211" t="s">
        <v>2463</v>
      </c>
      <c r="D211" t="s">
        <v>2352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2417</v>
      </c>
      <c r="B212" t="s">
        <v>2462</v>
      </c>
      <c r="C212" t="s">
        <v>2461</v>
      </c>
      <c r="D212" t="s">
        <v>2352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2372</v>
      </c>
      <c r="B213" t="s">
        <v>2460</v>
      </c>
      <c r="C213" t="s">
        <v>2459</v>
      </c>
      <c r="D213" t="s">
        <v>2352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2423</v>
      </c>
      <c r="B214" t="s">
        <v>2458</v>
      </c>
      <c r="C214" t="s">
        <v>2457</v>
      </c>
      <c r="D214" t="s">
        <v>2352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2420</v>
      </c>
      <c r="B215" t="s">
        <v>2456</v>
      </c>
      <c r="C215" t="s">
        <v>2455</v>
      </c>
      <c r="D215" t="s">
        <v>2352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2417</v>
      </c>
      <c r="B216" t="s">
        <v>2454</v>
      </c>
      <c r="C216" t="s">
        <v>2453</v>
      </c>
      <c r="D216" t="s">
        <v>2352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2369</v>
      </c>
      <c r="B217" t="s">
        <v>2452</v>
      </c>
      <c r="C217" t="s">
        <v>2451</v>
      </c>
      <c r="D217" t="s">
        <v>2352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2423</v>
      </c>
      <c r="B218" t="s">
        <v>2450</v>
      </c>
      <c r="C218" t="s">
        <v>2449</v>
      </c>
      <c r="D218" t="s">
        <v>2352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2420</v>
      </c>
      <c r="B219" t="s">
        <v>2448</v>
      </c>
      <c r="C219" t="s">
        <v>2447</v>
      </c>
      <c r="D219" t="s">
        <v>2352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2417</v>
      </c>
      <c r="B220" t="s">
        <v>2446</v>
      </c>
      <c r="C220" t="s">
        <v>2445</v>
      </c>
      <c r="D220" t="s">
        <v>2352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2444</v>
      </c>
      <c r="B221" t="s">
        <v>2443</v>
      </c>
      <c r="C221" t="s">
        <v>2442</v>
      </c>
      <c r="D221" t="s">
        <v>2352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2441</v>
      </c>
      <c r="B222" t="s">
        <v>2440</v>
      </c>
      <c r="C222" t="s">
        <v>2439</v>
      </c>
      <c r="D222" t="s">
        <v>2352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2438</v>
      </c>
      <c r="B223" t="s">
        <v>2437</v>
      </c>
      <c r="C223" t="s">
        <v>2436</v>
      </c>
      <c r="D223" t="s">
        <v>2352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2435</v>
      </c>
      <c r="C224" t="s">
        <v>2434</v>
      </c>
      <c r="D224" t="s">
        <v>2352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2433</v>
      </c>
    </row>
    <row r="226" spans="1:33">
      <c r="A226" t="s">
        <v>2432</v>
      </c>
    </row>
    <row r="227" spans="1:33">
      <c r="A227" t="s">
        <v>2423</v>
      </c>
      <c r="B227" t="s">
        <v>2431</v>
      </c>
      <c r="C227" t="s">
        <v>2430</v>
      </c>
      <c r="D227" t="s">
        <v>2412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2420</v>
      </c>
      <c r="B228" t="s">
        <v>2429</v>
      </c>
      <c r="C228" t="s">
        <v>2428</v>
      </c>
      <c r="D228" t="s">
        <v>2412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2417</v>
      </c>
      <c r="B229" t="s">
        <v>2427</v>
      </c>
      <c r="C229" t="s">
        <v>2426</v>
      </c>
      <c r="D229" t="s">
        <v>2412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200</v>
      </c>
      <c r="B230" t="s">
        <v>2425</v>
      </c>
      <c r="C230" t="s">
        <v>2424</v>
      </c>
      <c r="D230" t="s">
        <v>2412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201</v>
      </c>
    </row>
    <row r="232" spans="1:33">
      <c r="A232" t="s">
        <v>2423</v>
      </c>
      <c r="B232" t="s">
        <v>2422</v>
      </c>
      <c r="C232" t="s">
        <v>2421</v>
      </c>
      <c r="D232" t="s">
        <v>2412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2420</v>
      </c>
      <c r="B233" t="s">
        <v>2419</v>
      </c>
      <c r="C233" t="s">
        <v>2418</v>
      </c>
      <c r="D233" t="s">
        <v>2412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2417</v>
      </c>
      <c r="B234" t="s">
        <v>2416</v>
      </c>
      <c r="C234" t="s">
        <v>2415</v>
      </c>
      <c r="D234" t="s">
        <v>2412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200</v>
      </c>
      <c r="B235" t="s">
        <v>2414</v>
      </c>
      <c r="C235" t="s">
        <v>2413</v>
      </c>
      <c r="D235" t="s">
        <v>2412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2411</v>
      </c>
    </row>
    <row r="238" spans="1:33">
      <c r="A238" t="s">
        <v>196</v>
      </c>
      <c r="B238" t="s">
        <v>2410</v>
      </c>
      <c r="C238" t="s">
        <v>2409</v>
      </c>
      <c r="D238" t="s">
        <v>1769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197</v>
      </c>
      <c r="B239" t="s">
        <v>2408</v>
      </c>
      <c r="C239" t="s">
        <v>2407</v>
      </c>
      <c r="D239" t="s">
        <v>1769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2406</v>
      </c>
      <c r="B240" t="s">
        <v>2405</v>
      </c>
      <c r="C240" t="s">
        <v>2404</v>
      </c>
      <c r="D240" t="s">
        <v>1769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2403</v>
      </c>
      <c r="B241" t="s">
        <v>2402</v>
      </c>
      <c r="C241" t="s">
        <v>2401</v>
      </c>
      <c r="D241" t="s">
        <v>1769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2400</v>
      </c>
      <c r="B242" t="s">
        <v>2399</v>
      </c>
      <c r="C242" t="s">
        <v>2398</v>
      </c>
      <c r="D242" t="s">
        <v>1769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2397</v>
      </c>
      <c r="B243" t="s">
        <v>2396</v>
      </c>
      <c r="C243" t="s">
        <v>2395</v>
      </c>
      <c r="D243" t="s">
        <v>1769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2394</v>
      </c>
      <c r="B244" t="s">
        <v>2393</v>
      </c>
      <c r="C244" t="s">
        <v>2392</v>
      </c>
      <c r="D244" t="s">
        <v>1769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2391</v>
      </c>
      <c r="B245" t="s">
        <v>2390</v>
      </c>
      <c r="C245" t="s">
        <v>2389</v>
      </c>
      <c r="D245" t="s">
        <v>1769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2388</v>
      </c>
      <c r="B246" t="s">
        <v>2387</v>
      </c>
      <c r="C246" t="s">
        <v>2386</v>
      </c>
      <c r="D246" t="s">
        <v>1769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199</v>
      </c>
      <c r="B247" t="s">
        <v>2385</v>
      </c>
      <c r="C247" t="s">
        <v>2384</v>
      </c>
      <c r="D247" t="s">
        <v>1769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2383</v>
      </c>
      <c r="B248" t="s">
        <v>2382</v>
      </c>
      <c r="C248" t="s">
        <v>2381</v>
      </c>
      <c r="D248" t="s">
        <v>1769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2380</v>
      </c>
      <c r="B249" t="s">
        <v>2379</v>
      </c>
      <c r="C249" t="s">
        <v>2378</v>
      </c>
      <c r="D249" t="s">
        <v>1769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2377</v>
      </c>
      <c r="B250" t="s">
        <v>2376</v>
      </c>
      <c r="C250" t="s">
        <v>2375</v>
      </c>
      <c r="D250" t="s">
        <v>1769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198</v>
      </c>
      <c r="B251" t="s">
        <v>2374</v>
      </c>
      <c r="C251" t="s">
        <v>2373</v>
      </c>
      <c r="D251" t="s">
        <v>1769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2372</v>
      </c>
      <c r="B252" t="s">
        <v>2371</v>
      </c>
      <c r="C252" t="s">
        <v>2370</v>
      </c>
      <c r="D252" t="s">
        <v>1769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2369</v>
      </c>
      <c r="B253" t="s">
        <v>2368</v>
      </c>
      <c r="C253" t="s">
        <v>2367</v>
      </c>
      <c r="D253" t="s">
        <v>1769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2366</v>
      </c>
      <c r="C254" t="s">
        <v>2365</v>
      </c>
      <c r="D254" t="s">
        <v>1769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2364</v>
      </c>
      <c r="B255" t="s">
        <v>413</v>
      </c>
      <c r="C255" t="s">
        <v>2363</v>
      </c>
      <c r="D255" t="s">
        <v>2362</v>
      </c>
      <c r="E255" t="s">
        <v>1769</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2361</v>
      </c>
      <c r="B256" t="s">
        <v>413</v>
      </c>
      <c r="C256" t="s">
        <v>2360</v>
      </c>
      <c r="D256" t="s">
        <v>2359</v>
      </c>
      <c r="E256" t="s">
        <v>1769</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5"/>
  <cols>
    <col min="1" max="1" width="31.7109375" customWidth="1"/>
    <col min="2" max="2" width="27.5703125" customWidth="1"/>
  </cols>
  <sheetData>
    <row r="1" spans="1:33">
      <c r="A1" t="s">
        <v>3435</v>
      </c>
    </row>
    <row r="2" spans="1:33">
      <c r="A2" t="s">
        <v>3434</v>
      </c>
    </row>
    <row r="3" spans="1:33">
      <c r="A3" t="s">
        <v>3433</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201</v>
      </c>
    </row>
    <row r="7" spans="1:33" s="248" customFormat="1">
      <c r="A7" s="248" t="s">
        <v>196</v>
      </c>
      <c r="B7" s="248" t="s">
        <v>3432</v>
      </c>
      <c r="C7" s="248" t="s">
        <v>3431</v>
      </c>
      <c r="D7" s="248" t="s">
        <v>2352</v>
      </c>
      <c r="F7" s="248">
        <v>7961.8115230000003</v>
      </c>
      <c r="G7" s="248">
        <v>8114.1367190000001</v>
      </c>
      <c r="H7" s="248">
        <v>8300.2080079999996</v>
      </c>
      <c r="I7" s="248">
        <v>8472.6796880000002</v>
      </c>
      <c r="J7" s="248">
        <v>8615.5263670000004</v>
      </c>
      <c r="K7" s="248">
        <v>8770.4619139999995</v>
      </c>
      <c r="L7" s="248">
        <v>8906.6884769999997</v>
      </c>
      <c r="M7" s="248">
        <v>9018.9091800000006</v>
      </c>
      <c r="N7" s="248">
        <v>9150.0859380000002</v>
      </c>
      <c r="O7" s="248">
        <v>9291.1201170000004</v>
      </c>
      <c r="P7" s="248">
        <v>9427</v>
      </c>
      <c r="Q7" s="248">
        <v>9577.34375</v>
      </c>
      <c r="R7" s="248">
        <v>9730.7988280000009</v>
      </c>
      <c r="S7" s="248">
        <v>9894.3769530000009</v>
      </c>
      <c r="T7" s="248">
        <v>10070.627930000001</v>
      </c>
      <c r="U7" s="248">
        <v>10247.341796999999</v>
      </c>
      <c r="V7" s="248">
        <v>10424.302734000001</v>
      </c>
      <c r="W7" s="248">
        <v>10598.201171999999</v>
      </c>
      <c r="X7" s="248">
        <v>10787.068359000001</v>
      </c>
      <c r="Y7" s="248">
        <v>10971.892578000001</v>
      </c>
      <c r="Z7" s="248">
        <v>11144.199219</v>
      </c>
      <c r="AA7" s="248">
        <v>11313.208984000001</v>
      </c>
      <c r="AB7" s="248">
        <v>11479.341796999999</v>
      </c>
      <c r="AC7" s="248">
        <v>11674.663086</v>
      </c>
      <c r="AD7" s="248">
        <v>11883.263671999999</v>
      </c>
      <c r="AE7" s="248">
        <v>12083.059569999999</v>
      </c>
      <c r="AF7" s="248">
        <v>12280.137694999999</v>
      </c>
      <c r="AG7" s="249">
        <v>1.7000000000000001E-2</v>
      </c>
    </row>
    <row r="8" spans="1:33">
      <c r="A8" t="s">
        <v>2423</v>
      </c>
      <c r="B8" t="s">
        <v>3430</v>
      </c>
      <c r="C8" t="s">
        <v>3429</v>
      </c>
      <c r="D8" t="s">
        <v>2352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2420</v>
      </c>
      <c r="B9" t="s">
        <v>3428</v>
      </c>
      <c r="C9" t="s">
        <v>3427</v>
      </c>
      <c r="D9" t="s">
        <v>2352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2417</v>
      </c>
      <c r="B10" t="s">
        <v>3426</v>
      </c>
      <c r="C10" t="s">
        <v>3425</v>
      </c>
      <c r="D10" t="s">
        <v>2352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197</v>
      </c>
      <c r="B11" t="s">
        <v>3424</v>
      </c>
      <c r="C11" t="s">
        <v>3423</v>
      </c>
      <c r="D11" t="s">
        <v>2352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2423</v>
      </c>
      <c r="B12" t="s">
        <v>3422</v>
      </c>
      <c r="C12" t="s">
        <v>3421</v>
      </c>
      <c r="D12" t="s">
        <v>2352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2420</v>
      </c>
      <c r="B13" t="s">
        <v>3420</v>
      </c>
      <c r="C13" t="s">
        <v>3419</v>
      </c>
      <c r="D13" t="s">
        <v>2352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2417</v>
      </c>
      <c r="B14" t="s">
        <v>3418</v>
      </c>
      <c r="C14" t="s">
        <v>3417</v>
      </c>
      <c r="D14" t="s">
        <v>2352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2406</v>
      </c>
      <c r="B15" t="s">
        <v>3416</v>
      </c>
      <c r="C15" t="s">
        <v>3415</v>
      </c>
      <c r="D15" t="s">
        <v>2352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2423</v>
      </c>
      <c r="B16" t="s">
        <v>3414</v>
      </c>
      <c r="C16" t="s">
        <v>3413</v>
      </c>
      <c r="D16" t="s">
        <v>2352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2420</v>
      </c>
      <c r="B17" t="s">
        <v>3412</v>
      </c>
      <c r="C17" t="s">
        <v>3411</v>
      </c>
      <c r="D17" t="s">
        <v>2352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2417</v>
      </c>
      <c r="B18" t="s">
        <v>3410</v>
      </c>
      <c r="C18" t="s">
        <v>3409</v>
      </c>
      <c r="D18" t="s">
        <v>2352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2403</v>
      </c>
      <c r="B19" t="s">
        <v>3408</v>
      </c>
      <c r="C19" t="s">
        <v>3407</v>
      </c>
      <c r="D19" t="s">
        <v>2352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2423</v>
      </c>
      <c r="B20" t="s">
        <v>3406</v>
      </c>
      <c r="C20" t="s">
        <v>3405</v>
      </c>
      <c r="D20" t="s">
        <v>2352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2420</v>
      </c>
      <c r="B21" t="s">
        <v>3404</v>
      </c>
      <c r="C21" t="s">
        <v>3403</v>
      </c>
      <c r="D21" t="s">
        <v>2352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2417</v>
      </c>
      <c r="B22" t="s">
        <v>3402</v>
      </c>
      <c r="C22" t="s">
        <v>3401</v>
      </c>
      <c r="D22" t="s">
        <v>2352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2400</v>
      </c>
      <c r="B23" t="s">
        <v>3400</v>
      </c>
      <c r="C23" t="s">
        <v>3399</v>
      </c>
      <c r="D23" t="s">
        <v>2352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2423</v>
      </c>
      <c r="B24" t="s">
        <v>3398</v>
      </c>
      <c r="C24" t="s">
        <v>3397</v>
      </c>
      <c r="D24" t="s">
        <v>2352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2420</v>
      </c>
      <c r="B25" t="s">
        <v>3396</v>
      </c>
      <c r="C25" t="s">
        <v>3395</v>
      </c>
      <c r="D25" t="s">
        <v>2352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2417</v>
      </c>
      <c r="B26" t="s">
        <v>3394</v>
      </c>
      <c r="C26" t="s">
        <v>3393</v>
      </c>
      <c r="D26" t="s">
        <v>2352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2397</v>
      </c>
      <c r="B27" t="s">
        <v>3392</v>
      </c>
      <c r="C27" t="s">
        <v>3391</v>
      </c>
      <c r="D27" t="s">
        <v>2352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2423</v>
      </c>
      <c r="B28" t="s">
        <v>3390</v>
      </c>
      <c r="C28" t="s">
        <v>3389</v>
      </c>
      <c r="D28" t="s">
        <v>2352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2420</v>
      </c>
      <c r="B29" t="s">
        <v>3388</v>
      </c>
      <c r="C29" t="s">
        <v>3387</v>
      </c>
      <c r="D29" t="s">
        <v>2352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2417</v>
      </c>
      <c r="B30" t="s">
        <v>3386</v>
      </c>
      <c r="C30" t="s">
        <v>3385</v>
      </c>
      <c r="D30" t="s">
        <v>2352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2394</v>
      </c>
      <c r="B31" t="s">
        <v>3384</v>
      </c>
      <c r="C31" t="s">
        <v>3383</v>
      </c>
      <c r="D31" t="s">
        <v>2352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2423</v>
      </c>
      <c r="B32" t="s">
        <v>3382</v>
      </c>
      <c r="C32" t="s">
        <v>3381</v>
      </c>
      <c r="D32" t="s">
        <v>2352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2420</v>
      </c>
      <c r="B33" t="s">
        <v>3380</v>
      </c>
      <c r="C33" t="s">
        <v>3379</v>
      </c>
      <c r="D33" t="s">
        <v>2352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2417</v>
      </c>
      <c r="B34" t="s">
        <v>3378</v>
      </c>
      <c r="C34" t="s">
        <v>3377</v>
      </c>
      <c r="D34" t="s">
        <v>2352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2391</v>
      </c>
      <c r="B35" t="s">
        <v>3376</v>
      </c>
      <c r="C35" t="s">
        <v>3375</v>
      </c>
      <c r="D35" t="s">
        <v>2352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2423</v>
      </c>
      <c r="B36" t="s">
        <v>3374</v>
      </c>
      <c r="C36" t="s">
        <v>3373</v>
      </c>
      <c r="D36" t="s">
        <v>2352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2420</v>
      </c>
      <c r="B37" t="s">
        <v>3372</v>
      </c>
      <c r="C37" t="s">
        <v>3371</v>
      </c>
      <c r="D37" t="s">
        <v>2352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2417</v>
      </c>
      <c r="B38" t="s">
        <v>3370</v>
      </c>
      <c r="C38" t="s">
        <v>3369</v>
      </c>
      <c r="D38" t="s">
        <v>2352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2388</v>
      </c>
      <c r="B39" t="s">
        <v>3368</v>
      </c>
      <c r="C39" t="s">
        <v>3367</v>
      </c>
      <c r="D39" t="s">
        <v>2352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2423</v>
      </c>
      <c r="B40" t="s">
        <v>3366</v>
      </c>
      <c r="C40" t="s">
        <v>3365</v>
      </c>
      <c r="D40" t="s">
        <v>2352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2420</v>
      </c>
      <c r="B41" t="s">
        <v>3364</v>
      </c>
      <c r="C41" t="s">
        <v>3363</v>
      </c>
      <c r="D41" t="s">
        <v>2352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2417</v>
      </c>
      <c r="B42" t="s">
        <v>3362</v>
      </c>
      <c r="C42" t="s">
        <v>3361</v>
      </c>
      <c r="D42" t="s">
        <v>2352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199</v>
      </c>
      <c r="B43" t="s">
        <v>3360</v>
      </c>
      <c r="C43" t="s">
        <v>3359</v>
      </c>
      <c r="D43" t="s">
        <v>2352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2423</v>
      </c>
      <c r="B44" t="s">
        <v>3358</v>
      </c>
      <c r="C44" t="s">
        <v>3357</v>
      </c>
      <c r="D44" t="s">
        <v>2352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2420</v>
      </c>
      <c r="B45" t="s">
        <v>3356</v>
      </c>
      <c r="C45" t="s">
        <v>3355</v>
      </c>
      <c r="D45" t="s">
        <v>2352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2417</v>
      </c>
      <c r="B46" t="s">
        <v>3354</v>
      </c>
      <c r="C46" t="s">
        <v>3353</v>
      </c>
      <c r="D46" t="s">
        <v>2352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2383</v>
      </c>
      <c r="B47" t="s">
        <v>3352</v>
      </c>
      <c r="C47" t="s">
        <v>3351</v>
      </c>
      <c r="D47" t="s">
        <v>2352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2423</v>
      </c>
      <c r="B48" t="s">
        <v>3350</v>
      </c>
      <c r="C48" t="s">
        <v>3349</v>
      </c>
      <c r="D48" t="s">
        <v>2352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2420</v>
      </c>
      <c r="B49" t="s">
        <v>3348</v>
      </c>
      <c r="C49" t="s">
        <v>3347</v>
      </c>
      <c r="D49" t="s">
        <v>2352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2417</v>
      </c>
      <c r="B50" t="s">
        <v>3346</v>
      </c>
      <c r="C50" t="s">
        <v>3345</v>
      </c>
      <c r="D50" t="s">
        <v>2352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2380</v>
      </c>
      <c r="B51" t="s">
        <v>3344</v>
      </c>
      <c r="C51" t="s">
        <v>3343</v>
      </c>
      <c r="D51" t="s">
        <v>2352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2423</v>
      </c>
      <c r="B52" t="s">
        <v>3342</v>
      </c>
      <c r="C52" t="s">
        <v>3341</v>
      </c>
      <c r="D52" t="s">
        <v>2352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2420</v>
      </c>
      <c r="B53" t="s">
        <v>3340</v>
      </c>
      <c r="C53" t="s">
        <v>3339</v>
      </c>
      <c r="D53" t="s">
        <v>2352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2417</v>
      </c>
      <c r="B54" t="s">
        <v>3338</v>
      </c>
      <c r="C54" t="s">
        <v>3337</v>
      </c>
      <c r="D54" t="s">
        <v>2352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2377</v>
      </c>
      <c r="B55" t="s">
        <v>3336</v>
      </c>
      <c r="C55" t="s">
        <v>3335</v>
      </c>
      <c r="D55" t="s">
        <v>2352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2423</v>
      </c>
      <c r="B56" t="s">
        <v>3334</v>
      </c>
      <c r="C56" t="s">
        <v>3333</v>
      </c>
      <c r="D56" t="s">
        <v>2352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2420</v>
      </c>
      <c r="B57" t="s">
        <v>3332</v>
      </c>
      <c r="C57" t="s">
        <v>3331</v>
      </c>
      <c r="D57" t="s">
        <v>2352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2417</v>
      </c>
      <c r="B58" t="s">
        <v>3330</v>
      </c>
      <c r="C58" t="s">
        <v>3329</v>
      </c>
      <c r="D58" t="s">
        <v>2352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198</v>
      </c>
      <c r="B59" t="s">
        <v>3328</v>
      </c>
      <c r="C59" t="s">
        <v>3327</v>
      </c>
      <c r="D59" t="s">
        <v>2352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2423</v>
      </c>
      <c r="B60" t="s">
        <v>3326</v>
      </c>
      <c r="C60" t="s">
        <v>3325</v>
      </c>
      <c r="D60" t="s">
        <v>2352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2420</v>
      </c>
      <c r="B61" t="s">
        <v>3324</v>
      </c>
      <c r="C61" t="s">
        <v>3323</v>
      </c>
      <c r="D61" t="s">
        <v>2352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2417</v>
      </c>
      <c r="B62" t="s">
        <v>3322</v>
      </c>
      <c r="C62" t="s">
        <v>3321</v>
      </c>
      <c r="D62" t="s">
        <v>2352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2372</v>
      </c>
      <c r="B63" t="s">
        <v>3320</v>
      </c>
      <c r="C63" t="s">
        <v>3319</v>
      </c>
      <c r="D63" t="s">
        <v>2352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2423</v>
      </c>
      <c r="B64" t="s">
        <v>3318</v>
      </c>
      <c r="C64" t="s">
        <v>3317</v>
      </c>
      <c r="D64" t="s">
        <v>2352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2420</v>
      </c>
      <c r="B65" t="s">
        <v>3316</v>
      </c>
      <c r="C65" t="s">
        <v>3315</v>
      </c>
      <c r="D65" t="s">
        <v>2352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2417</v>
      </c>
      <c r="B66" t="s">
        <v>3314</v>
      </c>
      <c r="C66" t="s">
        <v>3313</v>
      </c>
      <c r="D66" t="s">
        <v>2352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2369</v>
      </c>
      <c r="B67" t="s">
        <v>3312</v>
      </c>
      <c r="C67" t="s">
        <v>3311</v>
      </c>
      <c r="D67" t="s">
        <v>2352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2423</v>
      </c>
      <c r="B68" t="s">
        <v>3310</v>
      </c>
      <c r="C68" t="s">
        <v>3309</v>
      </c>
      <c r="D68" t="s">
        <v>2352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2420</v>
      </c>
      <c r="B69" t="s">
        <v>3308</v>
      </c>
      <c r="C69" t="s">
        <v>3307</v>
      </c>
      <c r="D69" t="s">
        <v>2352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2417</v>
      </c>
      <c r="B70" t="s">
        <v>3306</v>
      </c>
      <c r="C70" t="s">
        <v>3305</v>
      </c>
      <c r="D70" t="s">
        <v>2352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3304</v>
      </c>
      <c r="C71" t="s">
        <v>3303</v>
      </c>
      <c r="D71" t="s">
        <v>2352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2423</v>
      </c>
      <c r="B72" t="s">
        <v>3302</v>
      </c>
      <c r="C72" t="s">
        <v>3301</v>
      </c>
      <c r="D72" t="s">
        <v>2352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2420</v>
      </c>
      <c r="B73" t="s">
        <v>3300</v>
      </c>
      <c r="C73" t="s">
        <v>3299</v>
      </c>
      <c r="D73" t="s">
        <v>2352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2417</v>
      </c>
      <c r="B74" t="s">
        <v>3298</v>
      </c>
      <c r="C74" t="s">
        <v>3297</v>
      </c>
      <c r="D74" t="s">
        <v>2352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1198</v>
      </c>
    </row>
    <row r="76" spans="1:33">
      <c r="A76" t="s">
        <v>196</v>
      </c>
      <c r="B76" t="s">
        <v>3296</v>
      </c>
      <c r="C76" t="s">
        <v>3295</v>
      </c>
      <c r="D76" t="s">
        <v>2352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144">
        <v>1.7999999999999999E-2</v>
      </c>
    </row>
    <row r="77" spans="1:33">
      <c r="A77" t="s">
        <v>2423</v>
      </c>
      <c r="B77" t="s">
        <v>3294</v>
      </c>
      <c r="C77" t="s">
        <v>3293</v>
      </c>
      <c r="D77" t="s">
        <v>2352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2420</v>
      </c>
      <c r="B78" t="s">
        <v>3292</v>
      </c>
      <c r="C78" t="s">
        <v>3291</v>
      </c>
      <c r="D78" t="s">
        <v>2352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2417</v>
      </c>
      <c r="B79" t="s">
        <v>3290</v>
      </c>
      <c r="C79" t="s">
        <v>3289</v>
      </c>
      <c r="D79" t="s">
        <v>2352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197</v>
      </c>
      <c r="B80" t="s">
        <v>3288</v>
      </c>
      <c r="C80" t="s">
        <v>3287</v>
      </c>
      <c r="D80" t="s">
        <v>2352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2423</v>
      </c>
      <c r="B81" t="s">
        <v>3286</v>
      </c>
      <c r="C81" t="s">
        <v>3285</v>
      </c>
      <c r="D81" t="s">
        <v>2352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2420</v>
      </c>
      <c r="B82" t="s">
        <v>3284</v>
      </c>
      <c r="C82" t="s">
        <v>3283</v>
      </c>
      <c r="D82" t="s">
        <v>2352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2417</v>
      </c>
      <c r="B83" t="s">
        <v>3282</v>
      </c>
      <c r="C83" t="s">
        <v>3281</v>
      </c>
      <c r="D83" t="s">
        <v>2352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2406</v>
      </c>
      <c r="B84" t="s">
        <v>3280</v>
      </c>
      <c r="C84" t="s">
        <v>3279</v>
      </c>
      <c r="D84" t="s">
        <v>2352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2423</v>
      </c>
      <c r="B85" t="s">
        <v>3278</v>
      </c>
      <c r="C85" t="s">
        <v>3277</v>
      </c>
      <c r="D85" t="s">
        <v>2352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2420</v>
      </c>
      <c r="B86" t="s">
        <v>3276</v>
      </c>
      <c r="C86" t="s">
        <v>3275</v>
      </c>
      <c r="D86" t="s">
        <v>2352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2417</v>
      </c>
      <c r="B87" t="s">
        <v>3274</v>
      </c>
      <c r="C87" t="s">
        <v>3273</v>
      </c>
      <c r="D87" t="s">
        <v>2352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2403</v>
      </c>
      <c r="B88" t="s">
        <v>3272</v>
      </c>
      <c r="C88" t="s">
        <v>3271</v>
      </c>
      <c r="D88" t="s">
        <v>2352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2423</v>
      </c>
      <c r="B89" t="s">
        <v>3270</v>
      </c>
      <c r="C89" t="s">
        <v>3269</v>
      </c>
      <c r="D89" t="s">
        <v>2352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2420</v>
      </c>
      <c r="B90" t="s">
        <v>3268</v>
      </c>
      <c r="C90" t="s">
        <v>3267</v>
      </c>
      <c r="D90" t="s">
        <v>2352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2417</v>
      </c>
      <c r="B91" t="s">
        <v>3266</v>
      </c>
      <c r="C91" t="s">
        <v>3265</v>
      </c>
      <c r="D91" t="s">
        <v>2352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2400</v>
      </c>
      <c r="B92" t="s">
        <v>3264</v>
      </c>
      <c r="C92" t="s">
        <v>3263</v>
      </c>
      <c r="D92" t="s">
        <v>2352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2423</v>
      </c>
      <c r="B93" t="s">
        <v>3262</v>
      </c>
      <c r="C93" t="s">
        <v>3261</v>
      </c>
      <c r="D93" t="s">
        <v>2352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2420</v>
      </c>
      <c r="B94" t="s">
        <v>3260</v>
      </c>
      <c r="C94" t="s">
        <v>3259</v>
      </c>
      <c r="D94" t="s">
        <v>2352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2417</v>
      </c>
      <c r="B95" t="s">
        <v>3258</v>
      </c>
      <c r="C95" t="s">
        <v>3257</v>
      </c>
      <c r="D95" t="s">
        <v>2352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2397</v>
      </c>
      <c r="B96" t="s">
        <v>3256</v>
      </c>
      <c r="C96" t="s">
        <v>3255</v>
      </c>
      <c r="D96" t="s">
        <v>2352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2423</v>
      </c>
      <c r="B97" t="s">
        <v>3254</v>
      </c>
      <c r="C97" t="s">
        <v>3253</v>
      </c>
      <c r="D97" t="s">
        <v>2352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2420</v>
      </c>
      <c r="B98" t="s">
        <v>3252</v>
      </c>
      <c r="C98" t="s">
        <v>3251</v>
      </c>
      <c r="D98" t="s">
        <v>2352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2417</v>
      </c>
      <c r="B99" t="s">
        <v>3250</v>
      </c>
      <c r="C99" t="s">
        <v>3249</v>
      </c>
      <c r="D99" t="s">
        <v>2352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2394</v>
      </c>
      <c r="B100" t="s">
        <v>3248</v>
      </c>
      <c r="C100" t="s">
        <v>3247</v>
      </c>
      <c r="D100" t="s">
        <v>2352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2423</v>
      </c>
      <c r="B101" t="s">
        <v>3246</v>
      </c>
      <c r="C101" t="s">
        <v>3245</v>
      </c>
      <c r="D101" t="s">
        <v>2352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2420</v>
      </c>
      <c r="B102" t="s">
        <v>3244</v>
      </c>
      <c r="C102" t="s">
        <v>3243</v>
      </c>
      <c r="D102" t="s">
        <v>2352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2417</v>
      </c>
      <c r="B103" t="s">
        <v>3242</v>
      </c>
      <c r="C103" t="s">
        <v>3241</v>
      </c>
      <c r="D103" t="s">
        <v>2352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2391</v>
      </c>
      <c r="B104" t="s">
        <v>3240</v>
      </c>
      <c r="C104" t="s">
        <v>3239</v>
      </c>
      <c r="D104" t="s">
        <v>2352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2423</v>
      </c>
      <c r="B105" t="s">
        <v>3238</v>
      </c>
      <c r="C105" t="s">
        <v>3237</v>
      </c>
      <c r="D105" t="s">
        <v>2352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2420</v>
      </c>
      <c r="B106" t="s">
        <v>3236</v>
      </c>
      <c r="C106" t="s">
        <v>3235</v>
      </c>
      <c r="D106" t="s">
        <v>2352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2417</v>
      </c>
      <c r="B107" t="s">
        <v>3234</v>
      </c>
      <c r="C107" t="s">
        <v>3233</v>
      </c>
      <c r="D107" t="s">
        <v>2352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2388</v>
      </c>
      <c r="B108" t="s">
        <v>3232</v>
      </c>
      <c r="C108" t="s">
        <v>3231</v>
      </c>
      <c r="D108" t="s">
        <v>2352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2423</v>
      </c>
      <c r="B109" t="s">
        <v>3230</v>
      </c>
      <c r="C109" t="s">
        <v>3229</v>
      </c>
      <c r="D109" t="s">
        <v>2352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2420</v>
      </c>
      <c r="B110" t="s">
        <v>3228</v>
      </c>
      <c r="C110" t="s">
        <v>3227</v>
      </c>
      <c r="D110" t="s">
        <v>2352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2417</v>
      </c>
      <c r="B111" t="s">
        <v>3226</v>
      </c>
      <c r="C111" t="s">
        <v>3225</v>
      </c>
      <c r="D111" t="s">
        <v>2352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199</v>
      </c>
      <c r="B112" t="s">
        <v>3224</v>
      </c>
      <c r="C112" t="s">
        <v>3223</v>
      </c>
      <c r="D112" t="s">
        <v>2352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2423</v>
      </c>
      <c r="B113" t="s">
        <v>3222</v>
      </c>
      <c r="C113" t="s">
        <v>3221</v>
      </c>
      <c r="D113" t="s">
        <v>2352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2420</v>
      </c>
      <c r="B114" t="s">
        <v>3220</v>
      </c>
      <c r="C114" t="s">
        <v>3219</v>
      </c>
      <c r="D114" t="s">
        <v>2352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2417</v>
      </c>
      <c r="B115" t="s">
        <v>3218</v>
      </c>
      <c r="C115" t="s">
        <v>3217</v>
      </c>
      <c r="D115" t="s">
        <v>2352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2383</v>
      </c>
      <c r="B116" t="s">
        <v>3216</v>
      </c>
      <c r="C116" t="s">
        <v>3215</v>
      </c>
      <c r="D116" t="s">
        <v>2352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2423</v>
      </c>
      <c r="B117" t="s">
        <v>3214</v>
      </c>
      <c r="C117" t="s">
        <v>3213</v>
      </c>
      <c r="D117" t="s">
        <v>2352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2420</v>
      </c>
      <c r="B118" t="s">
        <v>3212</v>
      </c>
      <c r="C118" t="s">
        <v>3211</v>
      </c>
      <c r="D118" t="s">
        <v>2352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2417</v>
      </c>
      <c r="B119" t="s">
        <v>3210</v>
      </c>
      <c r="C119" t="s">
        <v>3209</v>
      </c>
      <c r="D119" t="s">
        <v>2352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2380</v>
      </c>
      <c r="B120" t="s">
        <v>3208</v>
      </c>
      <c r="C120" t="s">
        <v>3207</v>
      </c>
      <c r="D120" t="s">
        <v>2352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2423</v>
      </c>
      <c r="B121" t="s">
        <v>3206</v>
      </c>
      <c r="C121" t="s">
        <v>3205</v>
      </c>
      <c r="D121" t="s">
        <v>2352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2420</v>
      </c>
      <c r="B122" t="s">
        <v>3204</v>
      </c>
      <c r="C122" t="s">
        <v>3203</v>
      </c>
      <c r="D122" t="s">
        <v>2352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2417</v>
      </c>
      <c r="B123" t="s">
        <v>3202</v>
      </c>
      <c r="C123" t="s">
        <v>3201</v>
      </c>
      <c r="D123" t="s">
        <v>2352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2377</v>
      </c>
      <c r="B124" t="s">
        <v>3200</v>
      </c>
      <c r="C124" t="s">
        <v>3199</v>
      </c>
      <c r="D124" t="s">
        <v>2352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2423</v>
      </c>
      <c r="B125" t="s">
        <v>3198</v>
      </c>
      <c r="C125" t="s">
        <v>3197</v>
      </c>
      <c r="D125" t="s">
        <v>2352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2420</v>
      </c>
      <c r="B126" t="s">
        <v>3196</v>
      </c>
      <c r="C126" t="s">
        <v>3195</v>
      </c>
      <c r="D126" t="s">
        <v>2352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2417</v>
      </c>
      <c r="B127" t="s">
        <v>3194</v>
      </c>
      <c r="C127" t="s">
        <v>3193</v>
      </c>
      <c r="D127" t="s">
        <v>2352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198</v>
      </c>
      <c r="B128" t="s">
        <v>3192</v>
      </c>
      <c r="C128" t="s">
        <v>3191</v>
      </c>
      <c r="D128" t="s">
        <v>2352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2423</v>
      </c>
      <c r="B129" t="s">
        <v>3190</v>
      </c>
      <c r="C129" t="s">
        <v>3189</v>
      </c>
      <c r="D129" t="s">
        <v>2352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2420</v>
      </c>
      <c r="B130" t="s">
        <v>3188</v>
      </c>
      <c r="C130" t="s">
        <v>3187</v>
      </c>
      <c r="D130" t="s">
        <v>2352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2417</v>
      </c>
      <c r="B131" t="s">
        <v>3186</v>
      </c>
      <c r="C131" t="s">
        <v>3185</v>
      </c>
      <c r="D131" t="s">
        <v>2352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2372</v>
      </c>
      <c r="B132" t="s">
        <v>3184</v>
      </c>
      <c r="C132" t="s">
        <v>3183</v>
      </c>
      <c r="D132" t="s">
        <v>2352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2423</v>
      </c>
      <c r="B133" t="s">
        <v>3182</v>
      </c>
      <c r="C133" t="s">
        <v>3181</v>
      </c>
      <c r="D133" t="s">
        <v>2352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2420</v>
      </c>
      <c r="B134" t="s">
        <v>3180</v>
      </c>
      <c r="C134" t="s">
        <v>3179</v>
      </c>
      <c r="D134" t="s">
        <v>2352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2417</v>
      </c>
      <c r="B135" t="s">
        <v>3178</v>
      </c>
      <c r="C135" t="s">
        <v>3177</v>
      </c>
      <c r="D135" t="s">
        <v>2352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2369</v>
      </c>
      <c r="B136" t="s">
        <v>3176</v>
      </c>
      <c r="C136" t="s">
        <v>3175</v>
      </c>
      <c r="D136" t="s">
        <v>2352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2423</v>
      </c>
      <c r="B137" t="s">
        <v>3174</v>
      </c>
      <c r="C137" t="s">
        <v>3173</v>
      </c>
      <c r="D137" t="s">
        <v>2352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2420</v>
      </c>
      <c r="B138" t="s">
        <v>3172</v>
      </c>
      <c r="C138" t="s">
        <v>3171</v>
      </c>
      <c r="D138" t="s">
        <v>2352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2417</v>
      </c>
      <c r="B139" t="s">
        <v>3170</v>
      </c>
      <c r="C139" t="s">
        <v>3169</v>
      </c>
      <c r="D139" t="s">
        <v>2352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3168</v>
      </c>
      <c r="C140" t="s">
        <v>3167</v>
      </c>
      <c r="D140" t="s">
        <v>2352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2423</v>
      </c>
      <c r="B141" t="s">
        <v>3166</v>
      </c>
      <c r="C141" t="s">
        <v>3165</v>
      </c>
      <c r="D141" t="s">
        <v>2352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2420</v>
      </c>
      <c r="B142" t="s">
        <v>3164</v>
      </c>
      <c r="C142" t="s">
        <v>3163</v>
      </c>
      <c r="D142" t="s">
        <v>2352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2417</v>
      </c>
      <c r="B143" t="s">
        <v>3162</v>
      </c>
      <c r="C143" t="s">
        <v>3161</v>
      </c>
      <c r="D143" t="s">
        <v>2352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1252</v>
      </c>
    </row>
    <row r="145" spans="1:33">
      <c r="A145" t="s">
        <v>196</v>
      </c>
      <c r="B145" t="s">
        <v>3160</v>
      </c>
      <c r="C145" t="s">
        <v>3159</v>
      </c>
      <c r="D145" t="s">
        <v>2352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2423</v>
      </c>
      <c r="B146" t="s">
        <v>3158</v>
      </c>
      <c r="C146" t="s">
        <v>3157</v>
      </c>
      <c r="D146" t="s">
        <v>2352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2420</v>
      </c>
      <c r="B147" t="s">
        <v>3156</v>
      </c>
      <c r="C147" t="s">
        <v>3155</v>
      </c>
      <c r="D147" t="s">
        <v>2352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2417</v>
      </c>
      <c r="B148" t="s">
        <v>3154</v>
      </c>
      <c r="C148" t="s">
        <v>3153</v>
      </c>
      <c r="D148" t="s">
        <v>2352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197</v>
      </c>
      <c r="B149" t="s">
        <v>3152</v>
      </c>
      <c r="C149" t="s">
        <v>3151</v>
      </c>
      <c r="D149" t="s">
        <v>2352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2423</v>
      </c>
      <c r="B150" t="s">
        <v>3150</v>
      </c>
      <c r="C150" t="s">
        <v>3149</v>
      </c>
      <c r="D150" t="s">
        <v>2352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2420</v>
      </c>
      <c r="B151" t="s">
        <v>3148</v>
      </c>
      <c r="C151" t="s">
        <v>3147</v>
      </c>
      <c r="D151" t="s">
        <v>2352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2417</v>
      </c>
      <c r="B152" t="s">
        <v>3146</v>
      </c>
      <c r="C152" t="s">
        <v>3145</v>
      </c>
      <c r="D152" t="s">
        <v>2352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2406</v>
      </c>
      <c r="B153" t="s">
        <v>3144</v>
      </c>
      <c r="C153" t="s">
        <v>3143</v>
      </c>
      <c r="D153" t="s">
        <v>2352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2423</v>
      </c>
      <c r="B154" t="s">
        <v>3142</v>
      </c>
      <c r="C154" t="s">
        <v>3141</v>
      </c>
      <c r="D154" t="s">
        <v>2352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2420</v>
      </c>
      <c r="B155" t="s">
        <v>3140</v>
      </c>
      <c r="C155" t="s">
        <v>3139</v>
      </c>
      <c r="D155" t="s">
        <v>2352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1772</v>
      </c>
    </row>
    <row r="156" spans="1:33">
      <c r="A156" t="s">
        <v>2417</v>
      </c>
      <c r="B156" t="s">
        <v>3138</v>
      </c>
      <c r="C156" t="s">
        <v>3137</v>
      </c>
      <c r="D156" t="s">
        <v>2352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2403</v>
      </c>
      <c r="B157" t="s">
        <v>3136</v>
      </c>
      <c r="C157" t="s">
        <v>3135</v>
      </c>
      <c r="D157" t="s">
        <v>2352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2423</v>
      </c>
      <c r="B158" t="s">
        <v>3134</v>
      </c>
      <c r="C158" t="s">
        <v>3133</v>
      </c>
      <c r="D158" t="s">
        <v>2352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2420</v>
      </c>
      <c r="B159" t="s">
        <v>3132</v>
      </c>
      <c r="C159" t="s">
        <v>3131</v>
      </c>
      <c r="D159" t="s">
        <v>2352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2417</v>
      </c>
      <c r="B160" t="s">
        <v>3130</v>
      </c>
      <c r="C160" t="s">
        <v>3129</v>
      </c>
      <c r="D160" t="s">
        <v>2352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2400</v>
      </c>
      <c r="B161" t="s">
        <v>3128</v>
      </c>
      <c r="C161" t="s">
        <v>3127</v>
      </c>
      <c r="D161" t="s">
        <v>2352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2423</v>
      </c>
      <c r="B162" t="s">
        <v>3126</v>
      </c>
      <c r="C162" t="s">
        <v>3125</v>
      </c>
      <c r="D162" t="s">
        <v>2352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2420</v>
      </c>
      <c r="B163" t="s">
        <v>3124</v>
      </c>
      <c r="C163" t="s">
        <v>3123</v>
      </c>
      <c r="D163" t="s">
        <v>2352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2417</v>
      </c>
      <c r="B164" t="s">
        <v>3122</v>
      </c>
      <c r="C164" t="s">
        <v>3121</v>
      </c>
      <c r="D164" t="s">
        <v>2352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2397</v>
      </c>
      <c r="B165" t="s">
        <v>3120</v>
      </c>
      <c r="C165" t="s">
        <v>3119</v>
      </c>
      <c r="D165" t="s">
        <v>2352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2423</v>
      </c>
      <c r="B166" t="s">
        <v>3118</v>
      </c>
      <c r="C166" t="s">
        <v>3117</v>
      </c>
      <c r="D166" t="s">
        <v>2352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2420</v>
      </c>
      <c r="B167" t="s">
        <v>3116</v>
      </c>
      <c r="C167" t="s">
        <v>3115</v>
      </c>
      <c r="D167" t="s">
        <v>2352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2417</v>
      </c>
      <c r="B168" t="s">
        <v>3114</v>
      </c>
      <c r="C168" t="s">
        <v>3113</v>
      </c>
      <c r="D168" t="s">
        <v>2352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2394</v>
      </c>
      <c r="B169" t="s">
        <v>3112</v>
      </c>
      <c r="C169" t="s">
        <v>3111</v>
      </c>
      <c r="D169" t="s">
        <v>2352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2423</v>
      </c>
      <c r="B170" t="s">
        <v>3110</v>
      </c>
      <c r="C170" t="s">
        <v>3109</v>
      </c>
      <c r="D170" t="s">
        <v>2352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1772</v>
      </c>
    </row>
    <row r="171" spans="1:33">
      <c r="A171" t="s">
        <v>2420</v>
      </c>
      <c r="B171" t="s">
        <v>3108</v>
      </c>
      <c r="C171" t="s">
        <v>3107</v>
      </c>
      <c r="D171" t="s">
        <v>2352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2417</v>
      </c>
      <c r="B172" t="s">
        <v>3106</v>
      </c>
      <c r="C172" t="s">
        <v>3105</v>
      </c>
      <c r="D172" t="s">
        <v>2352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1772</v>
      </c>
    </row>
    <row r="173" spans="1:33">
      <c r="A173" t="s">
        <v>2391</v>
      </c>
      <c r="B173" t="s">
        <v>3104</v>
      </c>
      <c r="C173" t="s">
        <v>3103</v>
      </c>
      <c r="D173" t="s">
        <v>2352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2423</v>
      </c>
      <c r="B174" t="s">
        <v>3102</v>
      </c>
      <c r="C174" t="s">
        <v>3101</v>
      </c>
      <c r="D174" t="s">
        <v>2352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2420</v>
      </c>
      <c r="B175" t="s">
        <v>3100</v>
      </c>
      <c r="C175" t="s">
        <v>3099</v>
      </c>
      <c r="D175" t="s">
        <v>2352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2417</v>
      </c>
      <c r="B176" t="s">
        <v>3098</v>
      </c>
      <c r="C176" t="s">
        <v>3097</v>
      </c>
      <c r="D176" t="s">
        <v>2352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2388</v>
      </c>
      <c r="B177" t="s">
        <v>3096</v>
      </c>
      <c r="C177" t="s">
        <v>3095</v>
      </c>
      <c r="D177" t="s">
        <v>2352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2423</v>
      </c>
      <c r="B178" t="s">
        <v>3094</v>
      </c>
      <c r="C178" t="s">
        <v>3093</v>
      </c>
      <c r="D178" t="s">
        <v>2352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2420</v>
      </c>
      <c r="B179" t="s">
        <v>3092</v>
      </c>
      <c r="C179" t="s">
        <v>3091</v>
      </c>
      <c r="D179" t="s">
        <v>2352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2417</v>
      </c>
      <c r="B180" t="s">
        <v>3090</v>
      </c>
      <c r="C180" t="s">
        <v>3089</v>
      </c>
      <c r="D180" t="s">
        <v>2352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199</v>
      </c>
      <c r="B181" t="s">
        <v>3088</v>
      </c>
      <c r="C181" t="s">
        <v>3087</v>
      </c>
      <c r="D181" t="s">
        <v>2352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2423</v>
      </c>
      <c r="B182" t="s">
        <v>3086</v>
      </c>
      <c r="C182" t="s">
        <v>3085</v>
      </c>
      <c r="D182" t="s">
        <v>2352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2420</v>
      </c>
      <c r="B183" t="s">
        <v>3084</v>
      </c>
      <c r="C183" t="s">
        <v>3083</v>
      </c>
      <c r="D183" t="s">
        <v>2352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2417</v>
      </c>
      <c r="B184" t="s">
        <v>3082</v>
      </c>
      <c r="C184" t="s">
        <v>3081</v>
      </c>
      <c r="D184" t="s">
        <v>2352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2383</v>
      </c>
      <c r="B185" t="s">
        <v>3080</v>
      </c>
      <c r="C185" t="s">
        <v>3079</v>
      </c>
      <c r="D185" t="s">
        <v>2352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2423</v>
      </c>
      <c r="B186" t="s">
        <v>3078</v>
      </c>
      <c r="C186" t="s">
        <v>3077</v>
      </c>
      <c r="D186" t="s">
        <v>2352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2420</v>
      </c>
      <c r="B187" t="s">
        <v>3076</v>
      </c>
      <c r="C187" t="s">
        <v>3075</v>
      </c>
      <c r="D187" t="s">
        <v>2352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2417</v>
      </c>
      <c r="B188" t="s">
        <v>3074</v>
      </c>
      <c r="C188" t="s">
        <v>3073</v>
      </c>
      <c r="D188" t="s">
        <v>2352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2380</v>
      </c>
      <c r="B189" t="s">
        <v>3072</v>
      </c>
      <c r="C189" t="s">
        <v>3071</v>
      </c>
      <c r="D189" t="s">
        <v>2352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2423</v>
      </c>
      <c r="B190" t="s">
        <v>3070</v>
      </c>
      <c r="C190" t="s">
        <v>3069</v>
      </c>
      <c r="D190" t="s">
        <v>2352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2420</v>
      </c>
      <c r="B191" t="s">
        <v>3068</v>
      </c>
      <c r="C191" t="s">
        <v>3067</v>
      </c>
      <c r="D191" t="s">
        <v>2352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2417</v>
      </c>
      <c r="B192" t="s">
        <v>3066</v>
      </c>
      <c r="C192" t="s">
        <v>3065</v>
      </c>
      <c r="D192" t="s">
        <v>2352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2377</v>
      </c>
      <c r="B193" t="s">
        <v>3064</v>
      </c>
      <c r="C193" t="s">
        <v>3063</v>
      </c>
      <c r="D193" t="s">
        <v>2352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2423</v>
      </c>
      <c r="B194" t="s">
        <v>3062</v>
      </c>
      <c r="C194" t="s">
        <v>3061</v>
      </c>
      <c r="D194" t="s">
        <v>2352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2420</v>
      </c>
      <c r="B195" t="s">
        <v>3060</v>
      </c>
      <c r="C195" t="s">
        <v>3059</v>
      </c>
      <c r="D195" t="s">
        <v>2352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2417</v>
      </c>
      <c r="B196" t="s">
        <v>3058</v>
      </c>
      <c r="C196" t="s">
        <v>3057</v>
      </c>
      <c r="D196" t="s">
        <v>2352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198</v>
      </c>
      <c r="B197" t="s">
        <v>3056</v>
      </c>
      <c r="C197" t="s">
        <v>3055</v>
      </c>
      <c r="D197" t="s">
        <v>2352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2423</v>
      </c>
      <c r="B198" t="s">
        <v>3054</v>
      </c>
      <c r="C198" t="s">
        <v>3053</v>
      </c>
      <c r="D198" t="s">
        <v>2352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2420</v>
      </c>
      <c r="B199" t="s">
        <v>3052</v>
      </c>
      <c r="C199" t="s">
        <v>3051</v>
      </c>
      <c r="D199" t="s">
        <v>2352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2417</v>
      </c>
      <c r="B200" t="s">
        <v>3050</v>
      </c>
      <c r="C200" t="s">
        <v>3049</v>
      </c>
      <c r="D200" t="s">
        <v>2352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2372</v>
      </c>
      <c r="B201" t="s">
        <v>3048</v>
      </c>
      <c r="C201" t="s">
        <v>3047</v>
      </c>
      <c r="D201" t="s">
        <v>2352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2423</v>
      </c>
      <c r="B202" t="s">
        <v>3046</v>
      </c>
      <c r="C202" t="s">
        <v>3045</v>
      </c>
      <c r="D202" t="s">
        <v>2352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2420</v>
      </c>
      <c r="B203" t="s">
        <v>3044</v>
      </c>
      <c r="C203" t="s">
        <v>3043</v>
      </c>
      <c r="D203" t="s">
        <v>2352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2417</v>
      </c>
      <c r="B204" t="s">
        <v>3042</v>
      </c>
      <c r="C204" t="s">
        <v>3041</v>
      </c>
      <c r="D204" t="s">
        <v>2352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2369</v>
      </c>
      <c r="B205" t="s">
        <v>3040</v>
      </c>
      <c r="C205" t="s">
        <v>3039</v>
      </c>
      <c r="D205" t="s">
        <v>2352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2423</v>
      </c>
      <c r="B206" t="s">
        <v>3038</v>
      </c>
      <c r="C206" t="s">
        <v>3037</v>
      </c>
      <c r="D206" t="s">
        <v>2352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2420</v>
      </c>
      <c r="B207" t="s">
        <v>3036</v>
      </c>
      <c r="C207" t="s">
        <v>3035</v>
      </c>
      <c r="D207" t="s">
        <v>2352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2417</v>
      </c>
      <c r="B208" t="s">
        <v>3034</v>
      </c>
      <c r="C208" t="s">
        <v>3033</v>
      </c>
      <c r="D208" t="s">
        <v>2352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3032</v>
      </c>
      <c r="C209" t="s">
        <v>3031</v>
      </c>
      <c r="D209" t="s">
        <v>2352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2423</v>
      </c>
      <c r="B210" t="s">
        <v>3030</v>
      </c>
      <c r="C210" t="s">
        <v>3029</v>
      </c>
      <c r="D210" t="s">
        <v>2352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2420</v>
      </c>
      <c r="B211" t="s">
        <v>3028</v>
      </c>
      <c r="C211" t="s">
        <v>3027</v>
      </c>
      <c r="D211" t="s">
        <v>2352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2417</v>
      </c>
      <c r="B212" t="s">
        <v>3026</v>
      </c>
      <c r="C212" t="s">
        <v>3025</v>
      </c>
      <c r="D212" t="s">
        <v>2352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1306</v>
      </c>
    </row>
    <row r="214" spans="1:33">
      <c r="A214" t="s">
        <v>196</v>
      </c>
      <c r="B214" t="s">
        <v>3024</v>
      </c>
      <c r="C214" t="s">
        <v>3023</v>
      </c>
      <c r="D214" t="s">
        <v>2352</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144">
        <v>1.2999999999999999E-2</v>
      </c>
    </row>
    <row r="215" spans="1:33">
      <c r="A215" t="s">
        <v>197</v>
      </c>
      <c r="B215" t="s">
        <v>3022</v>
      </c>
      <c r="C215" t="s">
        <v>3021</v>
      </c>
      <c r="D215" t="s">
        <v>2352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2406</v>
      </c>
      <c r="B216" t="s">
        <v>3020</v>
      </c>
      <c r="C216" t="s">
        <v>3019</v>
      </c>
      <c r="D216" t="s">
        <v>2352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2403</v>
      </c>
      <c r="B217" t="s">
        <v>3018</v>
      </c>
      <c r="C217" t="s">
        <v>3017</v>
      </c>
      <c r="D217" t="s">
        <v>2352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2400</v>
      </c>
      <c r="B218" t="s">
        <v>3016</v>
      </c>
      <c r="C218" t="s">
        <v>3015</v>
      </c>
      <c r="D218" t="s">
        <v>2352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2397</v>
      </c>
      <c r="B219" t="s">
        <v>3014</v>
      </c>
      <c r="C219" t="s">
        <v>3013</v>
      </c>
      <c r="D219" t="s">
        <v>2352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2394</v>
      </c>
      <c r="B220" t="s">
        <v>3012</v>
      </c>
      <c r="C220" t="s">
        <v>3011</v>
      </c>
      <c r="D220" t="s">
        <v>2352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2391</v>
      </c>
      <c r="B221" t="s">
        <v>3010</v>
      </c>
      <c r="C221" t="s">
        <v>3009</v>
      </c>
      <c r="D221" t="s">
        <v>2352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2388</v>
      </c>
      <c r="B222" t="s">
        <v>3008</v>
      </c>
      <c r="C222" t="s">
        <v>3007</v>
      </c>
      <c r="D222" t="s">
        <v>2352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199</v>
      </c>
      <c r="B223" t="s">
        <v>3006</v>
      </c>
      <c r="C223" t="s">
        <v>3005</v>
      </c>
      <c r="D223" t="s">
        <v>2352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2383</v>
      </c>
      <c r="B224" t="s">
        <v>3004</v>
      </c>
      <c r="C224" t="s">
        <v>3003</v>
      </c>
      <c r="D224" t="s">
        <v>2352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2380</v>
      </c>
      <c r="B225" t="s">
        <v>3002</v>
      </c>
      <c r="C225" t="s">
        <v>3001</v>
      </c>
      <c r="D225" t="s">
        <v>2352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2377</v>
      </c>
      <c r="B226" t="s">
        <v>3000</v>
      </c>
      <c r="C226" t="s">
        <v>2999</v>
      </c>
      <c r="D226" t="s">
        <v>2352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198</v>
      </c>
      <c r="B227" t="s">
        <v>2998</v>
      </c>
      <c r="C227" t="s">
        <v>2997</v>
      </c>
      <c r="D227" t="s">
        <v>2352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2372</v>
      </c>
      <c r="B228" t="s">
        <v>2996</v>
      </c>
      <c r="C228" t="s">
        <v>2995</v>
      </c>
      <c r="D228" t="s">
        <v>2352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2369</v>
      </c>
      <c r="B229" t="s">
        <v>2994</v>
      </c>
      <c r="C229" t="s">
        <v>2993</v>
      </c>
      <c r="D229" t="s">
        <v>2352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2992</v>
      </c>
      <c r="C230" t="s">
        <v>2991</v>
      </c>
      <c r="D230" t="s">
        <v>2352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election activeCell="A21" sqref="A21:XFD21"/>
    </sheetView>
  </sheetViews>
  <sheetFormatPr defaultRowHeight="15"/>
  <cols>
    <col min="1" max="1" width="30" customWidth="1"/>
    <col min="2" max="2" width="56.140625" customWidth="1"/>
  </cols>
  <sheetData>
    <row r="1" spans="1:33">
      <c r="A1" t="s">
        <v>2358</v>
      </c>
    </row>
    <row r="2" spans="1:33">
      <c r="A2" t="s">
        <v>2357</v>
      </c>
    </row>
    <row r="3" spans="1:33">
      <c r="A3" t="s">
        <v>2356</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2350</v>
      </c>
    </row>
    <row r="7" spans="1:33">
      <c r="A7" t="s">
        <v>2349</v>
      </c>
    </row>
    <row r="8" spans="1:33">
      <c r="A8" t="s">
        <v>1908</v>
      </c>
    </row>
    <row r="9" spans="1:33">
      <c r="A9" t="s">
        <v>202</v>
      </c>
      <c r="B9" t="s">
        <v>2348</v>
      </c>
      <c r="C9" t="s">
        <v>2347</v>
      </c>
      <c r="D9" t="s">
        <v>2267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203</v>
      </c>
      <c r="B10" t="s">
        <v>2346</v>
      </c>
      <c r="C10" t="s">
        <v>2345</v>
      </c>
      <c r="D10" t="s">
        <v>2267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204</v>
      </c>
      <c r="B11" t="s">
        <v>2344</v>
      </c>
      <c r="C11" t="s">
        <v>2343</v>
      </c>
      <c r="D11" t="s">
        <v>2267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205</v>
      </c>
      <c r="B12" t="s">
        <v>2342</v>
      </c>
      <c r="C12" t="s">
        <v>2341</v>
      </c>
      <c r="D12" t="s">
        <v>2267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206</v>
      </c>
      <c r="B13" t="s">
        <v>2340</v>
      </c>
      <c r="C13" t="s">
        <v>2339</v>
      </c>
      <c r="D13" t="s">
        <v>2267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207</v>
      </c>
      <c r="B14" t="s">
        <v>2338</v>
      </c>
      <c r="C14" t="s">
        <v>2337</v>
      </c>
      <c r="D14" t="s">
        <v>2267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208</v>
      </c>
      <c r="B15" t="s">
        <v>2336</v>
      </c>
      <c r="C15" t="s">
        <v>2335</v>
      </c>
      <c r="D15" t="s">
        <v>2267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1772</v>
      </c>
    </row>
    <row r="16" spans="1:33">
      <c r="A16" t="s">
        <v>209</v>
      </c>
      <c r="B16" t="s">
        <v>2334</v>
      </c>
      <c r="C16" t="s">
        <v>2333</v>
      </c>
      <c r="D16" t="s">
        <v>2267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1772</v>
      </c>
    </row>
    <row r="17" spans="1:33">
      <c r="A17" t="s">
        <v>210</v>
      </c>
      <c r="B17" t="s">
        <v>2332</v>
      </c>
      <c r="C17" t="s">
        <v>2331</v>
      </c>
      <c r="D17" t="s">
        <v>2267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1772</v>
      </c>
    </row>
    <row r="18" spans="1:33">
      <c r="A18" t="s">
        <v>1833</v>
      </c>
      <c r="B18" t="s">
        <v>2330</v>
      </c>
      <c r="C18" t="s">
        <v>2329</v>
      </c>
      <c r="D18" t="s">
        <v>2267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1830</v>
      </c>
      <c r="B19" t="s">
        <v>2328</v>
      </c>
      <c r="C19" t="s">
        <v>2327</v>
      </c>
      <c r="D19" t="s">
        <v>2267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1772</v>
      </c>
    </row>
    <row r="20" spans="1:33">
      <c r="A20" t="s">
        <v>1827</v>
      </c>
      <c r="B20" t="s">
        <v>2326</v>
      </c>
      <c r="C20" t="s">
        <v>2325</v>
      </c>
      <c r="D20" t="s">
        <v>2267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1772</v>
      </c>
    </row>
    <row r="21" spans="1:33" s="260" customFormat="1">
      <c r="A21" s="260" t="s">
        <v>1883</v>
      </c>
      <c r="B21" s="260" t="s">
        <v>2324</v>
      </c>
      <c r="C21" s="260" t="s">
        <v>2323</v>
      </c>
      <c r="D21" s="260" t="s">
        <v>2267</v>
      </c>
      <c r="F21" s="260">
        <v>81.913414000000003</v>
      </c>
      <c r="G21" s="260">
        <v>83.637932000000006</v>
      </c>
      <c r="H21" s="260">
        <v>84.649970999999994</v>
      </c>
      <c r="I21" s="260">
        <v>85.366112000000001</v>
      </c>
      <c r="J21" s="260">
        <v>86.041008000000005</v>
      </c>
      <c r="K21" s="260">
        <v>87.189673999999997</v>
      </c>
      <c r="L21" s="260">
        <v>88.634345999999994</v>
      </c>
      <c r="M21" s="260">
        <v>90.136009000000001</v>
      </c>
      <c r="N21" s="260">
        <v>91.764342999999997</v>
      </c>
      <c r="O21" s="260">
        <v>93.408591999999999</v>
      </c>
      <c r="P21" s="260">
        <v>95.227249</v>
      </c>
      <c r="Q21" s="260">
        <v>97.079216000000002</v>
      </c>
      <c r="R21" s="260">
        <v>99.016814999999994</v>
      </c>
      <c r="S21" s="260">
        <v>100.936539</v>
      </c>
      <c r="T21" s="260">
        <v>102.872658</v>
      </c>
      <c r="U21" s="260">
        <v>104.776962</v>
      </c>
      <c r="V21" s="260">
        <v>106.826088</v>
      </c>
      <c r="W21" s="260">
        <v>108.78827699999999</v>
      </c>
      <c r="X21" s="260">
        <v>110.690437</v>
      </c>
      <c r="Y21" s="260">
        <v>112.395782</v>
      </c>
      <c r="Z21" s="260">
        <v>114.059608</v>
      </c>
      <c r="AA21" s="260">
        <v>115.924751</v>
      </c>
      <c r="AB21" s="260">
        <v>117.859016</v>
      </c>
      <c r="AC21" s="260">
        <v>120.16201</v>
      </c>
      <c r="AD21" s="260">
        <v>122.30836499999999</v>
      </c>
      <c r="AE21" s="260">
        <v>124.313187</v>
      </c>
      <c r="AF21" s="260">
        <v>126.225555</v>
      </c>
      <c r="AG21" s="261">
        <v>1.7000000000000001E-2</v>
      </c>
    </row>
    <row r="22" spans="1:33">
      <c r="A22" t="s">
        <v>1880</v>
      </c>
    </row>
    <row r="23" spans="1:33">
      <c r="A23" t="s">
        <v>202</v>
      </c>
      <c r="B23" t="s">
        <v>2322</v>
      </c>
      <c r="C23" t="s">
        <v>2321</v>
      </c>
      <c r="D23" t="s">
        <v>2267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203</v>
      </c>
      <c r="B24" t="s">
        <v>2320</v>
      </c>
      <c r="C24" t="s">
        <v>2319</v>
      </c>
      <c r="D24" t="s">
        <v>2267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204</v>
      </c>
      <c r="B25" t="s">
        <v>2318</v>
      </c>
      <c r="C25" t="s">
        <v>2317</v>
      </c>
      <c r="D25" t="s">
        <v>2267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205</v>
      </c>
      <c r="B26" t="s">
        <v>2316</v>
      </c>
      <c r="C26" t="s">
        <v>2315</v>
      </c>
      <c r="D26" t="s">
        <v>2267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206</v>
      </c>
      <c r="B27" t="s">
        <v>2314</v>
      </c>
      <c r="C27" t="s">
        <v>2313</v>
      </c>
      <c r="D27" t="s">
        <v>2267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207</v>
      </c>
      <c r="B28" t="s">
        <v>2312</v>
      </c>
      <c r="C28" t="s">
        <v>2311</v>
      </c>
      <c r="D28" t="s">
        <v>2267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208</v>
      </c>
      <c r="B29" t="s">
        <v>2310</v>
      </c>
      <c r="C29" t="s">
        <v>2309</v>
      </c>
      <c r="D29" t="s">
        <v>2267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1772</v>
      </c>
    </row>
    <row r="30" spans="1:33">
      <c r="A30" t="s">
        <v>209</v>
      </c>
      <c r="B30" t="s">
        <v>2308</v>
      </c>
      <c r="C30" t="s">
        <v>2307</v>
      </c>
      <c r="D30" t="s">
        <v>2267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1772</v>
      </c>
    </row>
    <row r="31" spans="1:33">
      <c r="A31" t="s">
        <v>210</v>
      </c>
      <c r="B31" t="s">
        <v>2306</v>
      </c>
      <c r="C31" t="s">
        <v>2305</v>
      </c>
      <c r="D31" t="s">
        <v>2267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1772</v>
      </c>
    </row>
    <row r="32" spans="1:33">
      <c r="A32" t="s">
        <v>1833</v>
      </c>
      <c r="B32" t="s">
        <v>2304</v>
      </c>
      <c r="C32" t="s">
        <v>2303</v>
      </c>
      <c r="D32" t="s">
        <v>2267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1772</v>
      </c>
    </row>
    <row r="33" spans="1:33">
      <c r="A33" t="s">
        <v>1830</v>
      </c>
      <c r="B33" t="s">
        <v>2302</v>
      </c>
      <c r="C33" t="s">
        <v>2301</v>
      </c>
      <c r="D33" t="s">
        <v>2267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1772</v>
      </c>
    </row>
    <row r="34" spans="1:33">
      <c r="A34" t="s">
        <v>1827</v>
      </c>
      <c r="B34" t="s">
        <v>2300</v>
      </c>
      <c r="C34" t="s">
        <v>2299</v>
      </c>
      <c r="D34" t="s">
        <v>2267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1772</v>
      </c>
    </row>
    <row r="35" spans="1:33" s="260" customFormat="1">
      <c r="A35" s="260" t="s">
        <v>1855</v>
      </c>
      <c r="B35" s="260" t="s">
        <v>2298</v>
      </c>
      <c r="C35" s="260" t="s">
        <v>2297</v>
      </c>
      <c r="D35" s="260" t="s">
        <v>2267</v>
      </c>
      <c r="F35" s="260">
        <v>62.669761999999999</v>
      </c>
      <c r="G35" s="260">
        <v>62.306469</v>
      </c>
      <c r="H35" s="260">
        <v>61.636169000000002</v>
      </c>
      <c r="I35" s="260">
        <v>61.069248000000002</v>
      </c>
      <c r="J35" s="260">
        <v>60.511715000000002</v>
      </c>
      <c r="K35" s="260">
        <v>60.140095000000002</v>
      </c>
      <c r="L35" s="260">
        <v>59.894455000000001</v>
      </c>
      <c r="M35" s="260">
        <v>59.670211999999999</v>
      </c>
      <c r="N35" s="260">
        <v>59.550327000000003</v>
      </c>
      <c r="O35" s="260">
        <v>59.398045000000003</v>
      </c>
      <c r="P35" s="260">
        <v>59.327106000000001</v>
      </c>
      <c r="Q35" s="260">
        <v>59.290576999999999</v>
      </c>
      <c r="R35" s="260">
        <v>59.361587999999998</v>
      </c>
      <c r="S35" s="260">
        <v>59.521720999999999</v>
      </c>
      <c r="T35" s="260">
        <v>59.692307</v>
      </c>
      <c r="U35" s="260">
        <v>59.831532000000003</v>
      </c>
      <c r="V35" s="260">
        <v>60.013888999999999</v>
      </c>
      <c r="W35" s="260">
        <v>60.179622999999999</v>
      </c>
      <c r="X35" s="260">
        <v>60.380524000000001</v>
      </c>
      <c r="Y35" s="260">
        <v>60.561053999999999</v>
      </c>
      <c r="Z35" s="260">
        <v>60.717669999999998</v>
      </c>
      <c r="AA35" s="260">
        <v>60.904583000000002</v>
      </c>
      <c r="AB35" s="260">
        <v>61.056731999999997</v>
      </c>
      <c r="AC35" s="260">
        <v>61.433689000000001</v>
      </c>
      <c r="AD35" s="260">
        <v>61.823250000000002</v>
      </c>
      <c r="AE35" s="260">
        <v>62.164485999999997</v>
      </c>
      <c r="AF35" s="260">
        <v>62.394100000000002</v>
      </c>
      <c r="AG35" s="261">
        <v>0</v>
      </c>
    </row>
    <row r="36" spans="1:33">
      <c r="A36" t="s">
        <v>1852</v>
      </c>
    </row>
    <row r="37" spans="1:33">
      <c r="A37" t="s">
        <v>202</v>
      </c>
      <c r="B37" t="s">
        <v>2296</v>
      </c>
      <c r="C37" t="s">
        <v>2295</v>
      </c>
      <c r="D37" t="s">
        <v>2267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203</v>
      </c>
      <c r="B38" t="s">
        <v>2294</v>
      </c>
      <c r="C38" t="s">
        <v>2293</v>
      </c>
      <c r="D38" t="s">
        <v>2267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204</v>
      </c>
      <c r="B39" t="s">
        <v>2292</v>
      </c>
      <c r="C39" t="s">
        <v>2291</v>
      </c>
      <c r="D39" t="s">
        <v>2267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205</v>
      </c>
      <c r="B40" t="s">
        <v>2290</v>
      </c>
      <c r="C40" t="s">
        <v>2289</v>
      </c>
      <c r="D40" t="s">
        <v>2267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206</v>
      </c>
      <c r="B41" t="s">
        <v>2288</v>
      </c>
      <c r="C41" t="s">
        <v>2287</v>
      </c>
      <c r="D41" t="s">
        <v>2267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1772</v>
      </c>
    </row>
    <row r="42" spans="1:33">
      <c r="A42" t="s">
        <v>207</v>
      </c>
      <c r="B42" t="s">
        <v>2286</v>
      </c>
      <c r="C42" t="s">
        <v>2285</v>
      </c>
      <c r="D42" t="s">
        <v>2267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208</v>
      </c>
      <c r="B43" t="s">
        <v>2284</v>
      </c>
      <c r="C43" t="s">
        <v>2283</v>
      </c>
      <c r="D43" t="s">
        <v>2267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1772</v>
      </c>
    </row>
    <row r="44" spans="1:33">
      <c r="A44" t="s">
        <v>209</v>
      </c>
      <c r="B44" t="s">
        <v>2282</v>
      </c>
      <c r="C44" t="s">
        <v>2281</v>
      </c>
      <c r="D44" t="s">
        <v>2267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1772</v>
      </c>
    </row>
    <row r="45" spans="1:33">
      <c r="A45" t="s">
        <v>210</v>
      </c>
      <c r="B45" t="s">
        <v>2280</v>
      </c>
      <c r="C45" t="s">
        <v>2279</v>
      </c>
      <c r="D45" t="s">
        <v>2267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1772</v>
      </c>
    </row>
    <row r="46" spans="1:33">
      <c r="A46" t="s">
        <v>1833</v>
      </c>
      <c r="B46" t="s">
        <v>2278</v>
      </c>
      <c r="C46" t="s">
        <v>2277</v>
      </c>
      <c r="D46" t="s">
        <v>2267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1830</v>
      </c>
      <c r="B47" t="s">
        <v>2276</v>
      </c>
      <c r="C47" t="s">
        <v>2275</v>
      </c>
      <c r="D47" t="s">
        <v>2267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1827</v>
      </c>
      <c r="B48" t="s">
        <v>2274</v>
      </c>
      <c r="C48" t="s">
        <v>2273</v>
      </c>
      <c r="D48" t="s">
        <v>2267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1772</v>
      </c>
    </row>
    <row r="49" spans="1:33" s="260" customFormat="1">
      <c r="A49" s="260" t="s">
        <v>1824</v>
      </c>
      <c r="B49" s="260" t="s">
        <v>2272</v>
      </c>
      <c r="C49" s="260" t="s">
        <v>2271</v>
      </c>
      <c r="D49" s="260" t="s">
        <v>2267</v>
      </c>
      <c r="F49" s="260">
        <v>195.47178600000001</v>
      </c>
      <c r="G49" s="260">
        <v>200.263214</v>
      </c>
      <c r="H49" s="260">
        <v>203.781387</v>
      </c>
      <c r="I49" s="260">
        <v>207.091309</v>
      </c>
      <c r="J49" s="260">
        <v>209.459946</v>
      </c>
      <c r="K49" s="260">
        <v>211.624908</v>
      </c>
      <c r="L49" s="260">
        <v>213.58685299999999</v>
      </c>
      <c r="M49" s="260">
        <v>215.039703</v>
      </c>
      <c r="N49" s="260">
        <v>216.39988700000001</v>
      </c>
      <c r="O49" s="260">
        <v>217.47335799999999</v>
      </c>
      <c r="P49" s="260">
        <v>218.671783</v>
      </c>
      <c r="Q49" s="260">
        <v>219.823669</v>
      </c>
      <c r="R49" s="260">
        <v>221.246475</v>
      </c>
      <c r="S49" s="260">
        <v>222.829758</v>
      </c>
      <c r="T49" s="260">
        <v>224.413895</v>
      </c>
      <c r="U49" s="260">
        <v>225.715836</v>
      </c>
      <c r="V49" s="260">
        <v>227.05023199999999</v>
      </c>
      <c r="W49" s="260">
        <v>228.286179</v>
      </c>
      <c r="X49" s="260">
        <v>229.52342200000001</v>
      </c>
      <c r="Y49" s="260">
        <v>230.54377700000001</v>
      </c>
      <c r="Z49" s="260">
        <v>231.37148999999999</v>
      </c>
      <c r="AA49" s="260">
        <v>232.25056499999999</v>
      </c>
      <c r="AB49" s="260">
        <v>232.92233300000001</v>
      </c>
      <c r="AC49" s="260">
        <v>234.414322</v>
      </c>
      <c r="AD49" s="260">
        <v>235.96463</v>
      </c>
      <c r="AE49" s="260">
        <v>237.36372399999999</v>
      </c>
      <c r="AF49" s="260">
        <v>238.431488</v>
      </c>
      <c r="AG49" s="261">
        <v>8.0000000000000002E-3</v>
      </c>
    </row>
    <row r="50" spans="1:33">
      <c r="A50" t="s">
        <v>2270</v>
      </c>
      <c r="B50" t="s">
        <v>2269</v>
      </c>
      <c r="C50" t="s">
        <v>2268</v>
      </c>
      <c r="D50" t="s">
        <v>2267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2266</v>
      </c>
    </row>
    <row r="52" spans="1:33">
      <c r="A52" t="s">
        <v>1908</v>
      </c>
    </row>
    <row r="53" spans="1:33">
      <c r="A53" t="s">
        <v>202</v>
      </c>
      <c r="B53" t="s">
        <v>2265</v>
      </c>
      <c r="C53" t="s">
        <v>2264</v>
      </c>
      <c r="D53" t="s">
        <v>1769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203</v>
      </c>
      <c r="B54" t="s">
        <v>2263</v>
      </c>
      <c r="C54" t="s">
        <v>2262</v>
      </c>
      <c r="D54" t="s">
        <v>1769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204</v>
      </c>
      <c r="B55" t="s">
        <v>2261</v>
      </c>
      <c r="C55" t="s">
        <v>2260</v>
      </c>
      <c r="D55" t="s">
        <v>1769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205</v>
      </c>
      <c r="B56" t="s">
        <v>2259</v>
      </c>
      <c r="C56" t="s">
        <v>2258</v>
      </c>
      <c r="D56" t="s">
        <v>1769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206</v>
      </c>
      <c r="B57" t="s">
        <v>2257</v>
      </c>
      <c r="C57" t="s">
        <v>2256</v>
      </c>
      <c r="D57" t="s">
        <v>1769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207</v>
      </c>
      <c r="B58" t="s">
        <v>2255</v>
      </c>
      <c r="C58" t="s">
        <v>2254</v>
      </c>
      <c r="D58" t="s">
        <v>1769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208</v>
      </c>
      <c r="B59" t="s">
        <v>2253</v>
      </c>
      <c r="C59" t="s">
        <v>2252</v>
      </c>
      <c r="D59" t="s">
        <v>1769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209</v>
      </c>
      <c r="B60" t="s">
        <v>2251</v>
      </c>
      <c r="C60" t="s">
        <v>2250</v>
      </c>
      <c r="D60" t="s">
        <v>1769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210</v>
      </c>
      <c r="B61" t="s">
        <v>2249</v>
      </c>
      <c r="C61" t="s">
        <v>2248</v>
      </c>
      <c r="D61" t="s">
        <v>1769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1772</v>
      </c>
    </row>
    <row r="62" spans="1:33">
      <c r="A62" t="s">
        <v>1833</v>
      </c>
      <c r="B62" t="s">
        <v>2247</v>
      </c>
      <c r="C62" t="s">
        <v>2246</v>
      </c>
      <c r="D62" t="s">
        <v>1769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c r="A63" t="s">
        <v>1830</v>
      </c>
      <c r="B63" t="s">
        <v>2245</v>
      </c>
      <c r="C63" t="s">
        <v>2244</v>
      </c>
      <c r="D63" t="s">
        <v>1769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1772</v>
      </c>
    </row>
    <row r="64" spans="1:33">
      <c r="A64" t="s">
        <v>1827</v>
      </c>
      <c r="B64" t="s">
        <v>2243</v>
      </c>
      <c r="C64" t="s">
        <v>2242</v>
      </c>
      <c r="D64" t="s">
        <v>1769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1772</v>
      </c>
    </row>
    <row r="65" spans="1:33">
      <c r="A65" t="s">
        <v>1883</v>
      </c>
      <c r="B65" t="s">
        <v>2241</v>
      </c>
      <c r="C65" t="s">
        <v>2240</v>
      </c>
      <c r="D65" t="s">
        <v>1769</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1880</v>
      </c>
    </row>
    <row r="67" spans="1:33">
      <c r="A67" t="s">
        <v>202</v>
      </c>
      <c r="B67" t="s">
        <v>2239</v>
      </c>
      <c r="C67" t="s">
        <v>2238</v>
      </c>
      <c r="D67" t="s">
        <v>1769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203</v>
      </c>
      <c r="B68" t="s">
        <v>2237</v>
      </c>
      <c r="C68" t="s">
        <v>2236</v>
      </c>
      <c r="D68" t="s">
        <v>1769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204</v>
      </c>
      <c r="B69" t="s">
        <v>2235</v>
      </c>
      <c r="C69" t="s">
        <v>2234</v>
      </c>
      <c r="D69" t="s">
        <v>1769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205</v>
      </c>
      <c r="B70" t="s">
        <v>2233</v>
      </c>
      <c r="C70" t="s">
        <v>2232</v>
      </c>
      <c r="D70" t="s">
        <v>1769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206</v>
      </c>
      <c r="B71" t="s">
        <v>2231</v>
      </c>
      <c r="C71" t="s">
        <v>2230</v>
      </c>
      <c r="D71" t="s">
        <v>1769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207</v>
      </c>
      <c r="B72" t="s">
        <v>2229</v>
      </c>
      <c r="C72" t="s">
        <v>2228</v>
      </c>
      <c r="D72" t="s">
        <v>1769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208</v>
      </c>
      <c r="B73" t="s">
        <v>2227</v>
      </c>
      <c r="C73" t="s">
        <v>2226</v>
      </c>
      <c r="D73" t="s">
        <v>1769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1772</v>
      </c>
    </row>
    <row r="74" spans="1:33">
      <c r="A74" t="s">
        <v>209</v>
      </c>
      <c r="B74" t="s">
        <v>2225</v>
      </c>
      <c r="C74" t="s">
        <v>2224</v>
      </c>
      <c r="D74" t="s">
        <v>1769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1772</v>
      </c>
    </row>
    <row r="75" spans="1:33">
      <c r="A75" t="s">
        <v>210</v>
      </c>
      <c r="B75" t="s">
        <v>2223</v>
      </c>
      <c r="C75" t="s">
        <v>2222</v>
      </c>
      <c r="D75" t="s">
        <v>1769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1772</v>
      </c>
    </row>
    <row r="76" spans="1:33">
      <c r="A76" t="s">
        <v>1833</v>
      </c>
      <c r="B76" t="s">
        <v>2221</v>
      </c>
      <c r="C76" t="s">
        <v>2220</v>
      </c>
      <c r="D76" t="s">
        <v>1769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1772</v>
      </c>
    </row>
    <row r="77" spans="1:33">
      <c r="A77" t="s">
        <v>1830</v>
      </c>
      <c r="B77" t="s">
        <v>2219</v>
      </c>
      <c r="C77" t="s">
        <v>2218</v>
      </c>
      <c r="D77" t="s">
        <v>1769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1772</v>
      </c>
    </row>
    <row r="78" spans="1:33">
      <c r="A78" t="s">
        <v>1827</v>
      </c>
      <c r="B78" t="s">
        <v>2217</v>
      </c>
      <c r="C78" t="s">
        <v>2216</v>
      </c>
      <c r="D78" t="s">
        <v>1769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1772</v>
      </c>
    </row>
    <row r="79" spans="1:33">
      <c r="A79" t="s">
        <v>1855</v>
      </c>
      <c r="B79" t="s">
        <v>2215</v>
      </c>
      <c r="C79" t="s">
        <v>2214</v>
      </c>
      <c r="D79" t="s">
        <v>1769</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1852</v>
      </c>
    </row>
    <row r="81" spans="1:33">
      <c r="A81" t="s">
        <v>202</v>
      </c>
      <c r="B81" t="s">
        <v>2213</v>
      </c>
      <c r="C81" t="s">
        <v>2212</v>
      </c>
      <c r="D81" t="s">
        <v>1769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203</v>
      </c>
      <c r="B82" t="s">
        <v>2211</v>
      </c>
      <c r="C82" t="s">
        <v>2210</v>
      </c>
      <c r="D82" t="s">
        <v>1769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204</v>
      </c>
      <c r="B83" t="s">
        <v>2209</v>
      </c>
      <c r="C83" t="s">
        <v>2208</v>
      </c>
      <c r="D83" t="s">
        <v>1769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205</v>
      </c>
      <c r="B84" t="s">
        <v>2207</v>
      </c>
      <c r="C84" t="s">
        <v>2206</v>
      </c>
      <c r="D84" t="s">
        <v>1769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206</v>
      </c>
      <c r="B85" t="s">
        <v>2205</v>
      </c>
      <c r="C85" t="s">
        <v>2204</v>
      </c>
      <c r="D85" t="s">
        <v>1769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1772</v>
      </c>
    </row>
    <row r="86" spans="1:33">
      <c r="A86" t="s">
        <v>207</v>
      </c>
      <c r="B86" t="s">
        <v>2203</v>
      </c>
      <c r="C86" t="s">
        <v>2202</v>
      </c>
      <c r="D86" t="s">
        <v>1769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208</v>
      </c>
      <c r="B87" t="s">
        <v>2201</v>
      </c>
      <c r="C87" t="s">
        <v>2200</v>
      </c>
      <c r="D87" t="s">
        <v>1769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1772</v>
      </c>
    </row>
    <row r="88" spans="1:33">
      <c r="A88" t="s">
        <v>209</v>
      </c>
      <c r="B88" t="s">
        <v>2199</v>
      </c>
      <c r="C88" t="s">
        <v>2198</v>
      </c>
      <c r="D88" t="s">
        <v>1769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1772</v>
      </c>
    </row>
    <row r="89" spans="1:33">
      <c r="A89" t="s">
        <v>210</v>
      </c>
      <c r="B89" t="s">
        <v>2197</v>
      </c>
      <c r="C89" t="s">
        <v>2196</v>
      </c>
      <c r="D89" t="s">
        <v>1769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1772</v>
      </c>
    </row>
    <row r="90" spans="1:33">
      <c r="A90" t="s">
        <v>1833</v>
      </c>
      <c r="B90" t="s">
        <v>2195</v>
      </c>
      <c r="C90" t="s">
        <v>2194</v>
      </c>
      <c r="D90" t="s">
        <v>1769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1772</v>
      </c>
    </row>
    <row r="91" spans="1:33">
      <c r="A91" t="s">
        <v>1830</v>
      </c>
      <c r="B91" t="s">
        <v>2193</v>
      </c>
      <c r="C91" t="s">
        <v>2192</v>
      </c>
      <c r="D91" t="s">
        <v>1769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1772</v>
      </c>
    </row>
    <row r="92" spans="1:33">
      <c r="A92" t="s">
        <v>1827</v>
      </c>
      <c r="B92" t="s">
        <v>2191</v>
      </c>
      <c r="C92" t="s">
        <v>2190</v>
      </c>
      <c r="D92" t="s">
        <v>1769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1772</v>
      </c>
    </row>
    <row r="93" spans="1:33">
      <c r="A93" t="s">
        <v>1824</v>
      </c>
      <c r="B93" t="s">
        <v>2189</v>
      </c>
      <c r="C93" t="s">
        <v>2188</v>
      </c>
      <c r="D93" t="s">
        <v>1769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1908</v>
      </c>
      <c r="B94" t="s">
        <v>211</v>
      </c>
      <c r="C94" t="s">
        <v>2187</v>
      </c>
    </row>
    <row r="95" spans="1:33">
      <c r="A95" t="s">
        <v>202</v>
      </c>
      <c r="B95" t="s">
        <v>2186</v>
      </c>
      <c r="C95" t="s">
        <v>2185</v>
      </c>
      <c r="D95" t="s">
        <v>1769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203</v>
      </c>
      <c r="B96" t="s">
        <v>2184</v>
      </c>
      <c r="C96" t="s">
        <v>2183</v>
      </c>
      <c r="D96" t="s">
        <v>1769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204</v>
      </c>
      <c r="B97" t="s">
        <v>2182</v>
      </c>
      <c r="C97" t="s">
        <v>2181</v>
      </c>
      <c r="D97" t="s">
        <v>1769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205</v>
      </c>
      <c r="B98" t="s">
        <v>2180</v>
      </c>
      <c r="C98" t="s">
        <v>2179</v>
      </c>
      <c r="D98" t="s">
        <v>1769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206</v>
      </c>
      <c r="B99" t="s">
        <v>2178</v>
      </c>
      <c r="C99" t="s">
        <v>2177</v>
      </c>
      <c r="D99" t="s">
        <v>1769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207</v>
      </c>
      <c r="B100" t="s">
        <v>2176</v>
      </c>
      <c r="C100" t="s">
        <v>2175</v>
      </c>
      <c r="D100" t="s">
        <v>1769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208</v>
      </c>
      <c r="B101" t="s">
        <v>2174</v>
      </c>
      <c r="C101" t="s">
        <v>2173</v>
      </c>
      <c r="D101" t="s">
        <v>1769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1772</v>
      </c>
    </row>
    <row r="102" spans="1:33">
      <c r="A102" t="s">
        <v>209</v>
      </c>
      <c r="B102" t="s">
        <v>2172</v>
      </c>
      <c r="C102" t="s">
        <v>2171</v>
      </c>
      <c r="D102" t="s">
        <v>1769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1772</v>
      </c>
    </row>
    <row r="103" spans="1:33">
      <c r="A103" t="s">
        <v>210</v>
      </c>
      <c r="B103" t="s">
        <v>2170</v>
      </c>
      <c r="C103" t="s">
        <v>2169</v>
      </c>
      <c r="D103" t="s">
        <v>1769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1772</v>
      </c>
    </row>
    <row r="104" spans="1:33">
      <c r="A104" t="s">
        <v>1833</v>
      </c>
      <c r="B104" t="s">
        <v>2168</v>
      </c>
      <c r="C104" t="s">
        <v>2167</v>
      </c>
      <c r="D104" t="s">
        <v>1769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1772</v>
      </c>
    </row>
    <row r="105" spans="1:33">
      <c r="A105" t="s">
        <v>1830</v>
      </c>
      <c r="B105" t="s">
        <v>2166</v>
      </c>
      <c r="C105" t="s">
        <v>2165</v>
      </c>
      <c r="D105" t="s">
        <v>1769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1772</v>
      </c>
    </row>
    <row r="106" spans="1:33">
      <c r="A106" t="s">
        <v>1827</v>
      </c>
      <c r="B106" t="s">
        <v>2164</v>
      </c>
      <c r="C106" t="s">
        <v>2163</v>
      </c>
      <c r="D106" t="s">
        <v>1769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1772</v>
      </c>
    </row>
    <row r="107" spans="1:33">
      <c r="A107" t="s">
        <v>2162</v>
      </c>
      <c r="B107" t="s">
        <v>2161</v>
      </c>
      <c r="C107" t="s">
        <v>2160</v>
      </c>
      <c r="D107" t="s">
        <v>1769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1997</v>
      </c>
    </row>
    <row r="109" spans="1:33">
      <c r="A109" t="s">
        <v>1908</v>
      </c>
    </row>
    <row r="110" spans="1:33">
      <c r="A110" t="s">
        <v>202</v>
      </c>
      <c r="B110" t="s">
        <v>2159</v>
      </c>
      <c r="C110" t="s">
        <v>2158</v>
      </c>
      <c r="D110" t="s">
        <v>1916</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203</v>
      </c>
      <c r="B111" t="s">
        <v>2157</v>
      </c>
      <c r="C111" t="s">
        <v>2156</v>
      </c>
      <c r="D111" t="s">
        <v>1919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204</v>
      </c>
      <c r="B112" t="s">
        <v>2155</v>
      </c>
      <c r="C112" t="s">
        <v>2154</v>
      </c>
      <c r="D112" t="s">
        <v>1919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205</v>
      </c>
      <c r="B113" t="s">
        <v>2153</v>
      </c>
      <c r="C113" t="s">
        <v>2152</v>
      </c>
      <c r="D113" t="s">
        <v>1919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206</v>
      </c>
      <c r="B114" t="s">
        <v>2151</v>
      </c>
      <c r="C114" t="s">
        <v>2150</v>
      </c>
      <c r="D114" t="s">
        <v>1919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207</v>
      </c>
      <c r="B115" t="s">
        <v>2149</v>
      </c>
      <c r="C115" t="s">
        <v>2148</v>
      </c>
      <c r="D115" t="s">
        <v>1916</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208</v>
      </c>
      <c r="B116" t="s">
        <v>2147</v>
      </c>
      <c r="C116" t="s">
        <v>2146</v>
      </c>
      <c r="D116" t="s">
        <v>1916</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1772</v>
      </c>
    </row>
    <row r="117" spans="1:33">
      <c r="A117" t="s">
        <v>209</v>
      </c>
      <c r="B117" t="s">
        <v>2145</v>
      </c>
      <c r="C117" t="s">
        <v>2144</v>
      </c>
      <c r="D117" t="s">
        <v>1919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1772</v>
      </c>
    </row>
    <row r="118" spans="1:33">
      <c r="A118" t="s">
        <v>210</v>
      </c>
      <c r="B118" t="s">
        <v>2143</v>
      </c>
      <c r="C118" t="s">
        <v>2142</v>
      </c>
      <c r="D118" t="s">
        <v>1916</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1772</v>
      </c>
    </row>
    <row r="119" spans="1:33">
      <c r="A119" t="s">
        <v>1833</v>
      </c>
      <c r="B119" t="s">
        <v>2141</v>
      </c>
      <c r="C119" t="s">
        <v>2140</v>
      </c>
      <c r="D119" t="s">
        <v>1916</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1772</v>
      </c>
    </row>
    <row r="120" spans="1:33">
      <c r="A120" t="s">
        <v>1830</v>
      </c>
      <c r="B120" t="s">
        <v>2139</v>
      </c>
      <c r="C120" t="s">
        <v>2138</v>
      </c>
      <c r="D120" t="s">
        <v>1919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1772</v>
      </c>
    </row>
    <row r="121" spans="1:33">
      <c r="A121" t="s">
        <v>1827</v>
      </c>
      <c r="B121" t="s">
        <v>2137</v>
      </c>
      <c r="C121" t="s">
        <v>2136</v>
      </c>
      <c r="D121" t="s">
        <v>1916</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1772</v>
      </c>
    </row>
    <row r="122" spans="1:33">
      <c r="A122" t="s">
        <v>1972</v>
      </c>
      <c r="B122" t="s">
        <v>2135</v>
      </c>
      <c r="C122" t="s">
        <v>2134</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1880</v>
      </c>
    </row>
    <row r="124" spans="1:33">
      <c r="A124" t="s">
        <v>202</v>
      </c>
      <c r="B124" t="s">
        <v>2133</v>
      </c>
      <c r="C124" t="s">
        <v>2132</v>
      </c>
      <c r="D124" t="s">
        <v>1916</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203</v>
      </c>
      <c r="B125" t="s">
        <v>2131</v>
      </c>
      <c r="C125" t="s">
        <v>2130</v>
      </c>
      <c r="D125" t="s">
        <v>1919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204</v>
      </c>
      <c r="B126" t="s">
        <v>2129</v>
      </c>
      <c r="C126" t="s">
        <v>2128</v>
      </c>
      <c r="D126" t="s">
        <v>1919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205</v>
      </c>
      <c r="B127" t="s">
        <v>2127</v>
      </c>
      <c r="C127" t="s">
        <v>2126</v>
      </c>
      <c r="D127" t="s">
        <v>1919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206</v>
      </c>
      <c r="B128" t="s">
        <v>2125</v>
      </c>
      <c r="C128" t="s">
        <v>2124</v>
      </c>
      <c r="D128" t="s">
        <v>1959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207</v>
      </c>
      <c r="B129" t="s">
        <v>2123</v>
      </c>
      <c r="C129" t="s">
        <v>2122</v>
      </c>
      <c r="D129" t="s">
        <v>1919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208</v>
      </c>
      <c r="B130" t="s">
        <v>2121</v>
      </c>
      <c r="C130" t="s">
        <v>2120</v>
      </c>
      <c r="D130" t="s">
        <v>1919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1772</v>
      </c>
    </row>
    <row r="131" spans="1:33">
      <c r="A131" t="s">
        <v>209</v>
      </c>
      <c r="B131" t="s">
        <v>2119</v>
      </c>
      <c r="C131" t="s">
        <v>2118</v>
      </c>
      <c r="D131" t="s">
        <v>1919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1772</v>
      </c>
    </row>
    <row r="132" spans="1:33">
      <c r="A132" t="s">
        <v>210</v>
      </c>
      <c r="B132" t="s">
        <v>2117</v>
      </c>
      <c r="C132" t="s">
        <v>2116</v>
      </c>
      <c r="D132" t="s">
        <v>1919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1772</v>
      </c>
    </row>
    <row r="133" spans="1:33">
      <c r="A133" t="s">
        <v>1833</v>
      </c>
      <c r="B133" t="s">
        <v>2115</v>
      </c>
      <c r="C133" t="s">
        <v>2114</v>
      </c>
      <c r="D133" t="s">
        <v>1916</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1772</v>
      </c>
    </row>
    <row r="134" spans="1:33">
      <c r="A134" t="s">
        <v>1830</v>
      </c>
      <c r="B134" t="s">
        <v>2113</v>
      </c>
      <c r="C134" t="s">
        <v>2112</v>
      </c>
      <c r="D134" t="s">
        <v>1919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1772</v>
      </c>
    </row>
    <row r="135" spans="1:33">
      <c r="A135" t="s">
        <v>1827</v>
      </c>
      <c r="B135" t="s">
        <v>2111</v>
      </c>
      <c r="C135" t="s">
        <v>2110</v>
      </c>
      <c r="D135" t="s">
        <v>1916</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1772</v>
      </c>
    </row>
    <row r="136" spans="1:33">
      <c r="A136" t="s">
        <v>1944</v>
      </c>
      <c r="B136" t="s">
        <v>2109</v>
      </c>
      <c r="C136" t="s">
        <v>2108</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1852</v>
      </c>
    </row>
    <row r="138" spans="1:33">
      <c r="A138" t="s">
        <v>202</v>
      </c>
      <c r="B138" t="s">
        <v>2107</v>
      </c>
      <c r="C138" t="s">
        <v>2106</v>
      </c>
      <c r="D138" t="s">
        <v>1916</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203</v>
      </c>
      <c r="B139" t="s">
        <v>2105</v>
      </c>
      <c r="C139" t="s">
        <v>2104</v>
      </c>
      <c r="D139" t="s">
        <v>1919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204</v>
      </c>
      <c r="B140" t="s">
        <v>2103</v>
      </c>
      <c r="C140" t="s">
        <v>2102</v>
      </c>
      <c r="D140" t="s">
        <v>1919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205</v>
      </c>
      <c r="B141" t="s">
        <v>2101</v>
      </c>
      <c r="C141" t="s">
        <v>2100</v>
      </c>
      <c r="D141" t="s">
        <v>1916</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206</v>
      </c>
      <c r="B142" t="s">
        <v>2099</v>
      </c>
      <c r="C142" t="s">
        <v>2098</v>
      </c>
      <c r="D142" t="s">
        <v>1919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1772</v>
      </c>
    </row>
    <row r="143" spans="1:33">
      <c r="A143" t="s">
        <v>207</v>
      </c>
      <c r="B143" t="s">
        <v>2097</v>
      </c>
      <c r="C143" t="s">
        <v>2096</v>
      </c>
      <c r="D143" t="s">
        <v>1916</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208</v>
      </c>
      <c r="B144" t="s">
        <v>2095</v>
      </c>
      <c r="C144" t="s">
        <v>2094</v>
      </c>
      <c r="D144" t="s">
        <v>1916</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1772</v>
      </c>
    </row>
    <row r="145" spans="1:33">
      <c r="A145" t="s">
        <v>209</v>
      </c>
      <c r="B145" t="s">
        <v>2093</v>
      </c>
      <c r="C145" t="s">
        <v>2092</v>
      </c>
      <c r="D145" t="s">
        <v>1919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1772</v>
      </c>
    </row>
    <row r="146" spans="1:33">
      <c r="A146" t="s">
        <v>210</v>
      </c>
      <c r="B146" t="s">
        <v>2091</v>
      </c>
      <c r="C146" t="s">
        <v>2090</v>
      </c>
      <c r="D146" t="s">
        <v>1916</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1772</v>
      </c>
    </row>
    <row r="147" spans="1:33">
      <c r="A147" t="s">
        <v>1833</v>
      </c>
      <c r="B147" t="s">
        <v>2089</v>
      </c>
      <c r="C147" t="s">
        <v>2088</v>
      </c>
      <c r="D147" t="s">
        <v>1916</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1772</v>
      </c>
    </row>
    <row r="148" spans="1:33">
      <c r="A148" t="s">
        <v>1830</v>
      </c>
      <c r="B148" t="s">
        <v>2087</v>
      </c>
      <c r="C148" t="s">
        <v>2086</v>
      </c>
      <c r="D148" t="s">
        <v>1919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1772</v>
      </c>
    </row>
    <row r="149" spans="1:33">
      <c r="A149" t="s">
        <v>1827</v>
      </c>
      <c r="B149" t="s">
        <v>2085</v>
      </c>
      <c r="C149" t="s">
        <v>2084</v>
      </c>
      <c r="D149" t="s">
        <v>1916</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1772</v>
      </c>
    </row>
    <row r="150" spans="1:33">
      <c r="A150" t="s">
        <v>1915</v>
      </c>
      <c r="B150" t="s">
        <v>2083</v>
      </c>
      <c r="C150" t="s">
        <v>2082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1912</v>
      </c>
      <c r="B151" t="s">
        <v>2081</v>
      </c>
      <c r="C151" t="s">
        <v>2080</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2079</v>
      </c>
    </row>
    <row r="153" spans="1:33">
      <c r="A153" t="s">
        <v>1908</v>
      </c>
    </row>
    <row r="154" spans="1:33">
      <c r="A154" t="s">
        <v>202</v>
      </c>
      <c r="B154" t="s">
        <v>2078</v>
      </c>
      <c r="C154" t="s">
        <v>2077</v>
      </c>
      <c r="D154" t="s">
        <v>1998</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203</v>
      </c>
      <c r="B155" t="s">
        <v>2076</v>
      </c>
      <c r="C155" t="s">
        <v>2075</v>
      </c>
      <c r="D155" t="s">
        <v>1998</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204</v>
      </c>
      <c r="B156" t="s">
        <v>2074</v>
      </c>
      <c r="C156" t="s">
        <v>2073</v>
      </c>
      <c r="D156" t="s">
        <v>1998</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205</v>
      </c>
      <c r="B157" t="s">
        <v>2072</v>
      </c>
      <c r="C157" t="s">
        <v>2071</v>
      </c>
      <c r="D157" t="s">
        <v>1998</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206</v>
      </c>
      <c r="B158" t="s">
        <v>2070</v>
      </c>
      <c r="C158" t="s">
        <v>2069</v>
      </c>
      <c r="D158" t="s">
        <v>1998</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207</v>
      </c>
      <c r="B159" t="s">
        <v>2068</v>
      </c>
      <c r="C159" t="s">
        <v>2067</v>
      </c>
      <c r="D159" t="s">
        <v>1998</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208</v>
      </c>
      <c r="B160" t="s">
        <v>2066</v>
      </c>
      <c r="C160" t="s">
        <v>2065</v>
      </c>
      <c r="D160" t="s">
        <v>1998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1772</v>
      </c>
    </row>
    <row r="161" spans="1:33">
      <c r="A161" t="s">
        <v>209</v>
      </c>
      <c r="B161" t="s">
        <v>2064</v>
      </c>
      <c r="C161" t="s">
        <v>2063</v>
      </c>
      <c r="D161" t="s">
        <v>1998</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1772</v>
      </c>
    </row>
    <row r="162" spans="1:33">
      <c r="A162" t="s">
        <v>210</v>
      </c>
      <c r="B162" t="s">
        <v>2062</v>
      </c>
      <c r="C162" t="s">
        <v>2061</v>
      </c>
      <c r="D162" t="s">
        <v>1998</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1772</v>
      </c>
    </row>
    <row r="163" spans="1:33">
      <c r="A163" t="s">
        <v>1833</v>
      </c>
      <c r="B163" t="s">
        <v>2060</v>
      </c>
      <c r="C163" t="s">
        <v>2059</v>
      </c>
      <c r="D163" t="s">
        <v>1998</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1772</v>
      </c>
    </row>
    <row r="164" spans="1:33">
      <c r="A164" t="s">
        <v>1830</v>
      </c>
      <c r="B164" t="s">
        <v>2058</v>
      </c>
      <c r="C164" t="s">
        <v>2057</v>
      </c>
      <c r="D164" t="s">
        <v>1998</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1772</v>
      </c>
    </row>
    <row r="165" spans="1:33">
      <c r="A165" t="s">
        <v>1827</v>
      </c>
      <c r="B165" t="s">
        <v>2056</v>
      </c>
      <c r="C165" t="s">
        <v>2055</v>
      </c>
      <c r="D165" t="s">
        <v>1998</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1772</v>
      </c>
    </row>
    <row r="166" spans="1:33" s="260" customFormat="1">
      <c r="A166" s="260" t="s">
        <v>1883</v>
      </c>
      <c r="B166" s="260" t="s">
        <v>2054</v>
      </c>
      <c r="C166" s="260" t="s">
        <v>2053</v>
      </c>
      <c r="D166" s="260" t="s">
        <v>1998</v>
      </c>
      <c r="F166" s="260">
        <v>5.1058789999999998</v>
      </c>
      <c r="G166" s="260">
        <v>5.29664</v>
      </c>
      <c r="H166" s="260">
        <v>5.5026190000000001</v>
      </c>
      <c r="I166" s="260">
        <v>5.7130809999999999</v>
      </c>
      <c r="J166" s="260">
        <v>5.9153969999999996</v>
      </c>
      <c r="K166" s="260">
        <v>6.110881</v>
      </c>
      <c r="L166" s="260">
        <v>6.302073</v>
      </c>
      <c r="M166" s="260">
        <v>6.4833819999999998</v>
      </c>
      <c r="N166" s="260">
        <v>6.6625709999999998</v>
      </c>
      <c r="O166" s="260">
        <v>6.8339429999999997</v>
      </c>
      <c r="P166" s="260">
        <v>7.0044469999999999</v>
      </c>
      <c r="Q166" s="260">
        <v>7.1696759999999999</v>
      </c>
      <c r="R166" s="260">
        <v>7.3350530000000003</v>
      </c>
      <c r="S166" s="260">
        <v>7.500127</v>
      </c>
      <c r="T166" s="260">
        <v>7.6650790000000004</v>
      </c>
      <c r="U166" s="260">
        <v>7.8269320000000002</v>
      </c>
      <c r="V166" s="260">
        <v>7.9834909999999999</v>
      </c>
      <c r="W166" s="260">
        <v>8.1409230000000008</v>
      </c>
      <c r="X166" s="260">
        <v>8.2945799999999998</v>
      </c>
      <c r="Y166" s="260">
        <v>8.4563760000000006</v>
      </c>
      <c r="Z166" s="260">
        <v>8.6240450000000006</v>
      </c>
      <c r="AA166" s="260">
        <v>8.7853530000000006</v>
      </c>
      <c r="AB166" s="260">
        <v>8.9388819999999996</v>
      </c>
      <c r="AC166" s="260">
        <v>9.092746</v>
      </c>
      <c r="AD166" s="260">
        <v>9.24315</v>
      </c>
      <c r="AE166" s="260">
        <v>9.3800469999999994</v>
      </c>
      <c r="AF166" s="260">
        <v>9.5095489999999998</v>
      </c>
      <c r="AG166" s="261">
        <v>2.4E-2</v>
      </c>
    </row>
    <row r="167" spans="1:33">
      <c r="A167" t="s">
        <v>1880</v>
      </c>
    </row>
    <row r="168" spans="1:33">
      <c r="A168" t="s">
        <v>202</v>
      </c>
      <c r="B168" t="s">
        <v>2052</v>
      </c>
      <c r="C168" t="s">
        <v>2051</v>
      </c>
      <c r="D168" t="s">
        <v>1998</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203</v>
      </c>
      <c r="B169" t="s">
        <v>2050</v>
      </c>
      <c r="C169" t="s">
        <v>2049</v>
      </c>
      <c r="D169" t="s">
        <v>1998</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204</v>
      </c>
      <c r="B170" t="s">
        <v>2048</v>
      </c>
      <c r="C170" t="s">
        <v>2047</v>
      </c>
      <c r="D170" t="s">
        <v>1998</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205</v>
      </c>
      <c r="B171" t="s">
        <v>2046</v>
      </c>
      <c r="C171" t="s">
        <v>2045</v>
      </c>
      <c r="D171" t="s">
        <v>1998</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206</v>
      </c>
      <c r="B172" t="s">
        <v>2044</v>
      </c>
      <c r="C172" t="s">
        <v>2043</v>
      </c>
      <c r="D172" t="s">
        <v>1998</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207</v>
      </c>
      <c r="B173" t="s">
        <v>2042</v>
      </c>
      <c r="C173" t="s">
        <v>2041</v>
      </c>
      <c r="D173" t="s">
        <v>1998</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208</v>
      </c>
      <c r="B174" t="s">
        <v>2040</v>
      </c>
      <c r="C174" t="s">
        <v>2039</v>
      </c>
      <c r="D174" t="s">
        <v>1998</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1772</v>
      </c>
    </row>
    <row r="175" spans="1:33">
      <c r="A175" t="s">
        <v>209</v>
      </c>
      <c r="B175" t="s">
        <v>2038</v>
      </c>
      <c r="C175" t="s">
        <v>2037</v>
      </c>
      <c r="D175" t="s">
        <v>1998</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1772</v>
      </c>
    </row>
    <row r="176" spans="1:33">
      <c r="A176" t="s">
        <v>210</v>
      </c>
      <c r="B176" t="s">
        <v>2036</v>
      </c>
      <c r="C176" t="s">
        <v>2035</v>
      </c>
      <c r="D176" t="s">
        <v>1998</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1772</v>
      </c>
    </row>
    <row r="177" spans="1:33">
      <c r="A177" t="s">
        <v>1833</v>
      </c>
      <c r="B177" t="s">
        <v>2034</v>
      </c>
      <c r="C177" t="s">
        <v>2033</v>
      </c>
      <c r="D177" t="s">
        <v>1998</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1772</v>
      </c>
    </row>
    <row r="178" spans="1:33">
      <c r="A178" t="s">
        <v>1830</v>
      </c>
      <c r="B178" t="s">
        <v>2032</v>
      </c>
      <c r="C178" t="s">
        <v>2031</v>
      </c>
      <c r="D178" t="s">
        <v>1998</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1772</v>
      </c>
    </row>
    <row r="179" spans="1:33">
      <c r="A179" t="s">
        <v>1827</v>
      </c>
      <c r="B179" t="s">
        <v>2030</v>
      </c>
      <c r="C179" t="s">
        <v>2029</v>
      </c>
      <c r="D179" t="s">
        <v>1998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1772</v>
      </c>
    </row>
    <row r="180" spans="1:33" s="260" customFormat="1">
      <c r="A180" s="260" t="s">
        <v>1855</v>
      </c>
      <c r="B180" s="260" t="s">
        <v>2028</v>
      </c>
      <c r="C180" s="260" t="s">
        <v>2027</v>
      </c>
      <c r="D180" s="260" t="s">
        <v>1998</v>
      </c>
      <c r="F180" s="260">
        <v>3.970215</v>
      </c>
      <c r="G180" s="260">
        <v>4.0091910000000004</v>
      </c>
      <c r="H180" s="260">
        <v>4.0653360000000003</v>
      </c>
      <c r="I180" s="260">
        <v>4.1323340000000002</v>
      </c>
      <c r="J180" s="260">
        <v>4.1937249999999997</v>
      </c>
      <c r="K180" s="260">
        <v>4.2415349999999998</v>
      </c>
      <c r="L180" s="260">
        <v>4.2838779999999996</v>
      </c>
      <c r="M180" s="260">
        <v>4.3163669999999996</v>
      </c>
      <c r="N180" s="260">
        <v>4.348007</v>
      </c>
      <c r="O180" s="260">
        <v>4.369561</v>
      </c>
      <c r="P180" s="260">
        <v>4.3852000000000002</v>
      </c>
      <c r="Q180" s="260">
        <v>4.4020970000000004</v>
      </c>
      <c r="R180" s="260">
        <v>4.4208569999999998</v>
      </c>
      <c r="S180" s="260">
        <v>4.4439219999999997</v>
      </c>
      <c r="T180" s="260">
        <v>4.4644000000000004</v>
      </c>
      <c r="U180" s="260">
        <v>4.4826800000000002</v>
      </c>
      <c r="V180" s="260">
        <v>4.4933120000000004</v>
      </c>
      <c r="W180" s="260">
        <v>4.5010579999999996</v>
      </c>
      <c r="X180" s="260">
        <v>4.5099869999999997</v>
      </c>
      <c r="Y180" s="260">
        <v>4.527717</v>
      </c>
      <c r="Z180" s="260">
        <v>4.5498729999999998</v>
      </c>
      <c r="AA180" s="260">
        <v>4.5683740000000004</v>
      </c>
      <c r="AB180" s="260">
        <v>4.5803440000000002</v>
      </c>
      <c r="AC180" s="260">
        <v>4.5916600000000001</v>
      </c>
      <c r="AD180" s="260">
        <v>4.6028260000000003</v>
      </c>
      <c r="AE180" s="260">
        <v>4.6103870000000002</v>
      </c>
      <c r="AF180" s="260">
        <v>4.6110850000000001</v>
      </c>
      <c r="AG180" s="261">
        <v>6.0000000000000001E-3</v>
      </c>
    </row>
    <row r="181" spans="1:33">
      <c r="A181" t="s">
        <v>1852</v>
      </c>
    </row>
    <row r="182" spans="1:33">
      <c r="A182" t="s">
        <v>202</v>
      </c>
      <c r="B182" t="s">
        <v>2026</v>
      </c>
      <c r="C182" t="s">
        <v>2025</v>
      </c>
      <c r="D182" t="s">
        <v>1998</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203</v>
      </c>
      <c r="B183" t="s">
        <v>2024</v>
      </c>
      <c r="C183" t="s">
        <v>2023</v>
      </c>
      <c r="D183" t="s">
        <v>1998</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204</v>
      </c>
      <c r="B184" t="s">
        <v>2022</v>
      </c>
      <c r="C184" t="s">
        <v>2021</v>
      </c>
      <c r="D184" t="s">
        <v>1998</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205</v>
      </c>
      <c r="B185" t="s">
        <v>2020</v>
      </c>
      <c r="C185" t="s">
        <v>2019</v>
      </c>
      <c r="D185" t="s">
        <v>1998</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206</v>
      </c>
      <c r="B186" t="s">
        <v>2018</v>
      </c>
      <c r="C186" t="s">
        <v>2017</v>
      </c>
      <c r="D186" t="s">
        <v>1998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1772</v>
      </c>
    </row>
    <row r="187" spans="1:33">
      <c r="A187" t="s">
        <v>207</v>
      </c>
      <c r="B187" t="s">
        <v>2016</v>
      </c>
      <c r="C187" t="s">
        <v>2015</v>
      </c>
      <c r="D187" t="s">
        <v>1998</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208</v>
      </c>
      <c r="B188" t="s">
        <v>2014</v>
      </c>
      <c r="C188" t="s">
        <v>2013</v>
      </c>
      <c r="D188" t="s">
        <v>1998</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1772</v>
      </c>
    </row>
    <row r="189" spans="1:33">
      <c r="A189" t="s">
        <v>209</v>
      </c>
      <c r="B189" t="s">
        <v>2012</v>
      </c>
      <c r="C189" t="s">
        <v>2011</v>
      </c>
      <c r="D189" t="s">
        <v>1998</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1772</v>
      </c>
    </row>
    <row r="190" spans="1:33">
      <c r="A190" t="s">
        <v>210</v>
      </c>
      <c r="B190" t="s">
        <v>2010</v>
      </c>
      <c r="C190" t="s">
        <v>2009</v>
      </c>
      <c r="D190" t="s">
        <v>1998</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1772</v>
      </c>
    </row>
    <row r="191" spans="1:33">
      <c r="A191" t="s">
        <v>1833</v>
      </c>
      <c r="B191" t="s">
        <v>2008</v>
      </c>
      <c r="C191" t="s">
        <v>2007</v>
      </c>
      <c r="D191" t="s">
        <v>1998</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1772</v>
      </c>
    </row>
    <row r="192" spans="1:33">
      <c r="A192" t="s">
        <v>1830</v>
      </c>
      <c r="B192" t="s">
        <v>2006</v>
      </c>
      <c r="C192" t="s">
        <v>2005</v>
      </c>
      <c r="D192" t="s">
        <v>1998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1772</v>
      </c>
    </row>
    <row r="193" spans="1:33">
      <c r="A193" t="s">
        <v>1827</v>
      </c>
      <c r="B193" t="s">
        <v>2004</v>
      </c>
      <c r="C193" t="s">
        <v>2003</v>
      </c>
      <c r="D193" t="s">
        <v>1998</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1772</v>
      </c>
    </row>
    <row r="194" spans="1:33">
      <c r="A194" t="s">
        <v>1824</v>
      </c>
      <c r="B194" t="s">
        <v>2002</v>
      </c>
      <c r="C194" t="s">
        <v>2001</v>
      </c>
      <c r="D194" t="s">
        <v>1998</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212</v>
      </c>
      <c r="B195" t="s">
        <v>2000</v>
      </c>
      <c r="C195" t="s">
        <v>1999</v>
      </c>
      <c r="D195" t="s">
        <v>1998</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192</v>
      </c>
    </row>
    <row r="197" spans="1:33">
      <c r="A197" t="s">
        <v>1997</v>
      </c>
    </row>
    <row r="198" spans="1:33">
      <c r="A198" t="s">
        <v>1908</v>
      </c>
    </row>
    <row r="199" spans="1:33">
      <c r="A199" t="s">
        <v>202</v>
      </c>
      <c r="B199" t="s">
        <v>1996</v>
      </c>
      <c r="C199" t="s">
        <v>1995</v>
      </c>
      <c r="D199" t="s">
        <v>1916</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203</v>
      </c>
      <c r="B200" t="s">
        <v>1994</v>
      </c>
      <c r="C200" t="s">
        <v>1993</v>
      </c>
      <c r="D200" t="s">
        <v>1919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204</v>
      </c>
      <c r="B201" t="s">
        <v>1992</v>
      </c>
      <c r="C201" t="s">
        <v>1991</v>
      </c>
      <c r="D201" t="s">
        <v>1919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205</v>
      </c>
      <c r="B202" t="s">
        <v>1990</v>
      </c>
      <c r="C202" t="s">
        <v>1989</v>
      </c>
      <c r="D202" t="s">
        <v>1919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206</v>
      </c>
      <c r="B203" t="s">
        <v>1988</v>
      </c>
      <c r="C203" t="s">
        <v>1987</v>
      </c>
      <c r="D203" t="s">
        <v>1919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207</v>
      </c>
      <c r="B204" t="s">
        <v>1986</v>
      </c>
      <c r="C204" t="s">
        <v>1985</v>
      </c>
      <c r="D204" t="s">
        <v>1916</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208</v>
      </c>
      <c r="B205" t="s">
        <v>1984</v>
      </c>
      <c r="C205" t="s">
        <v>1983</v>
      </c>
      <c r="D205" t="s">
        <v>1916</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1772</v>
      </c>
    </row>
    <row r="206" spans="1:33">
      <c r="A206" t="s">
        <v>209</v>
      </c>
      <c r="B206" t="s">
        <v>1982</v>
      </c>
      <c r="C206" t="s">
        <v>1981</v>
      </c>
      <c r="D206" t="s">
        <v>1919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1772</v>
      </c>
    </row>
    <row r="207" spans="1:33">
      <c r="A207" t="s">
        <v>210</v>
      </c>
      <c r="B207" t="s">
        <v>1980</v>
      </c>
      <c r="C207" t="s">
        <v>1979</v>
      </c>
      <c r="D207" t="s">
        <v>1916</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1772</v>
      </c>
    </row>
    <row r="208" spans="1:33">
      <c r="A208" t="s">
        <v>1833</v>
      </c>
      <c r="B208" t="s">
        <v>1978</v>
      </c>
      <c r="C208" t="s">
        <v>1977</v>
      </c>
      <c r="D208" t="s">
        <v>1916</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1772</v>
      </c>
    </row>
    <row r="209" spans="1:33">
      <c r="A209" t="s">
        <v>1830</v>
      </c>
      <c r="B209" t="s">
        <v>1976</v>
      </c>
      <c r="C209" t="s">
        <v>1975</v>
      </c>
      <c r="D209" t="s">
        <v>1919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1772</v>
      </c>
    </row>
    <row r="210" spans="1:33">
      <c r="A210" t="s">
        <v>1827</v>
      </c>
      <c r="B210" t="s">
        <v>1974</v>
      </c>
      <c r="C210" t="s">
        <v>1973</v>
      </c>
      <c r="D210" t="s">
        <v>1916</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1772</v>
      </c>
    </row>
    <row r="211" spans="1:33">
      <c r="A211" t="s">
        <v>1972</v>
      </c>
      <c r="B211" t="s">
        <v>1971</v>
      </c>
      <c r="C211" t="s">
        <v>1970</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1880</v>
      </c>
    </row>
    <row r="213" spans="1:33">
      <c r="A213" t="s">
        <v>202</v>
      </c>
      <c r="B213" t="s">
        <v>1969</v>
      </c>
      <c r="C213" t="s">
        <v>1968</v>
      </c>
      <c r="D213" t="s">
        <v>1916</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203</v>
      </c>
      <c r="B214" t="s">
        <v>1967</v>
      </c>
      <c r="C214" t="s">
        <v>1966</v>
      </c>
      <c r="D214" t="s">
        <v>1919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204</v>
      </c>
      <c r="B215" t="s">
        <v>1965</v>
      </c>
      <c r="C215" t="s">
        <v>1964</v>
      </c>
      <c r="D215" t="s">
        <v>1919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205</v>
      </c>
      <c r="B216" t="s">
        <v>1963</v>
      </c>
      <c r="C216" t="s">
        <v>1962</v>
      </c>
      <c r="D216" t="s">
        <v>1919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206</v>
      </c>
      <c r="B217" t="s">
        <v>1961</v>
      </c>
      <c r="C217" t="s">
        <v>1960</v>
      </c>
      <c r="D217" t="s">
        <v>1959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207</v>
      </c>
      <c r="B218" t="s">
        <v>1958</v>
      </c>
      <c r="C218" t="s">
        <v>1957</v>
      </c>
      <c r="D218" t="s">
        <v>1919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208</v>
      </c>
      <c r="B219" t="s">
        <v>1956</v>
      </c>
      <c r="C219" t="s">
        <v>1955</v>
      </c>
      <c r="D219" t="s">
        <v>1919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1772</v>
      </c>
    </row>
    <row r="220" spans="1:33">
      <c r="A220" t="s">
        <v>209</v>
      </c>
      <c r="B220" t="s">
        <v>1954</v>
      </c>
      <c r="C220" t="s">
        <v>1953</v>
      </c>
      <c r="D220" t="s">
        <v>1919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1772</v>
      </c>
    </row>
    <row r="221" spans="1:33">
      <c r="A221" t="s">
        <v>210</v>
      </c>
      <c r="B221" t="s">
        <v>1952</v>
      </c>
      <c r="C221" t="s">
        <v>1951</v>
      </c>
      <c r="D221" t="s">
        <v>1919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1772</v>
      </c>
    </row>
    <row r="222" spans="1:33">
      <c r="A222" t="s">
        <v>1833</v>
      </c>
      <c r="B222" t="s">
        <v>1950</v>
      </c>
      <c r="C222" t="s">
        <v>1949</v>
      </c>
      <c r="D222" t="s">
        <v>1916</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1772</v>
      </c>
    </row>
    <row r="223" spans="1:33">
      <c r="A223" t="s">
        <v>1830</v>
      </c>
      <c r="B223" t="s">
        <v>1948</v>
      </c>
      <c r="C223" t="s">
        <v>1947</v>
      </c>
      <c r="D223" t="s">
        <v>1919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1772</v>
      </c>
    </row>
    <row r="224" spans="1:33">
      <c r="A224" t="s">
        <v>1827</v>
      </c>
      <c r="B224" t="s">
        <v>1946</v>
      </c>
      <c r="C224" t="s">
        <v>1945</v>
      </c>
      <c r="D224" t="s">
        <v>1916</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1772</v>
      </c>
    </row>
    <row r="225" spans="1:33">
      <c r="A225" t="s">
        <v>1944</v>
      </c>
      <c r="B225" t="s">
        <v>1943</v>
      </c>
      <c r="C225" t="s">
        <v>1942</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1852</v>
      </c>
    </row>
    <row r="227" spans="1:33">
      <c r="A227" t="s">
        <v>202</v>
      </c>
      <c r="B227" t="s">
        <v>1941</v>
      </c>
      <c r="C227" t="s">
        <v>1940</v>
      </c>
      <c r="D227" t="s">
        <v>1916</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203</v>
      </c>
      <c r="B228" t="s">
        <v>1939</v>
      </c>
      <c r="C228" t="s">
        <v>1938</v>
      </c>
      <c r="D228" t="s">
        <v>1919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204</v>
      </c>
      <c r="B229" t="s">
        <v>1937</v>
      </c>
      <c r="C229" t="s">
        <v>1936</v>
      </c>
      <c r="D229" t="s">
        <v>1919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205</v>
      </c>
      <c r="B230" t="s">
        <v>1935</v>
      </c>
      <c r="C230" t="s">
        <v>1934</v>
      </c>
      <c r="D230" t="s">
        <v>1916</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206</v>
      </c>
      <c r="B231" t="s">
        <v>1933</v>
      </c>
      <c r="C231" t="s">
        <v>1932</v>
      </c>
      <c r="D231" t="s">
        <v>1919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1772</v>
      </c>
    </row>
    <row r="232" spans="1:33">
      <c r="A232" t="s">
        <v>207</v>
      </c>
      <c r="B232" t="s">
        <v>1931</v>
      </c>
      <c r="C232" t="s">
        <v>1930</v>
      </c>
      <c r="D232" t="s">
        <v>1916</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208</v>
      </c>
      <c r="B233" t="s">
        <v>1929</v>
      </c>
      <c r="C233" t="s">
        <v>1928</v>
      </c>
      <c r="D233" t="s">
        <v>1916</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1772</v>
      </c>
    </row>
    <row r="234" spans="1:33">
      <c r="A234" t="s">
        <v>209</v>
      </c>
      <c r="B234" t="s">
        <v>1927</v>
      </c>
      <c r="C234" t="s">
        <v>1926</v>
      </c>
      <c r="D234" t="s">
        <v>1919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1772</v>
      </c>
    </row>
    <row r="235" spans="1:33">
      <c r="A235" t="s">
        <v>210</v>
      </c>
      <c r="B235" t="s">
        <v>1925</v>
      </c>
      <c r="C235" t="s">
        <v>1924</v>
      </c>
      <c r="D235" t="s">
        <v>1916</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1772</v>
      </c>
    </row>
    <row r="236" spans="1:33">
      <c r="A236" t="s">
        <v>1833</v>
      </c>
      <c r="B236" t="s">
        <v>1923</v>
      </c>
      <c r="C236" t="s">
        <v>1922</v>
      </c>
      <c r="D236" t="s">
        <v>1916</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1772</v>
      </c>
    </row>
    <row r="237" spans="1:33">
      <c r="A237" t="s">
        <v>1830</v>
      </c>
      <c r="B237" t="s">
        <v>1921</v>
      </c>
      <c r="C237" t="s">
        <v>1920</v>
      </c>
      <c r="D237" t="s">
        <v>1919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1772</v>
      </c>
    </row>
    <row r="238" spans="1:33">
      <c r="A238" t="s">
        <v>1827</v>
      </c>
      <c r="B238" t="s">
        <v>1918</v>
      </c>
      <c r="C238" t="s">
        <v>1917</v>
      </c>
      <c r="D238" t="s">
        <v>1916</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1772</v>
      </c>
    </row>
    <row r="239" spans="1:33">
      <c r="A239" t="s">
        <v>1915</v>
      </c>
      <c r="B239" t="s">
        <v>1914</v>
      </c>
      <c r="C239" t="s">
        <v>1913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1912</v>
      </c>
      <c r="B240" t="s">
        <v>1911</v>
      </c>
      <c r="C240" t="s">
        <v>1910</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1909</v>
      </c>
    </row>
    <row r="242" spans="1:33">
      <c r="A242" t="s">
        <v>1908</v>
      </c>
    </row>
    <row r="243" spans="1:33">
      <c r="A243" t="s">
        <v>202</v>
      </c>
      <c r="B243" t="s">
        <v>1907</v>
      </c>
      <c r="C243" t="s">
        <v>1906</v>
      </c>
      <c r="D243" t="s">
        <v>1818</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203</v>
      </c>
      <c r="B244" t="s">
        <v>1905</v>
      </c>
      <c r="C244" t="s">
        <v>1904</v>
      </c>
      <c r="D244" t="s">
        <v>1818</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204</v>
      </c>
      <c r="B245" t="s">
        <v>1903</v>
      </c>
      <c r="C245" t="s">
        <v>1902</v>
      </c>
      <c r="D245" t="s">
        <v>1818</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205</v>
      </c>
      <c r="B246" t="s">
        <v>1901</v>
      </c>
      <c r="C246" t="s">
        <v>1900</v>
      </c>
      <c r="D246" t="s">
        <v>1818</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206</v>
      </c>
      <c r="B247" t="s">
        <v>1899</v>
      </c>
      <c r="C247" t="s">
        <v>1898</v>
      </c>
      <c r="D247" t="s">
        <v>1818</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207</v>
      </c>
      <c r="B248" t="s">
        <v>1897</v>
      </c>
      <c r="C248" t="s">
        <v>1896</v>
      </c>
      <c r="D248" t="s">
        <v>1818</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208</v>
      </c>
      <c r="B249" t="s">
        <v>1895</v>
      </c>
      <c r="C249" t="s">
        <v>1894</v>
      </c>
      <c r="D249" t="s">
        <v>1818</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1772</v>
      </c>
    </row>
    <row r="250" spans="1:33">
      <c r="A250" t="s">
        <v>209</v>
      </c>
      <c r="B250" t="s">
        <v>1893</v>
      </c>
      <c r="C250" t="s">
        <v>1892</v>
      </c>
      <c r="D250" t="s">
        <v>1818</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1772</v>
      </c>
    </row>
    <row r="251" spans="1:33">
      <c r="A251" t="s">
        <v>210</v>
      </c>
      <c r="B251" t="s">
        <v>1891</v>
      </c>
      <c r="C251" t="s">
        <v>1890</v>
      </c>
      <c r="D251" t="s">
        <v>1818</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1772</v>
      </c>
    </row>
    <row r="252" spans="1:33">
      <c r="A252" t="s">
        <v>1833</v>
      </c>
      <c r="B252" t="s">
        <v>1889</v>
      </c>
      <c r="C252" t="s">
        <v>1888</v>
      </c>
      <c r="D252" t="s">
        <v>1818</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1772</v>
      </c>
    </row>
    <row r="253" spans="1:33">
      <c r="A253" t="s">
        <v>1830</v>
      </c>
      <c r="B253" t="s">
        <v>1887</v>
      </c>
      <c r="C253" t="s">
        <v>1886</v>
      </c>
      <c r="D253" t="s">
        <v>1818</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1772</v>
      </c>
    </row>
    <row r="254" spans="1:33">
      <c r="A254" t="s">
        <v>1827</v>
      </c>
      <c r="B254" t="s">
        <v>1885</v>
      </c>
      <c r="C254" t="s">
        <v>1884</v>
      </c>
      <c r="D254" t="s">
        <v>1818</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1772</v>
      </c>
    </row>
    <row r="255" spans="1:33">
      <c r="A255" t="s">
        <v>1883</v>
      </c>
      <c r="B255" t="s">
        <v>1882</v>
      </c>
      <c r="C255" t="s">
        <v>1881</v>
      </c>
      <c r="D255" t="s">
        <v>1818</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1880</v>
      </c>
    </row>
    <row r="257" spans="1:33">
      <c r="A257" t="s">
        <v>202</v>
      </c>
      <c r="B257" t="s">
        <v>1879</v>
      </c>
      <c r="C257" t="s">
        <v>1878</v>
      </c>
      <c r="D257" t="s">
        <v>1818</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203</v>
      </c>
      <c r="B258" t="s">
        <v>1877</v>
      </c>
      <c r="C258" t="s">
        <v>1876</v>
      </c>
      <c r="D258" t="s">
        <v>1818</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204</v>
      </c>
      <c r="B259" t="s">
        <v>1875</v>
      </c>
      <c r="C259" t="s">
        <v>1874</v>
      </c>
      <c r="D259" t="s">
        <v>1818</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205</v>
      </c>
      <c r="B260" t="s">
        <v>1873</v>
      </c>
      <c r="C260" t="s">
        <v>1872</v>
      </c>
      <c r="D260" t="s">
        <v>1818</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206</v>
      </c>
      <c r="B261" t="s">
        <v>1871</v>
      </c>
      <c r="C261" t="s">
        <v>1870</v>
      </c>
      <c r="D261" t="s">
        <v>1818</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207</v>
      </c>
      <c r="B262" t="s">
        <v>1869</v>
      </c>
      <c r="C262" t="s">
        <v>1868</v>
      </c>
      <c r="D262" t="s">
        <v>1818</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208</v>
      </c>
      <c r="B263" t="s">
        <v>1867</v>
      </c>
      <c r="C263" t="s">
        <v>1866</v>
      </c>
      <c r="D263" t="s">
        <v>1818</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1772</v>
      </c>
    </row>
    <row r="264" spans="1:33">
      <c r="A264" t="s">
        <v>209</v>
      </c>
      <c r="B264" t="s">
        <v>1865</v>
      </c>
      <c r="C264" t="s">
        <v>1864</v>
      </c>
      <c r="D264" t="s">
        <v>1818</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1772</v>
      </c>
    </row>
    <row r="265" spans="1:33">
      <c r="A265" t="s">
        <v>210</v>
      </c>
      <c r="B265" t="s">
        <v>1863</v>
      </c>
      <c r="C265" t="s">
        <v>1862</v>
      </c>
      <c r="D265" t="s">
        <v>1818</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1772</v>
      </c>
    </row>
    <row r="266" spans="1:33">
      <c r="A266" t="s">
        <v>1833</v>
      </c>
      <c r="B266" t="s">
        <v>1861</v>
      </c>
      <c r="C266" t="s">
        <v>1860</v>
      </c>
      <c r="D266" t="s">
        <v>1818</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1772</v>
      </c>
    </row>
    <row r="267" spans="1:33">
      <c r="A267" t="s">
        <v>1830</v>
      </c>
      <c r="B267" t="s">
        <v>1859</v>
      </c>
      <c r="C267" t="s">
        <v>1858</v>
      </c>
      <c r="D267" t="s">
        <v>1818</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1772</v>
      </c>
    </row>
    <row r="268" spans="1:33">
      <c r="A268" t="s">
        <v>1827</v>
      </c>
      <c r="B268" t="s">
        <v>1857</v>
      </c>
      <c r="C268" t="s">
        <v>1856</v>
      </c>
      <c r="D268" t="s">
        <v>1818</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1772</v>
      </c>
    </row>
    <row r="269" spans="1:33">
      <c r="A269" t="s">
        <v>1855</v>
      </c>
      <c r="B269" t="s">
        <v>1854</v>
      </c>
      <c r="C269" t="s">
        <v>1853</v>
      </c>
      <c r="D269" t="s">
        <v>1818</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1852</v>
      </c>
    </row>
    <row r="271" spans="1:33">
      <c r="A271" t="s">
        <v>202</v>
      </c>
      <c r="B271" t="s">
        <v>1851</v>
      </c>
      <c r="C271" t="s">
        <v>1850</v>
      </c>
      <c r="D271" t="s">
        <v>1818</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203</v>
      </c>
      <c r="B272" t="s">
        <v>1849</v>
      </c>
      <c r="C272" t="s">
        <v>1848</v>
      </c>
      <c r="D272" t="s">
        <v>1818</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204</v>
      </c>
      <c r="B273" t="s">
        <v>1847</v>
      </c>
      <c r="C273" t="s">
        <v>1846</v>
      </c>
      <c r="D273" t="s">
        <v>1818</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205</v>
      </c>
      <c r="B274" t="s">
        <v>1845</v>
      </c>
      <c r="C274" t="s">
        <v>1844</v>
      </c>
      <c r="D274" t="s">
        <v>1818</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206</v>
      </c>
      <c r="B275" t="s">
        <v>1843</v>
      </c>
      <c r="C275" t="s">
        <v>1842</v>
      </c>
      <c r="D275" t="s">
        <v>1818</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1772</v>
      </c>
    </row>
    <row r="276" spans="1:33">
      <c r="A276" t="s">
        <v>207</v>
      </c>
      <c r="B276" t="s">
        <v>1841</v>
      </c>
      <c r="C276" t="s">
        <v>1840</v>
      </c>
      <c r="D276" t="s">
        <v>1818</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208</v>
      </c>
      <c r="B277" t="s">
        <v>1839</v>
      </c>
      <c r="C277" t="s">
        <v>1838</v>
      </c>
      <c r="D277" t="s">
        <v>1818</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1772</v>
      </c>
    </row>
    <row r="278" spans="1:33">
      <c r="A278" t="s">
        <v>209</v>
      </c>
      <c r="B278" t="s">
        <v>1837</v>
      </c>
      <c r="C278" t="s">
        <v>1836</v>
      </c>
      <c r="D278" t="s">
        <v>1818</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1772</v>
      </c>
    </row>
    <row r="279" spans="1:33">
      <c r="A279" t="s">
        <v>210</v>
      </c>
      <c r="B279" t="s">
        <v>1835</v>
      </c>
      <c r="C279" t="s">
        <v>1834</v>
      </c>
      <c r="D279" t="s">
        <v>1818</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1772</v>
      </c>
    </row>
    <row r="280" spans="1:33">
      <c r="A280" t="s">
        <v>1833</v>
      </c>
      <c r="B280" t="s">
        <v>1832</v>
      </c>
      <c r="C280" t="s">
        <v>1831</v>
      </c>
      <c r="D280" t="s">
        <v>1818</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1772</v>
      </c>
    </row>
    <row r="281" spans="1:33">
      <c r="A281" t="s">
        <v>1830</v>
      </c>
      <c r="B281" t="s">
        <v>1829</v>
      </c>
      <c r="C281" t="s">
        <v>1828</v>
      </c>
      <c r="D281" t="s">
        <v>1818</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1772</v>
      </c>
    </row>
    <row r="282" spans="1:33">
      <c r="A282" t="s">
        <v>1827</v>
      </c>
      <c r="B282" t="s">
        <v>1826</v>
      </c>
      <c r="C282" t="s">
        <v>1825</v>
      </c>
      <c r="D282" t="s">
        <v>1818</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1772</v>
      </c>
    </row>
    <row r="283" spans="1:33">
      <c r="A283" t="s">
        <v>1824</v>
      </c>
      <c r="B283" t="s">
        <v>1823</v>
      </c>
      <c r="C283" t="s">
        <v>1822</v>
      </c>
      <c r="D283" t="s">
        <v>1818</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1821</v>
      </c>
      <c r="B284" t="s">
        <v>1820</v>
      </c>
      <c r="C284" t="s">
        <v>1819</v>
      </c>
      <c r="D284" t="s">
        <v>1818</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193</v>
      </c>
    </row>
    <row r="286" spans="1:33">
      <c r="A286" t="s">
        <v>1817</v>
      </c>
      <c r="B286" t="s">
        <v>1816</v>
      </c>
      <c r="C286" t="s">
        <v>1815</v>
      </c>
      <c r="D286" t="s">
        <v>1801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1800</v>
      </c>
      <c r="B287" t="s">
        <v>1814</v>
      </c>
      <c r="C287" t="s">
        <v>1813</v>
      </c>
      <c r="D287" t="s">
        <v>1797</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213</v>
      </c>
      <c r="B289" t="s">
        <v>1812</v>
      </c>
      <c r="C289" t="s">
        <v>1811</v>
      </c>
      <c r="D289" t="s">
        <v>1769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214</v>
      </c>
      <c r="B290" t="s">
        <v>1810</v>
      </c>
      <c r="C290" t="s">
        <v>1809</v>
      </c>
      <c r="D290" t="s">
        <v>1769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1772</v>
      </c>
    </row>
    <row r="291" spans="1:33">
      <c r="A291" t="s">
        <v>215</v>
      </c>
      <c r="B291" t="s">
        <v>1808</v>
      </c>
      <c r="C291" t="s">
        <v>1807</v>
      </c>
      <c r="D291" t="s">
        <v>1769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1772</v>
      </c>
    </row>
    <row r="292" spans="1:33">
      <c r="A292" t="s">
        <v>216</v>
      </c>
      <c r="B292" t="s">
        <v>1806</v>
      </c>
      <c r="C292" t="s">
        <v>1805</v>
      </c>
      <c r="D292" t="s">
        <v>1769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1772</v>
      </c>
    </row>
    <row r="293" spans="1:33">
      <c r="A293" t="s">
        <v>194</v>
      </c>
    </row>
    <row r="294" spans="1:33">
      <c r="A294" t="s">
        <v>1804</v>
      </c>
      <c r="B294" t="s">
        <v>1803</v>
      </c>
      <c r="C294" t="s">
        <v>1802</v>
      </c>
      <c r="D294" t="s">
        <v>1801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1800</v>
      </c>
      <c r="B295" t="s">
        <v>1799</v>
      </c>
      <c r="C295" t="s">
        <v>1798</v>
      </c>
      <c r="D295" t="s">
        <v>1797</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213</v>
      </c>
      <c r="B297" t="s">
        <v>1796</v>
      </c>
      <c r="C297" t="s">
        <v>1795</v>
      </c>
      <c r="D297" t="s">
        <v>1769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214</v>
      </c>
      <c r="B298" t="s">
        <v>1794</v>
      </c>
      <c r="C298" t="s">
        <v>1793</v>
      </c>
      <c r="D298" t="s">
        <v>1769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215</v>
      </c>
      <c r="B299" t="s">
        <v>1792</v>
      </c>
      <c r="C299" t="s">
        <v>1791</v>
      </c>
      <c r="D299" t="s">
        <v>1769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1772</v>
      </c>
    </row>
    <row r="300" spans="1:33">
      <c r="A300" t="s">
        <v>216</v>
      </c>
      <c r="B300" t="s">
        <v>1790</v>
      </c>
      <c r="C300" t="s">
        <v>1789</v>
      </c>
      <c r="D300" t="s">
        <v>1769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195</v>
      </c>
    </row>
    <row r="302" spans="1:33">
      <c r="A302" t="s">
        <v>1788</v>
      </c>
      <c r="B302" t="s">
        <v>1787</v>
      </c>
      <c r="C302" t="s">
        <v>1786</v>
      </c>
      <c r="D302" t="s">
        <v>1779</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1785</v>
      </c>
      <c r="B303" t="s">
        <v>1784</v>
      </c>
      <c r="C303" t="s">
        <v>1783</v>
      </c>
      <c r="D303" t="s">
        <v>1779</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1782</v>
      </c>
      <c r="B304" t="s">
        <v>1781</v>
      </c>
      <c r="C304" t="s">
        <v>1780</v>
      </c>
      <c r="D304" t="s">
        <v>1779</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213</v>
      </c>
      <c r="B306" t="s">
        <v>1778</v>
      </c>
      <c r="C306" t="s">
        <v>1777</v>
      </c>
      <c r="D306" t="s">
        <v>1769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214</v>
      </c>
      <c r="B307" t="s">
        <v>1776</v>
      </c>
      <c r="C307" t="s">
        <v>1775</v>
      </c>
      <c r="D307" t="s">
        <v>1769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215</v>
      </c>
      <c r="B308" t="s">
        <v>1774</v>
      </c>
      <c r="C308" t="s">
        <v>1773</v>
      </c>
      <c r="D308" t="s">
        <v>1769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1772</v>
      </c>
    </row>
    <row r="309" spans="1:33">
      <c r="A309" t="s">
        <v>216</v>
      </c>
      <c r="B309" t="s">
        <v>1771</v>
      </c>
      <c r="C309" t="s">
        <v>1770</v>
      </c>
      <c r="D309" t="s">
        <v>1769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election activeCell="D6" sqref="D6"/>
    </sheetView>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election activeCell="N71" sqref="N71"/>
    </sheetView>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1386</v>
      </c>
      <c r="B1" s="81" t="s">
        <v>1387</v>
      </c>
      <c r="C1" s="81" t="s">
        <v>1388</v>
      </c>
      <c r="D1" s="81" t="s">
        <v>1389</v>
      </c>
      <c r="E1" s="81" t="s">
        <v>1390</v>
      </c>
      <c r="F1" s="81" t="s">
        <v>1391</v>
      </c>
      <c r="G1" s="81" t="s">
        <v>1392</v>
      </c>
      <c r="H1" s="81" t="s">
        <v>1393</v>
      </c>
      <c r="I1" s="81" t="s">
        <v>1394</v>
      </c>
      <c r="J1" s="81" t="s">
        <v>1395</v>
      </c>
      <c r="K1" s="81" t="s">
        <v>1396</v>
      </c>
      <c r="L1" s="81" t="s">
        <v>1397</v>
      </c>
      <c r="M1" s="81" t="s">
        <v>1398</v>
      </c>
      <c r="N1" s="82" t="s">
        <v>1399</v>
      </c>
      <c r="O1" s="81" t="s">
        <v>1400</v>
      </c>
      <c r="P1" s="81" t="s">
        <v>1401</v>
      </c>
      <c r="Q1" s="81" t="s">
        <v>1402</v>
      </c>
      <c r="R1" s="81" t="s">
        <v>1403</v>
      </c>
      <c r="S1" s="81" t="s">
        <v>1404</v>
      </c>
      <c r="T1" s="81" t="s">
        <v>1405</v>
      </c>
      <c r="U1" s="81" t="s">
        <v>1406</v>
      </c>
      <c r="V1" s="81" t="s">
        <v>1407</v>
      </c>
      <c r="W1" s="81" t="s">
        <v>1408</v>
      </c>
      <c r="X1" s="83" t="s">
        <v>1409</v>
      </c>
      <c r="Y1" s="81" t="s">
        <v>1410</v>
      </c>
      <c r="Z1" s="81" t="s">
        <v>1411</v>
      </c>
      <c r="AA1" s="81" t="s">
        <v>1412</v>
      </c>
      <c r="AB1" s="81" t="s">
        <v>1413</v>
      </c>
      <c r="AC1" s="84" t="s">
        <v>1414</v>
      </c>
      <c r="AD1" s="85" t="s">
        <v>1415</v>
      </c>
      <c r="AE1" s="84" t="s">
        <v>1416</v>
      </c>
      <c r="AF1" s="85" t="s">
        <v>1417</v>
      </c>
      <c r="AG1" s="84" t="s">
        <v>1418</v>
      </c>
      <c r="AH1" s="85" t="s">
        <v>1419</v>
      </c>
      <c r="AI1" s="84" t="s">
        <v>1420</v>
      </c>
      <c r="AJ1" s="85" t="s">
        <v>1421</v>
      </c>
      <c r="AK1" s="84" t="s">
        <v>1422</v>
      </c>
      <c r="AL1" s="85" t="s">
        <v>1423</v>
      </c>
      <c r="AM1" s="84" t="s">
        <v>1424</v>
      </c>
      <c r="AN1" s="85" t="s">
        <v>1425</v>
      </c>
      <c r="AO1" s="84" t="s">
        <v>1426</v>
      </c>
      <c r="AP1" s="85" t="s">
        <v>1427</v>
      </c>
      <c r="AQ1" s="84" t="s">
        <v>1428</v>
      </c>
      <c r="AR1" s="85" t="s">
        <v>1429</v>
      </c>
      <c r="AS1" s="84" t="s">
        <v>1430</v>
      </c>
      <c r="AT1" s="86" t="s">
        <v>1431</v>
      </c>
      <c r="AU1" s="87" t="s">
        <v>1432</v>
      </c>
      <c r="AV1" s="88" t="s">
        <v>1433</v>
      </c>
      <c r="AW1" s="87" t="s">
        <v>1434</v>
      </c>
      <c r="AX1" s="81" t="s">
        <v>1435</v>
      </c>
    </row>
    <row r="2" spans="1:50">
      <c r="A2" s="89" t="s">
        <v>1436</v>
      </c>
      <c r="B2" s="89" t="s">
        <v>1437</v>
      </c>
      <c r="C2" s="89" t="s">
        <v>1438</v>
      </c>
      <c r="D2" s="90">
        <v>2008</v>
      </c>
      <c r="E2" s="91">
        <v>20008</v>
      </c>
      <c r="F2" s="89" t="s">
        <v>1439</v>
      </c>
      <c r="G2" s="89" t="s">
        <v>1440</v>
      </c>
      <c r="H2" s="92">
        <v>18351295</v>
      </c>
      <c r="I2" s="93">
        <v>10427</v>
      </c>
      <c r="J2" s="89" t="s">
        <v>1441</v>
      </c>
      <c r="K2" s="89" t="s">
        <v>1442</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1443</v>
      </c>
    </row>
    <row r="3" spans="1:50">
      <c r="A3" s="89" t="s">
        <v>1444</v>
      </c>
      <c r="B3" s="89" t="s">
        <v>1445</v>
      </c>
      <c r="C3" s="89" t="s">
        <v>1446</v>
      </c>
      <c r="D3" s="90">
        <v>2080</v>
      </c>
      <c r="E3" s="91">
        <v>20080</v>
      </c>
      <c r="F3" s="89" t="s">
        <v>1447</v>
      </c>
      <c r="G3" s="89" t="s">
        <v>1440</v>
      </c>
      <c r="H3" s="92">
        <v>18351295</v>
      </c>
      <c r="I3" s="93">
        <v>3646</v>
      </c>
      <c r="J3" s="89" t="s">
        <v>1448</v>
      </c>
      <c r="K3" s="89" t="s">
        <v>1449</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1443</v>
      </c>
    </row>
    <row r="4" spans="1:50">
      <c r="A4" s="89" t="s">
        <v>1444</v>
      </c>
      <c r="B4" s="89" t="s">
        <v>1445</v>
      </c>
      <c r="C4" s="89" t="s">
        <v>1446</v>
      </c>
      <c r="D4" s="90">
        <v>2080</v>
      </c>
      <c r="E4" s="91">
        <v>20080</v>
      </c>
      <c r="F4" s="89" t="s">
        <v>1447</v>
      </c>
      <c r="G4" s="89" t="s">
        <v>1440</v>
      </c>
      <c r="H4" s="92">
        <v>18351295</v>
      </c>
      <c r="I4" s="93">
        <v>3646</v>
      </c>
      <c r="J4" s="89" t="s">
        <v>1448</v>
      </c>
      <c r="K4" s="89" t="s">
        <v>1442</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1443</v>
      </c>
    </row>
    <row r="5" spans="1:50">
      <c r="A5" s="89" t="s">
        <v>1444</v>
      </c>
      <c r="B5" s="89" t="s">
        <v>1445</v>
      </c>
      <c r="C5" s="89" t="s">
        <v>1446</v>
      </c>
      <c r="D5" s="90">
        <v>2080</v>
      </c>
      <c r="E5" s="91">
        <v>20080</v>
      </c>
      <c r="F5" s="89" t="s">
        <v>1447</v>
      </c>
      <c r="G5" s="89" t="s">
        <v>1440</v>
      </c>
      <c r="H5" s="92">
        <v>18351295</v>
      </c>
      <c r="I5" s="93">
        <v>3646</v>
      </c>
      <c r="J5" s="89" t="s">
        <v>1450</v>
      </c>
      <c r="K5" s="89" t="s">
        <v>1442</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1443</v>
      </c>
    </row>
    <row r="6" spans="1:50">
      <c r="A6" s="89" t="s">
        <v>1451</v>
      </c>
      <c r="B6" s="89" t="s">
        <v>1452</v>
      </c>
      <c r="C6" s="89" t="s">
        <v>1453</v>
      </c>
      <c r="D6" s="90">
        <v>9154</v>
      </c>
      <c r="E6" s="91">
        <v>90154</v>
      </c>
      <c r="F6" s="89" t="s">
        <v>1454</v>
      </c>
      <c r="G6" s="89" t="s">
        <v>1440</v>
      </c>
      <c r="H6" s="92">
        <v>12150996</v>
      </c>
      <c r="I6" s="93">
        <v>3482</v>
      </c>
      <c r="J6" s="89" t="s">
        <v>1448</v>
      </c>
      <c r="K6" s="89" t="s">
        <v>1442</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1443</v>
      </c>
    </row>
    <row r="7" spans="1:50">
      <c r="A7" s="89" t="s">
        <v>1451</v>
      </c>
      <c r="B7" s="89" t="s">
        <v>1452</v>
      </c>
      <c r="C7" s="89" t="s">
        <v>1453</v>
      </c>
      <c r="D7" s="90">
        <v>9154</v>
      </c>
      <c r="E7" s="91">
        <v>90154</v>
      </c>
      <c r="F7" s="89" t="s">
        <v>1454</v>
      </c>
      <c r="G7" s="89" t="s">
        <v>1440</v>
      </c>
      <c r="H7" s="92">
        <v>12150996</v>
      </c>
      <c r="I7" s="93">
        <v>3482</v>
      </c>
      <c r="J7" s="89" t="s">
        <v>1441</v>
      </c>
      <c r="K7" s="89" t="s">
        <v>1442</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1443</v>
      </c>
    </row>
    <row r="8" spans="1:50">
      <c r="A8" s="89" t="s">
        <v>1455</v>
      </c>
      <c r="B8" s="89" t="s">
        <v>1456</v>
      </c>
      <c r="C8" s="89" t="s">
        <v>1457</v>
      </c>
      <c r="D8" s="90">
        <v>3030</v>
      </c>
      <c r="E8" s="91">
        <v>30030</v>
      </c>
      <c r="F8" s="89" t="s">
        <v>1454</v>
      </c>
      <c r="G8" s="89" t="s">
        <v>1440</v>
      </c>
      <c r="H8" s="92">
        <v>4586770</v>
      </c>
      <c r="I8" s="93">
        <v>3304</v>
      </c>
      <c r="J8" s="89" t="s">
        <v>1441</v>
      </c>
      <c r="K8" s="89" t="s">
        <v>1442</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1443</v>
      </c>
    </row>
    <row r="9" spans="1:50">
      <c r="A9" s="89" t="s">
        <v>1458</v>
      </c>
      <c r="B9" s="89" t="s">
        <v>1459</v>
      </c>
      <c r="C9" s="89" t="s">
        <v>1460</v>
      </c>
      <c r="D9" s="90">
        <v>5066</v>
      </c>
      <c r="E9" s="91">
        <v>50066</v>
      </c>
      <c r="F9" s="89" t="s">
        <v>1454</v>
      </c>
      <c r="G9" s="89" t="s">
        <v>1440</v>
      </c>
      <c r="H9" s="92">
        <v>8608208</v>
      </c>
      <c r="I9" s="93">
        <v>2703</v>
      </c>
      <c r="J9" s="89" t="s">
        <v>1441</v>
      </c>
      <c r="K9" s="89" t="s">
        <v>1442</v>
      </c>
      <c r="L9" s="94">
        <v>1148</v>
      </c>
      <c r="M9" s="89"/>
      <c r="N9" s="95">
        <v>158</v>
      </c>
      <c r="O9" s="93"/>
      <c r="P9" s="96">
        <v>18.0276</v>
      </c>
      <c r="Q9" s="93"/>
      <c r="R9" s="96">
        <v>6.3144</v>
      </c>
      <c r="S9" s="93" t="s">
        <v>1461</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1461</v>
      </c>
      <c r="AV9" s="99">
        <v>207.84</v>
      </c>
      <c r="AW9" s="89" t="s">
        <v>39</v>
      </c>
      <c r="AX9" s="89" t="s">
        <v>1462</v>
      </c>
    </row>
    <row r="10" spans="1:50">
      <c r="A10" s="89" t="s">
        <v>1463</v>
      </c>
      <c r="B10" s="89" t="s">
        <v>1464</v>
      </c>
      <c r="C10" s="89" t="s">
        <v>1465</v>
      </c>
      <c r="D10" s="90">
        <v>1003</v>
      </c>
      <c r="E10" s="91">
        <v>10003</v>
      </c>
      <c r="F10" s="89" t="s">
        <v>1454</v>
      </c>
      <c r="G10" s="89" t="s">
        <v>1440</v>
      </c>
      <c r="H10" s="92">
        <v>4181019</v>
      </c>
      <c r="I10" s="93">
        <v>2428</v>
      </c>
      <c r="J10" s="89" t="s">
        <v>1448</v>
      </c>
      <c r="K10" s="89" t="s">
        <v>1442</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1466</v>
      </c>
      <c r="AJ10" s="92">
        <v>2876932</v>
      </c>
      <c r="AK10" s="93"/>
      <c r="AL10" s="92">
        <v>2870560</v>
      </c>
      <c r="AM10" s="93"/>
      <c r="AN10" s="92">
        <v>321018</v>
      </c>
      <c r="AO10" s="93"/>
      <c r="AP10" s="98">
        <v>315916</v>
      </c>
      <c r="AQ10" s="93"/>
      <c r="AR10" s="92">
        <v>41465243</v>
      </c>
      <c r="AS10" s="93"/>
      <c r="AT10" s="97">
        <v>97602251</v>
      </c>
      <c r="AU10" s="89"/>
      <c r="AV10" s="99">
        <v>51</v>
      </c>
      <c r="AW10" s="89" t="s">
        <v>39</v>
      </c>
      <c r="AX10" s="89" t="s">
        <v>1462</v>
      </c>
    </row>
    <row r="11" spans="1:50">
      <c r="A11" s="89" t="s">
        <v>1463</v>
      </c>
      <c r="B11" s="89" t="s">
        <v>1464</v>
      </c>
      <c r="C11" s="89" t="s">
        <v>1465</v>
      </c>
      <c r="D11" s="90">
        <v>1003</v>
      </c>
      <c r="E11" s="91">
        <v>10003</v>
      </c>
      <c r="F11" s="89" t="s">
        <v>1454</v>
      </c>
      <c r="G11" s="89" t="s">
        <v>1440</v>
      </c>
      <c r="H11" s="92">
        <v>4181019</v>
      </c>
      <c r="I11" s="93">
        <v>2428</v>
      </c>
      <c r="J11" s="89" t="s">
        <v>1441</v>
      </c>
      <c r="K11" s="89" t="s">
        <v>1442</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1443</v>
      </c>
    </row>
    <row r="12" spans="1:50">
      <c r="A12" s="89" t="s">
        <v>1463</v>
      </c>
      <c r="B12" s="89" t="s">
        <v>1464</v>
      </c>
      <c r="C12" s="89" t="s">
        <v>1465</v>
      </c>
      <c r="D12" s="90">
        <v>1003</v>
      </c>
      <c r="E12" s="91">
        <v>10003</v>
      </c>
      <c r="F12" s="89" t="s">
        <v>1454</v>
      </c>
      <c r="G12" s="89" t="s">
        <v>1440</v>
      </c>
      <c r="H12" s="92">
        <v>4181019</v>
      </c>
      <c r="I12" s="93">
        <v>2428</v>
      </c>
      <c r="J12" s="89" t="s">
        <v>1450</v>
      </c>
      <c r="K12" s="89" t="s">
        <v>1449</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1443</v>
      </c>
    </row>
    <row r="13" spans="1:50">
      <c r="A13" s="89" t="s">
        <v>1467</v>
      </c>
      <c r="B13" s="89" t="s">
        <v>1468</v>
      </c>
      <c r="C13" s="89" t="s">
        <v>1469</v>
      </c>
      <c r="D13" s="90">
        <v>3019</v>
      </c>
      <c r="E13" s="91">
        <v>30019</v>
      </c>
      <c r="F13" s="89" t="s">
        <v>1454</v>
      </c>
      <c r="G13" s="89" t="s">
        <v>1440</v>
      </c>
      <c r="H13" s="92">
        <v>5441567</v>
      </c>
      <c r="I13" s="93">
        <v>2406</v>
      </c>
      <c r="J13" s="89" t="s">
        <v>1441</v>
      </c>
      <c r="K13" s="89" t="s">
        <v>1442</v>
      </c>
      <c r="L13" s="94">
        <v>286</v>
      </c>
      <c r="M13" s="89"/>
      <c r="N13" s="95">
        <v>61</v>
      </c>
      <c r="O13" s="93"/>
      <c r="P13" s="96">
        <v>17.097100000000001</v>
      </c>
      <c r="Q13" s="93"/>
      <c r="R13" s="96">
        <v>4.4253999999999998</v>
      </c>
      <c r="S13" s="93" t="s">
        <v>1461</v>
      </c>
      <c r="T13" s="96">
        <v>75.514099999999999</v>
      </c>
      <c r="U13" s="93" t="s">
        <v>1461</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1461</v>
      </c>
      <c r="AT13" s="97">
        <v>314489396</v>
      </c>
      <c r="AU13" s="89" t="s">
        <v>1461</v>
      </c>
      <c r="AV13" s="99">
        <v>74.900000000000006</v>
      </c>
      <c r="AW13" s="89" t="s">
        <v>39</v>
      </c>
      <c r="AX13" s="89" t="s">
        <v>1462</v>
      </c>
    </row>
    <row r="14" spans="1:50">
      <c r="A14" s="89" t="s">
        <v>1467</v>
      </c>
      <c r="B14" s="89" t="s">
        <v>1468</v>
      </c>
      <c r="C14" s="89" t="s">
        <v>1469</v>
      </c>
      <c r="D14" s="90">
        <v>3019</v>
      </c>
      <c r="E14" s="91">
        <v>30019</v>
      </c>
      <c r="F14" s="89" t="s">
        <v>1454</v>
      </c>
      <c r="G14" s="89" t="s">
        <v>1440</v>
      </c>
      <c r="H14" s="92">
        <v>5441567</v>
      </c>
      <c r="I14" s="93">
        <v>2406</v>
      </c>
      <c r="J14" s="89" t="s">
        <v>1450</v>
      </c>
      <c r="K14" s="89" t="s">
        <v>1442</v>
      </c>
      <c r="L14" s="94">
        <v>357</v>
      </c>
      <c r="M14" s="89"/>
      <c r="N14" s="95">
        <v>84</v>
      </c>
      <c r="O14" s="93"/>
      <c r="P14" s="96">
        <v>19.690899999999999</v>
      </c>
      <c r="Q14" s="93"/>
      <c r="R14" s="96">
        <v>13.449400000000001</v>
      </c>
      <c r="S14" s="93" t="s">
        <v>1461</v>
      </c>
      <c r="T14" s="96">
        <v>29.793900000000001</v>
      </c>
      <c r="U14" s="93" t="s">
        <v>1461</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1461</v>
      </c>
      <c r="AT14" s="97">
        <v>338253606</v>
      </c>
      <c r="AU14" s="89" t="s">
        <v>1461</v>
      </c>
      <c r="AV14" s="99">
        <v>446.94</v>
      </c>
      <c r="AW14" s="89" t="s">
        <v>39</v>
      </c>
      <c r="AX14" s="89" t="s">
        <v>1462</v>
      </c>
    </row>
    <row r="15" spans="1:50">
      <c r="A15" s="89" t="s">
        <v>1470</v>
      </c>
      <c r="B15" s="89" t="s">
        <v>1471</v>
      </c>
      <c r="C15" s="89" t="s">
        <v>1472</v>
      </c>
      <c r="D15" s="90">
        <v>6008</v>
      </c>
      <c r="E15" s="91">
        <v>60008</v>
      </c>
      <c r="F15" s="89" t="s">
        <v>1454</v>
      </c>
      <c r="G15" s="89" t="s">
        <v>1440</v>
      </c>
      <c r="H15" s="92">
        <v>4944332</v>
      </c>
      <c r="I15" s="93">
        <v>2157</v>
      </c>
      <c r="J15" s="89" t="s">
        <v>1448</v>
      </c>
      <c r="K15" s="89" t="s">
        <v>1442</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1443</v>
      </c>
    </row>
    <row r="16" spans="1:50">
      <c r="A16" s="89" t="s">
        <v>1473</v>
      </c>
      <c r="B16" s="89" t="s">
        <v>1474</v>
      </c>
      <c r="C16" s="89" t="s">
        <v>1475</v>
      </c>
      <c r="D16" s="90">
        <v>3034</v>
      </c>
      <c r="E16" s="91">
        <v>30034</v>
      </c>
      <c r="F16" s="89" t="s">
        <v>1476</v>
      </c>
      <c r="G16" s="89" t="s">
        <v>1440</v>
      </c>
      <c r="H16" s="92">
        <v>2203663</v>
      </c>
      <c r="I16" s="93">
        <v>1888</v>
      </c>
      <c r="J16" s="89" t="s">
        <v>1448</v>
      </c>
      <c r="K16" s="89" t="s">
        <v>1442</v>
      </c>
      <c r="L16" s="94">
        <v>38</v>
      </c>
      <c r="M16" s="89"/>
      <c r="N16" s="95">
        <v>18</v>
      </c>
      <c r="O16" s="93"/>
      <c r="P16" s="96">
        <v>19.6769</v>
      </c>
      <c r="Q16" s="93"/>
      <c r="R16" s="96">
        <v>5.7127999999999997</v>
      </c>
      <c r="S16" s="93" t="s">
        <v>1461</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1461</v>
      </c>
      <c r="AV16" s="99">
        <v>57.6</v>
      </c>
      <c r="AW16" s="89" t="s">
        <v>39</v>
      </c>
      <c r="AX16" s="89" t="s">
        <v>1462</v>
      </c>
    </row>
    <row r="17" spans="1:50">
      <c r="A17" s="89" t="s">
        <v>1473</v>
      </c>
      <c r="B17" s="89" t="s">
        <v>1474</v>
      </c>
      <c r="C17" s="89" t="s">
        <v>1475</v>
      </c>
      <c r="D17" s="90">
        <v>3034</v>
      </c>
      <c r="E17" s="91">
        <v>30034</v>
      </c>
      <c r="F17" s="89" t="s">
        <v>1476</v>
      </c>
      <c r="G17" s="89" t="s">
        <v>1440</v>
      </c>
      <c r="H17" s="92">
        <v>2203663</v>
      </c>
      <c r="I17" s="93">
        <v>1888</v>
      </c>
      <c r="J17" s="89" t="s">
        <v>1441</v>
      </c>
      <c r="K17" s="89" t="s">
        <v>1442</v>
      </c>
      <c r="L17" s="94">
        <v>54</v>
      </c>
      <c r="M17" s="89"/>
      <c r="N17" s="95">
        <v>9</v>
      </c>
      <c r="O17" s="93"/>
      <c r="P17" s="96">
        <v>26.092600000000001</v>
      </c>
      <c r="Q17" s="93"/>
      <c r="R17" s="96">
        <v>4.7674000000000003</v>
      </c>
      <c r="S17" s="93" t="s">
        <v>1461</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1461</v>
      </c>
      <c r="AV17" s="99">
        <v>29.4</v>
      </c>
      <c r="AW17" s="89" t="s">
        <v>39</v>
      </c>
      <c r="AX17" s="89" t="s">
        <v>1462</v>
      </c>
    </row>
    <row r="18" spans="1:50">
      <c r="A18" s="89" t="s">
        <v>1473</v>
      </c>
      <c r="B18" s="89" t="s">
        <v>1474</v>
      </c>
      <c r="C18" s="89" t="s">
        <v>1475</v>
      </c>
      <c r="D18" s="90">
        <v>3034</v>
      </c>
      <c r="E18" s="91">
        <v>30034</v>
      </c>
      <c r="F18" s="89" t="s">
        <v>1476</v>
      </c>
      <c r="G18" s="89" t="s">
        <v>1440</v>
      </c>
      <c r="H18" s="92">
        <v>2203663</v>
      </c>
      <c r="I18" s="93">
        <v>1888</v>
      </c>
      <c r="J18" s="89" t="s">
        <v>1450</v>
      </c>
      <c r="K18" s="89" t="s">
        <v>1449</v>
      </c>
      <c r="L18" s="94">
        <v>149</v>
      </c>
      <c r="M18" s="89"/>
      <c r="N18" s="95">
        <v>28</v>
      </c>
      <c r="O18" s="93"/>
      <c r="P18" s="96">
        <v>38.328299999999999</v>
      </c>
      <c r="Q18" s="93"/>
      <c r="R18" s="96">
        <v>29.584599999999998</v>
      </c>
      <c r="S18" s="93" t="s">
        <v>1461</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1461</v>
      </c>
      <c r="AV18" s="99">
        <v>400.4</v>
      </c>
      <c r="AW18" s="89" t="s">
        <v>39</v>
      </c>
      <c r="AX18" s="89" t="s">
        <v>1462</v>
      </c>
    </row>
    <row r="19" spans="1:50">
      <c r="A19" s="89" t="s">
        <v>1477</v>
      </c>
      <c r="B19" s="89" t="s">
        <v>1478</v>
      </c>
      <c r="C19" s="89" t="s">
        <v>1479</v>
      </c>
      <c r="D19" s="90">
        <v>4034</v>
      </c>
      <c r="E19" s="91">
        <v>40034</v>
      </c>
      <c r="F19" s="89" t="s">
        <v>1480</v>
      </c>
      <c r="G19" s="89" t="s">
        <v>1440</v>
      </c>
      <c r="H19" s="92">
        <v>5502379</v>
      </c>
      <c r="I19" s="93">
        <v>1452</v>
      </c>
      <c r="J19" s="89" t="s">
        <v>1441</v>
      </c>
      <c r="K19" s="89" t="s">
        <v>1442</v>
      </c>
      <c r="L19" s="94">
        <v>76</v>
      </c>
      <c r="M19" s="89"/>
      <c r="N19" s="95">
        <v>18</v>
      </c>
      <c r="O19" s="93"/>
      <c r="P19" s="96">
        <v>21.7622</v>
      </c>
      <c r="Q19" s="93"/>
      <c r="R19" s="96">
        <v>7.3830999999999998</v>
      </c>
      <c r="S19" s="93" t="s">
        <v>1461</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1461</v>
      </c>
      <c r="AV19" s="99">
        <v>49.84</v>
      </c>
      <c r="AW19" s="89" t="s">
        <v>39</v>
      </c>
      <c r="AX19" s="89" t="s">
        <v>1462</v>
      </c>
    </row>
    <row r="20" spans="1:50">
      <c r="A20" s="89" t="s">
        <v>1481</v>
      </c>
      <c r="B20" s="89" t="s">
        <v>1482</v>
      </c>
      <c r="C20" s="89" t="s">
        <v>1483</v>
      </c>
      <c r="D20" s="90">
        <v>8006</v>
      </c>
      <c r="E20" s="91">
        <v>80006</v>
      </c>
      <c r="F20" s="89" t="s">
        <v>1454</v>
      </c>
      <c r="G20" s="89" t="s">
        <v>1440</v>
      </c>
      <c r="H20" s="92">
        <v>2374203</v>
      </c>
      <c r="I20" s="93">
        <v>1431</v>
      </c>
      <c r="J20" s="89" t="s">
        <v>1448</v>
      </c>
      <c r="K20" s="89" t="s">
        <v>1442</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1443</v>
      </c>
    </row>
    <row r="21" spans="1:50">
      <c r="A21" s="89" t="s">
        <v>1481</v>
      </c>
      <c r="B21" s="89" t="s">
        <v>1482</v>
      </c>
      <c r="C21" s="89" t="s">
        <v>1483</v>
      </c>
      <c r="D21" s="90">
        <v>8006</v>
      </c>
      <c r="E21" s="91">
        <v>80006</v>
      </c>
      <c r="F21" s="89" t="s">
        <v>1454</v>
      </c>
      <c r="G21" s="89" t="s">
        <v>1440</v>
      </c>
      <c r="H21" s="92">
        <v>2374203</v>
      </c>
      <c r="I21" s="93">
        <v>1431</v>
      </c>
      <c r="J21" s="89" t="s">
        <v>1450</v>
      </c>
      <c r="K21" s="89" t="s">
        <v>1449</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1443</v>
      </c>
    </row>
    <row r="22" spans="1:50">
      <c r="A22" s="89" t="s">
        <v>1481</v>
      </c>
      <c r="B22" s="89" t="s">
        <v>1482</v>
      </c>
      <c r="C22" s="89" t="s">
        <v>1483</v>
      </c>
      <c r="D22" s="90">
        <v>8006</v>
      </c>
      <c r="E22" s="91">
        <v>80006</v>
      </c>
      <c r="F22" s="89" t="s">
        <v>1454</v>
      </c>
      <c r="G22" s="89" t="s">
        <v>1440</v>
      </c>
      <c r="H22" s="92">
        <v>2374203</v>
      </c>
      <c r="I22" s="93">
        <v>1431</v>
      </c>
      <c r="J22" s="89" t="s">
        <v>1450</v>
      </c>
      <c r="K22" s="89" t="s">
        <v>1442</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1443</v>
      </c>
    </row>
    <row r="23" spans="1:50">
      <c r="A23" s="89" t="s">
        <v>1484</v>
      </c>
      <c r="B23" s="89" t="s">
        <v>1485</v>
      </c>
      <c r="C23" s="89" t="s">
        <v>1438</v>
      </c>
      <c r="D23" s="90">
        <v>2078</v>
      </c>
      <c r="E23" s="91">
        <v>20078</v>
      </c>
      <c r="F23" s="89" t="s">
        <v>1439</v>
      </c>
      <c r="G23" s="89" t="s">
        <v>1440</v>
      </c>
      <c r="H23" s="92">
        <v>18351295</v>
      </c>
      <c r="I23" s="93">
        <v>1133</v>
      </c>
      <c r="J23" s="89" t="s">
        <v>1450</v>
      </c>
      <c r="K23" s="89" t="s">
        <v>1442</v>
      </c>
      <c r="L23" s="94">
        <v>1122</v>
      </c>
      <c r="M23" s="89"/>
      <c r="N23" s="95">
        <v>135</v>
      </c>
      <c r="O23" s="93"/>
      <c r="P23" s="96">
        <v>31.299700000000001</v>
      </c>
      <c r="Q23" s="93"/>
      <c r="R23" s="96">
        <v>22.852399999999999</v>
      </c>
      <c r="S23" s="93" t="s">
        <v>1461</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1461</v>
      </c>
      <c r="AV23" s="99">
        <v>545.74</v>
      </c>
      <c r="AW23" s="89" t="s">
        <v>39</v>
      </c>
      <c r="AX23" s="89" t="s">
        <v>1462</v>
      </c>
    </row>
    <row r="24" spans="1:50">
      <c r="A24" s="89" t="s">
        <v>1486</v>
      </c>
      <c r="B24" s="89" t="s">
        <v>1487</v>
      </c>
      <c r="C24" s="89" t="s">
        <v>1472</v>
      </c>
      <c r="D24" s="90">
        <v>6056</v>
      </c>
      <c r="E24" s="91">
        <v>60056</v>
      </c>
      <c r="F24" s="89" t="s">
        <v>1454</v>
      </c>
      <c r="G24" s="89" t="s">
        <v>1440</v>
      </c>
      <c r="H24" s="92">
        <v>5121892</v>
      </c>
      <c r="I24" s="93">
        <v>1082</v>
      </c>
      <c r="J24" s="89" t="s">
        <v>1448</v>
      </c>
      <c r="K24" s="89" t="s">
        <v>1442</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1443</v>
      </c>
    </row>
    <row r="25" spans="1:50">
      <c r="A25" s="89" t="s">
        <v>1486</v>
      </c>
      <c r="B25" s="89" t="s">
        <v>1487</v>
      </c>
      <c r="C25" s="89" t="s">
        <v>1472</v>
      </c>
      <c r="D25" s="90">
        <v>6056</v>
      </c>
      <c r="E25" s="91">
        <v>60056</v>
      </c>
      <c r="F25" s="89" t="s">
        <v>1454</v>
      </c>
      <c r="G25" s="89" t="s">
        <v>1440</v>
      </c>
      <c r="H25" s="92">
        <v>5121892</v>
      </c>
      <c r="I25" s="93">
        <v>1082</v>
      </c>
      <c r="J25" s="89" t="s">
        <v>1450</v>
      </c>
      <c r="K25" s="89" t="s">
        <v>1449</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1443</v>
      </c>
    </row>
    <row r="26" spans="1:50">
      <c r="A26" s="89" t="s">
        <v>1488</v>
      </c>
      <c r="B26" s="89" t="s">
        <v>1489</v>
      </c>
      <c r="C26" s="89" t="s">
        <v>1490</v>
      </c>
      <c r="D26" s="90">
        <v>8001</v>
      </c>
      <c r="E26" s="91">
        <v>80001</v>
      </c>
      <c r="F26" s="89" t="s">
        <v>1454</v>
      </c>
      <c r="G26" s="89" t="s">
        <v>1440</v>
      </c>
      <c r="H26" s="92">
        <v>1021243</v>
      </c>
      <c r="I26" s="93">
        <v>1081</v>
      </c>
      <c r="J26" s="89" t="s">
        <v>1448</v>
      </c>
      <c r="K26" s="89" t="s">
        <v>1442</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1443</v>
      </c>
    </row>
    <row r="27" spans="1:50">
      <c r="A27" s="89" t="s">
        <v>1488</v>
      </c>
      <c r="B27" s="89" t="s">
        <v>1489</v>
      </c>
      <c r="C27" s="89" t="s">
        <v>1490</v>
      </c>
      <c r="D27" s="90">
        <v>8001</v>
      </c>
      <c r="E27" s="91">
        <v>80001</v>
      </c>
      <c r="F27" s="89" t="s">
        <v>1454</v>
      </c>
      <c r="G27" s="89" t="s">
        <v>1440</v>
      </c>
      <c r="H27" s="92">
        <v>1021243</v>
      </c>
      <c r="I27" s="93">
        <v>1081</v>
      </c>
      <c r="J27" s="89" t="s">
        <v>1450</v>
      </c>
      <c r="K27" s="89" t="s">
        <v>1442</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1443</v>
      </c>
    </row>
    <row r="28" spans="1:50">
      <c r="A28" s="89" t="s">
        <v>1491</v>
      </c>
      <c r="B28" s="89" t="s">
        <v>1459</v>
      </c>
      <c r="C28" s="89" t="s">
        <v>1460</v>
      </c>
      <c r="D28" s="90">
        <v>5118</v>
      </c>
      <c r="E28" s="91">
        <v>50118</v>
      </c>
      <c r="F28" s="89" t="s">
        <v>1454</v>
      </c>
      <c r="G28" s="89" t="s">
        <v>1440</v>
      </c>
      <c r="H28" s="92">
        <v>8608208</v>
      </c>
      <c r="I28" s="93">
        <v>1066</v>
      </c>
      <c r="J28" s="89" t="s">
        <v>1450</v>
      </c>
      <c r="K28" s="89" t="s">
        <v>1449</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1443</v>
      </c>
    </row>
    <row r="29" spans="1:50">
      <c r="A29" s="89" t="s">
        <v>1491</v>
      </c>
      <c r="B29" s="89" t="s">
        <v>1459</v>
      </c>
      <c r="C29" s="89" t="s">
        <v>1460</v>
      </c>
      <c r="D29" s="90">
        <v>5118</v>
      </c>
      <c r="E29" s="91">
        <v>50118</v>
      </c>
      <c r="F29" s="89" t="s">
        <v>1454</v>
      </c>
      <c r="G29" s="89" t="s">
        <v>1440</v>
      </c>
      <c r="H29" s="92">
        <v>8608208</v>
      </c>
      <c r="I29" s="93">
        <v>1066</v>
      </c>
      <c r="J29" s="89" t="s">
        <v>1450</v>
      </c>
      <c r="K29" s="89" t="s">
        <v>1442</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1443</v>
      </c>
    </row>
    <row r="30" spans="1:50">
      <c r="A30" s="89" t="s">
        <v>1492</v>
      </c>
      <c r="B30" s="89" t="s">
        <v>1493</v>
      </c>
      <c r="C30" s="89" t="s">
        <v>1438</v>
      </c>
      <c r="D30" s="90">
        <v>2100</v>
      </c>
      <c r="E30" s="91">
        <v>20100</v>
      </c>
      <c r="F30" s="89" t="s">
        <v>1439</v>
      </c>
      <c r="G30" s="89" t="s">
        <v>1440</v>
      </c>
      <c r="H30" s="92">
        <v>18351295</v>
      </c>
      <c r="I30" s="93">
        <v>1022</v>
      </c>
      <c r="J30" s="89" t="s">
        <v>1450</v>
      </c>
      <c r="K30" s="89" t="s">
        <v>1442</v>
      </c>
      <c r="L30" s="94">
        <v>1022</v>
      </c>
      <c r="M30" s="89"/>
      <c r="N30" s="95">
        <v>107</v>
      </c>
      <c r="O30" s="93"/>
      <c r="P30" s="96">
        <v>29.212299999999999</v>
      </c>
      <c r="Q30" s="93"/>
      <c r="R30" s="96">
        <v>28.269200000000001</v>
      </c>
      <c r="S30" s="93" t="s">
        <v>1461</v>
      </c>
      <c r="T30" s="96">
        <v>20.565999999999999</v>
      </c>
      <c r="U30" s="93" t="s">
        <v>1461</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1461</v>
      </c>
      <c r="AT30" s="97">
        <v>1229284540</v>
      </c>
      <c r="AU30" s="89" t="s">
        <v>1461</v>
      </c>
      <c r="AV30" s="99">
        <v>638.20000000000005</v>
      </c>
      <c r="AW30" s="89" t="s">
        <v>39</v>
      </c>
      <c r="AX30" s="89" t="s">
        <v>1462</v>
      </c>
    </row>
    <row r="31" spans="1:50">
      <c r="A31" s="89" t="s">
        <v>1494</v>
      </c>
      <c r="B31" s="89" t="s">
        <v>1495</v>
      </c>
      <c r="C31" s="89" t="s">
        <v>1453</v>
      </c>
      <c r="D31" s="90">
        <v>9015</v>
      </c>
      <c r="E31" s="91">
        <v>90015</v>
      </c>
      <c r="F31" s="89" t="s">
        <v>1480</v>
      </c>
      <c r="G31" s="89" t="s">
        <v>1440</v>
      </c>
      <c r="H31" s="92">
        <v>3281212</v>
      </c>
      <c r="I31" s="93">
        <v>996</v>
      </c>
      <c r="J31" s="89" t="s">
        <v>1448</v>
      </c>
      <c r="K31" s="89" t="s">
        <v>1442</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1443</v>
      </c>
    </row>
    <row r="32" spans="1:50">
      <c r="A32" s="89" t="s">
        <v>1496</v>
      </c>
      <c r="B32" s="89" t="s">
        <v>1497</v>
      </c>
      <c r="C32" s="89" t="s">
        <v>1498</v>
      </c>
      <c r="D32" s="90">
        <v>8</v>
      </c>
      <c r="E32" s="91">
        <v>8</v>
      </c>
      <c r="F32" s="89" t="s">
        <v>1454</v>
      </c>
      <c r="G32" s="89" t="s">
        <v>1440</v>
      </c>
      <c r="H32" s="92">
        <v>1849898</v>
      </c>
      <c r="I32" s="93">
        <v>982</v>
      </c>
      <c r="J32" s="89" t="s">
        <v>1448</v>
      </c>
      <c r="K32" s="89" t="s">
        <v>1442</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1443</v>
      </c>
    </row>
    <row r="33" spans="1:50">
      <c r="A33" s="89" t="s">
        <v>1499</v>
      </c>
      <c r="B33" s="89" t="s">
        <v>1500</v>
      </c>
      <c r="C33" s="89" t="s">
        <v>1501</v>
      </c>
      <c r="D33" s="90">
        <v>4022</v>
      </c>
      <c r="E33" s="91">
        <v>40022</v>
      </c>
      <c r="F33" s="89" t="s">
        <v>1454</v>
      </c>
      <c r="G33" s="89" t="s">
        <v>1440</v>
      </c>
      <c r="H33" s="92">
        <v>4515419</v>
      </c>
      <c r="I33" s="93">
        <v>943</v>
      </c>
      <c r="J33" s="89" t="s">
        <v>1441</v>
      </c>
      <c r="K33" s="89" t="s">
        <v>1442</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1443</v>
      </c>
    </row>
    <row r="34" spans="1:50">
      <c r="A34" s="89" t="s">
        <v>1502</v>
      </c>
      <c r="B34" s="89" t="s">
        <v>1503</v>
      </c>
      <c r="C34" s="89" t="s">
        <v>1469</v>
      </c>
      <c r="D34" s="90">
        <v>3022</v>
      </c>
      <c r="E34" s="91">
        <v>30022</v>
      </c>
      <c r="F34" s="89" t="s">
        <v>1454</v>
      </c>
      <c r="G34" s="89" t="s">
        <v>1440</v>
      </c>
      <c r="H34" s="92">
        <v>1733853</v>
      </c>
      <c r="I34" s="93">
        <v>930</v>
      </c>
      <c r="J34" s="89" t="s">
        <v>1448</v>
      </c>
      <c r="K34" s="89" t="s">
        <v>1442</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1443</v>
      </c>
    </row>
    <row r="35" spans="1:50">
      <c r="A35" s="89" t="s">
        <v>1504</v>
      </c>
      <c r="B35" s="89" t="s">
        <v>1505</v>
      </c>
      <c r="C35" s="89" t="s">
        <v>1453</v>
      </c>
      <c r="D35" s="90">
        <v>9026</v>
      </c>
      <c r="E35" s="91">
        <v>90026</v>
      </c>
      <c r="F35" s="89" t="s">
        <v>1454</v>
      </c>
      <c r="G35" s="89" t="s">
        <v>1440</v>
      </c>
      <c r="H35" s="92">
        <v>2956746</v>
      </c>
      <c r="I35" s="93">
        <v>906</v>
      </c>
      <c r="J35" s="89" t="s">
        <v>1448</v>
      </c>
      <c r="K35" s="89" t="s">
        <v>1442</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1443</v>
      </c>
    </row>
    <row r="36" spans="1:50">
      <c r="A36" s="89" t="s">
        <v>1506</v>
      </c>
      <c r="B36" s="89" t="s">
        <v>1507</v>
      </c>
      <c r="C36" s="89" t="s">
        <v>1508</v>
      </c>
      <c r="D36" s="90">
        <v>5027</v>
      </c>
      <c r="E36" s="91">
        <v>50027</v>
      </c>
      <c r="F36" s="89" t="s">
        <v>1439</v>
      </c>
      <c r="G36" s="89" t="s">
        <v>1440</v>
      </c>
      <c r="H36" s="92">
        <v>2650890</v>
      </c>
      <c r="I36" s="93">
        <v>823</v>
      </c>
      <c r="J36" s="89" t="s">
        <v>1448</v>
      </c>
      <c r="K36" s="89" t="s">
        <v>1442</v>
      </c>
      <c r="L36" s="94">
        <v>76</v>
      </c>
      <c r="M36" s="89"/>
      <c r="N36" s="95">
        <v>23</v>
      </c>
      <c r="O36" s="93"/>
      <c r="P36" s="96">
        <v>11.985900000000001</v>
      </c>
      <c r="Q36" s="93"/>
      <c r="R36" s="96">
        <v>3.9723999999999999</v>
      </c>
      <c r="S36" s="93" t="s">
        <v>1461</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1461</v>
      </c>
      <c r="AV36" s="99">
        <v>44.26</v>
      </c>
      <c r="AW36" s="89" t="s">
        <v>39</v>
      </c>
      <c r="AX36" s="89" t="s">
        <v>1462</v>
      </c>
    </row>
    <row r="37" spans="1:50">
      <c r="A37" s="89" t="s">
        <v>1506</v>
      </c>
      <c r="B37" s="89" t="s">
        <v>1507</v>
      </c>
      <c r="C37" s="89" t="s">
        <v>1508</v>
      </c>
      <c r="D37" s="90">
        <v>5027</v>
      </c>
      <c r="E37" s="91">
        <v>50027</v>
      </c>
      <c r="F37" s="89" t="s">
        <v>1439</v>
      </c>
      <c r="G37" s="89" t="s">
        <v>1440</v>
      </c>
      <c r="H37" s="92">
        <v>2650890</v>
      </c>
      <c r="I37" s="93">
        <v>823</v>
      </c>
      <c r="J37" s="89" t="s">
        <v>1450</v>
      </c>
      <c r="K37" s="89" t="s">
        <v>1449</v>
      </c>
      <c r="L37" s="94">
        <v>20</v>
      </c>
      <c r="M37" s="89"/>
      <c r="N37" s="95">
        <v>4</v>
      </c>
      <c r="O37" s="93"/>
      <c r="P37" s="96">
        <v>43.768999999999998</v>
      </c>
      <c r="Q37" s="93"/>
      <c r="R37" s="96">
        <v>24.702500000000001</v>
      </c>
      <c r="S37" s="93" t="s">
        <v>1461</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1461</v>
      </c>
      <c r="AV37" s="99">
        <v>77.900000000000006</v>
      </c>
      <c r="AW37" s="89" t="s">
        <v>39</v>
      </c>
      <c r="AX37" s="89" t="s">
        <v>1462</v>
      </c>
    </row>
    <row r="38" spans="1:50">
      <c r="A38" s="89" t="s">
        <v>1509</v>
      </c>
      <c r="B38" s="89" t="s">
        <v>1510</v>
      </c>
      <c r="C38" s="89" t="s">
        <v>1453</v>
      </c>
      <c r="D38" s="90">
        <v>9013</v>
      </c>
      <c r="E38" s="91">
        <v>90013</v>
      </c>
      <c r="F38" s="89" t="s">
        <v>1454</v>
      </c>
      <c r="G38" s="89" t="s">
        <v>1440</v>
      </c>
      <c r="H38" s="92">
        <v>1664496</v>
      </c>
      <c r="I38" s="93">
        <v>635</v>
      </c>
      <c r="J38" s="89" t="s">
        <v>1448</v>
      </c>
      <c r="K38" s="89" t="s">
        <v>1442</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1443</v>
      </c>
    </row>
    <row r="39" spans="1:50">
      <c r="A39" s="89" t="s">
        <v>1511</v>
      </c>
      <c r="B39" s="89" t="s">
        <v>1512</v>
      </c>
      <c r="C39" s="89" t="s">
        <v>1453</v>
      </c>
      <c r="D39" s="90">
        <v>9003</v>
      </c>
      <c r="E39" s="91">
        <v>90003</v>
      </c>
      <c r="F39" s="89" t="s">
        <v>1454</v>
      </c>
      <c r="G39" s="89" t="s">
        <v>1440</v>
      </c>
      <c r="H39" s="92">
        <v>3281212</v>
      </c>
      <c r="I39" s="93">
        <v>616</v>
      </c>
      <c r="J39" s="89" t="s">
        <v>1441</v>
      </c>
      <c r="K39" s="89" t="s">
        <v>1442</v>
      </c>
      <c r="L39" s="94">
        <v>599</v>
      </c>
      <c r="M39" s="89"/>
      <c r="N39" s="95">
        <v>56</v>
      </c>
      <c r="O39" s="93"/>
      <c r="P39" s="96">
        <v>34.829900000000002</v>
      </c>
      <c r="Q39" s="93" t="s">
        <v>1461</v>
      </c>
      <c r="R39" s="96">
        <v>13.962999999999999</v>
      </c>
      <c r="S39" s="93"/>
      <c r="T39" s="96">
        <v>44.260899999999999</v>
      </c>
      <c r="U39" s="93" t="s">
        <v>1461</v>
      </c>
      <c r="V39" s="92">
        <v>69597595</v>
      </c>
      <c r="W39" s="93"/>
      <c r="X39" s="97">
        <v>72050709</v>
      </c>
      <c r="Y39" s="93"/>
      <c r="Z39" s="92">
        <v>69799195</v>
      </c>
      <c r="AA39" s="93"/>
      <c r="AB39" s="92">
        <v>2251514</v>
      </c>
      <c r="AC39" s="93"/>
      <c r="AD39" s="92">
        <v>2377255</v>
      </c>
      <c r="AE39" s="93"/>
      <c r="AF39" s="92">
        <v>2004002</v>
      </c>
      <c r="AG39" s="93" t="s">
        <v>1461</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1462</v>
      </c>
    </row>
    <row r="40" spans="1:50">
      <c r="A40" s="89" t="s">
        <v>1513</v>
      </c>
      <c r="B40" s="89" t="s">
        <v>1514</v>
      </c>
      <c r="C40" s="89" t="s">
        <v>1515</v>
      </c>
      <c r="D40" s="90">
        <v>7006</v>
      </c>
      <c r="E40" s="91">
        <v>70006</v>
      </c>
      <c r="F40" s="89" t="s">
        <v>1454</v>
      </c>
      <c r="G40" s="89" t="s">
        <v>1440</v>
      </c>
      <c r="H40" s="92">
        <v>2150706</v>
      </c>
      <c r="I40" s="93">
        <v>493</v>
      </c>
      <c r="J40" s="89" t="s">
        <v>1448</v>
      </c>
      <c r="K40" s="89" t="s">
        <v>1442</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1443</v>
      </c>
    </row>
    <row r="41" spans="1:50">
      <c r="A41" s="89" t="s">
        <v>1516</v>
      </c>
      <c r="B41" s="89" t="s">
        <v>1517</v>
      </c>
      <c r="C41" s="89" t="s">
        <v>1518</v>
      </c>
      <c r="D41" s="90">
        <v>5015</v>
      </c>
      <c r="E41" s="91">
        <v>50015</v>
      </c>
      <c r="F41" s="89" t="s">
        <v>1454</v>
      </c>
      <c r="G41" s="89" t="s">
        <v>1440</v>
      </c>
      <c r="H41" s="92">
        <v>1780673</v>
      </c>
      <c r="I41" s="93">
        <v>418</v>
      </c>
      <c r="J41" s="89" t="s">
        <v>1448</v>
      </c>
      <c r="K41" s="89" t="s">
        <v>1442</v>
      </c>
      <c r="L41" s="94">
        <v>6</v>
      </c>
      <c r="M41" s="89"/>
      <c r="N41" s="95">
        <v>6</v>
      </c>
      <c r="O41" s="93"/>
      <c r="P41" s="96">
        <v>14.0802</v>
      </c>
      <c r="Q41" s="93"/>
      <c r="R41" s="96">
        <v>3.5057</v>
      </c>
      <c r="S41" s="93" t="s">
        <v>1461</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1461</v>
      </c>
      <c r="AV41" s="99">
        <v>30.38</v>
      </c>
      <c r="AW41" s="89" t="s">
        <v>39</v>
      </c>
      <c r="AX41" s="89" t="s">
        <v>1462</v>
      </c>
    </row>
    <row r="42" spans="1:50">
      <c r="A42" s="89" t="s">
        <v>1516</v>
      </c>
      <c r="B42" s="89" t="s">
        <v>1517</v>
      </c>
      <c r="C42" s="89" t="s">
        <v>1518</v>
      </c>
      <c r="D42" s="90">
        <v>5015</v>
      </c>
      <c r="E42" s="91">
        <v>50015</v>
      </c>
      <c r="F42" s="89" t="s">
        <v>1454</v>
      </c>
      <c r="G42" s="89" t="s">
        <v>1440</v>
      </c>
      <c r="H42" s="92">
        <v>1780673</v>
      </c>
      <c r="I42" s="93">
        <v>418</v>
      </c>
      <c r="J42" s="89" t="s">
        <v>1441</v>
      </c>
      <c r="K42" s="89" t="s">
        <v>1442</v>
      </c>
      <c r="L42" s="94">
        <v>16</v>
      </c>
      <c r="M42" s="89"/>
      <c r="N42" s="95">
        <v>8</v>
      </c>
      <c r="O42" s="93"/>
      <c r="P42" s="96">
        <v>19.014700000000001</v>
      </c>
      <c r="Q42" s="93"/>
      <c r="R42" s="96">
        <v>6.9599000000000002</v>
      </c>
      <c r="S42" s="93" t="s">
        <v>1461</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1461</v>
      </c>
      <c r="AV42" s="99">
        <v>38.08</v>
      </c>
      <c r="AW42" s="89" t="s">
        <v>39</v>
      </c>
      <c r="AX42" s="89" t="s">
        <v>1462</v>
      </c>
    </row>
    <row r="43" spans="1:50">
      <c r="A43" s="89" t="s">
        <v>1519</v>
      </c>
      <c r="B43" s="89" t="s">
        <v>1520</v>
      </c>
      <c r="C43" s="89" t="s">
        <v>1521</v>
      </c>
      <c r="D43" s="90">
        <v>3083</v>
      </c>
      <c r="E43" s="91">
        <v>30083</v>
      </c>
      <c r="F43" s="89" t="s">
        <v>1454</v>
      </c>
      <c r="G43" s="89" t="s">
        <v>1440</v>
      </c>
      <c r="H43" s="92">
        <v>1439666</v>
      </c>
      <c r="I43" s="93">
        <v>417</v>
      </c>
      <c r="J43" s="89" t="s">
        <v>1448</v>
      </c>
      <c r="K43" s="89" t="s">
        <v>1442</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1443</v>
      </c>
    </row>
    <row r="44" spans="1:50">
      <c r="A44" s="89" t="s">
        <v>1522</v>
      </c>
      <c r="B44" s="89" t="s">
        <v>1523</v>
      </c>
      <c r="C44" s="89" t="s">
        <v>1524</v>
      </c>
      <c r="D44" s="90">
        <v>4008</v>
      </c>
      <c r="E44" s="91">
        <v>40008</v>
      </c>
      <c r="F44" s="89" t="s">
        <v>1480</v>
      </c>
      <c r="G44" s="89" t="s">
        <v>1440</v>
      </c>
      <c r="H44" s="92">
        <v>1249442</v>
      </c>
      <c r="I44" s="93">
        <v>409</v>
      </c>
      <c r="J44" s="89" t="s">
        <v>1448</v>
      </c>
      <c r="K44" s="89" t="s">
        <v>1442</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1443</v>
      </c>
    </row>
    <row r="45" spans="1:50">
      <c r="A45" s="89" t="s">
        <v>1525</v>
      </c>
      <c r="B45" s="89" t="s">
        <v>1526</v>
      </c>
      <c r="C45" s="89" t="s">
        <v>1527</v>
      </c>
      <c r="D45" s="90">
        <v>40</v>
      </c>
      <c r="E45" s="91">
        <v>40</v>
      </c>
      <c r="F45" s="89" t="s">
        <v>1454</v>
      </c>
      <c r="G45" s="89" t="s">
        <v>1440</v>
      </c>
      <c r="H45" s="92">
        <v>3059393</v>
      </c>
      <c r="I45" s="93">
        <v>381</v>
      </c>
      <c r="J45" s="89" t="s">
        <v>1448</v>
      </c>
      <c r="K45" s="89" t="s">
        <v>1442</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1443</v>
      </c>
    </row>
    <row r="46" spans="1:50">
      <c r="A46" s="89" t="s">
        <v>1525</v>
      </c>
      <c r="B46" s="89" t="s">
        <v>1526</v>
      </c>
      <c r="C46" s="89" t="s">
        <v>1527</v>
      </c>
      <c r="D46" s="90">
        <v>40</v>
      </c>
      <c r="E46" s="91">
        <v>40</v>
      </c>
      <c r="F46" s="89" t="s">
        <v>1454</v>
      </c>
      <c r="G46" s="89" t="s">
        <v>1440</v>
      </c>
      <c r="H46" s="92">
        <v>3059393</v>
      </c>
      <c r="I46" s="93">
        <v>381</v>
      </c>
      <c r="J46" s="89" t="s">
        <v>1450</v>
      </c>
      <c r="K46" s="89" t="s">
        <v>1449</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1443</v>
      </c>
    </row>
    <row r="47" spans="1:50">
      <c r="A47" s="89" t="s">
        <v>1528</v>
      </c>
      <c r="B47" s="89" t="s">
        <v>1529</v>
      </c>
      <c r="C47" s="89" t="s">
        <v>1438</v>
      </c>
      <c r="D47" s="90">
        <v>2004</v>
      </c>
      <c r="E47" s="91">
        <v>20004</v>
      </c>
      <c r="F47" s="89" t="s">
        <v>1454</v>
      </c>
      <c r="G47" s="89" t="s">
        <v>1440</v>
      </c>
      <c r="H47" s="92">
        <v>935906</v>
      </c>
      <c r="I47" s="93">
        <v>359</v>
      </c>
      <c r="J47" s="89" t="s">
        <v>1448</v>
      </c>
      <c r="K47" s="89" t="s">
        <v>1442</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1443</v>
      </c>
    </row>
    <row r="48" spans="1:50">
      <c r="A48" s="89" t="s">
        <v>1530</v>
      </c>
      <c r="B48" s="89" t="s">
        <v>1531</v>
      </c>
      <c r="C48" s="89" t="s">
        <v>1453</v>
      </c>
      <c r="D48" s="90">
        <v>9019</v>
      </c>
      <c r="E48" s="91">
        <v>90019</v>
      </c>
      <c r="F48" s="89" t="s">
        <v>1454</v>
      </c>
      <c r="G48" s="89" t="s">
        <v>1440</v>
      </c>
      <c r="H48" s="92">
        <v>1723634</v>
      </c>
      <c r="I48" s="93">
        <v>331</v>
      </c>
      <c r="J48" s="89" t="s">
        <v>1448</v>
      </c>
      <c r="K48" s="89" t="s">
        <v>1442</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1443</v>
      </c>
    </row>
    <row r="49" spans="1:50">
      <c r="A49" s="89" t="s">
        <v>1532</v>
      </c>
      <c r="B49" s="89" t="s">
        <v>1533</v>
      </c>
      <c r="C49" s="89" t="s">
        <v>1472</v>
      </c>
      <c r="D49" s="90">
        <v>6007</v>
      </c>
      <c r="E49" s="91">
        <v>60007</v>
      </c>
      <c r="F49" s="89" t="s">
        <v>1454</v>
      </c>
      <c r="G49" s="89" t="s">
        <v>1440</v>
      </c>
      <c r="H49" s="92">
        <v>5121892</v>
      </c>
      <c r="I49" s="93">
        <v>312</v>
      </c>
      <c r="J49" s="89" t="s">
        <v>1450</v>
      </c>
      <c r="K49" s="89" t="s">
        <v>1449</v>
      </c>
      <c r="L49" s="94">
        <v>20</v>
      </c>
      <c r="M49" s="89"/>
      <c r="N49" s="95">
        <v>5</v>
      </c>
      <c r="O49" s="93"/>
      <c r="P49" s="96">
        <v>19.5091</v>
      </c>
      <c r="Q49" s="93"/>
      <c r="R49" s="96">
        <v>15.8208</v>
      </c>
      <c r="S49" s="93" t="s">
        <v>1466</v>
      </c>
      <c r="T49" s="96">
        <v>2.8578999999999999</v>
      </c>
      <c r="U49" s="93" t="s">
        <v>1466</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1466</v>
      </c>
      <c r="AN49" s="92">
        <v>30128</v>
      </c>
      <c r="AO49" s="93"/>
      <c r="AP49" s="98">
        <v>29743</v>
      </c>
      <c r="AQ49" s="93" t="s">
        <v>1466</v>
      </c>
      <c r="AR49" s="92">
        <v>340008</v>
      </c>
      <c r="AS49" s="93" t="s">
        <v>1466</v>
      </c>
      <c r="AT49" s="97">
        <v>5379214</v>
      </c>
      <c r="AU49" s="89" t="s">
        <v>1466</v>
      </c>
      <c r="AV49" s="99">
        <v>52.34</v>
      </c>
      <c r="AW49" s="89" t="s">
        <v>39</v>
      </c>
      <c r="AX49" s="89" t="s">
        <v>1462</v>
      </c>
    </row>
    <row r="50" spans="1:50">
      <c r="A50" s="89" t="s">
        <v>1534</v>
      </c>
      <c r="B50" s="89" t="s">
        <v>1485</v>
      </c>
      <c r="C50" s="89" t="s">
        <v>1446</v>
      </c>
      <c r="D50" s="90">
        <v>2098</v>
      </c>
      <c r="E50" s="91">
        <v>20098</v>
      </c>
      <c r="F50" s="89" t="s">
        <v>1454</v>
      </c>
      <c r="G50" s="89" t="s">
        <v>1440</v>
      </c>
      <c r="H50" s="92">
        <v>18351295</v>
      </c>
      <c r="I50" s="93">
        <v>310</v>
      </c>
      <c r="J50" s="89" t="s">
        <v>1441</v>
      </c>
      <c r="K50" s="89" t="s">
        <v>1442</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1443</v>
      </c>
    </row>
    <row r="51" spans="1:50">
      <c r="A51" s="89" t="s">
        <v>1535</v>
      </c>
      <c r="B51" s="89" t="s">
        <v>1536</v>
      </c>
      <c r="C51" s="89" t="s">
        <v>1453</v>
      </c>
      <c r="D51" s="90">
        <v>9030</v>
      </c>
      <c r="E51" s="91">
        <v>90030</v>
      </c>
      <c r="F51" s="89" t="s">
        <v>1454</v>
      </c>
      <c r="G51" s="89" t="s">
        <v>1440</v>
      </c>
      <c r="H51" s="92">
        <v>2956746</v>
      </c>
      <c r="I51" s="93">
        <v>205</v>
      </c>
      <c r="J51" s="89" t="s">
        <v>1450</v>
      </c>
      <c r="K51" s="89" t="s">
        <v>1449</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1443</v>
      </c>
    </row>
    <row r="52" spans="1:50">
      <c r="A52" s="89" t="s">
        <v>1537</v>
      </c>
      <c r="B52" s="89" t="s">
        <v>1452</v>
      </c>
      <c r="C52" s="89" t="s">
        <v>1453</v>
      </c>
      <c r="D52" s="90">
        <v>9151</v>
      </c>
      <c r="E52" s="91">
        <v>90151</v>
      </c>
      <c r="F52" s="89" t="s">
        <v>1454</v>
      </c>
      <c r="G52" s="89" t="s">
        <v>1440</v>
      </c>
      <c r="H52" s="92">
        <v>12150996</v>
      </c>
      <c r="I52" s="93">
        <v>195</v>
      </c>
      <c r="J52" s="89" t="s">
        <v>1450</v>
      </c>
      <c r="K52" s="89" t="s">
        <v>1449</v>
      </c>
      <c r="L52" s="94">
        <v>195</v>
      </c>
      <c r="M52" s="89"/>
      <c r="N52" s="95">
        <v>40</v>
      </c>
      <c r="O52" s="93"/>
      <c r="P52" s="96">
        <v>36.3401</v>
      </c>
      <c r="Q52" s="93"/>
      <c r="R52" s="96">
        <v>34.358199999999997</v>
      </c>
      <c r="S52" s="93" t="s">
        <v>1461</v>
      </c>
      <c r="T52" s="96">
        <v>26.057400000000001</v>
      </c>
      <c r="U52" s="93" t="s">
        <v>1461</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1461</v>
      </c>
      <c r="AT52" s="97">
        <v>321490316</v>
      </c>
      <c r="AU52" s="89" t="s">
        <v>1461</v>
      </c>
      <c r="AV52" s="99">
        <v>826.8</v>
      </c>
      <c r="AW52" s="89" t="s">
        <v>39</v>
      </c>
      <c r="AX52" s="89" t="s">
        <v>1462</v>
      </c>
    </row>
    <row r="53" spans="1:50">
      <c r="A53" s="89" t="s">
        <v>1538</v>
      </c>
      <c r="B53" s="89" t="s">
        <v>1539</v>
      </c>
      <c r="C53" s="89" t="s">
        <v>1453</v>
      </c>
      <c r="D53" s="90">
        <v>9134</v>
      </c>
      <c r="E53" s="91">
        <v>90134</v>
      </c>
      <c r="F53" s="89" t="s">
        <v>1454</v>
      </c>
      <c r="G53" s="89" t="s">
        <v>1440</v>
      </c>
      <c r="H53" s="92">
        <v>3281212</v>
      </c>
      <c r="I53" s="93">
        <v>141</v>
      </c>
      <c r="J53" s="89" t="s">
        <v>1450</v>
      </c>
      <c r="K53" s="89" t="s">
        <v>1449</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1443</v>
      </c>
    </row>
    <row r="54" spans="1:50">
      <c r="A54" s="89" t="s">
        <v>1540</v>
      </c>
      <c r="B54" s="89" t="s">
        <v>1541</v>
      </c>
      <c r="C54" s="89" t="s">
        <v>1521</v>
      </c>
      <c r="D54" s="90">
        <v>3073</v>
      </c>
      <c r="E54" s="91">
        <v>30073</v>
      </c>
      <c r="F54" s="89" t="s">
        <v>1454</v>
      </c>
      <c r="G54" s="89" t="s">
        <v>1440</v>
      </c>
      <c r="H54" s="92">
        <v>4586770</v>
      </c>
      <c r="I54" s="93">
        <v>99</v>
      </c>
      <c r="J54" s="89" t="s">
        <v>1450</v>
      </c>
      <c r="K54" s="89" t="s">
        <v>1449</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1443</v>
      </c>
    </row>
    <row r="55" spans="1:50">
      <c r="A55" s="89" t="s">
        <v>1542</v>
      </c>
      <c r="B55" s="89" t="s">
        <v>1543</v>
      </c>
      <c r="C55" s="89" t="s">
        <v>1446</v>
      </c>
      <c r="D55" s="90">
        <v>2075</v>
      </c>
      <c r="E55" s="91">
        <v>20075</v>
      </c>
      <c r="F55" s="89" t="s">
        <v>1454</v>
      </c>
      <c r="G55" s="89" t="s">
        <v>1440</v>
      </c>
      <c r="H55" s="92">
        <v>5441567</v>
      </c>
      <c r="I55" s="93">
        <v>78</v>
      </c>
      <c r="J55" s="89" t="s">
        <v>1441</v>
      </c>
      <c r="K55" s="89" t="s">
        <v>1442</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1443</v>
      </c>
    </row>
    <row r="56" spans="1:50">
      <c r="A56" s="89" t="s">
        <v>1544</v>
      </c>
      <c r="B56" s="89" t="s">
        <v>1545</v>
      </c>
      <c r="C56" s="89" t="s">
        <v>1546</v>
      </c>
      <c r="D56" s="90">
        <v>5104</v>
      </c>
      <c r="E56" s="91">
        <v>50104</v>
      </c>
      <c r="F56" s="89" t="s">
        <v>1454</v>
      </c>
      <c r="G56" s="89" t="s">
        <v>1440</v>
      </c>
      <c r="H56" s="92">
        <v>8608208</v>
      </c>
      <c r="I56" s="93">
        <v>70</v>
      </c>
      <c r="J56" s="89" t="s">
        <v>1450</v>
      </c>
      <c r="K56" s="89" t="s">
        <v>1442</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1443</v>
      </c>
    </row>
    <row r="57" spans="1:50">
      <c r="A57" s="89" t="s">
        <v>1547</v>
      </c>
      <c r="B57" s="89" t="s">
        <v>1548</v>
      </c>
      <c r="C57" s="89" t="s">
        <v>1479</v>
      </c>
      <c r="D57" s="90">
        <v>4077</v>
      </c>
      <c r="E57" s="91">
        <v>40077</v>
      </c>
      <c r="F57" s="89" t="s">
        <v>1454</v>
      </c>
      <c r="G57" s="89" t="s">
        <v>1440</v>
      </c>
      <c r="H57" s="92">
        <v>5502379</v>
      </c>
      <c r="I57" s="93">
        <v>65</v>
      </c>
      <c r="J57" s="89" t="s">
        <v>1450</v>
      </c>
      <c r="K57" s="89" t="s">
        <v>1449</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1443</v>
      </c>
    </row>
    <row r="58" spans="1:50">
      <c r="A58" s="89" t="s">
        <v>1549</v>
      </c>
      <c r="B58" s="89" t="s">
        <v>1550</v>
      </c>
      <c r="C58" s="89" t="s">
        <v>1551</v>
      </c>
      <c r="D58" s="90">
        <v>6111</v>
      </c>
      <c r="E58" s="91">
        <v>60111</v>
      </c>
      <c r="F58" s="89" t="s">
        <v>1454</v>
      </c>
      <c r="G58" s="89" t="s">
        <v>1440</v>
      </c>
      <c r="H58" s="92">
        <v>741318</v>
      </c>
      <c r="I58" s="93">
        <v>58</v>
      </c>
      <c r="J58" s="89" t="s">
        <v>1450</v>
      </c>
      <c r="K58" s="89" t="s">
        <v>1449</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1443</v>
      </c>
    </row>
    <row r="59" spans="1:50">
      <c r="A59" s="89" t="s">
        <v>1552</v>
      </c>
      <c r="B59" s="89" t="s">
        <v>1553</v>
      </c>
      <c r="C59" s="89" t="s">
        <v>1554</v>
      </c>
      <c r="D59" s="90">
        <v>4094</v>
      </c>
      <c r="E59" s="91">
        <v>40094</v>
      </c>
      <c r="F59" s="89" t="s">
        <v>1476</v>
      </c>
      <c r="G59" s="89" t="s">
        <v>1440</v>
      </c>
      <c r="H59" s="92">
        <v>2148346</v>
      </c>
      <c r="I59" s="93">
        <v>54</v>
      </c>
      <c r="J59" s="89" t="s">
        <v>1441</v>
      </c>
      <c r="K59" s="89" t="s">
        <v>1449</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1443</v>
      </c>
    </row>
    <row r="60" spans="1:50">
      <c r="A60" s="89" t="s">
        <v>1555</v>
      </c>
      <c r="B60" s="89" t="s">
        <v>1556</v>
      </c>
      <c r="C60" s="89" t="s">
        <v>1557</v>
      </c>
      <c r="D60" s="90">
        <v>4159</v>
      </c>
      <c r="E60" s="91">
        <v>40159</v>
      </c>
      <c r="F60" s="89" t="s">
        <v>1454</v>
      </c>
      <c r="G60" s="89" t="s">
        <v>1440</v>
      </c>
      <c r="H60" s="92">
        <v>969587</v>
      </c>
      <c r="I60" s="93">
        <v>46</v>
      </c>
      <c r="J60" s="89" t="s">
        <v>1450</v>
      </c>
      <c r="K60" s="89" t="s">
        <v>1449</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1443</v>
      </c>
    </row>
    <row r="61" spans="1:50">
      <c r="A61" s="89" t="s">
        <v>1558</v>
      </c>
      <c r="B61" s="89" t="s">
        <v>1559</v>
      </c>
      <c r="C61" s="89" t="s">
        <v>1438</v>
      </c>
      <c r="D61" s="90">
        <v>2099</v>
      </c>
      <c r="E61" s="91">
        <v>20099</v>
      </c>
      <c r="F61" s="89" t="s">
        <v>1439</v>
      </c>
      <c r="G61" s="89" t="s">
        <v>1440</v>
      </c>
      <c r="H61" s="92">
        <v>18351295</v>
      </c>
      <c r="I61" s="93">
        <v>44</v>
      </c>
      <c r="J61" s="89" t="s">
        <v>1441</v>
      </c>
      <c r="K61" s="89" t="s">
        <v>1442</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1443</v>
      </c>
    </row>
    <row r="62" spans="1:50">
      <c r="A62" s="89" t="s">
        <v>1560</v>
      </c>
      <c r="B62" s="89" t="s">
        <v>1561</v>
      </c>
      <c r="C62" s="89" t="s">
        <v>1562</v>
      </c>
      <c r="D62" s="90">
        <v>1102</v>
      </c>
      <c r="E62" s="91">
        <v>10102</v>
      </c>
      <c r="F62" s="89" t="s">
        <v>1476</v>
      </c>
      <c r="G62" s="89" t="s">
        <v>1440</v>
      </c>
      <c r="H62" s="92">
        <v>924859</v>
      </c>
      <c r="I62" s="93">
        <v>43</v>
      </c>
      <c r="J62" s="89" t="s">
        <v>1450</v>
      </c>
      <c r="K62" s="89" t="s">
        <v>1449</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1443</v>
      </c>
    </row>
    <row r="63" spans="1:50">
      <c r="A63" s="89" t="s">
        <v>1563</v>
      </c>
      <c r="B63" s="89" t="s">
        <v>1564</v>
      </c>
      <c r="C63" s="89" t="s">
        <v>1565</v>
      </c>
      <c r="D63" s="90">
        <v>9209</v>
      </c>
      <c r="E63" s="91">
        <v>90209</v>
      </c>
      <c r="F63" s="89" t="s">
        <v>1447</v>
      </c>
      <c r="G63" s="89" t="s">
        <v>1440</v>
      </c>
      <c r="H63" s="92">
        <v>3629114</v>
      </c>
      <c r="I63" s="93">
        <v>38</v>
      </c>
      <c r="J63" s="89" t="s">
        <v>1448</v>
      </c>
      <c r="K63" s="89" t="s">
        <v>1449</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1443</v>
      </c>
    </row>
    <row r="64" spans="1:50">
      <c r="A64" s="89" t="s">
        <v>1566</v>
      </c>
      <c r="B64" s="89" t="s">
        <v>1567</v>
      </c>
      <c r="C64" s="89" t="s">
        <v>1453</v>
      </c>
      <c r="D64" s="90">
        <v>9182</v>
      </c>
      <c r="E64" s="91">
        <v>90182</v>
      </c>
      <c r="F64" s="89" t="s">
        <v>1454</v>
      </c>
      <c r="G64" s="89" t="s">
        <v>1440</v>
      </c>
      <c r="H64" s="92">
        <v>370583</v>
      </c>
      <c r="I64" s="93">
        <v>35</v>
      </c>
      <c r="J64" s="89" t="s">
        <v>1450</v>
      </c>
      <c r="K64" s="89" t="s">
        <v>1449</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1443</v>
      </c>
    </row>
    <row r="65" spans="1:50">
      <c r="A65" s="89" t="s">
        <v>1568</v>
      </c>
      <c r="B65" s="89" t="s">
        <v>1569</v>
      </c>
      <c r="C65" s="89" t="s">
        <v>1479</v>
      </c>
      <c r="D65" s="90">
        <v>4232</v>
      </c>
      <c r="E65" s="91">
        <v>40232</v>
      </c>
      <c r="F65" s="89" t="s">
        <v>1476</v>
      </c>
      <c r="G65" s="89" t="s">
        <v>1440</v>
      </c>
      <c r="H65" s="92">
        <v>1510516</v>
      </c>
      <c r="I65" s="93">
        <v>25</v>
      </c>
      <c r="J65" s="89" t="s">
        <v>1450</v>
      </c>
      <c r="K65" s="89" t="s">
        <v>1449</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1443</v>
      </c>
    </row>
    <row r="66" spans="1:50">
      <c r="A66" s="89" t="s">
        <v>1570</v>
      </c>
      <c r="B66" s="89" t="s">
        <v>1497</v>
      </c>
      <c r="C66" s="89" t="s">
        <v>1571</v>
      </c>
      <c r="D66" s="90">
        <v>1115</v>
      </c>
      <c r="E66" s="91">
        <v>10115</v>
      </c>
      <c r="F66" s="89" t="s">
        <v>1454</v>
      </c>
      <c r="G66" s="89" t="s">
        <v>1440</v>
      </c>
      <c r="H66" s="92">
        <v>203914</v>
      </c>
      <c r="I66" s="93">
        <v>21</v>
      </c>
      <c r="J66" s="89" t="s">
        <v>1450</v>
      </c>
      <c r="K66" s="89" t="s">
        <v>1449</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1443</v>
      </c>
    </row>
    <row r="67" spans="1:50">
      <c r="A67" s="89" t="s">
        <v>1572</v>
      </c>
      <c r="B67" s="89" t="s">
        <v>1573</v>
      </c>
      <c r="C67" s="89" t="s">
        <v>1469</v>
      </c>
      <c r="D67" s="90">
        <v>3057</v>
      </c>
      <c r="E67" s="91">
        <v>30057</v>
      </c>
      <c r="F67" s="89" t="s">
        <v>1476</v>
      </c>
      <c r="G67" s="89" t="s">
        <v>1440</v>
      </c>
      <c r="H67" s="92">
        <v>5441567</v>
      </c>
      <c r="I67" s="93">
        <v>20</v>
      </c>
      <c r="J67" s="89" t="s">
        <v>1450</v>
      </c>
      <c r="K67" s="89" t="s">
        <v>1449</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1443</v>
      </c>
    </row>
    <row r="68" spans="1:50">
      <c r="A68" s="89" t="s">
        <v>1574</v>
      </c>
      <c r="B68" s="89" t="s">
        <v>1575</v>
      </c>
      <c r="C68" s="89" t="s">
        <v>1453</v>
      </c>
      <c r="D68" s="90"/>
      <c r="E68" s="91">
        <v>90299</v>
      </c>
      <c r="F68" s="89" t="s">
        <v>1454</v>
      </c>
      <c r="G68" s="89" t="s">
        <v>1440</v>
      </c>
      <c r="H68" s="92">
        <v>308231</v>
      </c>
      <c r="I68" s="93">
        <v>12</v>
      </c>
      <c r="J68" s="89" t="s">
        <v>1450</v>
      </c>
      <c r="K68" s="89" t="s">
        <v>1442</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1443</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topLeftCell="C1" workbookViewId="0">
      <selection activeCell="AL23" sqref="AL23"/>
    </sheetView>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1386</v>
      </c>
      <c r="B1" s="102" t="s">
        <v>1387</v>
      </c>
      <c r="C1" s="103" t="s">
        <v>1388</v>
      </c>
      <c r="D1" s="104" t="s">
        <v>1389</v>
      </c>
      <c r="E1" s="105" t="s">
        <v>1390</v>
      </c>
      <c r="F1" s="106" t="s">
        <v>1391</v>
      </c>
      <c r="G1" s="107" t="s">
        <v>1393</v>
      </c>
      <c r="H1" s="107" t="s">
        <v>1394</v>
      </c>
      <c r="I1" s="106" t="s">
        <v>1395</v>
      </c>
      <c r="J1" s="106" t="s">
        <v>1576</v>
      </c>
      <c r="K1" s="106" t="s">
        <v>1397</v>
      </c>
      <c r="L1" s="106" t="s">
        <v>1577</v>
      </c>
      <c r="M1" s="107" t="s">
        <v>1578</v>
      </c>
      <c r="N1" s="107" t="s">
        <v>1579</v>
      </c>
      <c r="O1" s="107" t="s">
        <v>1580</v>
      </c>
      <c r="P1" s="107" t="s">
        <v>1581</v>
      </c>
      <c r="Q1" s="107" t="s">
        <v>1582</v>
      </c>
      <c r="R1" s="107" t="s">
        <v>1583</v>
      </c>
      <c r="S1" s="107" t="s">
        <v>1584</v>
      </c>
      <c r="T1" s="107" t="s">
        <v>1585</v>
      </c>
      <c r="U1" s="107" t="s">
        <v>1586</v>
      </c>
      <c r="V1" s="107" t="s">
        <v>1587</v>
      </c>
      <c r="W1" s="107" t="s">
        <v>1588</v>
      </c>
      <c r="X1" s="107" t="s">
        <v>1589</v>
      </c>
      <c r="Y1" s="107" t="s">
        <v>1590</v>
      </c>
      <c r="Z1" s="107" t="s">
        <v>1591</v>
      </c>
      <c r="AA1" s="107" t="s">
        <v>1592</v>
      </c>
      <c r="AB1" s="107" t="s">
        <v>1593</v>
      </c>
      <c r="AC1" s="108" t="s">
        <v>1594</v>
      </c>
      <c r="AD1" s="109" t="s">
        <v>202</v>
      </c>
      <c r="AE1" s="109" t="s">
        <v>1595</v>
      </c>
      <c r="AF1" s="109" t="s">
        <v>1596</v>
      </c>
      <c r="AG1" s="109" t="s">
        <v>1597</v>
      </c>
      <c r="AH1" s="109" t="s">
        <v>1598</v>
      </c>
      <c r="AI1" s="109" t="s">
        <v>1599</v>
      </c>
      <c r="AJ1" s="109" t="s">
        <v>215</v>
      </c>
      <c r="AK1" s="109" t="s">
        <v>1600</v>
      </c>
      <c r="AL1" s="109" t="s">
        <v>1601</v>
      </c>
      <c r="AM1" s="109" t="s">
        <v>1602</v>
      </c>
      <c r="AN1" s="109" t="s">
        <v>1603</v>
      </c>
      <c r="AO1" s="109" t="s">
        <v>1604</v>
      </c>
      <c r="AP1" s="109" t="s">
        <v>1605</v>
      </c>
      <c r="AQ1" s="109" t="s">
        <v>1606</v>
      </c>
      <c r="AR1" s="110" t="s">
        <v>1607</v>
      </c>
      <c r="AS1" s="111" t="s">
        <v>1608</v>
      </c>
      <c r="AT1" s="111" t="s">
        <v>1609</v>
      </c>
      <c r="AU1" s="111" t="s">
        <v>1610</v>
      </c>
      <c r="AV1" s="111" t="s">
        <v>1611</v>
      </c>
      <c r="AW1" s="111" t="s">
        <v>1612</v>
      </c>
      <c r="AX1" s="111" t="s">
        <v>1613</v>
      </c>
      <c r="AY1" s="111" t="s">
        <v>1614</v>
      </c>
      <c r="AZ1" s="111" t="s">
        <v>1615</v>
      </c>
      <c r="BA1" s="111" t="s">
        <v>1616</v>
      </c>
      <c r="BB1" s="111" t="s">
        <v>1617</v>
      </c>
      <c r="BC1" s="111" t="s">
        <v>1618</v>
      </c>
      <c r="BD1" s="111" t="s">
        <v>1619</v>
      </c>
      <c r="BE1" s="111" t="s">
        <v>1620</v>
      </c>
      <c r="BF1" s="111" t="s">
        <v>1621</v>
      </c>
      <c r="BG1" s="106" t="s">
        <v>1622</v>
      </c>
    </row>
    <row r="2" spans="1:59">
      <c r="A2" s="112" t="s">
        <v>1436</v>
      </c>
      <c r="B2" s="112" t="s">
        <v>1437</v>
      </c>
      <c r="C2" s="113" t="s">
        <v>1438</v>
      </c>
      <c r="D2" s="114">
        <v>2008</v>
      </c>
      <c r="E2" s="115">
        <v>20008</v>
      </c>
      <c r="F2" s="113" t="s">
        <v>1439</v>
      </c>
      <c r="G2" s="116">
        <v>18351295</v>
      </c>
      <c r="H2" s="117">
        <v>10427</v>
      </c>
      <c r="I2" s="113" t="s">
        <v>1441</v>
      </c>
      <c r="J2" s="118" t="s">
        <v>1442</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1443</v>
      </c>
    </row>
    <row r="3" spans="1:59">
      <c r="A3" s="112" t="s">
        <v>1444</v>
      </c>
      <c r="B3" s="112" t="s">
        <v>1445</v>
      </c>
      <c r="C3" s="113" t="s">
        <v>1446</v>
      </c>
      <c r="D3" s="114">
        <v>2080</v>
      </c>
      <c r="E3" s="115">
        <v>20080</v>
      </c>
      <c r="F3" s="113" t="s">
        <v>1447</v>
      </c>
      <c r="G3" s="116">
        <v>18351295</v>
      </c>
      <c r="H3" s="117">
        <v>3646</v>
      </c>
      <c r="I3" s="113" t="s">
        <v>1450</v>
      </c>
      <c r="J3" s="118" t="s">
        <v>1442</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1443</v>
      </c>
    </row>
    <row r="4" spans="1:59">
      <c r="A4" s="112" t="s">
        <v>1444</v>
      </c>
      <c r="B4" s="112" t="s">
        <v>1445</v>
      </c>
      <c r="C4" s="113" t="s">
        <v>1446</v>
      </c>
      <c r="D4" s="114">
        <v>2080</v>
      </c>
      <c r="E4" s="115">
        <v>20080</v>
      </c>
      <c r="F4" s="113" t="s">
        <v>1447</v>
      </c>
      <c r="G4" s="116">
        <v>18351295</v>
      </c>
      <c r="H4" s="117">
        <v>3646</v>
      </c>
      <c r="I4" s="113" t="s">
        <v>1448</v>
      </c>
      <c r="J4" s="118" t="s">
        <v>1449</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1443</v>
      </c>
    </row>
    <row r="5" spans="1:59">
      <c r="A5" s="112" t="s">
        <v>1444</v>
      </c>
      <c r="B5" s="112" t="s">
        <v>1445</v>
      </c>
      <c r="C5" s="113" t="s">
        <v>1446</v>
      </c>
      <c r="D5" s="114">
        <v>2080</v>
      </c>
      <c r="E5" s="115">
        <v>20080</v>
      </c>
      <c r="F5" s="113" t="s">
        <v>1447</v>
      </c>
      <c r="G5" s="116">
        <v>18351295</v>
      </c>
      <c r="H5" s="117">
        <v>3646</v>
      </c>
      <c r="I5" s="113" t="s">
        <v>1448</v>
      </c>
      <c r="J5" s="118" t="s">
        <v>1442</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1443</v>
      </c>
    </row>
    <row r="6" spans="1:59">
      <c r="A6" s="112" t="s">
        <v>1451</v>
      </c>
      <c r="B6" s="112" t="s">
        <v>1452</v>
      </c>
      <c r="C6" s="113" t="s">
        <v>1453</v>
      </c>
      <c r="D6" s="114">
        <v>9154</v>
      </c>
      <c r="E6" s="115">
        <v>90154</v>
      </c>
      <c r="F6" s="113" t="s">
        <v>1454</v>
      </c>
      <c r="G6" s="116">
        <v>12150996</v>
      </c>
      <c r="H6" s="117">
        <v>3482</v>
      </c>
      <c r="I6" s="113" t="s">
        <v>1441</v>
      </c>
      <c r="J6" s="118" t="s">
        <v>1442</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1443</v>
      </c>
    </row>
    <row r="7" spans="1:59">
      <c r="A7" s="112" t="s">
        <v>1451</v>
      </c>
      <c r="B7" s="112" t="s">
        <v>1452</v>
      </c>
      <c r="C7" s="113" t="s">
        <v>1453</v>
      </c>
      <c r="D7" s="114">
        <v>9154</v>
      </c>
      <c r="E7" s="115">
        <v>90154</v>
      </c>
      <c r="F7" s="113" t="s">
        <v>1454</v>
      </c>
      <c r="G7" s="116">
        <v>12150996</v>
      </c>
      <c r="H7" s="117">
        <v>3482</v>
      </c>
      <c r="I7" s="113" t="s">
        <v>1448</v>
      </c>
      <c r="J7" s="118" t="s">
        <v>1442</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1443</v>
      </c>
    </row>
    <row r="8" spans="1:59">
      <c r="A8" s="112" t="s">
        <v>1455</v>
      </c>
      <c r="B8" s="112" t="s">
        <v>1456</v>
      </c>
      <c r="C8" s="113" t="s">
        <v>1457</v>
      </c>
      <c r="D8" s="114">
        <v>3030</v>
      </c>
      <c r="E8" s="115">
        <v>30030</v>
      </c>
      <c r="F8" s="113" t="s">
        <v>1454</v>
      </c>
      <c r="G8" s="116">
        <v>4586770</v>
      </c>
      <c r="H8" s="117">
        <v>3304</v>
      </c>
      <c r="I8" s="113" t="s">
        <v>1441</v>
      </c>
      <c r="J8" s="118" t="s">
        <v>1442</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1443</v>
      </c>
    </row>
    <row r="9" spans="1:59">
      <c r="A9" s="112" t="s">
        <v>1458</v>
      </c>
      <c r="B9" s="112" t="s">
        <v>1459</v>
      </c>
      <c r="C9" s="113" t="s">
        <v>1460</v>
      </c>
      <c r="D9" s="114">
        <v>5066</v>
      </c>
      <c r="E9" s="115">
        <v>50066</v>
      </c>
      <c r="F9" s="113" t="s">
        <v>1454</v>
      </c>
      <c r="G9" s="116">
        <v>8608208</v>
      </c>
      <c r="H9" s="117">
        <v>2703</v>
      </c>
      <c r="I9" s="113" t="s">
        <v>1441</v>
      </c>
      <c r="J9" s="118" t="s">
        <v>1442</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1443</v>
      </c>
    </row>
    <row r="10" spans="1:59">
      <c r="A10" s="112" t="s">
        <v>1463</v>
      </c>
      <c r="B10" s="112" t="s">
        <v>1464</v>
      </c>
      <c r="C10" s="113" t="s">
        <v>1465</v>
      </c>
      <c r="D10" s="114">
        <v>1003</v>
      </c>
      <c r="E10" s="115">
        <v>10003</v>
      </c>
      <c r="F10" s="113" t="s">
        <v>1454</v>
      </c>
      <c r="G10" s="116">
        <v>4181019</v>
      </c>
      <c r="H10" s="117">
        <v>2428</v>
      </c>
      <c r="I10" s="113" t="s">
        <v>1450</v>
      </c>
      <c r="J10" s="118" t="s">
        <v>1449</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1443</v>
      </c>
    </row>
    <row r="11" spans="1:59">
      <c r="A11" s="112" t="s">
        <v>1463</v>
      </c>
      <c r="B11" s="112" t="s">
        <v>1464</v>
      </c>
      <c r="C11" s="113" t="s">
        <v>1465</v>
      </c>
      <c r="D11" s="114">
        <v>1003</v>
      </c>
      <c r="E11" s="115">
        <v>10003</v>
      </c>
      <c r="F11" s="113" t="s">
        <v>1454</v>
      </c>
      <c r="G11" s="116">
        <v>4181019</v>
      </c>
      <c r="H11" s="117">
        <v>2428</v>
      </c>
      <c r="I11" s="113" t="s">
        <v>1441</v>
      </c>
      <c r="J11" s="118" t="s">
        <v>1442</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1443</v>
      </c>
    </row>
    <row r="12" spans="1:59">
      <c r="A12" s="112" t="s">
        <v>1463</v>
      </c>
      <c r="B12" s="112" t="s">
        <v>1464</v>
      </c>
      <c r="C12" s="113" t="s">
        <v>1465</v>
      </c>
      <c r="D12" s="114">
        <v>1003</v>
      </c>
      <c r="E12" s="115">
        <v>10003</v>
      </c>
      <c r="F12" s="113" t="s">
        <v>1454</v>
      </c>
      <c r="G12" s="116">
        <v>4181019</v>
      </c>
      <c r="H12" s="117">
        <v>2428</v>
      </c>
      <c r="I12" s="113" t="s">
        <v>1448</v>
      </c>
      <c r="J12" s="118" t="s">
        <v>1442</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1443</v>
      </c>
    </row>
    <row r="13" spans="1:59">
      <c r="A13" s="112" t="s">
        <v>1467</v>
      </c>
      <c r="B13" s="112" t="s">
        <v>1468</v>
      </c>
      <c r="C13" s="113" t="s">
        <v>1469</v>
      </c>
      <c r="D13" s="114">
        <v>3019</v>
      </c>
      <c r="E13" s="115">
        <v>30019</v>
      </c>
      <c r="F13" s="113" t="s">
        <v>1454</v>
      </c>
      <c r="G13" s="116">
        <v>5441567</v>
      </c>
      <c r="H13" s="117">
        <v>2406</v>
      </c>
      <c r="I13" s="113" t="s">
        <v>1450</v>
      </c>
      <c r="J13" s="118" t="s">
        <v>1442</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1443</v>
      </c>
    </row>
    <row r="14" spans="1:59">
      <c r="A14" s="112" t="s">
        <v>1467</v>
      </c>
      <c r="B14" s="112" t="s">
        <v>1468</v>
      </c>
      <c r="C14" s="113" t="s">
        <v>1469</v>
      </c>
      <c r="D14" s="114">
        <v>3019</v>
      </c>
      <c r="E14" s="115">
        <v>30019</v>
      </c>
      <c r="F14" s="113" t="s">
        <v>1454</v>
      </c>
      <c r="G14" s="116">
        <v>5441567</v>
      </c>
      <c r="H14" s="117">
        <v>2406</v>
      </c>
      <c r="I14" s="113" t="s">
        <v>1441</v>
      </c>
      <c r="J14" s="118" t="s">
        <v>1442</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1443</v>
      </c>
    </row>
    <row r="15" spans="1:59">
      <c r="A15" s="112" t="s">
        <v>1470</v>
      </c>
      <c r="B15" s="112" t="s">
        <v>1471</v>
      </c>
      <c r="C15" s="113" t="s">
        <v>1472</v>
      </c>
      <c r="D15" s="114">
        <v>6008</v>
      </c>
      <c r="E15" s="115">
        <v>60008</v>
      </c>
      <c r="F15" s="113" t="s">
        <v>1454</v>
      </c>
      <c r="G15" s="116">
        <v>4944332</v>
      </c>
      <c r="H15" s="117">
        <v>2157</v>
      </c>
      <c r="I15" s="113" t="s">
        <v>1448</v>
      </c>
      <c r="J15" s="118" t="s">
        <v>1442</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1443</v>
      </c>
    </row>
    <row r="16" spans="1:59">
      <c r="A16" s="112" t="s">
        <v>1473</v>
      </c>
      <c r="B16" s="112" t="s">
        <v>1474</v>
      </c>
      <c r="C16" s="113" t="s">
        <v>1475</v>
      </c>
      <c r="D16" s="114">
        <v>3034</v>
      </c>
      <c r="E16" s="115">
        <v>30034</v>
      </c>
      <c r="F16" s="113" t="s">
        <v>1476</v>
      </c>
      <c r="G16" s="116">
        <v>2203663</v>
      </c>
      <c r="H16" s="117">
        <v>1888</v>
      </c>
      <c r="I16" s="113" t="s">
        <v>1441</v>
      </c>
      <c r="J16" s="118" t="s">
        <v>1442</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1443</v>
      </c>
    </row>
    <row r="17" spans="1:59">
      <c r="A17" s="112" t="s">
        <v>1473</v>
      </c>
      <c r="B17" s="112" t="s">
        <v>1474</v>
      </c>
      <c r="C17" s="113" t="s">
        <v>1475</v>
      </c>
      <c r="D17" s="114">
        <v>3034</v>
      </c>
      <c r="E17" s="115">
        <v>30034</v>
      </c>
      <c r="F17" s="113" t="s">
        <v>1476</v>
      </c>
      <c r="G17" s="116">
        <v>2203663</v>
      </c>
      <c r="H17" s="117">
        <v>1888</v>
      </c>
      <c r="I17" s="113" t="s">
        <v>1448</v>
      </c>
      <c r="J17" s="118" t="s">
        <v>1442</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1443</v>
      </c>
    </row>
    <row r="18" spans="1:59">
      <c r="A18" s="112" t="s">
        <v>1473</v>
      </c>
      <c r="B18" s="112" t="s">
        <v>1474</v>
      </c>
      <c r="C18" s="113" t="s">
        <v>1475</v>
      </c>
      <c r="D18" s="114">
        <v>3034</v>
      </c>
      <c r="E18" s="115">
        <v>30034</v>
      </c>
      <c r="F18" s="113" t="s">
        <v>1476</v>
      </c>
      <c r="G18" s="116">
        <v>2203663</v>
      </c>
      <c r="H18" s="117">
        <v>1888</v>
      </c>
      <c r="I18" s="113" t="s">
        <v>1450</v>
      </c>
      <c r="J18" s="118" t="s">
        <v>1449</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1443</v>
      </c>
    </row>
    <row r="19" spans="1:59">
      <c r="A19" s="112" t="s">
        <v>1477</v>
      </c>
      <c r="B19" s="112" t="s">
        <v>1478</v>
      </c>
      <c r="C19" s="113" t="s">
        <v>1479</v>
      </c>
      <c r="D19" s="114">
        <v>4034</v>
      </c>
      <c r="E19" s="115">
        <v>40034</v>
      </c>
      <c r="F19" s="113" t="s">
        <v>1480</v>
      </c>
      <c r="G19" s="116">
        <v>5502379</v>
      </c>
      <c r="H19" s="117">
        <v>1452</v>
      </c>
      <c r="I19" s="113" t="s">
        <v>1441</v>
      </c>
      <c r="J19" s="118" t="s">
        <v>1442</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1443</v>
      </c>
    </row>
    <row r="20" spans="1:59">
      <c r="A20" s="112" t="s">
        <v>1481</v>
      </c>
      <c r="B20" s="112" t="s">
        <v>1482</v>
      </c>
      <c r="C20" s="113" t="s">
        <v>1483</v>
      </c>
      <c r="D20" s="114">
        <v>8006</v>
      </c>
      <c r="E20" s="115">
        <v>80006</v>
      </c>
      <c r="F20" s="113" t="s">
        <v>1454</v>
      </c>
      <c r="G20" s="116">
        <v>2374203</v>
      </c>
      <c r="H20" s="117">
        <v>1431</v>
      </c>
      <c r="I20" s="113" t="s">
        <v>1450</v>
      </c>
      <c r="J20" s="118" t="s">
        <v>1442</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1443</v>
      </c>
    </row>
    <row r="21" spans="1:59">
      <c r="A21" s="112" t="s">
        <v>1481</v>
      </c>
      <c r="B21" s="112" t="s">
        <v>1482</v>
      </c>
      <c r="C21" s="113" t="s">
        <v>1483</v>
      </c>
      <c r="D21" s="114">
        <v>8006</v>
      </c>
      <c r="E21" s="115">
        <v>80006</v>
      </c>
      <c r="F21" s="113" t="s">
        <v>1454</v>
      </c>
      <c r="G21" s="116">
        <v>2374203</v>
      </c>
      <c r="H21" s="117">
        <v>1431</v>
      </c>
      <c r="I21" s="113" t="s">
        <v>1450</v>
      </c>
      <c r="J21" s="118" t="s">
        <v>1449</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1443</v>
      </c>
    </row>
    <row r="22" spans="1:59">
      <c r="A22" s="112" t="s">
        <v>1481</v>
      </c>
      <c r="B22" s="112" t="s">
        <v>1482</v>
      </c>
      <c r="C22" s="113" t="s">
        <v>1483</v>
      </c>
      <c r="D22" s="114">
        <v>8006</v>
      </c>
      <c r="E22" s="115">
        <v>80006</v>
      </c>
      <c r="F22" s="113" t="s">
        <v>1454</v>
      </c>
      <c r="G22" s="116">
        <v>2374203</v>
      </c>
      <c r="H22" s="117">
        <v>1431</v>
      </c>
      <c r="I22" s="113" t="s">
        <v>1448</v>
      </c>
      <c r="J22" s="118" t="s">
        <v>1442</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1443</v>
      </c>
    </row>
    <row r="23" spans="1:59">
      <c r="A23" s="112" t="s">
        <v>1484</v>
      </c>
      <c r="B23" s="112" t="s">
        <v>1485</v>
      </c>
      <c r="C23" s="113" t="s">
        <v>1438</v>
      </c>
      <c r="D23" s="114">
        <v>2078</v>
      </c>
      <c r="E23" s="115">
        <v>20078</v>
      </c>
      <c r="F23" s="113" t="s">
        <v>1439</v>
      </c>
      <c r="G23" s="116">
        <v>18351295</v>
      </c>
      <c r="H23" s="117">
        <v>1133</v>
      </c>
      <c r="I23" s="113" t="s">
        <v>1450</v>
      </c>
      <c r="J23" s="118" t="s">
        <v>1442</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1443</v>
      </c>
    </row>
    <row r="24" spans="1:59">
      <c r="A24" s="112" t="s">
        <v>1486</v>
      </c>
      <c r="B24" s="112" t="s">
        <v>1487</v>
      </c>
      <c r="C24" s="113" t="s">
        <v>1472</v>
      </c>
      <c r="D24" s="114">
        <v>6056</v>
      </c>
      <c r="E24" s="115">
        <v>60056</v>
      </c>
      <c r="F24" s="113" t="s">
        <v>1454</v>
      </c>
      <c r="G24" s="116">
        <v>5121892</v>
      </c>
      <c r="H24" s="117">
        <v>1082</v>
      </c>
      <c r="I24" s="113" t="s">
        <v>1450</v>
      </c>
      <c r="J24" s="118" t="s">
        <v>1449</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1443</v>
      </c>
    </row>
    <row r="25" spans="1:59">
      <c r="A25" s="112" t="s">
        <v>1486</v>
      </c>
      <c r="B25" s="112" t="s">
        <v>1487</v>
      </c>
      <c r="C25" s="113" t="s">
        <v>1472</v>
      </c>
      <c r="D25" s="114">
        <v>6056</v>
      </c>
      <c r="E25" s="115">
        <v>60056</v>
      </c>
      <c r="F25" s="113" t="s">
        <v>1454</v>
      </c>
      <c r="G25" s="116">
        <v>5121892</v>
      </c>
      <c r="H25" s="117">
        <v>1082</v>
      </c>
      <c r="I25" s="113" t="s">
        <v>1448</v>
      </c>
      <c r="J25" s="118" t="s">
        <v>1442</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1443</v>
      </c>
    </row>
    <row r="26" spans="1:59">
      <c r="A26" s="112" t="s">
        <v>1488</v>
      </c>
      <c r="B26" s="112" t="s">
        <v>1489</v>
      </c>
      <c r="C26" s="113" t="s">
        <v>1490</v>
      </c>
      <c r="D26" s="114">
        <v>8001</v>
      </c>
      <c r="E26" s="115">
        <v>80001</v>
      </c>
      <c r="F26" s="113" t="s">
        <v>1454</v>
      </c>
      <c r="G26" s="116">
        <v>1021243</v>
      </c>
      <c r="H26" s="117">
        <v>1081</v>
      </c>
      <c r="I26" s="113" t="s">
        <v>1448</v>
      </c>
      <c r="J26" s="118" t="s">
        <v>1442</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1443</v>
      </c>
    </row>
    <row r="27" spans="1:59">
      <c r="A27" s="112" t="s">
        <v>1488</v>
      </c>
      <c r="B27" s="112" t="s">
        <v>1489</v>
      </c>
      <c r="C27" s="113" t="s">
        <v>1490</v>
      </c>
      <c r="D27" s="114">
        <v>8001</v>
      </c>
      <c r="E27" s="115">
        <v>80001</v>
      </c>
      <c r="F27" s="113" t="s">
        <v>1454</v>
      </c>
      <c r="G27" s="116">
        <v>1021243</v>
      </c>
      <c r="H27" s="117">
        <v>1081</v>
      </c>
      <c r="I27" s="113" t="s">
        <v>1450</v>
      </c>
      <c r="J27" s="118" t="s">
        <v>1442</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1443</v>
      </c>
    </row>
    <row r="28" spans="1:59">
      <c r="A28" s="112" t="s">
        <v>1491</v>
      </c>
      <c r="B28" s="112" t="s">
        <v>1459</v>
      </c>
      <c r="C28" s="113" t="s">
        <v>1460</v>
      </c>
      <c r="D28" s="114">
        <v>5118</v>
      </c>
      <c r="E28" s="115">
        <v>50118</v>
      </c>
      <c r="F28" s="113" t="s">
        <v>1454</v>
      </c>
      <c r="G28" s="116">
        <v>8608208</v>
      </c>
      <c r="H28" s="117">
        <v>1066</v>
      </c>
      <c r="I28" s="113" t="s">
        <v>1450</v>
      </c>
      <c r="J28" s="118" t="s">
        <v>1442</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1443</v>
      </c>
    </row>
    <row r="29" spans="1:59">
      <c r="A29" s="112" t="s">
        <v>1491</v>
      </c>
      <c r="B29" s="112" t="s">
        <v>1459</v>
      </c>
      <c r="C29" s="113" t="s">
        <v>1460</v>
      </c>
      <c r="D29" s="114">
        <v>5118</v>
      </c>
      <c r="E29" s="115">
        <v>50118</v>
      </c>
      <c r="F29" s="113" t="s">
        <v>1454</v>
      </c>
      <c r="G29" s="116">
        <v>8608208</v>
      </c>
      <c r="H29" s="117">
        <v>1066</v>
      </c>
      <c r="I29" s="113" t="s">
        <v>1450</v>
      </c>
      <c r="J29" s="118" t="s">
        <v>1449</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1443</v>
      </c>
    </row>
    <row r="30" spans="1:59">
      <c r="A30" s="112" t="s">
        <v>1492</v>
      </c>
      <c r="B30" s="112" t="s">
        <v>1493</v>
      </c>
      <c r="C30" s="113" t="s">
        <v>1438</v>
      </c>
      <c r="D30" s="114">
        <v>2100</v>
      </c>
      <c r="E30" s="115">
        <v>20100</v>
      </c>
      <c r="F30" s="113" t="s">
        <v>1439</v>
      </c>
      <c r="G30" s="116">
        <v>18351295</v>
      </c>
      <c r="H30" s="117">
        <v>1022</v>
      </c>
      <c r="I30" s="113" t="s">
        <v>1450</v>
      </c>
      <c r="J30" s="118" t="s">
        <v>1442</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1443</v>
      </c>
    </row>
    <row r="31" spans="1:59">
      <c r="A31" s="112" t="s">
        <v>1494</v>
      </c>
      <c r="B31" s="112" t="s">
        <v>1495</v>
      </c>
      <c r="C31" s="113" t="s">
        <v>1453</v>
      </c>
      <c r="D31" s="114">
        <v>9015</v>
      </c>
      <c r="E31" s="115">
        <v>90015</v>
      </c>
      <c r="F31" s="113" t="s">
        <v>1480</v>
      </c>
      <c r="G31" s="116">
        <v>3281212</v>
      </c>
      <c r="H31" s="117">
        <v>996</v>
      </c>
      <c r="I31" s="113" t="s">
        <v>1448</v>
      </c>
      <c r="J31" s="118" t="s">
        <v>1442</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1443</v>
      </c>
    </row>
    <row r="32" spans="1:59">
      <c r="A32" s="112" t="s">
        <v>1496</v>
      </c>
      <c r="B32" s="112" t="s">
        <v>1497</v>
      </c>
      <c r="C32" s="113" t="s">
        <v>1498</v>
      </c>
      <c r="D32" s="114">
        <v>8</v>
      </c>
      <c r="E32" s="115">
        <v>8</v>
      </c>
      <c r="F32" s="113" t="s">
        <v>1454</v>
      </c>
      <c r="G32" s="116">
        <v>1849898</v>
      </c>
      <c r="H32" s="117">
        <v>982</v>
      </c>
      <c r="I32" s="113" t="s">
        <v>1448</v>
      </c>
      <c r="J32" s="118" t="s">
        <v>1442</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1443</v>
      </c>
    </row>
    <row r="33" spans="1:59">
      <c r="A33" s="112" t="s">
        <v>1499</v>
      </c>
      <c r="B33" s="112" t="s">
        <v>1500</v>
      </c>
      <c r="C33" s="113" t="s">
        <v>1501</v>
      </c>
      <c r="D33" s="114">
        <v>4022</v>
      </c>
      <c r="E33" s="115">
        <v>40022</v>
      </c>
      <c r="F33" s="113" t="s">
        <v>1454</v>
      </c>
      <c r="G33" s="116">
        <v>4515419</v>
      </c>
      <c r="H33" s="117">
        <v>943</v>
      </c>
      <c r="I33" s="113" t="s">
        <v>1441</v>
      </c>
      <c r="J33" s="118" t="s">
        <v>1442</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1443</v>
      </c>
    </row>
    <row r="34" spans="1:59">
      <c r="A34" s="112" t="s">
        <v>1502</v>
      </c>
      <c r="B34" s="112" t="s">
        <v>1503</v>
      </c>
      <c r="C34" s="113" t="s">
        <v>1469</v>
      </c>
      <c r="D34" s="114">
        <v>3022</v>
      </c>
      <c r="E34" s="115">
        <v>30022</v>
      </c>
      <c r="F34" s="113" t="s">
        <v>1454</v>
      </c>
      <c r="G34" s="116">
        <v>1733853</v>
      </c>
      <c r="H34" s="117">
        <v>930</v>
      </c>
      <c r="I34" s="113" t="s">
        <v>1448</v>
      </c>
      <c r="J34" s="118" t="s">
        <v>1442</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1443</v>
      </c>
    </row>
    <row r="35" spans="1:59">
      <c r="A35" s="112" t="s">
        <v>1504</v>
      </c>
      <c r="B35" s="112" t="s">
        <v>1505</v>
      </c>
      <c r="C35" s="113" t="s">
        <v>1453</v>
      </c>
      <c r="D35" s="114">
        <v>9026</v>
      </c>
      <c r="E35" s="115">
        <v>90026</v>
      </c>
      <c r="F35" s="113" t="s">
        <v>1454</v>
      </c>
      <c r="G35" s="116">
        <v>2956746</v>
      </c>
      <c r="H35" s="117">
        <v>906</v>
      </c>
      <c r="I35" s="113" t="s">
        <v>1448</v>
      </c>
      <c r="J35" s="118" t="s">
        <v>1442</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1443</v>
      </c>
    </row>
    <row r="36" spans="1:59">
      <c r="A36" s="112" t="s">
        <v>1506</v>
      </c>
      <c r="B36" s="112" t="s">
        <v>1507</v>
      </c>
      <c r="C36" s="113" t="s">
        <v>1508</v>
      </c>
      <c r="D36" s="114">
        <v>5027</v>
      </c>
      <c r="E36" s="115">
        <v>50027</v>
      </c>
      <c r="F36" s="113" t="s">
        <v>1439</v>
      </c>
      <c r="G36" s="116">
        <v>2650890</v>
      </c>
      <c r="H36" s="117">
        <v>823</v>
      </c>
      <c r="I36" s="113" t="s">
        <v>1448</v>
      </c>
      <c r="J36" s="118" t="s">
        <v>1442</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1443</v>
      </c>
    </row>
    <row r="37" spans="1:59">
      <c r="A37" s="112" t="s">
        <v>1506</v>
      </c>
      <c r="B37" s="112" t="s">
        <v>1507</v>
      </c>
      <c r="C37" s="113" t="s">
        <v>1508</v>
      </c>
      <c r="D37" s="114">
        <v>5027</v>
      </c>
      <c r="E37" s="115">
        <v>50027</v>
      </c>
      <c r="F37" s="113" t="s">
        <v>1439</v>
      </c>
      <c r="G37" s="116">
        <v>2650890</v>
      </c>
      <c r="H37" s="117">
        <v>823</v>
      </c>
      <c r="I37" s="113" t="s">
        <v>1450</v>
      </c>
      <c r="J37" s="118" t="s">
        <v>1449</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1443</v>
      </c>
    </row>
    <row r="38" spans="1:59">
      <c r="A38" s="112" t="s">
        <v>1509</v>
      </c>
      <c r="B38" s="112" t="s">
        <v>1510</v>
      </c>
      <c r="C38" s="113" t="s">
        <v>1453</v>
      </c>
      <c r="D38" s="114">
        <v>9013</v>
      </c>
      <c r="E38" s="115">
        <v>90013</v>
      </c>
      <c r="F38" s="113" t="s">
        <v>1454</v>
      </c>
      <c r="G38" s="116">
        <v>1664496</v>
      </c>
      <c r="H38" s="117">
        <v>635</v>
      </c>
      <c r="I38" s="113" t="s">
        <v>1448</v>
      </c>
      <c r="J38" s="118" t="s">
        <v>1442</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1443</v>
      </c>
    </row>
    <row r="39" spans="1:59">
      <c r="A39" s="112" t="s">
        <v>1511</v>
      </c>
      <c r="B39" s="112" t="s">
        <v>1512</v>
      </c>
      <c r="C39" s="113" t="s">
        <v>1453</v>
      </c>
      <c r="D39" s="114">
        <v>9003</v>
      </c>
      <c r="E39" s="115">
        <v>90003</v>
      </c>
      <c r="F39" s="113" t="s">
        <v>1454</v>
      </c>
      <c r="G39" s="116">
        <v>3281212</v>
      </c>
      <c r="H39" s="117">
        <v>616</v>
      </c>
      <c r="I39" s="113" t="s">
        <v>1441</v>
      </c>
      <c r="J39" s="118" t="s">
        <v>1442</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1443</v>
      </c>
    </row>
    <row r="40" spans="1:59">
      <c r="A40" s="112" t="s">
        <v>1513</v>
      </c>
      <c r="B40" s="112" t="s">
        <v>1514</v>
      </c>
      <c r="C40" s="113" t="s">
        <v>1515</v>
      </c>
      <c r="D40" s="114">
        <v>7006</v>
      </c>
      <c r="E40" s="115">
        <v>70006</v>
      </c>
      <c r="F40" s="113" t="s">
        <v>1454</v>
      </c>
      <c r="G40" s="116">
        <v>2150706</v>
      </c>
      <c r="H40" s="117">
        <v>493</v>
      </c>
      <c r="I40" s="113" t="s">
        <v>1448</v>
      </c>
      <c r="J40" s="118" t="s">
        <v>1442</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1443</v>
      </c>
    </row>
    <row r="41" spans="1:59">
      <c r="A41" s="112" t="s">
        <v>1516</v>
      </c>
      <c r="B41" s="112" t="s">
        <v>1517</v>
      </c>
      <c r="C41" s="113" t="s">
        <v>1518</v>
      </c>
      <c r="D41" s="114">
        <v>5015</v>
      </c>
      <c r="E41" s="115">
        <v>50015</v>
      </c>
      <c r="F41" s="113" t="s">
        <v>1454</v>
      </c>
      <c r="G41" s="116">
        <v>1780673</v>
      </c>
      <c r="H41" s="117">
        <v>418</v>
      </c>
      <c r="I41" s="113" t="s">
        <v>1448</v>
      </c>
      <c r="J41" s="118" t="s">
        <v>1442</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1443</v>
      </c>
    </row>
    <row r="42" spans="1:59">
      <c r="A42" s="112" t="s">
        <v>1516</v>
      </c>
      <c r="B42" s="112" t="s">
        <v>1517</v>
      </c>
      <c r="C42" s="113" t="s">
        <v>1518</v>
      </c>
      <c r="D42" s="114">
        <v>5015</v>
      </c>
      <c r="E42" s="115">
        <v>50015</v>
      </c>
      <c r="F42" s="113" t="s">
        <v>1454</v>
      </c>
      <c r="G42" s="116">
        <v>1780673</v>
      </c>
      <c r="H42" s="117">
        <v>418</v>
      </c>
      <c r="I42" s="113" t="s">
        <v>1441</v>
      </c>
      <c r="J42" s="118" t="s">
        <v>1442</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1443</v>
      </c>
    </row>
    <row r="43" spans="1:59">
      <c r="A43" s="112" t="s">
        <v>1519</v>
      </c>
      <c r="B43" s="112" t="s">
        <v>1520</v>
      </c>
      <c r="C43" s="113" t="s">
        <v>1521</v>
      </c>
      <c r="D43" s="114">
        <v>3083</v>
      </c>
      <c r="E43" s="115">
        <v>30083</v>
      </c>
      <c r="F43" s="113" t="s">
        <v>1454</v>
      </c>
      <c r="G43" s="116">
        <v>1439666</v>
      </c>
      <c r="H43" s="117">
        <v>417</v>
      </c>
      <c r="I43" s="113" t="s">
        <v>1448</v>
      </c>
      <c r="J43" s="118" t="s">
        <v>1442</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1443</v>
      </c>
    </row>
    <row r="44" spans="1:59">
      <c r="A44" s="112" t="s">
        <v>1522</v>
      </c>
      <c r="B44" s="112" t="s">
        <v>1523</v>
      </c>
      <c r="C44" s="113" t="s">
        <v>1524</v>
      </c>
      <c r="D44" s="114">
        <v>4008</v>
      </c>
      <c r="E44" s="115">
        <v>40008</v>
      </c>
      <c r="F44" s="113" t="s">
        <v>1480</v>
      </c>
      <c r="G44" s="116">
        <v>1249442</v>
      </c>
      <c r="H44" s="117">
        <v>409</v>
      </c>
      <c r="I44" s="113" t="s">
        <v>1448</v>
      </c>
      <c r="J44" s="118" t="s">
        <v>1442</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1443</v>
      </c>
    </row>
    <row r="45" spans="1:59">
      <c r="A45" s="112" t="s">
        <v>1525</v>
      </c>
      <c r="B45" s="112" t="s">
        <v>1526</v>
      </c>
      <c r="C45" s="113" t="s">
        <v>1527</v>
      </c>
      <c r="D45" s="114">
        <v>40</v>
      </c>
      <c r="E45" s="115">
        <v>40</v>
      </c>
      <c r="F45" s="113" t="s">
        <v>1454</v>
      </c>
      <c r="G45" s="116">
        <v>3059393</v>
      </c>
      <c r="H45" s="117">
        <v>381</v>
      </c>
      <c r="I45" s="113" t="s">
        <v>1450</v>
      </c>
      <c r="J45" s="118" t="s">
        <v>1449</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1443</v>
      </c>
    </row>
    <row r="46" spans="1:59">
      <c r="A46" s="112" t="s">
        <v>1525</v>
      </c>
      <c r="B46" s="112" t="s">
        <v>1526</v>
      </c>
      <c r="C46" s="113" t="s">
        <v>1527</v>
      </c>
      <c r="D46" s="114">
        <v>40</v>
      </c>
      <c r="E46" s="115">
        <v>40</v>
      </c>
      <c r="F46" s="113" t="s">
        <v>1454</v>
      </c>
      <c r="G46" s="116">
        <v>3059393</v>
      </c>
      <c r="H46" s="117">
        <v>381</v>
      </c>
      <c r="I46" s="113" t="s">
        <v>1448</v>
      </c>
      <c r="J46" s="118" t="s">
        <v>1442</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1443</v>
      </c>
    </row>
    <row r="47" spans="1:59">
      <c r="A47" s="112" t="s">
        <v>1528</v>
      </c>
      <c r="B47" s="112" t="s">
        <v>1529</v>
      </c>
      <c r="C47" s="113" t="s">
        <v>1438</v>
      </c>
      <c r="D47" s="114">
        <v>2004</v>
      </c>
      <c r="E47" s="115">
        <v>20004</v>
      </c>
      <c r="F47" s="113" t="s">
        <v>1454</v>
      </c>
      <c r="G47" s="116">
        <v>935906</v>
      </c>
      <c r="H47" s="117">
        <v>359</v>
      </c>
      <c r="I47" s="113" t="s">
        <v>1448</v>
      </c>
      <c r="J47" s="118" t="s">
        <v>1442</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1443</v>
      </c>
    </row>
    <row r="48" spans="1:59">
      <c r="A48" s="112" t="s">
        <v>1530</v>
      </c>
      <c r="B48" s="112" t="s">
        <v>1531</v>
      </c>
      <c r="C48" s="113" t="s">
        <v>1453</v>
      </c>
      <c r="D48" s="114">
        <v>9019</v>
      </c>
      <c r="E48" s="115">
        <v>90019</v>
      </c>
      <c r="F48" s="113" t="s">
        <v>1454</v>
      </c>
      <c r="G48" s="116">
        <v>1723634</v>
      </c>
      <c r="H48" s="117">
        <v>331</v>
      </c>
      <c r="I48" s="113" t="s">
        <v>1448</v>
      </c>
      <c r="J48" s="118" t="s">
        <v>1442</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1443</v>
      </c>
    </row>
    <row r="49" spans="1:59">
      <c r="A49" s="112" t="s">
        <v>1532</v>
      </c>
      <c r="B49" s="112" t="s">
        <v>1533</v>
      </c>
      <c r="C49" s="113" t="s">
        <v>1472</v>
      </c>
      <c r="D49" s="114">
        <v>6007</v>
      </c>
      <c r="E49" s="115">
        <v>60007</v>
      </c>
      <c r="F49" s="113" t="s">
        <v>1454</v>
      </c>
      <c r="G49" s="116">
        <v>5121892</v>
      </c>
      <c r="H49" s="117">
        <v>312</v>
      </c>
      <c r="I49" s="113" t="s">
        <v>1450</v>
      </c>
      <c r="J49" s="118" t="s">
        <v>1449</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1443</v>
      </c>
    </row>
    <row r="50" spans="1:59">
      <c r="A50" s="112" t="s">
        <v>1534</v>
      </c>
      <c r="B50" s="112" t="s">
        <v>1485</v>
      </c>
      <c r="C50" s="113" t="s">
        <v>1446</v>
      </c>
      <c r="D50" s="114">
        <v>2098</v>
      </c>
      <c r="E50" s="115">
        <v>20098</v>
      </c>
      <c r="F50" s="113" t="s">
        <v>1454</v>
      </c>
      <c r="G50" s="116">
        <v>18351295</v>
      </c>
      <c r="H50" s="117">
        <v>310</v>
      </c>
      <c r="I50" s="113" t="s">
        <v>1441</v>
      </c>
      <c r="J50" s="118" t="s">
        <v>1442</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1443</v>
      </c>
    </row>
    <row r="51" spans="1:59">
      <c r="A51" s="112" t="s">
        <v>1535</v>
      </c>
      <c r="B51" s="112" t="s">
        <v>1536</v>
      </c>
      <c r="C51" s="113" t="s">
        <v>1453</v>
      </c>
      <c r="D51" s="114">
        <v>9030</v>
      </c>
      <c r="E51" s="115">
        <v>90030</v>
      </c>
      <c r="F51" s="113" t="s">
        <v>1454</v>
      </c>
      <c r="G51" s="116">
        <v>2956746</v>
      </c>
      <c r="H51" s="117">
        <v>205</v>
      </c>
      <c r="I51" s="113" t="s">
        <v>1450</v>
      </c>
      <c r="J51" s="118" t="s">
        <v>1449</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1443</v>
      </c>
    </row>
    <row r="52" spans="1:59">
      <c r="A52" s="112" t="s">
        <v>1537</v>
      </c>
      <c r="B52" s="112" t="s">
        <v>1452</v>
      </c>
      <c r="C52" s="113" t="s">
        <v>1453</v>
      </c>
      <c r="D52" s="114">
        <v>9151</v>
      </c>
      <c r="E52" s="115">
        <v>90151</v>
      </c>
      <c r="F52" s="113" t="s">
        <v>1454</v>
      </c>
      <c r="G52" s="116">
        <v>12150996</v>
      </c>
      <c r="H52" s="117">
        <v>195</v>
      </c>
      <c r="I52" s="113" t="s">
        <v>1450</v>
      </c>
      <c r="J52" s="118" t="s">
        <v>1449</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1443</v>
      </c>
    </row>
    <row r="53" spans="1:59">
      <c r="A53" s="112" t="s">
        <v>1538</v>
      </c>
      <c r="B53" s="112" t="s">
        <v>1539</v>
      </c>
      <c r="C53" s="113" t="s">
        <v>1453</v>
      </c>
      <c r="D53" s="114">
        <v>9134</v>
      </c>
      <c r="E53" s="115">
        <v>90134</v>
      </c>
      <c r="F53" s="113" t="s">
        <v>1454</v>
      </c>
      <c r="G53" s="116">
        <v>3281212</v>
      </c>
      <c r="H53" s="117">
        <v>141</v>
      </c>
      <c r="I53" s="113" t="s">
        <v>1450</v>
      </c>
      <c r="J53" s="118" t="s">
        <v>1449</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1443</v>
      </c>
    </row>
    <row r="54" spans="1:59">
      <c r="A54" s="112" t="s">
        <v>1540</v>
      </c>
      <c r="B54" s="112" t="s">
        <v>1541</v>
      </c>
      <c r="C54" s="113" t="s">
        <v>1521</v>
      </c>
      <c r="D54" s="114">
        <v>3073</v>
      </c>
      <c r="E54" s="115">
        <v>30073</v>
      </c>
      <c r="F54" s="113" t="s">
        <v>1454</v>
      </c>
      <c r="G54" s="116">
        <v>4586770</v>
      </c>
      <c r="H54" s="117">
        <v>99</v>
      </c>
      <c r="I54" s="113" t="s">
        <v>1450</v>
      </c>
      <c r="J54" s="118" t="s">
        <v>1449</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1443</v>
      </c>
    </row>
    <row r="55" spans="1:59">
      <c r="A55" s="112" t="s">
        <v>1542</v>
      </c>
      <c r="B55" s="112" t="s">
        <v>1543</v>
      </c>
      <c r="C55" s="113" t="s">
        <v>1446</v>
      </c>
      <c r="D55" s="114">
        <v>2075</v>
      </c>
      <c r="E55" s="115">
        <v>20075</v>
      </c>
      <c r="F55" s="113" t="s">
        <v>1454</v>
      </c>
      <c r="G55" s="116">
        <v>5441567</v>
      </c>
      <c r="H55" s="117">
        <v>78</v>
      </c>
      <c r="I55" s="113" t="s">
        <v>1441</v>
      </c>
      <c r="J55" s="118" t="s">
        <v>1442</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1443</v>
      </c>
    </row>
    <row r="56" spans="1:59">
      <c r="A56" s="112" t="s">
        <v>1544</v>
      </c>
      <c r="B56" s="112" t="s">
        <v>1545</v>
      </c>
      <c r="C56" s="113" t="s">
        <v>1546</v>
      </c>
      <c r="D56" s="114">
        <v>5104</v>
      </c>
      <c r="E56" s="115">
        <v>50104</v>
      </c>
      <c r="F56" s="113" t="s">
        <v>1454</v>
      </c>
      <c r="G56" s="116">
        <v>8608208</v>
      </c>
      <c r="H56" s="117">
        <v>70</v>
      </c>
      <c r="I56" s="113" t="s">
        <v>1450</v>
      </c>
      <c r="J56" s="118" t="s">
        <v>1442</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1443</v>
      </c>
    </row>
    <row r="57" spans="1:59">
      <c r="A57" s="112" t="s">
        <v>1547</v>
      </c>
      <c r="B57" s="112" t="s">
        <v>1548</v>
      </c>
      <c r="C57" s="113" t="s">
        <v>1479</v>
      </c>
      <c r="D57" s="114">
        <v>4077</v>
      </c>
      <c r="E57" s="115">
        <v>40077</v>
      </c>
      <c r="F57" s="113" t="s">
        <v>1454</v>
      </c>
      <c r="G57" s="116">
        <v>5502379</v>
      </c>
      <c r="H57" s="117">
        <v>65</v>
      </c>
      <c r="I57" s="113" t="s">
        <v>1450</v>
      </c>
      <c r="J57" s="118" t="s">
        <v>1449</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1443</v>
      </c>
    </row>
    <row r="58" spans="1:59">
      <c r="A58" s="112" t="s">
        <v>1549</v>
      </c>
      <c r="B58" s="112" t="s">
        <v>1550</v>
      </c>
      <c r="C58" s="113" t="s">
        <v>1551</v>
      </c>
      <c r="D58" s="114">
        <v>6111</v>
      </c>
      <c r="E58" s="115">
        <v>60111</v>
      </c>
      <c r="F58" s="113" t="s">
        <v>1454</v>
      </c>
      <c r="G58" s="116">
        <v>741318</v>
      </c>
      <c r="H58" s="117">
        <v>58</v>
      </c>
      <c r="I58" s="113" t="s">
        <v>1450</v>
      </c>
      <c r="J58" s="118" t="s">
        <v>1449</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1443</v>
      </c>
    </row>
    <row r="59" spans="1:59">
      <c r="A59" s="112" t="s">
        <v>1552</v>
      </c>
      <c r="B59" s="112" t="s">
        <v>1553</v>
      </c>
      <c r="C59" s="113" t="s">
        <v>1554</v>
      </c>
      <c r="D59" s="114">
        <v>4094</v>
      </c>
      <c r="E59" s="115">
        <v>40094</v>
      </c>
      <c r="F59" s="113" t="s">
        <v>1476</v>
      </c>
      <c r="G59" s="116">
        <v>2148346</v>
      </c>
      <c r="H59" s="117">
        <v>54</v>
      </c>
      <c r="I59" s="113" t="s">
        <v>1441</v>
      </c>
      <c r="J59" s="118" t="s">
        <v>1449</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1443</v>
      </c>
    </row>
    <row r="60" spans="1:59">
      <c r="A60" s="112" t="s">
        <v>1555</v>
      </c>
      <c r="B60" s="112" t="s">
        <v>1556</v>
      </c>
      <c r="C60" s="113" t="s">
        <v>1557</v>
      </c>
      <c r="D60" s="114">
        <v>4159</v>
      </c>
      <c r="E60" s="115">
        <v>40159</v>
      </c>
      <c r="F60" s="113" t="s">
        <v>1454</v>
      </c>
      <c r="G60" s="116">
        <v>969587</v>
      </c>
      <c r="H60" s="117">
        <v>46</v>
      </c>
      <c r="I60" s="113" t="s">
        <v>1450</v>
      </c>
      <c r="J60" s="118" t="s">
        <v>1449</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1443</v>
      </c>
    </row>
    <row r="61" spans="1:59">
      <c r="A61" s="112" t="s">
        <v>1558</v>
      </c>
      <c r="B61" s="112" t="s">
        <v>1559</v>
      </c>
      <c r="C61" s="113" t="s">
        <v>1438</v>
      </c>
      <c r="D61" s="114">
        <v>2099</v>
      </c>
      <c r="E61" s="115">
        <v>20099</v>
      </c>
      <c r="F61" s="113" t="s">
        <v>1439</v>
      </c>
      <c r="G61" s="116">
        <v>18351295</v>
      </c>
      <c r="H61" s="117">
        <v>44</v>
      </c>
      <c r="I61" s="113" t="s">
        <v>1441</v>
      </c>
      <c r="J61" s="118" t="s">
        <v>1442</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1443</v>
      </c>
    </row>
    <row r="62" spans="1:59">
      <c r="A62" s="112" t="s">
        <v>1560</v>
      </c>
      <c r="B62" s="112" t="s">
        <v>1561</v>
      </c>
      <c r="C62" s="113" t="s">
        <v>1562</v>
      </c>
      <c r="D62" s="114">
        <v>1102</v>
      </c>
      <c r="E62" s="115">
        <v>10102</v>
      </c>
      <c r="F62" s="113" t="s">
        <v>1476</v>
      </c>
      <c r="G62" s="116">
        <v>924859</v>
      </c>
      <c r="H62" s="117">
        <v>43</v>
      </c>
      <c r="I62" s="113" t="s">
        <v>1450</v>
      </c>
      <c r="J62" s="118" t="s">
        <v>1449</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1443</v>
      </c>
    </row>
    <row r="63" spans="1:59">
      <c r="A63" s="112" t="s">
        <v>1563</v>
      </c>
      <c r="B63" s="112" t="s">
        <v>1564</v>
      </c>
      <c r="C63" s="113" t="s">
        <v>1565</v>
      </c>
      <c r="D63" s="114">
        <v>9209</v>
      </c>
      <c r="E63" s="115">
        <v>90209</v>
      </c>
      <c r="F63" s="113" t="s">
        <v>1447</v>
      </c>
      <c r="G63" s="116">
        <v>3629114</v>
      </c>
      <c r="H63" s="117">
        <v>38</v>
      </c>
      <c r="I63" s="113" t="s">
        <v>1448</v>
      </c>
      <c r="J63" s="118" t="s">
        <v>1449</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1443</v>
      </c>
    </row>
    <row r="64" spans="1:59">
      <c r="A64" s="112" t="s">
        <v>1566</v>
      </c>
      <c r="B64" s="112" t="s">
        <v>1567</v>
      </c>
      <c r="C64" s="113" t="s">
        <v>1453</v>
      </c>
      <c r="D64" s="114">
        <v>9182</v>
      </c>
      <c r="E64" s="115">
        <v>90182</v>
      </c>
      <c r="F64" s="113" t="s">
        <v>1454</v>
      </c>
      <c r="G64" s="116">
        <v>370583</v>
      </c>
      <c r="H64" s="117">
        <v>35</v>
      </c>
      <c r="I64" s="113" t="s">
        <v>1450</v>
      </c>
      <c r="J64" s="118" t="s">
        <v>1449</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1443</v>
      </c>
    </row>
    <row r="65" spans="1:59">
      <c r="A65" s="112" t="s">
        <v>1568</v>
      </c>
      <c r="B65" s="112" t="s">
        <v>1569</v>
      </c>
      <c r="C65" s="113" t="s">
        <v>1479</v>
      </c>
      <c r="D65" s="114">
        <v>4232</v>
      </c>
      <c r="E65" s="115">
        <v>40232</v>
      </c>
      <c r="F65" s="113" t="s">
        <v>1476</v>
      </c>
      <c r="G65" s="116">
        <v>1510516</v>
      </c>
      <c r="H65" s="117">
        <v>25</v>
      </c>
      <c r="I65" s="113" t="s">
        <v>1450</v>
      </c>
      <c r="J65" s="118" t="s">
        <v>1449</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1443</v>
      </c>
    </row>
    <row r="66" spans="1:59">
      <c r="A66" s="112" t="s">
        <v>1570</v>
      </c>
      <c r="B66" s="112" t="s">
        <v>1497</v>
      </c>
      <c r="C66" s="113" t="s">
        <v>1571</v>
      </c>
      <c r="D66" s="114">
        <v>1115</v>
      </c>
      <c r="E66" s="115">
        <v>10115</v>
      </c>
      <c r="F66" s="113" t="s">
        <v>1454</v>
      </c>
      <c r="G66" s="116">
        <v>203914</v>
      </c>
      <c r="H66" s="117">
        <v>21</v>
      </c>
      <c r="I66" s="113" t="s">
        <v>1450</v>
      </c>
      <c r="J66" s="118" t="s">
        <v>1449</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1443</v>
      </c>
    </row>
    <row r="67" spans="1:59">
      <c r="A67" s="112" t="s">
        <v>1572</v>
      </c>
      <c r="B67" s="112" t="s">
        <v>1573</v>
      </c>
      <c r="C67" s="113" t="s">
        <v>1469</v>
      </c>
      <c r="D67" s="114">
        <v>3057</v>
      </c>
      <c r="E67" s="115">
        <v>30057</v>
      </c>
      <c r="F67" s="113" t="s">
        <v>1476</v>
      </c>
      <c r="G67" s="116">
        <v>5441567</v>
      </c>
      <c r="H67" s="117">
        <v>20</v>
      </c>
      <c r="I67" s="113" t="s">
        <v>1450</v>
      </c>
      <c r="J67" s="118" t="s">
        <v>1449</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1443</v>
      </c>
    </row>
    <row r="68" spans="1:59">
      <c r="A68" s="112" t="s">
        <v>1574</v>
      </c>
      <c r="B68" s="112" t="s">
        <v>1575</v>
      </c>
      <c r="C68" s="113" t="s">
        <v>1453</v>
      </c>
      <c r="D68" s="114"/>
      <c r="E68" s="115">
        <v>90299</v>
      </c>
      <c r="F68" s="113" t="s">
        <v>1454</v>
      </c>
      <c r="G68" s="116">
        <v>308231</v>
      </c>
      <c r="H68" s="117">
        <v>12</v>
      </c>
      <c r="I68" s="113" t="s">
        <v>1450</v>
      </c>
      <c r="J68" s="118" t="s">
        <v>1442</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1443</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topLeftCell="A40" workbookViewId="0">
      <selection activeCell="G56" sqref="G56"/>
    </sheetView>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1623</v>
      </c>
      <c r="C2" s="9">
        <v>138700</v>
      </c>
    </row>
    <row r="3" spans="2:22">
      <c r="B3" s="1" t="s">
        <v>1624</v>
      </c>
      <c r="C3">
        <v>3412.14</v>
      </c>
      <c r="H3" s="125"/>
    </row>
    <row r="4" spans="2:22">
      <c r="B4" s="1" t="s">
        <v>1395</v>
      </c>
      <c r="C4" s="126" t="s">
        <v>1625</v>
      </c>
      <c r="D4" s="126" t="s">
        <v>1441</v>
      </c>
      <c r="E4" s="126" t="s">
        <v>1450</v>
      </c>
      <c r="F4" s="126" t="s">
        <v>1448</v>
      </c>
    </row>
    <row r="5" spans="2:22">
      <c r="B5" s="1"/>
      <c r="C5" s="1"/>
      <c r="D5" s="1"/>
      <c r="E5" s="1"/>
      <c r="F5" s="1"/>
    </row>
    <row r="6" spans="2:22">
      <c r="B6" s="1"/>
      <c r="C6" s="1"/>
      <c r="D6" s="1"/>
      <c r="E6" s="127" t="s">
        <v>1626</v>
      </c>
      <c r="F6" s="127"/>
      <c r="G6" s="128"/>
      <c r="H6" s="128"/>
      <c r="I6" s="128"/>
      <c r="J6" s="128"/>
      <c r="K6" s="128"/>
      <c r="L6" s="128"/>
      <c r="M6" s="128"/>
      <c r="N6" s="128"/>
      <c r="O6" s="128"/>
      <c r="P6" s="129" t="s">
        <v>1627</v>
      </c>
      <c r="Q6" s="130"/>
      <c r="R6" s="130"/>
      <c r="S6" s="130"/>
      <c r="T6" s="130"/>
      <c r="U6" s="130"/>
      <c r="V6" s="130"/>
    </row>
    <row r="7" spans="2:22">
      <c r="G7" s="131"/>
      <c r="H7" s="1" t="s">
        <v>1594</v>
      </c>
      <c r="I7" s="1"/>
      <c r="J7" s="1"/>
      <c r="K7" s="1"/>
      <c r="N7" s="1"/>
      <c r="O7" s="1"/>
    </row>
    <row r="8" spans="2:22">
      <c r="B8" s="132" t="s">
        <v>1388</v>
      </c>
      <c r="C8" s="132" t="s">
        <v>1388</v>
      </c>
      <c r="D8" s="1" t="s">
        <v>1628</v>
      </c>
      <c r="E8" s="1" t="s">
        <v>1399</v>
      </c>
      <c r="F8" s="1" t="s">
        <v>1409</v>
      </c>
      <c r="G8" s="1" t="s">
        <v>1431</v>
      </c>
      <c r="H8" s="1" t="s">
        <v>202</v>
      </c>
      <c r="I8" s="1" t="s">
        <v>1603</v>
      </c>
      <c r="J8" s="1" t="s">
        <v>1629</v>
      </c>
      <c r="K8" s="1" t="s">
        <v>1630</v>
      </c>
      <c r="L8" s="133" t="s">
        <v>1631</v>
      </c>
      <c r="M8" s="133" t="s">
        <v>1632</v>
      </c>
      <c r="N8" s="133" t="s">
        <v>1633</v>
      </c>
      <c r="O8" s="133" t="s">
        <v>1634</v>
      </c>
      <c r="P8" s="1" t="s">
        <v>1578</v>
      </c>
      <c r="Q8" s="1" t="s">
        <v>1586</v>
      </c>
      <c r="R8" s="1" t="s">
        <v>1590</v>
      </c>
      <c r="S8" s="1" t="s">
        <v>1635</v>
      </c>
      <c r="T8" s="1" t="s">
        <v>1636</v>
      </c>
      <c r="U8" s="133" t="s">
        <v>1637</v>
      </c>
      <c r="V8" s="133" t="s">
        <v>1638</v>
      </c>
    </row>
    <row r="9" spans="2:22">
      <c r="B9" s="134" t="s">
        <v>1639</v>
      </c>
      <c r="C9" s="134" t="s">
        <v>1640</v>
      </c>
      <c r="D9" t="s">
        <v>1641</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1642</v>
      </c>
      <c r="C10" s="134" t="s">
        <v>1643</v>
      </c>
      <c r="D10" t="s">
        <v>1644</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1645</v>
      </c>
      <c r="C11" s="134" t="s">
        <v>1565</v>
      </c>
      <c r="D11" t="s">
        <v>1646</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1647</v>
      </c>
      <c r="C12" s="134" t="s">
        <v>1648</v>
      </c>
      <c r="D12" t="s">
        <v>1649</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1650</v>
      </c>
      <c r="C13" s="134" t="s">
        <v>1453</v>
      </c>
      <c r="D13" t="s">
        <v>1651</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1652</v>
      </c>
      <c r="C14" s="134" t="s">
        <v>1483</v>
      </c>
      <c r="D14" t="s">
        <v>1653</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1654</v>
      </c>
      <c r="C15" s="134" t="s">
        <v>1562</v>
      </c>
      <c r="D15" t="s">
        <v>1655</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1656</v>
      </c>
      <c r="C16" s="134" t="s">
        <v>1657</v>
      </c>
      <c r="D16" t="s">
        <v>1658</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1457</v>
      </c>
      <c r="C17" s="134" t="s">
        <v>1457</v>
      </c>
      <c r="D17" t="s">
        <v>1659</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1660</v>
      </c>
      <c r="C18" s="134" t="s">
        <v>1479</v>
      </c>
      <c r="D18" t="s">
        <v>1661</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1662</v>
      </c>
      <c r="C19" s="134" t="s">
        <v>1501</v>
      </c>
      <c r="D19" t="s">
        <v>1663</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1664</v>
      </c>
      <c r="C20" s="134" t="s">
        <v>1665</v>
      </c>
      <c r="D20" t="s">
        <v>1666</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1667</v>
      </c>
      <c r="C21" s="134" t="s">
        <v>1668</v>
      </c>
      <c r="D21" t="s">
        <v>1669</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1670</v>
      </c>
      <c r="C22" s="134" t="s">
        <v>1460</v>
      </c>
      <c r="D22" t="s">
        <v>1671</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1672</v>
      </c>
      <c r="C23" s="134" t="s">
        <v>1546</v>
      </c>
      <c r="D23" t="s">
        <v>1673</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1674</v>
      </c>
      <c r="C24" s="134" t="s">
        <v>1675</v>
      </c>
      <c r="D24" t="s">
        <v>1676</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1677</v>
      </c>
      <c r="C25" s="134" t="s">
        <v>1678</v>
      </c>
      <c r="D25" t="s">
        <v>1679</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1680</v>
      </c>
      <c r="C26" s="134" t="s">
        <v>1681</v>
      </c>
      <c r="D26" t="s">
        <v>1682</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1683</v>
      </c>
      <c r="C27" s="134" t="s">
        <v>1684</v>
      </c>
      <c r="D27" t="s">
        <v>1685</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1686</v>
      </c>
      <c r="C28" s="134" t="s">
        <v>1571</v>
      </c>
      <c r="D28" t="s">
        <v>1687</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1688</v>
      </c>
      <c r="C29" s="134" t="s">
        <v>1475</v>
      </c>
      <c r="D29" t="s">
        <v>1689</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1690</v>
      </c>
      <c r="C30" s="134" t="s">
        <v>1465</v>
      </c>
      <c r="D30" t="s">
        <v>1691</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1692</v>
      </c>
      <c r="C31" s="134" t="s">
        <v>1693</v>
      </c>
      <c r="D31" t="s">
        <v>1694</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1695</v>
      </c>
      <c r="C32" s="134" t="s">
        <v>1508</v>
      </c>
      <c r="D32" t="s">
        <v>1696</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1697</v>
      </c>
      <c r="C33" s="134" t="s">
        <v>1698</v>
      </c>
      <c r="D33" t="s">
        <v>1699</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1700</v>
      </c>
      <c r="C34" s="134" t="s">
        <v>1515</v>
      </c>
      <c r="D34" t="s">
        <v>1701</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1702</v>
      </c>
      <c r="C35" s="134" t="s">
        <v>1703</v>
      </c>
      <c r="D35" t="s">
        <v>1704</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1705</v>
      </c>
      <c r="C36" s="134" t="s">
        <v>1706</v>
      </c>
      <c r="D36" t="s">
        <v>1707</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1708</v>
      </c>
      <c r="C37" s="134" t="s">
        <v>1709</v>
      </c>
      <c r="D37" t="s">
        <v>1710</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1711</v>
      </c>
      <c r="C38" s="134" t="s">
        <v>1712</v>
      </c>
      <c r="D38" t="s">
        <v>1713</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1714</v>
      </c>
      <c r="C39" s="134" t="s">
        <v>1446</v>
      </c>
      <c r="D39" t="s">
        <v>1715</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1716</v>
      </c>
      <c r="C40" s="134" t="s">
        <v>1551</v>
      </c>
      <c r="D40" t="s">
        <v>1717</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1485</v>
      </c>
      <c r="C41" s="134" t="s">
        <v>1438</v>
      </c>
      <c r="D41" t="s">
        <v>1718</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1719</v>
      </c>
      <c r="C42" s="134" t="s">
        <v>1524</v>
      </c>
      <c r="D42" t="s">
        <v>1720</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1721</v>
      </c>
      <c r="C43" s="134" t="s">
        <v>1722</v>
      </c>
      <c r="D43" t="s">
        <v>1723</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1724</v>
      </c>
      <c r="C44" s="134" t="s">
        <v>1518</v>
      </c>
      <c r="D44" t="s">
        <v>1725</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1726</v>
      </c>
      <c r="C45" s="134" t="s">
        <v>1727</v>
      </c>
      <c r="D45" t="s">
        <v>1728</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1729</v>
      </c>
      <c r="C46" s="134" t="s">
        <v>1498</v>
      </c>
      <c r="D46" t="s">
        <v>1730</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1731</v>
      </c>
      <c r="C47" s="134" t="s">
        <v>1469</v>
      </c>
      <c r="D47" t="s">
        <v>1732</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1733</v>
      </c>
      <c r="C48" s="134" t="s">
        <v>1734</v>
      </c>
      <c r="D48" t="s">
        <v>1735</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1736</v>
      </c>
      <c r="C49" s="134" t="s">
        <v>1737</v>
      </c>
      <c r="D49" t="s">
        <v>1738</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1739</v>
      </c>
      <c r="C50" s="134" t="s">
        <v>1740</v>
      </c>
      <c r="D50" t="s">
        <v>1741</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1742</v>
      </c>
      <c r="C51" s="134" t="s">
        <v>1557</v>
      </c>
      <c r="D51" t="s">
        <v>1743</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1744</v>
      </c>
      <c r="C52" s="134" t="s">
        <v>1472</v>
      </c>
      <c r="D52" t="s">
        <v>1745</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1746</v>
      </c>
      <c r="C53" s="134" t="s">
        <v>1490</v>
      </c>
      <c r="D53" t="s">
        <v>1747</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1748</v>
      </c>
      <c r="C54" s="134" t="s">
        <v>1749</v>
      </c>
      <c r="D54" t="s">
        <v>1750</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1751</v>
      </c>
      <c r="C55" s="134" t="s">
        <v>1521</v>
      </c>
      <c r="D55" t="s">
        <v>1752</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1456</v>
      </c>
      <c r="C56" s="134" t="s">
        <v>1527</v>
      </c>
      <c r="D56" t="s">
        <v>1753</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1754</v>
      </c>
      <c r="C57" s="134" t="s">
        <v>1755</v>
      </c>
      <c r="D57" t="s">
        <v>1756</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1757</v>
      </c>
      <c r="C58" s="134" t="s">
        <v>1758</v>
      </c>
      <c r="D58" t="s">
        <v>1759</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1760</v>
      </c>
      <c r="C59" s="134" t="s">
        <v>1761</v>
      </c>
      <c r="D59" t="s">
        <v>1762</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1763</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1764</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election activeCell="B7" sqref="B7"/>
    </sheetView>
  </sheetViews>
  <sheetFormatPr defaultRowHeight="15"/>
  <sheetData>
    <row r="1" spans="1:2">
      <c r="A1" t="s">
        <v>1767</v>
      </c>
    </row>
    <row r="2" spans="1:2">
      <c r="A2" t="s">
        <v>1765</v>
      </c>
    </row>
    <row r="3" spans="1:2">
      <c r="A3" t="s">
        <v>1766</v>
      </c>
    </row>
    <row r="5" spans="1:2">
      <c r="A5" t="s">
        <v>9</v>
      </c>
      <c r="B5">
        <v>5</v>
      </c>
    </row>
    <row r="6" spans="1:2">
      <c r="A6" t="s">
        <v>1768</v>
      </c>
      <c r="B6">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topLeftCell="A17" workbookViewId="0">
      <selection activeCell="A31" sqref="A31"/>
    </sheetView>
  </sheetViews>
  <sheetFormatPr defaultRowHeight="15"/>
  <cols>
    <col min="1" max="2" width="19" customWidth="1"/>
    <col min="3" max="3" width="8" bestFit="1" customWidth="1"/>
  </cols>
  <sheetData>
    <row r="1" spans="1:4" s="146" customFormat="1">
      <c r="A1" s="145" t="s">
        <v>3889</v>
      </c>
      <c r="B1" s="145" t="s">
        <v>3884</v>
      </c>
    </row>
    <row r="2" spans="1:4" ht="30">
      <c r="B2" s="8" t="s">
        <v>190</v>
      </c>
      <c r="C2" s="5">
        <v>2023</v>
      </c>
    </row>
    <row r="3" spans="1:4">
      <c r="A3" t="s">
        <v>3888</v>
      </c>
      <c r="B3" t="s">
        <v>4</v>
      </c>
      <c r="C3" s="6">
        <f>INDEX('AEO 2023 Table 7'!18:18,MATCH(C2,'AEO 2023 Table 7'!13:13,0))*1000000000/SUM('SYVbT-passenger'!B2:H2)</f>
        <v>11067.673242591927</v>
      </c>
      <c r="D3" s="125"/>
    </row>
    <row r="4" spans="1:4">
      <c r="A4" t="s">
        <v>3890</v>
      </c>
      <c r="B4" t="s">
        <v>5</v>
      </c>
      <c r="C4" s="6">
        <f>SUM('NTS 1-40'!AO12,'NTS 1-40'!AO14,'NTS 1-40'!AO18,'NTS 1-40'!AK20)*10^6/SUM('SYVbT-passenger'!B3:H3)/'AVLo-passengers'!B3*'Calibration multiplier'!B6</f>
        <v>18251.552731141834</v>
      </c>
      <c r="D4" s="125"/>
    </row>
    <row r="5" spans="1:4">
      <c r="B5" t="s">
        <v>6</v>
      </c>
      <c r="C5" s="6">
        <f>(SUM('AEO 2023 Table 47'!D43,'AEO 2023 Table 47'!D61)*1000000000)/'AEO 2023 Table 48'!D16/'AVLo-passengers'!C4</f>
        <v>1110041.4745966869</v>
      </c>
      <c r="D5" s="125"/>
    </row>
    <row r="6" spans="1:4">
      <c r="A6" t="s">
        <v>3891</v>
      </c>
      <c r="B6" t="s">
        <v>7</v>
      </c>
      <c r="C6" s="6">
        <f>'psgr rail calcs'!M62</f>
        <v>395569.47080291971</v>
      </c>
      <c r="D6" s="125"/>
    </row>
    <row r="7" spans="1:4">
      <c r="A7" t="s">
        <v>3892</v>
      </c>
      <c r="B7" t="s">
        <v>8</v>
      </c>
      <c r="C7" s="6">
        <f>SUM('NRBS 40'!D5,'NRBS 40'!D7,'NRBS 40'!D8)/SUM('NRBS 40'!B5,'NRBS 40'!B7,'NRBS 40'!B8)*1000</f>
        <v>194.17552144824873</v>
      </c>
      <c r="D7" s="125"/>
    </row>
    <row r="8" spans="1:4">
      <c r="A8" t="s">
        <v>3890</v>
      </c>
      <c r="B8" t="s">
        <v>9</v>
      </c>
      <c r="C8" s="6">
        <f>'NTS 1-40'!AO8*1000000/'SYVbT-passenger'!D7/'AVLo-passengers'!D7*'Calibration multiplier'!$B$5</f>
        <v>8560.5851028082216</v>
      </c>
      <c r="D8" s="125"/>
    </row>
    <row r="9" spans="1:4">
      <c r="C9" s="6"/>
    </row>
    <row r="10" spans="1:4" s="146" customFormat="1">
      <c r="B10" s="145" t="s">
        <v>3885</v>
      </c>
    </row>
    <row r="11" spans="1:4" ht="30">
      <c r="B11" s="8" t="s">
        <v>190</v>
      </c>
      <c r="C11" s="1">
        <v>2023</v>
      </c>
    </row>
    <row r="12" spans="1:4">
      <c r="A12" t="s">
        <v>3893</v>
      </c>
      <c r="B12" t="s">
        <v>4</v>
      </c>
      <c r="C12" s="6">
        <f>(INDEX('AEO 2023 Table 7'!19:19,MATCH(C11,'AEO 2023 Table 7'!$13:$13,0))+INDEX('AEO 2023 Table 49'!28:28,MATCH(C11,'AEO 2023 Table 49'!13:13,0))+INDEX('AEO 2023 Table 49'!39:39,MATCH(C11,'AEO 2023 Table 49'!13:13,0)))*1000000000/SUM('SYVbT-freight'!$B$2:$H$2)</f>
        <v>10155.518872505058</v>
      </c>
    </row>
    <row r="13" spans="1:4">
      <c r="A13" t="s">
        <v>3893</v>
      </c>
      <c r="B13" t="s">
        <v>5</v>
      </c>
      <c r="C13" s="6">
        <f>(INDEX('AEO 2023 Table 49'!50:50,MATCH(C11,'AEO 2023 Table 49'!13:13,0)))*1000000000/SUM('SYVbT-freight'!$B$3:$H$3)</f>
        <v>34683.392828657736</v>
      </c>
    </row>
    <row r="14" spans="1:4">
      <c r="B14" t="s">
        <v>6</v>
      </c>
      <c r="C14" s="6">
        <f>('AEO 2023 Table 47'!D81*10^9)/'AEO 2025 Table 48'!F214/'AVLo-freight'!B4</f>
        <v>1067218.0060523003</v>
      </c>
    </row>
    <row r="15" spans="1:4">
      <c r="A15" t="s">
        <v>3893</v>
      </c>
      <c r="B15" t="s">
        <v>7</v>
      </c>
      <c r="C15" s="6">
        <f>INDEX('AEO 2023 Table 7'!27:27,MATCH(C11,'AEO 2023 Table 7'!13:13,0))*1000000000/'SYVbT-freight'!E5/'AVLo-freight'!B5</f>
        <v>18574.695684378694</v>
      </c>
    </row>
    <row r="16" spans="1:4">
      <c r="A16" t="s">
        <v>3893</v>
      </c>
      <c r="B16" t="s">
        <v>8</v>
      </c>
      <c r="C16" s="6">
        <f>(INDEX('AEO 2023 Table 7'!28:28,MATCH(C11,'AEO 2023 Table 7'!$13:$13,0))*1000000000/'SYVbT-freight'!E6/'AVLo-freight'!B6)*(('AEO 2023 Table 7'!C62+'AEO 2023 Table 7'!C63)/'AEO 2023 Table 7'!C62)</f>
        <v>247922.9173018997</v>
      </c>
    </row>
    <row r="17" spans="1:30">
      <c r="B17" t="s">
        <v>9</v>
      </c>
      <c r="C17" s="6">
        <v>0</v>
      </c>
    </row>
    <row r="19" spans="1:30" s="146" customFormat="1">
      <c r="B19" s="145" t="s">
        <v>3886</v>
      </c>
    </row>
    <row r="20" spans="1:30" ht="30">
      <c r="B20" s="8" t="s">
        <v>190</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3893</v>
      </c>
      <c r="B21" t="s">
        <v>4</v>
      </c>
      <c r="C21" s="6">
        <f>C3</f>
        <v>11067.673242591927</v>
      </c>
      <c r="D21" s="6">
        <f>INDEX('AEO 2025 Table 7'!9:9,MATCH(D20,'AEO 2025 Table 7'!5:5,0))*1000000000/(INDEX('AEO 2025 Table 39'!50:50,MATCH(D20,'AEO 2025 Table 39'!5:5,0))*10^6)</f>
        <v>11353.892301695438</v>
      </c>
      <c r="E21" s="6">
        <f>INDEX('AEO 2025 Table 7'!9:9,MATCH(E20,'AEO 2025 Table 7'!5:5,0))*1000000000/(INDEX('AEO 2025 Table 39'!50:50,MATCH(E20,'AEO 2025 Table 39'!5:5,0))*10^6)</f>
        <v>11469.640736942216</v>
      </c>
      <c r="F21" s="6">
        <f>INDEX('AEO 2025 Table 7'!9:9,MATCH(F20,'AEO 2025 Table 7'!5:5,0))*1000000000/(INDEX('AEO 2025 Table 39'!50:50,MATCH(F20,'AEO 2025 Table 39'!5:5,0))*10^6)</f>
        <v>11489.003893438601</v>
      </c>
      <c r="G21" s="6">
        <f>INDEX('AEO 2025 Table 7'!9:9,MATCH(G20,'AEO 2025 Table 7'!5:5,0))*1000000000/(INDEX('AEO 2025 Table 39'!50:50,MATCH(G20,'AEO 2025 Table 39'!5:5,0))*10^6)</f>
        <v>11477.479114601931</v>
      </c>
      <c r="H21" s="6">
        <f>INDEX('AEO 2025 Table 7'!9:9,MATCH(H20,'AEO 2025 Table 7'!5:5,0))*1000000000/(INDEX('AEO 2025 Table 39'!50:50,MATCH(H20,'AEO 2025 Table 39'!5:5,0))*10^6)</f>
        <v>11475.677266729082</v>
      </c>
      <c r="I21" s="6">
        <f>INDEX('AEO 2025 Table 7'!9:9,MATCH(I20,'AEO 2025 Table 7'!5:5,0))*1000000000/(INDEX('AEO 2025 Table 39'!50:50,MATCH(I20,'AEO 2025 Table 39'!5:5,0))*10^6)</f>
        <v>11491.666492883422</v>
      </c>
      <c r="J21" s="6">
        <f>INDEX('AEO 2025 Table 7'!9:9,MATCH(J20,'AEO 2025 Table 7'!5:5,0))*1000000000/(INDEX('AEO 2025 Table 39'!50:50,MATCH(J20,'AEO 2025 Table 39'!5:5,0))*10^6)</f>
        <v>11523.767990122322</v>
      </c>
      <c r="K21" s="6">
        <f>INDEX('AEO 2025 Table 7'!9:9,MATCH(K20,'AEO 2025 Table 7'!5:5,0))*1000000000/(INDEX('AEO 2025 Table 39'!50:50,MATCH(K20,'AEO 2025 Table 39'!5:5,0))*10^6)</f>
        <v>11570.954055450758</v>
      </c>
      <c r="L21" s="6">
        <f>INDEX('AEO 2025 Table 7'!9:9,MATCH(L20,'AEO 2025 Table 7'!5:5,0))*1000000000/(INDEX('AEO 2025 Table 39'!50:50,MATCH(L20,'AEO 2025 Table 39'!5:5,0))*10^6)</f>
        <v>11602.923239935082</v>
      </c>
      <c r="M21" s="6">
        <f>INDEX('AEO 2025 Table 7'!9:9,MATCH(M20,'AEO 2025 Table 7'!5:5,0))*1000000000/(INDEX('AEO 2025 Table 39'!50:50,MATCH(M20,'AEO 2025 Table 39'!5:5,0))*10^6)</f>
        <v>11628.950376342538</v>
      </c>
      <c r="N21" s="6">
        <f>INDEX('AEO 2025 Table 7'!9:9,MATCH(N20,'AEO 2025 Table 7'!5:5,0))*1000000000/(INDEX('AEO 2025 Table 39'!50:50,MATCH(N20,'AEO 2025 Table 39'!5:5,0))*10^6)</f>
        <v>11653.282652326563</v>
      </c>
      <c r="O21" s="6">
        <f>INDEX('AEO 2025 Table 7'!9:9,MATCH(O20,'AEO 2025 Table 7'!5:5,0))*1000000000/(INDEX('AEO 2025 Table 39'!50:50,MATCH(O20,'AEO 2025 Table 39'!5:5,0))*10^6)</f>
        <v>11671.191106710465</v>
      </c>
      <c r="P21" s="6">
        <f>INDEX('AEO 2025 Table 7'!9:9,MATCH(P20,'AEO 2025 Table 7'!5:5,0))*1000000000/(INDEX('AEO 2025 Table 39'!50:50,MATCH(P20,'AEO 2025 Table 39'!5:5,0))*10^6)</f>
        <v>11698.841868044472</v>
      </c>
      <c r="Q21" s="6">
        <f>INDEX('AEO 2025 Table 7'!9:9,MATCH(Q20,'AEO 2025 Table 7'!5:5,0))*1000000000/(INDEX('AEO 2025 Table 39'!50:50,MATCH(Q20,'AEO 2025 Table 39'!5:5,0))*10^6)</f>
        <v>11743.312689490698</v>
      </c>
      <c r="R21" s="6">
        <f>INDEX('AEO 2025 Table 7'!9:9,MATCH(R20,'AEO 2025 Table 7'!5:5,0))*1000000000/(INDEX('AEO 2025 Table 39'!50:50,MATCH(R20,'AEO 2025 Table 39'!5:5,0))*10^6)</f>
        <v>11794.997891015239</v>
      </c>
      <c r="S21" s="6">
        <f>INDEX('AEO 2025 Table 7'!9:9,MATCH(S20,'AEO 2025 Table 7'!5:5,0))*1000000000/(INDEX('AEO 2025 Table 39'!50:50,MATCH(S20,'AEO 2025 Table 39'!5:5,0))*10^6)</f>
        <v>11839.748147218641</v>
      </c>
      <c r="T21" s="6">
        <f>INDEX('AEO 2025 Table 7'!9:9,MATCH(T20,'AEO 2025 Table 7'!5:5,0))*1000000000/(INDEX('AEO 2025 Table 39'!50:50,MATCH(T20,'AEO 2025 Table 39'!5:5,0))*10^6)</f>
        <v>11885.026611426378</v>
      </c>
      <c r="U21" s="6">
        <f>INDEX('AEO 2025 Table 7'!9:9,MATCH(U20,'AEO 2025 Table 7'!5:5,0))*1000000000/(INDEX('AEO 2025 Table 39'!50:50,MATCH(U20,'AEO 2025 Table 39'!5:5,0))*10^6)</f>
        <v>11927.907204303223</v>
      </c>
      <c r="V21" s="6">
        <f>INDEX('AEO 2025 Table 7'!9:9,MATCH(V20,'AEO 2025 Table 7'!5:5,0))*1000000000/(INDEX('AEO 2025 Table 39'!50:50,MATCH(V20,'AEO 2025 Table 39'!5:5,0))*10^6)</f>
        <v>11968.612195139185</v>
      </c>
      <c r="W21" s="6">
        <f>INDEX('AEO 2025 Table 7'!9:9,MATCH(W20,'AEO 2025 Table 7'!5:5,0))*1000000000/(INDEX('AEO 2025 Table 39'!50:50,MATCH(W20,'AEO 2025 Table 39'!5:5,0))*10^6)</f>
        <v>12006.037013431453</v>
      </c>
      <c r="X21" s="6">
        <f>INDEX('AEO 2025 Table 7'!9:9,MATCH(X20,'AEO 2025 Table 7'!5:5,0))*1000000000/(INDEX('AEO 2025 Table 39'!50:50,MATCH(X20,'AEO 2025 Table 39'!5:5,0))*10^6)</f>
        <v>12040.376640416156</v>
      </c>
      <c r="Y21" s="6">
        <f>INDEX('AEO 2025 Table 7'!9:9,MATCH(Y20,'AEO 2025 Table 7'!5:5,0))*1000000000/(INDEX('AEO 2025 Table 39'!50:50,MATCH(Y20,'AEO 2025 Table 39'!5:5,0))*10^6)</f>
        <v>12072.086790800531</v>
      </c>
      <c r="Z21" s="6">
        <f>INDEX('AEO 2025 Table 7'!9:9,MATCH(Z20,'AEO 2025 Table 7'!5:5,0))*1000000000/(INDEX('AEO 2025 Table 39'!50:50,MATCH(Z20,'AEO 2025 Table 39'!5:5,0))*10^6)</f>
        <v>12107.652291967081</v>
      </c>
      <c r="AA21" s="6">
        <f>INDEX('AEO 2025 Table 7'!9:9,MATCH(AA20,'AEO 2025 Table 7'!5:5,0))*1000000000/(INDEX('AEO 2025 Table 39'!50:50,MATCH(AA20,'AEO 2025 Table 39'!5:5,0))*10^6)</f>
        <v>12155.155132560492</v>
      </c>
      <c r="AB21" s="6">
        <f>INDEX('AEO 2025 Table 7'!9:9,MATCH(AB20,'AEO 2025 Table 7'!5:5,0))*1000000000/(INDEX('AEO 2025 Table 39'!50:50,MATCH(AB20,'AEO 2025 Table 39'!5:5,0))*10^6)</f>
        <v>12215.201665330957</v>
      </c>
      <c r="AC21" s="6">
        <f>INDEX('AEO 2025 Table 7'!9:9,MATCH(AC20,'AEO 2025 Table 7'!5:5,0))*1000000000/(INDEX('AEO 2025 Table 39'!50:50,MATCH(AC20,'AEO 2025 Table 39'!5:5,0))*10^6)</f>
        <v>12282.672218616737</v>
      </c>
      <c r="AD21" s="6">
        <f>INDEX('AEO 2025 Table 7'!9:9,MATCH(AD20,'AEO 2025 Table 7'!5:5,0))*1000000000/(INDEX('AEO 2025 Table 39'!50:50,MATCH(AD20,'AEO 2025 Table 39'!5:5,0))*10^6)</f>
        <v>12356.340785306031</v>
      </c>
    </row>
    <row r="22" spans="1:30">
      <c r="A22" t="s">
        <v>3890</v>
      </c>
      <c r="B22" t="s">
        <v>5</v>
      </c>
      <c r="C22" s="6">
        <f t="shared" ref="C22:C26" si="0">C4</f>
        <v>18251.552731141834</v>
      </c>
      <c r="D22" s="6">
        <f>C22</f>
        <v>18251.552731141834</v>
      </c>
      <c r="E22" s="6">
        <f t="shared" ref="E22:AD22" si="1">D22</f>
        <v>18251.552731141834</v>
      </c>
      <c r="F22" s="6">
        <f t="shared" si="1"/>
        <v>18251.552731141834</v>
      </c>
      <c r="G22" s="6">
        <f t="shared" si="1"/>
        <v>18251.552731141834</v>
      </c>
      <c r="H22" s="6">
        <f t="shared" si="1"/>
        <v>18251.552731141834</v>
      </c>
      <c r="I22" s="6">
        <f t="shared" si="1"/>
        <v>18251.552731141834</v>
      </c>
      <c r="J22" s="6">
        <f t="shared" si="1"/>
        <v>18251.552731141834</v>
      </c>
      <c r="K22" s="6">
        <f t="shared" si="1"/>
        <v>18251.552731141834</v>
      </c>
      <c r="L22" s="6">
        <f t="shared" si="1"/>
        <v>18251.552731141834</v>
      </c>
      <c r="M22" s="6">
        <f t="shared" si="1"/>
        <v>18251.552731141834</v>
      </c>
      <c r="N22" s="6">
        <f t="shared" si="1"/>
        <v>18251.552731141834</v>
      </c>
      <c r="O22" s="6">
        <f t="shared" si="1"/>
        <v>18251.552731141834</v>
      </c>
      <c r="P22" s="6">
        <f t="shared" si="1"/>
        <v>18251.552731141834</v>
      </c>
      <c r="Q22" s="6">
        <f t="shared" si="1"/>
        <v>18251.552731141834</v>
      </c>
      <c r="R22" s="6">
        <f t="shared" si="1"/>
        <v>18251.552731141834</v>
      </c>
      <c r="S22" s="6">
        <f t="shared" si="1"/>
        <v>18251.552731141834</v>
      </c>
      <c r="T22" s="6">
        <f t="shared" si="1"/>
        <v>18251.552731141834</v>
      </c>
      <c r="U22" s="6">
        <f t="shared" si="1"/>
        <v>18251.552731141834</v>
      </c>
      <c r="V22" s="6">
        <f t="shared" si="1"/>
        <v>18251.552731141834</v>
      </c>
      <c r="W22" s="6">
        <f t="shared" si="1"/>
        <v>18251.552731141834</v>
      </c>
      <c r="X22" s="6">
        <f t="shared" si="1"/>
        <v>18251.552731141834</v>
      </c>
      <c r="Y22" s="6">
        <f t="shared" si="1"/>
        <v>18251.552731141834</v>
      </c>
      <c r="Z22" s="6">
        <f t="shared" si="1"/>
        <v>18251.552731141834</v>
      </c>
      <c r="AA22" s="6">
        <f t="shared" si="1"/>
        <v>18251.552731141834</v>
      </c>
      <c r="AB22" s="6">
        <f t="shared" si="1"/>
        <v>18251.552731141834</v>
      </c>
      <c r="AC22" s="6">
        <f t="shared" si="1"/>
        <v>18251.552731141834</v>
      </c>
      <c r="AD22" s="6">
        <f t="shared" si="1"/>
        <v>18251.552731141834</v>
      </c>
    </row>
    <row r="23" spans="1:30">
      <c r="A23" t="s">
        <v>3893</v>
      </c>
      <c r="B23" t="s">
        <v>6</v>
      </c>
      <c r="C23" s="6">
        <f t="shared" si="0"/>
        <v>1110041.4745966869</v>
      </c>
      <c r="D23" s="6">
        <f>(SUM('AEO 2025 Table 47'!F31,'AEO 2025 Table 47'!F49)*1000000000)/'AEO 2025 Table 48'!F7/'AVLo-passengers'!D4</f>
        <v>1352050.6454086525</v>
      </c>
      <c r="E23" s="6">
        <f>(SUM('AEO 2025 Table 47'!G31,'AEO 2025 Table 47'!G49)*1000000000)/'AEO 2025 Table 48'!G7/'AVLo-passengers'!E4</f>
        <v>1355851.6765997587</v>
      </c>
      <c r="F23" s="6">
        <f>(SUM('AEO 2025 Table 47'!H31,'AEO 2025 Table 47'!H49)*1000000000)/'AEO 2025 Table 48'!H7/'AVLo-passengers'!F4</f>
        <v>1359799.3833858497</v>
      </c>
      <c r="G23" s="6">
        <f>(SUM('AEO 2025 Table 47'!I31,'AEO 2025 Table 47'!I49)*1000000000)/'AEO 2025 Table 48'!I7/'AVLo-passengers'!G4</f>
        <v>1363444.4059371913</v>
      </c>
      <c r="H23" s="6">
        <f>(SUM('AEO 2025 Table 47'!J31,'AEO 2025 Table 47'!J49)*1000000000)/'AEO 2025 Table 48'!J7/'AVLo-passengers'!H4</f>
        <v>1366602.1273323172</v>
      </c>
      <c r="I23" s="6">
        <f>(SUM('AEO 2025 Table 47'!K31,'AEO 2025 Table 47'!K49)*1000000000)/'AEO 2025 Table 48'!K7/'AVLo-passengers'!I4</f>
        <v>1369683.7734164535</v>
      </c>
      <c r="J23" s="6">
        <f>(SUM('AEO 2025 Table 47'!L31,'AEO 2025 Table 47'!L49)*1000000000)/'AEO 2025 Table 48'!L7/'AVLo-passengers'!J4</f>
        <v>1373380.4039214</v>
      </c>
      <c r="K23" s="6">
        <f>(SUM('AEO 2025 Table 47'!M31,'AEO 2025 Table 47'!M49)*1000000000)/'AEO 2025 Table 48'!M7/'AVLo-passengers'!K4</f>
        <v>1376682.4344130389</v>
      </c>
      <c r="L23" s="6">
        <f>(SUM('AEO 2025 Table 47'!N31,'AEO 2025 Table 47'!N49)*1000000000)/'AEO 2025 Table 48'!N7/'AVLo-passengers'!L4</f>
        <v>1379962.6066840247</v>
      </c>
      <c r="M23" s="6">
        <f>(SUM('AEO 2025 Table 47'!O31,'AEO 2025 Table 47'!O49)*1000000000)/'AEO 2025 Table 48'!O7/'AVLo-passengers'!M4</f>
        <v>1383157.6839885525</v>
      </c>
      <c r="N23" s="6">
        <f>(SUM('AEO 2025 Table 47'!P31,'AEO 2025 Table 47'!P49)*1000000000)/'AEO 2025 Table 48'!P7/'AVLo-passengers'!N4</f>
        <v>1386170.5241252417</v>
      </c>
      <c r="O23" s="6">
        <f>(SUM('AEO 2025 Table 47'!Q31,'AEO 2025 Table 47'!Q49)*1000000000)/'AEO 2025 Table 48'!Q7/'AVLo-passengers'!O4</f>
        <v>1389159.9301688247</v>
      </c>
      <c r="P23" s="6">
        <f>(SUM('AEO 2025 Table 47'!R31,'AEO 2025 Table 47'!R49)*1000000000)/'AEO 2025 Table 48'!R7/'AVLo-passengers'!P4</f>
        <v>1392049.5155441784</v>
      </c>
      <c r="Q23" s="6">
        <f>(SUM('AEO 2025 Table 47'!S31,'AEO 2025 Table 47'!S49)*1000000000)/'AEO 2025 Table 48'!S7/'AVLo-passengers'!Q4</f>
        <v>1394894.7668704866</v>
      </c>
      <c r="R23" s="6">
        <f>(SUM('AEO 2025 Table 47'!T31,'AEO 2025 Table 47'!T49)*1000000000)/'AEO 2025 Table 48'!T7/'AVLo-passengers'!R4</f>
        <v>1397715.4708826004</v>
      </c>
      <c r="S23" s="6">
        <f>(SUM('AEO 2025 Table 47'!U31,'AEO 2025 Table 47'!U49)*1000000000)/'AEO 2025 Table 48'!U7/'AVLo-passengers'!S4</f>
        <v>1400437.7969721695</v>
      </c>
      <c r="T23" s="6">
        <f>(SUM('AEO 2025 Table 47'!V31,'AEO 2025 Table 47'!V49)*1000000000)/'AEO 2025 Table 48'!V7/'AVLo-passengers'!T4</f>
        <v>1403116.8797713919</v>
      </c>
      <c r="U23" s="6">
        <f>(SUM('AEO 2025 Table 47'!W31,'AEO 2025 Table 47'!W49)*1000000000)/'AEO 2025 Table 48'!W7/'AVLo-passengers'!U4</f>
        <v>1405713.7038566347</v>
      </c>
      <c r="V23" s="6">
        <f>(SUM('AEO 2025 Table 47'!X31,'AEO 2025 Table 47'!X49)*1000000000)/'AEO 2025 Table 48'!X7/'AVLo-passengers'!V4</f>
        <v>1408334.7440102235</v>
      </c>
      <c r="W23" s="6">
        <f>(SUM('AEO 2025 Table 47'!Y31,'AEO 2025 Table 47'!Y49)*1000000000)/'AEO 2025 Table 48'!Y7/'AVLo-passengers'!W4</f>
        <v>1410873.6929825086</v>
      </c>
      <c r="X23" s="6">
        <f>(SUM('AEO 2025 Table 47'!Z31,'AEO 2025 Table 47'!Z49)*1000000000)/'AEO 2025 Table 48'!Z7/'AVLo-passengers'!X4</f>
        <v>1413292.1537373201</v>
      </c>
      <c r="Y23" s="6">
        <f>(SUM('AEO 2025 Table 47'!AA31,'AEO 2025 Table 47'!AA49)*1000000000)/'AEO 2025 Table 48'!AA7/'AVLo-passengers'!Y4</f>
        <v>1415645.8300177362</v>
      </c>
      <c r="Z23" s="6">
        <f>(SUM('AEO 2025 Table 47'!AB31,'AEO 2025 Table 47'!AB49)*1000000000)/'AEO 2025 Table 48'!AB7/'AVLo-passengers'!Z4</f>
        <v>1417941.0565120487</v>
      </c>
      <c r="AA23" s="6">
        <f>(SUM('AEO 2025 Table 47'!AC31,'AEO 2025 Table 47'!AC49)*1000000000)/'AEO 2025 Table 48'!AC7/'AVLo-passengers'!AA4</f>
        <v>1420334.2884784692</v>
      </c>
      <c r="AB23" s="6">
        <f>(SUM('AEO 2025 Table 47'!AD31,'AEO 2025 Table 47'!AD49)*1000000000)/'AEO 2025 Table 48'!AD7/'AVLo-passengers'!AB4</f>
        <v>1422741.4808617937</v>
      </c>
      <c r="AC23" s="6">
        <f>(SUM('AEO 2025 Table 47'!AE31,'AEO 2025 Table 47'!AE49)*1000000000)/'AEO 2025 Table 48'!AE7/'AVLo-passengers'!AC4</f>
        <v>1425060.8477680155</v>
      </c>
      <c r="AD23" s="6">
        <f>(SUM('AEO 2025 Table 47'!AF31,'AEO 2025 Table 47'!AF49)*1000000000)/'AEO 2025 Table 48'!AF7/'AVLo-passengers'!AD4</f>
        <v>1427324.7784093246</v>
      </c>
    </row>
    <row r="24" spans="1:30">
      <c r="A24" t="s">
        <v>3911</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3892</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3890</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B28" s="145" t="s">
        <v>3887</v>
      </c>
    </row>
    <row r="29" spans="1:30" ht="30">
      <c r="B29" s="8" t="s">
        <v>190</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3893</v>
      </c>
      <c r="B30" t="s">
        <v>4</v>
      </c>
      <c r="C30" s="6">
        <f>C12</f>
        <v>10155.518872505058</v>
      </c>
      <c r="D30" s="6">
        <f>('AEO 2025 Table 7'!F10+'AEO 2025 Table 49'!F21+'AEO 2025 Table 49'!F35)*10^9/('AEO 2025 Table 45'!F63*1000+
('AEO 2025 Table 49'!F166+'AEO 2025 Table 49'!F180)*10^6)</f>
        <v>9916.3883242938973</v>
      </c>
      <c r="E30" s="6">
        <f>('AEO 2025 Table 7'!G10+'AEO 2025 Table 49'!G21+'AEO 2025 Table 49'!G35)*10^9/('AEO 2025 Table 45'!G63*1000+
('AEO 2025 Table 49'!G166+'AEO 2025 Table 49'!G180)*10^6)</f>
        <v>9903.0398731750483</v>
      </c>
      <c r="F30" s="6">
        <f>('AEO 2025 Table 7'!H10+'AEO 2025 Table 49'!H21+'AEO 2025 Table 49'!H35)*10^9/('AEO 2025 Table 45'!H63*1000+
('AEO 2025 Table 49'!H166+'AEO 2025 Table 49'!H180)*10^6)</f>
        <v>9817.3100034834206</v>
      </c>
      <c r="G30" s="6">
        <f>('AEO 2025 Table 7'!I10+'AEO 2025 Table 49'!I21+'AEO 2025 Table 49'!I35)*10^9/('AEO 2025 Table 45'!I63*1000+
('AEO 2025 Table 49'!I166+'AEO 2025 Table 49'!I180)*10^6)</f>
        <v>9729.45060479729</v>
      </c>
      <c r="H30" s="6">
        <f>('AEO 2025 Table 7'!J10+'AEO 2025 Table 49'!J21+'AEO 2025 Table 49'!J35)*10^9/('AEO 2025 Table 45'!J63*1000+
('AEO 2025 Table 49'!J166+'AEO 2025 Table 49'!J180)*10^6)</f>
        <v>9642.871246047891</v>
      </c>
      <c r="I30" s="6">
        <f>('AEO 2025 Table 7'!K10+'AEO 2025 Table 49'!K21+'AEO 2025 Table 49'!K35)*10^9/('AEO 2025 Table 45'!K63*1000+
('AEO 2025 Table 49'!K166+'AEO 2025 Table 49'!K180)*10^6)</f>
        <v>9600.0516071221045</v>
      </c>
      <c r="J30" s="6">
        <f>('AEO 2025 Table 7'!L10+'AEO 2025 Table 49'!L21+'AEO 2025 Table 49'!L35)*10^9/('AEO 2025 Table 45'!L63*1000+
('AEO 2025 Table 49'!L166+'AEO 2025 Table 49'!L180)*10^6)</f>
        <v>9584.769867585479</v>
      </c>
      <c r="K30" s="6">
        <f>('AEO 2025 Table 7'!M10+'AEO 2025 Table 49'!M21+'AEO 2025 Table 49'!M35)*10^9/('AEO 2025 Table 45'!M63*1000+
('AEO 2025 Table 49'!M166+'AEO 2025 Table 49'!M180)*10^6)</f>
        <v>9584.9365802218308</v>
      </c>
      <c r="L30" s="6">
        <f>('AEO 2025 Table 7'!N10+'AEO 2025 Table 49'!N21+'AEO 2025 Table 49'!N35)*10^9/('AEO 2025 Table 45'!N63*1000+
('AEO 2025 Table 49'!N166+'AEO 2025 Table 49'!N180)*10^6)</f>
        <v>9590.7812590426129</v>
      </c>
      <c r="M30" s="6">
        <f>('AEO 2025 Table 7'!O10+'AEO 2025 Table 49'!O21+'AEO 2025 Table 49'!O35)*10^9/('AEO 2025 Table 45'!O63*1000+
('AEO 2025 Table 49'!O166+'AEO 2025 Table 49'!O180)*10^6)</f>
        <v>9610.7278559055176</v>
      </c>
      <c r="N30" s="6">
        <f>('AEO 2025 Table 7'!P10+'AEO 2025 Table 49'!P21+'AEO 2025 Table 49'!P35)*10^9/('AEO 2025 Table 45'!P63*1000+
('AEO 2025 Table 49'!P166+'AEO 2025 Table 49'!P180)*10^6)</f>
        <v>9645.3130318687054</v>
      </c>
      <c r="O30" s="6">
        <f>('AEO 2025 Table 7'!Q10+'AEO 2025 Table 49'!Q21+'AEO 2025 Table 49'!Q35)*10^9/('AEO 2025 Table 45'!Q63*1000+
('AEO 2025 Table 49'!Q166+'AEO 2025 Table 49'!Q180)*10^6)</f>
        <v>9688.6300094460603</v>
      </c>
      <c r="P30" s="6">
        <f>('AEO 2025 Table 7'!R10+'AEO 2025 Table 49'!R21+'AEO 2025 Table 49'!R35)*10^9/('AEO 2025 Table 45'!R63*1000+
('AEO 2025 Table 49'!R166+'AEO 2025 Table 49'!R180)*10^6)</f>
        <v>9739.1109433827241</v>
      </c>
      <c r="Q30" s="6">
        <f>('AEO 2025 Table 7'!S10+'AEO 2025 Table 49'!S21+'AEO 2025 Table 49'!S35)*10^9/('AEO 2025 Table 45'!S63*1000+
('AEO 2025 Table 49'!S166+'AEO 2025 Table 49'!S180)*10^6)</f>
        <v>9793.7936915454047</v>
      </c>
      <c r="R30" s="6">
        <f>('AEO 2025 Table 7'!T10+'AEO 2025 Table 49'!T21+'AEO 2025 Table 49'!T35)*10^9/('AEO 2025 Table 45'!T63*1000+
('AEO 2025 Table 49'!T166+'AEO 2025 Table 49'!T180)*10^6)</f>
        <v>9851.3301657006796</v>
      </c>
      <c r="S30" s="6">
        <f>('AEO 2025 Table 7'!U10+'AEO 2025 Table 49'!U21+'AEO 2025 Table 49'!U35)*10^9/('AEO 2025 Table 45'!U63*1000+
('AEO 2025 Table 49'!U166+'AEO 2025 Table 49'!U180)*10^6)</f>
        <v>9903.8310794226527</v>
      </c>
      <c r="T30" s="6">
        <f>('AEO 2025 Table 7'!V10+'AEO 2025 Table 49'!V21+'AEO 2025 Table 49'!V35)*10^9/('AEO 2025 Table 45'!V63*1000+
('AEO 2025 Table 49'!V166+'AEO 2025 Table 49'!V180)*10^6)</f>
        <v>9968.2795931297442</v>
      </c>
      <c r="U30" s="6">
        <f>('AEO 2025 Table 7'!W10+'AEO 2025 Table 49'!W21+'AEO 2025 Table 49'!W35)*10^9/('AEO 2025 Table 45'!W63*1000+
('AEO 2025 Table 49'!W166+'AEO 2025 Table 49'!W180)*10^6)</f>
        <v>10019.891923869256</v>
      </c>
      <c r="V30" s="6">
        <f>('AEO 2025 Table 7'!X10+'AEO 2025 Table 49'!X21+'AEO 2025 Table 49'!X35)*10^9/('AEO 2025 Table 45'!X63*1000+
('AEO 2025 Table 49'!X166+'AEO 2025 Table 49'!X180)*10^6)</f>
        <v>10066.010048571503</v>
      </c>
      <c r="W30" s="6">
        <f>('AEO 2025 Table 7'!Y10+'AEO 2025 Table 49'!Y21+'AEO 2025 Table 49'!Y35)*10^9/('AEO 2025 Table 45'!Y63*1000+
('AEO 2025 Table 49'!Y166+'AEO 2025 Table 49'!Y180)*10^6)</f>
        <v>10082.764999371682</v>
      </c>
      <c r="X30" s="6">
        <f>('AEO 2025 Table 7'!Z10+'AEO 2025 Table 49'!Z21+'AEO 2025 Table 49'!Z35)*10^9/('AEO 2025 Table 45'!Z63*1000+
('AEO 2025 Table 49'!Z166+'AEO 2025 Table 49'!Z180)*10^6)</f>
        <v>10084.301849881855</v>
      </c>
      <c r="Y30" s="6">
        <f>('AEO 2025 Table 7'!AA10+'AEO 2025 Table 49'!AA21+'AEO 2025 Table 49'!AA35)*10^9/('AEO 2025 Table 45'!AA63*1000+
('AEO 2025 Table 49'!AA166+'AEO 2025 Table 49'!AA180)*10^6)</f>
        <v>10096.712873800139</v>
      </c>
      <c r="Z30" s="6">
        <f>('AEO 2025 Table 7'!AB10+'AEO 2025 Table 49'!AB21+'AEO 2025 Table 49'!AB35)*10^9/('AEO 2025 Table 45'!AB63*1000+
('AEO 2025 Table 49'!AB166+'AEO 2025 Table 49'!AB180)*10^6)</f>
        <v>10116.925595529277</v>
      </c>
      <c r="AA30" s="6">
        <f>('AEO 2025 Table 7'!AC10+'AEO 2025 Table 49'!AC21+'AEO 2025 Table 49'!AC35)*10^9/('AEO 2025 Table 45'!AC63*1000+
('AEO 2025 Table 49'!AC166+'AEO 2025 Table 49'!AC180)*10^6)</f>
        <v>10157.827305743926</v>
      </c>
      <c r="AB30" s="6">
        <f>('AEO 2025 Table 7'!AD10+'AEO 2025 Table 49'!AD21+'AEO 2025 Table 49'!AD35)*10^9/('AEO 2025 Table 45'!AD63*1000+
('AEO 2025 Table 49'!AD166+'AEO 2025 Table 49'!AD180)*10^6)</f>
        <v>10193.32938259816</v>
      </c>
      <c r="AC30" s="6">
        <f>('AEO 2025 Table 7'!AE10+'AEO 2025 Table 49'!AE21+'AEO 2025 Table 49'!AE35)*10^9/('AEO 2025 Table 45'!AE63*1000+
('AEO 2025 Table 49'!AE166+'AEO 2025 Table 49'!AE180)*10^6)</f>
        <v>10234.691519557757</v>
      </c>
      <c r="AD30" s="6">
        <f>('AEO 2025 Table 7'!AF10+'AEO 2025 Table 49'!AF21+'AEO 2025 Table 49'!AF35)*10^9/('AEO 2025 Table 45'!AF63*1000+
('AEO 2025 Table 49'!AF166+'AEO 2025 Table 49'!AF180)*10^6)</f>
        <v>10276.40700846614</v>
      </c>
    </row>
    <row r="31" spans="1:30">
      <c r="A31" t="s">
        <v>3893</v>
      </c>
      <c r="B31" t="s">
        <v>5</v>
      </c>
      <c r="C31" s="6">
        <f t="shared" ref="C31:C35" si="5">C13</f>
        <v>34683.392828657736</v>
      </c>
      <c r="D31" s="6">
        <f>('AEO 2025 Table 49'!F49)*1000000000/('AEO 2025 Table 49'!F194*10^6)</f>
        <v>35195.257623258796</v>
      </c>
      <c r="E31" s="6">
        <f>('AEO 2025 Table 49'!G49)*1000000000/('AEO 2025 Table 49'!G194*10^6)</f>
        <v>35481.03240954085</v>
      </c>
      <c r="F31" s="6">
        <f>('AEO 2025 Table 49'!H49)*1000000000/('AEO 2025 Table 49'!H194*10^6)</f>
        <v>35327.108456501213</v>
      </c>
      <c r="G31" s="6">
        <f>('AEO 2025 Table 49'!I49)*1000000000/('AEO 2025 Table 49'!I194*10^6)</f>
        <v>35020.695207729972</v>
      </c>
      <c r="H31" s="6">
        <f>('AEO 2025 Table 49'!J49)*1000000000/('AEO 2025 Table 49'!J194*10^6)</f>
        <v>34630.184877884174</v>
      </c>
      <c r="I31" s="6">
        <f>('AEO 2025 Table 49'!K49)*1000000000/('AEO 2025 Table 49'!K194*10^6)</f>
        <v>34342.52244699646</v>
      </c>
      <c r="J31" s="6">
        <f>('AEO 2025 Table 49'!L49)*1000000000/('AEO 2025 Table 49'!L194*10^6)</f>
        <v>34091.330006031792</v>
      </c>
      <c r="K31" s="6">
        <f>('AEO 2025 Table 49'!M49)*1000000000/('AEO 2025 Table 49'!M194*10^6)</f>
        <v>33820.96301802183</v>
      </c>
      <c r="L31" s="6">
        <f>('AEO 2025 Table 49'!N49)*1000000000/('AEO 2025 Table 49'!N194*10^6)</f>
        <v>33589.130371683168</v>
      </c>
      <c r="M31" s="6">
        <f>('AEO 2025 Table 49'!O49)*1000000000/('AEO 2025 Table 49'!O194*10^6)</f>
        <v>33361.113326935396</v>
      </c>
      <c r="N31" s="6">
        <f>('AEO 2025 Table 49'!P49)*1000000000/('AEO 2025 Table 49'!P194*10^6)</f>
        <v>33221.146172610912</v>
      </c>
      <c r="O31" s="6">
        <f>('AEO 2025 Table 49'!Q49)*1000000000/('AEO 2025 Table 49'!Q194*10^6)</f>
        <v>33079.306546996071</v>
      </c>
      <c r="P31" s="6">
        <f>('AEO 2025 Table 49'!R49)*1000000000/('AEO 2025 Table 49'!R194*10^6)</f>
        <v>32948.166235938545</v>
      </c>
      <c r="Q31" s="6">
        <f>('AEO 2025 Table 49'!S49)*1000000000/('AEO 2025 Table 49'!S194*10^6)</f>
        <v>32832.013303146057</v>
      </c>
      <c r="R31" s="6">
        <f>('AEO 2025 Table 49'!T49)*1000000000/('AEO 2025 Table 49'!T194*10^6)</f>
        <v>32720.655369894019</v>
      </c>
      <c r="S31" s="6">
        <f>('AEO 2025 Table 49'!U49)*1000000000/('AEO 2025 Table 49'!U194*10^6)</f>
        <v>32617.805818163215</v>
      </c>
      <c r="T31" s="6">
        <f>('AEO 2025 Table 49'!V49)*1000000000/('AEO 2025 Table 49'!V194*10^6)</f>
        <v>32565.212757977395</v>
      </c>
      <c r="U31" s="6">
        <f>('AEO 2025 Table 49'!W49)*1000000000/('AEO 2025 Table 49'!W194*10^6)</f>
        <v>32563.094494321438</v>
      </c>
      <c r="V31" s="6">
        <f>('AEO 2025 Table 49'!X49)*1000000000/('AEO 2025 Table 49'!X194*10^6)</f>
        <v>32509.759652040844</v>
      </c>
      <c r="W31" s="6">
        <f>('AEO 2025 Table 49'!Y49)*1000000000/('AEO 2025 Table 49'!Y194*10^6)</f>
        <v>32396.948014106929</v>
      </c>
      <c r="X31" s="6">
        <f>('AEO 2025 Table 49'!Z49)*1000000000/('AEO 2025 Table 49'!Z194*10^6)</f>
        <v>32242.089333019328</v>
      </c>
      <c r="Y31" s="6">
        <f>('AEO 2025 Table 49'!AA49)*1000000000/('AEO 2025 Table 49'!AA194*10^6)</f>
        <v>32109.763971342538</v>
      </c>
      <c r="Z31" s="6">
        <f>('AEO 2025 Table 49'!AB49)*1000000000/('AEO 2025 Table 49'!AB194*10^6)</f>
        <v>31999.731414870741</v>
      </c>
      <c r="AA31" s="6">
        <f>('AEO 2025 Table 49'!AC49)*1000000000/('AEO 2025 Table 49'!AC194*10^6)</f>
        <v>32023.565117047587</v>
      </c>
      <c r="AB31" s="6">
        <f>('AEO 2025 Table 49'!AD49)*1000000000/('AEO 2025 Table 49'!AD194*10^6)</f>
        <v>32062.794612588736</v>
      </c>
      <c r="AC31" s="6">
        <f>('AEO 2025 Table 49'!AE49)*1000000000/('AEO 2025 Table 49'!AE194*10^6)</f>
        <v>32118.52328556405</v>
      </c>
      <c r="AD31" s="6">
        <f>('AEO 2025 Table 49'!AF49)*1000000000/('AEO 2025 Table 49'!AF194*10^6)</f>
        <v>32185.189424781915</v>
      </c>
    </row>
    <row r="32" spans="1:30">
      <c r="A32" s="231" t="s">
        <v>3912</v>
      </c>
      <c r="B32" t="s">
        <v>6</v>
      </c>
      <c r="C32" s="6">
        <f t="shared" si="5"/>
        <v>1067218.0060523003</v>
      </c>
      <c r="D32" s="6">
        <f t="shared" ref="D32:AD32" si="6">C32</f>
        <v>1067218.0060523003</v>
      </c>
      <c r="E32" s="6">
        <f t="shared" si="6"/>
        <v>1067218.0060523003</v>
      </c>
      <c r="F32" s="6">
        <f t="shared" si="6"/>
        <v>1067218.0060523003</v>
      </c>
      <c r="G32" s="6">
        <f t="shared" si="6"/>
        <v>1067218.0060523003</v>
      </c>
      <c r="H32" s="6">
        <f t="shared" si="6"/>
        <v>1067218.0060523003</v>
      </c>
      <c r="I32" s="6">
        <f t="shared" si="6"/>
        <v>1067218.0060523003</v>
      </c>
      <c r="J32" s="6">
        <f t="shared" si="6"/>
        <v>1067218.0060523003</v>
      </c>
      <c r="K32" s="6">
        <f t="shared" si="6"/>
        <v>1067218.0060523003</v>
      </c>
      <c r="L32" s="6">
        <f t="shared" si="6"/>
        <v>1067218.0060523003</v>
      </c>
      <c r="M32" s="6">
        <f t="shared" si="6"/>
        <v>1067218.0060523003</v>
      </c>
      <c r="N32" s="6">
        <f t="shared" si="6"/>
        <v>1067218.0060523003</v>
      </c>
      <c r="O32" s="6">
        <f t="shared" si="6"/>
        <v>1067218.0060523003</v>
      </c>
      <c r="P32" s="6">
        <f t="shared" si="6"/>
        <v>1067218.0060523003</v>
      </c>
      <c r="Q32" s="6">
        <f t="shared" si="6"/>
        <v>1067218.0060523003</v>
      </c>
      <c r="R32" s="6">
        <f t="shared" si="6"/>
        <v>1067218.0060523003</v>
      </c>
      <c r="S32" s="6">
        <f t="shared" si="6"/>
        <v>1067218.0060523003</v>
      </c>
      <c r="T32" s="6">
        <f t="shared" si="6"/>
        <v>1067218.0060523003</v>
      </c>
      <c r="U32" s="6">
        <f t="shared" si="6"/>
        <v>1067218.0060523003</v>
      </c>
      <c r="V32" s="6">
        <f t="shared" si="6"/>
        <v>1067218.0060523003</v>
      </c>
      <c r="W32" s="6">
        <f t="shared" si="6"/>
        <v>1067218.0060523003</v>
      </c>
      <c r="X32" s="6">
        <f t="shared" si="6"/>
        <v>1067218.0060523003</v>
      </c>
      <c r="Y32" s="6">
        <f t="shared" si="6"/>
        <v>1067218.0060523003</v>
      </c>
      <c r="Z32" s="6">
        <f t="shared" si="6"/>
        <v>1067218.0060523003</v>
      </c>
      <c r="AA32" s="6">
        <f t="shared" si="6"/>
        <v>1067218.0060523003</v>
      </c>
      <c r="AB32" s="6">
        <f t="shared" si="6"/>
        <v>1067218.0060523003</v>
      </c>
      <c r="AC32" s="6">
        <f t="shared" si="6"/>
        <v>1067218.0060523003</v>
      </c>
      <c r="AD32" s="6">
        <f t="shared" si="6"/>
        <v>1067218.0060523003</v>
      </c>
    </row>
    <row r="33" spans="1:30">
      <c r="A33" t="s">
        <v>3893</v>
      </c>
      <c r="B33" t="s">
        <v>7</v>
      </c>
      <c r="C33" s="6">
        <f t="shared" si="5"/>
        <v>18574.695684378694</v>
      </c>
      <c r="D33" s="6">
        <f t="shared" ref="D33:AD33" si="7">C33</f>
        <v>18574.695684378694</v>
      </c>
      <c r="E33" s="6">
        <f t="shared" si="7"/>
        <v>18574.695684378694</v>
      </c>
      <c r="F33" s="6">
        <f t="shared" si="7"/>
        <v>18574.695684378694</v>
      </c>
      <c r="G33" s="6">
        <f t="shared" si="7"/>
        <v>18574.695684378694</v>
      </c>
      <c r="H33" s="6">
        <f t="shared" si="7"/>
        <v>18574.695684378694</v>
      </c>
      <c r="I33" s="6">
        <f t="shared" si="7"/>
        <v>18574.695684378694</v>
      </c>
      <c r="J33" s="6">
        <f t="shared" si="7"/>
        <v>18574.695684378694</v>
      </c>
      <c r="K33" s="6">
        <f t="shared" si="7"/>
        <v>18574.695684378694</v>
      </c>
      <c r="L33" s="6">
        <f t="shared" si="7"/>
        <v>18574.695684378694</v>
      </c>
      <c r="M33" s="6">
        <f t="shared" si="7"/>
        <v>18574.695684378694</v>
      </c>
      <c r="N33" s="6">
        <f t="shared" si="7"/>
        <v>18574.695684378694</v>
      </c>
      <c r="O33" s="6">
        <f t="shared" si="7"/>
        <v>18574.695684378694</v>
      </c>
      <c r="P33" s="6">
        <f t="shared" si="7"/>
        <v>18574.695684378694</v>
      </c>
      <c r="Q33" s="6">
        <f t="shared" si="7"/>
        <v>18574.695684378694</v>
      </c>
      <c r="R33" s="6">
        <f t="shared" si="7"/>
        <v>18574.695684378694</v>
      </c>
      <c r="S33" s="6">
        <f t="shared" si="7"/>
        <v>18574.695684378694</v>
      </c>
      <c r="T33" s="6">
        <f t="shared" si="7"/>
        <v>18574.695684378694</v>
      </c>
      <c r="U33" s="6">
        <f t="shared" si="7"/>
        <v>18574.695684378694</v>
      </c>
      <c r="V33" s="6">
        <f t="shared" si="7"/>
        <v>18574.695684378694</v>
      </c>
      <c r="W33" s="6">
        <f t="shared" si="7"/>
        <v>18574.695684378694</v>
      </c>
      <c r="X33" s="6">
        <f t="shared" si="7"/>
        <v>18574.695684378694</v>
      </c>
      <c r="Y33" s="6">
        <f t="shared" si="7"/>
        <v>18574.695684378694</v>
      </c>
      <c r="Z33" s="6">
        <f t="shared" si="7"/>
        <v>18574.695684378694</v>
      </c>
      <c r="AA33" s="6">
        <f t="shared" si="7"/>
        <v>18574.695684378694</v>
      </c>
      <c r="AB33" s="6">
        <f t="shared" si="7"/>
        <v>18574.695684378694</v>
      </c>
      <c r="AC33" s="6">
        <f t="shared" si="7"/>
        <v>18574.695684378694</v>
      </c>
      <c r="AD33" s="6">
        <f t="shared" si="7"/>
        <v>18574.695684378694</v>
      </c>
    </row>
    <row r="34" spans="1:30">
      <c r="A34" t="s">
        <v>3893</v>
      </c>
      <c r="B34" t="s">
        <v>8</v>
      </c>
      <c r="C34" s="6">
        <f t="shared" si="5"/>
        <v>247922.9173018997</v>
      </c>
      <c r="D34" s="6">
        <f t="shared" ref="D34:AD34" si="8">C34</f>
        <v>247922.9173018997</v>
      </c>
      <c r="E34" s="6">
        <f t="shared" si="8"/>
        <v>247922.9173018997</v>
      </c>
      <c r="F34" s="6">
        <f t="shared" si="8"/>
        <v>247922.9173018997</v>
      </c>
      <c r="G34" s="6">
        <f t="shared" si="8"/>
        <v>247922.9173018997</v>
      </c>
      <c r="H34" s="6">
        <f t="shared" si="8"/>
        <v>247922.9173018997</v>
      </c>
      <c r="I34" s="6">
        <f t="shared" si="8"/>
        <v>247922.9173018997</v>
      </c>
      <c r="J34" s="6">
        <f t="shared" si="8"/>
        <v>247922.9173018997</v>
      </c>
      <c r="K34" s="6">
        <f t="shared" si="8"/>
        <v>247922.9173018997</v>
      </c>
      <c r="L34" s="6">
        <f t="shared" si="8"/>
        <v>247922.9173018997</v>
      </c>
      <c r="M34" s="6">
        <f t="shared" si="8"/>
        <v>247922.9173018997</v>
      </c>
      <c r="N34" s="6">
        <f t="shared" si="8"/>
        <v>247922.9173018997</v>
      </c>
      <c r="O34" s="6">
        <f t="shared" si="8"/>
        <v>247922.9173018997</v>
      </c>
      <c r="P34" s="6">
        <f t="shared" si="8"/>
        <v>247922.9173018997</v>
      </c>
      <c r="Q34" s="6">
        <f t="shared" si="8"/>
        <v>247922.9173018997</v>
      </c>
      <c r="R34" s="6">
        <f t="shared" si="8"/>
        <v>247922.9173018997</v>
      </c>
      <c r="S34" s="6">
        <f t="shared" si="8"/>
        <v>247922.9173018997</v>
      </c>
      <c r="T34" s="6">
        <f t="shared" si="8"/>
        <v>247922.9173018997</v>
      </c>
      <c r="U34" s="6">
        <f t="shared" si="8"/>
        <v>247922.9173018997</v>
      </c>
      <c r="V34" s="6">
        <f t="shared" si="8"/>
        <v>247922.9173018997</v>
      </c>
      <c r="W34" s="6">
        <f t="shared" si="8"/>
        <v>247922.9173018997</v>
      </c>
      <c r="X34" s="6">
        <f t="shared" si="8"/>
        <v>247922.9173018997</v>
      </c>
      <c r="Y34" s="6">
        <f t="shared" si="8"/>
        <v>247922.9173018997</v>
      </c>
      <c r="Z34" s="6">
        <f t="shared" si="8"/>
        <v>247922.9173018997</v>
      </c>
      <c r="AA34" s="6">
        <f t="shared" si="8"/>
        <v>247922.9173018997</v>
      </c>
      <c r="AB34" s="6">
        <f t="shared" si="8"/>
        <v>247922.9173018997</v>
      </c>
      <c r="AC34" s="6">
        <f t="shared" si="8"/>
        <v>247922.9173018997</v>
      </c>
      <c r="AD34" s="6">
        <f t="shared" si="8"/>
        <v>247922.9173018997</v>
      </c>
    </row>
    <row r="35" spans="1:30">
      <c r="B35" t="s">
        <v>9</v>
      </c>
      <c r="C35" s="6">
        <f t="shared" si="5"/>
        <v>0</v>
      </c>
      <c r="D35" s="6">
        <f t="shared" ref="D35:AD35" si="9">C35</f>
        <v>0</v>
      </c>
      <c r="E35" s="6">
        <f t="shared" si="9"/>
        <v>0</v>
      </c>
      <c r="F35" s="6">
        <f t="shared" si="9"/>
        <v>0</v>
      </c>
      <c r="G35" s="6">
        <f t="shared" si="9"/>
        <v>0</v>
      </c>
      <c r="H35" s="6">
        <f t="shared" si="9"/>
        <v>0</v>
      </c>
      <c r="I35" s="6">
        <f t="shared" si="9"/>
        <v>0</v>
      </c>
      <c r="J35" s="6">
        <f t="shared" si="9"/>
        <v>0</v>
      </c>
      <c r="K35" s="6">
        <f t="shared" si="9"/>
        <v>0</v>
      </c>
      <c r="L35" s="6">
        <f t="shared" si="9"/>
        <v>0</v>
      </c>
      <c r="M35" s="6">
        <f t="shared" si="9"/>
        <v>0</v>
      </c>
      <c r="N35" s="6">
        <f t="shared" si="9"/>
        <v>0</v>
      </c>
      <c r="O35" s="6">
        <f t="shared" si="9"/>
        <v>0</v>
      </c>
      <c r="P35" s="6">
        <f t="shared" si="9"/>
        <v>0</v>
      </c>
      <c r="Q35" s="6">
        <f t="shared" si="9"/>
        <v>0</v>
      </c>
      <c r="R35" s="6">
        <f t="shared" si="9"/>
        <v>0</v>
      </c>
      <c r="S35" s="6">
        <f t="shared" si="9"/>
        <v>0</v>
      </c>
      <c r="T35" s="6">
        <f t="shared" si="9"/>
        <v>0</v>
      </c>
      <c r="U35" s="6">
        <f t="shared" si="9"/>
        <v>0</v>
      </c>
      <c r="V35" s="6">
        <f t="shared" si="9"/>
        <v>0</v>
      </c>
      <c r="W35" s="6">
        <f t="shared" si="9"/>
        <v>0</v>
      </c>
      <c r="X35" s="6">
        <f t="shared" si="9"/>
        <v>0</v>
      </c>
      <c r="Y35" s="6">
        <f t="shared" si="9"/>
        <v>0</v>
      </c>
      <c r="Z35" s="6">
        <f t="shared" si="9"/>
        <v>0</v>
      </c>
      <c r="AA35" s="6">
        <f t="shared" si="9"/>
        <v>0</v>
      </c>
      <c r="AB35" s="6">
        <f t="shared" si="9"/>
        <v>0</v>
      </c>
      <c r="AC35" s="6">
        <f t="shared" si="9"/>
        <v>0</v>
      </c>
      <c r="AD35" s="6">
        <f t="shared" si="9"/>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election activeCell="B3" sqref="B3"/>
    </sheetView>
  </sheetViews>
  <sheetFormatPr defaultColWidth="9.140625" defaultRowHeight="15"/>
  <cols>
    <col min="1" max="1" width="16.5703125" customWidth="1"/>
    <col min="2" max="2" width="9" customWidth="1"/>
  </cols>
  <sheetData>
    <row r="1" spans="1:2">
      <c r="A1" t="s">
        <v>190</v>
      </c>
      <c r="B1">
        <v>2023</v>
      </c>
    </row>
    <row r="2" spans="1:2">
      <c r="A2" t="s">
        <v>4</v>
      </c>
      <c r="B2" s="6">
        <f>ROUND(calcs!C3,0)</f>
        <v>11068</v>
      </c>
    </row>
    <row r="3" spans="1:2">
      <c r="A3" t="s">
        <v>5</v>
      </c>
      <c r="B3" s="6">
        <f>ROUND(calcs!C4,0)</f>
        <v>18252</v>
      </c>
    </row>
    <row r="4" spans="1:2">
      <c r="A4" t="s">
        <v>6</v>
      </c>
      <c r="B4" s="6">
        <f>ROUND(calcs!C5,0)</f>
        <v>1110041</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election activeCell="B2" sqref="B2"/>
    </sheetView>
  </sheetViews>
  <sheetFormatPr defaultColWidth="9.140625" defaultRowHeight="15"/>
  <cols>
    <col min="1" max="1" width="16.5703125" customWidth="1"/>
    <col min="2" max="2" width="12" bestFit="1" customWidth="1"/>
  </cols>
  <sheetData>
    <row r="1" spans="1:2">
      <c r="A1" t="s">
        <v>190</v>
      </c>
      <c r="B1">
        <f>calcs!C11</f>
        <v>2023</v>
      </c>
    </row>
    <row r="2" spans="1:2">
      <c r="A2" t="s">
        <v>4</v>
      </c>
      <c r="B2" s="6">
        <f>ROUND(calcs!C12,0)</f>
        <v>10156</v>
      </c>
    </row>
    <row r="3" spans="1:2">
      <c r="A3" t="s">
        <v>5</v>
      </c>
      <c r="B3" s="6">
        <f>ROUND(calcs!C13,0)</f>
        <v>34683</v>
      </c>
    </row>
    <row r="4" spans="1:2">
      <c r="A4" t="s">
        <v>6</v>
      </c>
      <c r="B4" s="6">
        <f>ROUND(calcs!C14,0)</f>
        <v>1067218</v>
      </c>
    </row>
    <row r="5" spans="1:2">
      <c r="A5" t="s">
        <v>7</v>
      </c>
      <c r="B5" s="6">
        <f>ROUND(calcs!C15,0)</f>
        <v>18575</v>
      </c>
    </row>
    <row r="6" spans="1:2">
      <c r="A6" t="s">
        <v>8</v>
      </c>
      <c r="B6" s="6">
        <f>ROUND(calcs!C16,0)</f>
        <v>247923</v>
      </c>
    </row>
    <row r="7" spans="1:2">
      <c r="A7" t="s">
        <v>9</v>
      </c>
      <c r="B7" s="6">
        <f>ROUND(calcs!C17,0)</f>
        <v>0</v>
      </c>
    </row>
  </sheetData>
  <pageMargins left="0.7" right="0.7" top="0.75" bottom="0.75" header="0.3" footer="0.3"/>
  <pageSetup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workbookViewId="0">
      <selection activeCell="B2" sqref="B2"/>
    </sheetView>
  </sheetViews>
  <sheetFormatPr defaultColWidth="9.140625" defaultRowHeight="15"/>
  <cols>
    <col min="1" max="1" width="16.5703125" customWidth="1"/>
  </cols>
  <sheetData>
    <row r="1" spans="1:30">
      <c r="A1" t="s">
        <v>190</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11068</v>
      </c>
      <c r="C2" s="6">
        <f>ROUND(calcs!D21,0)</f>
        <v>11354</v>
      </c>
      <c r="D2" s="6">
        <f>ROUND(calcs!E21,0)</f>
        <v>11470</v>
      </c>
      <c r="E2" s="6">
        <f>ROUND(calcs!F21,0)</f>
        <v>11489</v>
      </c>
      <c r="F2" s="6">
        <f>ROUND(calcs!G21,0)</f>
        <v>11477</v>
      </c>
      <c r="G2" s="6">
        <f>ROUND(calcs!H21,0)</f>
        <v>11476</v>
      </c>
      <c r="H2" s="6">
        <f>ROUND(calcs!I21,0)</f>
        <v>11492</v>
      </c>
      <c r="I2" s="6">
        <f>ROUND(calcs!J21,0)</f>
        <v>11524</v>
      </c>
      <c r="J2" s="6">
        <f>ROUND(calcs!K21,0)</f>
        <v>11571</v>
      </c>
      <c r="K2" s="6">
        <f>ROUND(calcs!L21,0)</f>
        <v>11603</v>
      </c>
      <c r="L2" s="6">
        <f>ROUND(calcs!M21,0)</f>
        <v>11629</v>
      </c>
      <c r="M2" s="6">
        <f>ROUND(calcs!N21,0)</f>
        <v>11653</v>
      </c>
      <c r="N2" s="6">
        <f>ROUND(calcs!O21,0)</f>
        <v>11671</v>
      </c>
      <c r="O2" s="6">
        <f>ROUND(calcs!P21,0)</f>
        <v>11699</v>
      </c>
      <c r="P2" s="6">
        <f>ROUND(calcs!Q21,0)</f>
        <v>11743</v>
      </c>
      <c r="Q2" s="6">
        <f>ROUND(calcs!R21,0)</f>
        <v>11795</v>
      </c>
      <c r="R2" s="6">
        <f>ROUND(calcs!S21,0)</f>
        <v>11840</v>
      </c>
      <c r="S2" s="6">
        <f>ROUND(calcs!T21,0)</f>
        <v>11885</v>
      </c>
      <c r="T2" s="6">
        <f>ROUND(calcs!U21,0)</f>
        <v>11928</v>
      </c>
      <c r="U2" s="6">
        <f>ROUND(calcs!V21,0)</f>
        <v>11969</v>
      </c>
      <c r="V2" s="6">
        <f>ROUND(calcs!W21,0)</f>
        <v>12006</v>
      </c>
      <c r="W2" s="6">
        <f>ROUND(calcs!X21,0)</f>
        <v>12040</v>
      </c>
      <c r="X2" s="6">
        <f>ROUND(calcs!Y21,0)</f>
        <v>12072</v>
      </c>
      <c r="Y2" s="6">
        <f>ROUND(calcs!Z21,0)</f>
        <v>12108</v>
      </c>
      <c r="Z2" s="6">
        <f>ROUND(calcs!AA21,0)</f>
        <v>12155</v>
      </c>
      <c r="AA2" s="6">
        <f>ROUND(calcs!AB21,0)</f>
        <v>12215</v>
      </c>
      <c r="AB2" s="6">
        <f>ROUND(calcs!AC21,0)</f>
        <v>12283</v>
      </c>
      <c r="AC2" s="6">
        <f>ROUND(calcs!AD21,0)</f>
        <v>12356</v>
      </c>
      <c r="AD2" s="6"/>
    </row>
    <row r="3" spans="1:30">
      <c r="A3" t="s">
        <v>5</v>
      </c>
      <c r="B3" s="6">
        <f>ROUND(calcs!C22,0)</f>
        <v>18252</v>
      </c>
      <c r="C3" s="6">
        <f>ROUND(calcs!D22,0)</f>
        <v>18252</v>
      </c>
      <c r="D3" s="6">
        <f>ROUND(calcs!E22,0)</f>
        <v>18252</v>
      </c>
      <c r="E3" s="6">
        <f>ROUND(calcs!F22,0)</f>
        <v>18252</v>
      </c>
      <c r="F3" s="6">
        <f>ROUND(calcs!G22,0)</f>
        <v>18252</v>
      </c>
      <c r="G3" s="6">
        <f>ROUND(calcs!H22,0)</f>
        <v>18252</v>
      </c>
      <c r="H3" s="6">
        <f>ROUND(calcs!I22,0)</f>
        <v>18252</v>
      </c>
      <c r="I3" s="6">
        <f>ROUND(calcs!J22,0)</f>
        <v>18252</v>
      </c>
      <c r="J3" s="6">
        <f>ROUND(calcs!K22,0)</f>
        <v>18252</v>
      </c>
      <c r="K3" s="6">
        <f>ROUND(calcs!L22,0)</f>
        <v>18252</v>
      </c>
      <c r="L3" s="6">
        <f>ROUND(calcs!M22,0)</f>
        <v>18252</v>
      </c>
      <c r="M3" s="6">
        <f>ROUND(calcs!N22,0)</f>
        <v>18252</v>
      </c>
      <c r="N3" s="6">
        <f>ROUND(calcs!O22,0)</f>
        <v>18252</v>
      </c>
      <c r="O3" s="6">
        <f>ROUND(calcs!P22,0)</f>
        <v>18252</v>
      </c>
      <c r="P3" s="6">
        <f>ROUND(calcs!Q22,0)</f>
        <v>18252</v>
      </c>
      <c r="Q3" s="6">
        <f>ROUND(calcs!R22,0)</f>
        <v>18252</v>
      </c>
      <c r="R3" s="6">
        <f>ROUND(calcs!S22,0)</f>
        <v>18252</v>
      </c>
      <c r="S3" s="6">
        <f>ROUND(calcs!T22,0)</f>
        <v>18252</v>
      </c>
      <c r="T3" s="6">
        <f>ROUND(calcs!U22,0)</f>
        <v>18252</v>
      </c>
      <c r="U3" s="6">
        <f>ROUND(calcs!V22,0)</f>
        <v>18252</v>
      </c>
      <c r="V3" s="6">
        <f>ROUND(calcs!W22,0)</f>
        <v>18252</v>
      </c>
      <c r="W3" s="6">
        <f>ROUND(calcs!X22,0)</f>
        <v>18252</v>
      </c>
      <c r="X3" s="6">
        <f>ROUND(calcs!Y22,0)</f>
        <v>18252</v>
      </c>
      <c r="Y3" s="6">
        <f>ROUND(calcs!Z22,0)</f>
        <v>18252</v>
      </c>
      <c r="Z3" s="6">
        <f>ROUND(calcs!AA22,0)</f>
        <v>18252</v>
      </c>
      <c r="AA3" s="6">
        <f>ROUND(calcs!AB22,0)</f>
        <v>18252</v>
      </c>
      <c r="AB3" s="6">
        <f>ROUND(calcs!AC22,0)</f>
        <v>18252</v>
      </c>
      <c r="AC3" s="6">
        <f>ROUND(calcs!AD22,0)</f>
        <v>18252</v>
      </c>
      <c r="AD3" s="6"/>
    </row>
    <row r="4" spans="1:30">
      <c r="A4" t="s">
        <v>6</v>
      </c>
      <c r="B4" s="6">
        <f>ROUND(calcs!C23,0)</f>
        <v>1110041</v>
      </c>
      <c r="C4" s="6">
        <f>ROUND(calcs!D23,0)</f>
        <v>1352051</v>
      </c>
      <c r="D4" s="6">
        <f>ROUND(calcs!E23,0)</f>
        <v>1355852</v>
      </c>
      <c r="E4" s="6">
        <f>ROUND(calcs!F23,0)</f>
        <v>1359799</v>
      </c>
      <c r="F4" s="6">
        <f>ROUND(calcs!G23,0)</f>
        <v>1363444</v>
      </c>
      <c r="G4" s="6">
        <f>ROUND(calcs!H23,0)</f>
        <v>1366602</v>
      </c>
      <c r="H4" s="6">
        <f>ROUND(calcs!I23,0)</f>
        <v>1369684</v>
      </c>
      <c r="I4" s="6">
        <f>ROUND(calcs!J23,0)</f>
        <v>1373380</v>
      </c>
      <c r="J4" s="6">
        <f>ROUND(calcs!K23,0)</f>
        <v>1376682</v>
      </c>
      <c r="K4" s="6">
        <f>ROUND(calcs!L23,0)</f>
        <v>1379963</v>
      </c>
      <c r="L4" s="6">
        <f>ROUND(calcs!M23,0)</f>
        <v>1383158</v>
      </c>
      <c r="M4" s="6">
        <f>ROUND(calcs!N23,0)</f>
        <v>1386171</v>
      </c>
      <c r="N4" s="6">
        <f>ROUND(calcs!O23,0)</f>
        <v>1389160</v>
      </c>
      <c r="O4" s="6">
        <f>ROUND(calcs!P23,0)</f>
        <v>1392050</v>
      </c>
      <c r="P4" s="6">
        <f>ROUND(calcs!Q23,0)</f>
        <v>1394895</v>
      </c>
      <c r="Q4" s="6">
        <f>ROUND(calcs!R23,0)</f>
        <v>1397715</v>
      </c>
      <c r="R4" s="6">
        <f>ROUND(calcs!S23,0)</f>
        <v>1400438</v>
      </c>
      <c r="S4" s="6">
        <f>ROUND(calcs!T23,0)</f>
        <v>1403117</v>
      </c>
      <c r="T4" s="6">
        <f>ROUND(calcs!U23,0)</f>
        <v>1405714</v>
      </c>
      <c r="U4" s="6">
        <f>ROUND(calcs!V23,0)</f>
        <v>1408335</v>
      </c>
      <c r="V4" s="6">
        <f>ROUND(calcs!W23,0)</f>
        <v>1410874</v>
      </c>
      <c r="W4" s="6">
        <f>ROUND(calcs!X23,0)</f>
        <v>1413292</v>
      </c>
      <c r="X4" s="6">
        <f>ROUND(calcs!Y23,0)</f>
        <v>1415646</v>
      </c>
      <c r="Y4" s="6">
        <f>ROUND(calcs!Z23,0)</f>
        <v>1417941</v>
      </c>
      <c r="Z4" s="6">
        <f>ROUND(calcs!AA23,0)</f>
        <v>1420334</v>
      </c>
      <c r="AA4" s="6">
        <f>ROUND(calcs!AB23,0)</f>
        <v>1422741</v>
      </c>
      <c r="AB4" s="6">
        <f>ROUND(calcs!AC23,0)</f>
        <v>1425061</v>
      </c>
      <c r="AC4" s="6">
        <f>ROUND(calcs!AD23,0)</f>
        <v>1427325</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B2" sqref="B2"/>
    </sheetView>
  </sheetViews>
  <sheetFormatPr defaultColWidth="9.140625" defaultRowHeight="15"/>
  <cols>
    <col min="1" max="1" width="16.5703125" customWidth="1"/>
    <col min="2" max="2" width="12" bestFit="1" customWidth="1"/>
  </cols>
  <sheetData>
    <row r="1" spans="1:29" ht="30">
      <c r="A1" s="8" t="s">
        <v>190</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10156</v>
      </c>
      <c r="C2" s="6">
        <f>ROUND(calcs!D30,0)</f>
        <v>9916</v>
      </c>
      <c r="D2" s="6">
        <f>ROUND(calcs!E30,0)</f>
        <v>9903</v>
      </c>
      <c r="E2" s="6">
        <f>ROUND(calcs!F30,0)</f>
        <v>9817</v>
      </c>
      <c r="F2" s="6">
        <f>ROUND(calcs!G30,0)</f>
        <v>9729</v>
      </c>
      <c r="G2" s="6">
        <f>ROUND(calcs!H30,0)</f>
        <v>9643</v>
      </c>
      <c r="H2" s="6">
        <f>ROUND(calcs!I30,0)</f>
        <v>9600</v>
      </c>
      <c r="I2" s="6">
        <f>ROUND(calcs!J30,0)</f>
        <v>9585</v>
      </c>
      <c r="J2" s="6">
        <f>ROUND(calcs!K30,0)</f>
        <v>9585</v>
      </c>
      <c r="K2" s="6">
        <f>ROUND(calcs!L30,0)</f>
        <v>9591</v>
      </c>
      <c r="L2" s="6">
        <f>ROUND(calcs!M30,0)</f>
        <v>9611</v>
      </c>
      <c r="M2" s="6">
        <f>ROUND(calcs!N30,0)</f>
        <v>9645</v>
      </c>
      <c r="N2" s="6">
        <f>ROUND(calcs!O30,0)</f>
        <v>9689</v>
      </c>
      <c r="O2" s="6">
        <f>ROUND(calcs!P30,0)</f>
        <v>9739</v>
      </c>
      <c r="P2" s="6">
        <f>ROUND(calcs!Q30,0)</f>
        <v>9794</v>
      </c>
      <c r="Q2" s="6">
        <f>ROUND(calcs!R30,0)</f>
        <v>9851</v>
      </c>
      <c r="R2" s="6">
        <f>ROUND(calcs!S30,0)</f>
        <v>9904</v>
      </c>
      <c r="S2" s="6">
        <f>ROUND(calcs!T30,0)</f>
        <v>9968</v>
      </c>
      <c r="T2" s="6">
        <f>ROUND(calcs!U30,0)</f>
        <v>10020</v>
      </c>
      <c r="U2" s="6">
        <f>ROUND(calcs!V30,0)</f>
        <v>10066</v>
      </c>
      <c r="V2" s="6">
        <f>ROUND(calcs!W30,0)</f>
        <v>10083</v>
      </c>
      <c r="W2" s="6">
        <f>ROUND(calcs!X30,0)</f>
        <v>10084</v>
      </c>
      <c r="X2" s="6">
        <f>ROUND(calcs!Y30,0)</f>
        <v>10097</v>
      </c>
      <c r="Y2" s="6">
        <f>ROUND(calcs!Z30,0)</f>
        <v>10117</v>
      </c>
      <c r="Z2" s="6">
        <f>ROUND(calcs!AA30,0)</f>
        <v>10158</v>
      </c>
      <c r="AA2" s="6">
        <f>ROUND(calcs!AB30,0)</f>
        <v>10193</v>
      </c>
      <c r="AB2" s="6">
        <f>ROUND(calcs!AC30,0)</f>
        <v>10235</v>
      </c>
      <c r="AC2" s="6">
        <f>ROUND(calcs!AD30,0)</f>
        <v>10276</v>
      </c>
    </row>
    <row r="3" spans="1:29">
      <c r="A3" t="s">
        <v>5</v>
      </c>
      <c r="B3" s="6">
        <f>ROUND(calcs!C31,0)</f>
        <v>34683</v>
      </c>
      <c r="C3" s="6">
        <f>ROUND(calcs!D31,0)</f>
        <v>35195</v>
      </c>
      <c r="D3" s="6">
        <f>ROUND(calcs!E31,0)</f>
        <v>35481</v>
      </c>
      <c r="E3" s="6">
        <f>ROUND(calcs!F31,0)</f>
        <v>35327</v>
      </c>
      <c r="F3" s="6">
        <f>ROUND(calcs!G31,0)</f>
        <v>35021</v>
      </c>
      <c r="G3" s="6">
        <f>ROUND(calcs!H31,0)</f>
        <v>34630</v>
      </c>
      <c r="H3" s="6">
        <f>ROUND(calcs!I31,0)</f>
        <v>34343</v>
      </c>
      <c r="I3" s="6">
        <f>ROUND(calcs!J31,0)</f>
        <v>34091</v>
      </c>
      <c r="J3" s="6">
        <f>ROUND(calcs!K31,0)</f>
        <v>33821</v>
      </c>
      <c r="K3" s="6">
        <f>ROUND(calcs!L31,0)</f>
        <v>33589</v>
      </c>
      <c r="L3" s="6">
        <f>ROUND(calcs!M31,0)</f>
        <v>33361</v>
      </c>
      <c r="M3" s="6">
        <f>ROUND(calcs!N31,0)</f>
        <v>33221</v>
      </c>
      <c r="N3" s="6">
        <f>ROUND(calcs!O31,0)</f>
        <v>33079</v>
      </c>
      <c r="O3" s="6">
        <f>ROUND(calcs!P31,0)</f>
        <v>32948</v>
      </c>
      <c r="P3" s="6">
        <f>ROUND(calcs!Q31,0)</f>
        <v>32832</v>
      </c>
      <c r="Q3" s="6">
        <f>ROUND(calcs!R31,0)</f>
        <v>32721</v>
      </c>
      <c r="R3" s="6">
        <f>ROUND(calcs!S31,0)</f>
        <v>32618</v>
      </c>
      <c r="S3" s="6">
        <f>ROUND(calcs!T31,0)</f>
        <v>32565</v>
      </c>
      <c r="T3" s="6">
        <f>ROUND(calcs!U31,0)</f>
        <v>32563</v>
      </c>
      <c r="U3" s="6">
        <f>ROUND(calcs!V31,0)</f>
        <v>32510</v>
      </c>
      <c r="V3" s="6">
        <f>ROUND(calcs!W31,0)</f>
        <v>32397</v>
      </c>
      <c r="W3" s="6">
        <f>ROUND(calcs!X31,0)</f>
        <v>32242</v>
      </c>
      <c r="X3" s="6">
        <f>ROUND(calcs!Y31,0)</f>
        <v>32110</v>
      </c>
      <c r="Y3" s="6">
        <f>ROUND(calcs!Z31,0)</f>
        <v>32000</v>
      </c>
      <c r="Z3" s="6">
        <f>ROUND(calcs!AA31,0)</f>
        <v>32024</v>
      </c>
      <c r="AA3" s="6">
        <f>ROUND(calcs!AB31,0)</f>
        <v>32063</v>
      </c>
      <c r="AB3" s="6">
        <f>ROUND(calcs!AC31,0)</f>
        <v>32119</v>
      </c>
      <c r="AC3" s="6">
        <f>ROUND(calcs!AD31,0)</f>
        <v>32185</v>
      </c>
    </row>
    <row r="4" spans="1:29">
      <c r="A4" t="s">
        <v>6</v>
      </c>
      <c r="B4" s="6">
        <f>ROUND(calcs!C32,0)</f>
        <v>1067218</v>
      </c>
      <c r="C4" s="6">
        <f>ROUND(calcs!D32,0)</f>
        <v>1067218</v>
      </c>
      <c r="D4" s="6">
        <f>ROUND(calcs!E32,0)</f>
        <v>1067218</v>
      </c>
      <c r="E4" s="6">
        <f>ROUND(calcs!F32,0)</f>
        <v>1067218</v>
      </c>
      <c r="F4" s="6">
        <f>ROUND(calcs!G32,0)</f>
        <v>1067218</v>
      </c>
      <c r="G4" s="6">
        <f>ROUND(calcs!H32,0)</f>
        <v>1067218</v>
      </c>
      <c r="H4" s="6">
        <f>ROUND(calcs!I32,0)</f>
        <v>1067218</v>
      </c>
      <c r="I4" s="6">
        <f>ROUND(calcs!J32,0)</f>
        <v>1067218</v>
      </c>
      <c r="J4" s="6">
        <f>ROUND(calcs!K32,0)</f>
        <v>1067218</v>
      </c>
      <c r="K4" s="6">
        <f>ROUND(calcs!L32,0)</f>
        <v>1067218</v>
      </c>
      <c r="L4" s="6">
        <f>ROUND(calcs!M32,0)</f>
        <v>1067218</v>
      </c>
      <c r="M4" s="6">
        <f>ROUND(calcs!N32,0)</f>
        <v>1067218</v>
      </c>
      <c r="N4" s="6">
        <f>ROUND(calcs!O32,0)</f>
        <v>1067218</v>
      </c>
      <c r="O4" s="6">
        <f>ROUND(calcs!P32,0)</f>
        <v>1067218</v>
      </c>
      <c r="P4" s="6">
        <f>ROUND(calcs!Q32,0)</f>
        <v>1067218</v>
      </c>
      <c r="Q4" s="6">
        <f>ROUND(calcs!R32,0)</f>
        <v>1067218</v>
      </c>
      <c r="R4" s="6">
        <f>ROUND(calcs!S32,0)</f>
        <v>1067218</v>
      </c>
      <c r="S4" s="6">
        <f>ROUND(calcs!T32,0)</f>
        <v>1067218</v>
      </c>
      <c r="T4" s="6">
        <f>ROUND(calcs!U32,0)</f>
        <v>1067218</v>
      </c>
      <c r="U4" s="6">
        <f>ROUND(calcs!V32,0)</f>
        <v>1067218</v>
      </c>
      <c r="V4" s="6">
        <f>ROUND(calcs!W32,0)</f>
        <v>1067218</v>
      </c>
      <c r="W4" s="6">
        <f>ROUND(calcs!X32,0)</f>
        <v>1067218</v>
      </c>
      <c r="X4" s="6">
        <f>ROUND(calcs!Y32,0)</f>
        <v>1067218</v>
      </c>
      <c r="Y4" s="6">
        <f>ROUND(calcs!Z32,0)</f>
        <v>1067218</v>
      </c>
      <c r="Z4" s="6">
        <f>ROUND(calcs!AA32,0)</f>
        <v>1067218</v>
      </c>
      <c r="AA4" s="6">
        <f>ROUND(calcs!AB32,0)</f>
        <v>1067218</v>
      </c>
      <c r="AB4" s="6">
        <f>ROUND(calcs!AC32,0)</f>
        <v>1067218</v>
      </c>
      <c r="AC4" s="6">
        <f>ROUND(calcs!AD32,0)</f>
        <v>1067218</v>
      </c>
    </row>
    <row r="5" spans="1:29">
      <c r="A5" t="s">
        <v>7</v>
      </c>
      <c r="B5" s="6">
        <f>ROUND(calcs!C33,0)</f>
        <v>18575</v>
      </c>
      <c r="C5" s="6">
        <f>ROUND(calcs!D33,0)</f>
        <v>18575</v>
      </c>
      <c r="D5" s="6">
        <f>ROUND(calcs!E33,0)</f>
        <v>18575</v>
      </c>
      <c r="E5" s="6">
        <f>ROUND(calcs!F33,0)</f>
        <v>18575</v>
      </c>
      <c r="F5" s="6">
        <f>ROUND(calcs!G33,0)</f>
        <v>18575</v>
      </c>
      <c r="G5" s="6">
        <f>ROUND(calcs!H33,0)</f>
        <v>18575</v>
      </c>
      <c r="H5" s="6">
        <f>ROUND(calcs!I33,0)</f>
        <v>18575</v>
      </c>
      <c r="I5" s="6">
        <f>ROUND(calcs!J33,0)</f>
        <v>18575</v>
      </c>
      <c r="J5" s="6">
        <f>ROUND(calcs!K33,0)</f>
        <v>18575</v>
      </c>
      <c r="K5" s="6">
        <f>ROUND(calcs!L33,0)</f>
        <v>18575</v>
      </c>
      <c r="L5" s="6">
        <f>ROUND(calcs!M33,0)</f>
        <v>18575</v>
      </c>
      <c r="M5" s="6">
        <f>ROUND(calcs!N33,0)</f>
        <v>18575</v>
      </c>
      <c r="N5" s="6">
        <f>ROUND(calcs!O33,0)</f>
        <v>18575</v>
      </c>
      <c r="O5" s="6">
        <f>ROUND(calcs!P33,0)</f>
        <v>18575</v>
      </c>
      <c r="P5" s="6">
        <f>ROUND(calcs!Q33,0)</f>
        <v>18575</v>
      </c>
      <c r="Q5" s="6">
        <f>ROUND(calcs!R33,0)</f>
        <v>18575</v>
      </c>
      <c r="R5" s="6">
        <f>ROUND(calcs!S33,0)</f>
        <v>18575</v>
      </c>
      <c r="S5" s="6">
        <f>ROUND(calcs!T33,0)</f>
        <v>18575</v>
      </c>
      <c r="T5" s="6">
        <f>ROUND(calcs!U33,0)</f>
        <v>18575</v>
      </c>
      <c r="U5" s="6">
        <f>ROUND(calcs!V33,0)</f>
        <v>18575</v>
      </c>
      <c r="V5" s="6">
        <f>ROUND(calcs!W33,0)</f>
        <v>18575</v>
      </c>
      <c r="W5" s="6">
        <f>ROUND(calcs!X33,0)</f>
        <v>18575</v>
      </c>
      <c r="X5" s="6">
        <f>ROUND(calcs!Y33,0)</f>
        <v>18575</v>
      </c>
      <c r="Y5" s="6">
        <f>ROUND(calcs!Z33,0)</f>
        <v>18575</v>
      </c>
      <c r="Z5" s="6">
        <f>ROUND(calcs!AA33,0)</f>
        <v>18575</v>
      </c>
      <c r="AA5" s="6">
        <f>ROUND(calcs!AB33,0)</f>
        <v>18575</v>
      </c>
      <c r="AB5" s="6">
        <f>ROUND(calcs!AC33,0)</f>
        <v>18575</v>
      </c>
      <c r="AC5" s="6">
        <f>ROUND(calcs!AD33,0)</f>
        <v>18575</v>
      </c>
    </row>
    <row r="6" spans="1:29">
      <c r="A6" t="s">
        <v>8</v>
      </c>
      <c r="B6" s="6">
        <f>ROUND(calcs!C34,0)</f>
        <v>247923</v>
      </c>
      <c r="C6" s="6">
        <f>ROUND(calcs!D34,0)</f>
        <v>247923</v>
      </c>
      <c r="D6" s="6">
        <f>ROUND(calcs!E34,0)</f>
        <v>247923</v>
      </c>
      <c r="E6" s="6">
        <f>ROUND(calcs!F34,0)</f>
        <v>247923</v>
      </c>
      <c r="F6" s="6">
        <f>ROUND(calcs!G34,0)</f>
        <v>247923</v>
      </c>
      <c r="G6" s="6">
        <f>ROUND(calcs!H34,0)</f>
        <v>247923</v>
      </c>
      <c r="H6" s="6">
        <f>ROUND(calcs!I34,0)</f>
        <v>247923</v>
      </c>
      <c r="I6" s="6">
        <f>ROUND(calcs!J34,0)</f>
        <v>247923</v>
      </c>
      <c r="J6" s="6">
        <f>ROUND(calcs!K34,0)</f>
        <v>247923</v>
      </c>
      <c r="K6" s="6">
        <f>ROUND(calcs!L34,0)</f>
        <v>247923</v>
      </c>
      <c r="L6" s="6">
        <f>ROUND(calcs!M34,0)</f>
        <v>247923</v>
      </c>
      <c r="M6" s="6">
        <f>ROUND(calcs!N34,0)</f>
        <v>247923</v>
      </c>
      <c r="N6" s="6">
        <f>ROUND(calcs!O34,0)</f>
        <v>247923</v>
      </c>
      <c r="O6" s="6">
        <f>ROUND(calcs!P34,0)</f>
        <v>247923</v>
      </c>
      <c r="P6" s="6">
        <f>ROUND(calcs!Q34,0)</f>
        <v>247923</v>
      </c>
      <c r="Q6" s="6">
        <f>ROUND(calcs!R34,0)</f>
        <v>247923</v>
      </c>
      <c r="R6" s="6">
        <f>ROUND(calcs!S34,0)</f>
        <v>247923</v>
      </c>
      <c r="S6" s="6">
        <f>ROUND(calcs!T34,0)</f>
        <v>247923</v>
      </c>
      <c r="T6" s="6">
        <f>ROUND(calcs!U34,0)</f>
        <v>247923</v>
      </c>
      <c r="U6" s="6">
        <f>ROUND(calcs!V34,0)</f>
        <v>247923</v>
      </c>
      <c r="V6" s="6">
        <f>ROUND(calcs!W34,0)</f>
        <v>247923</v>
      </c>
      <c r="W6" s="6">
        <f>ROUND(calcs!X34,0)</f>
        <v>247923</v>
      </c>
      <c r="X6" s="6">
        <f>ROUND(calcs!Y34,0)</f>
        <v>247923</v>
      </c>
      <c r="Y6" s="6">
        <f>ROUND(calcs!Z34,0)</f>
        <v>247923</v>
      </c>
      <c r="Z6" s="6">
        <f>ROUND(calcs!AA34,0)</f>
        <v>247923</v>
      </c>
      <c r="AA6" s="6">
        <f>ROUND(calcs!AB34,0)</f>
        <v>247923</v>
      </c>
      <c r="AB6" s="6">
        <f>ROUND(calcs!AC34,0)</f>
        <v>247923</v>
      </c>
      <c r="AC6" s="6">
        <f>ROUND(calcs!AD34,0)</f>
        <v>247923</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34</vt:i4>
      </vt:variant>
    </vt:vector>
  </HeadingPairs>
  <TitlesOfParts>
    <vt:vector size="34"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calcs&gt;</vt:lpstr>
      <vt:lpstr>psgr rail calcs</vt:lpstr>
      <vt:lpstr>Calibration multiplier</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2025-12-11T22:05:22Z</dcterms:modified>
</cp:coreProperties>
</file>