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C7B56088-73EC-4EAC-B451-570FF10266CB}" xr6:coauthVersionLast="47" xr6:coauthVersionMax="47" xr10:uidLastSave="{00000000-0000-0000-0000-000000000000}"/>
  <bookViews>
    <workbookView xWindow="8840" yWindow="645" windowWidth="9705" windowHeight="9140"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Misc" sheetId="69" r:id="rId29"/>
    <sheet name="Calibration multiplier" sheetId="57" r:id="rId30"/>
    <sheet name="calcs" sheetId="68" r:id="rId31"/>
    <sheet name="SYAADTbVT-passengers" sheetId="6" r:id="rId32"/>
    <sheet name="SYAADTbVT-freight" sheetId="12" r:id="rId33"/>
    <sheet name="BAADTbVT-passengers" sheetId="32" r:id="rId34"/>
    <sheet name="BAADTbVT-freight" sheetId="33" r:id="rId35"/>
  </sheets>
  <externalReferences>
    <externalReference r:id="rId36"/>
    <externalReference r:id="rId37"/>
  </externalReferences>
  <definedNames>
    <definedName name="_xlnm._FilterDatabase" localSheetId="24" hidden="1">'Annual Service Data_rail only'!$A$1:$AX$1</definedName>
    <definedName name="Eno_TM" localSheetId="28">#REF!</definedName>
    <definedName name="Eno_TM" localSheetId="14">'[1]1997  Table 1a Modified'!#REF!</definedName>
    <definedName name="Eno_TM">'[2]1997  Table 1a Modified'!#REF!</definedName>
    <definedName name="Eno_Tons" localSheetId="28">#REF!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8">#REF!</definedName>
    <definedName name="Sum_T2" localSheetId="14">'[1]1997  Table 1a Modified'!#REF!</definedName>
    <definedName name="Sum_T2">'[2]1997  Table 1a Modified'!#REF!</definedName>
    <definedName name="Sum_TTM" localSheetId="28">#REF!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3" i="68" l="1"/>
  <c r="F23" i="68"/>
  <c r="G23" i="68"/>
  <c r="H23" i="68"/>
  <c r="I23" i="68"/>
  <c r="J23" i="68"/>
  <c r="K23" i="68"/>
  <c r="L23" i="68"/>
  <c r="M23" i="68"/>
  <c r="N23" i="68"/>
  <c r="O23" i="68"/>
  <c r="P23" i="68"/>
  <c r="Q23" i="68"/>
  <c r="R23" i="68"/>
  <c r="S23" i="68"/>
  <c r="T23" i="68"/>
  <c r="U23" i="68"/>
  <c r="V23" i="68"/>
  <c r="W23" i="68"/>
  <c r="X23" i="68"/>
  <c r="Y23" i="68"/>
  <c r="Z23" i="68"/>
  <c r="AA23" i="68"/>
  <c r="AB23" i="68"/>
  <c r="AC23" i="68"/>
  <c r="AD23" i="68"/>
  <c r="D23" i="68"/>
  <c r="C14" i="68" l="1"/>
  <c r="B4" i="12" s="1"/>
  <c r="C5" i="68"/>
  <c r="C23" i="68" s="1"/>
  <c r="B4" i="32" s="1"/>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D4" i="32"/>
  <c r="E4" i="32"/>
  <c r="F4" i="32"/>
  <c r="G4" i="32"/>
  <c r="H4" i="32"/>
  <c r="I4" i="32"/>
  <c r="J4" i="32"/>
  <c r="K4" i="32"/>
  <c r="L4" i="32"/>
  <c r="M4" i="32"/>
  <c r="N4" i="32"/>
  <c r="O4" i="32"/>
  <c r="P4" i="32"/>
  <c r="Q4" i="32"/>
  <c r="R4" i="32"/>
  <c r="S4" i="32"/>
  <c r="T4" i="32"/>
  <c r="U4" i="32"/>
  <c r="V4" i="32"/>
  <c r="W4" i="32"/>
  <c r="X4" i="32"/>
  <c r="Y4" i="32"/>
  <c r="Z4" i="32"/>
  <c r="AA4" i="32"/>
  <c r="AB4" i="32"/>
  <c r="AC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C32" i="68" l="1"/>
  <c r="B4" i="33" s="1"/>
  <c r="B4" i="6"/>
  <c r="C4" i="68"/>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D32" i="68"/>
  <c r="C4" i="33"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3" i="68" l="1"/>
  <c r="C5" i="33" s="1"/>
  <c r="B3" i="32"/>
  <c r="D22" i="68"/>
  <c r="B7" i="32"/>
  <c r="D26" i="68"/>
  <c r="F25" i="68"/>
  <c r="E6" i="32" s="1"/>
  <c r="F24" i="68"/>
  <c r="E5" i="32" s="1"/>
  <c r="E32" i="68"/>
  <c r="D4" i="33" s="1"/>
  <c r="F35" i="68"/>
  <c r="E34" i="68"/>
  <c r="D6" i="33" s="1"/>
  <c r="O62" i="56"/>
  <c r="V62" i="56" s="1"/>
  <c r="T64" i="56" s="1"/>
  <c r="V25" i="56"/>
  <c r="V46" i="56"/>
  <c r="V9" i="56"/>
  <c r="U9" i="56"/>
  <c r="N62" i="56"/>
  <c r="U62" i="56" s="1"/>
  <c r="U53" i="56"/>
  <c r="U57" i="56"/>
  <c r="E33" i="68" l="1"/>
  <c r="D5" i="33" s="1"/>
  <c r="C7" i="32"/>
  <c r="E26" i="68"/>
  <c r="C3" i="32"/>
  <c r="E22" i="68"/>
  <c r="G24" i="68"/>
  <c r="F5" i="32" s="1"/>
  <c r="G25" i="68"/>
  <c r="F6" i="32" s="1"/>
  <c r="F32" i="68"/>
  <c r="E4" i="33" s="1"/>
  <c r="F34" i="68"/>
  <c r="E6" i="33" s="1"/>
  <c r="F33" i="68"/>
  <c r="E5" i="33" s="1"/>
  <c r="G35" i="68"/>
  <c r="E64" i="56"/>
  <c r="S64" i="56"/>
  <c r="G64" i="56"/>
  <c r="D3" i="32" l="1"/>
  <c r="F22" i="68"/>
  <c r="D7" i="32"/>
  <c r="F26" i="68"/>
  <c r="H25" i="68"/>
  <c r="G6" i="32" s="1"/>
  <c r="H24" i="68"/>
  <c r="G5" i="32" s="1"/>
  <c r="H35" i="68"/>
  <c r="G33" i="68"/>
  <c r="F5" i="33" s="1"/>
  <c r="G34" i="68"/>
  <c r="F6" i="33" s="1"/>
  <c r="G32" i="68"/>
  <c r="F4" i="33" s="1"/>
  <c r="E7" i="32" l="1"/>
  <c r="G26" i="68"/>
  <c r="E3" i="32"/>
  <c r="G22" i="68"/>
  <c r="I24" i="68"/>
  <c r="H5" i="32" s="1"/>
  <c r="I25" i="68"/>
  <c r="H6" i="32" s="1"/>
  <c r="H33" i="68"/>
  <c r="G5" i="33" s="1"/>
  <c r="I35" i="68"/>
  <c r="H32" i="68"/>
  <c r="G4" i="33" s="1"/>
  <c r="H34" i="68"/>
  <c r="G6" i="33" s="1"/>
  <c r="F3" i="32" l="1"/>
  <c r="H22" i="68"/>
  <c r="F7" i="32"/>
  <c r="H26" i="68"/>
  <c r="J25" i="68"/>
  <c r="I6" i="32" s="1"/>
  <c r="J24" i="68"/>
  <c r="I5" i="32" s="1"/>
  <c r="I33" i="68"/>
  <c r="H5" i="33" s="1"/>
  <c r="J35" i="68"/>
  <c r="I34" i="68"/>
  <c r="H6" i="33" s="1"/>
  <c r="I32" i="68"/>
  <c r="H4" i="33" s="1"/>
  <c r="G7" i="32" l="1"/>
  <c r="I26" i="68"/>
  <c r="G3" i="32"/>
  <c r="I22" i="68"/>
  <c r="K24" i="68"/>
  <c r="J5" i="32" s="1"/>
  <c r="K25" i="68"/>
  <c r="J6" i="32" s="1"/>
  <c r="K35" i="68"/>
  <c r="J32" i="68"/>
  <c r="I4" i="33" s="1"/>
  <c r="J34" i="68"/>
  <c r="I6" i="33" s="1"/>
  <c r="J33" i="68"/>
  <c r="I5" i="33" s="1"/>
  <c r="H7" i="32" l="1"/>
  <c r="J26" i="68"/>
  <c r="H3" i="32"/>
  <c r="J22" i="68"/>
  <c r="L25" i="68"/>
  <c r="K6" i="32" s="1"/>
  <c r="L24" i="68"/>
  <c r="K5" i="32" s="1"/>
  <c r="K32" i="68"/>
  <c r="J4" i="33" s="1"/>
  <c r="K33" i="68"/>
  <c r="J5" i="33" s="1"/>
  <c r="K34" i="68"/>
  <c r="J6" i="33" s="1"/>
  <c r="L35" i="68"/>
  <c r="I3" i="32" l="1"/>
  <c r="K22" i="68"/>
  <c r="I7" i="32"/>
  <c r="K26" i="68"/>
  <c r="M24" i="68"/>
  <c r="L5" i="32" s="1"/>
  <c r="M25" i="68"/>
  <c r="L6" i="32" s="1"/>
  <c r="L33" i="68"/>
  <c r="K5" i="33" s="1"/>
  <c r="M35" i="68"/>
  <c r="L34" i="68"/>
  <c r="K6" i="33" s="1"/>
  <c r="L32" i="68"/>
  <c r="K4" i="33" s="1"/>
  <c r="J7" i="32" l="1"/>
  <c r="L26" i="68"/>
  <c r="J3" i="32"/>
  <c r="L22" i="68"/>
  <c r="N25" i="68"/>
  <c r="M6" i="32" s="1"/>
  <c r="N24" i="68"/>
  <c r="M5" i="32" s="1"/>
  <c r="M32" i="68"/>
  <c r="L4" i="33" s="1"/>
  <c r="M33" i="68"/>
  <c r="L5" i="33" s="1"/>
  <c r="M34" i="68"/>
  <c r="L6" i="33" s="1"/>
  <c r="N35" i="68"/>
  <c r="K7" i="32" l="1"/>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<sst xmlns="http://schemas.openxmlformats.org/spreadsheetml/2006/main" count="8269" uniqueCount="3931">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</sst>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4">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9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xf numFmtId="0" fontId="0" fillId="43" borderId="0" xfId="0" applyFill="1"/>
    <xf numFmtId="0" fontId="69" fillId="0" borderId="0" xfId="0" applyFont="1" applyAlignment="1">
      <alignment vertical="center"/>
    </xf>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tabSelected="1" workbookViewId="0">
      <selection activeCell="A10" sqref="A10"/>
    </sheetView>
  </sheetViews>
  <sheetFormatPr defaultRowHeight="14.75"/>
  <cols>
    <col min="2" max="2" width="51.54296875" customWidth="1"/>
  </cols>
  <sheetData>
    <row r="1" spans="1:2">
      <c r="A1" s="1" t="s">
        <v>1378</v>
      </c>
    </row>
    <row r="2" spans="1:2">
      <c r="A2" s="1" t="s">
        <v>36</v>
      </c>
    </row>
    <row r="4" spans="1:2">
      <c r="A4" s="1" t="s">
        <v>0</v>
      </c>
      <c r="B4" s="4" t="s">
        <v>186</v>
      </c>
    </row>
    <row r="5" spans="1:2">
      <c r="B5" s="290" t="s">
        <v>3926</v>
      </c>
    </row>
    <row r="6" spans="1:2">
      <c r="B6" s="2">
        <v>2025</v>
      </c>
    </row>
    <row r="7" spans="1:2">
      <c r="B7" t="s">
        <v>3927</v>
      </c>
    </row>
    <row r="8" spans="1:2">
      <c r="B8" t="s">
        <v>3928</v>
      </c>
    </row>
    <row r="9" spans="1:2">
      <c r="B9" t="s">
        <v>3929</v>
      </c>
    </row>
    <row r="10" spans="1:2">
      <c r="B10" s="291" t="s">
        <v>3930</v>
      </c>
    </row>
    <row r="11" spans="1:2">
      <c r="B11" s="291"/>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activeCell="B18" sqref="B18"/>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6" width="23.26953125" customWidth="1"/>
    <col min="7" max="7" width="19.26953125" customWidth="1"/>
    <col min="8" max="8" width="22.5429687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4951</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F21" sqref="F2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6" width="23.26953125" customWidth="1"/>
    <col min="7" max="7" width="19.26953125" customWidth="1"/>
    <col min="8" max="8" width="20.5429687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796</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4.75"/>
  <cols>
    <col min="1" max="1" width="13.1328125" customWidth="1"/>
    <col min="2" max="2" width="8.726562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4.7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265625" defaultRowHeight="14.75"/>
  <cols>
    <col min="2" max="2" width="38" customWidth="1"/>
  </cols>
  <sheetData>
    <row r="1" spans="1:33" ht="15.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6">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83" t="s">
        <v>662</v>
      </c>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86"/>
      <c r="C112" s="286"/>
      <c r="D112" s="286"/>
      <c r="E112" s="286"/>
      <c r="F112" s="286"/>
      <c r="G112" s="286"/>
      <c r="H112" s="286"/>
      <c r="I112" s="286"/>
      <c r="J112" s="286"/>
      <c r="K112" s="286"/>
      <c r="L112" s="286"/>
      <c r="M112" s="286"/>
      <c r="N112" s="286"/>
      <c r="O112" s="286"/>
      <c r="P112" s="286"/>
      <c r="Q112" s="286"/>
      <c r="R112" s="286"/>
      <c r="S112" s="286"/>
      <c r="T112" s="286"/>
      <c r="U112" s="286"/>
      <c r="V112" s="286"/>
      <c r="W112" s="286"/>
      <c r="X112" s="286"/>
      <c r="Y112" s="286"/>
      <c r="Z112" s="286"/>
      <c r="AA112" s="286"/>
      <c r="AB112" s="286"/>
      <c r="AC112" s="286"/>
      <c r="AD112" s="286"/>
      <c r="AE112" s="286"/>
      <c r="AF112" s="286"/>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85"/>
      <c r="C712" s="285"/>
      <c r="D712" s="285"/>
      <c r="E712" s="285"/>
      <c r="F712" s="285"/>
      <c r="G712" s="285"/>
      <c r="H712" s="285"/>
      <c r="I712" s="285"/>
      <c r="J712" s="285"/>
      <c r="K712" s="285"/>
      <c r="L712" s="285"/>
      <c r="M712" s="285"/>
      <c r="N712" s="285"/>
      <c r="O712" s="285"/>
      <c r="P712" s="285"/>
      <c r="Q712" s="285"/>
      <c r="R712" s="285"/>
      <c r="S712" s="285"/>
      <c r="T712" s="285"/>
      <c r="U712" s="285"/>
      <c r="V712" s="285"/>
      <c r="W712" s="285"/>
      <c r="X712" s="285"/>
      <c r="Y712" s="285"/>
      <c r="Z712" s="285"/>
      <c r="AA712" s="285"/>
      <c r="AB712" s="285"/>
      <c r="AC712" s="285"/>
      <c r="AD712" s="285"/>
      <c r="AE712" s="285"/>
      <c r="AF712" s="285"/>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85"/>
      <c r="C887" s="285"/>
      <c r="D887" s="285"/>
      <c r="E887" s="285"/>
      <c r="F887" s="285"/>
      <c r="G887" s="285"/>
      <c r="H887" s="285"/>
      <c r="I887" s="285"/>
      <c r="J887" s="285"/>
      <c r="K887" s="285"/>
      <c r="L887" s="285"/>
      <c r="M887" s="285"/>
      <c r="N887" s="285"/>
      <c r="O887" s="285"/>
      <c r="P887" s="285"/>
      <c r="Q887" s="285"/>
      <c r="R887" s="285"/>
      <c r="S887" s="285"/>
      <c r="T887" s="285"/>
      <c r="U887" s="285"/>
      <c r="V887" s="285"/>
      <c r="W887" s="285"/>
      <c r="X887" s="285"/>
      <c r="Y887" s="285"/>
      <c r="Z887" s="285"/>
      <c r="AA887" s="285"/>
      <c r="AB887" s="285"/>
      <c r="AC887" s="285"/>
      <c r="AD887" s="285"/>
      <c r="AE887" s="285"/>
      <c r="AF887" s="285"/>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85"/>
      <c r="C1101" s="285"/>
      <c r="D1101" s="285"/>
      <c r="E1101" s="285"/>
      <c r="F1101" s="285"/>
      <c r="G1101" s="285"/>
      <c r="H1101" s="285"/>
      <c r="I1101" s="285"/>
      <c r="J1101" s="285"/>
      <c r="K1101" s="285"/>
      <c r="L1101" s="285"/>
      <c r="M1101" s="285"/>
      <c r="N1101" s="285"/>
      <c r="O1101" s="285"/>
      <c r="P1101" s="285"/>
      <c r="Q1101" s="285"/>
      <c r="R1101" s="285"/>
      <c r="S1101" s="285"/>
      <c r="T1101" s="285"/>
      <c r="U1101" s="285"/>
      <c r="V1101" s="285"/>
      <c r="W1101" s="285"/>
      <c r="X1101" s="285"/>
      <c r="Y1101" s="285"/>
      <c r="Z1101" s="285"/>
      <c r="AA1101" s="285"/>
      <c r="AB1101" s="285"/>
      <c r="AC1101" s="285"/>
      <c r="AD1101" s="285"/>
      <c r="AE1101" s="285"/>
      <c r="AF1101" s="285"/>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85"/>
      <c r="C1229" s="285"/>
      <c r="D1229" s="285"/>
      <c r="E1229" s="285"/>
      <c r="F1229" s="285"/>
      <c r="G1229" s="285"/>
      <c r="H1229" s="285"/>
      <c r="I1229" s="285"/>
      <c r="J1229" s="285"/>
      <c r="K1229" s="285"/>
      <c r="L1229" s="285"/>
      <c r="M1229" s="285"/>
      <c r="N1229" s="285"/>
      <c r="O1229" s="285"/>
      <c r="P1229" s="285"/>
      <c r="Q1229" s="285"/>
      <c r="R1229" s="285"/>
      <c r="S1229" s="285"/>
      <c r="T1229" s="285"/>
      <c r="U1229" s="285"/>
      <c r="V1229" s="285"/>
      <c r="W1229" s="285"/>
      <c r="X1229" s="285"/>
      <c r="Y1229" s="285"/>
      <c r="Z1229" s="285"/>
      <c r="AA1229" s="285"/>
      <c r="AB1229" s="285"/>
      <c r="AC1229" s="285"/>
      <c r="AD1229" s="285"/>
      <c r="AE1229" s="285"/>
      <c r="AF1229" s="285"/>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85"/>
      <c r="C1390" s="285"/>
      <c r="D1390" s="285"/>
      <c r="E1390" s="285"/>
      <c r="F1390" s="285"/>
      <c r="G1390" s="285"/>
      <c r="H1390" s="285"/>
      <c r="I1390" s="285"/>
      <c r="J1390" s="285"/>
      <c r="K1390" s="285"/>
      <c r="L1390" s="285"/>
      <c r="M1390" s="285"/>
      <c r="N1390" s="285"/>
      <c r="O1390" s="285"/>
      <c r="P1390" s="285"/>
      <c r="Q1390" s="285"/>
      <c r="R1390" s="285"/>
      <c r="S1390" s="285"/>
      <c r="T1390" s="285"/>
      <c r="U1390" s="285"/>
      <c r="V1390" s="285"/>
      <c r="W1390" s="285"/>
      <c r="X1390" s="285"/>
      <c r="Y1390" s="285"/>
      <c r="Z1390" s="285"/>
      <c r="AA1390" s="285"/>
      <c r="AB1390" s="285"/>
      <c r="AC1390" s="285"/>
      <c r="AD1390" s="285"/>
      <c r="AE1390" s="285"/>
      <c r="AF1390" s="285"/>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85"/>
      <c r="C1502" s="285"/>
      <c r="D1502" s="285"/>
      <c r="E1502" s="285"/>
      <c r="F1502" s="285"/>
      <c r="G1502" s="285"/>
      <c r="H1502" s="285"/>
      <c r="I1502" s="285"/>
      <c r="J1502" s="285"/>
      <c r="K1502" s="285"/>
      <c r="L1502" s="285"/>
      <c r="M1502" s="285"/>
      <c r="N1502" s="285"/>
      <c r="O1502" s="285"/>
      <c r="P1502" s="285"/>
      <c r="Q1502" s="285"/>
      <c r="R1502" s="285"/>
      <c r="S1502" s="285"/>
      <c r="T1502" s="285"/>
      <c r="U1502" s="285"/>
      <c r="V1502" s="285"/>
      <c r="W1502" s="285"/>
      <c r="X1502" s="285"/>
      <c r="Y1502" s="285"/>
      <c r="Z1502" s="285"/>
      <c r="AA1502" s="285"/>
      <c r="AB1502" s="285"/>
      <c r="AC1502" s="285"/>
      <c r="AD1502" s="285"/>
      <c r="AE1502" s="285"/>
      <c r="AF1502" s="285"/>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85"/>
      <c r="C1604" s="285"/>
      <c r="D1604" s="285"/>
      <c r="E1604" s="285"/>
      <c r="F1604" s="285"/>
      <c r="G1604" s="285"/>
      <c r="H1604" s="285"/>
      <c r="I1604" s="285"/>
      <c r="J1604" s="285"/>
      <c r="K1604" s="285"/>
      <c r="L1604" s="285"/>
      <c r="M1604" s="285"/>
      <c r="N1604" s="285"/>
      <c r="O1604" s="285"/>
      <c r="P1604" s="285"/>
      <c r="Q1604" s="285"/>
      <c r="R1604" s="285"/>
      <c r="S1604" s="285"/>
      <c r="T1604" s="285"/>
      <c r="U1604" s="285"/>
      <c r="V1604" s="285"/>
      <c r="W1604" s="285"/>
      <c r="X1604" s="285"/>
      <c r="Y1604" s="285"/>
      <c r="Z1604" s="285"/>
      <c r="AA1604" s="285"/>
      <c r="AB1604" s="285"/>
      <c r="AC1604" s="285"/>
      <c r="AD1604" s="285"/>
      <c r="AE1604" s="285"/>
      <c r="AF1604" s="285"/>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85"/>
      <c r="C1699" s="285"/>
      <c r="D1699" s="285"/>
      <c r="E1699" s="285"/>
      <c r="F1699" s="285"/>
      <c r="G1699" s="285"/>
      <c r="H1699" s="285"/>
      <c r="I1699" s="285"/>
      <c r="J1699" s="285"/>
      <c r="K1699" s="285"/>
      <c r="L1699" s="285"/>
      <c r="M1699" s="285"/>
      <c r="N1699" s="285"/>
      <c r="O1699" s="285"/>
      <c r="P1699" s="285"/>
      <c r="Q1699" s="285"/>
      <c r="R1699" s="285"/>
      <c r="S1699" s="285"/>
      <c r="T1699" s="285"/>
      <c r="U1699" s="285"/>
      <c r="V1699" s="285"/>
      <c r="W1699" s="285"/>
      <c r="X1699" s="285"/>
      <c r="Y1699" s="285"/>
      <c r="Z1699" s="285"/>
      <c r="AA1699" s="285"/>
      <c r="AB1699" s="285"/>
      <c r="AC1699" s="285"/>
      <c r="AD1699" s="285"/>
      <c r="AE1699" s="285"/>
      <c r="AF1699" s="285"/>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85"/>
      <c r="C1945" s="285"/>
      <c r="D1945" s="285"/>
      <c r="E1945" s="285"/>
      <c r="F1945" s="285"/>
      <c r="G1945" s="285"/>
      <c r="H1945" s="285"/>
      <c r="I1945" s="285"/>
      <c r="J1945" s="285"/>
      <c r="K1945" s="285"/>
      <c r="L1945" s="285"/>
      <c r="M1945" s="285"/>
      <c r="N1945" s="285"/>
      <c r="O1945" s="285"/>
      <c r="P1945" s="285"/>
      <c r="Q1945" s="285"/>
      <c r="R1945" s="285"/>
      <c r="S1945" s="285"/>
      <c r="T1945" s="285"/>
      <c r="U1945" s="285"/>
      <c r="V1945" s="285"/>
      <c r="W1945" s="285"/>
      <c r="X1945" s="285"/>
      <c r="Y1945" s="285"/>
      <c r="Z1945" s="285"/>
      <c r="AA1945" s="285"/>
      <c r="AB1945" s="285"/>
      <c r="AC1945" s="285"/>
      <c r="AD1945" s="285"/>
      <c r="AE1945" s="285"/>
      <c r="AF1945" s="285"/>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85"/>
      <c r="C2031" s="285"/>
      <c r="D2031" s="285"/>
      <c r="E2031" s="285"/>
      <c r="F2031" s="285"/>
      <c r="G2031" s="285"/>
      <c r="H2031" s="285"/>
      <c r="I2031" s="285"/>
      <c r="J2031" s="285"/>
      <c r="K2031" s="285"/>
      <c r="L2031" s="285"/>
      <c r="M2031" s="285"/>
      <c r="N2031" s="285"/>
      <c r="O2031" s="285"/>
      <c r="P2031" s="285"/>
      <c r="Q2031" s="285"/>
      <c r="R2031" s="285"/>
      <c r="S2031" s="285"/>
      <c r="T2031" s="285"/>
      <c r="U2031" s="285"/>
      <c r="V2031" s="285"/>
      <c r="W2031" s="285"/>
      <c r="X2031" s="285"/>
      <c r="Y2031" s="285"/>
      <c r="Z2031" s="285"/>
      <c r="AA2031" s="285"/>
      <c r="AB2031" s="285"/>
      <c r="AC2031" s="285"/>
      <c r="AD2031" s="285"/>
      <c r="AE2031" s="285"/>
      <c r="AF2031" s="285"/>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85"/>
      <c r="C2153" s="285"/>
      <c r="D2153" s="285"/>
      <c r="E2153" s="285"/>
      <c r="F2153" s="285"/>
      <c r="G2153" s="285"/>
      <c r="H2153" s="285"/>
      <c r="I2153" s="285"/>
      <c r="J2153" s="285"/>
      <c r="K2153" s="285"/>
      <c r="L2153" s="285"/>
      <c r="M2153" s="285"/>
      <c r="N2153" s="285"/>
      <c r="O2153" s="285"/>
      <c r="P2153" s="285"/>
      <c r="Q2153" s="285"/>
      <c r="R2153" s="285"/>
      <c r="S2153" s="285"/>
      <c r="T2153" s="285"/>
      <c r="U2153" s="285"/>
      <c r="V2153" s="285"/>
      <c r="W2153" s="285"/>
      <c r="X2153" s="285"/>
      <c r="Y2153" s="285"/>
      <c r="Z2153" s="285"/>
      <c r="AA2153" s="285"/>
      <c r="AB2153" s="285"/>
      <c r="AC2153" s="285"/>
      <c r="AD2153" s="285"/>
      <c r="AE2153" s="285"/>
      <c r="AF2153" s="285"/>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85"/>
      <c r="C2317" s="285"/>
      <c r="D2317" s="285"/>
      <c r="E2317" s="285"/>
      <c r="F2317" s="285"/>
      <c r="G2317" s="285"/>
      <c r="H2317" s="285"/>
      <c r="I2317" s="285"/>
      <c r="J2317" s="285"/>
      <c r="K2317" s="285"/>
      <c r="L2317" s="285"/>
      <c r="M2317" s="285"/>
      <c r="N2317" s="285"/>
      <c r="O2317" s="285"/>
      <c r="P2317" s="285"/>
      <c r="Q2317" s="285"/>
      <c r="R2317" s="285"/>
      <c r="S2317" s="285"/>
      <c r="T2317" s="285"/>
      <c r="U2317" s="285"/>
      <c r="V2317" s="285"/>
      <c r="W2317" s="285"/>
      <c r="X2317" s="285"/>
      <c r="Y2317" s="285"/>
      <c r="Z2317" s="285"/>
      <c r="AA2317" s="285"/>
      <c r="AB2317" s="285"/>
      <c r="AC2317" s="285"/>
      <c r="AD2317" s="285"/>
      <c r="AE2317" s="285"/>
      <c r="AF2317" s="285"/>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85"/>
      <c r="C2419" s="285"/>
      <c r="D2419" s="285"/>
      <c r="E2419" s="285"/>
      <c r="F2419" s="285"/>
      <c r="G2419" s="285"/>
      <c r="H2419" s="285"/>
      <c r="I2419" s="285"/>
      <c r="J2419" s="285"/>
      <c r="K2419" s="285"/>
      <c r="L2419" s="285"/>
      <c r="M2419" s="285"/>
      <c r="N2419" s="285"/>
      <c r="O2419" s="285"/>
      <c r="P2419" s="285"/>
      <c r="Q2419" s="285"/>
      <c r="R2419" s="285"/>
      <c r="S2419" s="285"/>
      <c r="T2419" s="285"/>
      <c r="U2419" s="285"/>
      <c r="V2419" s="285"/>
      <c r="W2419" s="285"/>
      <c r="X2419" s="285"/>
      <c r="Y2419" s="285"/>
      <c r="Z2419" s="285"/>
      <c r="AA2419" s="285"/>
      <c r="AB2419" s="285"/>
      <c r="AC2419" s="285"/>
      <c r="AD2419" s="285"/>
      <c r="AE2419" s="285"/>
      <c r="AF2419" s="285"/>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85"/>
      <c r="C2509" s="285"/>
      <c r="D2509" s="285"/>
      <c r="E2509" s="285"/>
      <c r="F2509" s="285"/>
      <c r="G2509" s="285"/>
      <c r="H2509" s="285"/>
      <c r="I2509" s="285"/>
      <c r="J2509" s="285"/>
      <c r="K2509" s="285"/>
      <c r="L2509" s="285"/>
      <c r="M2509" s="285"/>
      <c r="N2509" s="285"/>
      <c r="O2509" s="285"/>
      <c r="P2509" s="285"/>
      <c r="Q2509" s="285"/>
      <c r="R2509" s="285"/>
      <c r="S2509" s="285"/>
      <c r="T2509" s="285"/>
      <c r="U2509" s="285"/>
      <c r="V2509" s="285"/>
      <c r="W2509" s="285"/>
      <c r="X2509" s="285"/>
      <c r="Y2509" s="285"/>
      <c r="Z2509" s="285"/>
      <c r="AA2509" s="285"/>
      <c r="AB2509" s="285"/>
      <c r="AC2509" s="285"/>
      <c r="AD2509" s="285"/>
      <c r="AE2509" s="285"/>
      <c r="AF2509" s="285"/>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85"/>
      <c r="C2598" s="285"/>
      <c r="D2598" s="285"/>
      <c r="E2598" s="285"/>
      <c r="F2598" s="285"/>
      <c r="G2598" s="285"/>
      <c r="H2598" s="285"/>
      <c r="I2598" s="285"/>
      <c r="J2598" s="285"/>
      <c r="K2598" s="285"/>
      <c r="L2598" s="285"/>
      <c r="M2598" s="285"/>
      <c r="N2598" s="285"/>
      <c r="O2598" s="285"/>
      <c r="P2598" s="285"/>
      <c r="Q2598" s="285"/>
      <c r="R2598" s="285"/>
      <c r="S2598" s="285"/>
      <c r="T2598" s="285"/>
      <c r="U2598" s="285"/>
      <c r="V2598" s="285"/>
      <c r="W2598" s="285"/>
      <c r="X2598" s="285"/>
      <c r="Y2598" s="285"/>
      <c r="Z2598" s="285"/>
      <c r="AA2598" s="285"/>
      <c r="AB2598" s="285"/>
      <c r="AC2598" s="285"/>
      <c r="AD2598" s="285"/>
      <c r="AE2598" s="285"/>
      <c r="AF2598" s="285"/>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85"/>
      <c r="C2719" s="285"/>
      <c r="D2719" s="285"/>
      <c r="E2719" s="285"/>
      <c r="F2719" s="285"/>
      <c r="G2719" s="285"/>
      <c r="H2719" s="285"/>
      <c r="I2719" s="285"/>
      <c r="J2719" s="285"/>
      <c r="K2719" s="285"/>
      <c r="L2719" s="285"/>
      <c r="M2719" s="285"/>
      <c r="N2719" s="285"/>
      <c r="O2719" s="285"/>
      <c r="P2719" s="285"/>
      <c r="Q2719" s="285"/>
      <c r="R2719" s="285"/>
      <c r="S2719" s="285"/>
      <c r="T2719" s="285"/>
      <c r="U2719" s="285"/>
      <c r="V2719" s="285"/>
      <c r="W2719" s="285"/>
      <c r="X2719" s="285"/>
      <c r="Y2719" s="285"/>
      <c r="Z2719" s="285"/>
      <c r="AA2719" s="285"/>
      <c r="AB2719" s="285"/>
      <c r="AC2719" s="285"/>
      <c r="AD2719" s="285"/>
      <c r="AE2719" s="285"/>
      <c r="AF2719" s="285"/>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85"/>
      <c r="C2837" s="285"/>
      <c r="D2837" s="285"/>
      <c r="E2837" s="285"/>
      <c r="F2837" s="285"/>
      <c r="G2837" s="285"/>
      <c r="H2837" s="285"/>
      <c r="I2837" s="285"/>
      <c r="J2837" s="285"/>
      <c r="K2837" s="285"/>
      <c r="L2837" s="285"/>
      <c r="M2837" s="285"/>
      <c r="N2837" s="285"/>
      <c r="O2837" s="285"/>
      <c r="P2837" s="285"/>
      <c r="Q2837" s="285"/>
      <c r="R2837" s="285"/>
      <c r="S2837" s="285"/>
      <c r="T2837" s="285"/>
      <c r="U2837" s="285"/>
      <c r="V2837" s="285"/>
      <c r="W2837" s="285"/>
      <c r="X2837" s="285"/>
      <c r="Y2837" s="285"/>
      <c r="Z2837" s="285"/>
      <c r="AA2837" s="285"/>
      <c r="AB2837" s="285"/>
      <c r="AC2837" s="285"/>
      <c r="AD2837" s="285"/>
      <c r="AE2837" s="285"/>
      <c r="AF2837" s="285"/>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4.75"/>
  <cols>
    <col min="2" max="2" width="37"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732</v>
      </c>
      <c r="B65" s="238" t="s">
        <v>733</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4.75"/>
  <cols>
    <col min="1" max="1" width="20.86328125" hidden="1" customWidth="1"/>
    <col min="2" max="2" width="45.726562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60" customFormat="1" ht="15" customHeight="1">
      <c r="A77" s="262" t="s">
        <v>1373</v>
      </c>
      <c r="B77" s="263" t="s">
        <v>1374</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88" t="s">
        <v>406</v>
      </c>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87"/>
      <c r="C117" s="287"/>
      <c r="D117" s="287"/>
      <c r="E117" s="287"/>
      <c r="F117" s="287"/>
      <c r="G117" s="287"/>
      <c r="H117" s="287"/>
      <c r="I117" s="287"/>
      <c r="J117" s="287"/>
      <c r="K117" s="287"/>
      <c r="L117" s="287"/>
      <c r="M117" s="287"/>
      <c r="N117" s="287"/>
      <c r="O117" s="287"/>
      <c r="P117" s="287"/>
      <c r="Q117" s="287"/>
      <c r="R117" s="287"/>
      <c r="S117" s="287"/>
      <c r="T117" s="287"/>
      <c r="U117" s="287"/>
      <c r="V117" s="287"/>
      <c r="W117" s="287"/>
      <c r="X117" s="287"/>
      <c r="Y117" s="287"/>
      <c r="Z117" s="287"/>
      <c r="AA117" s="287"/>
      <c r="AB117" s="287"/>
      <c r="AC117" s="287"/>
      <c r="AD117" s="287"/>
      <c r="AE117" s="287"/>
      <c r="AF117" s="287"/>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87"/>
      <c r="C259" s="287"/>
      <c r="D259" s="287"/>
      <c r="E259" s="287"/>
      <c r="F259" s="287"/>
      <c r="G259" s="287"/>
      <c r="H259" s="287"/>
      <c r="I259" s="287"/>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87"/>
      <c r="C339" s="287"/>
      <c r="D339" s="287"/>
      <c r="E339" s="287"/>
      <c r="F339" s="287"/>
      <c r="G339" s="287"/>
      <c r="H339" s="287"/>
      <c r="I339" s="287"/>
      <c r="J339" s="287"/>
      <c r="K339" s="287"/>
      <c r="L339" s="287"/>
      <c r="M339" s="287"/>
      <c r="N339" s="287"/>
      <c r="O339" s="287"/>
      <c r="P339" s="287"/>
      <c r="Q339" s="287"/>
      <c r="R339" s="287"/>
      <c r="S339" s="287"/>
      <c r="T339" s="287"/>
      <c r="U339" s="287"/>
      <c r="V339" s="287"/>
      <c r="W339" s="287"/>
      <c r="X339" s="287"/>
      <c r="Y339" s="287"/>
      <c r="Z339" s="287"/>
      <c r="AA339" s="287"/>
      <c r="AB339" s="287"/>
      <c r="AC339" s="287"/>
      <c r="AD339" s="287"/>
      <c r="AE339" s="287"/>
      <c r="AF339" s="287"/>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c r="Y452" s="287"/>
      <c r="Z452" s="287"/>
      <c r="AA452" s="287"/>
      <c r="AB452" s="287"/>
      <c r="AC452" s="287"/>
      <c r="AD452" s="287"/>
      <c r="AE452" s="287"/>
      <c r="AF452" s="28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c r="Y565" s="287"/>
      <c r="Z565" s="287"/>
      <c r="AA565" s="287"/>
      <c r="AB565" s="287"/>
      <c r="AC565" s="287"/>
      <c r="AD565" s="287"/>
      <c r="AE565" s="287"/>
      <c r="AF565" s="287"/>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c r="Y663" s="287"/>
      <c r="Z663" s="287"/>
      <c r="AA663" s="287"/>
      <c r="AB663" s="287"/>
      <c r="AC663" s="287"/>
      <c r="AD663" s="287"/>
      <c r="AE663" s="287"/>
      <c r="AF663" s="287"/>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c r="Y735" s="287"/>
      <c r="Z735" s="287"/>
      <c r="AA735" s="287"/>
      <c r="AB735" s="287"/>
      <c r="AC735" s="287"/>
      <c r="AD735" s="287"/>
      <c r="AE735" s="287"/>
      <c r="AF735" s="287"/>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c r="Y911" s="287"/>
      <c r="Z911" s="287"/>
      <c r="AA911" s="287"/>
      <c r="AB911" s="287"/>
      <c r="AC911" s="287"/>
      <c r="AD911" s="287"/>
      <c r="AE911" s="287"/>
      <c r="AF911" s="287"/>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c r="Y994" s="287"/>
      <c r="Z994" s="287"/>
      <c r="AA994" s="287"/>
      <c r="AB994" s="287"/>
      <c r="AC994" s="287"/>
      <c r="AD994" s="287"/>
      <c r="AE994" s="287"/>
      <c r="AF994" s="287"/>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87"/>
      <c r="C1096" s="287"/>
      <c r="D1096" s="287"/>
      <c r="E1096" s="287"/>
      <c r="F1096" s="287"/>
      <c r="G1096" s="287"/>
      <c r="H1096" s="287"/>
      <c r="I1096" s="287"/>
      <c r="J1096" s="287"/>
      <c r="K1096" s="287"/>
      <c r="L1096" s="287"/>
      <c r="M1096" s="287"/>
      <c r="N1096" s="287"/>
      <c r="O1096" s="287"/>
      <c r="P1096" s="287"/>
      <c r="Q1096" s="287"/>
      <c r="R1096" s="287"/>
      <c r="S1096" s="287"/>
      <c r="T1096" s="287"/>
      <c r="U1096" s="287"/>
      <c r="V1096" s="287"/>
      <c r="W1096" s="287"/>
      <c r="X1096" s="287"/>
      <c r="Y1096" s="287"/>
      <c r="Z1096" s="287"/>
      <c r="AA1096" s="287"/>
      <c r="AB1096" s="287"/>
      <c r="AC1096" s="287"/>
      <c r="AD1096" s="287"/>
      <c r="AE1096" s="287"/>
      <c r="AF1096" s="287"/>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87"/>
      <c r="C1194" s="287"/>
      <c r="D1194" s="287"/>
      <c r="E1194" s="287"/>
      <c r="F1194" s="287"/>
      <c r="G1194" s="287"/>
      <c r="H1194" s="287"/>
      <c r="I1194" s="287"/>
      <c r="J1194" s="287"/>
      <c r="K1194" s="287"/>
      <c r="L1194" s="287"/>
      <c r="M1194" s="287"/>
      <c r="N1194" s="287"/>
      <c r="O1194" s="287"/>
      <c r="P1194" s="287"/>
      <c r="Q1194" s="287"/>
      <c r="R1194" s="287"/>
      <c r="S1194" s="287"/>
      <c r="T1194" s="287"/>
      <c r="U1194" s="287"/>
      <c r="V1194" s="287"/>
      <c r="W1194" s="287"/>
      <c r="X1194" s="287"/>
      <c r="Y1194" s="287"/>
      <c r="Z1194" s="287"/>
      <c r="AA1194" s="287"/>
      <c r="AB1194" s="287"/>
      <c r="AC1194" s="287"/>
      <c r="AD1194" s="287"/>
      <c r="AE1194" s="287"/>
      <c r="AF1194" s="287"/>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87"/>
      <c r="C1294" s="287"/>
      <c r="D1294" s="287"/>
      <c r="E1294" s="287"/>
      <c r="F1294" s="287"/>
      <c r="G1294" s="287"/>
      <c r="H1294" s="287"/>
      <c r="I1294" s="287"/>
      <c r="J1294" s="287"/>
      <c r="K1294" s="287"/>
      <c r="L1294" s="287"/>
      <c r="M1294" s="287"/>
      <c r="N1294" s="287"/>
      <c r="O1294" s="287"/>
      <c r="P1294" s="287"/>
      <c r="Q1294" s="287"/>
      <c r="R1294" s="287"/>
      <c r="S1294" s="287"/>
      <c r="T1294" s="287"/>
      <c r="U1294" s="287"/>
      <c r="V1294" s="287"/>
      <c r="W1294" s="287"/>
      <c r="X1294" s="287"/>
      <c r="Y1294" s="287"/>
      <c r="Z1294" s="287"/>
      <c r="AA1294" s="287"/>
      <c r="AB1294" s="287"/>
      <c r="AC1294" s="287"/>
      <c r="AD1294" s="287"/>
      <c r="AE1294" s="287"/>
      <c r="AF1294" s="287"/>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87"/>
      <c r="C1590" s="287"/>
      <c r="D1590" s="287"/>
      <c r="E1590" s="287"/>
      <c r="F1590" s="287"/>
      <c r="G1590" s="287"/>
      <c r="H1590" s="287"/>
      <c r="I1590" s="287"/>
      <c r="J1590" s="287"/>
      <c r="K1590" s="287"/>
      <c r="L1590" s="287"/>
      <c r="M1590" s="287"/>
      <c r="N1590" s="287"/>
      <c r="O1590" s="287"/>
      <c r="P1590" s="287"/>
      <c r="Q1590" s="287"/>
      <c r="R1590" s="287"/>
      <c r="S1590" s="287"/>
      <c r="T1590" s="287"/>
      <c r="U1590" s="287"/>
      <c r="V1590" s="287"/>
      <c r="W1590" s="287"/>
      <c r="X1590" s="287"/>
      <c r="Y1590" s="287"/>
      <c r="Z1590" s="287"/>
      <c r="AA1590" s="287"/>
      <c r="AB1590" s="287"/>
      <c r="AC1590" s="287"/>
      <c r="AD1590" s="287"/>
      <c r="AE1590" s="287"/>
      <c r="AF1590" s="287"/>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87"/>
      <c r="C1813" s="287"/>
      <c r="D1813" s="287"/>
      <c r="E1813" s="287"/>
      <c r="F1813" s="287"/>
      <c r="G1813" s="287"/>
      <c r="H1813" s="287"/>
      <c r="I1813" s="287"/>
      <c r="J1813" s="287"/>
      <c r="K1813" s="287"/>
      <c r="L1813" s="287"/>
      <c r="M1813" s="287"/>
      <c r="N1813" s="287"/>
      <c r="O1813" s="287"/>
      <c r="P1813" s="287"/>
      <c r="Q1813" s="287"/>
      <c r="R1813" s="287"/>
      <c r="S1813" s="287"/>
      <c r="T1813" s="287"/>
      <c r="U1813" s="287"/>
      <c r="V1813" s="287"/>
      <c r="W1813" s="287"/>
      <c r="X1813" s="287"/>
      <c r="Y1813" s="287"/>
      <c r="Z1813" s="287"/>
      <c r="AA1813" s="287"/>
      <c r="AB1813" s="287"/>
      <c r="AC1813" s="287"/>
      <c r="AD1813" s="287"/>
      <c r="AE1813" s="287"/>
      <c r="AF1813" s="287"/>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87"/>
      <c r="C2090" s="287"/>
      <c r="D2090" s="287"/>
      <c r="E2090" s="287"/>
      <c r="F2090" s="287"/>
      <c r="G2090" s="287"/>
      <c r="H2090" s="287"/>
      <c r="I2090" s="287"/>
      <c r="J2090" s="287"/>
      <c r="K2090" s="287"/>
      <c r="L2090" s="287"/>
      <c r="M2090" s="287"/>
      <c r="N2090" s="287"/>
      <c r="O2090" s="287"/>
      <c r="P2090" s="287"/>
      <c r="Q2090" s="287"/>
      <c r="R2090" s="287"/>
      <c r="S2090" s="287"/>
      <c r="T2090" s="287"/>
      <c r="U2090" s="287"/>
      <c r="V2090" s="287"/>
      <c r="W2090" s="287"/>
      <c r="X2090" s="287"/>
      <c r="Y2090" s="287"/>
      <c r="Z2090" s="287"/>
      <c r="AA2090" s="287"/>
      <c r="AB2090" s="287"/>
      <c r="AC2090" s="287"/>
      <c r="AD2090" s="287"/>
      <c r="AE2090" s="287"/>
      <c r="AF2090" s="287"/>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87"/>
      <c r="C2425" s="287"/>
      <c r="D2425" s="287"/>
      <c r="E2425" s="287"/>
      <c r="F2425" s="287"/>
      <c r="G2425" s="287"/>
      <c r="H2425" s="287"/>
      <c r="I2425" s="287"/>
      <c r="J2425" s="287"/>
      <c r="K2425" s="287"/>
      <c r="L2425" s="287"/>
      <c r="M2425" s="287"/>
      <c r="N2425" s="287"/>
      <c r="O2425" s="287"/>
      <c r="P2425" s="287"/>
      <c r="Q2425" s="287"/>
      <c r="R2425" s="287"/>
      <c r="S2425" s="287"/>
      <c r="T2425" s="287"/>
      <c r="U2425" s="287"/>
      <c r="V2425" s="287"/>
      <c r="W2425" s="287"/>
      <c r="X2425" s="287"/>
      <c r="Y2425" s="287"/>
      <c r="Z2425" s="287"/>
      <c r="AA2425" s="287"/>
      <c r="AB2425" s="287"/>
      <c r="AC2425" s="287"/>
      <c r="AD2425" s="287"/>
      <c r="AE2425" s="287"/>
      <c r="AF2425" s="287"/>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87"/>
      <c r="C2745" s="287"/>
      <c r="D2745" s="287"/>
      <c r="E2745" s="287"/>
      <c r="F2745" s="287"/>
      <c r="G2745" s="287"/>
      <c r="H2745" s="287"/>
      <c r="I2745" s="287"/>
      <c r="J2745" s="287"/>
      <c r="K2745" s="287"/>
      <c r="L2745" s="287"/>
      <c r="M2745" s="287"/>
      <c r="N2745" s="287"/>
      <c r="O2745" s="287"/>
      <c r="P2745" s="287"/>
      <c r="Q2745" s="287"/>
      <c r="R2745" s="287"/>
      <c r="S2745" s="287"/>
      <c r="T2745" s="287"/>
      <c r="U2745" s="287"/>
      <c r="V2745" s="287"/>
      <c r="W2745" s="287"/>
      <c r="X2745" s="287"/>
      <c r="Y2745" s="287"/>
      <c r="Z2745" s="287"/>
      <c r="AA2745" s="287"/>
      <c r="AB2745" s="287"/>
      <c r="AC2745" s="287"/>
      <c r="AD2745" s="287"/>
      <c r="AE2745" s="287"/>
      <c r="AF2745" s="287"/>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87"/>
      <c r="C3076" s="287"/>
      <c r="D3076" s="287"/>
      <c r="E3076" s="287"/>
      <c r="F3076" s="287"/>
      <c r="G3076" s="287"/>
      <c r="H3076" s="287"/>
      <c r="I3076" s="287"/>
      <c r="J3076" s="287"/>
      <c r="K3076" s="287"/>
      <c r="L3076" s="287"/>
      <c r="M3076" s="287"/>
      <c r="N3076" s="287"/>
      <c r="O3076" s="287"/>
      <c r="P3076" s="287"/>
      <c r="Q3076" s="287"/>
      <c r="R3076" s="287"/>
      <c r="S3076" s="287"/>
      <c r="T3076" s="287"/>
      <c r="U3076" s="287"/>
      <c r="V3076" s="287"/>
      <c r="W3076" s="287"/>
      <c r="X3076" s="287"/>
      <c r="Y3076" s="287"/>
      <c r="Z3076" s="287"/>
      <c r="AA3076" s="287"/>
      <c r="AB3076" s="287"/>
      <c r="AC3076" s="287"/>
      <c r="AD3076" s="287"/>
      <c r="AE3076" s="287"/>
      <c r="AF3076" s="287"/>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87"/>
      <c r="C3393" s="287"/>
      <c r="D3393" s="287"/>
      <c r="E3393" s="287"/>
      <c r="F3393" s="287"/>
      <c r="G3393" s="287"/>
      <c r="H3393" s="287"/>
      <c r="I3393" s="287"/>
      <c r="J3393" s="287"/>
      <c r="K3393" s="287"/>
      <c r="L3393" s="287"/>
      <c r="M3393" s="287"/>
      <c r="N3393" s="287"/>
      <c r="O3393" s="287"/>
      <c r="P3393" s="287"/>
      <c r="Q3393" s="287"/>
      <c r="R3393" s="287"/>
      <c r="S3393" s="287"/>
      <c r="T3393" s="287"/>
      <c r="U3393" s="287"/>
      <c r="V3393" s="287"/>
      <c r="W3393" s="287"/>
      <c r="X3393" s="287"/>
      <c r="Y3393" s="287"/>
      <c r="Z3393" s="287"/>
      <c r="AA3393" s="287"/>
      <c r="AB3393" s="287"/>
      <c r="AC3393" s="287"/>
      <c r="AD3393" s="287"/>
      <c r="AE3393" s="287"/>
      <c r="AF3393" s="287"/>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87"/>
      <c r="C3502" s="287"/>
      <c r="D3502" s="287"/>
      <c r="E3502" s="287"/>
      <c r="F3502" s="287"/>
      <c r="G3502" s="287"/>
      <c r="H3502" s="287"/>
      <c r="I3502" s="287"/>
      <c r="J3502" s="287"/>
      <c r="K3502" s="287"/>
      <c r="L3502" s="287"/>
      <c r="M3502" s="287"/>
      <c r="N3502" s="287"/>
      <c r="O3502" s="287"/>
      <c r="P3502" s="287"/>
      <c r="Q3502" s="287"/>
      <c r="R3502" s="287"/>
      <c r="S3502" s="287"/>
      <c r="T3502" s="287"/>
      <c r="U3502" s="287"/>
      <c r="V3502" s="287"/>
      <c r="W3502" s="287"/>
      <c r="X3502" s="287"/>
      <c r="Y3502" s="287"/>
      <c r="Z3502" s="287"/>
      <c r="AA3502" s="287"/>
      <c r="AB3502" s="287"/>
      <c r="AC3502" s="287"/>
      <c r="AD3502" s="287"/>
      <c r="AE3502" s="287"/>
      <c r="AF3502" s="287"/>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87"/>
      <c r="C3627" s="287"/>
      <c r="D3627" s="287"/>
      <c r="E3627" s="287"/>
      <c r="F3627" s="287"/>
      <c r="G3627" s="287"/>
      <c r="H3627" s="287"/>
      <c r="I3627" s="287"/>
      <c r="J3627" s="287"/>
      <c r="K3627" s="287"/>
      <c r="L3627" s="287"/>
      <c r="M3627" s="287"/>
      <c r="N3627" s="287"/>
      <c r="O3627" s="287"/>
      <c r="P3627" s="287"/>
      <c r="Q3627" s="287"/>
      <c r="R3627" s="287"/>
      <c r="S3627" s="287"/>
      <c r="T3627" s="287"/>
      <c r="U3627" s="287"/>
      <c r="V3627" s="287"/>
      <c r="W3627" s="287"/>
      <c r="X3627" s="287"/>
      <c r="Y3627" s="287"/>
      <c r="Z3627" s="287"/>
      <c r="AA3627" s="287"/>
      <c r="AB3627" s="287"/>
      <c r="AC3627" s="287"/>
      <c r="AD3627" s="287"/>
      <c r="AE3627" s="287"/>
      <c r="AF3627" s="287"/>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87"/>
      <c r="C3752" s="287"/>
      <c r="D3752" s="287"/>
      <c r="E3752" s="287"/>
      <c r="F3752" s="287"/>
      <c r="G3752" s="287"/>
      <c r="H3752" s="287"/>
      <c r="I3752" s="287"/>
      <c r="J3752" s="287"/>
      <c r="K3752" s="287"/>
      <c r="L3752" s="287"/>
      <c r="M3752" s="287"/>
      <c r="N3752" s="287"/>
      <c r="O3752" s="287"/>
      <c r="P3752" s="287"/>
      <c r="Q3752" s="287"/>
      <c r="R3752" s="287"/>
      <c r="S3752" s="287"/>
      <c r="T3752" s="287"/>
      <c r="U3752" s="287"/>
      <c r="V3752" s="287"/>
      <c r="W3752" s="287"/>
      <c r="X3752" s="287"/>
      <c r="Y3752" s="287"/>
      <c r="Z3752" s="287"/>
      <c r="AA3752" s="287"/>
      <c r="AB3752" s="287"/>
      <c r="AC3752" s="287"/>
      <c r="AD3752" s="287"/>
      <c r="AE3752" s="287"/>
      <c r="AF3752" s="287"/>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87"/>
      <c r="C3877" s="287"/>
      <c r="D3877" s="287"/>
      <c r="E3877" s="287"/>
      <c r="F3877" s="287"/>
      <c r="G3877" s="287"/>
      <c r="H3877" s="287"/>
      <c r="I3877" s="287"/>
      <c r="J3877" s="287"/>
      <c r="K3877" s="287"/>
      <c r="L3877" s="287"/>
      <c r="M3877" s="287"/>
      <c r="N3877" s="287"/>
      <c r="O3877" s="287"/>
      <c r="P3877" s="287"/>
      <c r="Q3877" s="287"/>
      <c r="R3877" s="287"/>
      <c r="S3877" s="287"/>
      <c r="T3877" s="287"/>
      <c r="U3877" s="287"/>
      <c r="V3877" s="287"/>
      <c r="W3877" s="287"/>
      <c r="X3877" s="287"/>
      <c r="Y3877" s="287"/>
      <c r="Z3877" s="287"/>
      <c r="AA3877" s="287"/>
      <c r="AB3877" s="287"/>
      <c r="AC3877" s="287"/>
      <c r="AD3877" s="287"/>
      <c r="AE3877" s="287"/>
      <c r="AF3877" s="287"/>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87"/>
      <c r="C4002" s="287"/>
      <c r="D4002" s="287"/>
      <c r="E4002" s="287"/>
      <c r="F4002" s="287"/>
      <c r="G4002" s="287"/>
      <c r="H4002" s="287"/>
      <c r="I4002" s="287"/>
      <c r="J4002" s="287"/>
      <c r="K4002" s="287"/>
      <c r="L4002" s="287"/>
      <c r="M4002" s="287"/>
      <c r="N4002" s="287"/>
      <c r="O4002" s="287"/>
      <c r="P4002" s="287"/>
      <c r="Q4002" s="287"/>
      <c r="R4002" s="287"/>
      <c r="S4002" s="287"/>
      <c r="T4002" s="287"/>
      <c r="U4002" s="287"/>
      <c r="V4002" s="287"/>
      <c r="W4002" s="287"/>
      <c r="X4002" s="287"/>
      <c r="Y4002" s="287"/>
      <c r="Z4002" s="287"/>
      <c r="AA4002" s="287"/>
      <c r="AB4002" s="287"/>
      <c r="AC4002" s="287"/>
      <c r="AD4002" s="287"/>
      <c r="AE4002" s="287"/>
      <c r="AF4002" s="287"/>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87"/>
      <c r="C4127" s="287"/>
      <c r="D4127" s="287"/>
      <c r="E4127" s="287"/>
      <c r="F4127" s="287"/>
      <c r="G4127" s="287"/>
      <c r="H4127" s="287"/>
      <c r="I4127" s="287"/>
      <c r="J4127" s="287"/>
      <c r="K4127" s="287"/>
      <c r="L4127" s="287"/>
      <c r="M4127" s="287"/>
      <c r="N4127" s="287"/>
      <c r="O4127" s="287"/>
      <c r="P4127" s="287"/>
      <c r="Q4127" s="287"/>
      <c r="R4127" s="287"/>
      <c r="S4127" s="287"/>
      <c r="T4127" s="287"/>
      <c r="U4127" s="287"/>
      <c r="V4127" s="287"/>
      <c r="W4127" s="287"/>
      <c r="X4127" s="287"/>
      <c r="Y4127" s="287"/>
      <c r="Z4127" s="287"/>
      <c r="AA4127" s="287"/>
      <c r="AB4127" s="287"/>
      <c r="AC4127" s="287"/>
      <c r="AD4127" s="287"/>
      <c r="AE4127" s="287"/>
      <c r="AF4127" s="287"/>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87"/>
      <c r="C4252" s="287"/>
      <c r="D4252" s="287"/>
      <c r="E4252" s="287"/>
      <c r="F4252" s="287"/>
      <c r="G4252" s="287"/>
      <c r="H4252" s="287"/>
      <c r="I4252" s="287"/>
      <c r="J4252" s="287"/>
      <c r="K4252" s="287"/>
      <c r="L4252" s="287"/>
      <c r="M4252" s="287"/>
      <c r="N4252" s="287"/>
      <c r="O4252" s="287"/>
      <c r="P4252" s="287"/>
      <c r="Q4252" s="287"/>
      <c r="R4252" s="287"/>
      <c r="S4252" s="287"/>
      <c r="T4252" s="287"/>
      <c r="U4252" s="287"/>
      <c r="V4252" s="287"/>
      <c r="W4252" s="287"/>
      <c r="X4252" s="287"/>
      <c r="Y4252" s="287"/>
      <c r="Z4252" s="287"/>
      <c r="AA4252" s="287"/>
      <c r="AB4252" s="287"/>
      <c r="AC4252" s="287"/>
      <c r="AD4252" s="287"/>
      <c r="AE4252" s="287"/>
      <c r="AF4252" s="287"/>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87"/>
      <c r="C4377" s="287"/>
      <c r="D4377" s="287"/>
      <c r="E4377" s="287"/>
      <c r="F4377" s="287"/>
      <c r="G4377" s="287"/>
      <c r="H4377" s="287"/>
      <c r="I4377" s="287"/>
      <c r="J4377" s="287"/>
      <c r="K4377" s="287"/>
      <c r="L4377" s="287"/>
      <c r="M4377" s="287"/>
      <c r="N4377" s="287"/>
      <c r="O4377" s="287"/>
      <c r="P4377" s="287"/>
      <c r="Q4377" s="287"/>
      <c r="R4377" s="287"/>
      <c r="S4377" s="287"/>
      <c r="T4377" s="287"/>
      <c r="U4377" s="287"/>
      <c r="V4377" s="287"/>
      <c r="W4377" s="287"/>
      <c r="X4377" s="287"/>
      <c r="Y4377" s="287"/>
      <c r="Z4377" s="287"/>
      <c r="AA4377" s="287"/>
      <c r="AB4377" s="287"/>
      <c r="AC4377" s="287"/>
      <c r="AD4377" s="287"/>
      <c r="AE4377" s="287"/>
      <c r="AF4377" s="287"/>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87"/>
      <c r="C4502" s="287"/>
      <c r="D4502" s="287"/>
      <c r="E4502" s="287"/>
      <c r="F4502" s="287"/>
      <c r="G4502" s="287"/>
      <c r="H4502" s="287"/>
      <c r="I4502" s="287"/>
      <c r="J4502" s="287"/>
      <c r="K4502" s="287"/>
      <c r="L4502" s="287"/>
      <c r="M4502" s="287"/>
      <c r="N4502" s="287"/>
      <c r="O4502" s="287"/>
      <c r="P4502" s="287"/>
      <c r="Q4502" s="287"/>
      <c r="R4502" s="287"/>
      <c r="S4502" s="287"/>
      <c r="T4502" s="287"/>
      <c r="U4502" s="287"/>
      <c r="V4502" s="287"/>
      <c r="W4502" s="287"/>
      <c r="X4502" s="287"/>
      <c r="Y4502" s="287"/>
      <c r="Z4502" s="287"/>
      <c r="AA4502" s="287"/>
      <c r="AB4502" s="287"/>
      <c r="AC4502" s="287"/>
      <c r="AD4502" s="287"/>
      <c r="AE4502" s="287"/>
      <c r="AF4502" s="287"/>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4.75"/>
  <sheetData>
    <row r="1" spans="1:33" ht="15.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8"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7.2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7.2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7.2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7.2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7.2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7.2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7.2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7.2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7.2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7.2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7.2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9.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9.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7.2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7.2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7.2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7.2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7.2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7.2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7.2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7.2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7.2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7.2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7.2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9.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7.2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7.2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9.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88" t="s">
        <v>406</v>
      </c>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85"/>
      <c r="C663" s="285"/>
      <c r="D663" s="285"/>
      <c r="E663" s="285"/>
      <c r="F663" s="285"/>
      <c r="G663" s="285"/>
      <c r="H663" s="285"/>
      <c r="I663" s="285"/>
      <c r="J663" s="285"/>
      <c r="K663" s="285"/>
      <c r="L663" s="285"/>
      <c r="M663" s="285"/>
      <c r="N663" s="285"/>
      <c r="O663" s="285"/>
      <c r="P663" s="285"/>
      <c r="Q663" s="285"/>
      <c r="R663" s="285"/>
      <c r="S663" s="285"/>
      <c r="T663" s="285"/>
      <c r="U663" s="285"/>
      <c r="V663" s="285"/>
      <c r="W663" s="285"/>
      <c r="X663" s="285"/>
      <c r="Y663" s="285"/>
      <c r="Z663" s="285"/>
      <c r="AA663" s="285"/>
      <c r="AB663" s="285"/>
      <c r="AC663" s="285"/>
      <c r="AD663" s="285"/>
      <c r="AE663" s="285"/>
      <c r="AF663" s="285"/>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85"/>
      <c r="C735" s="285"/>
      <c r="D735" s="285"/>
      <c r="E735" s="285"/>
      <c r="F735" s="285"/>
      <c r="G735" s="285"/>
      <c r="H735" s="285"/>
      <c r="I735" s="285"/>
      <c r="J735" s="285"/>
      <c r="K735" s="285"/>
      <c r="L735" s="285"/>
      <c r="M735" s="285"/>
      <c r="N735" s="285"/>
      <c r="O735" s="285"/>
      <c r="P735" s="285"/>
      <c r="Q735" s="285"/>
      <c r="R735" s="285"/>
      <c r="S735" s="285"/>
      <c r="T735" s="285"/>
      <c r="U735" s="285"/>
      <c r="V735" s="285"/>
      <c r="W735" s="285"/>
      <c r="X735" s="285"/>
      <c r="Y735" s="285"/>
      <c r="Z735" s="285"/>
      <c r="AA735" s="285"/>
      <c r="AB735" s="285"/>
      <c r="AC735" s="285"/>
      <c r="AD735" s="285"/>
      <c r="AE735" s="285"/>
      <c r="AF735" s="285"/>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85"/>
      <c r="C911" s="285"/>
      <c r="D911" s="285"/>
      <c r="E911" s="285"/>
      <c r="F911" s="285"/>
      <c r="G911" s="285"/>
      <c r="H911" s="285"/>
      <c r="I911" s="285"/>
      <c r="J911" s="285"/>
      <c r="K911" s="285"/>
      <c r="L911" s="285"/>
      <c r="M911" s="285"/>
      <c r="N911" s="285"/>
      <c r="O911" s="285"/>
      <c r="P911" s="285"/>
      <c r="Q911" s="285"/>
      <c r="R911" s="285"/>
      <c r="S911" s="285"/>
      <c r="T911" s="285"/>
      <c r="U911" s="285"/>
      <c r="V911" s="285"/>
      <c r="W911" s="285"/>
      <c r="X911" s="285"/>
      <c r="Y911" s="285"/>
      <c r="Z911" s="285"/>
      <c r="AA911" s="285"/>
      <c r="AB911" s="285"/>
      <c r="AC911" s="285"/>
      <c r="AD911" s="285"/>
      <c r="AE911" s="285"/>
      <c r="AF911" s="285"/>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85"/>
      <c r="C994" s="285"/>
      <c r="D994" s="285"/>
      <c r="E994" s="285"/>
      <c r="F994" s="285"/>
      <c r="G994" s="285"/>
      <c r="H994" s="285"/>
      <c r="I994" s="285"/>
      <c r="J994" s="285"/>
      <c r="K994" s="285"/>
      <c r="L994" s="285"/>
      <c r="M994" s="285"/>
      <c r="N994" s="285"/>
      <c r="O994" s="285"/>
      <c r="P994" s="285"/>
      <c r="Q994" s="285"/>
      <c r="R994" s="285"/>
      <c r="S994" s="285"/>
      <c r="T994" s="285"/>
      <c r="U994" s="285"/>
      <c r="V994" s="285"/>
      <c r="W994" s="285"/>
      <c r="X994" s="285"/>
      <c r="Y994" s="285"/>
      <c r="Z994" s="285"/>
      <c r="AA994" s="285"/>
      <c r="AB994" s="285"/>
      <c r="AC994" s="285"/>
      <c r="AD994" s="285"/>
      <c r="AE994" s="285"/>
      <c r="AF994" s="285"/>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85"/>
      <c r="C1096" s="285"/>
      <c r="D1096" s="285"/>
      <c r="E1096" s="285"/>
      <c r="F1096" s="285"/>
      <c r="G1096" s="285"/>
      <c r="H1096" s="285"/>
      <c r="I1096" s="285"/>
      <c r="J1096" s="285"/>
      <c r="K1096" s="285"/>
      <c r="L1096" s="285"/>
      <c r="M1096" s="285"/>
      <c r="N1096" s="285"/>
      <c r="O1096" s="285"/>
      <c r="P1096" s="285"/>
      <c r="Q1096" s="285"/>
      <c r="R1096" s="285"/>
      <c r="S1096" s="285"/>
      <c r="T1096" s="285"/>
      <c r="U1096" s="285"/>
      <c r="V1096" s="285"/>
      <c r="W1096" s="285"/>
      <c r="X1096" s="285"/>
      <c r="Y1096" s="285"/>
      <c r="Z1096" s="285"/>
      <c r="AA1096" s="285"/>
      <c r="AB1096" s="285"/>
      <c r="AC1096" s="285"/>
      <c r="AD1096" s="285"/>
      <c r="AE1096" s="285"/>
      <c r="AF1096" s="285"/>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85"/>
      <c r="C1194" s="285"/>
      <c r="D1194" s="285"/>
      <c r="E1194" s="285"/>
      <c r="F1194" s="285"/>
      <c r="G1194" s="285"/>
      <c r="H1194" s="285"/>
      <c r="I1194" s="285"/>
      <c r="J1194" s="285"/>
      <c r="K1194" s="285"/>
      <c r="L1194" s="285"/>
      <c r="M1194" s="285"/>
      <c r="N1194" s="285"/>
      <c r="O1194" s="285"/>
      <c r="P1194" s="285"/>
      <c r="Q1194" s="285"/>
      <c r="R1194" s="285"/>
      <c r="S1194" s="285"/>
      <c r="T1194" s="285"/>
      <c r="U1194" s="285"/>
      <c r="V1194" s="285"/>
      <c r="W1194" s="285"/>
      <c r="X1194" s="285"/>
      <c r="Y1194" s="285"/>
      <c r="Z1194" s="285"/>
      <c r="AA1194" s="285"/>
      <c r="AB1194" s="285"/>
      <c r="AC1194" s="285"/>
      <c r="AD1194" s="285"/>
      <c r="AE1194" s="285"/>
      <c r="AF1194" s="285"/>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85"/>
      <c r="C1294" s="285"/>
      <c r="D1294" s="285"/>
      <c r="E1294" s="285"/>
      <c r="F1294" s="285"/>
      <c r="G1294" s="285"/>
      <c r="H1294" s="285"/>
      <c r="I1294" s="285"/>
      <c r="J1294" s="285"/>
      <c r="K1294" s="285"/>
      <c r="L1294" s="285"/>
      <c r="M1294" s="285"/>
      <c r="N1294" s="285"/>
      <c r="O1294" s="285"/>
      <c r="P1294" s="285"/>
      <c r="Q1294" s="285"/>
      <c r="R1294" s="285"/>
      <c r="S1294" s="285"/>
      <c r="T1294" s="285"/>
      <c r="U1294" s="285"/>
      <c r="V1294" s="285"/>
      <c r="W1294" s="285"/>
      <c r="X1294" s="285"/>
      <c r="Y1294" s="285"/>
      <c r="Z1294" s="285"/>
      <c r="AA1294" s="285"/>
      <c r="AB1294" s="285"/>
      <c r="AC1294" s="285"/>
      <c r="AD1294" s="285"/>
      <c r="AE1294" s="285"/>
      <c r="AF1294" s="285"/>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85"/>
      <c r="C1590" s="285"/>
      <c r="D1590" s="285"/>
      <c r="E1590" s="285"/>
      <c r="F1590" s="285"/>
      <c r="G1590" s="285"/>
      <c r="H1590" s="285"/>
      <c r="I1590" s="285"/>
      <c r="J1590" s="285"/>
      <c r="K1590" s="285"/>
      <c r="L1590" s="285"/>
      <c r="M1590" s="285"/>
      <c r="N1590" s="285"/>
      <c r="O1590" s="285"/>
      <c r="P1590" s="285"/>
      <c r="Q1590" s="285"/>
      <c r="R1590" s="285"/>
      <c r="S1590" s="285"/>
      <c r="T1590" s="285"/>
      <c r="U1590" s="285"/>
      <c r="V1590" s="285"/>
      <c r="W1590" s="285"/>
      <c r="X1590" s="285"/>
      <c r="Y1590" s="285"/>
      <c r="Z1590" s="285"/>
      <c r="AA1590" s="285"/>
      <c r="AB1590" s="285"/>
      <c r="AC1590" s="285"/>
      <c r="AD1590" s="285"/>
      <c r="AE1590" s="285"/>
      <c r="AF1590" s="285"/>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85"/>
      <c r="C1813" s="285"/>
      <c r="D1813" s="285"/>
      <c r="E1813" s="285"/>
      <c r="F1813" s="285"/>
      <c r="G1813" s="285"/>
      <c r="H1813" s="285"/>
      <c r="I1813" s="285"/>
      <c r="J1813" s="285"/>
      <c r="K1813" s="285"/>
      <c r="L1813" s="285"/>
      <c r="M1813" s="285"/>
      <c r="N1813" s="285"/>
      <c r="O1813" s="285"/>
      <c r="P1813" s="285"/>
      <c r="Q1813" s="285"/>
      <c r="R1813" s="285"/>
      <c r="S1813" s="285"/>
      <c r="T1813" s="285"/>
      <c r="U1813" s="285"/>
      <c r="V1813" s="285"/>
      <c r="W1813" s="285"/>
      <c r="X1813" s="285"/>
      <c r="Y1813" s="285"/>
      <c r="Z1813" s="285"/>
      <c r="AA1813" s="285"/>
      <c r="AB1813" s="285"/>
      <c r="AC1813" s="285"/>
      <c r="AD1813" s="285"/>
      <c r="AE1813" s="285"/>
      <c r="AF1813" s="285"/>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85"/>
      <c r="C2090" s="285"/>
      <c r="D2090" s="285"/>
      <c r="E2090" s="285"/>
      <c r="F2090" s="285"/>
      <c r="G2090" s="285"/>
      <c r="H2090" s="285"/>
      <c r="I2090" s="285"/>
      <c r="J2090" s="285"/>
      <c r="K2090" s="285"/>
      <c r="L2090" s="285"/>
      <c r="M2090" s="285"/>
      <c r="N2090" s="285"/>
      <c r="O2090" s="285"/>
      <c r="P2090" s="285"/>
      <c r="Q2090" s="285"/>
      <c r="R2090" s="285"/>
      <c r="S2090" s="285"/>
      <c r="T2090" s="285"/>
      <c r="U2090" s="285"/>
      <c r="V2090" s="285"/>
      <c r="W2090" s="285"/>
      <c r="X2090" s="285"/>
      <c r="Y2090" s="285"/>
      <c r="Z2090" s="285"/>
      <c r="AA2090" s="285"/>
      <c r="AB2090" s="285"/>
      <c r="AC2090" s="285"/>
      <c r="AD2090" s="285"/>
      <c r="AE2090" s="285"/>
      <c r="AF2090" s="285"/>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85"/>
      <c r="C2425" s="285"/>
      <c r="D2425" s="285"/>
      <c r="E2425" s="285"/>
      <c r="F2425" s="285"/>
      <c r="G2425" s="285"/>
      <c r="H2425" s="285"/>
      <c r="I2425" s="285"/>
      <c r="J2425" s="285"/>
      <c r="K2425" s="285"/>
      <c r="L2425" s="285"/>
      <c r="M2425" s="285"/>
      <c r="N2425" s="285"/>
      <c r="O2425" s="285"/>
      <c r="P2425" s="285"/>
      <c r="Q2425" s="285"/>
      <c r="R2425" s="285"/>
      <c r="S2425" s="285"/>
      <c r="T2425" s="285"/>
      <c r="U2425" s="285"/>
      <c r="V2425" s="285"/>
      <c r="W2425" s="285"/>
      <c r="X2425" s="285"/>
      <c r="Y2425" s="285"/>
      <c r="Z2425" s="285"/>
      <c r="AA2425" s="285"/>
      <c r="AB2425" s="285"/>
      <c r="AC2425" s="285"/>
      <c r="AD2425" s="285"/>
      <c r="AE2425" s="285"/>
      <c r="AF2425" s="285"/>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85"/>
      <c r="C2745" s="285"/>
      <c r="D2745" s="285"/>
      <c r="E2745" s="285"/>
      <c r="F2745" s="285"/>
      <c r="G2745" s="285"/>
      <c r="H2745" s="285"/>
      <c r="I2745" s="285"/>
      <c r="J2745" s="285"/>
      <c r="K2745" s="285"/>
      <c r="L2745" s="285"/>
      <c r="M2745" s="285"/>
      <c r="N2745" s="285"/>
      <c r="O2745" s="285"/>
      <c r="P2745" s="285"/>
      <c r="Q2745" s="285"/>
      <c r="R2745" s="285"/>
      <c r="S2745" s="285"/>
      <c r="T2745" s="285"/>
      <c r="U2745" s="285"/>
      <c r="V2745" s="285"/>
      <c r="W2745" s="285"/>
      <c r="X2745" s="285"/>
      <c r="Y2745" s="285"/>
      <c r="Z2745" s="285"/>
      <c r="AA2745" s="285"/>
      <c r="AB2745" s="285"/>
      <c r="AC2745" s="285"/>
      <c r="AD2745" s="285"/>
      <c r="AE2745" s="285"/>
      <c r="AF2745" s="285"/>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85"/>
      <c r="C3076" s="285"/>
      <c r="D3076" s="285"/>
      <c r="E3076" s="285"/>
      <c r="F3076" s="285"/>
      <c r="G3076" s="285"/>
      <c r="H3076" s="285"/>
      <c r="I3076" s="285"/>
      <c r="J3076" s="285"/>
      <c r="K3076" s="285"/>
      <c r="L3076" s="285"/>
      <c r="M3076" s="285"/>
      <c r="N3076" s="285"/>
      <c r="O3076" s="285"/>
      <c r="P3076" s="285"/>
      <c r="Q3076" s="285"/>
      <c r="R3076" s="285"/>
      <c r="S3076" s="285"/>
      <c r="T3076" s="285"/>
      <c r="U3076" s="285"/>
      <c r="V3076" s="285"/>
      <c r="W3076" s="285"/>
      <c r="X3076" s="285"/>
      <c r="Y3076" s="285"/>
      <c r="Z3076" s="285"/>
      <c r="AA3076" s="285"/>
      <c r="AB3076" s="285"/>
      <c r="AC3076" s="285"/>
      <c r="AD3076" s="285"/>
      <c r="AE3076" s="285"/>
      <c r="AF3076" s="285"/>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85"/>
      <c r="C3393" s="285"/>
      <c r="D3393" s="285"/>
      <c r="E3393" s="285"/>
      <c r="F3393" s="285"/>
      <c r="G3393" s="285"/>
      <c r="H3393" s="285"/>
      <c r="I3393" s="285"/>
      <c r="J3393" s="285"/>
      <c r="K3393" s="285"/>
      <c r="L3393" s="285"/>
      <c r="M3393" s="285"/>
      <c r="N3393" s="285"/>
      <c r="O3393" s="285"/>
      <c r="P3393" s="285"/>
      <c r="Q3393" s="285"/>
      <c r="R3393" s="285"/>
      <c r="S3393" s="285"/>
      <c r="T3393" s="285"/>
      <c r="U3393" s="285"/>
      <c r="V3393" s="285"/>
      <c r="W3393" s="285"/>
      <c r="X3393" s="285"/>
      <c r="Y3393" s="285"/>
      <c r="Z3393" s="285"/>
      <c r="AA3393" s="285"/>
      <c r="AB3393" s="285"/>
      <c r="AC3393" s="285"/>
      <c r="AD3393" s="285"/>
      <c r="AE3393" s="285"/>
      <c r="AF3393" s="285"/>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85"/>
      <c r="C3502" s="285"/>
      <c r="D3502" s="285"/>
      <c r="E3502" s="285"/>
      <c r="F3502" s="285"/>
      <c r="G3502" s="285"/>
      <c r="H3502" s="285"/>
      <c r="I3502" s="285"/>
      <c r="J3502" s="285"/>
      <c r="K3502" s="285"/>
      <c r="L3502" s="285"/>
      <c r="M3502" s="285"/>
      <c r="N3502" s="285"/>
      <c r="O3502" s="285"/>
      <c r="P3502" s="285"/>
      <c r="Q3502" s="285"/>
      <c r="R3502" s="285"/>
      <c r="S3502" s="285"/>
      <c r="T3502" s="285"/>
      <c r="U3502" s="285"/>
      <c r="V3502" s="285"/>
      <c r="W3502" s="285"/>
      <c r="X3502" s="285"/>
      <c r="Y3502" s="285"/>
      <c r="Z3502" s="285"/>
      <c r="AA3502" s="285"/>
      <c r="AB3502" s="285"/>
      <c r="AC3502" s="285"/>
      <c r="AD3502" s="285"/>
      <c r="AE3502" s="285"/>
      <c r="AF3502" s="285"/>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85"/>
      <c r="C3627" s="285"/>
      <c r="D3627" s="285"/>
      <c r="E3627" s="285"/>
      <c r="F3627" s="285"/>
      <c r="G3627" s="285"/>
      <c r="H3627" s="285"/>
      <c r="I3627" s="285"/>
      <c r="J3627" s="285"/>
      <c r="K3627" s="285"/>
      <c r="L3627" s="285"/>
      <c r="M3627" s="285"/>
      <c r="N3627" s="285"/>
      <c r="O3627" s="285"/>
      <c r="P3627" s="285"/>
      <c r="Q3627" s="285"/>
      <c r="R3627" s="285"/>
      <c r="S3627" s="285"/>
      <c r="T3627" s="285"/>
      <c r="U3627" s="285"/>
      <c r="V3627" s="285"/>
      <c r="W3627" s="285"/>
      <c r="X3627" s="285"/>
      <c r="Y3627" s="285"/>
      <c r="Z3627" s="285"/>
      <c r="AA3627" s="285"/>
      <c r="AB3627" s="285"/>
      <c r="AC3627" s="285"/>
      <c r="AD3627" s="285"/>
      <c r="AE3627" s="285"/>
      <c r="AF3627" s="285"/>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85"/>
      <c r="C3752" s="285"/>
      <c r="D3752" s="285"/>
      <c r="E3752" s="285"/>
      <c r="F3752" s="285"/>
      <c r="G3752" s="285"/>
      <c r="H3752" s="285"/>
      <c r="I3752" s="285"/>
      <c r="J3752" s="285"/>
      <c r="K3752" s="285"/>
      <c r="L3752" s="285"/>
      <c r="M3752" s="285"/>
      <c r="N3752" s="285"/>
      <c r="O3752" s="285"/>
      <c r="P3752" s="285"/>
      <c r="Q3752" s="285"/>
      <c r="R3752" s="285"/>
      <c r="S3752" s="285"/>
      <c r="T3752" s="285"/>
      <c r="U3752" s="285"/>
      <c r="V3752" s="285"/>
      <c r="W3752" s="285"/>
      <c r="X3752" s="285"/>
      <c r="Y3752" s="285"/>
      <c r="Z3752" s="285"/>
      <c r="AA3752" s="285"/>
      <c r="AB3752" s="285"/>
      <c r="AC3752" s="285"/>
      <c r="AD3752" s="285"/>
      <c r="AE3752" s="285"/>
      <c r="AF3752" s="285"/>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85"/>
      <c r="C3877" s="285"/>
      <c r="D3877" s="285"/>
      <c r="E3877" s="285"/>
      <c r="F3877" s="285"/>
      <c r="G3877" s="285"/>
      <c r="H3877" s="285"/>
      <c r="I3877" s="285"/>
      <c r="J3877" s="285"/>
      <c r="K3877" s="285"/>
      <c r="L3877" s="285"/>
      <c r="M3877" s="285"/>
      <c r="N3877" s="285"/>
      <c r="O3877" s="285"/>
      <c r="P3877" s="285"/>
      <c r="Q3877" s="285"/>
      <c r="R3877" s="285"/>
      <c r="S3877" s="285"/>
      <c r="T3877" s="285"/>
      <c r="U3877" s="285"/>
      <c r="V3877" s="285"/>
      <c r="W3877" s="285"/>
      <c r="X3877" s="285"/>
      <c r="Y3877" s="285"/>
      <c r="Z3877" s="285"/>
      <c r="AA3877" s="285"/>
      <c r="AB3877" s="285"/>
      <c r="AC3877" s="285"/>
      <c r="AD3877" s="285"/>
      <c r="AE3877" s="285"/>
      <c r="AF3877" s="285"/>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85"/>
      <c r="C4002" s="285"/>
      <c r="D4002" s="285"/>
      <c r="E4002" s="285"/>
      <c r="F4002" s="285"/>
      <c r="G4002" s="285"/>
      <c r="H4002" s="285"/>
      <c r="I4002" s="285"/>
      <c r="J4002" s="285"/>
      <c r="K4002" s="285"/>
      <c r="L4002" s="285"/>
      <c r="M4002" s="285"/>
      <c r="N4002" s="285"/>
      <c r="O4002" s="285"/>
      <c r="P4002" s="285"/>
      <c r="Q4002" s="285"/>
      <c r="R4002" s="285"/>
      <c r="S4002" s="285"/>
      <c r="T4002" s="285"/>
      <c r="U4002" s="285"/>
      <c r="V4002" s="285"/>
      <c r="W4002" s="285"/>
      <c r="X4002" s="285"/>
      <c r="Y4002" s="285"/>
      <c r="Z4002" s="285"/>
      <c r="AA4002" s="285"/>
      <c r="AB4002" s="285"/>
      <c r="AC4002" s="285"/>
      <c r="AD4002" s="285"/>
      <c r="AE4002" s="285"/>
      <c r="AF4002" s="285"/>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85"/>
      <c r="C4127" s="285"/>
      <c r="D4127" s="285"/>
      <c r="E4127" s="285"/>
      <c r="F4127" s="285"/>
      <c r="G4127" s="285"/>
      <c r="H4127" s="285"/>
      <c r="I4127" s="285"/>
      <c r="J4127" s="285"/>
      <c r="K4127" s="285"/>
      <c r="L4127" s="285"/>
      <c r="M4127" s="285"/>
      <c r="N4127" s="285"/>
      <c r="O4127" s="285"/>
      <c r="P4127" s="285"/>
      <c r="Q4127" s="285"/>
      <c r="R4127" s="285"/>
      <c r="S4127" s="285"/>
      <c r="T4127" s="285"/>
      <c r="U4127" s="285"/>
      <c r="V4127" s="285"/>
      <c r="W4127" s="285"/>
      <c r="X4127" s="285"/>
      <c r="Y4127" s="285"/>
      <c r="Z4127" s="285"/>
      <c r="AA4127" s="285"/>
      <c r="AB4127" s="285"/>
      <c r="AC4127" s="285"/>
      <c r="AD4127" s="285"/>
      <c r="AE4127" s="285"/>
      <c r="AF4127" s="285"/>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85"/>
      <c r="C4252" s="285"/>
      <c r="D4252" s="285"/>
      <c r="E4252" s="285"/>
      <c r="F4252" s="285"/>
      <c r="G4252" s="285"/>
      <c r="H4252" s="285"/>
      <c r="I4252" s="285"/>
      <c r="J4252" s="285"/>
      <c r="K4252" s="285"/>
      <c r="L4252" s="285"/>
      <c r="M4252" s="285"/>
      <c r="N4252" s="285"/>
      <c r="O4252" s="285"/>
      <c r="P4252" s="285"/>
      <c r="Q4252" s="285"/>
      <c r="R4252" s="285"/>
      <c r="S4252" s="285"/>
      <c r="T4252" s="285"/>
      <c r="U4252" s="285"/>
      <c r="V4252" s="285"/>
      <c r="W4252" s="285"/>
      <c r="X4252" s="285"/>
      <c r="Y4252" s="285"/>
      <c r="Z4252" s="285"/>
      <c r="AA4252" s="285"/>
      <c r="AB4252" s="285"/>
      <c r="AC4252" s="285"/>
      <c r="AD4252" s="285"/>
      <c r="AE4252" s="285"/>
      <c r="AF4252" s="285"/>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85"/>
      <c r="C4377" s="285"/>
      <c r="D4377" s="285"/>
      <c r="E4377" s="285"/>
      <c r="F4377" s="285"/>
      <c r="G4377" s="285"/>
      <c r="H4377" s="285"/>
      <c r="I4377" s="285"/>
      <c r="J4377" s="285"/>
      <c r="K4377" s="285"/>
      <c r="L4377" s="285"/>
      <c r="M4377" s="285"/>
      <c r="N4377" s="285"/>
      <c r="O4377" s="285"/>
      <c r="P4377" s="285"/>
      <c r="Q4377" s="285"/>
      <c r="R4377" s="285"/>
      <c r="S4377" s="285"/>
      <c r="T4377" s="285"/>
      <c r="U4377" s="285"/>
      <c r="V4377" s="285"/>
      <c r="W4377" s="285"/>
      <c r="X4377" s="285"/>
      <c r="Y4377" s="285"/>
      <c r="Z4377" s="285"/>
      <c r="AA4377" s="285"/>
      <c r="AB4377" s="285"/>
      <c r="AC4377" s="285"/>
      <c r="AD4377" s="285"/>
      <c r="AE4377" s="285"/>
      <c r="AF4377" s="285"/>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85"/>
      <c r="C4502" s="285"/>
      <c r="D4502" s="285"/>
      <c r="E4502" s="285"/>
      <c r="F4502" s="285"/>
      <c r="G4502" s="285"/>
      <c r="H4502" s="285"/>
      <c r="I4502" s="285"/>
      <c r="J4502" s="285"/>
      <c r="K4502" s="285"/>
      <c r="L4502" s="285"/>
      <c r="M4502" s="285"/>
      <c r="N4502" s="285"/>
      <c r="O4502" s="285"/>
      <c r="P4502" s="285"/>
      <c r="Q4502" s="285"/>
      <c r="R4502" s="285"/>
      <c r="S4502" s="285"/>
      <c r="T4502" s="285"/>
      <c r="U4502" s="285"/>
      <c r="V4502" s="285"/>
      <c r="W4502" s="285"/>
      <c r="X4502" s="285"/>
      <c r="Y4502" s="285"/>
      <c r="Z4502" s="285"/>
      <c r="AA4502" s="285"/>
      <c r="AB4502" s="285"/>
      <c r="AC4502" s="285"/>
      <c r="AD4502" s="285"/>
      <c r="AE4502" s="285"/>
      <c r="AF4502" s="285"/>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33" workbookViewId="0">
      <selection activeCell="D42" sqref="D42"/>
    </sheetView>
  </sheetViews>
  <sheetFormatPr defaultRowHeight="14.75"/>
  <cols>
    <col min="2" max="2" width="35.54296875"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792</v>
      </c>
      <c r="B43" s="244" t="s">
        <v>281</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823</v>
      </c>
      <c r="B61" s="244" t="s">
        <v>281</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4.75"/>
  <cols>
    <col min="2" max="2" width="41"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1142</v>
      </c>
      <c r="B16" s="244" t="s">
        <v>286</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1196</v>
      </c>
      <c r="B72" s="273" t="s">
        <v>286</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4.75"/>
  <cols>
    <col min="2" max="2" width="48"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5" customFormat="1">
      <c r="A28" s="250" t="s">
        <v>426</v>
      </c>
      <c r="B28" s="257" t="s">
        <v>1046</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60" customFormat="1">
      <c r="A146" s="267" t="s">
        <v>533</v>
      </c>
      <c r="B146" s="268" t="s">
        <v>1046</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60" customFormat="1">
      <c r="A157" s="267" t="s">
        <v>543</v>
      </c>
      <c r="B157" s="268" t="s">
        <v>1048</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4.7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6328125" defaultRowHeight="13"/>
  <cols>
    <col min="1" max="1" width="41.7265625" style="15" customWidth="1"/>
    <col min="2" max="40" width="8.7265625" style="15" customWidth="1"/>
    <col min="41" max="41" width="8.86328125" style="15"/>
    <col min="42" max="42" width="8.726562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5"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5"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5"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5"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5"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265625" defaultRowHeight="13"/>
  <cols>
    <col min="1" max="1" width="34.5429687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26562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4.75"/>
  <cols>
    <col min="1" max="1" width="30.7265625" customWidth="1"/>
    <col min="2" max="2" width="38.406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3776</v>
      </c>
      <c r="B10" s="255" t="s">
        <v>3872</v>
      </c>
      <c r="C10" s="255" t="s">
        <v>3871</v>
      </c>
      <c r="D10" s="255" t="s">
        <v>3866</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4.75"/>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211</v>
      </c>
      <c r="B50" s="237" t="s">
        <v>3457</v>
      </c>
      <c r="C50" s="237" t="s">
        <v>3456</v>
      </c>
      <c r="D50" s="237" t="s">
        <v>3455</v>
      </c>
      <c r="E50" s="237" t="s">
        <v>1995</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4.7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60" customFormat="1">
      <c r="A63" s="260" t="s">
        <v>3541</v>
      </c>
      <c r="B63" s="260" t="s">
        <v>3540</v>
      </c>
      <c r="C63" s="260" t="s">
        <v>3539</v>
      </c>
      <c r="D63" s="260" t="s">
        <v>1815</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4.7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4.75"/>
  <cols>
    <col min="1" max="1" width="25.7265625" customWidth="1"/>
    <col min="2" max="2" width="31.40625" customWidth="1"/>
    <col min="3" max="5" width="0" hidden="1"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8" customFormat="1">
      <c r="A31" s="248" t="s">
        <v>195</v>
      </c>
      <c r="B31" s="248" t="s">
        <v>2814</v>
      </c>
      <c r="C31" s="248" t="s">
        <v>2813</v>
      </c>
      <c r="D31" s="248" t="s">
        <v>2264</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8" customFormat="1">
      <c r="A49" s="248" t="s">
        <v>195</v>
      </c>
      <c r="B49" s="248" t="s">
        <v>2779</v>
      </c>
      <c r="C49" s="248" t="s">
        <v>2778</v>
      </c>
      <c r="D49" s="248" t="s">
        <v>2264</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c r="A68" t="s">
        <v>195</v>
      </c>
      <c r="B68" t="s">
        <v>2743</v>
      </c>
      <c r="C68" t="s">
        <v>2742</v>
      </c>
      <c r="D68" t="s">
        <v>2264</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44">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4.75"/>
  <cols>
    <col min="1" max="1" width="31.7265625" customWidth="1"/>
    <col min="2" max="2" width="36.5429687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c r="A7" t="s">
        <v>195</v>
      </c>
      <c r="B7" t="s">
        <v>3429</v>
      </c>
      <c r="C7" t="s">
        <v>3428</v>
      </c>
      <c r="D7" t="s">
        <v>2349</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144">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c r="A76" t="s">
        <v>195</v>
      </c>
      <c r="B76" t="s">
        <v>3293</v>
      </c>
      <c r="C76" t="s">
        <v>3292</v>
      </c>
      <c r="D76" t="s">
        <v>2349</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44">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7" customFormat="1">
      <c r="A214" s="277" t="s">
        <v>195</v>
      </c>
      <c r="B214" s="277" t="s">
        <v>3021</v>
      </c>
      <c r="C214" s="277" t="s">
        <v>3020</v>
      </c>
      <c r="D214" s="277" t="s">
        <v>2349</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4.75"/>
  <cols>
    <col min="1" max="1" width="30" customWidth="1"/>
    <col min="2" max="2" width="56.132812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60" customFormat="1">
      <c r="A21" s="260" t="s">
        <v>1880</v>
      </c>
      <c r="B21" s="260" t="s">
        <v>2321</v>
      </c>
      <c r="C21" s="260" t="s">
        <v>2320</v>
      </c>
      <c r="D21" s="260" t="s">
        <v>2264</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60" customFormat="1">
      <c r="A35" s="260" t="s">
        <v>1852</v>
      </c>
      <c r="B35" s="260" t="s">
        <v>2295</v>
      </c>
      <c r="C35" s="260" t="s">
        <v>2294</v>
      </c>
      <c r="D35" s="260" t="s">
        <v>2264</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60" customFormat="1">
      <c r="A49" s="260" t="s">
        <v>1821</v>
      </c>
      <c r="B49" s="260" t="s">
        <v>2269</v>
      </c>
      <c r="C49" s="260" t="s">
        <v>2268</v>
      </c>
      <c r="D49" s="260" t="s">
        <v>2264</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60" customFormat="1">
      <c r="A166" s="260" t="s">
        <v>1880</v>
      </c>
      <c r="B166" s="260" t="s">
        <v>2051</v>
      </c>
      <c r="C166" s="260" t="s">
        <v>2050</v>
      </c>
      <c r="D166" s="260" t="s">
        <v>1995</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60" customFormat="1">
      <c r="A180" s="260" t="s">
        <v>1852</v>
      </c>
      <c r="B180" s="260" t="s">
        <v>2025</v>
      </c>
      <c r="C180" s="260" t="s">
        <v>2024</v>
      </c>
      <c r="D180" s="260" t="s">
        <v>1995</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13</v>
      </c>
    </row>
    <row r="2" spans="1:7">
      <c r="A2" s="1"/>
    </row>
    <row r="3" spans="1:7" ht="44.2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4.75"/>
  <cols>
    <col min="14" max="14" width="9.1328125" style="101"/>
    <col min="15" max="23" width="0" hidden="1" customWidth="1"/>
    <col min="24" max="24" width="11.40625" style="101" customWidth="1"/>
    <col min="25" max="45" width="0" hidden="1" customWidth="1"/>
    <col min="46" max="46" width="13.54296875" style="101" customWidth="1"/>
  </cols>
  <sheetData>
    <row r="1" spans="1:50" ht="64.2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4.7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M6" sqref="M6"/>
    </sheetView>
  </sheetViews>
  <sheetFormatPr defaultRowHeight="14.75"/>
  <cols>
    <col min="1" max="1" width="14.26953125" customWidth="1"/>
    <col min="2" max="2" width="32.726562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80"/>
    </row>
    <row r="11" spans="1:33">
      <c r="A11" t="s">
        <v>3921</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3922</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4.7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E35" sqref="E35"/>
    </sheetView>
  </sheetViews>
  <sheetFormatPr defaultRowHeight="14.75"/>
  <cols>
    <col min="1" max="2" width="19" customWidth="1"/>
    <col min="3" max="3" width="9" bestFit="1" customWidth="1"/>
    <col min="4" max="4" width="12.54296875" bestFit="1" customWidth="1"/>
  </cols>
  <sheetData>
    <row r="1" spans="1:4" s="146" customFormat="1">
      <c r="A1" s="145" t="s">
        <v>3886</v>
      </c>
      <c r="B1" s="145" t="s">
        <v>3881</v>
      </c>
    </row>
    <row r="2" spans="1:4" ht="29.5">
      <c r="B2" s="8" t="s">
        <v>189</v>
      </c>
      <c r="C2" s="5">
        <v>2023</v>
      </c>
    </row>
    <row r="3" spans="1:4">
      <c r="A3" t="s">
        <v>3885</v>
      </c>
      <c r="B3" t="s">
        <v>4</v>
      </c>
      <c r="C3" s="6">
        <f>INDEX('AEO 2023 Table 7'!18:18,MATCH(C2,'AEO 2023 Table 7'!13:13,0))*1000000000/SUM('SYVbT-passenger'!B2:H2)</f>
        <v>11067.673242591927</v>
      </c>
      <c r="D3" s="125"/>
    </row>
    <row r="4" spans="1:4">
      <c r="A4" t="s">
        <v>3887</v>
      </c>
      <c r="B4" t="s">
        <v>5</v>
      </c>
      <c r="C4" s="6">
        <f>SUM('NTS 1-40'!AO12,'NTS 1-40'!AO14,'NTS 1-40'!AO18,'NTS 1-40'!AK20)*10^6/SUM('SYVbT-passenger'!B3:H3)/'AVLo-passengers'!B3*'Calibration multiplier'!B6</f>
        <v>18251.559178799398</v>
      </c>
      <c r="D4" s="125"/>
    </row>
    <row r="5" spans="1:4">
      <c r="B5" t="s">
        <v>6</v>
      </c>
      <c r="C5" s="6">
        <f>(SUM('AEO 2023 Table 47'!D43,'AEO 2023 Table 47'!D61)*10^9)/'SYVbT-passenger'!E4/'AVLo-passengers'!C4</f>
        <v>1960538.5796142039</v>
      </c>
      <c r="D5" s="279"/>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29.5">
      <c r="B11" s="8" t="s">
        <v>189</v>
      </c>
      <c r="C11" s="1">
        <v>2023</v>
      </c>
    </row>
    <row r="12" spans="1:4">
      <c r="A12" t="s">
        <v>3890</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3890</v>
      </c>
      <c r="B13" t="s">
        <v>5</v>
      </c>
      <c r="C13" s="6">
        <f>(INDEX('AEO 2023 Table 49'!50:50,MATCH(C11,'AEO 2023 Table 49'!13:13,0)))*1000000000/SUM('SYVbT-freight'!$B$3:$H$3)</f>
        <v>34683.392828657736</v>
      </c>
    </row>
    <row r="14" spans="1:4">
      <c r="B14" t="s">
        <v>6</v>
      </c>
      <c r="C14" s="6">
        <f>('AEO 2023 Table 47'!D81*10^9)/'SYVbT-freight'!E4/'AVLo-freight'!B4</f>
        <v>1432850.1609346911</v>
      </c>
    </row>
    <row r="15" spans="1:4">
      <c r="A15" t="s">
        <v>3890</v>
      </c>
      <c r="B15" t="s">
        <v>7</v>
      </c>
      <c r="C15" s="6">
        <f>INDEX('AEO 2023 Table 7'!27:27,MATCH(C11,'AEO 2023 Table 7'!13:13,0))*1000000000/'SYVbT-freight'!E5/'AVLo-freight'!B5</f>
        <v>18574.695684378694</v>
      </c>
    </row>
    <row r="16" spans="1:4">
      <c r="A16" t="s">
        <v>3890</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3883</v>
      </c>
    </row>
    <row r="20" spans="1:30" ht="29.5">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3887</v>
      </c>
      <c r="B22" t="s">
        <v>5</v>
      </c>
      <c r="C22" s="6">
        <f t="shared" ref="C22:C26" si="0">C4</f>
        <v>18251.559178799398</v>
      </c>
      <c r="D22" s="6">
        <f>C22</f>
        <v>18251.559178799398</v>
      </c>
      <c r="E22" s="6">
        <f t="shared" ref="E22:AD22"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 t="shared" si="0"/>
        <v>1960538.5796142039</v>
      </c>
      <c r="D23" s="6">
        <f>(SUM('AEO 2025 Table 47'!F31,'AEO 2025 Table 47'!F49)*1000000000)/('AEO 2025 Table 48'!F76*Misc!$A$17)/'AVLo-passengers'!D4</f>
        <v>2174335.3141758004</v>
      </c>
      <c r="E23" s="6">
        <f>(SUM('AEO 2025 Table 47'!G31,'AEO 2025 Table 47'!G49)*1000000000)/('AEO 2025 Table 48'!G76*Misc!$A$17)/'AVLo-passengers'!E4</f>
        <v>2175927.9725478734</v>
      </c>
      <c r="F23" s="6">
        <f>(SUM('AEO 2025 Table 47'!H31,'AEO 2025 Table 47'!H49)*1000000000)/('AEO 2025 Table 48'!H76*Misc!$A$17)/'AVLo-passengers'!F4</f>
        <v>2177059.1938561969</v>
      </c>
      <c r="G23" s="6">
        <f>(SUM('AEO 2025 Table 47'!I31,'AEO 2025 Table 47'!I49)*1000000000)/('AEO 2025 Table 48'!I76*Misc!$A$17)/'AVLo-passengers'!G4</f>
        <v>2178229.3997342675</v>
      </c>
      <c r="H23" s="6">
        <f>(SUM('AEO 2025 Table 47'!J31,'AEO 2025 Table 47'!J49)*1000000000)/('AEO 2025 Table 48'!J76*Misc!$A$17)/'AVLo-passengers'!H4</f>
        <v>2179718.2573994831</v>
      </c>
      <c r="I23" s="6">
        <f>(SUM('AEO 2025 Table 47'!K31,'AEO 2025 Table 47'!K49)*1000000000)/('AEO 2025 Table 48'!K76*Misc!$A$17)/'AVLo-passengers'!I4</f>
        <v>2181121.3902983489</v>
      </c>
      <c r="J23" s="6">
        <f>(SUM('AEO 2025 Table 47'!L31,'AEO 2025 Table 47'!L49)*1000000000)/('AEO 2025 Table 48'!L76*Misc!$A$17)/'AVLo-passengers'!J4</f>
        <v>2184339.8592619579</v>
      </c>
      <c r="K23" s="6">
        <f>(SUM('AEO 2025 Table 47'!M31,'AEO 2025 Table 47'!M49)*1000000000)/('AEO 2025 Table 48'!M76*Misc!$A$17)/'AVLo-passengers'!K4</f>
        <v>2187675.9893965009</v>
      </c>
      <c r="L23" s="6">
        <f>(SUM('AEO 2025 Table 47'!N31,'AEO 2025 Table 47'!N49)*1000000000)/('AEO 2025 Table 48'!N76*Misc!$A$17)/'AVLo-passengers'!L4</f>
        <v>2190755.9058444034</v>
      </c>
      <c r="M23" s="6">
        <f>(SUM('AEO 2025 Table 47'!O31,'AEO 2025 Table 47'!O49)*1000000000)/('AEO 2025 Table 48'!O76*Misc!$A$17)/'AVLo-passengers'!M4</f>
        <v>2193675.5754507557</v>
      </c>
      <c r="N23" s="6">
        <f>(SUM('AEO 2025 Table 47'!P31,'AEO 2025 Table 47'!P49)*1000000000)/('AEO 2025 Table 48'!P76*Misc!$A$17)/'AVLo-passengers'!N4</f>
        <v>2196580.5995448581</v>
      </c>
      <c r="O23" s="6">
        <f>(SUM('AEO 2025 Table 47'!Q31,'AEO 2025 Table 47'!Q49)*1000000000)/('AEO 2025 Table 48'!Q76*Misc!$A$17)/'AVLo-passengers'!O4</f>
        <v>2199302.9027452026</v>
      </c>
      <c r="P23" s="6">
        <f>(SUM('AEO 2025 Table 47'!R31,'AEO 2025 Table 47'!R49)*1000000000)/('AEO 2025 Table 48'!R76*Misc!$A$17)/'AVLo-passengers'!P4</f>
        <v>2201952.1442716829</v>
      </c>
      <c r="Q23" s="6">
        <f>(SUM('AEO 2025 Table 47'!S31,'AEO 2025 Table 47'!S49)*1000000000)/('AEO 2025 Table 48'!S76*Misc!$A$17)/'AVLo-passengers'!Q4</f>
        <v>2204479.2937535183</v>
      </c>
      <c r="R23" s="6">
        <f>(SUM('AEO 2025 Table 47'!T31,'AEO 2025 Table 47'!T49)*1000000000)/('AEO 2025 Table 48'!T76*Misc!$A$17)/'AVLo-passengers'!R4</f>
        <v>2206872.634762655</v>
      </c>
      <c r="S23" s="6">
        <f>(SUM('AEO 2025 Table 47'!U31,'AEO 2025 Table 47'!U49)*1000000000)/('AEO 2025 Table 48'!U76*Misc!$A$17)/'AVLo-passengers'!S4</f>
        <v>2209240.2139116204</v>
      </c>
      <c r="T23" s="6">
        <f>(SUM('AEO 2025 Table 47'!V31,'AEO 2025 Table 47'!V49)*1000000000)/('AEO 2025 Table 48'!V76*Misc!$A$17)/'AVLo-passengers'!T4</f>
        <v>2211671.5862980951</v>
      </c>
      <c r="U23" s="6">
        <f>(SUM('AEO 2025 Table 47'!W31,'AEO 2025 Table 47'!W49)*1000000000)/('AEO 2025 Table 48'!W76*Misc!$A$17)/'AVLo-passengers'!U4</f>
        <v>2214148.1138577019</v>
      </c>
      <c r="V23" s="6">
        <f>(SUM('AEO 2025 Table 47'!X31,'AEO 2025 Table 47'!X49)*1000000000)/('AEO 2025 Table 48'!X76*Misc!$A$17)/'AVLo-passengers'!V4</f>
        <v>2216526.6019288781</v>
      </c>
      <c r="W23" s="6">
        <f>(SUM('AEO 2025 Table 47'!Y31,'AEO 2025 Table 47'!Y49)*1000000000)/('AEO 2025 Table 48'!Y76*Misc!$A$17)/'AVLo-passengers'!W4</f>
        <v>2218959.7154747085</v>
      </c>
      <c r="X23" s="6">
        <f>(SUM('AEO 2025 Table 47'!Z31,'AEO 2025 Table 47'!Z49)*1000000000)/('AEO 2025 Table 48'!Z76*Misc!$A$17)/'AVLo-passengers'!X4</f>
        <v>2221510.6695624469</v>
      </c>
      <c r="Y23" s="6">
        <f>(SUM('AEO 2025 Table 47'!AA31,'AEO 2025 Table 47'!AA49)*1000000000)/('AEO 2025 Table 48'!AA76*Misc!$A$17)/'AVLo-passengers'!Y4</f>
        <v>2224106.387811569</v>
      </c>
      <c r="Z23" s="6">
        <f>(SUM('AEO 2025 Table 47'!AB31,'AEO 2025 Table 47'!AB49)*1000000000)/('AEO 2025 Table 48'!AB76*Misc!$A$17)/'AVLo-passengers'!Z4</f>
        <v>2226742.9759943914</v>
      </c>
      <c r="AA23" s="6">
        <f>(SUM('AEO 2025 Table 47'!AC31,'AEO 2025 Table 47'!AC49)*1000000000)/('AEO 2025 Table 48'!AC76*Misc!$A$17)/'AVLo-passengers'!AA4</f>
        <v>2229184.539625735</v>
      </c>
      <c r="AB23" s="6">
        <f>(SUM('AEO 2025 Table 47'!AD31,'AEO 2025 Table 47'!AD49)*1000000000)/('AEO 2025 Table 48'!AD76*Misc!$A$17)/'AVLo-passengers'!AB4</f>
        <v>2231555.4680798994</v>
      </c>
      <c r="AC23" s="6">
        <f>(SUM('AEO 2025 Table 47'!AE31,'AEO 2025 Table 47'!AE49)*1000000000)/('AEO 2025 Table 48'!AE76*Misc!$A$17)/'AVLo-passengers'!AC4</f>
        <v>2234018.5065481644</v>
      </c>
      <c r="AD23" s="6">
        <f>(SUM('AEO 2025 Table 47'!AF31,'AEO 2025 Table 47'!AF49)*1000000000)/('AEO 2025 Table 48'!AF76*Misc!$A$17)/'AVLo-passengers'!AD4</f>
        <v>2236527.6094822614</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29.5">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10155.518872505058</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3890</v>
      </c>
      <c r="B31" t="s">
        <v>5</v>
      </c>
      <c r="C31" s="6">
        <f t="shared" ref="C31:C35" si="5">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3909</v>
      </c>
      <c r="B32" t="s">
        <v>6</v>
      </c>
      <c r="C32" s="6">
        <f t="shared" si="5"/>
        <v>1432850.1609346911</v>
      </c>
      <c r="D32" s="6">
        <f t="shared" ref="D32:AD32" si="6">C32</f>
        <v>1432850.1609346911</v>
      </c>
      <c r="E32" s="6">
        <f t="shared" si="6"/>
        <v>1432850.1609346911</v>
      </c>
      <c r="F32" s="6">
        <f t="shared" si="6"/>
        <v>1432850.1609346911</v>
      </c>
      <c r="G32" s="6">
        <f t="shared" si="6"/>
        <v>1432850.1609346911</v>
      </c>
      <c r="H32" s="6">
        <f t="shared" si="6"/>
        <v>1432850.1609346911</v>
      </c>
      <c r="I32" s="6">
        <f t="shared" si="6"/>
        <v>1432850.1609346911</v>
      </c>
      <c r="J32" s="6">
        <f t="shared" si="6"/>
        <v>1432850.1609346911</v>
      </c>
      <c r="K32" s="6">
        <f t="shared" si="6"/>
        <v>1432850.1609346911</v>
      </c>
      <c r="L32" s="6">
        <f t="shared" si="6"/>
        <v>1432850.1609346911</v>
      </c>
      <c r="M32" s="6">
        <f t="shared" si="6"/>
        <v>1432850.1609346911</v>
      </c>
      <c r="N32" s="6">
        <f t="shared" si="6"/>
        <v>1432850.1609346911</v>
      </c>
      <c r="O32" s="6">
        <f t="shared" si="6"/>
        <v>1432850.1609346911</v>
      </c>
      <c r="P32" s="6">
        <f t="shared" si="6"/>
        <v>1432850.1609346911</v>
      </c>
      <c r="Q32" s="6">
        <f t="shared" si="6"/>
        <v>1432850.1609346911</v>
      </c>
      <c r="R32" s="6">
        <f t="shared" si="6"/>
        <v>1432850.1609346911</v>
      </c>
      <c r="S32" s="6">
        <f t="shared" si="6"/>
        <v>1432850.1609346911</v>
      </c>
      <c r="T32" s="6">
        <f t="shared" si="6"/>
        <v>1432850.1609346911</v>
      </c>
      <c r="U32" s="6">
        <f t="shared" si="6"/>
        <v>1432850.1609346911</v>
      </c>
      <c r="V32" s="6">
        <f t="shared" si="6"/>
        <v>1432850.1609346911</v>
      </c>
      <c r="W32" s="6">
        <f t="shared" si="6"/>
        <v>1432850.1609346911</v>
      </c>
      <c r="X32" s="6">
        <f t="shared" si="6"/>
        <v>1432850.1609346911</v>
      </c>
      <c r="Y32" s="6">
        <f t="shared" si="6"/>
        <v>1432850.1609346911</v>
      </c>
      <c r="Z32" s="6">
        <f t="shared" si="6"/>
        <v>1432850.1609346911</v>
      </c>
      <c r="AA32" s="6">
        <f t="shared" si="6"/>
        <v>1432850.1609346911</v>
      </c>
      <c r="AB32" s="6">
        <f t="shared" si="6"/>
        <v>1432850.1609346911</v>
      </c>
      <c r="AC32" s="6">
        <f t="shared" si="6"/>
        <v>1432850.1609346911</v>
      </c>
      <c r="AD32" s="6">
        <f t="shared" si="6"/>
        <v>1432850.1609346911</v>
      </c>
    </row>
    <row r="33" spans="1:30">
      <c r="A33" t="s">
        <v>3890</v>
      </c>
      <c r="B33" t="s">
        <v>7</v>
      </c>
      <c r="C33" s="6">
        <f t="shared" si="5"/>
        <v>18574.695684378694</v>
      </c>
      <c r="D33" s="6">
        <f t="shared" ref="D33:AD33" si="7">C33</f>
        <v>18574.695684378694</v>
      </c>
      <c r="E33" s="6">
        <f t="shared" si="7"/>
        <v>18574.695684378694</v>
      </c>
      <c r="F33" s="6">
        <f t="shared" si="7"/>
        <v>18574.695684378694</v>
      </c>
      <c r="G33" s="6">
        <f t="shared" si="7"/>
        <v>18574.695684378694</v>
      </c>
      <c r="H33" s="6">
        <f t="shared" si="7"/>
        <v>18574.695684378694</v>
      </c>
      <c r="I33" s="6">
        <f t="shared" si="7"/>
        <v>18574.695684378694</v>
      </c>
      <c r="J33" s="6">
        <f t="shared" si="7"/>
        <v>18574.695684378694</v>
      </c>
      <c r="K33" s="6">
        <f t="shared" si="7"/>
        <v>18574.695684378694</v>
      </c>
      <c r="L33" s="6">
        <f t="shared" si="7"/>
        <v>18574.695684378694</v>
      </c>
      <c r="M33" s="6">
        <f t="shared" si="7"/>
        <v>18574.695684378694</v>
      </c>
      <c r="N33" s="6">
        <f t="shared" si="7"/>
        <v>18574.695684378694</v>
      </c>
      <c r="O33" s="6">
        <f t="shared" si="7"/>
        <v>18574.695684378694</v>
      </c>
      <c r="P33" s="6">
        <f t="shared" si="7"/>
        <v>18574.695684378694</v>
      </c>
      <c r="Q33" s="6">
        <f t="shared" si="7"/>
        <v>18574.695684378694</v>
      </c>
      <c r="R33" s="6">
        <f t="shared" si="7"/>
        <v>18574.695684378694</v>
      </c>
      <c r="S33" s="6">
        <f t="shared" si="7"/>
        <v>18574.695684378694</v>
      </c>
      <c r="T33" s="6">
        <f t="shared" si="7"/>
        <v>18574.695684378694</v>
      </c>
      <c r="U33" s="6">
        <f t="shared" si="7"/>
        <v>18574.695684378694</v>
      </c>
      <c r="V33" s="6">
        <f t="shared" si="7"/>
        <v>18574.695684378694</v>
      </c>
      <c r="W33" s="6">
        <f t="shared" si="7"/>
        <v>18574.695684378694</v>
      </c>
      <c r="X33" s="6">
        <f t="shared" si="7"/>
        <v>18574.695684378694</v>
      </c>
      <c r="Y33" s="6">
        <f t="shared" si="7"/>
        <v>18574.695684378694</v>
      </c>
      <c r="Z33" s="6">
        <f t="shared" si="7"/>
        <v>18574.695684378694</v>
      </c>
      <c r="AA33" s="6">
        <f t="shared" si="7"/>
        <v>18574.695684378694</v>
      </c>
      <c r="AB33" s="6">
        <f t="shared" si="7"/>
        <v>18574.695684378694</v>
      </c>
      <c r="AC33" s="6">
        <f t="shared" si="7"/>
        <v>18574.695684378694</v>
      </c>
      <c r="AD33" s="6">
        <f t="shared" si="7"/>
        <v>18574.695684378694</v>
      </c>
    </row>
    <row r="34" spans="1:30">
      <c r="A34" t="s">
        <v>3890</v>
      </c>
      <c r="B34" t="s">
        <v>8</v>
      </c>
      <c r="C34" s="6">
        <f t="shared" si="5"/>
        <v>247922.9173018997</v>
      </c>
      <c r="D34" s="6">
        <f t="shared" ref="D34:AD34" si="8">C34</f>
        <v>247922.9173018997</v>
      </c>
      <c r="E34" s="6">
        <f t="shared" si="8"/>
        <v>247922.9173018997</v>
      </c>
      <c r="F34" s="6">
        <f t="shared" si="8"/>
        <v>247922.9173018997</v>
      </c>
      <c r="G34" s="6">
        <f t="shared" si="8"/>
        <v>247922.9173018997</v>
      </c>
      <c r="H34" s="6">
        <f t="shared" si="8"/>
        <v>247922.9173018997</v>
      </c>
      <c r="I34" s="6">
        <f t="shared" si="8"/>
        <v>247922.9173018997</v>
      </c>
      <c r="J34" s="6">
        <f t="shared" si="8"/>
        <v>247922.9173018997</v>
      </c>
      <c r="K34" s="6">
        <f t="shared" si="8"/>
        <v>247922.9173018997</v>
      </c>
      <c r="L34" s="6">
        <f t="shared" si="8"/>
        <v>247922.9173018997</v>
      </c>
      <c r="M34" s="6">
        <f t="shared" si="8"/>
        <v>247922.9173018997</v>
      </c>
      <c r="N34" s="6">
        <f t="shared" si="8"/>
        <v>247922.9173018997</v>
      </c>
      <c r="O34" s="6">
        <f t="shared" si="8"/>
        <v>247922.9173018997</v>
      </c>
      <c r="P34" s="6">
        <f t="shared" si="8"/>
        <v>247922.9173018997</v>
      </c>
      <c r="Q34" s="6">
        <f t="shared" si="8"/>
        <v>247922.9173018997</v>
      </c>
      <c r="R34" s="6">
        <f t="shared" si="8"/>
        <v>247922.9173018997</v>
      </c>
      <c r="S34" s="6">
        <f t="shared" si="8"/>
        <v>247922.9173018997</v>
      </c>
      <c r="T34" s="6">
        <f t="shared" si="8"/>
        <v>247922.9173018997</v>
      </c>
      <c r="U34" s="6">
        <f t="shared" si="8"/>
        <v>247922.9173018997</v>
      </c>
      <c r="V34" s="6">
        <f t="shared" si="8"/>
        <v>247922.9173018997</v>
      </c>
      <c r="W34" s="6">
        <f t="shared" si="8"/>
        <v>247922.9173018997</v>
      </c>
      <c r="X34" s="6">
        <f t="shared" si="8"/>
        <v>247922.9173018997</v>
      </c>
      <c r="Y34" s="6">
        <f t="shared" si="8"/>
        <v>247922.9173018997</v>
      </c>
      <c r="Z34" s="6">
        <f t="shared" si="8"/>
        <v>247922.9173018997</v>
      </c>
      <c r="AA34" s="6">
        <f t="shared" si="8"/>
        <v>247922.9173018997</v>
      </c>
      <c r="AB34" s="6">
        <f t="shared" si="8"/>
        <v>247922.9173018997</v>
      </c>
      <c r="AC34" s="6">
        <f t="shared" si="8"/>
        <v>247922.9173018997</v>
      </c>
      <c r="AD34" s="6">
        <f t="shared" si="8"/>
        <v>247922.9173018997</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s>
  <sheetFormatPr defaultColWidth="9.1328125" defaultRowHeight="14.75"/>
  <cols>
    <col min="1" max="1" width="16.54296875" customWidth="1"/>
    <col min="2" max="2" width="9" customWidth="1"/>
  </cols>
  <sheetData>
    <row r="1" spans="1:2">
      <c r="A1" t="s">
        <v>189</v>
      </c>
      <c r="B1">
        <v>2023</v>
      </c>
    </row>
    <row r="2" spans="1:2">
      <c r="A2" t="s">
        <v>4</v>
      </c>
      <c r="B2" s="6">
        <f>ROUND(calcs!C3,0)</f>
        <v>11068</v>
      </c>
    </row>
    <row r="3" spans="1:2">
      <c r="A3" t="s">
        <v>5</v>
      </c>
      <c r="B3" s="6">
        <f>ROUND(calcs!C4,0)</f>
        <v>18252</v>
      </c>
    </row>
    <row r="4" spans="1:2">
      <c r="A4" t="s">
        <v>6</v>
      </c>
      <c r="B4" s="6">
        <f>ROUND(calcs!C5,0)</f>
        <v>1960539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328125" defaultRowHeight="14.75"/>
  <cols>
    <col min="1" max="1" width="16.54296875" customWidth="1"/>
    <col min="2" max="2" width="12" bestFit="1" customWidth="1"/>
  </cols>
  <sheetData>
    <row r="1" spans="1:2">
      <c r="A1" t="s">
        <v>189</v>
      </c>
      <c r="B1">
        <f>calcs!C11</f>
        <v>2023</v>
      </c>
    </row>
    <row r="2" spans="1:2">
      <c r="A2" t="s">
        <v>4</v>
      </c>
      <c r="B2" s="6">
        <f>ROUND(calcs!C12,0)</f>
        <v>10156</v>
      </c>
    </row>
    <row r="3" spans="1:2">
      <c r="A3" t="s">
        <v>5</v>
      </c>
      <c r="B3" s="6">
        <f>ROUND(calcs!C13,0)</f>
        <v>34683</v>
      </c>
    </row>
    <row r="4" spans="1:2">
      <c r="A4" t="s">
        <v>6</v>
      </c>
      <c r="B4" s="6">
        <f>ROUND(calcs!C14,0)</f>
        <v>1432850</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A4" sqref="A4"/>
    </sheetView>
  </sheetViews>
  <sheetFormatPr defaultColWidth="9.1328125" defaultRowHeight="14.75"/>
  <cols>
    <col min="1" max="1" width="16.5429687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1960539</v>
      </c>
      <c r="C4" s="6">
        <f>ROUND(calcs!D23,0)</f>
        <v>2174335</v>
      </c>
      <c r="D4" s="6">
        <f>ROUND(calcs!E23,0)</f>
        <v>2175928</v>
      </c>
      <c r="E4" s="6">
        <f>ROUND(calcs!F23,0)</f>
        <v>2177059</v>
      </c>
      <c r="F4" s="6">
        <f>ROUND(calcs!G23,0)</f>
        <v>2178229</v>
      </c>
      <c r="G4" s="6">
        <f>ROUND(calcs!H23,0)</f>
        <v>2179718</v>
      </c>
      <c r="H4" s="6">
        <f>ROUND(calcs!I23,0)</f>
        <v>2181121</v>
      </c>
      <c r="I4" s="6">
        <f>ROUND(calcs!J23,0)</f>
        <v>2184340</v>
      </c>
      <c r="J4" s="6">
        <f>ROUND(calcs!K23,0)</f>
        <v>2187676</v>
      </c>
      <c r="K4" s="6">
        <f>ROUND(calcs!L23,0)</f>
        <v>2190756</v>
      </c>
      <c r="L4" s="6">
        <f>ROUND(calcs!M23,0)</f>
        <v>2193676</v>
      </c>
      <c r="M4" s="6">
        <f>ROUND(calcs!N23,0)</f>
        <v>2196581</v>
      </c>
      <c r="N4" s="6">
        <f>ROUND(calcs!O23,0)</f>
        <v>2199303</v>
      </c>
      <c r="O4" s="6">
        <f>ROUND(calcs!P23,0)</f>
        <v>2201952</v>
      </c>
      <c r="P4" s="6">
        <f>ROUND(calcs!Q23,0)</f>
        <v>2204479</v>
      </c>
      <c r="Q4" s="6">
        <f>ROUND(calcs!R23,0)</f>
        <v>2206873</v>
      </c>
      <c r="R4" s="6">
        <f>ROUND(calcs!S23,0)</f>
        <v>2209240</v>
      </c>
      <c r="S4" s="6">
        <f>ROUND(calcs!T23,0)</f>
        <v>2211672</v>
      </c>
      <c r="T4" s="6">
        <f>ROUND(calcs!U23,0)</f>
        <v>2214148</v>
      </c>
      <c r="U4" s="6">
        <f>ROUND(calcs!V23,0)</f>
        <v>2216527</v>
      </c>
      <c r="V4" s="6">
        <f>ROUND(calcs!W23,0)</f>
        <v>2218960</v>
      </c>
      <c r="W4" s="6">
        <f>ROUND(calcs!X23,0)</f>
        <v>2221511</v>
      </c>
      <c r="X4" s="6">
        <f>ROUND(calcs!Y23,0)</f>
        <v>2224106</v>
      </c>
      <c r="Y4" s="6">
        <f>ROUND(calcs!Z23,0)</f>
        <v>2226743</v>
      </c>
      <c r="Z4" s="6">
        <f>ROUND(calcs!AA23,0)</f>
        <v>2229185</v>
      </c>
      <c r="AA4" s="6">
        <f>ROUND(calcs!AB23,0)</f>
        <v>2231555</v>
      </c>
      <c r="AB4" s="6">
        <f>ROUND(calcs!AC23,0)</f>
        <v>2234019</v>
      </c>
      <c r="AC4" s="6">
        <f>ROUND(calcs!AD23,0)</f>
        <v>2236528</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B4" sqref="B4"/>
    </sheetView>
  </sheetViews>
  <sheetFormatPr defaultColWidth="9.1328125" defaultRowHeight="14.75"/>
  <cols>
    <col min="1" max="1" width="16.54296875" customWidth="1"/>
    <col min="2" max="2" width="12" bestFit="1" customWidth="1"/>
  </cols>
  <sheetData>
    <row r="1" spans="1:29" ht="29.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1432850</v>
      </c>
      <c r="C4" s="6">
        <f>ROUND(calcs!D32,0)</f>
        <v>1432850</v>
      </c>
      <c r="D4" s="6">
        <f>ROUND(calcs!E32,0)</f>
        <v>1432850</v>
      </c>
      <c r="E4" s="6">
        <f>ROUND(calcs!F32,0)</f>
        <v>1432850</v>
      </c>
      <c r="F4" s="6">
        <f>ROUND(calcs!G32,0)</f>
        <v>1432850</v>
      </c>
      <c r="G4" s="6">
        <f>ROUND(calcs!H32,0)</f>
        <v>1432850</v>
      </c>
      <c r="H4" s="6">
        <f>ROUND(calcs!I32,0)</f>
        <v>1432850</v>
      </c>
      <c r="I4" s="6">
        <f>ROUND(calcs!J32,0)</f>
        <v>1432850</v>
      </c>
      <c r="J4" s="6">
        <f>ROUND(calcs!K32,0)</f>
        <v>1432850</v>
      </c>
      <c r="K4" s="6">
        <f>ROUND(calcs!L32,0)</f>
        <v>1432850</v>
      </c>
      <c r="L4" s="6">
        <f>ROUND(calcs!M32,0)</f>
        <v>1432850</v>
      </c>
      <c r="M4" s="6">
        <f>ROUND(calcs!N32,0)</f>
        <v>1432850</v>
      </c>
      <c r="N4" s="6">
        <f>ROUND(calcs!O32,0)</f>
        <v>1432850</v>
      </c>
      <c r="O4" s="6">
        <f>ROUND(calcs!P32,0)</f>
        <v>1432850</v>
      </c>
      <c r="P4" s="6">
        <f>ROUND(calcs!Q32,0)</f>
        <v>1432850</v>
      </c>
      <c r="Q4" s="6">
        <f>ROUND(calcs!R32,0)</f>
        <v>1432850</v>
      </c>
      <c r="R4" s="6">
        <f>ROUND(calcs!S32,0)</f>
        <v>1432850</v>
      </c>
      <c r="S4" s="6">
        <f>ROUND(calcs!T32,0)</f>
        <v>1432850</v>
      </c>
      <c r="T4" s="6">
        <f>ROUND(calcs!U32,0)</f>
        <v>1432850</v>
      </c>
      <c r="U4" s="6">
        <f>ROUND(calcs!V32,0)</f>
        <v>1432850</v>
      </c>
      <c r="V4" s="6">
        <f>ROUND(calcs!W32,0)</f>
        <v>1432850</v>
      </c>
      <c r="W4" s="6">
        <f>ROUND(calcs!X32,0)</f>
        <v>1432850</v>
      </c>
      <c r="X4" s="6">
        <f>ROUND(calcs!Y32,0)</f>
        <v>1432850</v>
      </c>
      <c r="Y4" s="6">
        <f>ROUND(calcs!Z32,0)</f>
        <v>1432850</v>
      </c>
      <c r="Z4" s="6">
        <f>ROUND(calcs!AA32,0)</f>
        <v>1432850</v>
      </c>
      <c r="AA4" s="6">
        <f>ROUND(calcs!AB32,0)</f>
        <v>1432850</v>
      </c>
      <c r="AB4" s="6">
        <f>ROUND(calcs!AC32,0)</f>
        <v>1432850</v>
      </c>
      <c r="AC4" s="6">
        <f>ROUND(calcs!AD32,0)</f>
        <v>1432850</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Misc</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2025-12-19T20:58:38Z</dcterms:modified>
</cp:coreProperties>
</file>