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80098546-5C51-40A1-B1AA-A8CE57D1ED2E}" xr6:coauthVersionLast="47" xr6:coauthVersionMax="47" xr10:uidLastSave="{00000000-0000-0000-0000-000000000000}"/>
  <bookViews>
    <workbookView xWindow="30" yWindow="0" windowWidth="14625" windowHeight="17385" firstSheet="33" activeTab="37" xr2:uid="{E1EED8AE-7B3A-44F2-9823-A4EE0F0C02AE}"/>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AEO 2026 Table 7" sheetId="72" r:id="rId28"/>
    <sheet name="AEO 2026 Table 39" sheetId="73" r:id="rId29"/>
    <sheet name="calcs&gt;" sheetId="67" r:id="rId30"/>
    <sheet name="psgr rail calcs" sheetId="56" r:id="rId31"/>
    <sheet name="Misc" sheetId="69" r:id="rId32"/>
    <sheet name="Calibration multiplier" sheetId="57" r:id="rId33"/>
    <sheet name="intl shipping adjustment" sheetId="70" r:id="rId34"/>
    <sheet name="calcs" sheetId="68" r:id="rId35"/>
    <sheet name="SYAADTbVT-passengers" sheetId="6" r:id="rId36"/>
    <sheet name="SYAADTbVT-freight" sheetId="12" r:id="rId37"/>
    <sheet name="BAADTbVT-passengers" sheetId="32" r:id="rId38"/>
    <sheet name="BAADTbVT-freight" sheetId="33" r:id="rId39"/>
  </sheets>
  <externalReferences>
    <externalReference r:id="rId40"/>
    <externalReference r:id="rId41"/>
  </externalReferences>
  <definedNames>
    <definedName name="_xlnm._FilterDatabase" localSheetId="24" hidden="1">'Annual Service Data_rail only'!$A$1:$AX$1</definedName>
    <definedName name="Eno_TM" localSheetId="31">#REF!</definedName>
    <definedName name="Eno_TM" localSheetId="14">'[1]1997  Table 1a Modified'!#REF!</definedName>
    <definedName name="Eno_TM">'[2]1997  Table 1a Modified'!#REF!</definedName>
    <definedName name="Eno_Tons" localSheetId="31">#REF!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31">#REF!</definedName>
    <definedName name="Sum_T2" localSheetId="14">'[1]1997  Table 1a Modified'!#REF!</definedName>
    <definedName name="Sum_T2">'[2]1997  Table 1a Modified'!#REF!</definedName>
    <definedName name="Sum_TTM" localSheetId="31">#REF!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1" i="68" l="1"/>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C16" i="68"/>
  <c r="C15" i="68"/>
  <c r="C13" i="68"/>
  <c r="C12" i="68"/>
  <c r="C14" i="68"/>
  <c r="C5" i="68"/>
  <c r="D23" i="68" s="1"/>
  <c r="C3" i="68"/>
  <c r="D21" i="68" s="1"/>
  <c r="C21" i="68" s="1"/>
  <c r="B19" i="70" l="1"/>
  <c r="B18" i="70"/>
  <c r="B17" i="70"/>
  <c r="B16" i="70"/>
  <c r="B13" i="70"/>
  <c r="C23" i="68" l="1"/>
  <c r="E23" i="68" s="1"/>
  <c r="C32" i="68"/>
  <c r="D32" i="68" s="1"/>
  <c r="F23" i="68" l="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B4" i="32" s="1"/>
  <c r="B2" i="32"/>
  <c r="B2" i="6" s="1"/>
  <c r="C2" i="32"/>
  <c r="D2" i="32"/>
  <c r="E2" i="32"/>
  <c r="F2" i="32"/>
  <c r="G2" i="32"/>
  <c r="H2" i="32"/>
  <c r="I2" i="32"/>
  <c r="J2" i="32"/>
  <c r="K2" i="32"/>
  <c r="L2" i="32"/>
  <c r="M2" i="32"/>
  <c r="N2" i="32"/>
  <c r="O2" i="32"/>
  <c r="P2" i="32"/>
  <c r="Q2" i="32"/>
  <c r="R2" i="32"/>
  <c r="S2" i="32"/>
  <c r="T2" i="32"/>
  <c r="U2" i="32"/>
  <c r="V2" i="32"/>
  <c r="W2" i="32"/>
  <c r="X2" i="32"/>
  <c r="Y2" i="32"/>
  <c r="Z2" i="32"/>
  <c r="AA2" i="32"/>
  <c r="AB2" i="32"/>
  <c r="B4" i="32"/>
  <c r="B4" i="6" s="1"/>
  <c r="E4" i="32"/>
  <c r="G4" i="32"/>
  <c r="H4" i="32"/>
  <c r="J4" i="32"/>
  <c r="M4" i="32"/>
  <c r="O4" i="32"/>
  <c r="P4" i="32"/>
  <c r="R4" i="32"/>
  <c r="U4" i="32"/>
  <c r="W4" i="32"/>
  <c r="X4" i="32"/>
  <c r="Z4" i="32"/>
  <c r="C35" i="68"/>
  <c r="B1" i="12"/>
  <c r="Y4" i="32" l="1"/>
  <c r="Q4" i="32"/>
  <c r="I4" i="32"/>
  <c r="V4" i="32"/>
  <c r="N4" i="32"/>
  <c r="F4" i="32"/>
  <c r="T4" i="32"/>
  <c r="L4" i="32"/>
  <c r="D4" i="32"/>
  <c r="AA4" i="32"/>
  <c r="S4" i="32"/>
  <c r="K4" i="32"/>
  <c r="C4" i="32"/>
  <c r="C4" i="68"/>
  <c r="D22" i="68" s="1"/>
  <c r="C8" i="68"/>
  <c r="D26" i="68" s="1"/>
  <c r="C6" i="68"/>
  <c r="C7" i="68"/>
  <c r="D35" i="68"/>
  <c r="B7" i="33" s="1"/>
  <c r="B7" i="12" s="1"/>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D24" i="68" l="1"/>
  <c r="B5" i="32" s="1"/>
  <c r="B5" i="6" s="1"/>
  <c r="C24" i="68"/>
  <c r="D25" i="68"/>
  <c r="B6" i="32" s="1"/>
  <c r="B6" i="6" s="1"/>
  <c r="C25" i="68"/>
  <c r="C26" i="68"/>
  <c r="C22" i="68"/>
  <c r="C33" i="68"/>
  <c r="C31" i="68"/>
  <c r="C34" i="68"/>
  <c r="C30" i="68"/>
  <c r="E24" i="68"/>
  <c r="C5" i="32" s="1"/>
  <c r="E25" i="68"/>
  <c r="C6" i="32" s="1"/>
  <c r="E35" i="68"/>
  <c r="C7" i="33" s="1"/>
  <c r="B4" i="33"/>
  <c r="B4" i="12" s="1"/>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0" i="68" l="1"/>
  <c r="D31" i="68"/>
  <c r="D34" i="68"/>
  <c r="B6" i="33" s="1"/>
  <c r="B6" i="12" s="1"/>
  <c r="D33" i="68"/>
  <c r="B5" i="33" s="1"/>
  <c r="B5" i="12" s="1"/>
  <c r="F25" i="68"/>
  <c r="D6" i="32" s="1"/>
  <c r="F24" i="68"/>
  <c r="D5" i="32" s="1"/>
  <c r="E32" i="68"/>
  <c r="C4" i="33" s="1"/>
  <c r="F35" i="68"/>
  <c r="D7" i="33" s="1"/>
  <c r="O62" i="56"/>
  <c r="V62" i="56" s="1"/>
  <c r="T64" i="56" s="1"/>
  <c r="V25" i="56"/>
  <c r="V46" i="56"/>
  <c r="V9" i="56"/>
  <c r="U9" i="56"/>
  <c r="N62" i="56"/>
  <c r="U62" i="56" s="1"/>
  <c r="U53" i="56"/>
  <c r="U57" i="56"/>
  <c r="E31" i="68" l="1"/>
  <c r="B3" i="33"/>
  <c r="B3" i="12" s="1"/>
  <c r="E30" i="68"/>
  <c r="B2" i="33"/>
  <c r="B2" i="12" s="1"/>
  <c r="E34" i="68"/>
  <c r="C6" i="33" s="1"/>
  <c r="E33" i="68"/>
  <c r="C5" i="33" s="1"/>
  <c r="B7" i="32"/>
  <c r="B7" i="6" s="1"/>
  <c r="E26" i="68"/>
  <c r="B3" i="32"/>
  <c r="B3" i="6" s="1"/>
  <c r="E22" i="68"/>
  <c r="G24" i="68"/>
  <c r="E5" i="32" s="1"/>
  <c r="G25" i="68"/>
  <c r="E6" i="32" s="1"/>
  <c r="F32" i="68"/>
  <c r="D4" i="33" s="1"/>
  <c r="F33" i="68"/>
  <c r="D5" i="33" s="1"/>
  <c r="G35" i="68"/>
  <c r="E7" i="33" s="1"/>
  <c r="E64" i="56"/>
  <c r="S64" i="56"/>
  <c r="G64" i="56"/>
  <c r="F31" i="68" l="1"/>
  <c r="C3" i="33"/>
  <c r="F30" i="68"/>
  <c r="C2" i="33"/>
  <c r="F34" i="68"/>
  <c r="D6" i="33" s="1"/>
  <c r="C3" i="32"/>
  <c r="F22" i="68"/>
  <c r="C7" i="32"/>
  <c r="F26" i="68"/>
  <c r="H25" i="68"/>
  <c r="F6" i="32" s="1"/>
  <c r="H24" i="68"/>
  <c r="F5" i="32" s="1"/>
  <c r="H35" i="68"/>
  <c r="F7" i="33" s="1"/>
  <c r="G33" i="68"/>
  <c r="E5" i="33" s="1"/>
  <c r="G32" i="68"/>
  <c r="E4" i="33" s="1"/>
  <c r="G31" i="68" l="1"/>
  <c r="D3" i="33"/>
  <c r="G30" i="68"/>
  <c r="D2" i="33"/>
  <c r="G34" i="68"/>
  <c r="E6" i="33" s="1"/>
  <c r="D7" i="32"/>
  <c r="G26" i="68"/>
  <c r="D3" i="32"/>
  <c r="G22" i="68"/>
  <c r="I24" i="68"/>
  <c r="G5" i="32" s="1"/>
  <c r="I25" i="68"/>
  <c r="G6" i="32" s="1"/>
  <c r="H33" i="68"/>
  <c r="F5" i="33" s="1"/>
  <c r="I35" i="68"/>
  <c r="G7" i="33" s="1"/>
  <c r="H32" i="68"/>
  <c r="F4" i="33" s="1"/>
  <c r="H31" i="68" l="1"/>
  <c r="E3" i="33"/>
  <c r="H30" i="68"/>
  <c r="E2" i="33"/>
  <c r="H34" i="68"/>
  <c r="F6" i="33" s="1"/>
  <c r="E3" i="32"/>
  <c r="H22" i="68"/>
  <c r="E7" i="32"/>
  <c r="H26" i="68"/>
  <c r="J25" i="68"/>
  <c r="H6" i="32" s="1"/>
  <c r="J24" i="68"/>
  <c r="H5" i="32" s="1"/>
  <c r="I33" i="68"/>
  <c r="G5" i="33" s="1"/>
  <c r="J35" i="68"/>
  <c r="H7" i="33" s="1"/>
  <c r="I32" i="68"/>
  <c r="G4" i="33" s="1"/>
  <c r="I30" i="68" l="1"/>
  <c r="F2" i="33"/>
  <c r="I31" i="68"/>
  <c r="F3" i="33"/>
  <c r="I34" i="68"/>
  <c r="G6" i="33" s="1"/>
  <c r="F7" i="32"/>
  <c r="I26" i="68"/>
  <c r="F3" i="32"/>
  <c r="I22" i="68"/>
  <c r="K24" i="68"/>
  <c r="I5" i="32" s="1"/>
  <c r="K25" i="68"/>
  <c r="I6" i="32" s="1"/>
  <c r="K35" i="68"/>
  <c r="I7" i="33" s="1"/>
  <c r="J32" i="68"/>
  <c r="H4" i="33" s="1"/>
  <c r="J33" i="68"/>
  <c r="H5" i="33" s="1"/>
  <c r="J31" i="68" l="1"/>
  <c r="G3" i="33"/>
  <c r="J30" i="68"/>
  <c r="G2" i="33"/>
  <c r="J34" i="68"/>
  <c r="H6" i="33" s="1"/>
  <c r="G7" i="32"/>
  <c r="J26" i="68"/>
  <c r="G3" i="32"/>
  <c r="J22" i="68"/>
  <c r="L25" i="68"/>
  <c r="J6" i="32" s="1"/>
  <c r="L24" i="68"/>
  <c r="J5" i="32" s="1"/>
  <c r="K32" i="68"/>
  <c r="I4" i="33" s="1"/>
  <c r="K33" i="68"/>
  <c r="I5" i="33" s="1"/>
  <c r="L35" i="68"/>
  <c r="J7" i="33" s="1"/>
  <c r="K31" i="68" l="1"/>
  <c r="H3" i="33"/>
  <c r="K30" i="68"/>
  <c r="H2" i="33"/>
  <c r="K34" i="68"/>
  <c r="I6" i="33" s="1"/>
  <c r="H3" i="32"/>
  <c r="K22" i="68"/>
  <c r="H7" i="32"/>
  <c r="K26" i="68"/>
  <c r="M24" i="68"/>
  <c r="K5" i="32" s="1"/>
  <c r="M25" i="68"/>
  <c r="K6" i="32" s="1"/>
  <c r="L33" i="68"/>
  <c r="J5" i="33" s="1"/>
  <c r="M35" i="68"/>
  <c r="K7" i="33" s="1"/>
  <c r="L32" i="68"/>
  <c r="J4" i="33" s="1"/>
  <c r="L30" i="68" l="1"/>
  <c r="I2" i="33"/>
  <c r="L31" i="68"/>
  <c r="I3" i="33"/>
  <c r="L34" i="68"/>
  <c r="J6" i="33" s="1"/>
  <c r="I7" i="32"/>
  <c r="L26" i="68"/>
  <c r="I3" i="32"/>
  <c r="L22" i="68"/>
  <c r="N25" i="68"/>
  <c r="L6" i="32" s="1"/>
  <c r="N24" i="68"/>
  <c r="L5" i="32" s="1"/>
  <c r="M32" i="68"/>
  <c r="K4" i="33" s="1"/>
  <c r="M33" i="68"/>
  <c r="K5" i="33" s="1"/>
  <c r="N35" i="68"/>
  <c r="L7" i="33" s="1"/>
  <c r="M30" i="68" l="1"/>
  <c r="J2" i="33"/>
  <c r="M31" i="68"/>
  <c r="J3" i="33"/>
  <c r="M34" i="68"/>
  <c r="K6" i="33" s="1"/>
  <c r="J7" i="32"/>
  <c r="M26" i="68"/>
  <c r="J3" i="32"/>
  <c r="M22" i="68"/>
  <c r="O25" i="68"/>
  <c r="M6" i="32" s="1"/>
  <c r="O24" i="68"/>
  <c r="M5" i="32" s="1"/>
  <c r="O35" i="68"/>
  <c r="M7" i="33" s="1"/>
  <c r="N33" i="68"/>
  <c r="L5" i="33" s="1"/>
  <c r="N32" i="68"/>
  <c r="L4" i="33" s="1"/>
  <c r="N34" i="68" l="1"/>
  <c r="L6" i="33" s="1"/>
  <c r="N30" i="68"/>
  <c r="K2" i="33"/>
  <c r="N31" i="68"/>
  <c r="K3" i="33"/>
  <c r="K3" i="32"/>
  <c r="N22" i="68"/>
  <c r="K7" i="32"/>
  <c r="N26" i="68"/>
  <c r="P24" i="68"/>
  <c r="N5" i="32" s="1"/>
  <c r="P25" i="68"/>
  <c r="N6" i="32" s="1"/>
  <c r="P35" i="68"/>
  <c r="N7" i="33" s="1"/>
  <c r="O32" i="68"/>
  <c r="M4" i="33" s="1"/>
  <c r="O33" i="68"/>
  <c r="M5" i="33" s="1"/>
  <c r="O34" i="68" l="1"/>
  <c r="M6" i="33" s="1"/>
  <c r="O30" i="68"/>
  <c r="L2" i="33"/>
  <c r="O31" i="68"/>
  <c r="L3" i="33"/>
  <c r="L3" i="32"/>
  <c r="O22" i="68"/>
  <c r="L7" i="32"/>
  <c r="O26" i="68"/>
  <c r="Q25" i="68"/>
  <c r="O6" i="32" s="1"/>
  <c r="Q24" i="68"/>
  <c r="O5" i="32" s="1"/>
  <c r="P33" i="68"/>
  <c r="N5" i="33" s="1"/>
  <c r="P32" i="68"/>
  <c r="N4" i="33" s="1"/>
  <c r="Q35" i="68"/>
  <c r="O7" i="33" s="1"/>
  <c r="P34" i="68" l="1"/>
  <c r="N6" i="33" s="1"/>
  <c r="P31" i="68"/>
  <c r="M3" i="33"/>
  <c r="P30" i="68"/>
  <c r="M2" i="33"/>
  <c r="M7" i="32"/>
  <c r="P26" i="68"/>
  <c r="M3" i="32"/>
  <c r="P22" i="68"/>
  <c r="R24" i="68"/>
  <c r="P5" i="32" s="1"/>
  <c r="R25" i="68"/>
  <c r="P6" i="32" s="1"/>
  <c r="R35" i="68"/>
  <c r="P7" i="33" s="1"/>
  <c r="Q32" i="68"/>
  <c r="O4" i="33" s="1"/>
  <c r="Q33" i="68"/>
  <c r="O5" i="33" s="1"/>
  <c r="Q34" i="68"/>
  <c r="O6" i="33" s="1"/>
  <c r="Q30" i="68" l="1"/>
  <c r="N2" i="33"/>
  <c r="Q31" i="68"/>
  <c r="N3" i="33"/>
  <c r="N3" i="32"/>
  <c r="Q22" i="68"/>
  <c r="N7" i="32"/>
  <c r="Q26" i="68"/>
  <c r="S25" i="68"/>
  <c r="Q6" i="32" s="1"/>
  <c r="S24" i="68"/>
  <c r="Q5" i="32" s="1"/>
  <c r="R32" i="68"/>
  <c r="P4" i="33" s="1"/>
  <c r="R34" i="68"/>
  <c r="P6" i="33" s="1"/>
  <c r="R33" i="68"/>
  <c r="P5" i="33" s="1"/>
  <c r="S35" i="68"/>
  <c r="Q7" i="33" s="1"/>
  <c r="R31" i="68" l="1"/>
  <c r="O3" i="33"/>
  <c r="R30" i="68"/>
  <c r="O2" i="33"/>
  <c r="O3" i="32"/>
  <c r="R22" i="68"/>
  <c r="O7" i="32"/>
  <c r="R26" i="68"/>
  <c r="T24" i="68"/>
  <c r="R5" i="32" s="1"/>
  <c r="T25" i="68"/>
  <c r="R6" i="32" s="1"/>
  <c r="S34" i="68"/>
  <c r="Q6" i="33" s="1"/>
  <c r="T35" i="68"/>
  <c r="R7" i="33" s="1"/>
  <c r="S33" i="68"/>
  <c r="Q5" i="33" s="1"/>
  <c r="S32" i="68"/>
  <c r="Q4" i="33" s="1"/>
  <c r="S30" i="68" l="1"/>
  <c r="P2" i="33"/>
  <c r="S31" i="68"/>
  <c r="P3" i="33"/>
  <c r="P3" i="32"/>
  <c r="S22" i="68"/>
  <c r="P7" i="32"/>
  <c r="S26" i="68"/>
  <c r="U25" i="68"/>
  <c r="S6" i="32" s="1"/>
  <c r="U24" i="68"/>
  <c r="S5" i="32" s="1"/>
  <c r="T33" i="68"/>
  <c r="R5" i="33" s="1"/>
  <c r="U35" i="68"/>
  <c r="S7" i="33" s="1"/>
  <c r="T32" i="68"/>
  <c r="R4" i="33" s="1"/>
  <c r="T34" i="68"/>
  <c r="R6" i="33" s="1"/>
  <c r="T31" i="68" l="1"/>
  <c r="Q3" i="33"/>
  <c r="T30" i="68"/>
  <c r="Q2" i="33"/>
  <c r="Q7" i="32"/>
  <c r="T26" i="68"/>
  <c r="Q3" i="32"/>
  <c r="T22" i="68"/>
  <c r="V24" i="68"/>
  <c r="T5" i="32" s="1"/>
  <c r="V25" i="68"/>
  <c r="T6" i="32" s="1"/>
  <c r="U34" i="68"/>
  <c r="S6" i="33" s="1"/>
  <c r="U32" i="68"/>
  <c r="S4" i="33" s="1"/>
  <c r="V35" i="68"/>
  <c r="T7" i="33" s="1"/>
  <c r="U33" i="68"/>
  <c r="S5" i="33" s="1"/>
  <c r="U30" i="68" l="1"/>
  <c r="R2" i="33"/>
  <c r="U31" i="68"/>
  <c r="R3" i="33"/>
  <c r="R3" i="32"/>
  <c r="U22" i="68"/>
  <c r="R7" i="32"/>
  <c r="U26" i="68"/>
  <c r="W25" i="68"/>
  <c r="U6" i="32" s="1"/>
  <c r="W24" i="68"/>
  <c r="U5" i="32" s="1"/>
  <c r="V33" i="68"/>
  <c r="T5" i="33" s="1"/>
  <c r="V32" i="68"/>
  <c r="T4" i="33" s="1"/>
  <c r="W35" i="68"/>
  <c r="U7" i="33" s="1"/>
  <c r="V34" i="68"/>
  <c r="T6" i="33" s="1"/>
  <c r="V31" i="68" l="1"/>
  <c r="S3" i="33"/>
  <c r="V30" i="68"/>
  <c r="S2" i="33"/>
  <c r="S3" i="32"/>
  <c r="V22" i="68"/>
  <c r="S7" i="32"/>
  <c r="V26" i="68"/>
  <c r="X24" i="68"/>
  <c r="V5" i="32" s="1"/>
  <c r="X25" i="68"/>
  <c r="V6" i="32" s="1"/>
  <c r="W34" i="68"/>
  <c r="U6" i="33" s="1"/>
  <c r="X35" i="68"/>
  <c r="V7" i="33" s="1"/>
  <c r="W33" i="68"/>
  <c r="U5" i="33" s="1"/>
  <c r="W32" i="68"/>
  <c r="U4" i="33" s="1"/>
  <c r="W30" i="68" l="1"/>
  <c r="T2" i="33"/>
  <c r="W31" i="68"/>
  <c r="T3" i="33"/>
  <c r="T3" i="32"/>
  <c r="W22" i="68"/>
  <c r="T7" i="32"/>
  <c r="W26" i="68"/>
  <c r="Y24" i="68"/>
  <c r="W5" i="32" s="1"/>
  <c r="Y25" i="68"/>
  <c r="W6" i="32" s="1"/>
  <c r="X34" i="68"/>
  <c r="V6" i="33" s="1"/>
  <c r="X32" i="68"/>
  <c r="V4" i="33" s="1"/>
  <c r="X33" i="68"/>
  <c r="V5" i="33" s="1"/>
  <c r="Y35" i="68"/>
  <c r="W7" i="33" s="1"/>
  <c r="X30" i="68" l="1"/>
  <c r="U2" i="33"/>
  <c r="X31" i="68"/>
  <c r="U3" i="33"/>
  <c r="U3" i="32"/>
  <c r="X22" i="68"/>
  <c r="U7" i="32"/>
  <c r="X26" i="68"/>
  <c r="Z25" i="68"/>
  <c r="X6" i="32" s="1"/>
  <c r="Z24" i="68"/>
  <c r="X5" i="32" s="1"/>
  <c r="Y33" i="68"/>
  <c r="W5" i="33" s="1"/>
  <c r="Y34" i="68"/>
  <c r="W6" i="33" s="1"/>
  <c r="Z35" i="68"/>
  <c r="X7" i="33" s="1"/>
  <c r="Y32" i="68"/>
  <c r="W4" i="33" s="1"/>
  <c r="Y31" i="68" l="1"/>
  <c r="V3" i="33"/>
  <c r="Y30" i="68"/>
  <c r="V2" i="33"/>
  <c r="V3" i="32"/>
  <c r="Y22" i="68"/>
  <c r="V7" i="32"/>
  <c r="Y26" i="68"/>
  <c r="AA25" i="68"/>
  <c r="Y6" i="32" s="1"/>
  <c r="AA24" i="68"/>
  <c r="Y5" i="32" s="1"/>
  <c r="Z33" i="68"/>
  <c r="X5" i="33" s="1"/>
  <c r="Z32" i="68"/>
  <c r="X4" i="33" s="1"/>
  <c r="AA35" i="68"/>
  <c r="Y7" i="33" s="1"/>
  <c r="Z34" i="68"/>
  <c r="X6" i="33" s="1"/>
  <c r="Z31" i="68" l="1"/>
  <c r="W3" i="33"/>
  <c r="Z30" i="68"/>
  <c r="W2" i="33"/>
  <c r="W7" i="32"/>
  <c r="Z26" i="68"/>
  <c r="W3" i="32"/>
  <c r="Z22" i="68"/>
  <c r="AB24" i="68"/>
  <c r="Z5" i="32" s="1"/>
  <c r="AB25" i="68"/>
  <c r="Z6" i="32" s="1"/>
  <c r="AA33" i="68"/>
  <c r="Y5" i="33" s="1"/>
  <c r="AA34" i="68"/>
  <c r="Y6" i="33" s="1"/>
  <c r="AB35" i="68"/>
  <c r="Z7" i="33" s="1"/>
  <c r="AA32" i="68"/>
  <c r="Y4" i="33" s="1"/>
  <c r="AA30" i="68" l="1"/>
  <c r="X2" i="33"/>
  <c r="AA31" i="68"/>
  <c r="X3" i="33"/>
  <c r="X3" i="32"/>
  <c r="AA22" i="68"/>
  <c r="X7" i="32"/>
  <c r="AA26" i="68"/>
  <c r="AC25" i="68"/>
  <c r="AA6" i="32" s="1"/>
  <c r="AC24" i="68"/>
  <c r="AA5" i="32" s="1"/>
  <c r="AB33" i="68"/>
  <c r="Z5" i="33" s="1"/>
  <c r="AB32" i="68"/>
  <c r="Z4" i="33" s="1"/>
  <c r="AC35" i="68"/>
  <c r="AA7" i="33" s="1"/>
  <c r="AB34" i="68"/>
  <c r="Z6" i="33" s="1"/>
  <c r="AB31" i="68" l="1"/>
  <c r="Y3" i="33"/>
  <c r="AB30" i="68"/>
  <c r="Y2" i="33"/>
  <c r="Y7" i="32"/>
  <c r="AB26" i="68"/>
  <c r="Y3" i="32"/>
  <c r="AB22" i="68"/>
  <c r="AD24" i="68"/>
  <c r="AB5" i="32" s="1"/>
  <c r="AD25" i="68"/>
  <c r="AB6" i="32" s="1"/>
  <c r="AC33" i="68"/>
  <c r="AA5" i="33" s="1"/>
  <c r="AC34" i="68"/>
  <c r="AA6" i="33" s="1"/>
  <c r="AD35" i="68"/>
  <c r="AB7" i="33" s="1"/>
  <c r="AC32" i="68"/>
  <c r="AA4" i="33" s="1"/>
  <c r="AC31" i="68" l="1"/>
  <c r="Z3" i="33"/>
  <c r="AC30" i="68"/>
  <c r="Z2" i="33"/>
  <c r="Z3" i="32"/>
  <c r="AC22" i="68"/>
  <c r="Z7" i="32"/>
  <c r="AC26" i="68"/>
  <c r="AD32" i="68"/>
  <c r="AB4" i="33" s="1"/>
  <c r="AD33" i="68"/>
  <c r="AB5" i="33" s="1"/>
  <c r="AD34" i="68"/>
  <c r="AB6" i="33" s="1"/>
  <c r="AD30" i="68" l="1"/>
  <c r="AB2" i="33" s="1"/>
  <c r="AA2" i="33"/>
  <c r="AD31" i="68"/>
  <c r="AB3" i="33" s="1"/>
  <c r="AA3" i="33"/>
  <c r="AA7" i="32"/>
  <c r="AD26" i="68"/>
  <c r="AB7" i="32" s="1"/>
  <c r="AA3" i="32"/>
  <c r="AD22" i="68"/>
  <c r="AB3" i="32" s="1"/>
</calcChain>
</file>

<file path=xl/sharedStrings.xml><?xml version="1.0" encoding="utf-8"?>
<sst xmlns="http://schemas.openxmlformats.org/spreadsheetml/2006/main" count="8903" uniqueCount="4205">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</sst>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1">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71" fontId="0" fillId="0" borderId="0" xfId="172" applyNumberFormat="1" applyFont="1" applyFill="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heetViews>
  <sheetFormatPr defaultRowHeight="15"/>
  <cols>
    <col min="2" max="2" width="51.5703125" customWidth="1"/>
  </cols>
  <sheetData>
    <row r="1" spans="1:2">
      <c r="A1" s="1" t="s">
        <v>1378</v>
      </c>
    </row>
    <row r="2" spans="1:2">
      <c r="A2" s="1" t="s">
        <v>36</v>
      </c>
    </row>
    <row r="4" spans="1:2">
      <c r="A4" s="1" t="s">
        <v>0</v>
      </c>
      <c r="B4" s="4" t="s">
        <v>186</v>
      </c>
    </row>
    <row r="5" spans="1:2">
      <c r="B5" s="282" t="s">
        <v>3926</v>
      </c>
    </row>
    <row r="6" spans="1:2">
      <c r="B6" s="2">
        <v>2025</v>
      </c>
    </row>
    <row r="7" spans="1:2">
      <c r="B7" t="s">
        <v>3927</v>
      </c>
    </row>
    <row r="8" spans="1:2">
      <c r="B8" t="s">
        <v>3928</v>
      </c>
    </row>
    <row r="9" spans="1:2">
      <c r="B9" t="s">
        <v>3929</v>
      </c>
    </row>
    <row r="10" spans="1:2">
      <c r="B10" s="283" t="s">
        <v>3930</v>
      </c>
    </row>
    <row r="11" spans="1:2">
      <c r="B11" s="283"/>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4769953</v>
      </c>
      <c r="C2">
        <v>14506</v>
      </c>
      <c r="D2">
        <v>257649823</v>
      </c>
      <c r="E2">
        <v>1553093</v>
      </c>
      <c r="F2">
        <v>1417825</v>
      </c>
      <c r="G2">
        <v>13525</v>
      </c>
      <c r="H2">
        <v>17094</v>
      </c>
    </row>
    <row r="3" spans="1:8">
      <c r="A3" t="s">
        <v>5</v>
      </c>
      <c r="B3">
        <v>300</v>
      </c>
      <c r="C3">
        <v>128402</v>
      </c>
      <c r="D3">
        <v>101051</v>
      </c>
      <c r="E3">
        <v>802832</v>
      </c>
      <c r="F3">
        <v>0</v>
      </c>
      <c r="G3">
        <v>47038</v>
      </c>
      <c r="H3">
        <v>174</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10214830</v>
      </c>
      <c r="E6">
        <v>2490170</v>
      </c>
      <c r="F6">
        <v>0</v>
      </c>
      <c r="G6">
        <v>0</v>
      </c>
      <c r="H6">
        <v>0</v>
      </c>
    </row>
    <row r="7" spans="1:8">
      <c r="A7" t="s">
        <v>9</v>
      </c>
      <c r="B7">
        <v>0</v>
      </c>
      <c r="C7">
        <v>0</v>
      </c>
      <c r="D7">
        <v>9261249</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43386</v>
      </c>
      <c r="C2">
        <v>25537</v>
      </c>
      <c r="D2">
        <v>12855699</v>
      </c>
      <c r="E2">
        <v>10752831</v>
      </c>
      <c r="F2">
        <v>0</v>
      </c>
      <c r="G2">
        <v>2325</v>
      </c>
      <c r="H2">
        <v>0</v>
      </c>
    </row>
    <row r="3" spans="1:8">
      <c r="A3" t="s">
        <v>5</v>
      </c>
      <c r="B3">
        <v>2114</v>
      </c>
      <c r="C3">
        <v>57392</v>
      </c>
      <c r="D3">
        <v>38136</v>
      </c>
      <c r="E3">
        <v>5453223</v>
      </c>
      <c r="F3">
        <v>0</v>
      </c>
      <c r="G3">
        <v>3057</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164</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6" t="s">
        <v>62</v>
      </c>
      <c r="C28" s="287">
        <v>444.898865</v>
      </c>
      <c r="D28" s="287">
        <v>450.42761200000001</v>
      </c>
      <c r="E28" s="287">
        <v>448.61004600000001</v>
      </c>
      <c r="F28" s="287">
        <v>446.74627700000002</v>
      </c>
      <c r="G28" s="287">
        <v>445.22772200000003</v>
      </c>
      <c r="H28" s="287">
        <v>442.84777800000001</v>
      </c>
      <c r="I28" s="287">
        <v>440.43005399999998</v>
      </c>
      <c r="J28" s="287">
        <v>437.02459700000003</v>
      </c>
      <c r="K28" s="287">
        <v>434.036407</v>
      </c>
      <c r="L28" s="287">
        <v>431.39211999999998</v>
      </c>
      <c r="M28" s="287">
        <v>429.99737499999998</v>
      </c>
      <c r="N28" s="287">
        <v>428.16067500000003</v>
      </c>
      <c r="O28" s="287">
        <v>426.27862499999998</v>
      </c>
      <c r="P28" s="287">
        <v>424.17816199999999</v>
      </c>
      <c r="Q28" s="287">
        <v>421.71697999999998</v>
      </c>
      <c r="R28" s="287">
        <v>419.81463600000001</v>
      </c>
      <c r="S28" s="287">
        <v>417.567047</v>
      </c>
      <c r="T28" s="287">
        <v>415.80767800000001</v>
      </c>
      <c r="U28" s="287">
        <v>414.04513500000002</v>
      </c>
      <c r="V28" s="287">
        <v>412.52209499999998</v>
      </c>
      <c r="W28" s="287">
        <v>411.24774200000002</v>
      </c>
      <c r="X28" s="287">
        <v>409.97735599999999</v>
      </c>
      <c r="Y28" s="287">
        <v>408.52224699999999</v>
      </c>
      <c r="Z28" s="287">
        <v>406.63034099999999</v>
      </c>
      <c r="AA28" s="287">
        <v>405.358521</v>
      </c>
      <c r="AB28" s="287">
        <v>403.865906</v>
      </c>
      <c r="AC28" s="287">
        <v>401.97906499999999</v>
      </c>
      <c r="AD28" s="287">
        <v>400.55664100000001</v>
      </c>
      <c r="AE28" s="287">
        <v>400.09832799999998</v>
      </c>
      <c r="AF28" s="288">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5" t="s">
        <v>662</v>
      </c>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4"/>
      <c r="C308" s="294"/>
      <c r="D308" s="294"/>
      <c r="E308" s="294"/>
      <c r="F308" s="294"/>
      <c r="G308" s="294"/>
      <c r="H308" s="294"/>
      <c r="I308" s="294"/>
      <c r="J308" s="294"/>
      <c r="K308" s="294"/>
      <c r="L308" s="294"/>
      <c r="M308" s="294"/>
      <c r="N308" s="294"/>
      <c r="O308" s="294"/>
      <c r="P308" s="294"/>
      <c r="Q308" s="294"/>
      <c r="R308" s="294"/>
      <c r="S308" s="294"/>
      <c r="T308" s="294"/>
      <c r="U308" s="294"/>
      <c r="V308" s="294"/>
      <c r="W308" s="294"/>
      <c r="X308" s="294"/>
      <c r="Y308" s="294"/>
      <c r="Z308" s="294"/>
      <c r="AA308" s="294"/>
      <c r="AB308" s="294"/>
      <c r="AC308" s="294"/>
      <c r="AD308" s="294"/>
      <c r="AE308" s="294"/>
      <c r="AF308" s="294"/>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4"/>
      <c r="C511" s="294"/>
      <c r="D511" s="294"/>
      <c r="E511" s="294"/>
      <c r="F511" s="294"/>
      <c r="G511" s="294"/>
      <c r="H511" s="294"/>
      <c r="I511" s="294"/>
      <c r="J511" s="294"/>
      <c r="K511" s="294"/>
      <c r="L511" s="294"/>
      <c r="M511" s="294"/>
      <c r="N511" s="294"/>
      <c r="O511" s="294"/>
      <c r="P511" s="294"/>
      <c r="Q511" s="294"/>
      <c r="R511" s="294"/>
      <c r="S511" s="294"/>
      <c r="T511" s="294"/>
      <c r="U511" s="294"/>
      <c r="V511" s="294"/>
      <c r="W511" s="294"/>
      <c r="X511" s="294"/>
      <c r="Y511" s="294"/>
      <c r="Z511" s="294"/>
      <c r="AA511" s="294"/>
      <c r="AB511" s="294"/>
      <c r="AC511" s="294"/>
      <c r="AD511" s="294"/>
      <c r="AE511" s="294"/>
      <c r="AF511" s="294"/>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4"/>
      <c r="C712" s="294"/>
      <c r="D712" s="294"/>
      <c r="E712" s="294"/>
      <c r="F712" s="294"/>
      <c r="G712" s="294"/>
      <c r="H712" s="294"/>
      <c r="I712" s="294"/>
      <c r="J712" s="294"/>
      <c r="K712" s="294"/>
      <c r="L712" s="294"/>
      <c r="M712" s="294"/>
      <c r="N712" s="294"/>
      <c r="O712" s="294"/>
      <c r="P712" s="294"/>
      <c r="Q712" s="294"/>
      <c r="R712" s="294"/>
      <c r="S712" s="294"/>
      <c r="T712" s="294"/>
      <c r="U712" s="294"/>
      <c r="V712" s="294"/>
      <c r="W712" s="294"/>
      <c r="X712" s="294"/>
      <c r="Y712" s="294"/>
      <c r="Z712" s="294"/>
      <c r="AA712" s="294"/>
      <c r="AB712" s="294"/>
      <c r="AC712" s="294"/>
      <c r="AD712" s="294"/>
      <c r="AE712" s="294"/>
      <c r="AF712" s="294"/>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4"/>
      <c r="C887" s="294"/>
      <c r="D887" s="294"/>
      <c r="E887" s="294"/>
      <c r="F887" s="294"/>
      <c r="G887" s="294"/>
      <c r="H887" s="294"/>
      <c r="I887" s="294"/>
      <c r="J887" s="294"/>
      <c r="K887" s="294"/>
      <c r="L887" s="294"/>
      <c r="M887" s="294"/>
      <c r="N887" s="294"/>
      <c r="O887" s="294"/>
      <c r="P887" s="294"/>
      <c r="Q887" s="294"/>
      <c r="R887" s="294"/>
      <c r="S887" s="294"/>
      <c r="T887" s="294"/>
      <c r="U887" s="294"/>
      <c r="V887" s="294"/>
      <c r="W887" s="294"/>
      <c r="X887" s="294"/>
      <c r="Y887" s="294"/>
      <c r="Z887" s="294"/>
      <c r="AA887" s="294"/>
      <c r="AB887" s="294"/>
      <c r="AC887" s="294"/>
      <c r="AD887" s="294"/>
      <c r="AE887" s="294"/>
      <c r="AF887" s="294"/>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4"/>
      <c r="C1101" s="294"/>
      <c r="D1101" s="294"/>
      <c r="E1101" s="294"/>
      <c r="F1101" s="294"/>
      <c r="G1101" s="294"/>
      <c r="H1101" s="294"/>
      <c r="I1101" s="294"/>
      <c r="J1101" s="294"/>
      <c r="K1101" s="294"/>
      <c r="L1101" s="294"/>
      <c r="M1101" s="294"/>
      <c r="N1101" s="294"/>
      <c r="O1101" s="294"/>
      <c r="P1101" s="294"/>
      <c r="Q1101" s="294"/>
      <c r="R1101" s="294"/>
      <c r="S1101" s="294"/>
      <c r="T1101" s="294"/>
      <c r="U1101" s="294"/>
      <c r="V1101" s="294"/>
      <c r="W1101" s="294"/>
      <c r="X1101" s="294"/>
      <c r="Y1101" s="294"/>
      <c r="Z1101" s="294"/>
      <c r="AA1101" s="294"/>
      <c r="AB1101" s="294"/>
      <c r="AC1101" s="294"/>
      <c r="AD1101" s="294"/>
      <c r="AE1101" s="294"/>
      <c r="AF1101" s="294"/>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4"/>
      <c r="C1229" s="294"/>
      <c r="D1229" s="294"/>
      <c r="E1229" s="294"/>
      <c r="F1229" s="294"/>
      <c r="G1229" s="294"/>
      <c r="H1229" s="294"/>
      <c r="I1229" s="294"/>
      <c r="J1229" s="294"/>
      <c r="K1229" s="294"/>
      <c r="L1229" s="294"/>
      <c r="M1229" s="294"/>
      <c r="N1229" s="294"/>
      <c r="O1229" s="294"/>
      <c r="P1229" s="294"/>
      <c r="Q1229" s="294"/>
      <c r="R1229" s="294"/>
      <c r="S1229" s="294"/>
      <c r="T1229" s="294"/>
      <c r="U1229" s="294"/>
      <c r="V1229" s="294"/>
      <c r="W1229" s="294"/>
      <c r="X1229" s="294"/>
      <c r="Y1229" s="294"/>
      <c r="Z1229" s="294"/>
      <c r="AA1229" s="294"/>
      <c r="AB1229" s="294"/>
      <c r="AC1229" s="294"/>
      <c r="AD1229" s="294"/>
      <c r="AE1229" s="294"/>
      <c r="AF1229" s="294"/>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4"/>
      <c r="C1390" s="294"/>
      <c r="D1390" s="294"/>
      <c r="E1390" s="294"/>
      <c r="F1390" s="294"/>
      <c r="G1390" s="294"/>
      <c r="H1390" s="294"/>
      <c r="I1390" s="294"/>
      <c r="J1390" s="294"/>
      <c r="K1390" s="294"/>
      <c r="L1390" s="294"/>
      <c r="M1390" s="294"/>
      <c r="N1390" s="294"/>
      <c r="O1390" s="294"/>
      <c r="P1390" s="294"/>
      <c r="Q1390" s="294"/>
      <c r="R1390" s="294"/>
      <c r="S1390" s="294"/>
      <c r="T1390" s="294"/>
      <c r="U1390" s="294"/>
      <c r="V1390" s="294"/>
      <c r="W1390" s="294"/>
      <c r="X1390" s="294"/>
      <c r="Y1390" s="294"/>
      <c r="Z1390" s="294"/>
      <c r="AA1390" s="294"/>
      <c r="AB1390" s="294"/>
      <c r="AC1390" s="294"/>
      <c r="AD1390" s="294"/>
      <c r="AE1390" s="294"/>
      <c r="AF1390" s="294"/>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4"/>
      <c r="C1502" s="294"/>
      <c r="D1502" s="294"/>
      <c r="E1502" s="294"/>
      <c r="F1502" s="294"/>
      <c r="G1502" s="294"/>
      <c r="H1502" s="294"/>
      <c r="I1502" s="294"/>
      <c r="J1502" s="294"/>
      <c r="K1502" s="294"/>
      <c r="L1502" s="294"/>
      <c r="M1502" s="294"/>
      <c r="N1502" s="294"/>
      <c r="O1502" s="294"/>
      <c r="P1502" s="294"/>
      <c r="Q1502" s="294"/>
      <c r="R1502" s="294"/>
      <c r="S1502" s="294"/>
      <c r="T1502" s="294"/>
      <c r="U1502" s="294"/>
      <c r="V1502" s="294"/>
      <c r="W1502" s="294"/>
      <c r="X1502" s="294"/>
      <c r="Y1502" s="294"/>
      <c r="Z1502" s="294"/>
      <c r="AA1502" s="294"/>
      <c r="AB1502" s="294"/>
      <c r="AC1502" s="294"/>
      <c r="AD1502" s="294"/>
      <c r="AE1502" s="294"/>
      <c r="AF1502" s="294"/>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4"/>
      <c r="C1604" s="294"/>
      <c r="D1604" s="294"/>
      <c r="E1604" s="294"/>
      <c r="F1604" s="294"/>
      <c r="G1604" s="294"/>
      <c r="H1604" s="294"/>
      <c r="I1604" s="294"/>
      <c r="J1604" s="294"/>
      <c r="K1604" s="294"/>
      <c r="L1604" s="294"/>
      <c r="M1604" s="294"/>
      <c r="N1604" s="294"/>
      <c r="O1604" s="294"/>
      <c r="P1604" s="294"/>
      <c r="Q1604" s="294"/>
      <c r="R1604" s="294"/>
      <c r="S1604" s="294"/>
      <c r="T1604" s="294"/>
      <c r="U1604" s="294"/>
      <c r="V1604" s="294"/>
      <c r="W1604" s="294"/>
      <c r="X1604" s="294"/>
      <c r="Y1604" s="294"/>
      <c r="Z1604" s="294"/>
      <c r="AA1604" s="294"/>
      <c r="AB1604" s="294"/>
      <c r="AC1604" s="294"/>
      <c r="AD1604" s="294"/>
      <c r="AE1604" s="294"/>
      <c r="AF1604" s="294"/>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4"/>
      <c r="C1699" s="294"/>
      <c r="D1699" s="294"/>
      <c r="E1699" s="294"/>
      <c r="F1699" s="294"/>
      <c r="G1699" s="294"/>
      <c r="H1699" s="294"/>
      <c r="I1699" s="294"/>
      <c r="J1699" s="294"/>
      <c r="K1699" s="294"/>
      <c r="L1699" s="294"/>
      <c r="M1699" s="294"/>
      <c r="N1699" s="294"/>
      <c r="O1699" s="294"/>
      <c r="P1699" s="294"/>
      <c r="Q1699" s="294"/>
      <c r="R1699" s="294"/>
      <c r="S1699" s="294"/>
      <c r="T1699" s="294"/>
      <c r="U1699" s="294"/>
      <c r="V1699" s="294"/>
      <c r="W1699" s="294"/>
      <c r="X1699" s="294"/>
      <c r="Y1699" s="294"/>
      <c r="Z1699" s="294"/>
      <c r="AA1699" s="294"/>
      <c r="AB1699" s="294"/>
      <c r="AC1699" s="294"/>
      <c r="AD1699" s="294"/>
      <c r="AE1699" s="294"/>
      <c r="AF1699" s="294"/>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4"/>
      <c r="C1945" s="294"/>
      <c r="D1945" s="294"/>
      <c r="E1945" s="294"/>
      <c r="F1945" s="294"/>
      <c r="G1945" s="294"/>
      <c r="H1945" s="294"/>
      <c r="I1945" s="294"/>
      <c r="J1945" s="294"/>
      <c r="K1945" s="294"/>
      <c r="L1945" s="294"/>
      <c r="M1945" s="294"/>
      <c r="N1945" s="294"/>
      <c r="O1945" s="294"/>
      <c r="P1945" s="294"/>
      <c r="Q1945" s="294"/>
      <c r="R1945" s="294"/>
      <c r="S1945" s="294"/>
      <c r="T1945" s="294"/>
      <c r="U1945" s="294"/>
      <c r="V1945" s="294"/>
      <c r="W1945" s="294"/>
      <c r="X1945" s="294"/>
      <c r="Y1945" s="294"/>
      <c r="Z1945" s="294"/>
      <c r="AA1945" s="294"/>
      <c r="AB1945" s="294"/>
      <c r="AC1945" s="294"/>
      <c r="AD1945" s="294"/>
      <c r="AE1945" s="294"/>
      <c r="AF1945" s="294"/>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4"/>
      <c r="C2031" s="294"/>
      <c r="D2031" s="294"/>
      <c r="E2031" s="294"/>
      <c r="F2031" s="294"/>
      <c r="G2031" s="294"/>
      <c r="H2031" s="294"/>
      <c r="I2031" s="294"/>
      <c r="J2031" s="294"/>
      <c r="K2031" s="294"/>
      <c r="L2031" s="294"/>
      <c r="M2031" s="294"/>
      <c r="N2031" s="294"/>
      <c r="O2031" s="294"/>
      <c r="P2031" s="294"/>
      <c r="Q2031" s="294"/>
      <c r="R2031" s="294"/>
      <c r="S2031" s="294"/>
      <c r="T2031" s="294"/>
      <c r="U2031" s="294"/>
      <c r="V2031" s="294"/>
      <c r="W2031" s="294"/>
      <c r="X2031" s="294"/>
      <c r="Y2031" s="294"/>
      <c r="Z2031" s="294"/>
      <c r="AA2031" s="294"/>
      <c r="AB2031" s="294"/>
      <c r="AC2031" s="294"/>
      <c r="AD2031" s="294"/>
      <c r="AE2031" s="294"/>
      <c r="AF2031" s="294"/>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4"/>
      <c r="C2153" s="294"/>
      <c r="D2153" s="294"/>
      <c r="E2153" s="294"/>
      <c r="F2153" s="294"/>
      <c r="G2153" s="294"/>
      <c r="H2153" s="294"/>
      <c r="I2153" s="294"/>
      <c r="J2153" s="294"/>
      <c r="K2153" s="294"/>
      <c r="L2153" s="294"/>
      <c r="M2153" s="294"/>
      <c r="N2153" s="294"/>
      <c r="O2153" s="294"/>
      <c r="P2153" s="294"/>
      <c r="Q2153" s="294"/>
      <c r="R2153" s="294"/>
      <c r="S2153" s="294"/>
      <c r="T2153" s="294"/>
      <c r="U2153" s="294"/>
      <c r="V2153" s="294"/>
      <c r="W2153" s="294"/>
      <c r="X2153" s="294"/>
      <c r="Y2153" s="294"/>
      <c r="Z2153" s="294"/>
      <c r="AA2153" s="294"/>
      <c r="AB2153" s="294"/>
      <c r="AC2153" s="294"/>
      <c r="AD2153" s="294"/>
      <c r="AE2153" s="294"/>
      <c r="AF2153" s="294"/>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4"/>
      <c r="C2317" s="294"/>
      <c r="D2317" s="294"/>
      <c r="E2317" s="294"/>
      <c r="F2317" s="294"/>
      <c r="G2317" s="294"/>
      <c r="H2317" s="294"/>
      <c r="I2317" s="294"/>
      <c r="J2317" s="294"/>
      <c r="K2317" s="294"/>
      <c r="L2317" s="294"/>
      <c r="M2317" s="294"/>
      <c r="N2317" s="294"/>
      <c r="O2317" s="294"/>
      <c r="P2317" s="294"/>
      <c r="Q2317" s="294"/>
      <c r="R2317" s="294"/>
      <c r="S2317" s="294"/>
      <c r="T2317" s="294"/>
      <c r="U2317" s="294"/>
      <c r="V2317" s="294"/>
      <c r="W2317" s="294"/>
      <c r="X2317" s="294"/>
      <c r="Y2317" s="294"/>
      <c r="Z2317" s="294"/>
      <c r="AA2317" s="294"/>
      <c r="AB2317" s="294"/>
      <c r="AC2317" s="294"/>
      <c r="AD2317" s="294"/>
      <c r="AE2317" s="294"/>
      <c r="AF2317" s="294"/>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4"/>
      <c r="C2419" s="294"/>
      <c r="D2419" s="294"/>
      <c r="E2419" s="294"/>
      <c r="F2419" s="294"/>
      <c r="G2419" s="294"/>
      <c r="H2419" s="294"/>
      <c r="I2419" s="294"/>
      <c r="J2419" s="294"/>
      <c r="K2419" s="294"/>
      <c r="L2419" s="294"/>
      <c r="M2419" s="294"/>
      <c r="N2419" s="294"/>
      <c r="O2419" s="294"/>
      <c r="P2419" s="294"/>
      <c r="Q2419" s="294"/>
      <c r="R2419" s="294"/>
      <c r="S2419" s="294"/>
      <c r="T2419" s="294"/>
      <c r="U2419" s="294"/>
      <c r="V2419" s="294"/>
      <c r="W2419" s="294"/>
      <c r="X2419" s="294"/>
      <c r="Y2419" s="294"/>
      <c r="Z2419" s="294"/>
      <c r="AA2419" s="294"/>
      <c r="AB2419" s="294"/>
      <c r="AC2419" s="294"/>
      <c r="AD2419" s="294"/>
      <c r="AE2419" s="294"/>
      <c r="AF2419" s="294"/>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4"/>
      <c r="C2509" s="294"/>
      <c r="D2509" s="294"/>
      <c r="E2509" s="294"/>
      <c r="F2509" s="294"/>
      <c r="G2509" s="294"/>
      <c r="H2509" s="294"/>
      <c r="I2509" s="294"/>
      <c r="J2509" s="294"/>
      <c r="K2509" s="294"/>
      <c r="L2509" s="294"/>
      <c r="M2509" s="294"/>
      <c r="N2509" s="294"/>
      <c r="O2509" s="294"/>
      <c r="P2509" s="294"/>
      <c r="Q2509" s="294"/>
      <c r="R2509" s="294"/>
      <c r="S2509" s="294"/>
      <c r="T2509" s="294"/>
      <c r="U2509" s="294"/>
      <c r="V2509" s="294"/>
      <c r="W2509" s="294"/>
      <c r="X2509" s="294"/>
      <c r="Y2509" s="294"/>
      <c r="Z2509" s="294"/>
      <c r="AA2509" s="294"/>
      <c r="AB2509" s="294"/>
      <c r="AC2509" s="294"/>
      <c r="AD2509" s="294"/>
      <c r="AE2509" s="294"/>
      <c r="AF2509" s="294"/>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4"/>
      <c r="C2598" s="294"/>
      <c r="D2598" s="294"/>
      <c r="E2598" s="294"/>
      <c r="F2598" s="294"/>
      <c r="G2598" s="294"/>
      <c r="H2598" s="294"/>
      <c r="I2598" s="294"/>
      <c r="J2598" s="294"/>
      <c r="K2598" s="294"/>
      <c r="L2598" s="294"/>
      <c r="M2598" s="294"/>
      <c r="N2598" s="294"/>
      <c r="O2598" s="294"/>
      <c r="P2598" s="294"/>
      <c r="Q2598" s="294"/>
      <c r="R2598" s="294"/>
      <c r="S2598" s="294"/>
      <c r="T2598" s="294"/>
      <c r="U2598" s="294"/>
      <c r="V2598" s="294"/>
      <c r="W2598" s="294"/>
      <c r="X2598" s="294"/>
      <c r="Y2598" s="294"/>
      <c r="Z2598" s="294"/>
      <c r="AA2598" s="294"/>
      <c r="AB2598" s="294"/>
      <c r="AC2598" s="294"/>
      <c r="AD2598" s="294"/>
      <c r="AE2598" s="294"/>
      <c r="AF2598" s="294"/>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4"/>
      <c r="C2719" s="294"/>
      <c r="D2719" s="294"/>
      <c r="E2719" s="294"/>
      <c r="F2719" s="294"/>
      <c r="G2719" s="294"/>
      <c r="H2719" s="294"/>
      <c r="I2719" s="294"/>
      <c r="J2719" s="294"/>
      <c r="K2719" s="294"/>
      <c r="L2719" s="294"/>
      <c r="M2719" s="294"/>
      <c r="N2719" s="294"/>
      <c r="O2719" s="294"/>
      <c r="P2719" s="294"/>
      <c r="Q2719" s="294"/>
      <c r="R2719" s="294"/>
      <c r="S2719" s="294"/>
      <c r="T2719" s="294"/>
      <c r="U2719" s="294"/>
      <c r="V2719" s="294"/>
      <c r="W2719" s="294"/>
      <c r="X2719" s="294"/>
      <c r="Y2719" s="294"/>
      <c r="Z2719" s="294"/>
      <c r="AA2719" s="294"/>
      <c r="AB2719" s="294"/>
      <c r="AC2719" s="294"/>
      <c r="AD2719" s="294"/>
      <c r="AE2719" s="294"/>
      <c r="AF2719" s="294"/>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4"/>
      <c r="C2837" s="294"/>
      <c r="D2837" s="294"/>
      <c r="E2837" s="294"/>
      <c r="F2837" s="294"/>
      <c r="G2837" s="294"/>
      <c r="H2837" s="294"/>
      <c r="I2837" s="294"/>
      <c r="J2837" s="294"/>
      <c r="K2837" s="294"/>
      <c r="L2837" s="294"/>
      <c r="M2837" s="294"/>
      <c r="N2837" s="294"/>
      <c r="O2837" s="294"/>
      <c r="P2837" s="294"/>
      <c r="Q2837" s="294"/>
      <c r="R2837" s="294"/>
      <c r="S2837" s="294"/>
      <c r="T2837" s="294"/>
      <c r="U2837" s="294"/>
      <c r="V2837" s="294"/>
      <c r="W2837" s="294"/>
      <c r="X2837" s="294"/>
      <c r="Y2837" s="294"/>
      <c r="Z2837" s="294"/>
      <c r="AA2837" s="294"/>
      <c r="AB2837" s="294"/>
      <c r="AC2837" s="294"/>
      <c r="AD2837" s="294"/>
      <c r="AE2837" s="294"/>
      <c r="AF2837" s="294"/>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9" t="s">
        <v>406</v>
      </c>
      <c r="C79" s="300"/>
      <c r="D79" s="300"/>
      <c r="E79" s="300"/>
      <c r="F79" s="300"/>
      <c r="G79" s="300"/>
      <c r="H79" s="300"/>
      <c r="I79" s="300"/>
      <c r="J79" s="300"/>
      <c r="K79" s="300"/>
      <c r="L79" s="300"/>
      <c r="M79" s="300"/>
      <c r="N79" s="300"/>
      <c r="O79" s="300"/>
      <c r="P79" s="300"/>
      <c r="Q79" s="300"/>
      <c r="R79" s="300"/>
      <c r="S79" s="300"/>
      <c r="T79" s="300"/>
      <c r="U79" s="300"/>
      <c r="V79" s="300"/>
      <c r="W79" s="300"/>
      <c r="X79" s="300"/>
      <c r="Y79" s="300"/>
      <c r="Z79" s="300"/>
      <c r="AA79" s="300"/>
      <c r="AB79" s="300"/>
      <c r="AC79" s="300"/>
      <c r="AD79" s="300"/>
      <c r="AE79" s="300"/>
      <c r="AF79" s="300"/>
      <c r="AG79" s="300"/>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8"/>
      <c r="C117" s="298"/>
      <c r="D117" s="298"/>
      <c r="E117" s="298"/>
      <c r="F117" s="298"/>
      <c r="G117" s="298"/>
      <c r="H117" s="298"/>
      <c r="I117" s="298"/>
      <c r="J117" s="298"/>
      <c r="K117" s="298"/>
      <c r="L117" s="298"/>
      <c r="M117" s="298"/>
      <c r="N117" s="298"/>
      <c r="O117" s="298"/>
      <c r="P117" s="298"/>
      <c r="Q117" s="298"/>
      <c r="R117" s="298"/>
      <c r="S117" s="298"/>
      <c r="T117" s="298"/>
      <c r="U117" s="298"/>
      <c r="V117" s="298"/>
      <c r="W117" s="298"/>
      <c r="X117" s="298"/>
      <c r="Y117" s="298"/>
      <c r="Z117" s="298"/>
      <c r="AA117" s="298"/>
      <c r="AB117" s="298"/>
      <c r="AC117" s="298"/>
      <c r="AD117" s="298"/>
      <c r="AE117" s="298"/>
      <c r="AF117" s="298"/>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8"/>
      <c r="C259" s="298"/>
      <c r="D259" s="298"/>
      <c r="E259" s="298"/>
      <c r="F259" s="298"/>
      <c r="G259" s="298"/>
      <c r="H259" s="298"/>
      <c r="I259" s="298"/>
      <c r="J259" s="298"/>
      <c r="K259" s="298"/>
      <c r="L259" s="298"/>
      <c r="M259" s="298"/>
      <c r="N259" s="298"/>
      <c r="O259" s="298"/>
      <c r="P259" s="298"/>
      <c r="Q259" s="298"/>
      <c r="R259" s="298"/>
      <c r="S259" s="298"/>
      <c r="T259" s="298"/>
      <c r="U259" s="298"/>
      <c r="V259" s="298"/>
      <c r="W259" s="298"/>
      <c r="X259" s="298"/>
      <c r="Y259" s="298"/>
      <c r="Z259" s="298"/>
      <c r="AA259" s="298"/>
      <c r="AB259" s="298"/>
      <c r="AC259" s="298"/>
      <c r="AD259" s="298"/>
      <c r="AE259" s="298"/>
      <c r="AF259" s="298"/>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8"/>
      <c r="C339" s="298"/>
      <c r="D339" s="298"/>
      <c r="E339" s="298"/>
      <c r="F339" s="298"/>
      <c r="G339" s="298"/>
      <c r="H339" s="298"/>
      <c r="I339" s="298"/>
      <c r="J339" s="298"/>
      <c r="K339" s="298"/>
      <c r="L339" s="298"/>
      <c r="M339" s="298"/>
      <c r="N339" s="298"/>
      <c r="O339" s="298"/>
      <c r="P339" s="298"/>
      <c r="Q339" s="298"/>
      <c r="R339" s="298"/>
      <c r="S339" s="298"/>
      <c r="T339" s="298"/>
      <c r="U339" s="298"/>
      <c r="V339" s="298"/>
      <c r="W339" s="298"/>
      <c r="X339" s="298"/>
      <c r="Y339" s="298"/>
      <c r="Z339" s="298"/>
      <c r="AA339" s="298"/>
      <c r="AB339" s="298"/>
      <c r="AC339" s="298"/>
      <c r="AD339" s="298"/>
      <c r="AE339" s="298"/>
      <c r="AF339" s="298"/>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8"/>
      <c r="C452" s="298"/>
      <c r="D452" s="298"/>
      <c r="E452" s="298"/>
      <c r="F452" s="298"/>
      <c r="G452" s="298"/>
      <c r="H452" s="298"/>
      <c r="I452" s="298"/>
      <c r="J452" s="298"/>
      <c r="K452" s="298"/>
      <c r="L452" s="298"/>
      <c r="M452" s="298"/>
      <c r="N452" s="298"/>
      <c r="O452" s="298"/>
      <c r="P452" s="298"/>
      <c r="Q452" s="298"/>
      <c r="R452" s="298"/>
      <c r="S452" s="298"/>
      <c r="T452" s="298"/>
      <c r="U452" s="298"/>
      <c r="V452" s="298"/>
      <c r="W452" s="298"/>
      <c r="X452" s="298"/>
      <c r="Y452" s="298"/>
      <c r="Z452" s="298"/>
      <c r="AA452" s="298"/>
      <c r="AB452" s="298"/>
      <c r="AC452" s="298"/>
      <c r="AD452" s="298"/>
      <c r="AE452" s="298"/>
      <c r="AF452" s="298"/>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8"/>
      <c r="C565" s="298"/>
      <c r="D565" s="298"/>
      <c r="E565" s="298"/>
      <c r="F565" s="298"/>
      <c r="G565" s="298"/>
      <c r="H565" s="298"/>
      <c r="I565" s="298"/>
      <c r="J565" s="298"/>
      <c r="K565" s="298"/>
      <c r="L565" s="298"/>
      <c r="M565" s="298"/>
      <c r="N565" s="298"/>
      <c r="O565" s="298"/>
      <c r="P565" s="298"/>
      <c r="Q565" s="298"/>
      <c r="R565" s="298"/>
      <c r="S565" s="298"/>
      <c r="T565" s="298"/>
      <c r="U565" s="298"/>
      <c r="V565" s="298"/>
      <c r="W565" s="298"/>
      <c r="X565" s="298"/>
      <c r="Y565" s="298"/>
      <c r="Z565" s="298"/>
      <c r="AA565" s="298"/>
      <c r="AB565" s="298"/>
      <c r="AC565" s="298"/>
      <c r="AD565" s="298"/>
      <c r="AE565" s="298"/>
      <c r="AF565" s="298"/>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8"/>
      <c r="C663" s="298"/>
      <c r="D663" s="298"/>
      <c r="E663" s="298"/>
      <c r="F663" s="298"/>
      <c r="G663" s="298"/>
      <c r="H663" s="298"/>
      <c r="I663" s="298"/>
      <c r="J663" s="298"/>
      <c r="K663" s="298"/>
      <c r="L663" s="298"/>
      <c r="M663" s="298"/>
      <c r="N663" s="298"/>
      <c r="O663" s="298"/>
      <c r="P663" s="298"/>
      <c r="Q663" s="298"/>
      <c r="R663" s="298"/>
      <c r="S663" s="298"/>
      <c r="T663" s="298"/>
      <c r="U663" s="298"/>
      <c r="V663" s="298"/>
      <c r="W663" s="298"/>
      <c r="X663" s="298"/>
      <c r="Y663" s="298"/>
      <c r="Z663" s="298"/>
      <c r="AA663" s="298"/>
      <c r="AB663" s="298"/>
      <c r="AC663" s="298"/>
      <c r="AD663" s="298"/>
      <c r="AE663" s="298"/>
      <c r="AF663" s="298"/>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8"/>
      <c r="C735" s="298"/>
      <c r="D735" s="298"/>
      <c r="E735" s="298"/>
      <c r="F735" s="298"/>
      <c r="G735" s="298"/>
      <c r="H735" s="298"/>
      <c r="I735" s="298"/>
      <c r="J735" s="298"/>
      <c r="K735" s="298"/>
      <c r="L735" s="298"/>
      <c r="M735" s="298"/>
      <c r="N735" s="298"/>
      <c r="O735" s="298"/>
      <c r="P735" s="298"/>
      <c r="Q735" s="298"/>
      <c r="R735" s="298"/>
      <c r="S735" s="298"/>
      <c r="T735" s="298"/>
      <c r="U735" s="298"/>
      <c r="V735" s="298"/>
      <c r="W735" s="298"/>
      <c r="X735" s="298"/>
      <c r="Y735" s="298"/>
      <c r="Z735" s="298"/>
      <c r="AA735" s="298"/>
      <c r="AB735" s="298"/>
      <c r="AC735" s="298"/>
      <c r="AD735" s="298"/>
      <c r="AE735" s="298"/>
      <c r="AF735" s="298"/>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8"/>
      <c r="C911" s="298"/>
      <c r="D911" s="298"/>
      <c r="E911" s="298"/>
      <c r="F911" s="298"/>
      <c r="G911" s="298"/>
      <c r="H911" s="298"/>
      <c r="I911" s="298"/>
      <c r="J911" s="298"/>
      <c r="K911" s="298"/>
      <c r="L911" s="298"/>
      <c r="M911" s="298"/>
      <c r="N911" s="298"/>
      <c r="O911" s="298"/>
      <c r="P911" s="298"/>
      <c r="Q911" s="298"/>
      <c r="R911" s="298"/>
      <c r="S911" s="298"/>
      <c r="T911" s="298"/>
      <c r="U911" s="298"/>
      <c r="V911" s="298"/>
      <c r="W911" s="298"/>
      <c r="X911" s="298"/>
      <c r="Y911" s="298"/>
      <c r="Z911" s="298"/>
      <c r="AA911" s="298"/>
      <c r="AB911" s="298"/>
      <c r="AC911" s="298"/>
      <c r="AD911" s="298"/>
      <c r="AE911" s="298"/>
      <c r="AF911" s="298"/>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8"/>
      <c r="C994" s="298"/>
      <c r="D994" s="298"/>
      <c r="E994" s="298"/>
      <c r="F994" s="298"/>
      <c r="G994" s="298"/>
      <c r="H994" s="298"/>
      <c r="I994" s="298"/>
      <c r="J994" s="298"/>
      <c r="K994" s="298"/>
      <c r="L994" s="298"/>
      <c r="M994" s="298"/>
      <c r="N994" s="298"/>
      <c r="O994" s="298"/>
      <c r="P994" s="298"/>
      <c r="Q994" s="298"/>
      <c r="R994" s="298"/>
      <c r="S994" s="298"/>
      <c r="T994" s="298"/>
      <c r="U994" s="298"/>
      <c r="V994" s="298"/>
      <c r="W994" s="298"/>
      <c r="X994" s="298"/>
      <c r="Y994" s="298"/>
      <c r="Z994" s="298"/>
      <c r="AA994" s="298"/>
      <c r="AB994" s="298"/>
      <c r="AC994" s="298"/>
      <c r="AD994" s="298"/>
      <c r="AE994" s="298"/>
      <c r="AF994" s="298"/>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8"/>
      <c r="C1096" s="298"/>
      <c r="D1096" s="298"/>
      <c r="E1096" s="298"/>
      <c r="F1096" s="298"/>
      <c r="G1096" s="298"/>
      <c r="H1096" s="298"/>
      <c r="I1096" s="298"/>
      <c r="J1096" s="298"/>
      <c r="K1096" s="298"/>
      <c r="L1096" s="298"/>
      <c r="M1096" s="298"/>
      <c r="N1096" s="298"/>
      <c r="O1096" s="298"/>
      <c r="P1096" s="298"/>
      <c r="Q1096" s="298"/>
      <c r="R1096" s="298"/>
      <c r="S1096" s="298"/>
      <c r="T1096" s="298"/>
      <c r="U1096" s="298"/>
      <c r="V1096" s="298"/>
      <c r="W1096" s="298"/>
      <c r="X1096" s="298"/>
      <c r="Y1096" s="298"/>
      <c r="Z1096" s="298"/>
      <c r="AA1096" s="298"/>
      <c r="AB1096" s="298"/>
      <c r="AC1096" s="298"/>
      <c r="AD1096" s="298"/>
      <c r="AE1096" s="298"/>
      <c r="AF1096" s="298"/>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8"/>
      <c r="C1194" s="298"/>
      <c r="D1194" s="298"/>
      <c r="E1194" s="298"/>
      <c r="F1194" s="298"/>
      <c r="G1194" s="298"/>
      <c r="H1194" s="298"/>
      <c r="I1194" s="298"/>
      <c r="J1194" s="298"/>
      <c r="K1194" s="298"/>
      <c r="L1194" s="298"/>
      <c r="M1194" s="298"/>
      <c r="N1194" s="298"/>
      <c r="O1194" s="298"/>
      <c r="P1194" s="298"/>
      <c r="Q1194" s="298"/>
      <c r="R1194" s="298"/>
      <c r="S1194" s="298"/>
      <c r="T1194" s="298"/>
      <c r="U1194" s="298"/>
      <c r="V1194" s="298"/>
      <c r="W1194" s="298"/>
      <c r="X1194" s="298"/>
      <c r="Y1194" s="298"/>
      <c r="Z1194" s="298"/>
      <c r="AA1194" s="298"/>
      <c r="AB1194" s="298"/>
      <c r="AC1194" s="298"/>
      <c r="AD1194" s="298"/>
      <c r="AE1194" s="298"/>
      <c r="AF1194" s="298"/>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8"/>
      <c r="C1294" s="298"/>
      <c r="D1294" s="298"/>
      <c r="E1294" s="298"/>
      <c r="F1294" s="298"/>
      <c r="G1294" s="298"/>
      <c r="H1294" s="298"/>
      <c r="I1294" s="298"/>
      <c r="J1294" s="298"/>
      <c r="K1294" s="298"/>
      <c r="L1294" s="298"/>
      <c r="M1294" s="298"/>
      <c r="N1294" s="298"/>
      <c r="O1294" s="298"/>
      <c r="P1294" s="298"/>
      <c r="Q1294" s="298"/>
      <c r="R1294" s="298"/>
      <c r="S1294" s="298"/>
      <c r="T1294" s="298"/>
      <c r="U1294" s="298"/>
      <c r="V1294" s="298"/>
      <c r="W1294" s="298"/>
      <c r="X1294" s="298"/>
      <c r="Y1294" s="298"/>
      <c r="Z1294" s="298"/>
      <c r="AA1294" s="298"/>
      <c r="AB1294" s="298"/>
      <c r="AC1294" s="298"/>
      <c r="AD1294" s="298"/>
      <c r="AE1294" s="298"/>
      <c r="AF1294" s="298"/>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8"/>
      <c r="C1590" s="298"/>
      <c r="D1590" s="298"/>
      <c r="E1590" s="298"/>
      <c r="F1590" s="298"/>
      <c r="G1590" s="298"/>
      <c r="H1590" s="298"/>
      <c r="I1590" s="298"/>
      <c r="J1590" s="298"/>
      <c r="K1590" s="298"/>
      <c r="L1590" s="298"/>
      <c r="M1590" s="298"/>
      <c r="N1590" s="298"/>
      <c r="O1590" s="298"/>
      <c r="P1590" s="298"/>
      <c r="Q1590" s="298"/>
      <c r="R1590" s="298"/>
      <c r="S1590" s="298"/>
      <c r="T1590" s="298"/>
      <c r="U1590" s="298"/>
      <c r="V1590" s="298"/>
      <c r="W1590" s="298"/>
      <c r="X1590" s="298"/>
      <c r="Y1590" s="298"/>
      <c r="Z1590" s="298"/>
      <c r="AA1590" s="298"/>
      <c r="AB1590" s="298"/>
      <c r="AC1590" s="298"/>
      <c r="AD1590" s="298"/>
      <c r="AE1590" s="298"/>
      <c r="AF1590" s="298"/>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8"/>
      <c r="C1813" s="298"/>
      <c r="D1813" s="298"/>
      <c r="E1813" s="298"/>
      <c r="F1813" s="298"/>
      <c r="G1813" s="298"/>
      <c r="H1813" s="298"/>
      <c r="I1813" s="298"/>
      <c r="J1813" s="298"/>
      <c r="K1813" s="298"/>
      <c r="L1813" s="298"/>
      <c r="M1813" s="298"/>
      <c r="N1813" s="298"/>
      <c r="O1813" s="298"/>
      <c r="P1813" s="298"/>
      <c r="Q1813" s="298"/>
      <c r="R1813" s="298"/>
      <c r="S1813" s="298"/>
      <c r="T1813" s="298"/>
      <c r="U1813" s="298"/>
      <c r="V1813" s="298"/>
      <c r="W1813" s="298"/>
      <c r="X1813" s="298"/>
      <c r="Y1813" s="298"/>
      <c r="Z1813" s="298"/>
      <c r="AA1813" s="298"/>
      <c r="AB1813" s="298"/>
      <c r="AC1813" s="298"/>
      <c r="AD1813" s="298"/>
      <c r="AE1813" s="298"/>
      <c r="AF1813" s="298"/>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8"/>
      <c r="C2090" s="298"/>
      <c r="D2090" s="298"/>
      <c r="E2090" s="298"/>
      <c r="F2090" s="298"/>
      <c r="G2090" s="298"/>
      <c r="H2090" s="298"/>
      <c r="I2090" s="298"/>
      <c r="J2090" s="298"/>
      <c r="K2090" s="298"/>
      <c r="L2090" s="298"/>
      <c r="M2090" s="298"/>
      <c r="N2090" s="298"/>
      <c r="O2090" s="298"/>
      <c r="P2090" s="298"/>
      <c r="Q2090" s="298"/>
      <c r="R2090" s="298"/>
      <c r="S2090" s="298"/>
      <c r="T2090" s="298"/>
      <c r="U2090" s="298"/>
      <c r="V2090" s="298"/>
      <c r="W2090" s="298"/>
      <c r="X2090" s="298"/>
      <c r="Y2090" s="298"/>
      <c r="Z2090" s="298"/>
      <c r="AA2090" s="298"/>
      <c r="AB2090" s="298"/>
      <c r="AC2090" s="298"/>
      <c r="AD2090" s="298"/>
      <c r="AE2090" s="298"/>
      <c r="AF2090" s="298"/>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8"/>
      <c r="C2425" s="298"/>
      <c r="D2425" s="298"/>
      <c r="E2425" s="298"/>
      <c r="F2425" s="298"/>
      <c r="G2425" s="298"/>
      <c r="H2425" s="298"/>
      <c r="I2425" s="298"/>
      <c r="J2425" s="298"/>
      <c r="K2425" s="298"/>
      <c r="L2425" s="298"/>
      <c r="M2425" s="298"/>
      <c r="N2425" s="298"/>
      <c r="O2425" s="298"/>
      <c r="P2425" s="298"/>
      <c r="Q2425" s="298"/>
      <c r="R2425" s="298"/>
      <c r="S2425" s="298"/>
      <c r="T2425" s="298"/>
      <c r="U2425" s="298"/>
      <c r="V2425" s="298"/>
      <c r="W2425" s="298"/>
      <c r="X2425" s="298"/>
      <c r="Y2425" s="298"/>
      <c r="Z2425" s="298"/>
      <c r="AA2425" s="298"/>
      <c r="AB2425" s="298"/>
      <c r="AC2425" s="298"/>
      <c r="AD2425" s="298"/>
      <c r="AE2425" s="298"/>
      <c r="AF2425" s="298"/>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8"/>
      <c r="C2745" s="298"/>
      <c r="D2745" s="298"/>
      <c r="E2745" s="298"/>
      <c r="F2745" s="298"/>
      <c r="G2745" s="298"/>
      <c r="H2745" s="298"/>
      <c r="I2745" s="298"/>
      <c r="J2745" s="298"/>
      <c r="K2745" s="298"/>
      <c r="L2745" s="298"/>
      <c r="M2745" s="298"/>
      <c r="N2745" s="298"/>
      <c r="O2745" s="298"/>
      <c r="P2745" s="298"/>
      <c r="Q2745" s="298"/>
      <c r="R2745" s="298"/>
      <c r="S2745" s="298"/>
      <c r="T2745" s="298"/>
      <c r="U2745" s="298"/>
      <c r="V2745" s="298"/>
      <c r="W2745" s="298"/>
      <c r="X2745" s="298"/>
      <c r="Y2745" s="298"/>
      <c r="Z2745" s="298"/>
      <c r="AA2745" s="298"/>
      <c r="AB2745" s="298"/>
      <c r="AC2745" s="298"/>
      <c r="AD2745" s="298"/>
      <c r="AE2745" s="298"/>
      <c r="AF2745" s="298"/>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8"/>
      <c r="C3076" s="298"/>
      <c r="D3076" s="298"/>
      <c r="E3076" s="298"/>
      <c r="F3076" s="298"/>
      <c r="G3076" s="298"/>
      <c r="H3076" s="298"/>
      <c r="I3076" s="298"/>
      <c r="J3076" s="298"/>
      <c r="K3076" s="298"/>
      <c r="L3076" s="298"/>
      <c r="M3076" s="298"/>
      <c r="N3076" s="298"/>
      <c r="O3076" s="298"/>
      <c r="P3076" s="298"/>
      <c r="Q3076" s="298"/>
      <c r="R3076" s="298"/>
      <c r="S3076" s="298"/>
      <c r="T3076" s="298"/>
      <c r="U3076" s="298"/>
      <c r="V3076" s="298"/>
      <c r="W3076" s="298"/>
      <c r="X3076" s="298"/>
      <c r="Y3076" s="298"/>
      <c r="Z3076" s="298"/>
      <c r="AA3076" s="298"/>
      <c r="AB3076" s="298"/>
      <c r="AC3076" s="298"/>
      <c r="AD3076" s="298"/>
      <c r="AE3076" s="298"/>
      <c r="AF3076" s="298"/>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8"/>
      <c r="C3393" s="298"/>
      <c r="D3393" s="298"/>
      <c r="E3393" s="298"/>
      <c r="F3393" s="298"/>
      <c r="G3393" s="298"/>
      <c r="H3393" s="298"/>
      <c r="I3393" s="298"/>
      <c r="J3393" s="298"/>
      <c r="K3393" s="298"/>
      <c r="L3393" s="298"/>
      <c r="M3393" s="298"/>
      <c r="N3393" s="298"/>
      <c r="O3393" s="298"/>
      <c r="P3393" s="298"/>
      <c r="Q3393" s="298"/>
      <c r="R3393" s="298"/>
      <c r="S3393" s="298"/>
      <c r="T3393" s="298"/>
      <c r="U3393" s="298"/>
      <c r="V3393" s="298"/>
      <c r="W3393" s="298"/>
      <c r="X3393" s="298"/>
      <c r="Y3393" s="298"/>
      <c r="Z3393" s="298"/>
      <c r="AA3393" s="298"/>
      <c r="AB3393" s="298"/>
      <c r="AC3393" s="298"/>
      <c r="AD3393" s="298"/>
      <c r="AE3393" s="298"/>
      <c r="AF3393" s="298"/>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8"/>
      <c r="C3502" s="298"/>
      <c r="D3502" s="298"/>
      <c r="E3502" s="298"/>
      <c r="F3502" s="298"/>
      <c r="G3502" s="298"/>
      <c r="H3502" s="298"/>
      <c r="I3502" s="298"/>
      <c r="J3502" s="298"/>
      <c r="K3502" s="298"/>
      <c r="L3502" s="298"/>
      <c r="M3502" s="298"/>
      <c r="N3502" s="298"/>
      <c r="O3502" s="298"/>
      <c r="P3502" s="298"/>
      <c r="Q3502" s="298"/>
      <c r="R3502" s="298"/>
      <c r="S3502" s="298"/>
      <c r="T3502" s="298"/>
      <c r="U3502" s="298"/>
      <c r="V3502" s="298"/>
      <c r="W3502" s="298"/>
      <c r="X3502" s="298"/>
      <c r="Y3502" s="298"/>
      <c r="Z3502" s="298"/>
      <c r="AA3502" s="298"/>
      <c r="AB3502" s="298"/>
      <c r="AC3502" s="298"/>
      <c r="AD3502" s="298"/>
      <c r="AE3502" s="298"/>
      <c r="AF3502" s="298"/>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8"/>
      <c r="C3627" s="298"/>
      <c r="D3627" s="298"/>
      <c r="E3627" s="298"/>
      <c r="F3627" s="298"/>
      <c r="G3627" s="298"/>
      <c r="H3627" s="298"/>
      <c r="I3627" s="298"/>
      <c r="J3627" s="298"/>
      <c r="K3627" s="298"/>
      <c r="L3627" s="298"/>
      <c r="M3627" s="298"/>
      <c r="N3627" s="298"/>
      <c r="O3627" s="298"/>
      <c r="P3627" s="298"/>
      <c r="Q3627" s="298"/>
      <c r="R3627" s="298"/>
      <c r="S3627" s="298"/>
      <c r="T3627" s="298"/>
      <c r="U3627" s="298"/>
      <c r="V3627" s="298"/>
      <c r="W3627" s="298"/>
      <c r="X3627" s="298"/>
      <c r="Y3627" s="298"/>
      <c r="Z3627" s="298"/>
      <c r="AA3627" s="298"/>
      <c r="AB3627" s="298"/>
      <c r="AC3627" s="298"/>
      <c r="AD3627" s="298"/>
      <c r="AE3627" s="298"/>
      <c r="AF3627" s="298"/>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8"/>
      <c r="C3752" s="298"/>
      <c r="D3752" s="298"/>
      <c r="E3752" s="298"/>
      <c r="F3752" s="298"/>
      <c r="G3752" s="298"/>
      <c r="H3752" s="298"/>
      <c r="I3752" s="298"/>
      <c r="J3752" s="298"/>
      <c r="K3752" s="298"/>
      <c r="L3752" s="298"/>
      <c r="M3752" s="298"/>
      <c r="N3752" s="298"/>
      <c r="O3752" s="298"/>
      <c r="P3752" s="298"/>
      <c r="Q3752" s="298"/>
      <c r="R3752" s="298"/>
      <c r="S3752" s="298"/>
      <c r="T3752" s="298"/>
      <c r="U3752" s="298"/>
      <c r="V3752" s="298"/>
      <c r="W3752" s="298"/>
      <c r="X3752" s="298"/>
      <c r="Y3752" s="298"/>
      <c r="Z3752" s="298"/>
      <c r="AA3752" s="298"/>
      <c r="AB3752" s="298"/>
      <c r="AC3752" s="298"/>
      <c r="AD3752" s="298"/>
      <c r="AE3752" s="298"/>
      <c r="AF3752" s="298"/>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8"/>
      <c r="C3877" s="298"/>
      <c r="D3877" s="298"/>
      <c r="E3877" s="298"/>
      <c r="F3877" s="298"/>
      <c r="G3877" s="298"/>
      <c r="H3877" s="298"/>
      <c r="I3877" s="298"/>
      <c r="J3877" s="298"/>
      <c r="K3877" s="298"/>
      <c r="L3877" s="298"/>
      <c r="M3877" s="298"/>
      <c r="N3877" s="298"/>
      <c r="O3877" s="298"/>
      <c r="P3877" s="298"/>
      <c r="Q3877" s="298"/>
      <c r="R3877" s="298"/>
      <c r="S3877" s="298"/>
      <c r="T3877" s="298"/>
      <c r="U3877" s="298"/>
      <c r="V3877" s="298"/>
      <c r="W3877" s="298"/>
      <c r="X3877" s="298"/>
      <c r="Y3877" s="298"/>
      <c r="Z3877" s="298"/>
      <c r="AA3877" s="298"/>
      <c r="AB3877" s="298"/>
      <c r="AC3877" s="298"/>
      <c r="AD3877" s="298"/>
      <c r="AE3877" s="298"/>
      <c r="AF3877" s="298"/>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8"/>
      <c r="C4002" s="298"/>
      <c r="D4002" s="298"/>
      <c r="E4002" s="298"/>
      <c r="F4002" s="298"/>
      <c r="G4002" s="298"/>
      <c r="H4002" s="298"/>
      <c r="I4002" s="298"/>
      <c r="J4002" s="298"/>
      <c r="K4002" s="298"/>
      <c r="L4002" s="298"/>
      <c r="M4002" s="298"/>
      <c r="N4002" s="298"/>
      <c r="O4002" s="298"/>
      <c r="P4002" s="298"/>
      <c r="Q4002" s="298"/>
      <c r="R4002" s="298"/>
      <c r="S4002" s="298"/>
      <c r="T4002" s="298"/>
      <c r="U4002" s="298"/>
      <c r="V4002" s="298"/>
      <c r="W4002" s="298"/>
      <c r="X4002" s="298"/>
      <c r="Y4002" s="298"/>
      <c r="Z4002" s="298"/>
      <c r="AA4002" s="298"/>
      <c r="AB4002" s="298"/>
      <c r="AC4002" s="298"/>
      <c r="AD4002" s="298"/>
      <c r="AE4002" s="298"/>
      <c r="AF4002" s="298"/>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8"/>
      <c r="C4127" s="298"/>
      <c r="D4127" s="298"/>
      <c r="E4127" s="298"/>
      <c r="F4127" s="298"/>
      <c r="G4127" s="298"/>
      <c r="H4127" s="298"/>
      <c r="I4127" s="298"/>
      <c r="J4127" s="298"/>
      <c r="K4127" s="298"/>
      <c r="L4127" s="298"/>
      <c r="M4127" s="298"/>
      <c r="N4127" s="298"/>
      <c r="O4127" s="298"/>
      <c r="P4127" s="298"/>
      <c r="Q4127" s="298"/>
      <c r="R4127" s="298"/>
      <c r="S4127" s="298"/>
      <c r="T4127" s="298"/>
      <c r="U4127" s="298"/>
      <c r="V4127" s="298"/>
      <c r="W4127" s="298"/>
      <c r="X4127" s="298"/>
      <c r="Y4127" s="298"/>
      <c r="Z4127" s="298"/>
      <c r="AA4127" s="298"/>
      <c r="AB4127" s="298"/>
      <c r="AC4127" s="298"/>
      <c r="AD4127" s="298"/>
      <c r="AE4127" s="298"/>
      <c r="AF4127" s="298"/>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8"/>
      <c r="C4252" s="298"/>
      <c r="D4252" s="298"/>
      <c r="E4252" s="298"/>
      <c r="F4252" s="298"/>
      <c r="G4252" s="298"/>
      <c r="H4252" s="298"/>
      <c r="I4252" s="298"/>
      <c r="J4252" s="298"/>
      <c r="K4252" s="298"/>
      <c r="L4252" s="298"/>
      <c r="M4252" s="298"/>
      <c r="N4252" s="298"/>
      <c r="O4252" s="298"/>
      <c r="P4252" s="298"/>
      <c r="Q4252" s="298"/>
      <c r="R4252" s="298"/>
      <c r="S4252" s="298"/>
      <c r="T4252" s="298"/>
      <c r="U4252" s="298"/>
      <c r="V4252" s="298"/>
      <c r="W4252" s="298"/>
      <c r="X4252" s="298"/>
      <c r="Y4252" s="298"/>
      <c r="Z4252" s="298"/>
      <c r="AA4252" s="298"/>
      <c r="AB4252" s="298"/>
      <c r="AC4252" s="298"/>
      <c r="AD4252" s="298"/>
      <c r="AE4252" s="298"/>
      <c r="AF4252" s="298"/>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8"/>
      <c r="C4377" s="298"/>
      <c r="D4377" s="298"/>
      <c r="E4377" s="298"/>
      <c r="F4377" s="298"/>
      <c r="G4377" s="298"/>
      <c r="H4377" s="298"/>
      <c r="I4377" s="298"/>
      <c r="J4377" s="298"/>
      <c r="K4377" s="298"/>
      <c r="L4377" s="298"/>
      <c r="M4377" s="298"/>
      <c r="N4377" s="298"/>
      <c r="O4377" s="298"/>
      <c r="P4377" s="298"/>
      <c r="Q4377" s="298"/>
      <c r="R4377" s="298"/>
      <c r="S4377" s="298"/>
      <c r="T4377" s="298"/>
      <c r="U4377" s="298"/>
      <c r="V4377" s="298"/>
      <c r="W4377" s="298"/>
      <c r="X4377" s="298"/>
      <c r="Y4377" s="298"/>
      <c r="Z4377" s="298"/>
      <c r="AA4377" s="298"/>
      <c r="AB4377" s="298"/>
      <c r="AC4377" s="298"/>
      <c r="AD4377" s="298"/>
      <c r="AE4377" s="298"/>
      <c r="AF4377" s="298"/>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8"/>
      <c r="C4502" s="298"/>
      <c r="D4502" s="298"/>
      <c r="E4502" s="298"/>
      <c r="F4502" s="298"/>
      <c r="G4502" s="298"/>
      <c r="H4502" s="298"/>
      <c r="I4502" s="298"/>
      <c r="J4502" s="298"/>
      <c r="K4502" s="298"/>
      <c r="L4502" s="298"/>
      <c r="M4502" s="298"/>
      <c r="N4502" s="298"/>
      <c r="O4502" s="298"/>
      <c r="P4502" s="298"/>
      <c r="Q4502" s="298"/>
      <c r="R4502" s="298"/>
      <c r="S4502" s="298"/>
      <c r="T4502" s="298"/>
      <c r="U4502" s="298"/>
      <c r="V4502" s="298"/>
      <c r="W4502" s="298"/>
      <c r="X4502" s="298"/>
      <c r="Y4502" s="298"/>
      <c r="Z4502" s="298"/>
      <c r="AA4502" s="298"/>
      <c r="AB4502" s="298"/>
      <c r="AC4502" s="298"/>
      <c r="AD4502" s="298"/>
      <c r="AE4502" s="298"/>
      <c r="AF4502" s="298"/>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9" t="s">
        <v>406</v>
      </c>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4"/>
      <c r="C259" s="294"/>
      <c r="D259" s="294"/>
      <c r="E259" s="294"/>
      <c r="F259" s="294"/>
      <c r="G259" s="294"/>
      <c r="H259" s="294"/>
      <c r="I259" s="294"/>
      <c r="J259" s="294"/>
      <c r="K259" s="294"/>
      <c r="L259" s="294"/>
      <c r="M259" s="294"/>
      <c r="N259" s="294"/>
      <c r="O259" s="294"/>
      <c r="P259" s="294"/>
      <c r="Q259" s="294"/>
      <c r="R259" s="294"/>
      <c r="S259" s="294"/>
      <c r="T259" s="294"/>
      <c r="U259" s="294"/>
      <c r="V259" s="294"/>
      <c r="W259" s="294"/>
      <c r="X259" s="294"/>
      <c r="Y259" s="294"/>
      <c r="Z259" s="294"/>
      <c r="AA259" s="294"/>
      <c r="AB259" s="294"/>
      <c r="AC259" s="294"/>
      <c r="AD259" s="294"/>
      <c r="AE259" s="294"/>
      <c r="AF259" s="294"/>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4"/>
      <c r="C339" s="294"/>
      <c r="D339" s="294"/>
      <c r="E339" s="294"/>
      <c r="F339" s="294"/>
      <c r="G339" s="294"/>
      <c r="H339" s="294"/>
      <c r="I339" s="294"/>
      <c r="J339" s="294"/>
      <c r="K339" s="294"/>
      <c r="L339" s="294"/>
      <c r="M339" s="294"/>
      <c r="N339" s="294"/>
      <c r="O339" s="294"/>
      <c r="P339" s="294"/>
      <c r="Q339" s="294"/>
      <c r="R339" s="294"/>
      <c r="S339" s="294"/>
      <c r="T339" s="294"/>
      <c r="U339" s="294"/>
      <c r="V339" s="294"/>
      <c r="W339" s="294"/>
      <c r="X339" s="294"/>
      <c r="Y339" s="294"/>
      <c r="Z339" s="294"/>
      <c r="AA339" s="294"/>
      <c r="AB339" s="294"/>
      <c r="AC339" s="294"/>
      <c r="AD339" s="294"/>
      <c r="AE339" s="294"/>
      <c r="AF339" s="294"/>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4"/>
      <c r="C452" s="294"/>
      <c r="D452" s="294"/>
      <c r="E452" s="294"/>
      <c r="F452" s="294"/>
      <c r="G452" s="294"/>
      <c r="H452" s="294"/>
      <c r="I452" s="294"/>
      <c r="J452" s="294"/>
      <c r="K452" s="294"/>
      <c r="L452" s="294"/>
      <c r="M452" s="294"/>
      <c r="N452" s="294"/>
      <c r="O452" s="294"/>
      <c r="P452" s="294"/>
      <c r="Q452" s="294"/>
      <c r="R452" s="294"/>
      <c r="S452" s="294"/>
      <c r="T452" s="294"/>
      <c r="U452" s="294"/>
      <c r="V452" s="294"/>
      <c r="W452" s="294"/>
      <c r="X452" s="294"/>
      <c r="Y452" s="294"/>
      <c r="Z452" s="294"/>
      <c r="AA452" s="294"/>
      <c r="AB452" s="294"/>
      <c r="AC452" s="294"/>
      <c r="AD452" s="294"/>
      <c r="AE452" s="294"/>
      <c r="AF452" s="294"/>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4"/>
      <c r="C565" s="294"/>
      <c r="D565" s="294"/>
      <c r="E565" s="294"/>
      <c r="F565" s="294"/>
      <c r="G565" s="294"/>
      <c r="H565" s="294"/>
      <c r="I565" s="294"/>
      <c r="J565" s="294"/>
      <c r="K565" s="294"/>
      <c r="L565" s="294"/>
      <c r="M565" s="294"/>
      <c r="N565" s="294"/>
      <c r="O565" s="294"/>
      <c r="P565" s="294"/>
      <c r="Q565" s="294"/>
      <c r="R565" s="294"/>
      <c r="S565" s="294"/>
      <c r="T565" s="294"/>
      <c r="U565" s="294"/>
      <c r="V565" s="294"/>
      <c r="W565" s="294"/>
      <c r="X565" s="294"/>
      <c r="Y565" s="294"/>
      <c r="Z565" s="294"/>
      <c r="AA565" s="294"/>
      <c r="AB565" s="294"/>
      <c r="AC565" s="294"/>
      <c r="AD565" s="294"/>
      <c r="AE565" s="294"/>
      <c r="AF565" s="294"/>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4"/>
      <c r="C663" s="294"/>
      <c r="D663" s="294"/>
      <c r="E663" s="294"/>
      <c r="F663" s="294"/>
      <c r="G663" s="294"/>
      <c r="H663" s="294"/>
      <c r="I663" s="294"/>
      <c r="J663" s="294"/>
      <c r="K663" s="294"/>
      <c r="L663" s="294"/>
      <c r="M663" s="294"/>
      <c r="N663" s="294"/>
      <c r="O663" s="294"/>
      <c r="P663" s="294"/>
      <c r="Q663" s="294"/>
      <c r="R663" s="294"/>
      <c r="S663" s="294"/>
      <c r="T663" s="294"/>
      <c r="U663" s="294"/>
      <c r="V663" s="294"/>
      <c r="W663" s="294"/>
      <c r="X663" s="294"/>
      <c r="Y663" s="294"/>
      <c r="Z663" s="294"/>
      <c r="AA663" s="294"/>
      <c r="AB663" s="294"/>
      <c r="AC663" s="294"/>
      <c r="AD663" s="294"/>
      <c r="AE663" s="294"/>
      <c r="AF663" s="294"/>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4"/>
      <c r="C735" s="294"/>
      <c r="D735" s="294"/>
      <c r="E735" s="294"/>
      <c r="F735" s="294"/>
      <c r="G735" s="294"/>
      <c r="H735" s="294"/>
      <c r="I735" s="294"/>
      <c r="J735" s="294"/>
      <c r="K735" s="294"/>
      <c r="L735" s="294"/>
      <c r="M735" s="294"/>
      <c r="N735" s="294"/>
      <c r="O735" s="294"/>
      <c r="P735" s="294"/>
      <c r="Q735" s="294"/>
      <c r="R735" s="294"/>
      <c r="S735" s="294"/>
      <c r="T735" s="294"/>
      <c r="U735" s="294"/>
      <c r="V735" s="294"/>
      <c r="W735" s="294"/>
      <c r="X735" s="294"/>
      <c r="Y735" s="294"/>
      <c r="Z735" s="294"/>
      <c r="AA735" s="294"/>
      <c r="AB735" s="294"/>
      <c r="AC735" s="294"/>
      <c r="AD735" s="294"/>
      <c r="AE735" s="294"/>
      <c r="AF735" s="294"/>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4"/>
      <c r="C911" s="294"/>
      <c r="D911" s="294"/>
      <c r="E911" s="294"/>
      <c r="F911" s="294"/>
      <c r="G911" s="294"/>
      <c r="H911" s="294"/>
      <c r="I911" s="294"/>
      <c r="J911" s="294"/>
      <c r="K911" s="294"/>
      <c r="L911" s="294"/>
      <c r="M911" s="294"/>
      <c r="N911" s="294"/>
      <c r="O911" s="294"/>
      <c r="P911" s="294"/>
      <c r="Q911" s="294"/>
      <c r="R911" s="294"/>
      <c r="S911" s="294"/>
      <c r="T911" s="294"/>
      <c r="U911" s="294"/>
      <c r="V911" s="294"/>
      <c r="W911" s="294"/>
      <c r="X911" s="294"/>
      <c r="Y911" s="294"/>
      <c r="Z911" s="294"/>
      <c r="AA911" s="294"/>
      <c r="AB911" s="294"/>
      <c r="AC911" s="294"/>
      <c r="AD911" s="294"/>
      <c r="AE911" s="294"/>
      <c r="AF911" s="294"/>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4"/>
      <c r="C994" s="294"/>
      <c r="D994" s="294"/>
      <c r="E994" s="294"/>
      <c r="F994" s="294"/>
      <c r="G994" s="294"/>
      <c r="H994" s="294"/>
      <c r="I994" s="294"/>
      <c r="J994" s="294"/>
      <c r="K994" s="294"/>
      <c r="L994" s="294"/>
      <c r="M994" s="294"/>
      <c r="N994" s="294"/>
      <c r="O994" s="294"/>
      <c r="P994" s="294"/>
      <c r="Q994" s="294"/>
      <c r="R994" s="294"/>
      <c r="S994" s="294"/>
      <c r="T994" s="294"/>
      <c r="U994" s="294"/>
      <c r="V994" s="294"/>
      <c r="W994" s="294"/>
      <c r="X994" s="294"/>
      <c r="Y994" s="294"/>
      <c r="Z994" s="294"/>
      <c r="AA994" s="294"/>
      <c r="AB994" s="294"/>
      <c r="AC994" s="294"/>
      <c r="AD994" s="294"/>
      <c r="AE994" s="294"/>
      <c r="AF994" s="294"/>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4"/>
      <c r="C1096" s="294"/>
      <c r="D1096" s="294"/>
      <c r="E1096" s="294"/>
      <c r="F1096" s="294"/>
      <c r="G1096" s="294"/>
      <c r="H1096" s="294"/>
      <c r="I1096" s="294"/>
      <c r="J1096" s="294"/>
      <c r="K1096" s="294"/>
      <c r="L1096" s="294"/>
      <c r="M1096" s="294"/>
      <c r="N1096" s="294"/>
      <c r="O1096" s="294"/>
      <c r="P1096" s="294"/>
      <c r="Q1096" s="294"/>
      <c r="R1096" s="294"/>
      <c r="S1096" s="294"/>
      <c r="T1096" s="294"/>
      <c r="U1096" s="294"/>
      <c r="V1096" s="294"/>
      <c r="W1096" s="294"/>
      <c r="X1096" s="294"/>
      <c r="Y1096" s="294"/>
      <c r="Z1096" s="294"/>
      <c r="AA1096" s="294"/>
      <c r="AB1096" s="294"/>
      <c r="AC1096" s="294"/>
      <c r="AD1096" s="294"/>
      <c r="AE1096" s="294"/>
      <c r="AF1096" s="294"/>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4"/>
      <c r="C1194" s="294"/>
      <c r="D1194" s="294"/>
      <c r="E1194" s="294"/>
      <c r="F1194" s="294"/>
      <c r="G1194" s="294"/>
      <c r="H1194" s="294"/>
      <c r="I1194" s="294"/>
      <c r="J1194" s="294"/>
      <c r="K1194" s="294"/>
      <c r="L1194" s="294"/>
      <c r="M1194" s="294"/>
      <c r="N1194" s="294"/>
      <c r="O1194" s="294"/>
      <c r="P1194" s="294"/>
      <c r="Q1194" s="294"/>
      <c r="R1194" s="294"/>
      <c r="S1194" s="294"/>
      <c r="T1194" s="294"/>
      <c r="U1194" s="294"/>
      <c r="V1194" s="294"/>
      <c r="W1194" s="294"/>
      <c r="X1194" s="294"/>
      <c r="Y1194" s="294"/>
      <c r="Z1194" s="294"/>
      <c r="AA1194" s="294"/>
      <c r="AB1194" s="294"/>
      <c r="AC1194" s="294"/>
      <c r="AD1194" s="294"/>
      <c r="AE1194" s="294"/>
      <c r="AF1194" s="294"/>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4"/>
      <c r="C1294" s="294"/>
      <c r="D1294" s="294"/>
      <c r="E1294" s="294"/>
      <c r="F1294" s="294"/>
      <c r="G1294" s="294"/>
      <c r="H1294" s="294"/>
      <c r="I1294" s="294"/>
      <c r="J1294" s="294"/>
      <c r="K1294" s="294"/>
      <c r="L1294" s="294"/>
      <c r="M1294" s="294"/>
      <c r="N1294" s="294"/>
      <c r="O1294" s="294"/>
      <c r="P1294" s="294"/>
      <c r="Q1294" s="294"/>
      <c r="R1294" s="294"/>
      <c r="S1294" s="294"/>
      <c r="T1294" s="294"/>
      <c r="U1294" s="294"/>
      <c r="V1294" s="294"/>
      <c r="W1294" s="294"/>
      <c r="X1294" s="294"/>
      <c r="Y1294" s="294"/>
      <c r="Z1294" s="294"/>
      <c r="AA1294" s="294"/>
      <c r="AB1294" s="294"/>
      <c r="AC1294" s="294"/>
      <c r="AD1294" s="294"/>
      <c r="AE1294" s="294"/>
      <c r="AF1294" s="294"/>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4"/>
      <c r="C1590" s="294"/>
      <c r="D1590" s="294"/>
      <c r="E1590" s="294"/>
      <c r="F1590" s="294"/>
      <c r="G1590" s="294"/>
      <c r="H1590" s="294"/>
      <c r="I1590" s="294"/>
      <c r="J1590" s="294"/>
      <c r="K1590" s="294"/>
      <c r="L1590" s="294"/>
      <c r="M1590" s="294"/>
      <c r="N1590" s="294"/>
      <c r="O1590" s="294"/>
      <c r="P1590" s="294"/>
      <c r="Q1590" s="294"/>
      <c r="R1590" s="294"/>
      <c r="S1590" s="294"/>
      <c r="T1590" s="294"/>
      <c r="U1590" s="294"/>
      <c r="V1590" s="294"/>
      <c r="W1590" s="294"/>
      <c r="X1590" s="294"/>
      <c r="Y1590" s="294"/>
      <c r="Z1590" s="294"/>
      <c r="AA1590" s="294"/>
      <c r="AB1590" s="294"/>
      <c r="AC1590" s="294"/>
      <c r="AD1590" s="294"/>
      <c r="AE1590" s="294"/>
      <c r="AF1590" s="294"/>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4"/>
      <c r="C1813" s="294"/>
      <c r="D1813" s="294"/>
      <c r="E1813" s="294"/>
      <c r="F1813" s="294"/>
      <c r="G1813" s="294"/>
      <c r="H1813" s="294"/>
      <c r="I1813" s="294"/>
      <c r="J1813" s="294"/>
      <c r="K1813" s="294"/>
      <c r="L1813" s="294"/>
      <c r="M1813" s="294"/>
      <c r="N1813" s="294"/>
      <c r="O1813" s="294"/>
      <c r="P1813" s="294"/>
      <c r="Q1813" s="294"/>
      <c r="R1813" s="294"/>
      <c r="S1813" s="294"/>
      <c r="T1813" s="294"/>
      <c r="U1813" s="294"/>
      <c r="V1813" s="294"/>
      <c r="W1813" s="294"/>
      <c r="X1813" s="294"/>
      <c r="Y1813" s="294"/>
      <c r="Z1813" s="294"/>
      <c r="AA1813" s="294"/>
      <c r="AB1813" s="294"/>
      <c r="AC1813" s="294"/>
      <c r="AD1813" s="294"/>
      <c r="AE1813" s="294"/>
      <c r="AF1813" s="294"/>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4"/>
      <c r="C2090" s="294"/>
      <c r="D2090" s="294"/>
      <c r="E2090" s="294"/>
      <c r="F2090" s="294"/>
      <c r="G2090" s="294"/>
      <c r="H2090" s="294"/>
      <c r="I2090" s="294"/>
      <c r="J2090" s="294"/>
      <c r="K2090" s="294"/>
      <c r="L2090" s="294"/>
      <c r="M2090" s="294"/>
      <c r="N2090" s="294"/>
      <c r="O2090" s="294"/>
      <c r="P2090" s="294"/>
      <c r="Q2090" s="294"/>
      <c r="R2090" s="294"/>
      <c r="S2090" s="294"/>
      <c r="T2090" s="294"/>
      <c r="U2090" s="294"/>
      <c r="V2090" s="294"/>
      <c r="W2090" s="294"/>
      <c r="X2090" s="294"/>
      <c r="Y2090" s="294"/>
      <c r="Z2090" s="294"/>
      <c r="AA2090" s="294"/>
      <c r="AB2090" s="294"/>
      <c r="AC2090" s="294"/>
      <c r="AD2090" s="294"/>
      <c r="AE2090" s="294"/>
      <c r="AF2090" s="294"/>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4"/>
      <c r="C2425" s="294"/>
      <c r="D2425" s="294"/>
      <c r="E2425" s="294"/>
      <c r="F2425" s="294"/>
      <c r="G2425" s="294"/>
      <c r="H2425" s="294"/>
      <c r="I2425" s="294"/>
      <c r="J2425" s="294"/>
      <c r="K2425" s="294"/>
      <c r="L2425" s="294"/>
      <c r="M2425" s="294"/>
      <c r="N2425" s="294"/>
      <c r="O2425" s="294"/>
      <c r="P2425" s="294"/>
      <c r="Q2425" s="294"/>
      <c r="R2425" s="294"/>
      <c r="S2425" s="294"/>
      <c r="T2425" s="294"/>
      <c r="U2425" s="294"/>
      <c r="V2425" s="294"/>
      <c r="W2425" s="294"/>
      <c r="X2425" s="294"/>
      <c r="Y2425" s="294"/>
      <c r="Z2425" s="294"/>
      <c r="AA2425" s="294"/>
      <c r="AB2425" s="294"/>
      <c r="AC2425" s="294"/>
      <c r="AD2425" s="294"/>
      <c r="AE2425" s="294"/>
      <c r="AF2425" s="294"/>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4"/>
      <c r="C2745" s="294"/>
      <c r="D2745" s="294"/>
      <c r="E2745" s="294"/>
      <c r="F2745" s="294"/>
      <c r="G2745" s="294"/>
      <c r="H2745" s="294"/>
      <c r="I2745" s="294"/>
      <c r="J2745" s="294"/>
      <c r="K2745" s="294"/>
      <c r="L2745" s="294"/>
      <c r="M2745" s="294"/>
      <c r="N2745" s="294"/>
      <c r="O2745" s="294"/>
      <c r="P2745" s="294"/>
      <c r="Q2745" s="294"/>
      <c r="R2745" s="294"/>
      <c r="S2745" s="294"/>
      <c r="T2745" s="294"/>
      <c r="U2745" s="294"/>
      <c r="V2745" s="294"/>
      <c r="W2745" s="294"/>
      <c r="X2745" s="294"/>
      <c r="Y2745" s="294"/>
      <c r="Z2745" s="294"/>
      <c r="AA2745" s="294"/>
      <c r="AB2745" s="294"/>
      <c r="AC2745" s="294"/>
      <c r="AD2745" s="294"/>
      <c r="AE2745" s="294"/>
      <c r="AF2745" s="294"/>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4"/>
      <c r="C3076" s="294"/>
      <c r="D3076" s="294"/>
      <c r="E3076" s="294"/>
      <c r="F3076" s="294"/>
      <c r="G3076" s="294"/>
      <c r="H3076" s="294"/>
      <c r="I3076" s="294"/>
      <c r="J3076" s="294"/>
      <c r="K3076" s="294"/>
      <c r="L3076" s="294"/>
      <c r="M3076" s="294"/>
      <c r="N3076" s="294"/>
      <c r="O3076" s="294"/>
      <c r="P3076" s="294"/>
      <c r="Q3076" s="294"/>
      <c r="R3076" s="294"/>
      <c r="S3076" s="294"/>
      <c r="T3076" s="294"/>
      <c r="U3076" s="294"/>
      <c r="V3076" s="294"/>
      <c r="W3076" s="294"/>
      <c r="X3076" s="294"/>
      <c r="Y3076" s="294"/>
      <c r="Z3076" s="294"/>
      <c r="AA3076" s="294"/>
      <c r="AB3076" s="294"/>
      <c r="AC3076" s="294"/>
      <c r="AD3076" s="294"/>
      <c r="AE3076" s="294"/>
      <c r="AF3076" s="294"/>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4"/>
      <c r="C3393" s="294"/>
      <c r="D3393" s="294"/>
      <c r="E3393" s="294"/>
      <c r="F3393" s="294"/>
      <c r="G3393" s="294"/>
      <c r="H3393" s="294"/>
      <c r="I3393" s="294"/>
      <c r="J3393" s="294"/>
      <c r="K3393" s="294"/>
      <c r="L3393" s="294"/>
      <c r="M3393" s="294"/>
      <c r="N3393" s="294"/>
      <c r="O3393" s="294"/>
      <c r="P3393" s="294"/>
      <c r="Q3393" s="294"/>
      <c r="R3393" s="294"/>
      <c r="S3393" s="294"/>
      <c r="T3393" s="294"/>
      <c r="U3393" s="294"/>
      <c r="V3393" s="294"/>
      <c r="W3393" s="294"/>
      <c r="X3393" s="294"/>
      <c r="Y3393" s="294"/>
      <c r="Z3393" s="294"/>
      <c r="AA3393" s="294"/>
      <c r="AB3393" s="294"/>
      <c r="AC3393" s="294"/>
      <c r="AD3393" s="294"/>
      <c r="AE3393" s="294"/>
      <c r="AF3393" s="294"/>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4"/>
      <c r="C3502" s="294"/>
      <c r="D3502" s="294"/>
      <c r="E3502" s="294"/>
      <c r="F3502" s="294"/>
      <c r="G3502" s="294"/>
      <c r="H3502" s="294"/>
      <c r="I3502" s="294"/>
      <c r="J3502" s="294"/>
      <c r="K3502" s="294"/>
      <c r="L3502" s="294"/>
      <c r="M3502" s="294"/>
      <c r="N3502" s="294"/>
      <c r="O3502" s="294"/>
      <c r="P3502" s="294"/>
      <c r="Q3502" s="294"/>
      <c r="R3502" s="294"/>
      <c r="S3502" s="294"/>
      <c r="T3502" s="294"/>
      <c r="U3502" s="294"/>
      <c r="V3502" s="294"/>
      <c r="W3502" s="294"/>
      <c r="X3502" s="294"/>
      <c r="Y3502" s="294"/>
      <c r="Z3502" s="294"/>
      <c r="AA3502" s="294"/>
      <c r="AB3502" s="294"/>
      <c r="AC3502" s="294"/>
      <c r="AD3502" s="294"/>
      <c r="AE3502" s="294"/>
      <c r="AF3502" s="294"/>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4"/>
      <c r="C3627" s="294"/>
      <c r="D3627" s="294"/>
      <c r="E3627" s="294"/>
      <c r="F3627" s="294"/>
      <c r="G3627" s="294"/>
      <c r="H3627" s="294"/>
      <c r="I3627" s="294"/>
      <c r="J3627" s="294"/>
      <c r="K3627" s="294"/>
      <c r="L3627" s="294"/>
      <c r="M3627" s="294"/>
      <c r="N3627" s="294"/>
      <c r="O3627" s="294"/>
      <c r="P3627" s="294"/>
      <c r="Q3627" s="294"/>
      <c r="R3627" s="294"/>
      <c r="S3627" s="294"/>
      <c r="T3627" s="294"/>
      <c r="U3627" s="294"/>
      <c r="V3627" s="294"/>
      <c r="W3627" s="294"/>
      <c r="X3627" s="294"/>
      <c r="Y3627" s="294"/>
      <c r="Z3627" s="294"/>
      <c r="AA3627" s="294"/>
      <c r="AB3627" s="294"/>
      <c r="AC3627" s="294"/>
      <c r="AD3627" s="294"/>
      <c r="AE3627" s="294"/>
      <c r="AF3627" s="294"/>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4"/>
      <c r="C3752" s="294"/>
      <c r="D3752" s="294"/>
      <c r="E3752" s="294"/>
      <c r="F3752" s="294"/>
      <c r="G3752" s="294"/>
      <c r="H3752" s="294"/>
      <c r="I3752" s="294"/>
      <c r="J3752" s="294"/>
      <c r="K3752" s="294"/>
      <c r="L3752" s="294"/>
      <c r="M3752" s="294"/>
      <c r="N3752" s="294"/>
      <c r="O3752" s="294"/>
      <c r="P3752" s="294"/>
      <c r="Q3752" s="294"/>
      <c r="R3752" s="294"/>
      <c r="S3752" s="294"/>
      <c r="T3752" s="294"/>
      <c r="U3752" s="294"/>
      <c r="V3752" s="294"/>
      <c r="W3752" s="294"/>
      <c r="X3752" s="294"/>
      <c r="Y3752" s="294"/>
      <c r="Z3752" s="294"/>
      <c r="AA3752" s="294"/>
      <c r="AB3752" s="294"/>
      <c r="AC3752" s="294"/>
      <c r="AD3752" s="294"/>
      <c r="AE3752" s="294"/>
      <c r="AF3752" s="294"/>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4"/>
      <c r="C3877" s="294"/>
      <c r="D3877" s="294"/>
      <c r="E3877" s="294"/>
      <c r="F3877" s="294"/>
      <c r="G3877" s="294"/>
      <c r="H3877" s="294"/>
      <c r="I3877" s="294"/>
      <c r="J3877" s="294"/>
      <c r="K3877" s="294"/>
      <c r="L3877" s="294"/>
      <c r="M3877" s="294"/>
      <c r="N3877" s="294"/>
      <c r="O3877" s="294"/>
      <c r="P3877" s="294"/>
      <c r="Q3877" s="294"/>
      <c r="R3877" s="294"/>
      <c r="S3877" s="294"/>
      <c r="T3877" s="294"/>
      <c r="U3877" s="294"/>
      <c r="V3877" s="294"/>
      <c r="W3877" s="294"/>
      <c r="X3877" s="294"/>
      <c r="Y3877" s="294"/>
      <c r="Z3877" s="294"/>
      <c r="AA3877" s="294"/>
      <c r="AB3877" s="294"/>
      <c r="AC3877" s="294"/>
      <c r="AD3877" s="294"/>
      <c r="AE3877" s="294"/>
      <c r="AF3877" s="294"/>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4"/>
      <c r="C4002" s="294"/>
      <c r="D4002" s="294"/>
      <c r="E4002" s="294"/>
      <c r="F4002" s="294"/>
      <c r="G4002" s="294"/>
      <c r="H4002" s="294"/>
      <c r="I4002" s="294"/>
      <c r="J4002" s="294"/>
      <c r="K4002" s="294"/>
      <c r="L4002" s="294"/>
      <c r="M4002" s="294"/>
      <c r="N4002" s="294"/>
      <c r="O4002" s="294"/>
      <c r="P4002" s="294"/>
      <c r="Q4002" s="294"/>
      <c r="R4002" s="294"/>
      <c r="S4002" s="294"/>
      <c r="T4002" s="294"/>
      <c r="U4002" s="294"/>
      <c r="V4002" s="294"/>
      <c r="W4002" s="294"/>
      <c r="X4002" s="294"/>
      <c r="Y4002" s="294"/>
      <c r="Z4002" s="294"/>
      <c r="AA4002" s="294"/>
      <c r="AB4002" s="294"/>
      <c r="AC4002" s="294"/>
      <c r="AD4002" s="294"/>
      <c r="AE4002" s="294"/>
      <c r="AF4002" s="294"/>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4"/>
      <c r="C4127" s="294"/>
      <c r="D4127" s="294"/>
      <c r="E4127" s="294"/>
      <c r="F4127" s="294"/>
      <c r="G4127" s="294"/>
      <c r="H4127" s="294"/>
      <c r="I4127" s="294"/>
      <c r="J4127" s="294"/>
      <c r="K4127" s="294"/>
      <c r="L4127" s="294"/>
      <c r="M4127" s="294"/>
      <c r="N4127" s="294"/>
      <c r="O4127" s="294"/>
      <c r="P4127" s="294"/>
      <c r="Q4127" s="294"/>
      <c r="R4127" s="294"/>
      <c r="S4127" s="294"/>
      <c r="T4127" s="294"/>
      <c r="U4127" s="294"/>
      <c r="V4127" s="294"/>
      <c r="W4127" s="294"/>
      <c r="X4127" s="294"/>
      <c r="Y4127" s="294"/>
      <c r="Z4127" s="294"/>
      <c r="AA4127" s="294"/>
      <c r="AB4127" s="294"/>
      <c r="AC4127" s="294"/>
      <c r="AD4127" s="294"/>
      <c r="AE4127" s="294"/>
      <c r="AF4127" s="294"/>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4"/>
      <c r="C4252" s="294"/>
      <c r="D4252" s="294"/>
      <c r="E4252" s="294"/>
      <c r="F4252" s="294"/>
      <c r="G4252" s="294"/>
      <c r="H4252" s="294"/>
      <c r="I4252" s="294"/>
      <c r="J4252" s="294"/>
      <c r="K4252" s="294"/>
      <c r="L4252" s="294"/>
      <c r="M4252" s="294"/>
      <c r="N4252" s="294"/>
      <c r="O4252" s="294"/>
      <c r="P4252" s="294"/>
      <c r="Q4252" s="294"/>
      <c r="R4252" s="294"/>
      <c r="S4252" s="294"/>
      <c r="T4252" s="294"/>
      <c r="U4252" s="294"/>
      <c r="V4252" s="294"/>
      <c r="W4252" s="294"/>
      <c r="X4252" s="294"/>
      <c r="Y4252" s="294"/>
      <c r="Z4252" s="294"/>
      <c r="AA4252" s="294"/>
      <c r="AB4252" s="294"/>
      <c r="AC4252" s="294"/>
      <c r="AD4252" s="294"/>
      <c r="AE4252" s="294"/>
      <c r="AF4252" s="294"/>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4"/>
      <c r="C4377" s="294"/>
      <c r="D4377" s="294"/>
      <c r="E4377" s="294"/>
      <c r="F4377" s="294"/>
      <c r="G4377" s="294"/>
      <c r="H4377" s="294"/>
      <c r="I4377" s="294"/>
      <c r="J4377" s="294"/>
      <c r="K4377" s="294"/>
      <c r="L4377" s="294"/>
      <c r="M4377" s="294"/>
      <c r="N4377" s="294"/>
      <c r="O4377" s="294"/>
      <c r="P4377" s="294"/>
      <c r="Q4377" s="294"/>
      <c r="R4377" s="294"/>
      <c r="S4377" s="294"/>
      <c r="T4377" s="294"/>
      <c r="U4377" s="294"/>
      <c r="V4377" s="294"/>
      <c r="W4377" s="294"/>
      <c r="X4377" s="294"/>
      <c r="Y4377" s="294"/>
      <c r="Z4377" s="294"/>
      <c r="AA4377" s="294"/>
      <c r="AB4377" s="294"/>
      <c r="AC4377" s="294"/>
      <c r="AD4377" s="294"/>
      <c r="AE4377" s="294"/>
      <c r="AF4377" s="294"/>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4"/>
      <c r="C4502" s="294"/>
      <c r="D4502" s="294"/>
      <c r="E4502" s="294"/>
      <c r="F4502" s="294"/>
      <c r="G4502" s="294"/>
      <c r="H4502" s="294"/>
      <c r="I4502" s="294"/>
      <c r="J4502" s="294"/>
      <c r="K4502" s="294"/>
      <c r="L4502" s="294"/>
      <c r="M4502" s="294"/>
      <c r="N4502" s="294"/>
      <c r="O4502" s="294"/>
      <c r="P4502" s="294"/>
      <c r="Q4502" s="294"/>
      <c r="R4502" s="294"/>
      <c r="S4502" s="294"/>
      <c r="T4502" s="294"/>
      <c r="U4502" s="294"/>
      <c r="V4502" s="294"/>
      <c r="W4502" s="294"/>
      <c r="X4502" s="294"/>
      <c r="Y4502" s="294"/>
      <c r="Z4502" s="294"/>
      <c r="AA4502" s="294"/>
      <c r="AB4502" s="294"/>
      <c r="AC4502" s="294"/>
      <c r="AD4502" s="294"/>
      <c r="AE4502" s="294"/>
      <c r="AF4502" s="294"/>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topLeftCell="A13" workbookViewId="0">
      <selection activeCell="A28" sqref="A28:XFD28"/>
    </sheetView>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cols>
    <col min="1" max="1" width="27.28515625" customWidth="1"/>
    <col min="2" max="2" width="88"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5"/>
  <cols>
    <col min="1" max="1" width="25.7109375" customWidth="1"/>
    <col min="2" max="2" width="39" customWidth="1"/>
    <col min="3" max="4" width="0" hidden="1" customWidth="1"/>
    <col min="5" max="5" width="8.4257812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4" customFormat="1">
      <c r="A68" s="284" t="s">
        <v>195</v>
      </c>
      <c r="B68" s="284" t="s">
        <v>2743</v>
      </c>
      <c r="C68" s="284" t="s">
        <v>2742</v>
      </c>
      <c r="D68" s="284" t="s">
        <v>2264</v>
      </c>
      <c r="F68" s="284">
        <v>51.452095</v>
      </c>
      <c r="G68" s="284">
        <v>52.590789999999998</v>
      </c>
      <c r="H68" s="284">
        <v>53.859558</v>
      </c>
      <c r="I68" s="284">
        <v>55.048133999999997</v>
      </c>
      <c r="J68" s="284">
        <v>56.123325000000001</v>
      </c>
      <c r="K68" s="284">
        <v>57.271408000000001</v>
      </c>
      <c r="L68" s="284">
        <v>58.376846</v>
      </c>
      <c r="M68" s="284">
        <v>59.385468000000003</v>
      </c>
      <c r="N68" s="284">
        <v>60.493416000000003</v>
      </c>
      <c r="O68" s="284">
        <v>61.658783</v>
      </c>
      <c r="P68" s="284">
        <v>62.810963000000001</v>
      </c>
      <c r="Q68" s="284">
        <v>64.039214999999999</v>
      </c>
      <c r="R68" s="284">
        <v>65.291115000000005</v>
      </c>
      <c r="S68" s="284">
        <v>66.600005999999993</v>
      </c>
      <c r="T68" s="284">
        <v>67.978249000000005</v>
      </c>
      <c r="U68" s="284">
        <v>69.367919999999998</v>
      </c>
      <c r="V68" s="284">
        <v>70.769645999999995</v>
      </c>
      <c r="W68" s="284">
        <v>72.166388999999995</v>
      </c>
      <c r="X68" s="284">
        <v>73.644210999999999</v>
      </c>
      <c r="Y68" s="284">
        <v>75.112540999999993</v>
      </c>
      <c r="Z68" s="284">
        <v>76.530411000000001</v>
      </c>
      <c r="AA68" s="284">
        <v>77.9422</v>
      </c>
      <c r="AB68" s="284">
        <v>79.349777000000003</v>
      </c>
      <c r="AC68" s="284">
        <v>80.910233000000005</v>
      </c>
      <c r="AD68" s="284">
        <v>82.547386000000003</v>
      </c>
      <c r="AE68" s="284">
        <v>84.153701999999996</v>
      </c>
      <c r="AF68" s="284">
        <v>85.759247000000002</v>
      </c>
      <c r="AG68" s="285">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4" customFormat="1">
      <c r="A7" s="284" t="s">
        <v>195</v>
      </c>
      <c r="B7" s="284" t="s">
        <v>3429</v>
      </c>
      <c r="C7" s="284" t="s">
        <v>3428</v>
      </c>
      <c r="D7" s="284" t="s">
        <v>2349</v>
      </c>
      <c r="F7" s="284">
        <v>7961.8115230000003</v>
      </c>
      <c r="G7" s="284">
        <v>8114.1367190000001</v>
      </c>
      <c r="H7" s="284">
        <v>8300.2080079999996</v>
      </c>
      <c r="I7" s="284">
        <v>8472.6796880000002</v>
      </c>
      <c r="J7" s="284">
        <v>8615.5263670000004</v>
      </c>
      <c r="K7" s="284">
        <v>8770.4619139999995</v>
      </c>
      <c r="L7" s="284">
        <v>8906.6884769999997</v>
      </c>
      <c r="M7" s="284">
        <v>9018.9091800000006</v>
      </c>
      <c r="N7" s="284">
        <v>9150.0859380000002</v>
      </c>
      <c r="O7" s="284">
        <v>9291.1201170000004</v>
      </c>
      <c r="P7" s="284">
        <v>9427</v>
      </c>
      <c r="Q7" s="284">
        <v>9577.34375</v>
      </c>
      <c r="R7" s="284">
        <v>9730.7988280000009</v>
      </c>
      <c r="S7" s="284">
        <v>9894.3769530000009</v>
      </c>
      <c r="T7" s="284">
        <v>10070.627930000001</v>
      </c>
      <c r="U7" s="284">
        <v>10247.341796999999</v>
      </c>
      <c r="V7" s="284">
        <v>10424.302734000001</v>
      </c>
      <c r="W7" s="284">
        <v>10598.201171999999</v>
      </c>
      <c r="X7" s="284">
        <v>10787.068359000001</v>
      </c>
      <c r="Y7" s="284">
        <v>10971.892578000001</v>
      </c>
      <c r="Z7" s="284">
        <v>11144.199219</v>
      </c>
      <c r="AA7" s="284">
        <v>11313.208984000001</v>
      </c>
      <c r="AB7" s="284">
        <v>11479.341796999999</v>
      </c>
      <c r="AC7" s="284">
        <v>11674.663086</v>
      </c>
      <c r="AD7" s="284">
        <v>11883.263671999999</v>
      </c>
      <c r="AE7" s="284">
        <v>12083.059569999999</v>
      </c>
      <c r="AF7" s="284">
        <v>12280.137694999999</v>
      </c>
      <c r="AG7" s="285">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4" customFormat="1">
      <c r="A76" s="284" t="s">
        <v>195</v>
      </c>
      <c r="B76" s="284" t="s">
        <v>3293</v>
      </c>
      <c r="C76" s="284" t="s">
        <v>3292</v>
      </c>
      <c r="D76" s="284" t="s">
        <v>2349</v>
      </c>
      <c r="F76" s="284">
        <v>6646.0996089999999</v>
      </c>
      <c r="G76" s="284">
        <v>6787.3227539999998</v>
      </c>
      <c r="H76" s="284">
        <v>6959.5649409999996</v>
      </c>
      <c r="I76" s="284">
        <v>7119.3955079999996</v>
      </c>
      <c r="J76" s="284">
        <v>7251.236328</v>
      </c>
      <c r="K76" s="284">
        <v>7393.5234380000002</v>
      </c>
      <c r="L76" s="284">
        <v>7517.5341799999997</v>
      </c>
      <c r="M76" s="284">
        <v>7618.9179690000001</v>
      </c>
      <c r="N76" s="284">
        <v>7737.2568359999996</v>
      </c>
      <c r="O76" s="284">
        <v>7864.2241210000002</v>
      </c>
      <c r="P76" s="284">
        <v>7986.0410160000001</v>
      </c>
      <c r="Q76" s="284">
        <v>8120.8369140000004</v>
      </c>
      <c r="R76" s="284">
        <v>8258.1699219999991</v>
      </c>
      <c r="S76" s="284">
        <v>8404.5097659999992</v>
      </c>
      <c r="T76" s="284">
        <v>8562.2236329999996</v>
      </c>
      <c r="U76" s="284">
        <v>8720.0830079999996</v>
      </c>
      <c r="V76" s="284">
        <v>8877.8691409999992</v>
      </c>
      <c r="W76" s="284">
        <v>9032.5605469999991</v>
      </c>
      <c r="X76" s="284">
        <v>9200.7851559999999</v>
      </c>
      <c r="Y76" s="284">
        <v>9365.0214840000008</v>
      </c>
      <c r="Z76" s="284">
        <v>9517.4570309999999</v>
      </c>
      <c r="AA76" s="284">
        <v>9666.5917969999991</v>
      </c>
      <c r="AB76" s="284">
        <v>9812.8144530000009</v>
      </c>
      <c r="AC76" s="284">
        <v>9985.6748050000006</v>
      </c>
      <c r="AD76" s="284">
        <v>10170.505859000001</v>
      </c>
      <c r="AE76" s="284">
        <v>10346.943359000001</v>
      </c>
      <c r="AF76" s="284">
        <v>10520.594727</v>
      </c>
      <c r="AG76" s="285">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topLeftCell="A3" workbookViewId="0">
      <selection activeCell="A5" sqref="A5:XFD5"/>
    </sheetView>
  </sheetViews>
  <sheetFormatPr defaultRowHeight="15"/>
  <cols>
    <col min="1" max="1" width="19.42578125" customWidth="1"/>
    <col min="2" max="2" width="10"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2">
        <v>5.05863E-5</v>
      </c>
      <c r="E6" s="292">
        <v>5.05863E-5</v>
      </c>
      <c r="F6" s="292">
        <v>5.05863E-5</v>
      </c>
      <c r="G6">
        <v>0</v>
      </c>
      <c r="H6">
        <v>0</v>
      </c>
      <c r="I6">
        <v>1.5175900000000001E-4</v>
      </c>
    </row>
    <row r="7" spans="1:9">
      <c r="B7" t="s">
        <v>8</v>
      </c>
      <c r="C7" s="292">
        <v>3.9768799999999998E-5</v>
      </c>
      <c r="D7">
        <v>0</v>
      </c>
      <c r="E7" s="292">
        <v>1.2375600000000001E-5</v>
      </c>
      <c r="F7" s="292">
        <v>1.2375600000000001E-5</v>
      </c>
      <c r="G7">
        <v>0</v>
      </c>
      <c r="H7">
        <v>0</v>
      </c>
      <c r="I7" s="292">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2">
        <v>7.0204850469879831E-5</v>
      </c>
      <c r="E12">
        <v>1.0066053377187421E-4</v>
      </c>
      <c r="F12" s="292">
        <v>7.8079341843850301E-5</v>
      </c>
      <c r="G12">
        <v>1.7525323807361898E-4</v>
      </c>
      <c r="H12" s="292">
        <v>5.5270584840087177E-5</v>
      </c>
      <c r="I12" s="292">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workbookViewId="0">
      <selection activeCell="A9" sqref="A9:XFD9"/>
    </sheetView>
  </sheetViews>
  <sheetFormatPr defaultRowHeight="15"/>
  <cols>
    <col min="1" max="1" width="27.14062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topLeftCell="A21" workbookViewId="0">
      <selection activeCell="A46" sqref="A46:XFD46"/>
    </sheetView>
  </sheetViews>
  <sheetFormatPr defaultRowHeight="15"/>
  <cols>
    <col min="1" max="1" width="29" customWidth="1"/>
    <col min="2" max="2" width="21.4257812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9"/>
    </row>
    <row r="11" spans="1:33">
      <c r="A11" t="s">
        <v>3921</v>
      </c>
      <c r="B11" s="280">
        <v>0.32500000000000001</v>
      </c>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c r="AA11" s="280"/>
      <c r="AB11" s="280"/>
      <c r="AC11" s="280"/>
      <c r="AD11" s="280"/>
      <c r="AE11" s="280"/>
      <c r="AF11" s="280"/>
      <c r="AG11" s="280"/>
    </row>
    <row r="12" spans="1:33">
      <c r="A12" t="s">
        <v>3922</v>
      </c>
      <c r="B12" s="280">
        <v>0.95</v>
      </c>
      <c r="C12" s="280"/>
      <c r="D12" s="280"/>
      <c r="E12" s="280"/>
      <c r="F12" s="280"/>
      <c r="G12" s="280"/>
      <c r="H12" s="280"/>
      <c r="I12" s="280"/>
      <c r="J12" s="280"/>
      <c r="K12" s="280"/>
      <c r="L12" s="280"/>
      <c r="M12" s="280"/>
      <c r="N12" s="280"/>
      <c r="O12" s="280"/>
      <c r="P12" s="280"/>
      <c r="Q12" s="280"/>
      <c r="R12" s="280"/>
      <c r="S12" s="280"/>
      <c r="T12" s="280"/>
      <c r="U12" s="280"/>
      <c r="V12" s="280"/>
      <c r="W12" s="280"/>
      <c r="X12" s="280"/>
      <c r="Y12" s="280"/>
      <c r="Z12" s="280"/>
      <c r="AA12" s="280"/>
      <c r="AB12" s="280"/>
      <c r="AC12" s="280"/>
      <c r="AD12" s="280"/>
      <c r="AE12" s="280"/>
      <c r="AF12" s="280"/>
      <c r="AG12" s="280"/>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1">
        <v>0.74492317701702737</v>
      </c>
      <c r="B17" t="s">
        <v>3925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5"/>
  <cols>
    <col min="1" max="1" width="51" customWidth="1"/>
    <col min="2" max="2" width="22.85546875" bestFit="1" customWidth="1"/>
  </cols>
  <sheetData>
    <row r="2" spans="1:4">
      <c r="A2" s="290" t="s">
        <v>3938</v>
      </c>
      <c r="B2" s="291"/>
      <c r="C2" s="291"/>
      <c r="D2" s="291"/>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9">
        <v>1113.9000000000001</v>
      </c>
      <c r="D8" s="289">
        <v>1367.5</v>
      </c>
    </row>
    <row r="9" spans="1:4">
      <c r="A9" t="s">
        <v>3931</v>
      </c>
    </row>
    <row r="11" spans="1:4">
      <c r="A11" s="290" t="s">
        <v>3939</v>
      </c>
      <c r="B11" s="290"/>
      <c r="C11" s="290"/>
      <c r="D11" s="290"/>
    </row>
    <row r="13" spans="1:4">
      <c r="A13" t="s">
        <v>3940</v>
      </c>
      <c r="B13" s="292">
        <f>SUM('AEO 2023 Table 7'!C62:C63)*10^15</f>
        <v>1033266999999999.9</v>
      </c>
    </row>
    <row r="15" spans="1:4">
      <c r="A15" s="290" t="s">
        <v>3941</v>
      </c>
      <c r="B15" s="290"/>
      <c r="C15" s="290"/>
      <c r="D15" s="290"/>
    </row>
    <row r="16" spans="1:4">
      <c r="A16" t="s">
        <v>3738</v>
      </c>
      <c r="B16" s="292">
        <f>B13</f>
        <v>1033266999999999.9</v>
      </c>
    </row>
    <row r="17" spans="1:2">
      <c r="A17" t="s">
        <v>3942</v>
      </c>
      <c r="B17" s="292">
        <f>SUM(D6:D7)*10^12</f>
        <v>422000000000000</v>
      </c>
    </row>
    <row r="18" spans="1:2">
      <c r="A18" t="s">
        <v>3943</v>
      </c>
      <c r="B18" s="292">
        <f>B16-B17</f>
        <v>611266999999999.88</v>
      </c>
    </row>
    <row r="19" spans="1:2">
      <c r="A19" t="s">
        <v>3944</v>
      </c>
      <c r="B19" s="125">
        <f>B18/B16</f>
        <v>0.59158668572595463</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topLeftCell="A20" workbookViewId="0">
      <selection activeCell="A39" sqref="A39"/>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A2" s="8"/>
      <c r="B2" s="8" t="s">
        <v>189</v>
      </c>
      <c r="C2" s="5">
        <v>2024</v>
      </c>
    </row>
    <row r="3" spans="1:4">
      <c r="A3" t="s">
        <v>3885</v>
      </c>
      <c r="B3" t="s">
        <v>4</v>
      </c>
      <c r="C3" s="6">
        <f>INDEX('AEO 2025 Table 7'!9:9,MATCH(C2,'AEO 2025 Table 7'!5:5,0))*1000000000/SUM('SYVbT-passenger'!B2:H2)</f>
        <v>11353.892430019025</v>
      </c>
      <c r="D3" s="125"/>
    </row>
    <row r="4" spans="1:4">
      <c r="A4" t="s">
        <v>3887</v>
      </c>
      <c r="B4" t="s">
        <v>5</v>
      </c>
      <c r="C4" s="6">
        <f>SUM('NTS 1-40'!AO12,'NTS 1-40'!AO14,'NTS 1-40'!AO18,'NTS 1-40'!AK20)*10^6/SUM('SYVbT-passenger'!B3:H3)/'AVLo-passengers'!B3*'Calibration multiplier'!B6</f>
        <v>16360.697127270498</v>
      </c>
      <c r="D4" s="125"/>
    </row>
    <row r="5" spans="1:4">
      <c r="B5" t="s">
        <v>6</v>
      </c>
      <c r="C5" s="293">
        <f>(SUM('AEO 2025 Table 47'!F31)*10^9)/'SYVbT-passenger'!E4/'AVLo-passengers'!C4</f>
        <v>1038832.635227542</v>
      </c>
      <c r="D5" s="278"/>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8796.9039565577605</v>
      </c>
      <c r="D8" s="125"/>
    </row>
    <row r="9" spans="1:4">
      <c r="C9" s="6"/>
    </row>
    <row r="10" spans="1:4" s="146" customFormat="1">
      <c r="A10" s="145"/>
      <c r="B10" s="145" t="s">
        <v>3882</v>
      </c>
    </row>
    <row r="11" spans="1:4" ht="30">
      <c r="A11" s="8"/>
      <c r="B11" s="8" t="s">
        <v>189</v>
      </c>
      <c r="C11" s="1">
        <v>2024</v>
      </c>
    </row>
    <row r="12" spans="1:4">
      <c r="A12" t="s">
        <v>3890</v>
      </c>
      <c r="B12" t="s">
        <v>4</v>
      </c>
      <c r="C12" s="6">
        <f>(INDEX('AEO 2025 Table 7'!10:10,MATCH(C11,'AEO 2025 Table 7'!5:5,0))+
INDEX('AEO 2025 Table 49'!21:21,MATCH(C11,'AEO 2025 Table 49'!5:5,0))+
INDEX('AEO 2025 Table 49'!35:35,MATCH(C11,'AEO 2025 Table 49'!5:5,0)))*1000000000/SUM('SYVbT-freight'!$B$2:$H$2)</f>
        <v>9916.3869272760912</v>
      </c>
    </row>
    <row r="13" spans="1:4">
      <c r="A13" t="s">
        <v>3890</v>
      </c>
      <c r="B13" t="s">
        <v>5</v>
      </c>
      <c r="C13" s="6">
        <f>(INDEX('AEO 2025 Table 49'!49:49,MATCH(C11,'AEO 2025 Table 49'!5:5,0)))*1000000000/SUM('SYVbT-freight'!$B$3:$H$3)</f>
        <v>35195.270297278214</v>
      </c>
    </row>
    <row r="14" spans="1:4">
      <c r="B14" t="s">
        <v>6</v>
      </c>
      <c r="C14" s="293">
        <f>('AEO 2025 Table 47'!F68*10^9)/'SYVbT-freight'!E4/'AVLo-freight'!B4</f>
        <v>1146274.4829554358</v>
      </c>
    </row>
    <row r="15" spans="1:4">
      <c r="A15" t="s">
        <v>3890</v>
      </c>
      <c r="B15" t="s">
        <v>7</v>
      </c>
      <c r="C15" s="6">
        <f>INDEX('AEO 2025 Table 7'!18:18,MATCH(C11,'AEO 2025 Table 7'!5:5,0))*1000000000/'SYVbT-freight'!E5/'AVLo-freight'!B5</f>
        <v>17004.703401126964</v>
      </c>
    </row>
    <row r="16" spans="1:4">
      <c r="A16" t="s">
        <v>3890</v>
      </c>
      <c r="B16" t="s">
        <v>8</v>
      </c>
      <c r="C16" s="6">
        <f>SUM('AEO 2025 Table 7'!F51:F52)*10^15*'intl shipping adjustment'!$B$19*syfafe!$F$16/'SYVbT-freight'!E6/'AVLo-freight'!B6</f>
        <v>7513091.8771984363</v>
      </c>
      <c r="D16" s="131"/>
    </row>
    <row r="17" spans="1:30">
      <c r="B17" t="s">
        <v>9</v>
      </c>
      <c r="C17" s="6">
        <v>0</v>
      </c>
    </row>
    <row r="19" spans="1:30" s="146" customFormat="1">
      <c r="A19" s="145"/>
      <c r="B19" s="145" t="s">
        <v>3883</v>
      </c>
    </row>
    <row r="20" spans="1:30" ht="30">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D21</f>
        <v>11353.892430019025</v>
      </c>
      <c r="D21" s="6">
        <f>C3</f>
        <v>11353.892430019025</v>
      </c>
      <c r="E21" s="6">
        <f>INDEX('AEO 2026 Table 7'!9:9,MATCH(E20,'AEO 2026 Table 7'!5:5,0))*1000000000/(INDEX('AEO 2026 Table 39'!46:46,MATCH(E20,'AEO 2026 Table 39'!5:5,0))*10^6)</f>
        <v>10517.545916619054</v>
      </c>
      <c r="F21" s="6">
        <f>INDEX('AEO 2026 Table 7'!9:9,MATCH(F20,'AEO 2026 Table 7'!5:5,0))*1000000000/(INDEX('AEO 2026 Table 39'!46:46,MATCH(F20,'AEO 2026 Table 39'!5:5,0))*10^6)</f>
        <v>10488.262212623968</v>
      </c>
      <c r="G21" s="6">
        <f>INDEX('AEO 2026 Table 7'!9:9,MATCH(G20,'AEO 2026 Table 7'!5:5,0))*1000000000/(INDEX('AEO 2026 Table 39'!46:46,MATCH(G20,'AEO 2026 Table 39'!5:5,0))*10^6)</f>
        <v>10460.640544722053</v>
      </c>
      <c r="H21" s="6">
        <f>INDEX('AEO 2026 Table 7'!9:9,MATCH(H20,'AEO 2026 Table 7'!5:5,0))*1000000000/(INDEX('AEO 2026 Table 39'!46:46,MATCH(H20,'AEO 2026 Table 39'!5:5,0))*10^6)</f>
        <v>10398.703572103448</v>
      </c>
      <c r="I21" s="6">
        <f>INDEX('AEO 2026 Table 7'!9:9,MATCH(I20,'AEO 2026 Table 7'!5:5,0))*1000000000/(INDEX('AEO 2026 Table 39'!46:46,MATCH(I20,'AEO 2026 Table 39'!5:5,0))*10^6)</f>
        <v>10326.586117678871</v>
      </c>
      <c r="J21" s="6">
        <f>INDEX('AEO 2026 Table 7'!9:9,MATCH(J20,'AEO 2026 Table 7'!5:5,0))*1000000000/(INDEX('AEO 2026 Table 39'!46:46,MATCH(J20,'AEO 2026 Table 39'!5:5,0))*10^6)</f>
        <v>10236.687396983154</v>
      </c>
      <c r="K21" s="6">
        <f>INDEX('AEO 2026 Table 7'!9:9,MATCH(K20,'AEO 2026 Table 7'!5:5,0))*1000000000/(INDEX('AEO 2026 Table 39'!46:46,MATCH(K20,'AEO 2026 Table 39'!5:5,0))*10^6)</f>
        <v>10141.162878376108</v>
      </c>
      <c r="L21" s="6">
        <f>INDEX('AEO 2026 Table 7'!9:9,MATCH(L20,'AEO 2026 Table 7'!5:5,0))*1000000000/(INDEX('AEO 2026 Table 39'!46:46,MATCH(L20,'AEO 2026 Table 39'!5:5,0))*10^6)</f>
        <v>10050.631838011213</v>
      </c>
      <c r="M21" s="6">
        <f>INDEX('AEO 2026 Table 7'!9:9,MATCH(M20,'AEO 2026 Table 7'!5:5,0))*1000000000/(INDEX('AEO 2026 Table 39'!46:46,MATCH(M20,'AEO 2026 Table 39'!5:5,0))*10^6)</f>
        <v>9948.1367564889351</v>
      </c>
      <c r="N21" s="6">
        <f>INDEX('AEO 2026 Table 7'!9:9,MATCH(N20,'AEO 2026 Table 7'!5:5,0))*1000000000/(INDEX('AEO 2026 Table 39'!46:46,MATCH(N20,'AEO 2026 Table 39'!5:5,0))*10^6)</f>
        <v>9859.3424585373432</v>
      </c>
      <c r="O21" s="6">
        <f>INDEX('AEO 2026 Table 7'!9:9,MATCH(O20,'AEO 2026 Table 7'!5:5,0))*1000000000/(INDEX('AEO 2026 Table 39'!46:46,MATCH(O20,'AEO 2026 Table 39'!5:5,0))*10^6)</f>
        <v>9767.3978508331747</v>
      </c>
      <c r="P21" s="6">
        <f>INDEX('AEO 2026 Table 7'!9:9,MATCH(P20,'AEO 2026 Table 7'!5:5,0))*1000000000/(INDEX('AEO 2026 Table 39'!46:46,MATCH(P20,'AEO 2026 Table 39'!5:5,0))*10^6)</f>
        <v>9694.3066759309477</v>
      </c>
      <c r="Q21" s="6">
        <f>INDEX('AEO 2026 Table 7'!9:9,MATCH(Q20,'AEO 2026 Table 7'!5:5,0))*1000000000/(INDEX('AEO 2026 Table 39'!46:46,MATCH(Q20,'AEO 2026 Table 39'!5:5,0))*10^6)</f>
        <v>9628.1084678015559</v>
      </c>
      <c r="R21" s="6">
        <f>INDEX('AEO 2026 Table 7'!9:9,MATCH(R20,'AEO 2026 Table 7'!5:5,0))*1000000000/(INDEX('AEO 2026 Table 39'!46:46,MATCH(R20,'AEO 2026 Table 39'!5:5,0))*10^6)</f>
        <v>9564.8527684194341</v>
      </c>
      <c r="S21" s="6">
        <f>INDEX('AEO 2026 Table 7'!9:9,MATCH(S20,'AEO 2026 Table 7'!5:5,0))*1000000000/(INDEX('AEO 2026 Table 39'!46:46,MATCH(S20,'AEO 2026 Table 39'!5:5,0))*10^6)</f>
        <v>9499.8261412069387</v>
      </c>
      <c r="T21" s="6">
        <f>INDEX('AEO 2026 Table 7'!9:9,MATCH(T20,'AEO 2026 Table 7'!5:5,0))*1000000000/(INDEX('AEO 2026 Table 39'!46:46,MATCH(T20,'AEO 2026 Table 39'!5:5,0))*10^6)</f>
        <v>9440.1816914870324</v>
      </c>
      <c r="U21" s="6">
        <f>INDEX('AEO 2026 Table 7'!9:9,MATCH(U20,'AEO 2026 Table 7'!5:5,0))*1000000000/(INDEX('AEO 2026 Table 39'!46:46,MATCH(U20,'AEO 2026 Table 39'!5:5,0))*10^6)</f>
        <v>9379.5822867708957</v>
      </c>
      <c r="V21" s="6">
        <f>INDEX('AEO 2026 Table 7'!9:9,MATCH(V20,'AEO 2026 Table 7'!5:5,0))*1000000000/(INDEX('AEO 2026 Table 39'!46:46,MATCH(V20,'AEO 2026 Table 39'!5:5,0))*10^6)</f>
        <v>9324.7535719962962</v>
      </c>
      <c r="W21" s="6">
        <f>INDEX('AEO 2026 Table 7'!9:9,MATCH(W20,'AEO 2026 Table 7'!5:5,0))*1000000000/(INDEX('AEO 2026 Table 39'!46:46,MATCH(W20,'AEO 2026 Table 39'!5:5,0))*10^6)</f>
        <v>9273.9955121978128</v>
      </c>
      <c r="X21" s="6">
        <f>INDEX('AEO 2026 Table 7'!9:9,MATCH(X20,'AEO 2026 Table 7'!5:5,0))*1000000000/(INDEX('AEO 2026 Table 39'!46:46,MATCH(X20,'AEO 2026 Table 39'!5:5,0))*10^6)</f>
        <v>9231.9646645545563</v>
      </c>
      <c r="Y21" s="6">
        <f>INDEX('AEO 2026 Table 7'!9:9,MATCH(Y20,'AEO 2026 Table 7'!5:5,0))*1000000000/(INDEX('AEO 2026 Table 39'!46:46,MATCH(Y20,'AEO 2026 Table 39'!5:5,0))*10^6)</f>
        <v>9195.1042853002127</v>
      </c>
      <c r="Z21" s="6">
        <f>INDEX('AEO 2026 Table 7'!9:9,MATCH(Z20,'AEO 2026 Table 7'!5:5,0))*1000000000/(INDEX('AEO 2026 Table 39'!46:46,MATCH(Z20,'AEO 2026 Table 39'!5:5,0))*10^6)</f>
        <v>9163.8853225025578</v>
      </c>
      <c r="AA21" s="6">
        <f>INDEX('AEO 2026 Table 7'!9:9,MATCH(AA20,'AEO 2026 Table 7'!5:5,0))*1000000000/(INDEX('AEO 2026 Table 39'!46:46,MATCH(AA20,'AEO 2026 Table 39'!5:5,0))*10^6)</f>
        <v>9133.1533457285041</v>
      </c>
      <c r="AB21" s="6">
        <f>INDEX('AEO 2026 Table 7'!9:9,MATCH(AB20,'AEO 2026 Table 7'!5:5,0))*1000000000/(INDEX('AEO 2026 Table 39'!46:46,MATCH(AB20,'AEO 2026 Table 39'!5:5,0))*10^6)</f>
        <v>9111.5787302067456</v>
      </c>
      <c r="AC21" s="6">
        <f>INDEX('AEO 2026 Table 7'!9:9,MATCH(AC20,'AEO 2026 Table 7'!5:5,0))*1000000000/(INDEX('AEO 2026 Table 39'!46:46,MATCH(AC20,'AEO 2026 Table 39'!5:5,0))*10^6)</f>
        <v>9095.4822184389359</v>
      </c>
      <c r="AD21" s="6">
        <f>INDEX('AEO 2026 Table 7'!9:9,MATCH(AD20,'AEO 2026 Table 7'!5:5,0))*1000000000/(INDEX('AEO 2026 Table 39'!46:46,MATCH(AD20,'AEO 2026 Table 39'!5:5,0))*10^6)</f>
        <v>9092.3197825409625</v>
      </c>
    </row>
    <row r="22" spans="1:30">
      <c r="A22" t="s">
        <v>3887</v>
      </c>
      <c r="B22" t="s">
        <v>5</v>
      </c>
      <c r="C22" s="6">
        <f t="shared" ref="C22:C26" si="0">C4</f>
        <v>16360.697127270498</v>
      </c>
      <c r="D22" s="6">
        <f t="shared" ref="D22:D26" si="1">C4</f>
        <v>16360.697127270498</v>
      </c>
      <c r="E22" s="6">
        <f t="shared" ref="E22:AD23" si="2">D22</f>
        <v>16360.697127270498</v>
      </c>
      <c r="F22" s="6">
        <f t="shared" si="2"/>
        <v>16360.697127270498</v>
      </c>
      <c r="G22" s="6">
        <f t="shared" si="2"/>
        <v>16360.697127270498</v>
      </c>
      <c r="H22" s="6">
        <f t="shared" si="2"/>
        <v>16360.697127270498</v>
      </c>
      <c r="I22" s="6">
        <f t="shared" si="2"/>
        <v>16360.697127270498</v>
      </c>
      <c r="J22" s="6">
        <f t="shared" si="2"/>
        <v>16360.697127270498</v>
      </c>
      <c r="K22" s="6">
        <f t="shared" si="2"/>
        <v>16360.697127270498</v>
      </c>
      <c r="L22" s="6">
        <f t="shared" si="2"/>
        <v>16360.697127270498</v>
      </c>
      <c r="M22" s="6">
        <f t="shared" si="2"/>
        <v>16360.697127270498</v>
      </c>
      <c r="N22" s="6">
        <f t="shared" si="2"/>
        <v>16360.697127270498</v>
      </c>
      <c r="O22" s="6">
        <f t="shared" si="2"/>
        <v>16360.697127270498</v>
      </c>
      <c r="P22" s="6">
        <f t="shared" si="2"/>
        <v>16360.697127270498</v>
      </c>
      <c r="Q22" s="6">
        <f t="shared" si="2"/>
        <v>16360.697127270498</v>
      </c>
      <c r="R22" s="6">
        <f t="shared" si="2"/>
        <v>16360.697127270498</v>
      </c>
      <c r="S22" s="6">
        <f t="shared" si="2"/>
        <v>16360.697127270498</v>
      </c>
      <c r="T22" s="6">
        <f t="shared" si="2"/>
        <v>16360.697127270498</v>
      </c>
      <c r="U22" s="6">
        <f t="shared" si="2"/>
        <v>16360.697127270498</v>
      </c>
      <c r="V22" s="6">
        <f t="shared" si="2"/>
        <v>16360.697127270498</v>
      </c>
      <c r="W22" s="6">
        <f t="shared" si="2"/>
        <v>16360.697127270498</v>
      </c>
      <c r="X22" s="6">
        <f t="shared" si="2"/>
        <v>16360.697127270498</v>
      </c>
      <c r="Y22" s="6">
        <f t="shared" si="2"/>
        <v>16360.697127270498</v>
      </c>
      <c r="Z22" s="6">
        <f t="shared" si="2"/>
        <v>16360.697127270498</v>
      </c>
      <c r="AA22" s="6">
        <f t="shared" si="2"/>
        <v>16360.697127270498</v>
      </c>
      <c r="AB22" s="6">
        <f t="shared" si="2"/>
        <v>16360.697127270498</v>
      </c>
      <c r="AC22" s="6">
        <f t="shared" si="2"/>
        <v>16360.697127270498</v>
      </c>
      <c r="AD22" s="6">
        <f t="shared" si="2"/>
        <v>16360.697127270498</v>
      </c>
    </row>
    <row r="23" spans="1:30">
      <c r="A23" t="s">
        <v>3890</v>
      </c>
      <c r="B23" t="s">
        <v>6</v>
      </c>
      <c r="C23" s="6">
        <f>C5</f>
        <v>1038832.635227542</v>
      </c>
      <c r="D23" s="6">
        <f t="shared" si="1"/>
        <v>1038832.635227542</v>
      </c>
      <c r="E23" s="6">
        <f>D23</f>
        <v>1038832.635227542</v>
      </c>
      <c r="F23" s="6">
        <f t="shared" si="2"/>
        <v>1038832.635227542</v>
      </c>
      <c r="G23" s="6">
        <f t="shared" si="2"/>
        <v>1038832.635227542</v>
      </c>
      <c r="H23" s="6">
        <f t="shared" si="2"/>
        <v>1038832.635227542</v>
      </c>
      <c r="I23" s="6">
        <f t="shared" si="2"/>
        <v>1038832.635227542</v>
      </c>
      <c r="J23" s="6">
        <f t="shared" si="2"/>
        <v>1038832.635227542</v>
      </c>
      <c r="K23" s="6">
        <f t="shared" si="2"/>
        <v>1038832.635227542</v>
      </c>
      <c r="L23" s="6">
        <f t="shared" si="2"/>
        <v>1038832.635227542</v>
      </c>
      <c r="M23" s="6">
        <f t="shared" si="2"/>
        <v>1038832.635227542</v>
      </c>
      <c r="N23" s="6">
        <f t="shared" si="2"/>
        <v>1038832.635227542</v>
      </c>
      <c r="O23" s="6">
        <f t="shared" si="2"/>
        <v>1038832.635227542</v>
      </c>
      <c r="P23" s="6">
        <f t="shared" si="2"/>
        <v>1038832.635227542</v>
      </c>
      <c r="Q23" s="6">
        <f t="shared" si="2"/>
        <v>1038832.635227542</v>
      </c>
      <c r="R23" s="6">
        <f t="shared" si="2"/>
        <v>1038832.635227542</v>
      </c>
      <c r="S23" s="6">
        <f t="shared" si="2"/>
        <v>1038832.635227542</v>
      </c>
      <c r="T23" s="6">
        <f t="shared" si="2"/>
        <v>1038832.635227542</v>
      </c>
      <c r="U23" s="6">
        <f t="shared" si="2"/>
        <v>1038832.635227542</v>
      </c>
      <c r="V23" s="6">
        <f t="shared" si="2"/>
        <v>1038832.635227542</v>
      </c>
      <c r="W23" s="6">
        <f t="shared" si="2"/>
        <v>1038832.635227542</v>
      </c>
      <c r="X23" s="6">
        <f t="shared" si="2"/>
        <v>1038832.635227542</v>
      </c>
      <c r="Y23" s="6">
        <f t="shared" si="2"/>
        <v>1038832.635227542</v>
      </c>
      <c r="Z23" s="6">
        <f t="shared" si="2"/>
        <v>1038832.635227542</v>
      </c>
      <c r="AA23" s="6">
        <f t="shared" si="2"/>
        <v>1038832.635227542</v>
      </c>
      <c r="AB23" s="6">
        <f t="shared" si="2"/>
        <v>1038832.635227542</v>
      </c>
      <c r="AC23" s="6">
        <f t="shared" si="2"/>
        <v>1038832.635227542</v>
      </c>
      <c r="AD23" s="6">
        <f t="shared" si="2"/>
        <v>1038832.635227542</v>
      </c>
    </row>
    <row r="24" spans="1:30">
      <c r="A24" t="s">
        <v>3908</v>
      </c>
      <c r="B24" t="s">
        <v>7</v>
      </c>
      <c r="C24" s="6">
        <f t="shared" si="0"/>
        <v>395569.47080291971</v>
      </c>
      <c r="D24" s="6">
        <f t="shared" si="1"/>
        <v>395569.47080291971</v>
      </c>
      <c r="E24" s="6">
        <f t="shared" ref="E24:AD24" si="3">D24</f>
        <v>395569.47080291971</v>
      </c>
      <c r="F24" s="6">
        <f t="shared" si="3"/>
        <v>395569.47080291971</v>
      </c>
      <c r="G24" s="6">
        <f t="shared" si="3"/>
        <v>395569.47080291971</v>
      </c>
      <c r="H24" s="6">
        <f t="shared" si="3"/>
        <v>395569.47080291971</v>
      </c>
      <c r="I24" s="6">
        <f t="shared" si="3"/>
        <v>395569.47080291971</v>
      </c>
      <c r="J24" s="6">
        <f t="shared" si="3"/>
        <v>395569.47080291971</v>
      </c>
      <c r="K24" s="6">
        <f t="shared" si="3"/>
        <v>395569.47080291971</v>
      </c>
      <c r="L24" s="6">
        <f t="shared" si="3"/>
        <v>395569.47080291971</v>
      </c>
      <c r="M24" s="6">
        <f t="shared" si="3"/>
        <v>395569.47080291971</v>
      </c>
      <c r="N24" s="6">
        <f t="shared" si="3"/>
        <v>395569.47080291971</v>
      </c>
      <c r="O24" s="6">
        <f t="shared" si="3"/>
        <v>395569.47080291971</v>
      </c>
      <c r="P24" s="6">
        <f t="shared" si="3"/>
        <v>395569.47080291971</v>
      </c>
      <c r="Q24" s="6">
        <f t="shared" si="3"/>
        <v>395569.47080291971</v>
      </c>
      <c r="R24" s="6">
        <f t="shared" si="3"/>
        <v>395569.47080291971</v>
      </c>
      <c r="S24" s="6">
        <f t="shared" si="3"/>
        <v>395569.47080291971</v>
      </c>
      <c r="T24" s="6">
        <f t="shared" si="3"/>
        <v>395569.47080291971</v>
      </c>
      <c r="U24" s="6">
        <f t="shared" si="3"/>
        <v>395569.47080291971</v>
      </c>
      <c r="V24" s="6">
        <f t="shared" si="3"/>
        <v>395569.47080291971</v>
      </c>
      <c r="W24" s="6">
        <f t="shared" si="3"/>
        <v>395569.47080291971</v>
      </c>
      <c r="X24" s="6">
        <f t="shared" si="3"/>
        <v>395569.47080291971</v>
      </c>
      <c r="Y24" s="6">
        <f t="shared" si="3"/>
        <v>395569.47080291971</v>
      </c>
      <c r="Z24" s="6">
        <f t="shared" si="3"/>
        <v>395569.47080291971</v>
      </c>
      <c r="AA24" s="6">
        <f t="shared" si="3"/>
        <v>395569.47080291971</v>
      </c>
      <c r="AB24" s="6">
        <f t="shared" si="3"/>
        <v>395569.47080291971</v>
      </c>
      <c r="AC24" s="6">
        <f t="shared" si="3"/>
        <v>395569.47080291971</v>
      </c>
      <c r="AD24" s="6">
        <f t="shared" si="3"/>
        <v>395569.47080291971</v>
      </c>
    </row>
    <row r="25" spans="1:30">
      <c r="A25" t="s">
        <v>3889</v>
      </c>
      <c r="B25" t="s">
        <v>8</v>
      </c>
      <c r="C25" s="6">
        <f t="shared" si="0"/>
        <v>194.17552144824873</v>
      </c>
      <c r="D25" s="6">
        <f t="shared" si="1"/>
        <v>194.17552144824873</v>
      </c>
      <c r="E25" s="6">
        <f t="shared" ref="E25:AD25" si="4">D25</f>
        <v>194.17552144824873</v>
      </c>
      <c r="F25" s="6">
        <f t="shared" si="4"/>
        <v>194.17552144824873</v>
      </c>
      <c r="G25" s="6">
        <f t="shared" si="4"/>
        <v>194.17552144824873</v>
      </c>
      <c r="H25" s="6">
        <f t="shared" si="4"/>
        <v>194.17552144824873</v>
      </c>
      <c r="I25" s="6">
        <f t="shared" si="4"/>
        <v>194.17552144824873</v>
      </c>
      <c r="J25" s="6">
        <f t="shared" si="4"/>
        <v>194.17552144824873</v>
      </c>
      <c r="K25" s="6">
        <f t="shared" si="4"/>
        <v>194.17552144824873</v>
      </c>
      <c r="L25" s="6">
        <f t="shared" si="4"/>
        <v>194.17552144824873</v>
      </c>
      <c r="M25" s="6">
        <f t="shared" si="4"/>
        <v>194.17552144824873</v>
      </c>
      <c r="N25" s="6">
        <f t="shared" si="4"/>
        <v>194.17552144824873</v>
      </c>
      <c r="O25" s="6">
        <f t="shared" si="4"/>
        <v>194.17552144824873</v>
      </c>
      <c r="P25" s="6">
        <f t="shared" si="4"/>
        <v>194.17552144824873</v>
      </c>
      <c r="Q25" s="6">
        <f t="shared" si="4"/>
        <v>194.17552144824873</v>
      </c>
      <c r="R25" s="6">
        <f t="shared" si="4"/>
        <v>194.17552144824873</v>
      </c>
      <c r="S25" s="6">
        <f t="shared" si="4"/>
        <v>194.17552144824873</v>
      </c>
      <c r="T25" s="6">
        <f t="shared" si="4"/>
        <v>194.17552144824873</v>
      </c>
      <c r="U25" s="6">
        <f t="shared" si="4"/>
        <v>194.17552144824873</v>
      </c>
      <c r="V25" s="6">
        <f t="shared" si="4"/>
        <v>194.17552144824873</v>
      </c>
      <c r="W25" s="6">
        <f t="shared" si="4"/>
        <v>194.17552144824873</v>
      </c>
      <c r="X25" s="6">
        <f t="shared" si="4"/>
        <v>194.17552144824873</v>
      </c>
      <c r="Y25" s="6">
        <f t="shared" si="4"/>
        <v>194.17552144824873</v>
      </c>
      <c r="Z25" s="6">
        <f t="shared" si="4"/>
        <v>194.17552144824873</v>
      </c>
      <c r="AA25" s="6">
        <f t="shared" si="4"/>
        <v>194.17552144824873</v>
      </c>
      <c r="AB25" s="6">
        <f t="shared" si="4"/>
        <v>194.17552144824873</v>
      </c>
      <c r="AC25" s="6">
        <f t="shared" si="4"/>
        <v>194.17552144824873</v>
      </c>
      <c r="AD25" s="6">
        <f t="shared" si="4"/>
        <v>194.17552144824873</v>
      </c>
    </row>
    <row r="26" spans="1:30">
      <c r="A26" t="s">
        <v>3887</v>
      </c>
      <c r="B26" t="s">
        <v>9</v>
      </c>
      <c r="C26" s="6">
        <f t="shared" si="0"/>
        <v>8796.9039565577605</v>
      </c>
      <c r="D26" s="6">
        <f t="shared" si="1"/>
        <v>8796.9039565577605</v>
      </c>
      <c r="E26" s="6">
        <f t="shared" ref="E26:AD26" si="5">D26</f>
        <v>8796.9039565577605</v>
      </c>
      <c r="F26" s="6">
        <f t="shared" si="5"/>
        <v>8796.9039565577605</v>
      </c>
      <c r="G26" s="6">
        <f t="shared" si="5"/>
        <v>8796.9039565577605</v>
      </c>
      <c r="H26" s="6">
        <f t="shared" si="5"/>
        <v>8796.9039565577605</v>
      </c>
      <c r="I26" s="6">
        <f t="shared" si="5"/>
        <v>8796.9039565577605</v>
      </c>
      <c r="J26" s="6">
        <f t="shared" si="5"/>
        <v>8796.9039565577605</v>
      </c>
      <c r="K26" s="6">
        <f t="shared" si="5"/>
        <v>8796.9039565577605</v>
      </c>
      <c r="L26" s="6">
        <f t="shared" si="5"/>
        <v>8796.9039565577605</v>
      </c>
      <c r="M26" s="6">
        <f t="shared" si="5"/>
        <v>8796.9039565577605</v>
      </c>
      <c r="N26" s="6">
        <f t="shared" si="5"/>
        <v>8796.9039565577605</v>
      </c>
      <c r="O26" s="6">
        <f t="shared" si="5"/>
        <v>8796.9039565577605</v>
      </c>
      <c r="P26" s="6">
        <f t="shared" si="5"/>
        <v>8796.9039565577605</v>
      </c>
      <c r="Q26" s="6">
        <f t="shared" si="5"/>
        <v>8796.9039565577605</v>
      </c>
      <c r="R26" s="6">
        <f t="shared" si="5"/>
        <v>8796.9039565577605</v>
      </c>
      <c r="S26" s="6">
        <f t="shared" si="5"/>
        <v>8796.9039565577605</v>
      </c>
      <c r="T26" s="6">
        <f t="shared" si="5"/>
        <v>8796.9039565577605</v>
      </c>
      <c r="U26" s="6">
        <f t="shared" si="5"/>
        <v>8796.9039565577605</v>
      </c>
      <c r="V26" s="6">
        <f t="shared" si="5"/>
        <v>8796.9039565577605</v>
      </c>
      <c r="W26" s="6">
        <f t="shared" si="5"/>
        <v>8796.9039565577605</v>
      </c>
      <c r="X26" s="6">
        <f t="shared" si="5"/>
        <v>8796.9039565577605</v>
      </c>
      <c r="Y26" s="6">
        <f t="shared" si="5"/>
        <v>8796.9039565577605</v>
      </c>
      <c r="Z26" s="6">
        <f t="shared" si="5"/>
        <v>8796.9039565577605</v>
      </c>
      <c r="AA26" s="6">
        <f t="shared" si="5"/>
        <v>8796.9039565577605</v>
      </c>
      <c r="AB26" s="6">
        <f t="shared" si="5"/>
        <v>8796.9039565577605</v>
      </c>
      <c r="AC26" s="6">
        <f t="shared" si="5"/>
        <v>8796.9039565577605</v>
      </c>
      <c r="AD26" s="6">
        <f t="shared" si="5"/>
        <v>8796.9039565577605</v>
      </c>
    </row>
    <row r="28" spans="1:30" s="146" customFormat="1">
      <c r="A28" s="145"/>
      <c r="B28" s="145" t="s">
        <v>3884</v>
      </c>
    </row>
    <row r="29" spans="1:30" ht="30">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9916.3869272760912</v>
      </c>
      <c r="D30" s="6">
        <f>C30</f>
        <v>9916.3869272760912</v>
      </c>
      <c r="E30" s="6">
        <f t="shared" ref="E30:AD31" si="6">D30</f>
        <v>9916.3869272760912</v>
      </c>
      <c r="F30" s="6">
        <f t="shared" si="6"/>
        <v>9916.3869272760912</v>
      </c>
      <c r="G30" s="6">
        <f t="shared" si="6"/>
        <v>9916.3869272760912</v>
      </c>
      <c r="H30" s="6">
        <f t="shared" si="6"/>
        <v>9916.3869272760912</v>
      </c>
      <c r="I30" s="6">
        <f t="shared" si="6"/>
        <v>9916.3869272760912</v>
      </c>
      <c r="J30" s="6">
        <f t="shared" si="6"/>
        <v>9916.3869272760912</v>
      </c>
      <c r="K30" s="6">
        <f t="shared" si="6"/>
        <v>9916.3869272760912</v>
      </c>
      <c r="L30" s="6">
        <f t="shared" si="6"/>
        <v>9916.3869272760912</v>
      </c>
      <c r="M30" s="6">
        <f t="shared" si="6"/>
        <v>9916.3869272760912</v>
      </c>
      <c r="N30" s="6">
        <f t="shared" si="6"/>
        <v>9916.3869272760912</v>
      </c>
      <c r="O30" s="6">
        <f t="shared" si="6"/>
        <v>9916.3869272760912</v>
      </c>
      <c r="P30" s="6">
        <f t="shared" si="6"/>
        <v>9916.3869272760912</v>
      </c>
      <c r="Q30" s="6">
        <f t="shared" si="6"/>
        <v>9916.3869272760912</v>
      </c>
      <c r="R30" s="6">
        <f t="shared" si="6"/>
        <v>9916.3869272760912</v>
      </c>
      <c r="S30" s="6">
        <f t="shared" si="6"/>
        <v>9916.3869272760912</v>
      </c>
      <c r="T30" s="6">
        <f t="shared" si="6"/>
        <v>9916.3869272760912</v>
      </c>
      <c r="U30" s="6">
        <f t="shared" si="6"/>
        <v>9916.3869272760912</v>
      </c>
      <c r="V30" s="6">
        <f t="shared" si="6"/>
        <v>9916.3869272760912</v>
      </c>
      <c r="W30" s="6">
        <f t="shared" si="6"/>
        <v>9916.3869272760912</v>
      </c>
      <c r="X30" s="6">
        <f t="shared" si="6"/>
        <v>9916.3869272760912</v>
      </c>
      <c r="Y30" s="6">
        <f t="shared" si="6"/>
        <v>9916.3869272760912</v>
      </c>
      <c r="Z30" s="6">
        <f t="shared" si="6"/>
        <v>9916.3869272760912</v>
      </c>
      <c r="AA30" s="6">
        <f t="shared" si="6"/>
        <v>9916.3869272760912</v>
      </c>
      <c r="AB30" s="6">
        <f t="shared" si="6"/>
        <v>9916.3869272760912</v>
      </c>
      <c r="AC30" s="6">
        <f t="shared" si="6"/>
        <v>9916.3869272760912</v>
      </c>
      <c r="AD30" s="6">
        <f t="shared" si="6"/>
        <v>9916.3869272760912</v>
      </c>
    </row>
    <row r="31" spans="1:30">
      <c r="A31" t="s">
        <v>3890</v>
      </c>
      <c r="B31" t="s">
        <v>5</v>
      </c>
      <c r="C31" s="6">
        <f t="shared" ref="C31:C35" si="7">C13</f>
        <v>35195.270297278214</v>
      </c>
      <c r="D31" s="6">
        <f>C31</f>
        <v>35195.270297278214</v>
      </c>
      <c r="E31" s="6">
        <f t="shared" si="6"/>
        <v>35195.270297278214</v>
      </c>
      <c r="F31" s="6">
        <f t="shared" si="6"/>
        <v>35195.270297278214</v>
      </c>
      <c r="G31" s="6">
        <f t="shared" si="6"/>
        <v>35195.270297278214</v>
      </c>
      <c r="H31" s="6">
        <f t="shared" si="6"/>
        <v>35195.270297278214</v>
      </c>
      <c r="I31" s="6">
        <f t="shared" si="6"/>
        <v>35195.270297278214</v>
      </c>
      <c r="J31" s="6">
        <f t="shared" si="6"/>
        <v>35195.270297278214</v>
      </c>
      <c r="K31" s="6">
        <f t="shared" si="6"/>
        <v>35195.270297278214</v>
      </c>
      <c r="L31" s="6">
        <f t="shared" si="6"/>
        <v>35195.270297278214</v>
      </c>
      <c r="M31" s="6">
        <f t="shared" si="6"/>
        <v>35195.270297278214</v>
      </c>
      <c r="N31" s="6">
        <f t="shared" si="6"/>
        <v>35195.270297278214</v>
      </c>
      <c r="O31" s="6">
        <f t="shared" si="6"/>
        <v>35195.270297278214</v>
      </c>
      <c r="P31" s="6">
        <f t="shared" si="6"/>
        <v>35195.270297278214</v>
      </c>
      <c r="Q31" s="6">
        <f t="shared" si="6"/>
        <v>35195.270297278214</v>
      </c>
      <c r="R31" s="6">
        <f t="shared" si="6"/>
        <v>35195.270297278214</v>
      </c>
      <c r="S31" s="6">
        <f t="shared" si="6"/>
        <v>35195.270297278214</v>
      </c>
      <c r="T31" s="6">
        <f t="shared" si="6"/>
        <v>35195.270297278214</v>
      </c>
      <c r="U31" s="6">
        <f t="shared" si="6"/>
        <v>35195.270297278214</v>
      </c>
      <c r="V31" s="6">
        <f t="shared" si="6"/>
        <v>35195.270297278214</v>
      </c>
      <c r="W31" s="6">
        <f t="shared" si="6"/>
        <v>35195.270297278214</v>
      </c>
      <c r="X31" s="6">
        <f t="shared" si="6"/>
        <v>35195.270297278214</v>
      </c>
      <c r="Y31" s="6">
        <f t="shared" si="6"/>
        <v>35195.270297278214</v>
      </c>
      <c r="Z31" s="6">
        <f t="shared" si="6"/>
        <v>35195.270297278214</v>
      </c>
      <c r="AA31" s="6">
        <f t="shared" si="6"/>
        <v>35195.270297278214</v>
      </c>
      <c r="AB31" s="6">
        <f t="shared" si="6"/>
        <v>35195.270297278214</v>
      </c>
      <c r="AC31" s="6">
        <f t="shared" si="6"/>
        <v>35195.270297278214</v>
      </c>
      <c r="AD31" s="6">
        <f t="shared" si="6"/>
        <v>35195.270297278214</v>
      </c>
    </row>
    <row r="32" spans="1:30">
      <c r="A32" t="s">
        <v>3909</v>
      </c>
      <c r="B32" t="s">
        <v>6</v>
      </c>
      <c r="C32" s="6">
        <f>C14</f>
        <v>1146274.4829554358</v>
      </c>
      <c r="D32" s="6">
        <f>C32</f>
        <v>1146274.4829554358</v>
      </c>
      <c r="E32" s="6">
        <f t="shared" ref="E32:AD32" si="8">D32</f>
        <v>1146274.4829554358</v>
      </c>
      <c r="F32" s="6">
        <f t="shared" si="8"/>
        <v>1146274.4829554358</v>
      </c>
      <c r="G32" s="6">
        <f t="shared" si="8"/>
        <v>1146274.4829554358</v>
      </c>
      <c r="H32" s="6">
        <f t="shared" si="8"/>
        <v>1146274.4829554358</v>
      </c>
      <c r="I32" s="6">
        <f t="shared" si="8"/>
        <v>1146274.4829554358</v>
      </c>
      <c r="J32" s="6">
        <f t="shared" si="8"/>
        <v>1146274.4829554358</v>
      </c>
      <c r="K32" s="6">
        <f t="shared" si="8"/>
        <v>1146274.4829554358</v>
      </c>
      <c r="L32" s="6">
        <f t="shared" si="8"/>
        <v>1146274.4829554358</v>
      </c>
      <c r="M32" s="6">
        <f t="shared" si="8"/>
        <v>1146274.4829554358</v>
      </c>
      <c r="N32" s="6">
        <f t="shared" si="8"/>
        <v>1146274.4829554358</v>
      </c>
      <c r="O32" s="6">
        <f t="shared" si="8"/>
        <v>1146274.4829554358</v>
      </c>
      <c r="P32" s="6">
        <f t="shared" si="8"/>
        <v>1146274.4829554358</v>
      </c>
      <c r="Q32" s="6">
        <f t="shared" si="8"/>
        <v>1146274.4829554358</v>
      </c>
      <c r="R32" s="6">
        <f t="shared" si="8"/>
        <v>1146274.4829554358</v>
      </c>
      <c r="S32" s="6">
        <f t="shared" si="8"/>
        <v>1146274.4829554358</v>
      </c>
      <c r="T32" s="6">
        <f t="shared" si="8"/>
        <v>1146274.4829554358</v>
      </c>
      <c r="U32" s="6">
        <f t="shared" si="8"/>
        <v>1146274.4829554358</v>
      </c>
      <c r="V32" s="6">
        <f t="shared" si="8"/>
        <v>1146274.4829554358</v>
      </c>
      <c r="W32" s="6">
        <f t="shared" si="8"/>
        <v>1146274.4829554358</v>
      </c>
      <c r="X32" s="6">
        <f t="shared" si="8"/>
        <v>1146274.4829554358</v>
      </c>
      <c r="Y32" s="6">
        <f t="shared" si="8"/>
        <v>1146274.4829554358</v>
      </c>
      <c r="Z32" s="6">
        <f t="shared" si="8"/>
        <v>1146274.4829554358</v>
      </c>
      <c r="AA32" s="6">
        <f t="shared" si="8"/>
        <v>1146274.4829554358</v>
      </c>
      <c r="AB32" s="6">
        <f t="shared" si="8"/>
        <v>1146274.4829554358</v>
      </c>
      <c r="AC32" s="6">
        <f t="shared" si="8"/>
        <v>1146274.4829554358</v>
      </c>
      <c r="AD32" s="6">
        <f t="shared" si="8"/>
        <v>1146274.4829554358</v>
      </c>
    </row>
    <row r="33" spans="1:30">
      <c r="A33" t="s">
        <v>3890</v>
      </c>
      <c r="B33" t="s">
        <v>7</v>
      </c>
      <c r="C33" s="6">
        <f t="shared" si="7"/>
        <v>17004.703401126964</v>
      </c>
      <c r="D33" s="6">
        <f t="shared" ref="D33:AD33" si="9">C33</f>
        <v>17004.703401126964</v>
      </c>
      <c r="E33" s="6">
        <f t="shared" si="9"/>
        <v>17004.703401126964</v>
      </c>
      <c r="F33" s="6">
        <f t="shared" si="9"/>
        <v>17004.703401126964</v>
      </c>
      <c r="G33" s="6">
        <f t="shared" si="9"/>
        <v>17004.703401126964</v>
      </c>
      <c r="H33" s="6">
        <f t="shared" si="9"/>
        <v>17004.703401126964</v>
      </c>
      <c r="I33" s="6">
        <f t="shared" si="9"/>
        <v>17004.703401126964</v>
      </c>
      <c r="J33" s="6">
        <f t="shared" si="9"/>
        <v>17004.703401126964</v>
      </c>
      <c r="K33" s="6">
        <f t="shared" si="9"/>
        <v>17004.703401126964</v>
      </c>
      <c r="L33" s="6">
        <f t="shared" si="9"/>
        <v>17004.703401126964</v>
      </c>
      <c r="M33" s="6">
        <f t="shared" si="9"/>
        <v>17004.703401126964</v>
      </c>
      <c r="N33" s="6">
        <f t="shared" si="9"/>
        <v>17004.703401126964</v>
      </c>
      <c r="O33" s="6">
        <f t="shared" si="9"/>
        <v>17004.703401126964</v>
      </c>
      <c r="P33" s="6">
        <f t="shared" si="9"/>
        <v>17004.703401126964</v>
      </c>
      <c r="Q33" s="6">
        <f t="shared" si="9"/>
        <v>17004.703401126964</v>
      </c>
      <c r="R33" s="6">
        <f t="shared" si="9"/>
        <v>17004.703401126964</v>
      </c>
      <c r="S33" s="6">
        <f t="shared" si="9"/>
        <v>17004.703401126964</v>
      </c>
      <c r="T33" s="6">
        <f t="shared" si="9"/>
        <v>17004.703401126964</v>
      </c>
      <c r="U33" s="6">
        <f t="shared" si="9"/>
        <v>17004.703401126964</v>
      </c>
      <c r="V33" s="6">
        <f t="shared" si="9"/>
        <v>17004.703401126964</v>
      </c>
      <c r="W33" s="6">
        <f t="shared" si="9"/>
        <v>17004.703401126964</v>
      </c>
      <c r="X33" s="6">
        <f t="shared" si="9"/>
        <v>17004.703401126964</v>
      </c>
      <c r="Y33" s="6">
        <f t="shared" si="9"/>
        <v>17004.703401126964</v>
      </c>
      <c r="Z33" s="6">
        <f t="shared" si="9"/>
        <v>17004.703401126964</v>
      </c>
      <c r="AA33" s="6">
        <f t="shared" si="9"/>
        <v>17004.703401126964</v>
      </c>
      <c r="AB33" s="6">
        <f t="shared" si="9"/>
        <v>17004.703401126964</v>
      </c>
      <c r="AC33" s="6">
        <f t="shared" si="9"/>
        <v>17004.703401126964</v>
      </c>
      <c r="AD33" s="6">
        <f t="shared" si="9"/>
        <v>17004.703401126964</v>
      </c>
    </row>
    <row r="34" spans="1:30">
      <c r="A34" t="s">
        <v>3890</v>
      </c>
      <c r="B34" t="s">
        <v>8</v>
      </c>
      <c r="C34" s="6">
        <f t="shared" si="7"/>
        <v>7513091.8771984363</v>
      </c>
      <c r="D34" s="6">
        <f t="shared" ref="D34:AD34" si="10">C34</f>
        <v>7513091.8771984363</v>
      </c>
      <c r="E34" s="6">
        <f t="shared" si="10"/>
        <v>7513091.8771984363</v>
      </c>
      <c r="F34" s="6">
        <f t="shared" si="10"/>
        <v>7513091.8771984363</v>
      </c>
      <c r="G34" s="6">
        <f t="shared" si="10"/>
        <v>7513091.8771984363</v>
      </c>
      <c r="H34" s="6">
        <f t="shared" si="10"/>
        <v>7513091.8771984363</v>
      </c>
      <c r="I34" s="6">
        <f t="shared" si="10"/>
        <v>7513091.8771984363</v>
      </c>
      <c r="J34" s="6">
        <f t="shared" si="10"/>
        <v>7513091.8771984363</v>
      </c>
      <c r="K34" s="6">
        <f t="shared" si="10"/>
        <v>7513091.8771984363</v>
      </c>
      <c r="L34" s="6">
        <f t="shared" si="10"/>
        <v>7513091.8771984363</v>
      </c>
      <c r="M34" s="6">
        <f t="shared" si="10"/>
        <v>7513091.8771984363</v>
      </c>
      <c r="N34" s="6">
        <f t="shared" si="10"/>
        <v>7513091.8771984363</v>
      </c>
      <c r="O34" s="6">
        <f t="shared" si="10"/>
        <v>7513091.8771984363</v>
      </c>
      <c r="P34" s="6">
        <f t="shared" si="10"/>
        <v>7513091.8771984363</v>
      </c>
      <c r="Q34" s="6">
        <f t="shared" si="10"/>
        <v>7513091.8771984363</v>
      </c>
      <c r="R34" s="6">
        <f t="shared" si="10"/>
        <v>7513091.8771984363</v>
      </c>
      <c r="S34" s="6">
        <f t="shared" si="10"/>
        <v>7513091.8771984363</v>
      </c>
      <c r="T34" s="6">
        <f t="shared" si="10"/>
        <v>7513091.8771984363</v>
      </c>
      <c r="U34" s="6">
        <f t="shared" si="10"/>
        <v>7513091.8771984363</v>
      </c>
      <c r="V34" s="6">
        <f t="shared" si="10"/>
        <v>7513091.8771984363</v>
      </c>
      <c r="W34" s="6">
        <f t="shared" si="10"/>
        <v>7513091.8771984363</v>
      </c>
      <c r="X34" s="6">
        <f t="shared" si="10"/>
        <v>7513091.8771984363</v>
      </c>
      <c r="Y34" s="6">
        <f t="shared" si="10"/>
        <v>7513091.8771984363</v>
      </c>
      <c r="Z34" s="6">
        <f t="shared" si="10"/>
        <v>7513091.8771984363</v>
      </c>
      <c r="AA34" s="6">
        <f t="shared" si="10"/>
        <v>7513091.8771984363</v>
      </c>
      <c r="AB34" s="6">
        <f t="shared" si="10"/>
        <v>7513091.8771984363</v>
      </c>
      <c r="AC34" s="6">
        <f t="shared" si="10"/>
        <v>7513091.8771984363</v>
      </c>
      <c r="AD34" s="6">
        <f t="shared" si="10"/>
        <v>7513091.8771984363</v>
      </c>
    </row>
    <row r="35" spans="1:30">
      <c r="B35" t="s">
        <v>9</v>
      </c>
      <c r="C35" s="6">
        <f t="shared" si="7"/>
        <v>0</v>
      </c>
      <c r="D35" s="6">
        <f t="shared" ref="D35:AD35" si="11">C35</f>
        <v>0</v>
      </c>
      <c r="E35" s="6">
        <f t="shared" si="11"/>
        <v>0</v>
      </c>
      <c r="F35" s="6">
        <f t="shared" si="11"/>
        <v>0</v>
      </c>
      <c r="G35" s="6">
        <f t="shared" si="11"/>
        <v>0</v>
      </c>
      <c r="H35" s="6">
        <f t="shared" si="11"/>
        <v>0</v>
      </c>
      <c r="I35" s="6">
        <f t="shared" si="11"/>
        <v>0</v>
      </c>
      <c r="J35" s="6">
        <f t="shared" si="11"/>
        <v>0</v>
      </c>
      <c r="K35" s="6">
        <f t="shared" si="11"/>
        <v>0</v>
      </c>
      <c r="L35" s="6">
        <f t="shared" si="11"/>
        <v>0</v>
      </c>
      <c r="M35" s="6">
        <f t="shared" si="11"/>
        <v>0</v>
      </c>
      <c r="N35" s="6">
        <f t="shared" si="11"/>
        <v>0</v>
      </c>
      <c r="O35" s="6">
        <f t="shared" si="11"/>
        <v>0</v>
      </c>
      <c r="P35" s="6">
        <f t="shared" si="11"/>
        <v>0</v>
      </c>
      <c r="Q35" s="6">
        <f t="shared" si="11"/>
        <v>0</v>
      </c>
      <c r="R35" s="6">
        <f t="shared" si="11"/>
        <v>0</v>
      </c>
      <c r="S35" s="6">
        <f t="shared" si="11"/>
        <v>0</v>
      </c>
      <c r="T35" s="6">
        <f t="shared" si="11"/>
        <v>0</v>
      </c>
      <c r="U35" s="6">
        <f t="shared" si="11"/>
        <v>0</v>
      </c>
      <c r="V35" s="6">
        <f t="shared" si="11"/>
        <v>0</v>
      </c>
      <c r="W35" s="6">
        <f t="shared" si="11"/>
        <v>0</v>
      </c>
      <c r="X35" s="6">
        <f t="shared" si="11"/>
        <v>0</v>
      </c>
      <c r="Y35" s="6">
        <f t="shared" si="11"/>
        <v>0</v>
      </c>
      <c r="Z35" s="6">
        <f t="shared" si="11"/>
        <v>0</v>
      </c>
      <c r="AA35" s="6">
        <f t="shared" si="11"/>
        <v>0</v>
      </c>
      <c r="AB35" s="6">
        <f t="shared" si="11"/>
        <v>0</v>
      </c>
      <c r="AC35" s="6">
        <f t="shared" si="11"/>
        <v>0</v>
      </c>
      <c r="AD35" s="6">
        <f t="shared" si="11"/>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B2" sqref="B2"/>
    </sheetView>
  </sheetViews>
  <sheetFormatPr defaultColWidth="9.140625" defaultRowHeight="15"/>
  <cols>
    <col min="1" max="1" width="16.5703125" customWidth="1"/>
    <col min="2" max="2" width="9" customWidth="1"/>
  </cols>
  <sheetData>
    <row r="1" spans="1:2">
      <c r="A1" t="s">
        <v>189</v>
      </c>
      <c r="B1">
        <v>2024</v>
      </c>
    </row>
    <row r="2" spans="1:2">
      <c r="A2" t="s">
        <v>4</v>
      </c>
      <c r="B2" s="6">
        <f>'BAADTbVT-passengers'!B2</f>
        <v>11354</v>
      </c>
    </row>
    <row r="3" spans="1:2">
      <c r="A3" t="s">
        <v>5</v>
      </c>
      <c r="B3" s="6">
        <f>'BAADTbVT-passengers'!B3</f>
        <v>16361</v>
      </c>
    </row>
    <row r="4" spans="1:2">
      <c r="A4" t="s">
        <v>6</v>
      </c>
      <c r="B4" s="6">
        <f>'BAADTbVT-passengers'!B4</f>
        <v>1038833</v>
      </c>
    </row>
    <row r="5" spans="1:2">
      <c r="A5" t="s">
        <v>7</v>
      </c>
      <c r="B5" s="6">
        <f>'BAADTbVT-passengers'!B5</f>
        <v>395569</v>
      </c>
    </row>
    <row r="6" spans="1:2">
      <c r="A6" t="s">
        <v>8</v>
      </c>
      <c r="B6" s="6">
        <f>'BAADTbVT-passengers'!B6</f>
        <v>194</v>
      </c>
    </row>
    <row r="7" spans="1:2">
      <c r="A7" t="s">
        <v>9</v>
      </c>
      <c r="B7" s="6">
        <f>'BAADTbVT-passengers'!B7</f>
        <v>8797</v>
      </c>
    </row>
    <row r="9" spans="1:2">
      <c r="B9" s="6"/>
    </row>
  </sheetData>
  <pageMargins left="0.7" right="0.7" top="0.75" bottom="0.75" header="0.3" footer="0.3"/>
  <pageSetup orientation="portrait" horizontalDpi="1200" verticalDpi="12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election activeCell="B2" sqref="B2:B7"/>
    </sheetView>
  </sheetViews>
  <sheetFormatPr defaultColWidth="9.140625" defaultRowHeight="15"/>
  <cols>
    <col min="1" max="1" width="16.5703125" customWidth="1"/>
    <col min="2" max="2" width="12" bestFit="1" customWidth="1"/>
  </cols>
  <sheetData>
    <row r="1" spans="1:2">
      <c r="A1" t="s">
        <v>189</v>
      </c>
      <c r="B1">
        <f>calcs!C11</f>
        <v>2024</v>
      </c>
    </row>
    <row r="2" spans="1:2">
      <c r="A2" t="s">
        <v>4</v>
      </c>
      <c r="B2" s="6">
        <f>'BAADTbVT-freight'!B2</f>
        <v>9916</v>
      </c>
    </row>
    <row r="3" spans="1:2">
      <c r="A3" t="s">
        <v>5</v>
      </c>
      <c r="B3" s="6">
        <f>'BAADTbVT-freight'!B3</f>
        <v>35195</v>
      </c>
    </row>
    <row r="4" spans="1:2">
      <c r="A4" t="s">
        <v>6</v>
      </c>
      <c r="B4" s="6">
        <f>'BAADTbVT-freight'!B4</f>
        <v>1146274</v>
      </c>
    </row>
    <row r="5" spans="1:2">
      <c r="A5" t="s">
        <v>7</v>
      </c>
      <c r="B5" s="6">
        <f>'BAADTbVT-freight'!B5</f>
        <v>17005</v>
      </c>
    </row>
    <row r="6" spans="1:2">
      <c r="A6" t="s">
        <v>8</v>
      </c>
      <c r="B6" s="6">
        <f>'BAADTbVT-freight'!B6</f>
        <v>7513092</v>
      </c>
    </row>
    <row r="7" spans="1:2">
      <c r="A7" t="s">
        <v>9</v>
      </c>
      <c r="B7" s="6">
        <f>'BAADTbVT-freight'!B7</f>
        <v>0</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C7"/>
  <sheetViews>
    <sheetView tabSelected="1" workbookViewId="0">
      <selection activeCell="C10" sqref="C10"/>
    </sheetView>
  </sheetViews>
  <sheetFormatPr defaultColWidth="9.140625" defaultRowHeight="15"/>
  <cols>
    <col min="1" max="1" width="16.5703125" customWidth="1"/>
  </cols>
  <sheetData>
    <row r="1" spans="1:29">
      <c r="A1" t="s">
        <v>189</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c r="AC1" s="5"/>
    </row>
    <row r="2" spans="1:29">
      <c r="A2" t="s">
        <v>4</v>
      </c>
      <c r="B2" s="6">
        <f>ROUND(calcs!D21,0)</f>
        <v>11354</v>
      </c>
      <c r="C2" s="6">
        <f>ROUND(calcs!E21,0)</f>
        <v>10518</v>
      </c>
      <c r="D2" s="6">
        <f>ROUND(calcs!F21,0)</f>
        <v>10488</v>
      </c>
      <c r="E2" s="6">
        <f>ROUND(calcs!G21,0)</f>
        <v>10461</v>
      </c>
      <c r="F2" s="6">
        <f>ROUND(calcs!H21,0)</f>
        <v>10399</v>
      </c>
      <c r="G2" s="6">
        <f>ROUND(calcs!I21,0)</f>
        <v>10327</v>
      </c>
      <c r="H2" s="6">
        <f>ROUND(calcs!J21,0)</f>
        <v>10237</v>
      </c>
      <c r="I2" s="6">
        <f>ROUND(calcs!K21,0)</f>
        <v>10141</v>
      </c>
      <c r="J2" s="6">
        <f>ROUND(calcs!L21,0)</f>
        <v>10051</v>
      </c>
      <c r="K2" s="6">
        <f>ROUND(calcs!M21,0)</f>
        <v>9948</v>
      </c>
      <c r="L2" s="6">
        <f>ROUND(calcs!N21,0)</f>
        <v>9859</v>
      </c>
      <c r="M2" s="6">
        <f>ROUND(calcs!O21,0)</f>
        <v>9767</v>
      </c>
      <c r="N2" s="6">
        <f>ROUND(calcs!P21,0)</f>
        <v>9694</v>
      </c>
      <c r="O2" s="6">
        <f>ROUND(calcs!Q21,0)</f>
        <v>9628</v>
      </c>
      <c r="P2" s="6">
        <f>ROUND(calcs!R21,0)</f>
        <v>9565</v>
      </c>
      <c r="Q2" s="6">
        <f>ROUND(calcs!S21,0)</f>
        <v>9500</v>
      </c>
      <c r="R2" s="6">
        <f>ROUND(calcs!T21,0)</f>
        <v>9440</v>
      </c>
      <c r="S2" s="6">
        <f>ROUND(calcs!U21,0)</f>
        <v>9380</v>
      </c>
      <c r="T2" s="6">
        <f>ROUND(calcs!V21,0)</f>
        <v>9325</v>
      </c>
      <c r="U2" s="6">
        <f>ROUND(calcs!W21,0)</f>
        <v>9274</v>
      </c>
      <c r="V2" s="6">
        <f>ROUND(calcs!X21,0)</f>
        <v>9232</v>
      </c>
      <c r="W2" s="6">
        <f>ROUND(calcs!Y21,0)</f>
        <v>9195</v>
      </c>
      <c r="X2" s="6">
        <f>ROUND(calcs!Z21,0)</f>
        <v>9164</v>
      </c>
      <c r="Y2" s="6">
        <f>ROUND(calcs!AA21,0)</f>
        <v>9133</v>
      </c>
      <c r="Z2" s="6">
        <f>ROUND(calcs!AB21,0)</f>
        <v>9112</v>
      </c>
      <c r="AA2" s="6">
        <f>ROUND(calcs!AC21,0)</f>
        <v>9095</v>
      </c>
      <c r="AB2" s="6">
        <f>ROUND(calcs!AD21,0)</f>
        <v>9092</v>
      </c>
      <c r="AC2" s="6"/>
    </row>
    <row r="3" spans="1:29">
      <c r="A3" t="s">
        <v>5</v>
      </c>
      <c r="B3" s="6">
        <f>ROUND(calcs!D22,0)</f>
        <v>16361</v>
      </c>
      <c r="C3" s="6">
        <f>ROUND(calcs!E22,0)</f>
        <v>16361</v>
      </c>
      <c r="D3" s="6">
        <f>ROUND(calcs!F22,0)</f>
        <v>16361</v>
      </c>
      <c r="E3" s="6">
        <f>ROUND(calcs!G22,0)</f>
        <v>16361</v>
      </c>
      <c r="F3" s="6">
        <f>ROUND(calcs!H22,0)</f>
        <v>16361</v>
      </c>
      <c r="G3" s="6">
        <f>ROUND(calcs!I22,0)</f>
        <v>16361</v>
      </c>
      <c r="H3" s="6">
        <f>ROUND(calcs!J22,0)</f>
        <v>16361</v>
      </c>
      <c r="I3" s="6">
        <f>ROUND(calcs!K22,0)</f>
        <v>16361</v>
      </c>
      <c r="J3" s="6">
        <f>ROUND(calcs!L22,0)</f>
        <v>16361</v>
      </c>
      <c r="K3" s="6">
        <f>ROUND(calcs!M22,0)</f>
        <v>16361</v>
      </c>
      <c r="L3" s="6">
        <f>ROUND(calcs!N22,0)</f>
        <v>16361</v>
      </c>
      <c r="M3" s="6">
        <f>ROUND(calcs!O22,0)</f>
        <v>16361</v>
      </c>
      <c r="N3" s="6">
        <f>ROUND(calcs!P22,0)</f>
        <v>16361</v>
      </c>
      <c r="O3" s="6">
        <f>ROUND(calcs!Q22,0)</f>
        <v>16361</v>
      </c>
      <c r="P3" s="6">
        <f>ROUND(calcs!R22,0)</f>
        <v>16361</v>
      </c>
      <c r="Q3" s="6">
        <f>ROUND(calcs!S22,0)</f>
        <v>16361</v>
      </c>
      <c r="R3" s="6">
        <f>ROUND(calcs!T22,0)</f>
        <v>16361</v>
      </c>
      <c r="S3" s="6">
        <f>ROUND(calcs!U22,0)</f>
        <v>16361</v>
      </c>
      <c r="T3" s="6">
        <f>ROUND(calcs!V22,0)</f>
        <v>16361</v>
      </c>
      <c r="U3" s="6">
        <f>ROUND(calcs!W22,0)</f>
        <v>16361</v>
      </c>
      <c r="V3" s="6">
        <f>ROUND(calcs!X22,0)</f>
        <v>16361</v>
      </c>
      <c r="W3" s="6">
        <f>ROUND(calcs!Y22,0)</f>
        <v>16361</v>
      </c>
      <c r="X3" s="6">
        <f>ROUND(calcs!Z22,0)</f>
        <v>16361</v>
      </c>
      <c r="Y3" s="6">
        <f>ROUND(calcs!AA22,0)</f>
        <v>16361</v>
      </c>
      <c r="Z3" s="6">
        <f>ROUND(calcs!AB22,0)</f>
        <v>16361</v>
      </c>
      <c r="AA3" s="6">
        <f>ROUND(calcs!AC22,0)</f>
        <v>16361</v>
      </c>
      <c r="AB3" s="6">
        <f>ROUND(calcs!AD22,0)</f>
        <v>16361</v>
      </c>
      <c r="AC3" s="6"/>
    </row>
    <row r="4" spans="1:29">
      <c r="A4" t="s">
        <v>6</v>
      </c>
      <c r="B4" s="6">
        <f>ROUND(calcs!D23,0)</f>
        <v>1038833</v>
      </c>
      <c r="C4" s="6">
        <f>ROUND(calcs!E23,0)</f>
        <v>1038833</v>
      </c>
      <c r="D4" s="6">
        <f>ROUND(calcs!F23,0)</f>
        <v>1038833</v>
      </c>
      <c r="E4" s="6">
        <f>ROUND(calcs!G23,0)</f>
        <v>1038833</v>
      </c>
      <c r="F4" s="6">
        <f>ROUND(calcs!H23,0)</f>
        <v>1038833</v>
      </c>
      <c r="G4" s="6">
        <f>ROUND(calcs!I23,0)</f>
        <v>1038833</v>
      </c>
      <c r="H4" s="6">
        <f>ROUND(calcs!J23,0)</f>
        <v>1038833</v>
      </c>
      <c r="I4" s="6">
        <f>ROUND(calcs!K23,0)</f>
        <v>1038833</v>
      </c>
      <c r="J4" s="6">
        <f>ROUND(calcs!L23,0)</f>
        <v>1038833</v>
      </c>
      <c r="K4" s="6">
        <f>ROUND(calcs!M23,0)</f>
        <v>1038833</v>
      </c>
      <c r="L4" s="6">
        <f>ROUND(calcs!N23,0)</f>
        <v>1038833</v>
      </c>
      <c r="M4" s="6">
        <f>ROUND(calcs!O23,0)</f>
        <v>1038833</v>
      </c>
      <c r="N4" s="6">
        <f>ROUND(calcs!P23,0)</f>
        <v>1038833</v>
      </c>
      <c r="O4" s="6">
        <f>ROUND(calcs!Q23,0)</f>
        <v>1038833</v>
      </c>
      <c r="P4" s="6">
        <f>ROUND(calcs!R23,0)</f>
        <v>1038833</v>
      </c>
      <c r="Q4" s="6">
        <f>ROUND(calcs!S23,0)</f>
        <v>1038833</v>
      </c>
      <c r="R4" s="6">
        <f>ROUND(calcs!T23,0)</f>
        <v>1038833</v>
      </c>
      <c r="S4" s="6">
        <f>ROUND(calcs!U23,0)</f>
        <v>1038833</v>
      </c>
      <c r="T4" s="6">
        <f>ROUND(calcs!V23,0)</f>
        <v>1038833</v>
      </c>
      <c r="U4" s="6">
        <f>ROUND(calcs!W23,0)</f>
        <v>1038833</v>
      </c>
      <c r="V4" s="6">
        <f>ROUND(calcs!X23,0)</f>
        <v>1038833</v>
      </c>
      <c r="W4" s="6">
        <f>ROUND(calcs!Y23,0)</f>
        <v>1038833</v>
      </c>
      <c r="X4" s="6">
        <f>ROUND(calcs!Z23,0)</f>
        <v>1038833</v>
      </c>
      <c r="Y4" s="6">
        <f>ROUND(calcs!AA23,0)</f>
        <v>1038833</v>
      </c>
      <c r="Z4" s="6">
        <f>ROUND(calcs!AB23,0)</f>
        <v>1038833</v>
      </c>
      <c r="AA4" s="6">
        <f>ROUND(calcs!AC23,0)</f>
        <v>1038833</v>
      </c>
      <c r="AB4" s="6">
        <f>ROUND(calcs!AD23,0)</f>
        <v>1038833</v>
      </c>
      <c r="AC4" s="6"/>
    </row>
    <row r="5" spans="1:29">
      <c r="A5" t="s">
        <v>7</v>
      </c>
      <c r="B5" s="6">
        <f>ROUND(calcs!D24,0)</f>
        <v>395569</v>
      </c>
      <c r="C5" s="6">
        <f>ROUND(calcs!E24,0)</f>
        <v>395569</v>
      </c>
      <c r="D5" s="6">
        <f>ROUND(calcs!F24,0)</f>
        <v>395569</v>
      </c>
      <c r="E5" s="6">
        <f>ROUND(calcs!G24,0)</f>
        <v>395569</v>
      </c>
      <c r="F5" s="6">
        <f>ROUND(calcs!H24,0)</f>
        <v>395569</v>
      </c>
      <c r="G5" s="6">
        <f>ROUND(calcs!I24,0)</f>
        <v>395569</v>
      </c>
      <c r="H5" s="6">
        <f>ROUND(calcs!J24,0)</f>
        <v>395569</v>
      </c>
      <c r="I5" s="6">
        <f>ROUND(calcs!K24,0)</f>
        <v>395569</v>
      </c>
      <c r="J5" s="6">
        <f>ROUND(calcs!L24,0)</f>
        <v>395569</v>
      </c>
      <c r="K5" s="6">
        <f>ROUND(calcs!M24,0)</f>
        <v>395569</v>
      </c>
      <c r="L5" s="6">
        <f>ROUND(calcs!N24,0)</f>
        <v>395569</v>
      </c>
      <c r="M5" s="6">
        <f>ROUND(calcs!O24,0)</f>
        <v>395569</v>
      </c>
      <c r="N5" s="6">
        <f>ROUND(calcs!P24,0)</f>
        <v>395569</v>
      </c>
      <c r="O5" s="6">
        <f>ROUND(calcs!Q24,0)</f>
        <v>395569</v>
      </c>
      <c r="P5" s="6">
        <f>ROUND(calcs!R24,0)</f>
        <v>395569</v>
      </c>
      <c r="Q5" s="6">
        <f>ROUND(calcs!S24,0)</f>
        <v>395569</v>
      </c>
      <c r="R5" s="6">
        <f>ROUND(calcs!T24,0)</f>
        <v>395569</v>
      </c>
      <c r="S5" s="6">
        <f>ROUND(calcs!U24,0)</f>
        <v>395569</v>
      </c>
      <c r="T5" s="6">
        <f>ROUND(calcs!V24,0)</f>
        <v>395569</v>
      </c>
      <c r="U5" s="6">
        <f>ROUND(calcs!W24,0)</f>
        <v>395569</v>
      </c>
      <c r="V5" s="6">
        <f>ROUND(calcs!X24,0)</f>
        <v>395569</v>
      </c>
      <c r="W5" s="6">
        <f>ROUND(calcs!Y24,0)</f>
        <v>395569</v>
      </c>
      <c r="X5" s="6">
        <f>ROUND(calcs!Z24,0)</f>
        <v>395569</v>
      </c>
      <c r="Y5" s="6">
        <f>ROUND(calcs!AA24,0)</f>
        <v>395569</v>
      </c>
      <c r="Z5" s="6">
        <f>ROUND(calcs!AB24,0)</f>
        <v>395569</v>
      </c>
      <c r="AA5" s="6">
        <f>ROUND(calcs!AC24,0)</f>
        <v>395569</v>
      </c>
      <c r="AB5" s="6">
        <f>ROUND(calcs!AD24,0)</f>
        <v>395569</v>
      </c>
      <c r="AC5" s="6"/>
    </row>
    <row r="6" spans="1:29">
      <c r="A6" t="s">
        <v>8</v>
      </c>
      <c r="B6" s="6">
        <f>ROUND(calcs!D25,0)</f>
        <v>194</v>
      </c>
      <c r="C6" s="6">
        <f>ROUND(calcs!E25,0)</f>
        <v>194</v>
      </c>
      <c r="D6" s="6">
        <f>ROUND(calcs!F25,0)</f>
        <v>194</v>
      </c>
      <c r="E6" s="6">
        <f>ROUND(calcs!G25,0)</f>
        <v>194</v>
      </c>
      <c r="F6" s="6">
        <f>ROUND(calcs!H25,0)</f>
        <v>194</v>
      </c>
      <c r="G6" s="6">
        <f>ROUND(calcs!I25,0)</f>
        <v>194</v>
      </c>
      <c r="H6" s="6">
        <f>ROUND(calcs!J25,0)</f>
        <v>194</v>
      </c>
      <c r="I6" s="6">
        <f>ROUND(calcs!K25,0)</f>
        <v>194</v>
      </c>
      <c r="J6" s="6">
        <f>ROUND(calcs!L25,0)</f>
        <v>194</v>
      </c>
      <c r="K6" s="6">
        <f>ROUND(calcs!M25,0)</f>
        <v>194</v>
      </c>
      <c r="L6" s="6">
        <f>ROUND(calcs!N25,0)</f>
        <v>194</v>
      </c>
      <c r="M6" s="6">
        <f>ROUND(calcs!O25,0)</f>
        <v>194</v>
      </c>
      <c r="N6" s="6">
        <f>ROUND(calcs!P25,0)</f>
        <v>194</v>
      </c>
      <c r="O6" s="6">
        <f>ROUND(calcs!Q25,0)</f>
        <v>194</v>
      </c>
      <c r="P6" s="6">
        <f>ROUND(calcs!R25,0)</f>
        <v>194</v>
      </c>
      <c r="Q6" s="6">
        <f>ROUND(calcs!S25,0)</f>
        <v>194</v>
      </c>
      <c r="R6" s="6">
        <f>ROUND(calcs!T25,0)</f>
        <v>194</v>
      </c>
      <c r="S6" s="6">
        <f>ROUND(calcs!U25,0)</f>
        <v>194</v>
      </c>
      <c r="T6" s="6">
        <f>ROUND(calcs!V25,0)</f>
        <v>194</v>
      </c>
      <c r="U6" s="6">
        <f>ROUND(calcs!W25,0)</f>
        <v>194</v>
      </c>
      <c r="V6" s="6">
        <f>ROUND(calcs!X25,0)</f>
        <v>194</v>
      </c>
      <c r="W6" s="6">
        <f>ROUND(calcs!Y25,0)</f>
        <v>194</v>
      </c>
      <c r="X6" s="6">
        <f>ROUND(calcs!Z25,0)</f>
        <v>194</v>
      </c>
      <c r="Y6" s="6">
        <f>ROUND(calcs!AA25,0)</f>
        <v>194</v>
      </c>
      <c r="Z6" s="6">
        <f>ROUND(calcs!AB25,0)</f>
        <v>194</v>
      </c>
      <c r="AA6" s="6">
        <f>ROUND(calcs!AC25,0)</f>
        <v>194</v>
      </c>
      <c r="AB6" s="6">
        <f>ROUND(calcs!AD25,0)</f>
        <v>194</v>
      </c>
      <c r="AC6" s="6"/>
    </row>
    <row r="7" spans="1:29">
      <c r="A7" t="s">
        <v>9</v>
      </c>
      <c r="B7" s="6">
        <f>ROUND(calcs!D26,0)</f>
        <v>8797</v>
      </c>
      <c r="C7" s="6">
        <f>ROUND(calcs!E26,0)</f>
        <v>8797</v>
      </c>
      <c r="D7" s="6">
        <f>ROUND(calcs!F26,0)</f>
        <v>8797</v>
      </c>
      <c r="E7" s="6">
        <f>ROUND(calcs!G26,0)</f>
        <v>8797</v>
      </c>
      <c r="F7" s="6">
        <f>ROUND(calcs!H26,0)</f>
        <v>8797</v>
      </c>
      <c r="G7" s="6">
        <f>ROUND(calcs!I26,0)</f>
        <v>8797</v>
      </c>
      <c r="H7" s="6">
        <f>ROUND(calcs!J26,0)</f>
        <v>8797</v>
      </c>
      <c r="I7" s="6">
        <f>ROUND(calcs!K26,0)</f>
        <v>8797</v>
      </c>
      <c r="J7" s="6">
        <f>ROUND(calcs!L26,0)</f>
        <v>8797</v>
      </c>
      <c r="K7" s="6">
        <f>ROUND(calcs!M26,0)</f>
        <v>8797</v>
      </c>
      <c r="L7" s="6">
        <f>ROUND(calcs!N26,0)</f>
        <v>8797</v>
      </c>
      <c r="M7" s="6">
        <f>ROUND(calcs!O26,0)</f>
        <v>8797</v>
      </c>
      <c r="N7" s="6">
        <f>ROUND(calcs!P26,0)</f>
        <v>8797</v>
      </c>
      <c r="O7" s="6">
        <f>ROUND(calcs!Q26,0)</f>
        <v>8797</v>
      </c>
      <c r="P7" s="6">
        <f>ROUND(calcs!R26,0)</f>
        <v>8797</v>
      </c>
      <c r="Q7" s="6">
        <f>ROUND(calcs!S26,0)</f>
        <v>8797</v>
      </c>
      <c r="R7" s="6">
        <f>ROUND(calcs!T26,0)</f>
        <v>8797</v>
      </c>
      <c r="S7" s="6">
        <f>ROUND(calcs!U26,0)</f>
        <v>8797</v>
      </c>
      <c r="T7" s="6">
        <f>ROUND(calcs!V26,0)</f>
        <v>8797</v>
      </c>
      <c r="U7" s="6">
        <f>ROUND(calcs!W26,0)</f>
        <v>8797</v>
      </c>
      <c r="V7" s="6">
        <f>ROUND(calcs!X26,0)</f>
        <v>8797</v>
      </c>
      <c r="W7" s="6">
        <f>ROUND(calcs!Y26,0)</f>
        <v>8797</v>
      </c>
      <c r="X7" s="6">
        <f>ROUND(calcs!Z26,0)</f>
        <v>8797</v>
      </c>
      <c r="Y7" s="6">
        <f>ROUND(calcs!AA26,0)</f>
        <v>8797</v>
      </c>
      <c r="Z7" s="6">
        <f>ROUND(calcs!AB26,0)</f>
        <v>8797</v>
      </c>
      <c r="AA7" s="6">
        <f>ROUND(calcs!AC26,0)</f>
        <v>8797</v>
      </c>
      <c r="AB7" s="6">
        <f>ROUND(calcs!AD26,0)</f>
        <v>8797</v>
      </c>
      <c r="AC7" s="6"/>
    </row>
  </sheetData>
  <pageMargins left="0.7" right="0.7" top="0.75" bottom="0.75" header="0.3" footer="0.3"/>
  <pageSetup orientation="portrait" horizontalDpi="1200" verticalDpi="12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B7"/>
  <sheetViews>
    <sheetView workbookViewId="0">
      <selection activeCell="B7" sqref="B1:B1048576"/>
    </sheetView>
  </sheetViews>
  <sheetFormatPr defaultColWidth="9.140625" defaultRowHeight="15"/>
  <cols>
    <col min="1" max="1" width="16.5703125" customWidth="1"/>
  </cols>
  <sheetData>
    <row r="1" spans="1:28" ht="30">
      <c r="A1" s="8" t="s">
        <v>189</v>
      </c>
      <c r="B1" s="1">
        <v>2024</v>
      </c>
      <c r="C1" s="1">
        <v>2025</v>
      </c>
      <c r="D1" s="1">
        <v>2026</v>
      </c>
      <c r="E1" s="1">
        <v>2027</v>
      </c>
      <c r="F1" s="1">
        <v>2028</v>
      </c>
      <c r="G1" s="1">
        <v>2029</v>
      </c>
      <c r="H1" s="1">
        <v>2030</v>
      </c>
      <c r="I1" s="1">
        <v>2031</v>
      </c>
      <c r="J1" s="1">
        <v>2032</v>
      </c>
      <c r="K1" s="1">
        <v>2033</v>
      </c>
      <c r="L1" s="1">
        <v>2034</v>
      </c>
      <c r="M1" s="1">
        <v>2035</v>
      </c>
      <c r="N1" s="1">
        <v>2036</v>
      </c>
      <c r="O1" s="1">
        <v>2037</v>
      </c>
      <c r="P1" s="1">
        <v>2038</v>
      </c>
      <c r="Q1" s="1">
        <v>2039</v>
      </c>
      <c r="R1" s="1">
        <v>2040</v>
      </c>
      <c r="S1" s="1">
        <v>2041</v>
      </c>
      <c r="T1" s="1">
        <v>2042</v>
      </c>
      <c r="U1" s="1">
        <v>2043</v>
      </c>
      <c r="V1" s="1">
        <v>2044</v>
      </c>
      <c r="W1" s="1">
        <v>2045</v>
      </c>
      <c r="X1" s="1">
        <v>2046</v>
      </c>
      <c r="Y1" s="1">
        <v>2047</v>
      </c>
      <c r="Z1" s="1">
        <v>2048</v>
      </c>
      <c r="AA1" s="1">
        <v>2049</v>
      </c>
      <c r="AB1" s="1">
        <v>2050</v>
      </c>
    </row>
    <row r="2" spans="1:28">
      <c r="A2" t="s">
        <v>4</v>
      </c>
      <c r="B2" s="6">
        <f>ROUND(calcs!D30,0)</f>
        <v>9916</v>
      </c>
      <c r="C2" s="6">
        <f>ROUND(calcs!E30,0)</f>
        <v>9916</v>
      </c>
      <c r="D2" s="6">
        <f>ROUND(calcs!F30,0)</f>
        <v>9916</v>
      </c>
      <c r="E2" s="6">
        <f>ROUND(calcs!G30,0)</f>
        <v>9916</v>
      </c>
      <c r="F2" s="6">
        <f>ROUND(calcs!H30,0)</f>
        <v>9916</v>
      </c>
      <c r="G2" s="6">
        <f>ROUND(calcs!I30,0)</f>
        <v>9916</v>
      </c>
      <c r="H2" s="6">
        <f>ROUND(calcs!J30,0)</f>
        <v>9916</v>
      </c>
      <c r="I2" s="6">
        <f>ROUND(calcs!K30,0)</f>
        <v>9916</v>
      </c>
      <c r="J2" s="6">
        <f>ROUND(calcs!L30,0)</f>
        <v>9916</v>
      </c>
      <c r="K2" s="6">
        <f>ROUND(calcs!M30,0)</f>
        <v>9916</v>
      </c>
      <c r="L2" s="6">
        <f>ROUND(calcs!N30,0)</f>
        <v>9916</v>
      </c>
      <c r="M2" s="6">
        <f>ROUND(calcs!O30,0)</f>
        <v>9916</v>
      </c>
      <c r="N2" s="6">
        <f>ROUND(calcs!P30,0)</f>
        <v>9916</v>
      </c>
      <c r="O2" s="6">
        <f>ROUND(calcs!Q30,0)</f>
        <v>9916</v>
      </c>
      <c r="P2" s="6">
        <f>ROUND(calcs!R30,0)</f>
        <v>9916</v>
      </c>
      <c r="Q2" s="6">
        <f>ROUND(calcs!S30,0)</f>
        <v>9916</v>
      </c>
      <c r="R2" s="6">
        <f>ROUND(calcs!T30,0)</f>
        <v>9916</v>
      </c>
      <c r="S2" s="6">
        <f>ROUND(calcs!U30,0)</f>
        <v>9916</v>
      </c>
      <c r="T2" s="6">
        <f>ROUND(calcs!V30,0)</f>
        <v>9916</v>
      </c>
      <c r="U2" s="6">
        <f>ROUND(calcs!W30,0)</f>
        <v>9916</v>
      </c>
      <c r="V2" s="6">
        <f>ROUND(calcs!X30,0)</f>
        <v>9916</v>
      </c>
      <c r="W2" s="6">
        <f>ROUND(calcs!Y30,0)</f>
        <v>9916</v>
      </c>
      <c r="X2" s="6">
        <f>ROUND(calcs!Z30,0)</f>
        <v>9916</v>
      </c>
      <c r="Y2" s="6">
        <f>ROUND(calcs!AA30,0)</f>
        <v>9916</v>
      </c>
      <c r="Z2" s="6">
        <f>ROUND(calcs!AB30,0)</f>
        <v>9916</v>
      </c>
      <c r="AA2" s="6">
        <f>ROUND(calcs!AC30,0)</f>
        <v>9916</v>
      </c>
      <c r="AB2" s="6">
        <f>ROUND(calcs!AD30,0)</f>
        <v>9916</v>
      </c>
    </row>
    <row r="3" spans="1:28">
      <c r="A3" t="s">
        <v>5</v>
      </c>
      <c r="B3" s="6">
        <f>ROUND(calcs!D31,0)</f>
        <v>35195</v>
      </c>
      <c r="C3" s="6">
        <f>ROUND(calcs!E31,0)</f>
        <v>35195</v>
      </c>
      <c r="D3" s="6">
        <f>ROUND(calcs!F31,0)</f>
        <v>35195</v>
      </c>
      <c r="E3" s="6">
        <f>ROUND(calcs!G31,0)</f>
        <v>35195</v>
      </c>
      <c r="F3" s="6">
        <f>ROUND(calcs!H31,0)</f>
        <v>35195</v>
      </c>
      <c r="G3" s="6">
        <f>ROUND(calcs!I31,0)</f>
        <v>35195</v>
      </c>
      <c r="H3" s="6">
        <f>ROUND(calcs!J31,0)</f>
        <v>35195</v>
      </c>
      <c r="I3" s="6">
        <f>ROUND(calcs!K31,0)</f>
        <v>35195</v>
      </c>
      <c r="J3" s="6">
        <f>ROUND(calcs!L31,0)</f>
        <v>35195</v>
      </c>
      <c r="K3" s="6">
        <f>ROUND(calcs!M31,0)</f>
        <v>35195</v>
      </c>
      <c r="L3" s="6">
        <f>ROUND(calcs!N31,0)</f>
        <v>35195</v>
      </c>
      <c r="M3" s="6">
        <f>ROUND(calcs!O31,0)</f>
        <v>35195</v>
      </c>
      <c r="N3" s="6">
        <f>ROUND(calcs!P31,0)</f>
        <v>35195</v>
      </c>
      <c r="O3" s="6">
        <f>ROUND(calcs!Q31,0)</f>
        <v>35195</v>
      </c>
      <c r="P3" s="6">
        <f>ROUND(calcs!R31,0)</f>
        <v>35195</v>
      </c>
      <c r="Q3" s="6">
        <f>ROUND(calcs!S31,0)</f>
        <v>35195</v>
      </c>
      <c r="R3" s="6">
        <f>ROUND(calcs!T31,0)</f>
        <v>35195</v>
      </c>
      <c r="S3" s="6">
        <f>ROUND(calcs!U31,0)</f>
        <v>35195</v>
      </c>
      <c r="T3" s="6">
        <f>ROUND(calcs!V31,0)</f>
        <v>35195</v>
      </c>
      <c r="U3" s="6">
        <f>ROUND(calcs!W31,0)</f>
        <v>35195</v>
      </c>
      <c r="V3" s="6">
        <f>ROUND(calcs!X31,0)</f>
        <v>35195</v>
      </c>
      <c r="W3" s="6">
        <f>ROUND(calcs!Y31,0)</f>
        <v>35195</v>
      </c>
      <c r="X3" s="6">
        <f>ROUND(calcs!Z31,0)</f>
        <v>35195</v>
      </c>
      <c r="Y3" s="6">
        <f>ROUND(calcs!AA31,0)</f>
        <v>35195</v>
      </c>
      <c r="Z3" s="6">
        <f>ROUND(calcs!AB31,0)</f>
        <v>35195</v>
      </c>
      <c r="AA3" s="6">
        <f>ROUND(calcs!AC31,0)</f>
        <v>35195</v>
      </c>
      <c r="AB3" s="6">
        <f>ROUND(calcs!AD31,0)</f>
        <v>35195</v>
      </c>
    </row>
    <row r="4" spans="1:28">
      <c r="A4" t="s">
        <v>6</v>
      </c>
      <c r="B4" s="6">
        <f>ROUND(calcs!D32,0)</f>
        <v>1146274</v>
      </c>
      <c r="C4" s="6">
        <f>ROUND(calcs!E32,0)</f>
        <v>1146274</v>
      </c>
      <c r="D4" s="6">
        <f>ROUND(calcs!F32,0)</f>
        <v>1146274</v>
      </c>
      <c r="E4" s="6">
        <f>ROUND(calcs!G32,0)</f>
        <v>1146274</v>
      </c>
      <c r="F4" s="6">
        <f>ROUND(calcs!H32,0)</f>
        <v>1146274</v>
      </c>
      <c r="G4" s="6">
        <f>ROUND(calcs!I32,0)</f>
        <v>1146274</v>
      </c>
      <c r="H4" s="6">
        <f>ROUND(calcs!J32,0)</f>
        <v>1146274</v>
      </c>
      <c r="I4" s="6">
        <f>ROUND(calcs!K32,0)</f>
        <v>1146274</v>
      </c>
      <c r="J4" s="6">
        <f>ROUND(calcs!L32,0)</f>
        <v>1146274</v>
      </c>
      <c r="K4" s="6">
        <f>ROUND(calcs!M32,0)</f>
        <v>1146274</v>
      </c>
      <c r="L4" s="6">
        <f>ROUND(calcs!N32,0)</f>
        <v>1146274</v>
      </c>
      <c r="M4" s="6">
        <f>ROUND(calcs!O32,0)</f>
        <v>1146274</v>
      </c>
      <c r="N4" s="6">
        <f>ROUND(calcs!P32,0)</f>
        <v>1146274</v>
      </c>
      <c r="O4" s="6">
        <f>ROUND(calcs!Q32,0)</f>
        <v>1146274</v>
      </c>
      <c r="P4" s="6">
        <f>ROUND(calcs!R32,0)</f>
        <v>1146274</v>
      </c>
      <c r="Q4" s="6">
        <f>ROUND(calcs!S32,0)</f>
        <v>1146274</v>
      </c>
      <c r="R4" s="6">
        <f>ROUND(calcs!T32,0)</f>
        <v>1146274</v>
      </c>
      <c r="S4" s="6">
        <f>ROUND(calcs!U32,0)</f>
        <v>1146274</v>
      </c>
      <c r="T4" s="6">
        <f>ROUND(calcs!V32,0)</f>
        <v>1146274</v>
      </c>
      <c r="U4" s="6">
        <f>ROUND(calcs!W32,0)</f>
        <v>1146274</v>
      </c>
      <c r="V4" s="6">
        <f>ROUND(calcs!X32,0)</f>
        <v>1146274</v>
      </c>
      <c r="W4" s="6">
        <f>ROUND(calcs!Y32,0)</f>
        <v>1146274</v>
      </c>
      <c r="X4" s="6">
        <f>ROUND(calcs!Z32,0)</f>
        <v>1146274</v>
      </c>
      <c r="Y4" s="6">
        <f>ROUND(calcs!AA32,0)</f>
        <v>1146274</v>
      </c>
      <c r="Z4" s="6">
        <f>ROUND(calcs!AB32,0)</f>
        <v>1146274</v>
      </c>
      <c r="AA4" s="6">
        <f>ROUND(calcs!AC32,0)</f>
        <v>1146274</v>
      </c>
      <c r="AB4" s="6">
        <f>ROUND(calcs!AD32,0)</f>
        <v>1146274</v>
      </c>
    </row>
    <row r="5" spans="1:28">
      <c r="A5" t="s">
        <v>7</v>
      </c>
      <c r="B5" s="6">
        <f>ROUND(calcs!D33,0)</f>
        <v>17005</v>
      </c>
      <c r="C5" s="6">
        <f>ROUND(calcs!E33,0)</f>
        <v>17005</v>
      </c>
      <c r="D5" s="6">
        <f>ROUND(calcs!F33,0)</f>
        <v>17005</v>
      </c>
      <c r="E5" s="6">
        <f>ROUND(calcs!G33,0)</f>
        <v>17005</v>
      </c>
      <c r="F5" s="6">
        <f>ROUND(calcs!H33,0)</f>
        <v>17005</v>
      </c>
      <c r="G5" s="6">
        <f>ROUND(calcs!I33,0)</f>
        <v>17005</v>
      </c>
      <c r="H5" s="6">
        <f>ROUND(calcs!J33,0)</f>
        <v>17005</v>
      </c>
      <c r="I5" s="6">
        <f>ROUND(calcs!K33,0)</f>
        <v>17005</v>
      </c>
      <c r="J5" s="6">
        <f>ROUND(calcs!L33,0)</f>
        <v>17005</v>
      </c>
      <c r="K5" s="6">
        <f>ROUND(calcs!M33,0)</f>
        <v>17005</v>
      </c>
      <c r="L5" s="6">
        <f>ROUND(calcs!N33,0)</f>
        <v>17005</v>
      </c>
      <c r="M5" s="6">
        <f>ROUND(calcs!O33,0)</f>
        <v>17005</v>
      </c>
      <c r="N5" s="6">
        <f>ROUND(calcs!P33,0)</f>
        <v>17005</v>
      </c>
      <c r="O5" s="6">
        <f>ROUND(calcs!Q33,0)</f>
        <v>17005</v>
      </c>
      <c r="P5" s="6">
        <f>ROUND(calcs!R33,0)</f>
        <v>17005</v>
      </c>
      <c r="Q5" s="6">
        <f>ROUND(calcs!S33,0)</f>
        <v>17005</v>
      </c>
      <c r="R5" s="6">
        <f>ROUND(calcs!T33,0)</f>
        <v>17005</v>
      </c>
      <c r="S5" s="6">
        <f>ROUND(calcs!U33,0)</f>
        <v>17005</v>
      </c>
      <c r="T5" s="6">
        <f>ROUND(calcs!V33,0)</f>
        <v>17005</v>
      </c>
      <c r="U5" s="6">
        <f>ROUND(calcs!W33,0)</f>
        <v>17005</v>
      </c>
      <c r="V5" s="6">
        <f>ROUND(calcs!X33,0)</f>
        <v>17005</v>
      </c>
      <c r="W5" s="6">
        <f>ROUND(calcs!Y33,0)</f>
        <v>17005</v>
      </c>
      <c r="X5" s="6">
        <f>ROUND(calcs!Z33,0)</f>
        <v>17005</v>
      </c>
      <c r="Y5" s="6">
        <f>ROUND(calcs!AA33,0)</f>
        <v>17005</v>
      </c>
      <c r="Z5" s="6">
        <f>ROUND(calcs!AB33,0)</f>
        <v>17005</v>
      </c>
      <c r="AA5" s="6">
        <f>ROUND(calcs!AC33,0)</f>
        <v>17005</v>
      </c>
      <c r="AB5" s="6">
        <f>ROUND(calcs!AD33,0)</f>
        <v>17005</v>
      </c>
    </row>
    <row r="6" spans="1:28">
      <c r="A6" t="s">
        <v>8</v>
      </c>
      <c r="B6" s="6">
        <f>ROUND(calcs!D34,0)</f>
        <v>7513092</v>
      </c>
      <c r="C6" s="6">
        <f>ROUND(calcs!E34,0)</f>
        <v>7513092</v>
      </c>
      <c r="D6" s="6">
        <f>ROUND(calcs!F34,0)</f>
        <v>7513092</v>
      </c>
      <c r="E6" s="6">
        <f>ROUND(calcs!G34,0)</f>
        <v>7513092</v>
      </c>
      <c r="F6" s="6">
        <f>ROUND(calcs!H34,0)</f>
        <v>7513092</v>
      </c>
      <c r="G6" s="6">
        <f>ROUND(calcs!I34,0)</f>
        <v>7513092</v>
      </c>
      <c r="H6" s="6">
        <f>ROUND(calcs!J34,0)</f>
        <v>7513092</v>
      </c>
      <c r="I6" s="6">
        <f>ROUND(calcs!K34,0)</f>
        <v>7513092</v>
      </c>
      <c r="J6" s="6">
        <f>ROUND(calcs!L34,0)</f>
        <v>7513092</v>
      </c>
      <c r="K6" s="6">
        <f>ROUND(calcs!M34,0)</f>
        <v>7513092</v>
      </c>
      <c r="L6" s="6">
        <f>ROUND(calcs!N34,0)</f>
        <v>7513092</v>
      </c>
      <c r="M6" s="6">
        <f>ROUND(calcs!O34,0)</f>
        <v>7513092</v>
      </c>
      <c r="N6" s="6">
        <f>ROUND(calcs!P34,0)</f>
        <v>7513092</v>
      </c>
      <c r="O6" s="6">
        <f>ROUND(calcs!Q34,0)</f>
        <v>7513092</v>
      </c>
      <c r="P6" s="6">
        <f>ROUND(calcs!R34,0)</f>
        <v>7513092</v>
      </c>
      <c r="Q6" s="6">
        <f>ROUND(calcs!S34,0)</f>
        <v>7513092</v>
      </c>
      <c r="R6" s="6">
        <f>ROUND(calcs!T34,0)</f>
        <v>7513092</v>
      </c>
      <c r="S6" s="6">
        <f>ROUND(calcs!U34,0)</f>
        <v>7513092</v>
      </c>
      <c r="T6" s="6">
        <f>ROUND(calcs!V34,0)</f>
        <v>7513092</v>
      </c>
      <c r="U6" s="6">
        <f>ROUND(calcs!W34,0)</f>
        <v>7513092</v>
      </c>
      <c r="V6" s="6">
        <f>ROUND(calcs!X34,0)</f>
        <v>7513092</v>
      </c>
      <c r="W6" s="6">
        <f>ROUND(calcs!Y34,0)</f>
        <v>7513092</v>
      </c>
      <c r="X6" s="6">
        <f>ROUND(calcs!Z34,0)</f>
        <v>7513092</v>
      </c>
      <c r="Y6" s="6">
        <f>ROUND(calcs!AA34,0)</f>
        <v>7513092</v>
      </c>
      <c r="Z6" s="6">
        <f>ROUND(calcs!AB34,0)</f>
        <v>7513092</v>
      </c>
      <c r="AA6" s="6">
        <f>ROUND(calcs!AC34,0)</f>
        <v>7513092</v>
      </c>
      <c r="AB6" s="6">
        <f>ROUND(calcs!AD34,0)</f>
        <v>7513092</v>
      </c>
    </row>
    <row r="7" spans="1:28">
      <c r="A7" t="s">
        <v>9</v>
      </c>
      <c r="B7" s="6">
        <f>ROUND(calcs!D35,0)</f>
        <v>0</v>
      </c>
      <c r="C7" s="6">
        <f>ROUND(calcs!E35,0)</f>
        <v>0</v>
      </c>
      <c r="D7" s="6">
        <f>ROUND(calcs!F35,0)</f>
        <v>0</v>
      </c>
      <c r="E7" s="6">
        <f>ROUND(calcs!G35,0)</f>
        <v>0</v>
      </c>
      <c r="F7" s="6">
        <f>ROUND(calcs!H35,0)</f>
        <v>0</v>
      </c>
      <c r="G7" s="6">
        <f>ROUND(calcs!I35,0)</f>
        <v>0</v>
      </c>
      <c r="H7" s="6">
        <f>ROUND(calcs!J35,0)</f>
        <v>0</v>
      </c>
      <c r="I7" s="6">
        <f>ROUND(calcs!K35,0)</f>
        <v>0</v>
      </c>
      <c r="J7" s="6">
        <f>ROUND(calcs!L35,0)</f>
        <v>0</v>
      </c>
      <c r="K7" s="6">
        <f>ROUND(calcs!M35,0)</f>
        <v>0</v>
      </c>
      <c r="L7" s="6">
        <f>ROUND(calcs!N35,0)</f>
        <v>0</v>
      </c>
      <c r="M7" s="6">
        <f>ROUND(calcs!O35,0)</f>
        <v>0</v>
      </c>
      <c r="N7" s="6">
        <f>ROUND(calcs!P35,0)</f>
        <v>0</v>
      </c>
      <c r="O7" s="6">
        <f>ROUND(calcs!Q35,0)</f>
        <v>0</v>
      </c>
      <c r="P7" s="6">
        <f>ROUND(calcs!R35,0)</f>
        <v>0</v>
      </c>
      <c r="Q7" s="6">
        <f>ROUND(calcs!S35,0)</f>
        <v>0</v>
      </c>
      <c r="R7" s="6">
        <f>ROUND(calcs!T35,0)</f>
        <v>0</v>
      </c>
      <c r="S7" s="6">
        <f>ROUND(calcs!U35,0)</f>
        <v>0</v>
      </c>
      <c r="T7" s="6">
        <f>ROUND(calcs!V35,0)</f>
        <v>0</v>
      </c>
      <c r="U7" s="6">
        <f>ROUND(calcs!W35,0)</f>
        <v>0</v>
      </c>
      <c r="V7" s="6">
        <f>ROUND(calcs!X35,0)</f>
        <v>0</v>
      </c>
      <c r="W7" s="6">
        <f>ROUND(calcs!Y35,0)</f>
        <v>0</v>
      </c>
      <c r="X7" s="6">
        <f>ROUND(calcs!Z35,0)</f>
        <v>0</v>
      </c>
      <c r="Y7" s="6">
        <f>ROUND(calcs!AA35,0)</f>
        <v>0</v>
      </c>
      <c r="Z7" s="6">
        <f>ROUND(calcs!AB35,0)</f>
        <v>0</v>
      </c>
      <c r="AA7" s="6">
        <f>ROUND(calcs!AC35,0)</f>
        <v>0</v>
      </c>
      <c r="AB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2026-05-11T17:19:56Z</dcterms:modified>
</cp:coreProperties>
</file>