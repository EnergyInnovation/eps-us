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eganMahajan\Documents\eps-us\InputData\trans\BAADTbVT\"/>
    </mc:Choice>
  </mc:AlternateContent>
  <xr:revisionPtr revIDLastSave="0" documentId="13_ncr:1_{D7420639-A224-4354-8D41-6D3E92A1E9CC}" xr6:coauthVersionLast="47" xr6:coauthVersionMax="47" xr10:uidLastSave="{00000000-0000-0000-0000-000000000000}"/>
  <bookViews>
    <workbookView xWindow="3495" yWindow="3465" windowWidth="21600" windowHeight="12645" firstSheet="25" activeTab="25" xr2:uid="{CB47A646-170C-4053-B093-A7BD6824F3E2}"/>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EPA-Annex3-Table A94" sheetId="76" r:id="rId17"/>
    <sheet name="AEO 2025 Table 7" sheetId="65" r:id="rId18"/>
    <sheet name="AEO 2025 Table 39" sheetId="63" r:id="rId19"/>
    <sheet name="AEO 2025 Table 45" sheetId="64" r:id="rId20"/>
    <sheet name="AEO 2025 Table 46" sheetId="61" r:id="rId21"/>
    <sheet name="AEO 2025 Table 47" sheetId="60" r:id="rId22"/>
    <sheet name="AEO 2025 Table 48" sheetId="62" r:id="rId23"/>
    <sheet name="AEO 2025 Table 49" sheetId="59" r:id="rId24"/>
    <sheet name="NRBS 40" sheetId="13" r:id="rId25"/>
    <sheet name="FHWA VM-1" sheetId="77" r:id="rId26"/>
    <sheet name="Annual Service Data_rail only" sheetId="54" r:id="rId27"/>
    <sheet name="Fuel and Energy_rail only" sheetId="55" r:id="rId28"/>
    <sheet name="syfafe" sheetId="71" r:id="rId29"/>
    <sheet name="AEO 2026 Table 7" sheetId="72" r:id="rId30"/>
    <sheet name="AEO 2026 Table 39" sheetId="73" r:id="rId31"/>
    <sheet name="AEO 2026 Table 49" sheetId="74" r:id="rId32"/>
    <sheet name="AEO 2026 Table 45" sheetId="75" r:id="rId33"/>
    <sheet name="calcs&gt;" sheetId="67" r:id="rId34"/>
    <sheet name="psgr rail calcs" sheetId="56" r:id="rId35"/>
    <sheet name="Misc" sheetId="69" r:id="rId36"/>
    <sheet name="Calibration multiplier" sheetId="57" r:id="rId37"/>
    <sheet name="intl shipping adjustment" sheetId="70" r:id="rId38"/>
    <sheet name="calcs" sheetId="68" r:id="rId39"/>
    <sheet name="SYAADTbVT-passengers" sheetId="6" r:id="rId40"/>
    <sheet name="SYAADTbVT-freight" sheetId="12" r:id="rId41"/>
    <sheet name="BAADTbVT-passengers" sheetId="32" r:id="rId42"/>
    <sheet name="BAADTbVT-freight" sheetId="33" r:id="rId43"/>
  </sheets>
  <externalReferences>
    <externalReference r:id="rId44"/>
    <externalReference r:id="rId45"/>
    <externalReference r:id="rId46"/>
  </externalReferences>
  <definedNames>
    <definedName name="_xlnm._FilterDatabase" localSheetId="26" hidden="1">'Annual Service Data_rail only'!$A$1:$AX$1</definedName>
    <definedName name="CH4GWP">#REF!</definedName>
    <definedName name="Eno_TM" localSheetId="16">'[1]1997  Table 1a Modified'!#REF!</definedName>
    <definedName name="Eno_TM" localSheetId="35">#REF!</definedName>
    <definedName name="Eno_TM" localSheetId="14">'[1]1997  Table 1a Modified'!#REF!</definedName>
    <definedName name="Eno_TM">'[2]1997  Table 1a Modified'!#REF!</definedName>
    <definedName name="Eno_Tons" localSheetId="16">'[1]1997  Table 1a Modified'!#REF!</definedName>
    <definedName name="Eno_Tons" localSheetId="35">#REF!</definedName>
    <definedName name="Eno_Tons" localSheetId="14">'[1]1997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[3]About!$B$136</definedName>
    <definedName name="Sum_T2" localSheetId="16">'[1]1997  Table 1a Modified'!#REF!</definedName>
    <definedName name="Sum_T2" localSheetId="35">#REF!</definedName>
    <definedName name="Sum_T2" localSheetId="14">'[1]1997  Table 1a Modified'!#REF!</definedName>
    <definedName name="Sum_T2">'[2]1997  Table 1a Modified'!#REF!</definedName>
    <definedName name="Sum_TTM" localSheetId="16">'[1]1997  Table 1a Modified'!#REF!</definedName>
    <definedName name="Sum_TTM" localSheetId="35">#REF!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68" l="1"/>
  <c r="C8" i="68"/>
  <c r="C13" i="77"/>
  <c r="B13" i="77"/>
  <c r="C10" i="77"/>
  <c r="B10" i="77"/>
  <c r="C8" i="77"/>
  <c r="B8" i="77"/>
  <c r="AF21" i="68"/>
  <c r="A17" i="69"/>
  <c r="C14" i="68" s="1"/>
  <c r="F30" i="68"/>
  <c r="G30" i="68"/>
  <c r="H30" i="68"/>
  <c r="I30" i="68"/>
  <c r="J30" i="68"/>
  <c r="K30" i="68"/>
  <c r="L30" i="68"/>
  <c r="M30" i="68"/>
  <c r="N30" i="68"/>
  <c r="O30" i="68"/>
  <c r="P30" i="68"/>
  <c r="Q30" i="68"/>
  <c r="R30" i="68"/>
  <c r="S30" i="68"/>
  <c r="T30" i="68"/>
  <c r="U30" i="68"/>
  <c r="V30" i="68"/>
  <c r="W30" i="68"/>
  <c r="X30" i="68"/>
  <c r="Y30" i="68"/>
  <c r="Z30" i="68"/>
  <c r="AA30" i="68"/>
  <c r="AB30" i="68"/>
  <c r="AC30" i="68"/>
  <c r="AD30" i="68"/>
  <c r="E30"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E21" i="68"/>
  <c r="C15" i="68"/>
  <c r="C13" i="68"/>
  <c r="C12" i="68"/>
  <c r="C3" i="68"/>
  <c r="D21" i="68" l="1"/>
  <c r="C5" i="68"/>
  <c r="D23" i="68" s="1"/>
  <c r="C21" i="68"/>
  <c r="B17" i="70"/>
  <c r="B13" i="70"/>
  <c r="B16" i="70" s="1"/>
  <c r="B18" i="70" s="1"/>
  <c r="B19" i="70" s="1"/>
  <c r="C16" i="68" s="1"/>
  <c r="C23" i="68" l="1"/>
  <c r="E23" i="68" s="1"/>
  <c r="C32" i="68"/>
  <c r="D32" i="68" s="1"/>
  <c r="F23" i="68" l="1"/>
  <c r="G23" i="68" s="1"/>
  <c r="B2" i="32"/>
  <c r="B2" i="6" s="1"/>
  <c r="C2" i="32"/>
  <c r="D2" i="32"/>
  <c r="E2" i="32"/>
  <c r="F2" i="32"/>
  <c r="G2" i="32"/>
  <c r="H2" i="32"/>
  <c r="I2" i="32"/>
  <c r="J2" i="32"/>
  <c r="K2" i="32"/>
  <c r="L2" i="32"/>
  <c r="M2" i="32"/>
  <c r="N2" i="32"/>
  <c r="O2" i="32"/>
  <c r="P2" i="32"/>
  <c r="Q2" i="32"/>
  <c r="R2" i="32"/>
  <c r="S2" i="32"/>
  <c r="T2" i="32"/>
  <c r="U2" i="32"/>
  <c r="V2" i="32"/>
  <c r="W2" i="32"/>
  <c r="X2" i="32"/>
  <c r="Y2" i="32"/>
  <c r="Z2" i="32"/>
  <c r="AA2" i="32"/>
  <c r="AB2" i="32"/>
  <c r="B4" i="32"/>
  <c r="B4" i="6" s="1"/>
  <c r="C35" i="68"/>
  <c r="B1" i="12"/>
  <c r="H23" i="68" l="1"/>
  <c r="I23" i="68" s="1"/>
  <c r="E4" i="32"/>
  <c r="F4" i="32"/>
  <c r="D4" i="32"/>
  <c r="C4" i="32"/>
  <c r="D22" i="68"/>
  <c r="D26" i="68"/>
  <c r="C7" i="68"/>
  <c r="D35" i="68"/>
  <c r="B7" i="33" s="1"/>
  <c r="B7" i="12" s="1"/>
  <c r="R59" i="56"/>
  <c r="Q59" i="56"/>
  <c r="P59" i="56"/>
  <c r="I59" i="56"/>
  <c r="H59" i="56"/>
  <c r="J59" i="56" s="1"/>
  <c r="G59" i="56"/>
  <c r="L59" i="56" s="1"/>
  <c r="F59" i="56"/>
  <c r="E59" i="56"/>
  <c r="M59" i="56" s="1"/>
  <c r="R58" i="56"/>
  <c r="T58" i="56" s="1"/>
  <c r="Q58" i="56"/>
  <c r="P58" i="56"/>
  <c r="S58" i="56" s="1"/>
  <c r="I58" i="56"/>
  <c r="H58" i="56"/>
  <c r="J58" i="56" s="1"/>
  <c r="G58" i="56"/>
  <c r="L58" i="56" s="1"/>
  <c r="F58" i="56"/>
  <c r="E58" i="56"/>
  <c r="M58" i="56" s="1"/>
  <c r="R57" i="56"/>
  <c r="Q57" i="56"/>
  <c r="P57" i="56"/>
  <c r="I57" i="56"/>
  <c r="H57" i="56"/>
  <c r="G57" i="56"/>
  <c r="F57" i="56"/>
  <c r="E57" i="56"/>
  <c r="R56" i="56"/>
  <c r="Q56" i="56"/>
  <c r="P56" i="56"/>
  <c r="I56" i="56"/>
  <c r="H56" i="56"/>
  <c r="J56" i="56" s="1"/>
  <c r="G56" i="56"/>
  <c r="F56" i="56"/>
  <c r="L56" i="56" s="1"/>
  <c r="E56" i="56"/>
  <c r="R55" i="56"/>
  <c r="T55" i="56" s="1"/>
  <c r="Q55" i="56"/>
  <c r="P55" i="56"/>
  <c r="I55" i="56"/>
  <c r="K55" i="56" s="1"/>
  <c r="H55" i="56"/>
  <c r="G55" i="56"/>
  <c r="F55" i="56"/>
  <c r="E55" i="56"/>
  <c r="M55" i="56" s="1"/>
  <c r="R54" i="56"/>
  <c r="Q54" i="56"/>
  <c r="P54" i="56"/>
  <c r="I54" i="56"/>
  <c r="H54" i="56"/>
  <c r="J54" i="56" s="1"/>
  <c r="G54" i="56"/>
  <c r="L54" i="56" s="1"/>
  <c r="F54" i="56"/>
  <c r="E54" i="56"/>
  <c r="M54" i="56" s="1"/>
  <c r="R53" i="56"/>
  <c r="T53" i="56" s="1"/>
  <c r="Q53" i="56"/>
  <c r="P53" i="56"/>
  <c r="S53" i="56" s="1"/>
  <c r="I53" i="56"/>
  <c r="H53" i="56"/>
  <c r="K53" i="56" s="1"/>
  <c r="G53" i="56"/>
  <c r="F53" i="56"/>
  <c r="L53" i="56" s="1"/>
  <c r="E53" i="56"/>
  <c r="R52" i="56"/>
  <c r="Q52" i="56"/>
  <c r="P52" i="56"/>
  <c r="I52" i="56"/>
  <c r="J52" i="56" s="1"/>
  <c r="H52" i="56"/>
  <c r="G52" i="56"/>
  <c r="F52" i="56"/>
  <c r="L52" i="56" s="1"/>
  <c r="E52" i="56"/>
  <c r="M52" i="56" s="1"/>
  <c r="R51" i="56"/>
  <c r="T51" i="56" s="1"/>
  <c r="Q51" i="56"/>
  <c r="P51" i="56"/>
  <c r="S51" i="56" s="1"/>
  <c r="I51" i="56"/>
  <c r="H51" i="56"/>
  <c r="K51" i="56" s="1"/>
  <c r="G51" i="56"/>
  <c r="F51" i="56"/>
  <c r="L51" i="56" s="1"/>
  <c r="E51" i="56"/>
  <c r="R50" i="56"/>
  <c r="T50" i="56" s="1"/>
  <c r="Q50" i="56"/>
  <c r="P50" i="56"/>
  <c r="S50" i="56" s="1"/>
  <c r="I50" i="56"/>
  <c r="K50" i="56" s="1"/>
  <c r="H50" i="56"/>
  <c r="G50" i="56"/>
  <c r="F50" i="56"/>
  <c r="E50" i="56"/>
  <c r="M50" i="56" s="1"/>
  <c r="R49" i="56"/>
  <c r="Q49" i="56"/>
  <c r="P49" i="56"/>
  <c r="I49" i="56"/>
  <c r="H49" i="56"/>
  <c r="J49" i="56" s="1"/>
  <c r="G49" i="56"/>
  <c r="L49" i="56" s="1"/>
  <c r="F49" i="56"/>
  <c r="E49" i="56"/>
  <c r="R48" i="56"/>
  <c r="T48" i="56" s="1"/>
  <c r="Q48" i="56"/>
  <c r="P48" i="56"/>
  <c r="S48" i="56" s="1"/>
  <c r="I48" i="56"/>
  <c r="H48" i="56"/>
  <c r="J48" i="56" s="1"/>
  <c r="G48" i="56"/>
  <c r="F48" i="56"/>
  <c r="E48" i="56"/>
  <c r="M48" i="56" s="1"/>
  <c r="R47" i="56"/>
  <c r="Q47" i="56"/>
  <c r="P47" i="56"/>
  <c r="I47" i="56"/>
  <c r="H47" i="56"/>
  <c r="G47" i="56"/>
  <c r="F47" i="56"/>
  <c r="E47" i="56"/>
  <c r="R46" i="56"/>
  <c r="T46" i="56" s="1"/>
  <c r="Q46" i="56"/>
  <c r="P46" i="56"/>
  <c r="S46" i="56" s="1"/>
  <c r="I46" i="56"/>
  <c r="K46" i="56" s="1"/>
  <c r="H46" i="56"/>
  <c r="J46" i="56" s="1"/>
  <c r="G46" i="56"/>
  <c r="F46" i="56"/>
  <c r="L46" i="56" s="1"/>
  <c r="E46" i="56"/>
  <c r="R45" i="56"/>
  <c r="T45" i="56" s="1"/>
  <c r="Q45" i="56"/>
  <c r="P45" i="56"/>
  <c r="S45" i="56" s="1"/>
  <c r="I45" i="56"/>
  <c r="K45" i="56" s="1"/>
  <c r="H45" i="56"/>
  <c r="G45" i="56"/>
  <c r="F45" i="56"/>
  <c r="E45" i="56"/>
  <c r="R44" i="56"/>
  <c r="Q44" i="56"/>
  <c r="P44" i="56"/>
  <c r="S44" i="56" s="1"/>
  <c r="I44" i="56"/>
  <c r="H44" i="56"/>
  <c r="K44" i="56" s="1"/>
  <c r="G44" i="56"/>
  <c r="L44" i="56" s="1"/>
  <c r="F44" i="56"/>
  <c r="E44" i="56"/>
  <c r="M44" i="56" s="1"/>
  <c r="R43" i="56"/>
  <c r="T43" i="56" s="1"/>
  <c r="Q43" i="56"/>
  <c r="P43" i="56"/>
  <c r="S43" i="56" s="1"/>
  <c r="I43" i="56"/>
  <c r="H43" i="56"/>
  <c r="G43" i="56"/>
  <c r="L43" i="56" s="1"/>
  <c r="F43" i="56"/>
  <c r="E43" i="56"/>
  <c r="M43" i="56" s="1"/>
  <c r="R42" i="56"/>
  <c r="Q42" i="56"/>
  <c r="P42" i="56"/>
  <c r="I42" i="56"/>
  <c r="K42" i="56" s="1"/>
  <c r="H42" i="56"/>
  <c r="G42" i="56"/>
  <c r="F42" i="56"/>
  <c r="E42" i="56"/>
  <c r="R41" i="56"/>
  <c r="T41" i="56" s="1"/>
  <c r="Q41" i="56"/>
  <c r="P41" i="56"/>
  <c r="I41" i="56"/>
  <c r="H41" i="56"/>
  <c r="J41" i="56" s="1"/>
  <c r="G41" i="56"/>
  <c r="F41" i="56"/>
  <c r="L41" i="56" s="1"/>
  <c r="E41" i="56"/>
  <c r="R40" i="56"/>
  <c r="T40" i="56" s="1"/>
  <c r="Q40" i="56"/>
  <c r="P40" i="56"/>
  <c r="I40" i="56"/>
  <c r="K40" i="56" s="1"/>
  <c r="O40" i="56" s="1"/>
  <c r="H40" i="56"/>
  <c r="G40" i="56"/>
  <c r="F40" i="56"/>
  <c r="E40" i="56"/>
  <c r="M40" i="56" s="1"/>
  <c r="R39" i="56"/>
  <c r="Q39" i="56"/>
  <c r="P39" i="56"/>
  <c r="I39" i="56"/>
  <c r="H39" i="56"/>
  <c r="K39" i="56" s="1"/>
  <c r="O39" i="56" s="1"/>
  <c r="G39" i="56"/>
  <c r="F39" i="56"/>
  <c r="L39" i="56" s="1"/>
  <c r="E39" i="56"/>
  <c r="M39" i="56" s="1"/>
  <c r="R38" i="56"/>
  <c r="T38" i="56" s="1"/>
  <c r="Q38" i="56"/>
  <c r="P38" i="56"/>
  <c r="S38" i="56" s="1"/>
  <c r="I38" i="56"/>
  <c r="H38" i="56"/>
  <c r="J38" i="56" s="1"/>
  <c r="G38" i="56"/>
  <c r="F38" i="56"/>
  <c r="E38" i="56"/>
  <c r="M38" i="56" s="1"/>
  <c r="R37" i="56"/>
  <c r="Q37" i="56"/>
  <c r="P37" i="56"/>
  <c r="I37" i="56"/>
  <c r="J37" i="56" s="1"/>
  <c r="H37" i="56"/>
  <c r="G37" i="56"/>
  <c r="F37" i="56"/>
  <c r="E37" i="56"/>
  <c r="R36" i="56"/>
  <c r="T36" i="56" s="1"/>
  <c r="Q36" i="56"/>
  <c r="P36" i="56"/>
  <c r="S36" i="56" s="1"/>
  <c r="I36" i="56"/>
  <c r="K36" i="56" s="1"/>
  <c r="O36" i="56" s="1"/>
  <c r="H36" i="56"/>
  <c r="G36" i="56"/>
  <c r="F36" i="56"/>
  <c r="L36" i="56" s="1"/>
  <c r="E36" i="56"/>
  <c r="R35" i="56"/>
  <c r="T35" i="56" s="1"/>
  <c r="Q35" i="56"/>
  <c r="P35" i="56"/>
  <c r="S35" i="56" s="1"/>
  <c r="I35" i="56"/>
  <c r="K35" i="56" s="1"/>
  <c r="O35" i="56" s="1"/>
  <c r="H35" i="56"/>
  <c r="G35" i="56"/>
  <c r="F35" i="56"/>
  <c r="L35" i="56" s="1"/>
  <c r="E35" i="56"/>
  <c r="M35" i="56" s="1"/>
  <c r="R34" i="56"/>
  <c r="Q34" i="56"/>
  <c r="P34" i="56"/>
  <c r="I34" i="56"/>
  <c r="H34" i="56"/>
  <c r="J34" i="56" s="1"/>
  <c r="G34" i="56"/>
  <c r="L34" i="56" s="1"/>
  <c r="F34" i="56"/>
  <c r="M34" i="56" s="1"/>
  <c r="E34" i="56"/>
  <c r="R33" i="56"/>
  <c r="T33" i="56" s="1"/>
  <c r="Q33" i="56"/>
  <c r="P33" i="56"/>
  <c r="S33" i="56" s="1"/>
  <c r="I33" i="56"/>
  <c r="H33" i="56"/>
  <c r="J33" i="56" s="1"/>
  <c r="G33" i="56"/>
  <c r="F33" i="56"/>
  <c r="L33" i="56" s="1"/>
  <c r="E33" i="56"/>
  <c r="M33" i="56" s="1"/>
  <c r="R32" i="56"/>
  <c r="Q32" i="56"/>
  <c r="P32" i="56"/>
  <c r="I32" i="56"/>
  <c r="H32" i="56"/>
  <c r="G32" i="56"/>
  <c r="F32" i="56"/>
  <c r="E32" i="56"/>
  <c r="R31" i="56"/>
  <c r="T31" i="56" s="1"/>
  <c r="Q31" i="56"/>
  <c r="P31" i="56"/>
  <c r="I31" i="56"/>
  <c r="K31" i="56" s="1"/>
  <c r="H31" i="56"/>
  <c r="J31" i="56" s="1"/>
  <c r="G31" i="56"/>
  <c r="L31" i="56" s="1"/>
  <c r="F31" i="56"/>
  <c r="E31" i="56"/>
  <c r="R30" i="56"/>
  <c r="T30" i="56" s="1"/>
  <c r="Q30" i="56"/>
  <c r="P30" i="56"/>
  <c r="I30" i="56"/>
  <c r="K30" i="56" s="1"/>
  <c r="H30" i="56"/>
  <c r="G30" i="56"/>
  <c r="F30" i="56"/>
  <c r="E30" i="56"/>
  <c r="R29" i="56"/>
  <c r="Q29" i="56"/>
  <c r="P29" i="56"/>
  <c r="I29" i="56"/>
  <c r="H29" i="56"/>
  <c r="J29" i="56" s="1"/>
  <c r="G29" i="56"/>
  <c r="L29" i="56" s="1"/>
  <c r="F29" i="56"/>
  <c r="E29" i="56"/>
  <c r="M29" i="56" s="1"/>
  <c r="R28" i="56"/>
  <c r="T28" i="56" s="1"/>
  <c r="Q28" i="56"/>
  <c r="P28" i="56"/>
  <c r="S28" i="56" s="1"/>
  <c r="I28" i="56"/>
  <c r="H28" i="56"/>
  <c r="G28" i="56"/>
  <c r="L28" i="56" s="1"/>
  <c r="F28" i="56"/>
  <c r="E28" i="56"/>
  <c r="M28" i="56" s="1"/>
  <c r="R27" i="56"/>
  <c r="Q27" i="56"/>
  <c r="P27" i="56"/>
  <c r="I27" i="56"/>
  <c r="K27" i="56" s="1"/>
  <c r="H27" i="56"/>
  <c r="G27" i="56"/>
  <c r="F27" i="56"/>
  <c r="L27" i="56" s="1"/>
  <c r="E27" i="56"/>
  <c r="R26" i="56"/>
  <c r="T26" i="56" s="1"/>
  <c r="Q26" i="56"/>
  <c r="P26" i="56"/>
  <c r="S26" i="56" s="1"/>
  <c r="I26" i="56"/>
  <c r="H26" i="56"/>
  <c r="K26" i="56" s="1"/>
  <c r="G26" i="56"/>
  <c r="F26" i="56"/>
  <c r="L26" i="56" s="1"/>
  <c r="E26" i="56"/>
  <c r="R25" i="56"/>
  <c r="T25" i="56" s="1"/>
  <c r="Q25" i="56"/>
  <c r="P25" i="56"/>
  <c r="S25" i="56" s="1"/>
  <c r="I25" i="56"/>
  <c r="J25" i="56" s="1"/>
  <c r="H25" i="56"/>
  <c r="G25" i="56"/>
  <c r="F25" i="56"/>
  <c r="E25" i="56"/>
  <c r="R24" i="56"/>
  <c r="Q24" i="56"/>
  <c r="P24" i="56"/>
  <c r="S24" i="56" s="1"/>
  <c r="I24" i="56"/>
  <c r="H24" i="56"/>
  <c r="K24" i="56" s="1"/>
  <c r="G24" i="56"/>
  <c r="F24" i="56"/>
  <c r="E24" i="56"/>
  <c r="M24" i="56" s="1"/>
  <c r="R23" i="56"/>
  <c r="T23" i="56" s="1"/>
  <c r="Q23" i="56"/>
  <c r="P23" i="56"/>
  <c r="S23" i="56" s="1"/>
  <c r="I23" i="56"/>
  <c r="H23" i="56"/>
  <c r="J23" i="56" s="1"/>
  <c r="G23" i="56"/>
  <c r="F23" i="56"/>
  <c r="E23" i="56"/>
  <c r="M23" i="56" s="1"/>
  <c r="R22" i="56"/>
  <c r="Q22" i="56"/>
  <c r="P22" i="56"/>
  <c r="I22" i="56"/>
  <c r="K22" i="56" s="1"/>
  <c r="H22" i="56"/>
  <c r="G22" i="56"/>
  <c r="F22" i="56"/>
  <c r="E22" i="56"/>
  <c r="R21" i="56"/>
  <c r="T21" i="56" s="1"/>
  <c r="Q21" i="56"/>
  <c r="P21" i="56"/>
  <c r="I21" i="56"/>
  <c r="H21" i="56"/>
  <c r="J21" i="56" s="1"/>
  <c r="G21" i="56"/>
  <c r="F21" i="56"/>
  <c r="E21" i="56"/>
  <c r="R20" i="56"/>
  <c r="T20" i="56" s="1"/>
  <c r="Q20" i="56"/>
  <c r="P20" i="56"/>
  <c r="S20" i="56" s="1"/>
  <c r="I20" i="56"/>
  <c r="K20" i="56" s="1"/>
  <c r="H20" i="56"/>
  <c r="G20" i="56"/>
  <c r="F20" i="56"/>
  <c r="E20" i="56"/>
  <c r="R19" i="56"/>
  <c r="Q19" i="56"/>
  <c r="P19" i="56"/>
  <c r="I19" i="56"/>
  <c r="H19" i="56"/>
  <c r="J19" i="56" s="1"/>
  <c r="G19" i="56"/>
  <c r="L19" i="56" s="1"/>
  <c r="F19" i="56"/>
  <c r="E19" i="56"/>
  <c r="M19" i="56" s="1"/>
  <c r="R18" i="56"/>
  <c r="T18" i="56" s="1"/>
  <c r="Q18" i="56"/>
  <c r="P18" i="56"/>
  <c r="S18" i="56" s="1"/>
  <c r="I18" i="56"/>
  <c r="H18" i="56"/>
  <c r="J18" i="56" s="1"/>
  <c r="G18" i="56"/>
  <c r="F18" i="56"/>
  <c r="E18" i="56"/>
  <c r="M18" i="56" s="1"/>
  <c r="R17" i="56"/>
  <c r="Q17" i="56"/>
  <c r="P17" i="56"/>
  <c r="I17" i="56"/>
  <c r="H17" i="56"/>
  <c r="G17" i="56"/>
  <c r="F17" i="56"/>
  <c r="E17" i="56"/>
  <c r="R16" i="56"/>
  <c r="T16" i="56" s="1"/>
  <c r="Q16" i="56"/>
  <c r="P16" i="56"/>
  <c r="I16" i="56"/>
  <c r="H16" i="56"/>
  <c r="K16" i="56" s="1"/>
  <c r="G16" i="56"/>
  <c r="F16" i="56"/>
  <c r="L16" i="56" s="1"/>
  <c r="E16" i="56"/>
  <c r="R15" i="56"/>
  <c r="T15" i="56" s="1"/>
  <c r="Q15" i="56"/>
  <c r="P15" i="56"/>
  <c r="I15" i="56"/>
  <c r="J15" i="56" s="1"/>
  <c r="H15" i="56"/>
  <c r="G15" i="56"/>
  <c r="F15" i="56"/>
  <c r="E15" i="56"/>
  <c r="R14" i="56"/>
  <c r="Q14" i="56"/>
  <c r="P14" i="56"/>
  <c r="I14" i="56"/>
  <c r="K14" i="56" s="1"/>
  <c r="H14" i="56"/>
  <c r="J14" i="56" s="1"/>
  <c r="G14" i="56"/>
  <c r="F14" i="56"/>
  <c r="L14" i="56" s="1"/>
  <c r="E14" i="56"/>
  <c r="M14" i="56" s="1"/>
  <c r="R13" i="56"/>
  <c r="Q13" i="56"/>
  <c r="P13" i="56"/>
  <c r="S13" i="56" s="1"/>
  <c r="I13" i="56"/>
  <c r="H13" i="56"/>
  <c r="J13" i="56" s="1"/>
  <c r="G13" i="56"/>
  <c r="F13" i="56"/>
  <c r="E13" i="56"/>
  <c r="M13" i="56" s="1"/>
  <c r="R12" i="56"/>
  <c r="T12" i="56" s="1"/>
  <c r="Q12" i="56"/>
  <c r="P12" i="56"/>
  <c r="S12" i="56" s="1"/>
  <c r="I12" i="56"/>
  <c r="H12" i="56"/>
  <c r="G12" i="56"/>
  <c r="F12" i="56"/>
  <c r="E12" i="56"/>
  <c r="R11" i="56"/>
  <c r="T11" i="56" s="1"/>
  <c r="Q11" i="56"/>
  <c r="P11" i="56"/>
  <c r="S11" i="56" s="1"/>
  <c r="I11" i="56"/>
  <c r="K11" i="56" s="1"/>
  <c r="H11" i="56"/>
  <c r="J11" i="56" s="1"/>
  <c r="G11" i="56"/>
  <c r="F11" i="56"/>
  <c r="L11" i="56" s="1"/>
  <c r="E11" i="56"/>
  <c r="R10" i="56"/>
  <c r="T10" i="56" s="1"/>
  <c r="Q10" i="56"/>
  <c r="P10" i="56"/>
  <c r="S10" i="56" s="1"/>
  <c r="I10" i="56"/>
  <c r="K10" i="56" s="1"/>
  <c r="O10" i="56" s="1"/>
  <c r="H10" i="56"/>
  <c r="G10" i="56"/>
  <c r="F10" i="56"/>
  <c r="E10" i="56"/>
  <c r="R9" i="56"/>
  <c r="T9" i="56" s="1"/>
  <c r="Q9" i="56"/>
  <c r="P9" i="56"/>
  <c r="S9" i="56" s="1"/>
  <c r="I9" i="56"/>
  <c r="H9" i="56"/>
  <c r="K9" i="56" s="1"/>
  <c r="G9" i="56"/>
  <c r="F9" i="56"/>
  <c r="E9" i="56"/>
  <c r="M9" i="56" s="1"/>
  <c r="V61" i="56"/>
  <c r="U61" i="56"/>
  <c r="T61" i="56"/>
  <c r="S61" i="56"/>
  <c r="O61" i="56"/>
  <c r="N61" i="56"/>
  <c r="M61" i="56"/>
  <c r="L61" i="56"/>
  <c r="G61" i="56"/>
  <c r="F61" i="56"/>
  <c r="E61" i="56"/>
  <c r="T59" i="56"/>
  <c r="T57" i="56"/>
  <c r="K57" i="56"/>
  <c r="L57" i="56"/>
  <c r="T56" i="56"/>
  <c r="S56" i="56"/>
  <c r="S55" i="56"/>
  <c r="S54" i="56"/>
  <c r="T54" i="56"/>
  <c r="T52" i="56"/>
  <c r="K52" i="56"/>
  <c r="O52" i="56" s="1"/>
  <c r="T49" i="56"/>
  <c r="K48" i="56"/>
  <c r="L48" i="56"/>
  <c r="T47" i="56"/>
  <c r="K47" i="56"/>
  <c r="L47" i="56"/>
  <c r="L45" i="56"/>
  <c r="T44" i="56"/>
  <c r="T42" i="56"/>
  <c r="J42" i="56"/>
  <c r="L42" i="56"/>
  <c r="M42" i="56"/>
  <c r="S41" i="56"/>
  <c r="K41" i="56"/>
  <c r="S40" i="56"/>
  <c r="T39" i="56"/>
  <c r="L38" i="56"/>
  <c r="T37" i="56"/>
  <c r="T34" i="56"/>
  <c r="T32" i="56"/>
  <c r="K32" i="56"/>
  <c r="O32" i="56" s="1"/>
  <c r="L32" i="56"/>
  <c r="S31" i="56"/>
  <c r="S30" i="56"/>
  <c r="T29" i="56"/>
  <c r="T27" i="56"/>
  <c r="T24" i="56"/>
  <c r="L24" i="56"/>
  <c r="L23" i="56"/>
  <c r="T22" i="56"/>
  <c r="J22" i="56"/>
  <c r="S21" i="56"/>
  <c r="K21" i="56"/>
  <c r="T19" i="56"/>
  <c r="S19" i="56"/>
  <c r="K18" i="56"/>
  <c r="T17" i="56"/>
  <c r="K17" i="56"/>
  <c r="J17" i="56"/>
  <c r="L17" i="56"/>
  <c r="S16" i="56"/>
  <c r="S15" i="56"/>
  <c r="S14" i="56"/>
  <c r="T14" i="56"/>
  <c r="T13" i="56"/>
  <c r="L13" i="56"/>
  <c r="AB70" i="55"/>
  <c r="AA70" i="55"/>
  <c r="Z70" i="55"/>
  <c r="Y70" i="55"/>
  <c r="X70" i="55"/>
  <c r="W70" i="55"/>
  <c r="V70" i="55"/>
  <c r="U70" i="55"/>
  <c r="T70" i="55"/>
  <c r="S70" i="55"/>
  <c r="R70" i="55"/>
  <c r="Q70" i="55"/>
  <c r="P70" i="55"/>
  <c r="O70" i="55"/>
  <c r="N70" i="55"/>
  <c r="M70" i="55"/>
  <c r="N71" i="54"/>
  <c r="K56" i="56" l="1"/>
  <c r="O24" i="56"/>
  <c r="K49" i="56"/>
  <c r="L12" i="56"/>
  <c r="L22" i="56"/>
  <c r="S29" i="56"/>
  <c r="S34" i="56"/>
  <c r="L37" i="56"/>
  <c r="S39" i="56"/>
  <c r="S49" i="56"/>
  <c r="S59" i="56"/>
  <c r="O44" i="56"/>
  <c r="V44" i="56" s="1"/>
  <c r="K29" i="56"/>
  <c r="J10" i="56"/>
  <c r="K12" i="56"/>
  <c r="O12" i="56" s="1"/>
  <c r="K19" i="56"/>
  <c r="K37" i="56"/>
  <c r="O37" i="56" s="1"/>
  <c r="L10" i="56"/>
  <c r="V10" i="56" s="1"/>
  <c r="L15" i="56"/>
  <c r="S17" i="56"/>
  <c r="S62" i="56" s="1"/>
  <c r="L20" i="56"/>
  <c r="S22" i="56"/>
  <c r="L25" i="56"/>
  <c r="S27" i="56"/>
  <c r="L30" i="56"/>
  <c r="S32" i="56"/>
  <c r="S37" i="56"/>
  <c r="L40" i="56"/>
  <c r="V40" i="56" s="1"/>
  <c r="S42" i="56"/>
  <c r="S47" i="56"/>
  <c r="L50" i="56"/>
  <c r="S52" i="56"/>
  <c r="L55" i="56"/>
  <c r="S57" i="56"/>
  <c r="L21" i="56"/>
  <c r="J51" i="56"/>
  <c r="N51" i="56" s="1"/>
  <c r="U51" i="56" s="1"/>
  <c r="L18" i="56"/>
  <c r="M11" i="56"/>
  <c r="K13" i="56"/>
  <c r="O13" i="56" s="1"/>
  <c r="V13" i="56" s="1"/>
  <c r="M21" i="56"/>
  <c r="M26" i="56"/>
  <c r="K28" i="56"/>
  <c r="M31" i="56"/>
  <c r="K33" i="56"/>
  <c r="M36" i="56"/>
  <c r="V36" i="56" s="1"/>
  <c r="K38" i="56"/>
  <c r="M41" i="56"/>
  <c r="K43" i="56"/>
  <c r="O43" i="56" s="1"/>
  <c r="V43" i="56" s="1"/>
  <c r="M51" i="56"/>
  <c r="M56" i="56"/>
  <c r="K58" i="56"/>
  <c r="J45" i="56"/>
  <c r="F62" i="56"/>
  <c r="N49" i="56"/>
  <c r="J50" i="56"/>
  <c r="N50" i="56" s="1"/>
  <c r="U50" i="56" s="1"/>
  <c r="K54" i="56"/>
  <c r="O54" i="56" s="1"/>
  <c r="V54" i="56" s="1"/>
  <c r="K23" i="56"/>
  <c r="O23" i="56" s="1"/>
  <c r="V23" i="56" s="1"/>
  <c r="N46" i="56"/>
  <c r="M16" i="56"/>
  <c r="V16" i="56" s="1"/>
  <c r="K15" i="56"/>
  <c r="O15" i="56" s="1"/>
  <c r="V15" i="56" s="1"/>
  <c r="K25" i="56"/>
  <c r="O25" i="56" s="1"/>
  <c r="J55" i="56"/>
  <c r="N55" i="56" s="1"/>
  <c r="K59" i="56"/>
  <c r="O59" i="56" s="1"/>
  <c r="V59" i="56" s="1"/>
  <c r="M12" i="56"/>
  <c r="M17" i="56"/>
  <c r="V17" i="56" s="1"/>
  <c r="M22" i="56"/>
  <c r="M27" i="56"/>
  <c r="V27" i="56" s="1"/>
  <c r="M32" i="56"/>
  <c r="V32" i="56" s="1"/>
  <c r="M37" i="56"/>
  <c r="M47" i="56"/>
  <c r="J9" i="56"/>
  <c r="N9" i="56" s="1"/>
  <c r="J30" i="56"/>
  <c r="N30" i="56" s="1"/>
  <c r="K34" i="56"/>
  <c r="O34" i="56" s="1"/>
  <c r="V34" i="56" s="1"/>
  <c r="J26" i="56"/>
  <c r="N26" i="56" s="1"/>
  <c r="U26" i="56" s="1"/>
  <c r="M10" i="56"/>
  <c r="M15" i="56"/>
  <c r="M20" i="56"/>
  <c r="V20" i="56" s="1"/>
  <c r="M30" i="56"/>
  <c r="N45" i="56"/>
  <c r="G4" i="32"/>
  <c r="J23" i="68"/>
  <c r="D25" i="68"/>
  <c r="B6" i="32" s="1"/>
  <c r="B6" i="6" s="1"/>
  <c r="C25" i="68"/>
  <c r="C26" i="68"/>
  <c r="C22" i="68"/>
  <c r="C33" i="68"/>
  <c r="C31" i="68"/>
  <c r="C34" i="68"/>
  <c r="C30" i="68"/>
  <c r="E35" i="68"/>
  <c r="C7" i="33" s="1"/>
  <c r="B4" i="33"/>
  <c r="B4" i="12" s="1"/>
  <c r="O9" i="56"/>
  <c r="O20" i="56"/>
  <c r="O27" i="56"/>
  <c r="O31" i="56"/>
  <c r="V31" i="56" s="1"/>
  <c r="N37" i="56"/>
  <c r="N41" i="56"/>
  <c r="U41" i="56" s="1"/>
  <c r="O51" i="56"/>
  <c r="V51" i="56" s="1"/>
  <c r="O57" i="56"/>
  <c r="O16" i="56"/>
  <c r="O30" i="56"/>
  <c r="O46" i="56"/>
  <c r="N48" i="56"/>
  <c r="U48" i="56" s="1"/>
  <c r="O50" i="56"/>
  <c r="N59" i="56"/>
  <c r="O38" i="56"/>
  <c r="V38" i="56" s="1"/>
  <c r="O41" i="56"/>
  <c r="V41" i="56" s="1"/>
  <c r="O42" i="56"/>
  <c r="V42" i="56" s="1"/>
  <c r="O49" i="56"/>
  <c r="T62" i="56"/>
  <c r="O19" i="56"/>
  <c r="V19" i="56" s="1"/>
  <c r="O26" i="56"/>
  <c r="V26" i="56" s="1"/>
  <c r="N52" i="56"/>
  <c r="U52" i="56" s="1"/>
  <c r="O53" i="56"/>
  <c r="O22" i="56"/>
  <c r="N31" i="56"/>
  <c r="U31" i="56" s="1"/>
  <c r="O56" i="56"/>
  <c r="O11" i="56"/>
  <c r="O18" i="56"/>
  <c r="O28" i="56"/>
  <c r="V28" i="56" s="1"/>
  <c r="O48" i="56"/>
  <c r="O14" i="56"/>
  <c r="V14" i="56" s="1"/>
  <c r="O47" i="56"/>
  <c r="O55" i="56"/>
  <c r="O58" i="56"/>
  <c r="V58" i="56" s="1"/>
  <c r="N25" i="56"/>
  <c r="V24" i="56"/>
  <c r="N27" i="56"/>
  <c r="O45" i="56"/>
  <c r="V55" i="56"/>
  <c r="O29" i="56"/>
  <c r="V29" i="56" s="1"/>
  <c r="N29" i="56"/>
  <c r="U29" i="56" s="1"/>
  <c r="O17" i="56"/>
  <c r="O33" i="56"/>
  <c r="V33" i="56" s="1"/>
  <c r="N33" i="56"/>
  <c r="M45" i="56"/>
  <c r="J27" i="56"/>
  <c r="V52" i="56"/>
  <c r="N11" i="56"/>
  <c r="U11" i="56" s="1"/>
  <c r="N15" i="56"/>
  <c r="U15" i="56" s="1"/>
  <c r="V39" i="56"/>
  <c r="E62" i="56"/>
  <c r="N19" i="56"/>
  <c r="U19" i="56" s="1"/>
  <c r="V35" i="56"/>
  <c r="J35" i="56"/>
  <c r="N35" i="56" s="1"/>
  <c r="U35" i="56" s="1"/>
  <c r="J39" i="56"/>
  <c r="N39" i="56" s="1"/>
  <c r="U39" i="56" s="1"/>
  <c r="J43" i="56"/>
  <c r="N43" i="56" s="1"/>
  <c r="U43" i="56" s="1"/>
  <c r="V47" i="56"/>
  <c r="V48" i="56"/>
  <c r="L9" i="56"/>
  <c r="G62" i="56"/>
  <c r="L62" i="56" s="1"/>
  <c r="N13" i="56"/>
  <c r="U13" i="56" s="1"/>
  <c r="N17" i="56"/>
  <c r="O21" i="56"/>
  <c r="N21" i="56"/>
  <c r="U22" i="56"/>
  <c r="N23" i="56"/>
  <c r="U23" i="56" s="1"/>
  <c r="M25" i="56"/>
  <c r="U33" i="56"/>
  <c r="J47" i="56"/>
  <c r="N47" i="56" s="1"/>
  <c r="N56" i="56"/>
  <c r="U56" i="56" s="1"/>
  <c r="M49" i="56"/>
  <c r="M53" i="56"/>
  <c r="M57" i="56"/>
  <c r="M46" i="56"/>
  <c r="N10" i="56"/>
  <c r="J12" i="56"/>
  <c r="N12" i="56" s="1"/>
  <c r="U12" i="56" s="1"/>
  <c r="N14" i="56"/>
  <c r="U14" i="56" s="1"/>
  <c r="J16" i="56"/>
  <c r="N16" i="56" s="1"/>
  <c r="U16" i="56" s="1"/>
  <c r="N18" i="56"/>
  <c r="U18" i="56" s="1"/>
  <c r="J20" i="56"/>
  <c r="N20" i="56" s="1"/>
  <c r="N22" i="56"/>
  <c r="J24" i="56"/>
  <c r="N24" i="56" s="1"/>
  <c r="U24" i="56" s="1"/>
  <c r="J28" i="56"/>
  <c r="N28" i="56" s="1"/>
  <c r="U28" i="56" s="1"/>
  <c r="J32" i="56"/>
  <c r="N32" i="56" s="1"/>
  <c r="N34" i="56"/>
  <c r="U34" i="56" s="1"/>
  <c r="J36" i="56"/>
  <c r="N36" i="56" s="1"/>
  <c r="U36" i="56" s="1"/>
  <c r="N38" i="56"/>
  <c r="U38" i="56" s="1"/>
  <c r="J40" i="56"/>
  <c r="N40" i="56" s="1"/>
  <c r="U40" i="56" s="1"/>
  <c r="N42" i="56"/>
  <c r="U42" i="56" s="1"/>
  <c r="J44" i="56"/>
  <c r="N44" i="56" s="1"/>
  <c r="U44" i="56" s="1"/>
  <c r="N54" i="56"/>
  <c r="U54" i="56" s="1"/>
  <c r="N58" i="56"/>
  <c r="U58" i="56" s="1"/>
  <c r="J53" i="56"/>
  <c r="N53" i="56" s="1"/>
  <c r="J57" i="56"/>
  <c r="N57" i="56" s="1"/>
  <c r="U49" i="56" l="1"/>
  <c r="V56" i="56"/>
  <c r="V18" i="56"/>
  <c r="V12" i="56"/>
  <c r="V50" i="56"/>
  <c r="U21" i="56"/>
  <c r="V21" i="56"/>
  <c r="U10" i="56"/>
  <c r="U46" i="56"/>
  <c r="V37" i="56"/>
  <c r="U25" i="56"/>
  <c r="V11" i="56"/>
  <c r="U55" i="56"/>
  <c r="U59" i="56"/>
  <c r="M62" i="56"/>
  <c r="C6" i="68" s="1"/>
  <c r="V30" i="56"/>
  <c r="U20" i="56"/>
  <c r="V53" i="56"/>
  <c r="V22" i="56"/>
  <c r="V49" i="56"/>
  <c r="U32" i="56"/>
  <c r="E25" i="68"/>
  <c r="C6" i="32" s="1"/>
  <c r="U17" i="56"/>
  <c r="U27" i="56"/>
  <c r="V57" i="56"/>
  <c r="U37" i="56"/>
  <c r="U45" i="56"/>
  <c r="U47" i="56"/>
  <c r="U30" i="56"/>
  <c r="V45" i="56"/>
  <c r="H4" i="32"/>
  <c r="K23" i="68"/>
  <c r="D30" i="68"/>
  <c r="D31" i="68"/>
  <c r="D34" i="68"/>
  <c r="B6" i="33" s="1"/>
  <c r="B6" i="12" s="1"/>
  <c r="D33" i="68"/>
  <c r="B5" i="33" s="1"/>
  <c r="B5" i="12" s="1"/>
  <c r="E32" i="68"/>
  <c r="C4" i="33" s="1"/>
  <c r="F35" i="68"/>
  <c r="D7" i="33" s="1"/>
  <c r="O62" i="56"/>
  <c r="V62" i="56" s="1"/>
  <c r="T64" i="56" s="1"/>
  <c r="V25" i="56"/>
  <c r="V46" i="56"/>
  <c r="V9" i="56"/>
  <c r="U9" i="56"/>
  <c r="N62" i="56"/>
  <c r="U53" i="56"/>
  <c r="U57" i="56"/>
  <c r="U62" i="56" l="1"/>
  <c r="D24" i="68"/>
  <c r="C24" i="68"/>
  <c r="F25" i="68"/>
  <c r="D6" i="32" s="1"/>
  <c r="L23" i="68"/>
  <c r="I4" i="32"/>
  <c r="E31" i="68"/>
  <c r="B3" i="33"/>
  <c r="B3" i="12" s="1"/>
  <c r="B2" i="33"/>
  <c r="B2" i="12" s="1"/>
  <c r="E34" i="68"/>
  <c r="C6" i="33" s="1"/>
  <c r="E33" i="68"/>
  <c r="C5" i="33" s="1"/>
  <c r="B7" i="32"/>
  <c r="B7" i="6" s="1"/>
  <c r="E26" i="68"/>
  <c r="B3" i="32"/>
  <c r="B3" i="6" s="1"/>
  <c r="E22" i="68"/>
  <c r="G25" i="68"/>
  <c r="E6" i="32" s="1"/>
  <c r="F32" i="68"/>
  <c r="D4" i="33" s="1"/>
  <c r="F33" i="68"/>
  <c r="D5" i="33" s="1"/>
  <c r="G35" i="68"/>
  <c r="E7" i="33" s="1"/>
  <c r="E64" i="56"/>
  <c r="S64" i="56"/>
  <c r="G64" i="56"/>
  <c r="B5" i="32" l="1"/>
  <c r="B5" i="6" s="1"/>
  <c r="E24" i="68"/>
  <c r="J4" i="32"/>
  <c r="M23" i="68"/>
  <c r="F31" i="68"/>
  <c r="C3" i="33"/>
  <c r="C2" i="33"/>
  <c r="F34" i="68"/>
  <c r="D6" i="33" s="1"/>
  <c r="C3" i="32"/>
  <c r="F22" i="68"/>
  <c r="C7" i="32"/>
  <c r="F26" i="68"/>
  <c r="H25" i="68"/>
  <c r="F6" i="32" s="1"/>
  <c r="H35" i="68"/>
  <c r="F7" i="33" s="1"/>
  <c r="G33" i="68"/>
  <c r="E5" i="33" s="1"/>
  <c r="G32" i="68"/>
  <c r="E4" i="33" s="1"/>
  <c r="C5" i="32" l="1"/>
  <c r="F24" i="68"/>
  <c r="K4" i="32"/>
  <c r="N23" i="68"/>
  <c r="G31" i="68"/>
  <c r="D3" i="33"/>
  <c r="D2" i="33"/>
  <c r="G34" i="68"/>
  <c r="E6" i="33" s="1"/>
  <c r="D7" i="32"/>
  <c r="G26" i="68"/>
  <c r="D3" i="32"/>
  <c r="G22" i="68"/>
  <c r="I25" i="68"/>
  <c r="G6" i="32" s="1"/>
  <c r="H33" i="68"/>
  <c r="F5" i="33" s="1"/>
  <c r="I35" i="68"/>
  <c r="G7" i="33" s="1"/>
  <c r="H32" i="68"/>
  <c r="F4" i="33" s="1"/>
  <c r="D5" i="32" l="1"/>
  <c r="G24" i="68"/>
  <c r="L4" i="32"/>
  <c r="O23" i="68"/>
  <c r="H31" i="68"/>
  <c r="E3" i="33"/>
  <c r="E2" i="33"/>
  <c r="H34" i="68"/>
  <c r="F6" i="33" s="1"/>
  <c r="E3" i="32"/>
  <c r="H22" i="68"/>
  <c r="E7" i="32"/>
  <c r="H26" i="68"/>
  <c r="J25" i="68"/>
  <c r="H6" i="32" s="1"/>
  <c r="I33" i="68"/>
  <c r="G5" i="33" s="1"/>
  <c r="J35" i="68"/>
  <c r="H7" i="33" s="1"/>
  <c r="I32" i="68"/>
  <c r="G4" i="33" s="1"/>
  <c r="E5" i="32" l="1"/>
  <c r="H24" i="68"/>
  <c r="M4" i="32"/>
  <c r="P23" i="68"/>
  <c r="F2" i="33"/>
  <c r="I31" i="68"/>
  <c r="F3" i="33"/>
  <c r="I34" i="68"/>
  <c r="G6" i="33" s="1"/>
  <c r="F7" i="32"/>
  <c r="I26" i="68"/>
  <c r="F3" i="32"/>
  <c r="I22" i="68"/>
  <c r="K25" i="68"/>
  <c r="I6" i="32" s="1"/>
  <c r="K35" i="68"/>
  <c r="I7" i="33" s="1"/>
  <c r="J32" i="68"/>
  <c r="H4" i="33" s="1"/>
  <c r="J33" i="68"/>
  <c r="H5" i="33" s="1"/>
  <c r="F5" i="32" l="1"/>
  <c r="I24" i="68"/>
  <c r="N4" i="32"/>
  <c r="Q23" i="68"/>
  <c r="J31" i="68"/>
  <c r="G3" i="33"/>
  <c r="G2" i="33"/>
  <c r="J34" i="68"/>
  <c r="H6" i="33" s="1"/>
  <c r="G7" i="32"/>
  <c r="J26" i="68"/>
  <c r="G3" i="32"/>
  <c r="J22" i="68"/>
  <c r="L25" i="68"/>
  <c r="J6" i="32" s="1"/>
  <c r="K32" i="68"/>
  <c r="I4" i="33" s="1"/>
  <c r="K33" i="68"/>
  <c r="I5" i="33" s="1"/>
  <c r="L35" i="68"/>
  <c r="J7" i="33" s="1"/>
  <c r="G5" i="32" l="1"/>
  <c r="J24" i="68"/>
  <c r="O4" i="32"/>
  <c r="R23" i="68"/>
  <c r="K31" i="68"/>
  <c r="H3" i="33"/>
  <c r="H2" i="33"/>
  <c r="K34" i="68"/>
  <c r="I6" i="33" s="1"/>
  <c r="H3" i="32"/>
  <c r="K22" i="68"/>
  <c r="H7" i="32"/>
  <c r="K26" i="68"/>
  <c r="M25" i="68"/>
  <c r="K6" i="32" s="1"/>
  <c r="L33" i="68"/>
  <c r="J5" i="33" s="1"/>
  <c r="M35" i="68"/>
  <c r="K7" i="33" s="1"/>
  <c r="L32" i="68"/>
  <c r="J4" i="33" s="1"/>
  <c r="H5" i="32" l="1"/>
  <c r="K24" i="68"/>
  <c r="P4" i="32"/>
  <c r="S23" i="68"/>
  <c r="I2" i="33"/>
  <c r="L31" i="68"/>
  <c r="I3" i="33"/>
  <c r="L34" i="68"/>
  <c r="J6" i="33" s="1"/>
  <c r="I7" i="32"/>
  <c r="L26" i="68"/>
  <c r="I3" i="32"/>
  <c r="L22" i="68"/>
  <c r="N25" i="68"/>
  <c r="L6" i="32" s="1"/>
  <c r="M32" i="68"/>
  <c r="K4" i="33" s="1"/>
  <c r="M33" i="68"/>
  <c r="K5" i="33" s="1"/>
  <c r="N35" i="68"/>
  <c r="L7" i="33" s="1"/>
  <c r="I5" i="32" l="1"/>
  <c r="L24" i="68"/>
  <c r="Q4" i="32"/>
  <c r="T23" i="68"/>
  <c r="J2" i="33"/>
  <c r="M31" i="68"/>
  <c r="J3" i="33"/>
  <c r="M34" i="68"/>
  <c r="K6" i="33" s="1"/>
  <c r="J7" i="32"/>
  <c r="M26" i="68"/>
  <c r="J3" i="32"/>
  <c r="M22" i="68"/>
  <c r="O25" i="68"/>
  <c r="M6" i="32" s="1"/>
  <c r="O35" i="68"/>
  <c r="M7" i="33" s="1"/>
  <c r="N33" i="68"/>
  <c r="L5" i="33" s="1"/>
  <c r="N32" i="68"/>
  <c r="L4" i="33" s="1"/>
  <c r="J5" i="32" l="1"/>
  <c r="M24" i="68"/>
  <c r="R4" i="32"/>
  <c r="U23" i="68"/>
  <c r="N34" i="68"/>
  <c r="L6" i="33" s="1"/>
  <c r="K2" i="33"/>
  <c r="N31" i="68"/>
  <c r="K3" i="33"/>
  <c r="K3" i="32"/>
  <c r="N22" i="68"/>
  <c r="K7" i="32"/>
  <c r="N26" i="68"/>
  <c r="P25" i="68"/>
  <c r="N6" i="32" s="1"/>
  <c r="P35" i="68"/>
  <c r="N7" i="33" s="1"/>
  <c r="O32" i="68"/>
  <c r="M4" i="33" s="1"/>
  <c r="O33" i="68"/>
  <c r="M5" i="33" s="1"/>
  <c r="K5" i="32" l="1"/>
  <c r="N24" i="68"/>
  <c r="S4" i="32"/>
  <c r="V23" i="68"/>
  <c r="O34" i="68"/>
  <c r="M6" i="33" s="1"/>
  <c r="L2" i="33"/>
  <c r="O31" i="68"/>
  <c r="L3" i="33"/>
  <c r="L3" i="32"/>
  <c r="O22" i="68"/>
  <c r="L7" i="32"/>
  <c r="O26" i="68"/>
  <c r="Q25" i="68"/>
  <c r="O6" i="32" s="1"/>
  <c r="P33" i="68"/>
  <c r="N5" i="33" s="1"/>
  <c r="P32" i="68"/>
  <c r="N4" i="33" s="1"/>
  <c r="Q35" i="68"/>
  <c r="O7" i="33" s="1"/>
  <c r="L5" i="32" l="1"/>
  <c r="O24" i="68"/>
  <c r="T4" i="32"/>
  <c r="W23" i="68"/>
  <c r="P34" i="68"/>
  <c r="P31" i="68"/>
  <c r="M3" i="33"/>
  <c r="M2" i="33"/>
  <c r="M7" i="32"/>
  <c r="P26" i="68"/>
  <c r="M3" i="32"/>
  <c r="P22" i="68"/>
  <c r="R25" i="68"/>
  <c r="P6" i="32" s="1"/>
  <c r="R35" i="68"/>
  <c r="P7" i="33" s="1"/>
  <c r="Q32" i="68"/>
  <c r="O4" i="33" s="1"/>
  <c r="Q33" i="68"/>
  <c r="O5" i="33" s="1"/>
  <c r="M5" i="32" l="1"/>
  <c r="P24" i="68"/>
  <c r="U4" i="32"/>
  <c r="X23" i="68"/>
  <c r="N6" i="33"/>
  <c r="Q34" i="68"/>
  <c r="N2" i="33"/>
  <c r="Q31" i="68"/>
  <c r="N3" i="33"/>
  <c r="N3" i="32"/>
  <c r="Q22" i="68"/>
  <c r="N7" i="32"/>
  <c r="Q26" i="68"/>
  <c r="S25" i="68"/>
  <c r="Q6" i="32" s="1"/>
  <c r="R32" i="68"/>
  <c r="P4" i="33" s="1"/>
  <c r="R33" i="68"/>
  <c r="P5" i="33" s="1"/>
  <c r="S35" i="68"/>
  <c r="Q7" i="33" s="1"/>
  <c r="N5" i="32" l="1"/>
  <c r="Q24" i="68"/>
  <c r="O6" i="33"/>
  <c r="R34" i="68"/>
  <c r="V4" i="32"/>
  <c r="Y23" i="68"/>
  <c r="R31" i="68"/>
  <c r="O3" i="33"/>
  <c r="O2" i="33"/>
  <c r="O3" i="32"/>
  <c r="R22" i="68"/>
  <c r="O7" i="32"/>
  <c r="R26" i="68"/>
  <c r="T25" i="68"/>
  <c r="R6" i="32" s="1"/>
  <c r="T35" i="68"/>
  <c r="R7" i="33" s="1"/>
  <c r="S33" i="68"/>
  <c r="Q5" i="33" s="1"/>
  <c r="S32" i="68"/>
  <c r="Q4" i="33" s="1"/>
  <c r="O5" i="32" l="1"/>
  <c r="R24" i="68"/>
  <c r="P6" i="33"/>
  <c r="S34" i="68"/>
  <c r="W4" i="32"/>
  <c r="Z23" i="68"/>
  <c r="P2" i="33"/>
  <c r="S31" i="68"/>
  <c r="P3" i="33"/>
  <c r="P3" i="32"/>
  <c r="S22" i="68"/>
  <c r="P7" i="32"/>
  <c r="S26" i="68"/>
  <c r="U25" i="68"/>
  <c r="S6" i="32" s="1"/>
  <c r="T33" i="68"/>
  <c r="R5" i="33" s="1"/>
  <c r="U35" i="68"/>
  <c r="S7" i="33" s="1"/>
  <c r="T32" i="68"/>
  <c r="R4" i="33" s="1"/>
  <c r="P5" i="32" l="1"/>
  <c r="S24" i="68"/>
  <c r="Q6" i="33"/>
  <c r="T34" i="68"/>
  <c r="X4" i="32"/>
  <c r="AA23" i="68"/>
  <c r="T31" i="68"/>
  <c r="Q3" i="33"/>
  <c r="Q2" i="33"/>
  <c r="Q7" i="32"/>
  <c r="T26" i="68"/>
  <c r="Q3" i="32"/>
  <c r="T22" i="68"/>
  <c r="V25" i="68"/>
  <c r="T6" i="32" s="1"/>
  <c r="U32" i="68"/>
  <c r="S4" i="33" s="1"/>
  <c r="V35" i="68"/>
  <c r="T7" i="33" s="1"/>
  <c r="U33" i="68"/>
  <c r="S5" i="33" s="1"/>
  <c r="Q5" i="32" l="1"/>
  <c r="T24" i="68"/>
  <c r="R6" i="33"/>
  <c r="U34" i="68"/>
  <c r="S6" i="33" s="1"/>
  <c r="Y4" i="32"/>
  <c r="AB23" i="68"/>
  <c r="R2" i="33"/>
  <c r="U31" i="68"/>
  <c r="R3" i="33"/>
  <c r="R3" i="32"/>
  <c r="U22" i="68"/>
  <c r="R7" i="32"/>
  <c r="U26" i="68"/>
  <c r="W25" i="68"/>
  <c r="U6" i="32" s="1"/>
  <c r="V33" i="68"/>
  <c r="T5" i="33" s="1"/>
  <c r="V32" i="68"/>
  <c r="T4" i="33" s="1"/>
  <c r="W35" i="68"/>
  <c r="U7" i="33" s="1"/>
  <c r="V34" i="68"/>
  <c r="T6" i="33" s="1"/>
  <c r="R5" i="32" l="1"/>
  <c r="U24" i="68"/>
  <c r="Z4" i="32"/>
  <c r="AC23" i="68"/>
  <c r="V31" i="68"/>
  <c r="S3" i="33"/>
  <c r="S2" i="33"/>
  <c r="S3" i="32"/>
  <c r="V22" i="68"/>
  <c r="S7" i="32"/>
  <c r="V26" i="68"/>
  <c r="X25" i="68"/>
  <c r="V6" i="32" s="1"/>
  <c r="W34" i="68"/>
  <c r="U6" i="33" s="1"/>
  <c r="X35" i="68"/>
  <c r="V7" i="33" s="1"/>
  <c r="W33" i="68"/>
  <c r="U5" i="33" s="1"/>
  <c r="W32" i="68"/>
  <c r="U4" i="33" s="1"/>
  <c r="S5" i="32" l="1"/>
  <c r="V24" i="68"/>
  <c r="AA4" i="32"/>
  <c r="AD23" i="68"/>
  <c r="AB4" i="32" s="1"/>
  <c r="T2" i="33"/>
  <c r="W31" i="68"/>
  <c r="T3" i="33"/>
  <c r="T3" i="32"/>
  <c r="W22" i="68"/>
  <c r="T7" i="32"/>
  <c r="W26" i="68"/>
  <c r="Y25" i="68"/>
  <c r="W6" i="32" s="1"/>
  <c r="X34" i="68"/>
  <c r="V6" i="33" s="1"/>
  <c r="X32" i="68"/>
  <c r="V4" i="33" s="1"/>
  <c r="X33" i="68"/>
  <c r="V5" i="33" s="1"/>
  <c r="Y35" i="68"/>
  <c r="W7" i="33" s="1"/>
  <c r="T5" i="32" l="1"/>
  <c r="W24" i="68"/>
  <c r="U2" i="33"/>
  <c r="X31" i="68"/>
  <c r="U3" i="33"/>
  <c r="U3" i="32"/>
  <c r="X22" i="68"/>
  <c r="U7" i="32"/>
  <c r="X26" i="68"/>
  <c r="Z25" i="68"/>
  <c r="X6" i="32" s="1"/>
  <c r="Y33" i="68"/>
  <c r="W5" i="33" s="1"/>
  <c r="Y34" i="68"/>
  <c r="W6" i="33" s="1"/>
  <c r="Z35" i="68"/>
  <c r="X7" i="33" s="1"/>
  <c r="Y32" i="68"/>
  <c r="W4" i="33" s="1"/>
  <c r="U5" i="32" l="1"/>
  <c r="X24" i="68"/>
  <c r="Y31" i="68"/>
  <c r="V3" i="33"/>
  <c r="V2" i="33"/>
  <c r="V3" i="32"/>
  <c r="Y22" i="68"/>
  <c r="V7" i="32"/>
  <c r="Y26" i="68"/>
  <c r="AA25" i="68"/>
  <c r="Y6" i="32" s="1"/>
  <c r="Z33" i="68"/>
  <c r="X5" i="33" s="1"/>
  <c r="Z32" i="68"/>
  <c r="X4" i="33" s="1"/>
  <c r="AA35" i="68"/>
  <c r="Y7" i="33" s="1"/>
  <c r="Z34" i="68"/>
  <c r="X6" i="33" s="1"/>
  <c r="V5" i="32" l="1"/>
  <c r="Y24" i="68"/>
  <c r="Z31" i="68"/>
  <c r="W3" i="33"/>
  <c r="W2" i="33"/>
  <c r="W7" i="32"/>
  <c r="Z26" i="68"/>
  <c r="W3" i="32"/>
  <c r="Z22" i="68"/>
  <c r="AB25" i="68"/>
  <c r="Z6" i="32" s="1"/>
  <c r="AA33" i="68"/>
  <c r="Y5" i="33" s="1"/>
  <c r="AA34" i="68"/>
  <c r="Y6" i="33" s="1"/>
  <c r="AB35" i="68"/>
  <c r="Z7" i="33" s="1"/>
  <c r="AA32" i="68"/>
  <c r="Y4" i="33" s="1"/>
  <c r="W5" i="32" l="1"/>
  <c r="Z24" i="68"/>
  <c r="X2" i="33"/>
  <c r="AA31" i="68"/>
  <c r="X3" i="33"/>
  <c r="X3" i="32"/>
  <c r="AA22" i="68"/>
  <c r="X7" i="32"/>
  <c r="AA26" i="68"/>
  <c r="AC25" i="68"/>
  <c r="AA6" i="32" s="1"/>
  <c r="AB33" i="68"/>
  <c r="Z5" i="33" s="1"/>
  <c r="AB32" i="68"/>
  <c r="Z4" i="33" s="1"/>
  <c r="AC35" i="68"/>
  <c r="AA7" i="33" s="1"/>
  <c r="AB34" i="68"/>
  <c r="Z6" i="33" s="1"/>
  <c r="X5" i="32" l="1"/>
  <c r="AA24" i="68"/>
  <c r="AB31" i="68"/>
  <c r="Y3" i="33"/>
  <c r="Y2" i="33"/>
  <c r="Y7" i="32"/>
  <c r="AB26" i="68"/>
  <c r="Y3" i="32"/>
  <c r="AB22" i="68"/>
  <c r="AD25" i="68"/>
  <c r="AB6" i="32" s="1"/>
  <c r="AC33" i="68"/>
  <c r="AA5" i="33" s="1"/>
  <c r="AC34" i="68"/>
  <c r="AA6" i="33" s="1"/>
  <c r="AD35" i="68"/>
  <c r="AB7" i="33" s="1"/>
  <c r="AC32" i="68"/>
  <c r="AA4" i="33" s="1"/>
  <c r="Y5" i="32" l="1"/>
  <c r="AB24" i="68"/>
  <c r="AC31" i="68"/>
  <c r="Z3" i="33"/>
  <c r="Z2" i="33"/>
  <c r="Z3" i="32"/>
  <c r="AC22" i="68"/>
  <c r="Z7" i="32"/>
  <c r="AC26" i="68"/>
  <c r="AD32" i="68"/>
  <c r="AB4" i="33" s="1"/>
  <c r="AD33" i="68"/>
  <c r="AB5" i="33" s="1"/>
  <c r="AD34" i="68"/>
  <c r="AB6" i="33" s="1"/>
  <c r="Z5" i="32" l="1"/>
  <c r="AC24" i="68"/>
  <c r="AB2" i="33"/>
  <c r="AA2" i="33"/>
  <c r="AD31" i="68"/>
  <c r="AB3" i="33" s="1"/>
  <c r="AA3" i="33"/>
  <c r="AA7" i="32"/>
  <c r="AD26" i="68"/>
  <c r="AB7" i="32" s="1"/>
  <c r="AA3" i="32"/>
  <c r="AD22" i="68"/>
  <c r="AB3" i="32" s="1"/>
  <c r="AA5" i="32" l="1"/>
  <c r="AD24" i="68"/>
  <c r="AB5" i="32" s="1"/>
</calcChain>
</file>

<file path=xl/sharedStrings.xml><?xml version="1.0" encoding="utf-8"?>
<sst xmlns="http://schemas.openxmlformats.org/spreadsheetml/2006/main" count="10475" uniqueCount="4897">
  <si>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</si>
  <si>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</si>
  <si>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</si>
  <si>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</si>
  <si>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</si>
  <si>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</si>
  <si>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</si>
  <si>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</si>
  <si>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</si>
  <si>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</si>
  <si>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</si>
  <si>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</si>
  <si>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</si>
  <si>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</si>
  <si>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</si>
  <si>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</si>
  <si>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</si>
  <si>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</si>
  <si>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</si>
  <si>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</si>
  <si>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</si>
  <si>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</si>
  <si>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</si>
  <si>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</si>
  <si>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</si>
  <si>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</si>
  <si>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</si>
  <si>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</si>
  <si>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</si>
  <si>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</si>
  <si>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</si>
  <si>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</si>
  <si>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</si>
  <si>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</si>
  <si>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</si>
  <si>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</si>
  <si>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</si>
  <si>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</si>
  <si>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</si>
  <si>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</si>
  <si>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</si>
  <si>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</si>
  <si>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</si>
  <si>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</si>
  <si>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</si>
  <si>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</si>
  <si>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</si>
  <si>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</si>
  <si>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</si>
  <si>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</si>
  <si>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</si>
  <si>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</si>
  <si>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</si>
  <si>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</si>
  <si>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</si>
  <si>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</si>
  <si>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</si>
  <si>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</si>
  <si>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</si>
  <si>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</si>
  <si>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</si>
  <si>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</si>
  <si>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</si>
  <si>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</si>
  <si>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</si>
  <si>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</si>
  <si>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</si>
  <si>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</si>
  <si>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</si>
  <si>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</si>
  <si>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</si>
  <si>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</si>
  <si>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</si>
  <si>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</si>
  <si>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</si>
  <si>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</si>
  <si>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</si>
  <si>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</si>
  <si>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</si>
  <si>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</si>
  <si>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</si>
  <si>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</si>
  <si>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</si>
  <si>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</si>
  <si>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</si>
  <si>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</si>
  <si>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</si>
  <si>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</si>
  <si>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</si>
  <si>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</si>
  <si>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</si>
  <si>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</si>
  <si>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</si>
  <si>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</si>
  <si>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</si>
  <si>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</si>
  <si>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</si>
  <si>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</si>
  <si>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</si>
  <si>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</si>
  <si>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</si>
  <si>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</si>
  <si>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</si>
  <si>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</si>
  <si>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</si>
  <si>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</si>
  <si>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</si>
  <si>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</si>
  <si>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</si>
  <si>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</si>
  <si>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</si>
  <si>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</si>
  <si>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</si>
  <si>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</si>
  <si>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</si>
  <si>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</si>
  <si>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</si>
  <si>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</si>
  <si>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</si>
  <si>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</si>
  <si>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</si>
  <si>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</si>
  <si>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</si>
  <si>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</si>
  <si>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</si>
  <si>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</si>
  <si>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</si>
  <si>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</si>
  <si>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</si>
  <si>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</si>
  <si>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</si>
  <si>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</si>
  <si>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</si>
  <si>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</si>
  <si>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</si>
  <si>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</si>
  <si>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</si>
  <si>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</si>
  <si>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</si>
  <si>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</si>
  <si>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</si>
  <si>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</si>
  <si>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</si>
  <si>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</si>
  <si>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</si>
  <si>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</si>
  <si>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</si>
  <si>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</si>
  <si>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</si>
  <si>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</si>
  <si>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</si>
  <si>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</si>
  <si>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</si>
  <si>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</si>
  <si>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</si>
  <si>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</si>
  <si>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</si>
  <si>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</si>
  <si>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</si>
  <si>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</si>
  <si>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</si>
  <si>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</si>
  <si>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</si>
  <si>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</si>
  <si>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</si>
  <si>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</si>
  <si>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</si>
  <si>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</si>
  <si>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</si>
  <si>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</si>
  <si>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</si>
  <si>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</si>
  <si>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</si>
  <si>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</si>
  <si>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</si>
  <si>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</si>
  <si>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</si>
  <si>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</si>
  <si>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</si>
  <si>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</si>
  <si>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</si>
  <si>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</si>
  <si>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</si>
  <si>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</si>
  <si>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</si>
  <si>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</si>
  <si>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</si>
  <si>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</si>
  <si>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</si>
  <si>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</si>
  <si>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</si>
  <si>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</si>
  <si>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</si>
  <si>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</si>
  <si>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</si>
  <si>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</si>
  <si>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</si>
  <si>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</si>
  <si>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</si>
  <si>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</si>
  <si>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</si>
  <si>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</si>
  <si>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</si>
  <si>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</si>
  <si>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</si>
  <si>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</si>
  <si>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</si>
  <si>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</si>
  <si>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</si>
  <si>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</si>
  <si>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</si>
  <si>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</si>
  <si>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</si>
  <si>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</si>
  <si>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</si>
  <si>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</si>
  <si>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</si>
  <si>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</si>
  <si>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</si>
  <si>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</si>
  <si>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</si>
  <si>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</si>
  <si>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</si>
  <si>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</si>
  <si>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</si>
  <si>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</si>
  <si>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</si>
  <si>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</si>
  <si>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</si>
  <si>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</si>
  <si>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</si>
  <si>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</si>
  <si>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</si>
  <si>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</si>
  <si>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</si>
  <si>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</si>
  <si>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</si>
  <si>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</si>
  <si>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</si>
  <si>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</si>
  <si>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</si>
  <si>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</si>
  <si>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</si>
  <si>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</si>
  <si>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</si>
  <si>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</si>
  <si>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</si>
  <si>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</si>
  <si>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</si>
  <si>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</si>
  <si>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</si>
  <si>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</si>
  <si>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</si>
  <si>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</si>
  <si>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</si>
  <si>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</si>
  <si>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</si>
  <si>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</si>
  <si>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</si>
  <si>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</si>
  <si>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</si>
  <si>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</si>
  <si>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</si>
  <si>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</si>
  <si>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</si>
  <si>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</si>
  <si>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</si>
  <si>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</si>
  <si>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</si>
  <si>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</si>
  <si>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</si>
  <si>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</si>
  <si>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</si>
  <si>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</si>
  <si>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</si>
  <si>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</si>
  <si>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</si>
  <si>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</si>
  <si>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</si>
  <si>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</si>
  <si>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</si>
  <si>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</si>
  <si>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</si>
  <si>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</si>
  <si>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</si>
  <si>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</si>
  <si>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</si>
  <si>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</si>
  <si>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</si>
  <si>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</si>
  <si>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</si>
  <si>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</si>
  <si>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</si>
  <si>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</si>
  <si>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</si>
  <si>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</si>
  <si>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</si>
  <si>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</si>
  <si>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</si>
  <si>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</si>
  <si>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</si>
  <si>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</si>
  <si>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</si>
  <si>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</si>
  <si>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</si>
  <si>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</si>
  <si>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</si>
  <si>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</si>
  <si>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</si>
  <si>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</si>
  <si>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</si>
  <si>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</si>
  <si>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</si>
  <si>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</si>
  <si>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</si>
  <si>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</si>
  <si>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</si>
  <si>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</si>
  <si>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</si>
  <si>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</si>
  <si>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</si>
  <si>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</si>
  <si>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</si>
  <si>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</si>
  <si>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</si>
  <si>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</si>
  <si>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</si>
  <si>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</si>
  <si>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</si>
  <si>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</si>
  <si>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</si>
  <si>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</si>
  <si>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</si>
  <si>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</si>
  <si>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</si>
  <si>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</si>
  <si>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</si>
  <si>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</si>
  <si>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</si>
  <si>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</si>
  <si>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</si>
  <si>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</si>
  <si>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</si>
  <si>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</si>
  <si>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</si>
  <si>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</si>
  <si>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</si>
  <si>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</si>
  <si>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</si>
  <si>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</si>
  <si>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</si>
  <si>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</si>
  <si>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</si>
  <si>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</si>
  <si>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</si>
  <si>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</si>
  <si>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</si>
  <si>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</si>
  <si>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</si>
  <si>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</si>
  <si>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</si>
  <si>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</si>
  <si>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</si>
  <si>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</si>
  <si>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</si>
  <si>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</si>
  <si>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</si>
  <si>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</si>
  <si>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</si>
  <si>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</si>
  <si>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</si>
  <si>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</si>
  <si>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</si>
  <si>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</si>
  <si>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</si>
  <si>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</si>
  <si>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</si>
  <si>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</si>
  <si>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</si>
  <si>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</si>
  <si>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</si>
  <si>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</si>
  <si>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</si>
  <si>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</si>
  <si>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</si>
  <si>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</si>
  <si>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</si>
  <si>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</si>
  <si>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</si>
  <si>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</si>
  <si>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</si>
  <si>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</si>
  <si>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</si>
  <si>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</si>
  <si>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</si>
  <si>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</si>
  <si>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</si>
  <si>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</si>
  <si>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</si>
  <si>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</si>
  <si>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</si>
  <si>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</si>
  <si>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</si>
  <si>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</si>
  <si>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</si>
  <si>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</si>
  <si>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</si>
  <si>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</si>
  <si>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</si>
  <si>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</si>
  <si>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</si>
  <si>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</si>
  <si>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</si>
  <si>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</si>
  <si>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</si>
  <si>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</si>
  <si>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</si>
  <si>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</si>
  <si>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</si>
  <si>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</si>
  <si>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</si>
  <si>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</si>
  <si>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</si>
  <si>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</si>
  <si>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</si>
  <si>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</si>
  <si>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</si>
  <si>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</si>
  <si>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</si>
  <si>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</si>
  <si>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</si>
  <si>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</si>
  <si>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</si>
  <si>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</si>
  <si>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</si>
  <si>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</si>
  <si>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</si>
  <si>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</si>
  <si>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</si>
  <si>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</si>
  <si>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</si>
  <si>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</si>
  <si>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</si>
  <si>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</si>
  <si>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</si>
  <si>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</si>
  <si>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</si>
  <si>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</si>
  <si>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</si>
  <si>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</si>
  <si>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</si>
  <si>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</si>
  <si>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</si>
  <si>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</si>
  <si>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</si>
  <si>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</si>
  <si>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</si>
  <si>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</si>
  <si>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</si>
  <si>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</si>
  <si>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</si>
  <si>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</si>
  <si>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</si>
  <si>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</si>
  <si>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</si>
  <si>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</si>
  <si>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</si>
  <si>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</si>
  <si>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</si>
  <si>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</si>
  <si>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</si>
  <si>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</si>
  <si>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</si>
  <si>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</si>
  <si>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</si>
  <si>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</si>
  <si>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</si>
  <si>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</si>
  <si>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</si>
  <si>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</si>
  <si>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</si>
  <si>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</si>
  <si>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</si>
  <si>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</si>
  <si>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</si>
  <si>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</si>
  <si>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</si>
  <si>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</si>
  <si>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</si>
  <si>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</si>
  <si>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</si>
  <si>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</si>
  <si>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</si>
  <si>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</si>
  <si>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</si>
  <si>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</si>
  <si>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</si>
  <si>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</si>
  <si>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</si>
  <si>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</si>
  <si>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</si>
  <si>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</si>
  <si>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</si>
  <si>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</si>
  <si>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</si>
  <si>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</si>
  <si>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</si>
  <si>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</si>
  <si>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</si>
  <si>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</si>
  <si>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</si>
  <si>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</si>
  <si>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</si>
  <si>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</si>
  <si>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</si>
  <si>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</si>
  <si>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</si>
  <si>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</si>
  <si>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</si>
  <si>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</si>
  <si>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</si>
  <si>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</si>
  <si>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</si>
  <si>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</si>
  <si>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</si>
  <si>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</si>
  <si>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</si>
  <si>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</si>
  <si>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</si>
  <si>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</si>
  <si>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</si>
  <si>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</si>
  <si>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</si>
  <si>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</si>
  <si>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</si>
  <si>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</si>
  <si>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</si>
  <si>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</si>
  <si>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</si>
  <si>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</si>
  <si>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</si>
  <si>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</si>
  <si>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</si>
  <si>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</si>
  <si>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</si>
  <si>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</si>
  <si>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</si>
  <si>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</si>
  <si>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</si>
  <si>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</si>
  <si>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</si>
  <si>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</si>
  <si>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</si>
  <si>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</si>
  <si>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</si>
  <si>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</si>
  <si>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</si>
  <si>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</si>
  <si>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</si>
  <si>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</si>
  <si>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</si>
  <si>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</si>
  <si>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</si>
  <si>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</si>
  <si>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</si>
  <si>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</si>
  <si>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</si>
  <si>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</si>
  <si>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</si>
  <si>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</si>
  <si>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</si>
  <si>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</si>
  <si>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</si>
  <si>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</si>
  <si>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</si>
  <si>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</si>
  <si>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</si>
  <si>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</si>
  <si>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</si>
  <si>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</si>
  <si>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</si>
  <si>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</si>
  <si>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</si>
  <si>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</si>
  <si>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</si>
  <si>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</si>
  <si>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</si>
  <si>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</si>
  <si>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</si>
  <si>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</si>
  <si>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</si>
  <si>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</si>
  <si>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</si>
  <si>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</si>
  <si>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</si>
  <si>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</si>
  <si>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</si>
  <si>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</si>
  <si>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</si>
  <si>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</si>
  <si>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</si>
  <si>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</si>
  <si>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</si>
  <si>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</si>
  <si>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</si>
  <si>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</si>
  <si>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</si>
  <si>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</si>
  <si>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</si>
  <si>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</si>
  <si>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</si>
  <si>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</si>
  <si>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</si>
  <si>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</si>
  <si>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</si>
  <si>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</si>
  <si>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</si>
  <si>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</si>
  <si>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</si>
  <si>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</si>
  <si>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</si>
  <si>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</si>
  <si>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</si>
  <si>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</si>
  <si>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</si>
  <si>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</si>
  <si>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</si>
  <si>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</si>
  <si>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</si>
  <si>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</si>
  <si>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</si>
  <si>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</si>
  <si>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</si>
  <si>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</si>
  <si>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</si>
  <si>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</si>
  <si>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</si>
  <si>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</si>
  <si>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</si>
  <si>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</si>
  <si>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</si>
  <si>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</si>
  <si>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</si>
  <si>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</si>
  <si>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</si>
  <si>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</si>
  <si>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</si>
  <si>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</si>
  <si>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</si>
  <si>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</si>
  <si>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</si>
  <si>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</si>
  <si>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</si>
  <si>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</si>
  <si>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</si>
  <si>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</si>
  <si>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</si>
  <si>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</si>
  <si>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</si>
  <si>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</si>
  <si>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</si>
  <si>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</si>
  <si>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</si>
  <si>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</si>
  <si>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</si>
  <si>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</si>
  <si>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</si>
  <si>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</si>
  <si>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</si>
  <si>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</si>
  <si>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</si>
  <si>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</si>
  <si>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</si>
  <si>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</si>
  <si>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</si>
  <si>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</si>
  <si>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</si>
  <si>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</si>
  <si>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</si>
  <si>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</si>
  <si>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</si>
  <si>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</si>
  <si>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</si>
  <si>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</si>
  <si>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</si>
  <si>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</si>
  <si>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</si>
  <si>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</si>
  <si>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</si>
  <si>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</si>
  <si>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</si>
  <si>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</si>
  <si>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</si>
  <si>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</si>
  <si>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</si>
  <si>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</si>
  <si>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</si>
  <si>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</si>
  <si>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</si>
  <si>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</si>
  <si>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</si>
  <si>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</si>
  <si>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</si>
  <si>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</si>
  <si>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</si>
  <si>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</si>
  <si>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</si>
  <si>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</si>
  <si>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</si>
  <si>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</si>
  <si>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</si>
  <si>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</si>
  <si>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</si>
  <si>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</si>
  <si>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</si>
  <si>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</si>
  <si>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</si>
  <si>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</si>
  <si>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</si>
  <si>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</si>
  <si>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</si>
  <si>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</si>
  <si>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</si>
  <si>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</si>
  <si>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</si>
  <si>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</si>
  <si>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</si>
  <si>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</si>
  <si>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</si>
  <si>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</si>
  <si>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</si>
  <si>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</si>
  <si>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</si>
  <si>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</si>
  <si>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</si>
  <si>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</si>
  <si>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</si>
  <si>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</si>
  <si>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</si>
  <si>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</si>
  <si>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</si>
  <si>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</si>
  <si>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</si>
  <si>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</si>
  <si>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</si>
  <si>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</si>
  <si>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</si>
  <si>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</si>
  <si>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</si>
  <si>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</si>
  <si>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</si>
  <si>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</si>
  <si>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</si>
  <si>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</si>
  <si>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</si>
  <si>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</si>
  <si>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</si>
  <si>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</si>
  <si>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</si>
  <si>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</si>
  <si>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</si>
  <si>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</si>
  <si>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</si>
  <si>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</si>
  <si>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</si>
  <si>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</si>
  <si>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</si>
  <si>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</si>
  <si>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</si>
  <si>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</si>
  <si>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</si>
  <si>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</si>
  <si>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</si>
  <si>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</si>
  <si>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</si>
  <si>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</si>
  <si>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</si>
  <si>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</si>
  <si>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</si>
  <si>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</si>
  <si>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</si>
  <si>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</si>
  <si>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</si>
  <si>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</si>
  <si>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</si>
  <si>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</si>
  <si>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</si>
  <si>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</si>
  <si>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</si>
  <si>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</si>
  <si>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</si>
  <si>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</si>
  <si>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</si>
  <si>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</si>
  <si>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</si>
  <si>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</si>
  <si>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</si>
  <si>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</si>
  <si>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</si>
  <si>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</si>
  <si>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</si>
  <si>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</si>
  <si>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</si>
  <si>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</si>
  <si>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</si>
  <si>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</si>
  <si>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</si>
  <si>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</si>
  <si>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</si>
  <si>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</si>
  <si>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</si>
  <si>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</si>
  <si>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</si>
  <si>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</si>
  <si>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</si>
  <si>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</si>
  <si>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</si>
  <si>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</si>
  <si>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</si>
  <si>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</si>
  <si>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</si>
  <si>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</si>
  <si>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</si>
  <si>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</si>
  <si>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</si>
  <si>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</si>
  <si>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</si>
  <si>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</si>
  <si>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</si>
  <si>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</si>
  <si>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</si>
  <si>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</si>
  <si>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</si>
  <si>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</si>
  <si>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</si>
  <si>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</si>
  <si>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</si>
  <si>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</si>
  <si>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</si>
  <si>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</si>
  <si>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</si>
  <si>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</si>
  <si>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</si>
  <si>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</si>
  <si>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</si>
  <si>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</si>
  <si>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</si>
  <si>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</si>
  <si>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</si>
  <si>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</si>
  <si>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</si>
  <si>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</si>
  <si>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</si>
  <si>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</si>
  <si>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</si>
  <si>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</si>
  <si>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</si>
  <si>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</si>
  <si>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</si>
  <si>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</si>
  <si>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</si>
  <si>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</si>
  <si>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</si>
  <si>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</si>
  <si>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</si>
  <si>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</si>
  <si>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</si>
  <si>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</si>
  <si>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</si>
  <si>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</si>
  <si>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</si>
  <si>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</si>
  <si>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</si>
  <si>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</si>
  <si>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</si>
  <si>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</si>
  <si>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</si>
  <si>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</si>
  <si>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</si>
  <si>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</si>
  <si>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</si>
  <si>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</si>
  <si>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</si>
  <si>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</si>
  <si>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</si>
  <si>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</si>
  <si>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</si>
  <si>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</si>
  <si>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</si>
  <si>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</si>
  <si>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</si>
  <si>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</si>
  <si>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</si>
  <si>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</si>
  <si>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</si>
  <si>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</si>
  <si>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</si>
  <si>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</si>
  <si>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</si>
  <si>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</si>
  <si>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</si>
  <si>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</si>
  <si>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</si>
  <si>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</si>
  <si>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</si>
  <si>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</si>
  <si>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</si>
  <si>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</si>
  <si>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</si>
  <si>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</si>
  <si>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</si>
  <si>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</si>
  <si>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</si>
  <si>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</si>
  <si>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</si>
  <si>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</si>
  <si>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</si>
  <si>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</si>
  <si>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</si>
  <si>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</si>
  <si>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</si>
  <si>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</si>
  <si>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</si>
  <si>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</si>
  <si>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</si>
  <si>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</si>
  <si>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</si>
  <si>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</si>
  <si>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</si>
  <si>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</si>
  <si>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</si>
  <si>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</si>
  <si>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</si>
  <si>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</si>
  <si>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</si>
  <si>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</si>
  <si>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</si>
  <si>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</si>
  <si>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</si>
  <si>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</si>
  <si>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</si>
  <si>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</si>
  <si>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</si>
  <si>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</si>
  <si>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</si>
  <si>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</si>
  <si>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</si>
  <si>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</si>
  <si>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</si>
  <si>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</si>
  <si>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</si>
  <si>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</si>
  <si>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</si>
  <si>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</si>
  <si>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</si>
  <si>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</si>
  <si>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</si>
  <si>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</si>
  <si>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</si>
  <si>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</si>
  <si>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</si>
  <si>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</si>
  <si>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</si>
  <si>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</si>
  <si>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</si>
  <si>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</si>
  <si>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</si>
  <si>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</si>
  <si>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</si>
  <si>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</si>
  <si>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</si>
  <si>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</si>
  <si>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</si>
  <si>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</si>
  <si>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</si>
  <si>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</si>
  <si>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</si>
  <si>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</si>
  <si>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</si>
  <si>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</si>
  <si>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</si>
  <si>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</si>
  <si>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</si>
  <si>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</si>
  <si>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</si>
  <si>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</si>
  <si>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</si>
  <si>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</si>
  <si>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</si>
  <si>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</si>
  <si>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</si>
  <si>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</si>
  <si>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</si>
  <si>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</si>
  <si>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</si>
  <si>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</si>
  <si>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</si>
  <si>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</si>
  <si>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</si>
  <si>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</si>
  <si>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</si>
  <si>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</si>
  <si>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</si>
  <si>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</si>
  <si>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</si>
  <si>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</si>
  <si>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</si>
  <si>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</si>
  <si>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</si>
  <si>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</si>
  <si>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</si>
  <si>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</si>
  <si>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</si>
  <si>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</si>
  <si>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</si>
  <si>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</si>
  <si>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</si>
  <si>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</si>
  <si>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</si>
  <si>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</si>
  <si>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</si>
  <si>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</si>
  <si>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</si>
  <si>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</si>
  <si>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</si>
  <si>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</si>
  <si>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</si>
  <si>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</si>
  <si>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</si>
  <si>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</si>
  <si>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</si>
  <si>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</si>
  <si>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</si>
  <si>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</si>
  <si>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</si>
  <si>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</si>
  <si>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</si>
  <si>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</si>
  <si>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</si>
  <si>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</si>
  <si>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</si>
  <si>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</si>
  <si>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</si>
  <si>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</si>
  <si>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</si>
  <si>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</si>
  <si>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</si>
  <si>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</si>
  <si>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</si>
  <si>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</si>
  <si>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</si>
  <si>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</si>
  <si>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</si>
  <si>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</si>
  <si>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</si>
  <si>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</si>
  <si>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</si>
  <si>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</si>
  <si>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</si>
  <si>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</si>
  <si>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</si>
  <si>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</si>
  <si>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</si>
  <si>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</si>
  <si>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</si>
  <si>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</si>
  <si>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</si>
  <si>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</si>
  <si>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</si>
  <si>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</si>
  <si>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</si>
  <si>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</si>
  <si>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</si>
  <si>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</si>
  <si>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</si>
  <si>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</si>
  <si>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</si>
  <si>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</si>
  <si>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</si>
  <si>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</si>
  <si>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</si>
  <si>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</si>
  <si>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</si>
  <si>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</si>
  <si>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</si>
  <si>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</si>
  <si>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</si>
  <si>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</si>
  <si>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</si>
  <si>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</si>
  <si>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</si>
  <si>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</si>
  <si>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</si>
  <si>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</si>
  <si>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</si>
  <si>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</si>
  <si>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</si>
  <si>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</si>
  <si>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</si>
  <si>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</si>
  <si>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</si>
  <si>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</si>
  <si>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</si>
  <si>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</si>
  <si>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</si>
  <si>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</si>
  <si>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</si>
  <si>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</si>
  <si>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</si>
  <si>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</si>
  <si>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</si>
  <si>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</si>
  <si>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</si>
  <si>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</si>
  <si>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</si>
  <si>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</si>
  <si>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</si>
  <si>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</si>
  <si>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</si>
  <si>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</si>
  <si>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</si>
  <si>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</si>
  <si>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</si>
  <si>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</si>
  <si>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</si>
  <si>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</si>
  <si>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</si>
  <si>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</si>
  <si>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</si>
  <si>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</si>
  <si>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</si>
  <si>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</si>
  <si>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</si>
  <si>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</si>
  <si>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</si>
  <si>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</si>
  <si>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</si>
  <si>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</si>
  <si>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</si>
  <si>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</si>
  <si>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</si>
  <si>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</si>
  <si>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</si>
  <si>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</si>
  <si>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</si>
  <si>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</si>
  <si>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</si>
  <si>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</si>
  <si>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</si>
  <si>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</si>
  <si>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</si>
  <si>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</si>
  <si>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</si>
  <si>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</si>
  <si>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</si>
  <si>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</si>
  <si>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</si>
  <si>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</si>
  <si>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</si>
  <si>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</si>
  <si>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</si>
  <si>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</si>
  <si>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</si>
  <si>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</si>
  <si>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</si>
  <si>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</si>
  <si>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</si>
  <si>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</si>
  <si>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</si>
  <si>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</si>
  <si>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</si>
  <si>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</si>
  <si>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</si>
  <si>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</si>
  <si>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</si>
  <si>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</si>
  <si>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</si>
  <si>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</si>
  <si>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</si>
  <si>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</si>
  <si>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</si>
  <si>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</si>
  <si>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</si>
  <si>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</si>
  <si>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</si>
  <si>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</si>
  <si>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</si>
  <si>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</si>
  <si>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</si>
  <si>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</si>
  <si>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</si>
  <si>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</si>
  <si>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</si>
  <si>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</si>
  <si>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</si>
  <si>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</si>
  <si>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</si>
  <si>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</si>
  <si>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</si>
  <si>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</si>
  <si>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</si>
  <si>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</si>
  <si>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</si>
  <si>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</si>
  <si>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</si>
  <si>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</si>
  <si>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</si>
  <si>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</si>
  <si>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</si>
  <si>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</si>
  <si>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</si>
  <si>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</si>
  <si>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</si>
  <si>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</si>
  <si>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</si>
  <si>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</si>
  <si>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</si>
  <si>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</si>
  <si>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</si>
  <si>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</si>
  <si>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</si>
  <si>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</si>
  <si>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</si>
  <si>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</si>
  <si>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</si>
  <si>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</si>
  <si>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</si>
  <si>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</si>
  <si>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</si>
  <si>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</si>
  <si>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</si>
  <si>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</si>
  <si>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</si>
  <si>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</si>
  <si>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</si>
  <si>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</si>
  <si>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</si>
  <si>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</si>
  <si>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</si>
  <si>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</si>
  <si>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</si>
  <si>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</si>
  <si>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</si>
  <si>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</si>
  <si>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</si>
  <si>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</si>
  <si>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</si>
  <si>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</si>
  <si>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</si>
  <si>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</si>
  <si>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</si>
  <si>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</si>
  <si>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</si>
  <si>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</si>
  <si>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</si>
  <si>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</si>
  <si>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</si>
  <si>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</si>
  <si>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</si>
  <si>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</si>
  <si>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</si>
  <si>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</si>
  <si>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</si>
  <si>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</si>
  <si>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</si>
  <si>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</si>
  <si>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</si>
  <si>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</si>
  <si>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</si>
  <si>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</si>
  <si>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</si>
  <si>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</si>
  <si>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</si>
  <si>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</si>
  <si>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</si>
  <si>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</si>
  <si>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</si>
  <si>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</si>
  <si>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</si>
  <si>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</si>
  <si>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</si>
  <si>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</si>
  <si>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</si>
  <si>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</si>
  <si>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</si>
  <si>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</si>
  <si>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</si>
  <si>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</si>
  <si>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</si>
  <si>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</si>
  <si>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</si>
  <si>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</si>
  <si>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</si>
  <si>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</si>
  <si>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</si>
  <si>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</si>
  <si>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</si>
  <si>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</si>
  <si>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</si>
  <si>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</si>
  <si>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</si>
  <si>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</si>
  <si>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</si>
  <si>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</si>
  <si>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</si>
  <si>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</si>
  <si>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</si>
  <si>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</si>
  <si>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</si>
  <si>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</si>
  <si>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</si>
  <si>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</si>
  <si>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</si>
  <si>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</si>
  <si>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</si>
  <si>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</si>
  <si>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</si>
  <si>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</si>
  <si>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</si>
  <si>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</si>
  <si>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</si>
  <si>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</si>
  <si>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</si>
  <si>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</si>
  <si>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</si>
  <si>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</si>
  <si>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</si>
  <si>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</si>
  <si>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</si>
  <si>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</si>
  <si>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</si>
  <si>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</si>
  <si>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</si>
  <si>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</si>
  <si>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</si>
  <si>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</si>
  <si>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</si>
  <si>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</si>
  <si>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</si>
  <si>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</si>
  <si>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</si>
  <si>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</si>
  <si>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</si>
  <si>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</si>
  <si>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</si>
  <si>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</si>
  <si>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</si>
  <si>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</si>
  <si>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</si>
  <si>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</si>
  <si>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</si>
  <si>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</si>
  <si>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</si>
  <si>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</si>
  <si>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</si>
  <si>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</si>
  <si>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</si>
  <si>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</si>
  <si>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</si>
  <si>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</si>
  <si>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</si>
  <si>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</si>
  <si>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</si>
  <si>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</si>
  <si>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</si>
  <si>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</si>
  <si>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</si>
  <si>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</si>
  <si>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</si>
  <si>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</si>
  <si>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</si>
  <si>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</si>
  <si>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</si>
  <si>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</si>
  <si>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</si>
  <si>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</si>
  <si>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</si>
  <si>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</si>
  <si>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</si>
  <si>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</si>
  <si>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</si>
  <si>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</si>
  <si>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</si>
  <si>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</si>
  <si>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</si>
  <si>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</si>
  <si>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</si>
  <si>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</si>
  <si>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</si>
  <si>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</si>
  <si>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</si>
  <si>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</si>
  <si>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</si>
  <si>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</si>
  <si>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</si>
  <si>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</si>
  <si>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</si>
  <si>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</si>
  <si>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</si>
  <si>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</si>
  <si>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</si>
  <si>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</si>
  <si>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</si>
  <si>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</si>
  <si>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</si>
  <si>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</si>
  <si>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</si>
  <si>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</si>
  <si>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</si>
  <si>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</si>
  <si>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</si>
  <si>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</si>
  <si>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</si>
  <si>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</si>
  <si>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</si>
  <si>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</si>
  <si>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</si>
  <si>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</si>
  <si>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</si>
  <si>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</si>
  <si>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</si>
  <si>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</si>
  <si>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</si>
  <si>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</si>
  <si>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</si>
  <si>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</si>
  <si>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</si>
  <si>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</si>
  <si>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</si>
  <si>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</si>
  <si>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</si>
  <si>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</si>
  <si>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</si>
  <si>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</si>
  <si>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</si>
  <si>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</si>
  <si>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</si>
  <si>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</si>
  <si>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</si>
  <si>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</si>
  <si>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</si>
  <si>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</si>
  <si>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</si>
  <si>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</si>
  <si>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</si>
  <si>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</si>
  <si>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</si>
  <si>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</si>
  <si>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</si>
  <si>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</si>
  <si>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</si>
  <si>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</si>
  <si>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</si>
  <si>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</si>
  <si>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</si>
  <si>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</si>
  <si>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</si>
  <si>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</si>
  <si>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</si>
  <si>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</si>
  <si>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</si>
  <si>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</si>
  <si>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</si>
  <si>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</si>
  <si>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</si>
  <si>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</si>
  <si>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</si>
  <si>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</si>
  <si>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</si>
  <si>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</si>
  <si>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</si>
  <si>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</si>
  <si>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</si>
  <si>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</si>
  <si>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</si>
  <si>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</si>
  <si>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</si>
  <si>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</si>
  <si>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</si>
  <si>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</si>
  <si>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</si>
  <si>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</si>
  <si>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</si>
  <si>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</si>
  <si>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</si>
  <si>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</si>
  <si>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</si>
  <si>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</si>
  <si>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</si>
  <si>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</si>
  <si>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</si>
  <si>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</si>
  <si>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</si>
  <si>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</si>
  <si>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</si>
  <si>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</si>
  <si>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</si>
  <si>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</si>
  <si>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</si>
  <si>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</si>
  <si>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</si>
  <si>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</si>
  <si>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</si>
  <si>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</si>
  <si>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</si>
  <si>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</si>
  <si>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</si>
  <si>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</si>
  <si>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</si>
  <si>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</si>
  <si>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</si>
  <si>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</si>
  <si>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</si>
  <si>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</si>
  <si>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</si>
  <si>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</si>
  <si>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</si>
  <si>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</si>
  <si>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</si>
  <si>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</si>
  <si>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</si>
  <si>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</si>
  <si>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</si>
  <si>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</si>
  <si>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</si>
  <si>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</si>
  <si>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</si>
  <si>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</si>
  <si>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</si>
  <si>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</si>
  <si>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</si>
  <si>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</si>
  <si>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</si>
  <si>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</si>
  <si>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</si>
  <si>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</si>
  <si>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</si>
  <si>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</si>
  <si>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</si>
  <si>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</si>
  <si>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</si>
  <si>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</si>
  <si>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</si>
  <si>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</si>
  <si>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</si>
  <si>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</si>
  <si>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</si>
  <si>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</si>
  <si>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</si>
  <si>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</si>
  <si>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</si>
  <si>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</si>
  <si>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</si>
  <si>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</si>
  <si>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</si>
  <si>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</si>
  <si>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</si>
  <si>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</si>
  <si>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</si>
  <si>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</si>
  <si>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</si>
  <si>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</si>
  <si>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</si>
  <si>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</si>
  <si>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</si>
  <si>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</si>
  <si>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</si>
  <si>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</si>
  <si>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</si>
  <si>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</si>
  <si>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</si>
  <si>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</si>
  <si>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</si>
  <si>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</si>
  <si>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</si>
  <si>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</si>
  <si>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</si>
  <si>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</si>
  <si>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</si>
  <si>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</si>
  <si>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</si>
  <si>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</si>
  <si>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</si>
  <si>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</si>
  <si>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</si>
  <si>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</si>
  <si>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</si>
  <si>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</si>
  <si>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</si>
  <si>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</si>
  <si>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</si>
  <si>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</si>
  <si>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</si>
  <si>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</si>
  <si>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</si>
  <si>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</si>
  <si>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</si>
  <si>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</si>
  <si>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</si>
  <si>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</si>
  <si>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</si>
  <si>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</si>
  <si>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</si>
  <si>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</si>
  <si>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</si>
  <si>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</si>
  <si>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</si>
  <si>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</si>
  <si>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</si>
  <si>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</si>
  <si>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</si>
  <si>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</si>
  <si>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</si>
  <si>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</si>
  <si>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</si>
  <si>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</si>
  <si>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</si>
  <si>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</si>
  <si>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</si>
  <si>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</si>
  <si>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</si>
  <si>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</si>
  <si>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</si>
  <si>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</si>
  <si>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</si>
  <si>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</si>
  <si>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</si>
  <si>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</si>
  <si>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</si>
  <si>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</si>
  <si>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</si>
  <si>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</si>
  <si>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</si>
  <si>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</si>
  <si>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</si>
  <si>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</si>
  <si>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</si>
  <si>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</si>
  <si>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</si>
  <si>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</si>
  <si>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</si>
  <si>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</si>
  <si>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</si>
  <si>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</si>
  <si>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</si>
  <si>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</si>
  <si>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</si>
  <si>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</si>
  <si>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</si>
  <si>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</si>
  <si>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</si>
  <si>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</si>
  <si>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</si>
  <si>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</si>
  <si>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</si>
  <si>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</si>
  <si>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</si>
  <si>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</si>
  <si>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</si>
  <si>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</si>
  <si>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</si>
  <si>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</si>
  <si>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</si>
  <si>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</si>
  <si>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</si>
  <si>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</si>
  <si>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</si>
  <si>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</si>
  <si>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</si>
  <si>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</si>
  <si>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</si>
  <si>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</si>
  <si>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</si>
  <si>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</si>
  <si>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</si>
  <si>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</si>
  <si>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</si>
  <si>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</si>
  <si>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</si>
  <si>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</si>
  <si>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</si>
  <si>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</si>
  <si>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</si>
  <si>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</si>
  <si>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</si>
  <si>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</si>
  <si>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</si>
  <si>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</si>
  <si>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</si>
  <si>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</si>
  <si>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</si>
  <si>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</si>
  <si>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</si>
  <si>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</si>
  <si>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</si>
  <si>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</si>
  <si>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</si>
  <si>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</si>
  <si>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</si>
  <si>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</si>
  <si>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</si>
  <si>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</si>
  <si>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</si>
  <si>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</si>
  <si>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</si>
  <si>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</si>
  <si>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</si>
  <si>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</si>
  <si>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</si>
  <si>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</si>
  <si>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</si>
  <si>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</si>
  <si>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</si>
  <si>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</si>
  <si>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</si>
  <si>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</si>
  <si>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</si>
  <si>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</si>
  <si>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</si>
  <si>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</si>
  <si>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</si>
  <si>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</si>
  <si>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</si>
  <si>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</si>
  <si>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</si>
  <si>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</si>
  <si>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</si>
  <si>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</si>
  <si>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</si>
  <si>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</si>
  <si>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</si>
  <si>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</si>
  <si>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</si>
  <si>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</si>
  <si>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</si>
  <si>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</si>
  <si>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</si>
  <si>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</si>
  <si>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</si>
  <si>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</si>
  <si>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</si>
  <si>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</si>
  <si>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</si>
  <si>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</si>
  <si>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</si>
  <si>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</si>
  <si>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</si>
  <si>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</si>
  <si>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</si>
  <si>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</si>
  <si>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</si>
  <si>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</si>
  <si>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</si>
  <si>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</si>
  <si>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</si>
  <si>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</si>
  <si>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</si>
  <si>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</si>
  <si>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</si>
  <si>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</si>
  <si>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</si>
  <si>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</si>
  <si>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</si>
  <si>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</si>
  <si>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</si>
  <si>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</si>
  <si>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</si>
  <si>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</si>
  <si>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</si>
  <si>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</si>
  <si>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</si>
  <si>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</si>
  <si>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</si>
  <si>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</si>
  <si>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</si>
  <si>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</si>
  <si>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</si>
  <si>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</si>
  <si>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</si>
  <si>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</si>
  <si>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</si>
  <si>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</si>
  <si>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</si>
  <si>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</si>
  <si>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</si>
  <si>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</si>
  <si>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</si>
  <si>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</si>
  <si>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</si>
  <si>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</si>
  <si>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</si>
  <si>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</si>
  <si>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</si>
  <si>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</si>
  <si>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</si>
  <si>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</si>
  <si>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</si>
  <si>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</si>
  <si>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</si>
  <si>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</si>
  <si>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</si>
  <si>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</si>
  <si>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</si>
  <si>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</si>
  <si>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</si>
  <si>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</si>
  <si>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</si>
  <si>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</si>
  <si>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</si>
  <si>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</si>
  <si>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</si>
  <si>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</si>
  <si>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</si>
  <si>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</si>
  <si>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</si>
  <si>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</si>
  <si>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</si>
  <si>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</si>
  <si>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</si>
  <si>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</si>
  <si>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</si>
  <si>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</si>
  <si>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</si>
  <si>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</si>
  <si>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</si>
  <si>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</si>
  <si>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</si>
  <si>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</si>
  <si>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</si>
  <si>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</si>
  <si>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</si>
  <si>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</si>
  <si>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</si>
  <si>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</si>
  <si>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</si>
  <si>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</si>
  <si>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</si>
  <si>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</si>
  <si>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</si>
  <si>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</si>
  <si>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</si>
  <si>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</si>
  <si>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</si>
  <si>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</si>
  <si>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</si>
  <si>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</si>
  <si>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</si>
  <si>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</si>
  <si>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</si>
  <si>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</si>
  <si>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</si>
  <si>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</si>
  <si>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</si>
  <si>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</si>
  <si>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</si>
  <si>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</si>
  <si>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</si>
  <si>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</si>
  <si>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</si>
  <si>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</si>
  <si>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</si>
  <si>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</si>
  <si>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</si>
  <si>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</si>
  <si>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</si>
  <si>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</si>
  <si>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</si>
  <si>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</si>
  <si>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</si>
  <si>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</si>
  <si>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</si>
  <si>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</si>
  <si>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</si>
  <si>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</si>
  <si>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</si>
  <si>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</si>
  <si>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</si>
  <si>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</si>
  <si>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</si>
  <si>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</si>
  <si>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</si>
  <si>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</si>
  <si>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</si>
  <si>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</si>
  <si>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</si>
  <si>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</si>
  <si>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</si>
  <si>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</si>
  <si>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</si>
  <si>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</si>
  <si>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</si>
  <si>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</si>
  <si>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</si>
  <si>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</si>
  <si>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</si>
  <si>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</si>
  <si>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</si>
  <si>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</si>
  <si>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</si>
  <si>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</si>
  <si>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</si>
  <si>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</si>
  <si>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</si>
  <si>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</si>
  <si>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</si>
  <si>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</si>
  <si>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</si>
  <si>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</si>
  <si>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</si>
  <si>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</si>
  <si>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</si>
  <si>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</si>
  <si>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</si>
  <si>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</si>
  <si>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</si>
  <si>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</si>
  <si>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</si>
  <si>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</si>
  <si>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</si>
  <si>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</si>
  <si>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</si>
  <si>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</si>
  <si>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</si>
  <si>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</si>
  <si>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</si>
  <si>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</si>
  <si>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</si>
  <si>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</si>
  <si>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</si>
  <si>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</si>
  <si>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</si>
  <si>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</si>
  <si>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</si>
  <si>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</si>
  <si>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</si>
  <si>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</si>
  <si>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</si>
  <si>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</si>
  <si>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</si>
  <si>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</si>
  <si>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</si>
  <si>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</si>
  <si>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</si>
  <si>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</si>
  <si>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</si>
  <si>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</si>
  <si>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</si>
  <si>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</si>
  <si>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</si>
  <si>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</si>
  <si>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</si>
  <si>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</si>
  <si>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</si>
  <si>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</si>
  <si>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</si>
  <si>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</si>
  <si>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</si>
  <si>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</si>
  <si>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</si>
  <si>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</si>
  <si>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</si>
  <si>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</si>
  <si>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</si>
  <si>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</si>
  <si>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</si>
  <si>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</si>
  <si>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</si>
  <si>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</si>
  <si>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</si>
  <si>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</si>
  <si>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</si>
  <si>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</si>
  <si>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</si>
  <si>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</si>
  <si>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</si>
  <si>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</si>
  <si>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</si>
  <si>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</si>
  <si>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</si>
  <si>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</si>
  <si>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</si>
  <si>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</si>
  <si>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</si>
  <si>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</si>
  <si>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</si>
  <si>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</si>
  <si>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</si>
  <si>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</si>
  <si>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</si>
  <si>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</si>
  <si>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</si>
  <si>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</si>
  <si>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</si>
  <si>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</si>
  <si>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</si>
  <si>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</si>
  <si>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</si>
  <si>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</si>
  <si>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</si>
  <si>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</si>
  <si>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</si>
  <si>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</si>
  <si>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</si>
  <si>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</si>
  <si>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</si>
  <si>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</si>
  <si>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</si>
  <si>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</si>
  <si>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</si>
  <si>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</si>
  <si>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</si>
  <si>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</si>
  <si>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</si>
  <si>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</si>
  <si>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</si>
  <si>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</si>
  <si>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</si>
  <si>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</si>
  <si>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</si>
  <si>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</si>
  <si>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</si>
  <si>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</si>
  <si>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</si>
  <si>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</si>
  <si>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</si>
  <si>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</si>
  <si>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</si>
  <si>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</si>
  <si>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</si>
  <si>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</si>
  <si>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</si>
  <si>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</si>
  <si>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</si>
  <si>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</si>
  <si>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</si>
  <si>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</si>
  <si>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</si>
  <si>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</si>
  <si>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</si>
  <si>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</si>
  <si>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</si>
  <si>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</si>
  <si>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</si>
  <si>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</si>
  <si>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</si>
  <si>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</si>
  <si>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</si>
  <si>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</si>
  <si>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</si>
  <si>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</si>
  <si>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</si>
  <si>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</si>
  <si>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</si>
  <si>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</si>
  <si>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</si>
  <si>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</si>
  <si>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</si>
  <si>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</si>
  <si>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</si>
  <si>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</si>
  <si>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</si>
  <si>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</si>
  <si>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</si>
  <si>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</si>
  <si>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</si>
  <si>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</si>
  <si>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</si>
  <si>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</si>
  <si>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</si>
  <si>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</si>
  <si>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</si>
  <si>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</si>
  <si>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</si>
  <si>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</si>
  <si>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</si>
  <si>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</si>
  <si>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</si>
  <si>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</si>
  <si>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</si>
  <si>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</si>
  <si>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</si>
  <si>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</si>
  <si>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</si>
  <si>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</si>
  <si>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</si>
  <si>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</si>
  <si>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</si>
  <si>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</si>
  <si>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</si>
  <si>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</si>
  <si>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</si>
  <si>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</si>
  <si>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</si>
  <si>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</si>
  <si>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</si>
  <si>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</si>
  <si>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</si>
  <si>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</si>
  <si>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</si>
  <si>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</si>
  <si>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</si>
  <si>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</si>
  <si>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</si>
  <si>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</si>
  <si>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</si>
  <si>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</si>
  <si>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</si>
  <si>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</si>
  <si>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</si>
  <si>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</si>
  <si>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</si>
  <si>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</si>
  <si>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</si>
  <si>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</si>
  <si>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</si>
  <si>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</si>
  <si>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</si>
  <si>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</si>
  <si>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</si>
  <si>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</si>
  <si>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</si>
  <si>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</si>
  <si>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</si>
  <si>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</si>
  <si>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</si>
  <si>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</si>
  <si>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</si>
  <si>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</si>
  <si>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</si>
  <si>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</si>
  <si>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</si>
  <si>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</si>
  <si>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</si>
  <si>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</si>
  <si>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</si>
  <si>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</si>
  <si>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</si>
  <si>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</si>
  <si>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</si>
  <si>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</si>
  <si>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</si>
  <si>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</si>
  <si>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</si>
  <si>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</si>
  <si>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</si>
  <si>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</si>
  <si>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</si>
  <si>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</si>
  <si>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</si>
  <si>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</si>
  <si>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</si>
  <si>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</si>
  <si>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</si>
  <si>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</si>
  <si>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</si>
  <si>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</si>
  <si>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</si>
  <si>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</si>
  <si>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</si>
  <si>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</si>
  <si>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</si>
  <si>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</si>
  <si>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</si>
  <si>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</si>
  <si>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</si>
  <si>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</si>
  <si>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</si>
  <si>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</si>
  <si>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</si>
  <si>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</si>
  <si>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</si>
  <si>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</si>
  <si>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</si>
  <si>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</si>
  <si>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</si>
  <si>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</si>
  <si>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</si>
  <si>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</si>
  <si>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</si>
  <si>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</si>
  <si>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</si>
  <si>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</si>
  <si>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</si>
  <si>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</si>
  <si>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</si>
  <si>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</si>
  <si>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</si>
  <si>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</si>
  <si>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</si>
  <si>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</si>
  <si>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</si>
  <si>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</si>
  <si>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</si>
  <si>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</si>
  <si>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</si>
  <si>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</si>
  <si>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</si>
  <si>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</si>
  <si>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</si>
  <si>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</si>
  <si>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</si>
  <si>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</si>
  <si>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</si>
  <si>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</si>
  <si>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</si>
  <si>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</si>
  <si>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</si>
  <si>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</si>
  <si>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</si>
  <si>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</si>
  <si>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</si>
  <si>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</si>
  <si>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</si>
  <si>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</si>
  <si>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</si>
  <si>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</si>
  <si>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</si>
  <si>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</si>
  <si>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</si>
  <si>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</si>
  <si>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</si>
  <si>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</si>
  <si>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</si>
  <si>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</si>
  <si>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</si>
  <si>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</si>
  <si>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</si>
  <si>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</si>
  <si>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</si>
  <si>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</si>
  <si>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</si>
  <si>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</si>
  <si>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</si>
  <si>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</si>
  <si>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</si>
  <si>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</si>
  <si>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</si>
  <si>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</si>
  <si>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</si>
  <si>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</si>
  <si>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</si>
  <si>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</si>
  <si>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</si>
  <si>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</si>
  <si>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</si>
  <si>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</si>
  <si>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</si>
  <si>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</si>
  <si>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</si>
  <si>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</si>
  <si>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</si>
  <si>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</si>
  <si>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</si>
  <si>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</si>
  <si>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</si>
  <si>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</si>
  <si>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</si>
  <si>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</si>
  <si>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</si>
  <si>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</si>
  <si>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</si>
  <si>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</si>
  <si>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</si>
  <si>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</si>
  <si>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</si>
  <si>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</si>
  <si>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</si>
  <si>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</si>
  <si>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</si>
  <si>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</si>
  <si>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</si>
  <si>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</si>
  <si>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</si>
  <si>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</si>
  <si>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</si>
  <si>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</si>
  <si>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</si>
  <si>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</si>
  <si>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</si>
  <si>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</si>
  <si>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</si>
  <si>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</si>
  <si>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</si>
  <si>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</si>
  <si>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</si>
  <si>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</si>
  <si>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</si>
  <si>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</si>
  <si>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</si>
  <si>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</si>
  <si>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</si>
  <si>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</si>
  <si>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</si>
  <si>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</si>
  <si>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</si>
  <si>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</si>
  <si>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</si>
  <si>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</si>
  <si>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</si>
  <si>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</si>
  <si>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</si>
  <si>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</si>
  <si>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</si>
  <si>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</si>
  <si>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</si>
  <si>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</si>
  <si>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</si>
  <si>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</si>
  <si>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</si>
  <si>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</si>
  <si>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</si>
  <si>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</si>
  <si>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</si>
  <si>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</si>
  <si>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</si>
  <si>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</si>
  <si>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</si>
  <si>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</si>
  <si>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</si>
  <si>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</si>
  <si>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</si>
  <si>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</si>
  <si>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</si>
  <si>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</si>
  <si>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</si>
  <si>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</si>
  <si>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</si>
  <si>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</si>
  <si>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</si>
  <si>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</si>
  <si>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</si>
  <si>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</si>
  <si>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</si>
  <si>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</si>
  <si>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</si>
  <si>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</si>
  <si>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</si>
  <si>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</si>
  <si>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</si>
  <si>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</si>
  <si>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</si>
  <si>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</si>
  <si>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</si>
  <si>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</si>
  <si>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</si>
  <si>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</si>
  <si>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</si>
  <si>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</si>
  <si>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</si>
  <si>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</si>
  <si>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</si>
  <si>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</si>
  <si>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</si>
  <si>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</si>
  <si>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</si>
  <si>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</si>
  <si>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</si>
  <si>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</si>
  <si>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</si>
  <si>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</si>
  <si>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</si>
  <si>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</si>
  <si>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</si>
  <si>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</si>
  <si>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</si>
  <si>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</si>
  <si>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</si>
  <si>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</si>
  <si>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</si>
  <si>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</si>
  <si>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</si>
  <si>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</si>
  <si>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</si>
  <si>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</si>
  <si>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</si>
  <si>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</si>
  <si>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</si>
  <si>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</si>
  <si>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</si>
  <si>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</si>
  <si>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</si>
  <si>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</si>
  <si>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</si>
  <si>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</si>
  <si>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</si>
  <si>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</si>
  <si>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</si>
  <si>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</si>
  <si>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</si>
  <si>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</si>
  <si>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</si>
  <si>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</si>
  <si>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</si>
  <si>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</si>
  <si>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</si>
  <si>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</si>
  <si>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</si>
  <si>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</si>
  <si>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</si>
  <si>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</si>
  <si>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</si>
  <si>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</si>
  <si>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</si>
  <si>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</si>
  <si>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</si>
  <si>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</si>
  <si>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</si>
  <si>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</si>
  <si>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</si>
  <si>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</si>
  <si>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</si>
  <si>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</si>
  <si>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</si>
  <si>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</si>
  <si>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</si>
  <si>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</si>
  <si>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</si>
  <si>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</si>
  <si>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</si>
  <si>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</si>
  <si>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</si>
  <si>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</si>
  <si>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</si>
  <si>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</si>
  <si>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</si>
  <si>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</si>
  <si>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</si>
  <si>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</si>
  <si>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</si>
  <si>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</si>
  <si>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</si>
  <si>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</si>
  <si>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</si>
  <si>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</si>
  <si>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</si>
  <si>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</si>
  <si>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</si>
  <si>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</si>
  <si>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</si>
  <si>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</si>
  <si>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</si>
  <si>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</si>
  <si>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</si>
  <si>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</si>
  <si>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</si>
  <si>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</si>
  <si>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</si>
  <si>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</si>
  <si>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</si>
  <si>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</si>
  <si>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</si>
  <si>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</si>
  <si>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</si>
  <si>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</si>
  <si>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</si>
  <si>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</si>
  <si>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</si>
  <si>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</si>
  <si>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</si>
  <si>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</si>
  <si>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</si>
  <si>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</si>
  <si>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</si>
  <si>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</si>
  <si>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</si>
  <si>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</si>
  <si>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</si>
  <si>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</si>
  <si>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</si>
  <si>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</si>
  <si>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</si>
  <si>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</si>
  <si>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</si>
  <si>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</si>
  <si>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</si>
  <si>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</si>
  <si>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</si>
  <si>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</si>
  <si>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</si>
  <si>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</si>
  <si>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</si>
  <si>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</si>
  <si>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</si>
  <si>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</si>
  <si>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</si>
  <si>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</si>
  <si>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</si>
  <si>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</si>
  <si>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</si>
  <si>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</si>
  <si>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</si>
  <si>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</si>
  <si>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</si>
  <si>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</si>
  <si>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</si>
  <si>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</si>
  <si>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</si>
  <si>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</si>
  <si>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</si>
  <si>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</si>
  <si>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</si>
  <si>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</si>
  <si>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</si>
  <si>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</si>
  <si>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</si>
  <si>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</si>
  <si>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</si>
  <si>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</si>
  <si>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</si>
  <si>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</si>
  <si>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</si>
  <si>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</si>
  <si>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</si>
  <si>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</si>
  <si>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</si>
  <si>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</si>
  <si>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</si>
  <si>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</si>
  <si>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</si>
  <si>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</si>
  <si>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</si>
  <si>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</si>
  <si>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</si>
  <si>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</si>
  <si>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</si>
  <si>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</si>
  <si>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</si>
  <si>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</si>
  <si>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</si>
  <si>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</si>
  <si>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</si>
  <si>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</si>
  <si>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</si>
  <si>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</si>
  <si>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</si>
  <si>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</si>
  <si>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</si>
  <si>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</si>
  <si>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</si>
  <si>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</si>
  <si>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</si>
  <si>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</si>
  <si>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</si>
  <si>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</si>
  <si>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</si>
  <si>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</si>
  <si>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</si>
  <si>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</si>
  <si>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</si>
  <si>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</si>
  <si>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</si>
  <si>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</si>
  <si>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</si>
  <si>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</si>
  <si>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</si>
  <si>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</si>
  <si>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</si>
  <si>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</si>
  <si>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</si>
  <si>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</si>
  <si>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</si>
  <si>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</si>
  <si>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</si>
  <si>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</si>
  <si>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</si>
  <si>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</si>
  <si>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</si>
  <si>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</si>
  <si>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</si>
  <si>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</si>
  <si>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</si>
  <si>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</si>
  <si>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</si>
  <si>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</si>
  <si>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</si>
  <si>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</si>
  <si>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</si>
  <si>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</si>
  <si>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</si>
  <si>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</si>
  <si>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</si>
  <si>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</si>
  <si>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</si>
  <si>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</si>
  <si>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</si>
  <si>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</si>
  <si>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</si>
  <si>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</si>
  <si>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</si>
  <si>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</si>
  <si>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</si>
  <si>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</si>
  <si>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</si>
  <si>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</si>
  <si>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</si>
  <si>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</si>
  <si>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</si>
  <si>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</si>
  <si>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</si>
  <si>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</si>
  <si>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</si>
  <si>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</si>
  <si>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</si>
  <si>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</si>
  <si>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</si>
  <si>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</si>
  <si>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</si>
  <si>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</si>
  <si>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</si>
  <si>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</si>
  <si>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</si>
  <si>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</si>
  <si>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</si>
  <si>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</si>
  <si>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</si>
  <si>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</si>
  <si>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</si>
  <si>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</si>
  <si>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</si>
  <si>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</si>
  <si>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</si>
  <si>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</si>
  <si>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</si>
  <si>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</si>
  <si>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</si>
  <si>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</si>
  <si>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</si>
  <si>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</si>
  <si>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</si>
  <si>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</si>
  <si>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</si>
  <si>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</si>
  <si>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</si>
  <si>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</si>
  <si>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</si>
  <si>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</si>
  <si>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</si>
  <si>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</si>
  <si>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</si>
  <si>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</si>
  <si>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</si>
  <si>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</si>
  <si>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</si>
  <si>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</si>
  <si>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</si>
  <si>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</si>
  <si>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</si>
  <si>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</si>
  <si>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</si>
  <si>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</si>
  <si>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</si>
  <si>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</si>
  <si>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</si>
  <si>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</si>
  <si>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</si>
  <si>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</si>
  <si>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</si>
  <si>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</si>
  <si>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</si>
  <si>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</si>
  <si>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</si>
  <si>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</si>
  <si>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</si>
  <si>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</si>
  <si>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</si>
  <si>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</si>
  <si>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</si>
  <si>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</si>
  <si>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</si>
  <si>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</si>
  <si>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</si>
  <si>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</si>
  <si>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</si>
  <si>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</si>
  <si>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</si>
  <si>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</si>
  <si>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</si>
  <si>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</si>
  <si>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</si>
  <si>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</si>
  <si>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</si>
  <si>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</si>
  <si>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</si>
  <si>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</si>
  <si>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</si>
  <si>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</si>
  <si>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</si>
  <si>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</si>
  <si>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</si>
  <si>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</si>
  <si>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</si>
  <si>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</si>
  <si>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</si>
  <si>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</si>
  <si>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</si>
  <si>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</si>
  <si>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</si>
  <si>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</si>
  <si>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</si>
  <si>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</si>
  <si>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</si>
  <si>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</si>
  <si>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</si>
  <si>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</si>
  <si>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</si>
  <si>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</si>
  <si>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</si>
  <si>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</si>
  <si>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</si>
  <si>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</si>
  <si>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</si>
  <si>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</si>
  <si>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</si>
  <si>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</si>
  <si>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</si>
  <si>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</si>
  <si>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</si>
  <si>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</si>
  <si>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</si>
  <si>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</si>
  <si>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</si>
  <si>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</si>
  <si>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</si>
  <si>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</si>
  <si>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</si>
  <si>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</si>
  <si>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</si>
  <si>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</si>
  <si>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</si>
  <si>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</si>
  <si>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</si>
  <si>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</si>
  <si>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</si>
  <si>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</si>
  <si>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</si>
  <si>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</si>
  <si>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</si>
  <si>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</si>
  <si>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</si>
  <si>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</si>
  <si>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</si>
  <si>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</si>
  <si>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</si>
  <si>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</si>
  <si>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</si>
  <si>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</si>
  <si>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</si>
  <si>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</si>
  <si>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</si>
  <si>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</si>
  <si>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</si>
  <si>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</si>
  <si>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</si>
  <si>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</si>
  <si>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</si>
  <si>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</si>
  <si>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</si>
  <si>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</si>
  <si>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</si>
  <si>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</si>
  <si>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</si>
  <si>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</si>
  <si>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</si>
  <si>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</si>
  <si>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</si>
  <si>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</si>
  <si>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</si>
  <si>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</si>
  <si>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</si>
  <si>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</si>
  <si>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</si>
  <si>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</si>
  <si>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</si>
  <si>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</si>
  <si>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</si>
  <si>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</si>
  <si>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</si>
  <si>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</si>
  <si>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</si>
  <si>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</si>
  <si>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</si>
  <si>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</si>
  <si>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</si>
  <si>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</si>
  <si>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</si>
  <si>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</si>
  <si>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</si>
  <si>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</si>
  <si>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</si>
  <si>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</si>
  <si>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</si>
  <si>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</si>
  <si>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</si>
  <si>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</si>
  <si>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</si>
  <si>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</si>
  <si>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</si>
  <si>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</si>
  <si>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</si>
  <si>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</si>
  <si>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</si>
  <si>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</si>
  <si>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</si>
  <si>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</si>
  <si>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</si>
  <si>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</si>
  <si>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</si>
  <si>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</si>
  <si>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</si>
  <si>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</si>
  <si>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</si>
  <si>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</si>
  <si>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</si>
  <si>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</si>
  <si>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</si>
  <si>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</si>
  <si>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</si>
  <si>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</si>
  <si>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</si>
  <si>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</si>
  <si>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</si>
  <si>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</si>
  <si>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</si>
  <si>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</si>
  <si>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</si>
  <si>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</si>
  <si>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</si>
  <si>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</si>
  <si>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</si>
  <si>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</si>
  <si>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</si>
  <si>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</si>
  <si>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</si>
  <si>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</si>
  <si>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</si>
  <si>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</si>
  <si>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</si>
  <si>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</si>
  <si>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</si>
  <si>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</si>
  <si>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</si>
  <si>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</si>
  <si>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</si>
  <si>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</si>
  <si>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</si>
  <si>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</si>
  <si>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</si>
  <si>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</si>
  <si>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</si>
  <si>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</si>
  <si>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</si>
  <si>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</si>
  <si>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</si>
  <si>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</si>
  <si>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</si>
  <si>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</si>
  <si>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</si>
  <si>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</si>
  <si>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</si>
  <si>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</si>
  <si>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</si>
  <si>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</si>
  <si>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</si>
  <si>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</si>
  <si>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</si>
  <si>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</si>
  <si>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</si>
  <si>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</si>
  <si>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</si>
  <si>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</si>
  <si>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</si>
  <si>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</si>
  <si>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</si>
  <si>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</si>
  <si>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</si>
  <si>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</si>
  <si>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</si>
  <si>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</si>
  <si>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</si>
  <si>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</si>
  <si>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</si>
  <si>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</si>
  <si>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</si>
  <si>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</si>
  <si>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</si>
  <si>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</si>
  <si>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</si>
  <si>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</si>
  <si>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</si>
  <si>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</si>
  <si>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</si>
  <si>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</si>
  <si>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</si>
  <si>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</si>
  <si>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</si>
  <si>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</si>
  <si>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</si>
  <si>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</si>
  <si>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</si>
  <si>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</si>
  <si>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</si>
  <si>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</si>
  <si>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</si>
  <si>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</si>
  <si>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</si>
  <si>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</si>
  <si>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</si>
  <si>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</si>
  <si>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</si>
  <si>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</si>
  <si>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</si>
  <si>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</si>
  <si>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</si>
  <si>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</si>
  <si>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</si>
  <si>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</si>
  <si>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</si>
  <si>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</si>
  <si>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</si>
  <si>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</si>
  <si>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</si>
  <si>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</si>
  <si>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</si>
  <si>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</si>
  <si>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</si>
  <si>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</si>
  <si>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</si>
  <si>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</si>
  <si>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</si>
  <si>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</si>
  <si>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</si>
  <si>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</si>
  <si>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</si>
  <si>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</si>
  <si>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</si>
  <si>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</si>
  <si>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</si>
  <si>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</si>
  <si>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</si>
  <si>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</si>
  <si>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</si>
  <si>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</si>
  <si>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</si>
  <si>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</si>
  <si>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</si>
  <si>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</si>
  <si>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</si>
  <si>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</si>
  <si>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</si>
  <si>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</si>
  <si>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</si>
  <si>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</si>
  <si>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</si>
  <si>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</si>
  <si>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</si>
  <si>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</si>
  <si>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</si>
  <si>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</si>
  <si>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</si>
  <si>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</si>
  <si>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</si>
  <si>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</si>
  <si>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</si>
  <si>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</si>
  <si>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</si>
  <si>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</si>
  <si>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</si>
  <si>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</si>
  <si>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</si>
  <si>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</si>
  <si>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</si>
  <si>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</si>
  <si>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</si>
  <si>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</si>
  <si>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</si>
  <si>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</si>
  <si>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</si>
  <si>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</si>
  <si>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</si>
  <si>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</si>
  <si>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</si>
  <si>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</si>
  <si>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</si>
  <si>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</si>
  <si>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</si>
  <si>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</si>
  <si>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</si>
  <si>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</si>
  <si>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</si>
  <si>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</si>
  <si>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</si>
  <si>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</si>
  <si>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</si>
  <si>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</si>
  <si>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</si>
  <si>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</si>
  <si>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</si>
  <si>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</si>
  <si>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</si>
  <si>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</si>
  <si>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</si>
  <si>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</si>
  <si>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</si>
  <si>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</si>
  <si>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</si>
  <si>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</si>
  <si>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</si>
  <si>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</si>
  <si>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</si>
  <si>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</si>
  <si>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</si>
  <si>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</si>
  <si>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</si>
  <si>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</si>
  <si>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</si>
  <si>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</si>
  <si>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</si>
  <si>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</si>
  <si>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</si>
  <si>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</si>
  <si>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</si>
  <si>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</si>
  <si>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</si>
  <si>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</si>
  <si>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</si>
  <si>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</si>
  <si>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</si>
  <si>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</si>
  <si>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</si>
  <si>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</si>
  <si>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</si>
  <si>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</si>
  <si>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</si>
  <si>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</si>
  <si>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</si>
  <si>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</si>
  <si>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</si>
  <si>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</si>
  <si>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</si>
  <si>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</si>
  <si>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</si>
  <si>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</si>
  <si>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</si>
  <si>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</si>
  <si>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</si>
  <si>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</si>
  <si>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</si>
  <si>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</si>
  <si>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</si>
  <si>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</si>
  <si>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</si>
  <si>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</si>
  <si>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</si>
  <si>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</si>
  <si>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</si>
  <si>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</si>
  <si>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</si>
  <si>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</si>
  <si>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</si>
  <si>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</si>
  <si>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</si>
  <si>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</si>
  <si>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</si>
  <si>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</si>
  <si>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</si>
  <si>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</si>
  <si>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</si>
  <si>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</si>
  <si>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</si>
  <si>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</si>
  <si>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</si>
  <si>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</si>
  <si>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</si>
  <si>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</si>
  <si>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</si>
  <si>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</si>
  <si>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</si>
  <si>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</si>
  <si>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</si>
  <si>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</si>
  <si>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</si>
  <si>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</si>
  <si>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</si>
  <si>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</si>
  <si>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</si>
  <si>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</si>
  <si>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</si>
  <si>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</si>
  <si>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</si>
  <si>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</si>
  <si>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</si>
  <si>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</si>
  <si>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</si>
  <si>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</si>
  <si>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</si>
  <si>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</si>
  <si>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</si>
  <si>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</si>
  <si>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</si>
  <si>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</si>
  <si>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</si>
  <si>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</si>
  <si>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</si>
  <si>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</si>
  <si>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</si>
  <si>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</si>
  <si>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</si>
  <si>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</si>
  <si>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</si>
  <si>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</si>
  <si>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</si>
  <si>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</si>
  <si>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</si>
  <si>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</si>
  <si>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</si>
  <si>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</si>
  <si>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</si>
  <si>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</si>
  <si>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</si>
  <si>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</si>
  <si>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</si>
  <si>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</si>
  <si>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</si>
  <si>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</si>
  <si>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</si>
  <si>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</si>
  <si>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</si>
  <si>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</si>
  <si>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</si>
  <si>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</si>
  <si>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</si>
  <si>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</si>
  <si>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</si>
  <si>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</si>
  <si>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</si>
  <si>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</si>
  <si>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</si>
  <si>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</si>
  <si>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</si>
  <si>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</si>
  <si>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</si>
  <si>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</si>
  <si>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</si>
  <si>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</si>
  <si>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</si>
  <si>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</si>
  <si>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</si>
  <si>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</si>
  <si>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</si>
  <si>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</si>
  <si>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</si>
  <si>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</si>
  <si>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</si>
  <si>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</si>
  <si>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</si>
  <si>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</si>
  <si>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</si>
  <si>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</si>
  <si>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</si>
  <si>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</si>
  <si>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</si>
  <si>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</si>
  <si>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</si>
  <si>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</si>
  <si>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</si>
  <si>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</si>
  <si>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</si>
  <si>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</si>
  <si>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</si>
  <si>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</si>
  <si>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</si>
  <si>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</si>
  <si>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</si>
  <si>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</si>
  <si>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</si>
  <si>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</si>
  <si>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</si>
  <si>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</si>
  <si>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</si>
  <si>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</si>
  <si>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</si>
  <si>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</si>
  <si>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</si>
  <si>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</si>
  <si>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</si>
  <si>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</si>
  <si>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</si>
  <si>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</si>
  <si>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</si>
  <si>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</si>
  <si>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</si>
  <si>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</si>
  <si>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</si>
  <si>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</si>
  <si>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</si>
  <si>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</si>
  <si>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</si>
  <si>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</si>
  <si>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</si>
  <si>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</si>
  <si>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</si>
  <si>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</si>
  <si>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</si>
  <si>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</si>
  <si>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</si>
  <si>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</si>
  <si>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</si>
  <si>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</si>
  <si>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</si>
  <si>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</si>
  <si>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</si>
  <si>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</si>
  <si>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</si>
  <si>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</si>
  <si>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</si>
  <si>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</si>
  <si>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</si>
  <si>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</si>
  <si>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</si>
  <si>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</si>
  <si>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</si>
  <si>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</si>
  <si>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</si>
  <si>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</si>
  <si>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</si>
  <si>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</si>
  <si>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</si>
  <si>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</si>
  <si>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</si>
  <si>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</si>
  <si>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</si>
  <si>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</si>
  <si>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</si>
  <si>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</si>
  <si>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</si>
  <si>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</si>
  <si>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</si>
  <si>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</si>
  <si>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</si>
  <si>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</si>
  <si>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</si>
  <si>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</si>
  <si>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</si>
  <si>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</si>
  <si>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</si>
  <si>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</si>
  <si>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</si>
  <si>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</si>
  <si>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</si>
  <si>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</si>
  <si>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</si>
  <si>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</si>
  <si>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</si>
  <si>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</si>
  <si>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</si>
  <si>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</si>
  <si>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</si>
  <si>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</si>
  <si>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</si>
  <si>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</si>
  <si>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</si>
  <si>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</si>
  <si>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</si>
  <si>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</si>
  <si>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</si>
  <si>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</si>
  <si>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</si>
  <si>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</si>
  <si>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</si>
  <si>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</si>
  <si>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</si>
  <si>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</si>
  <si>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</si>
  <si>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</si>
  <si>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</si>
  <si>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</si>
  <si>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</si>
  <si>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</si>
  <si>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</si>
  <si>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</si>
  <si>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</si>
  <si>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</si>
  <si>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</si>
  <si>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</si>
  <si>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</si>
  <si>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</si>
  <si>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</si>
  <si>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</si>
  <si>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</si>
  <si>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</si>
  <si>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</si>
  <si>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</si>
  <si>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</si>
  <si>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</si>
  <si>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</si>
  <si>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</si>
  <si>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</si>
  <si>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</si>
  <si>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</si>
  <si>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</si>
  <si>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</si>
  <si>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</si>
  <si>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</si>
  <si>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</si>
  <si>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</si>
  <si>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</si>
  <si>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</si>
  <si>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</si>
  <si>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</si>
  <si>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</si>
  <si>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</si>
  <si>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</si>
  <si>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</si>
  <si>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</si>
  <si>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</si>
  <si>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</si>
  <si>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</si>
  <si>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</si>
  <si>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</si>
  <si>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</si>
  <si>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</si>
  <si>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</si>
  <si>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</si>
  <si>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</si>
  <si>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</si>
  <si>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</si>
  <si>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</si>
  <si>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</si>
  <si>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</si>
  <si>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</si>
  <si>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</si>
  <si>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</si>
  <si>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</si>
  <si>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</si>
  <si>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</si>
  <si>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</si>
  <si>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</si>
  <si>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</si>
  <si>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</si>
  <si>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</si>
  <si>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</si>
  <si>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</si>
  <si>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</si>
  <si>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</si>
  <si>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</si>
  <si>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</si>
  <si>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</si>
  <si>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</si>
  <si>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</si>
  <si>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</si>
  <si>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</si>
  <si>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</si>
  <si>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</si>
  <si>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</si>
  <si>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</si>
  <si>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</si>
  <si>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</si>
  <si>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</si>
  <si>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</si>
  <si>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</si>
  <si>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</si>
  <si>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</si>
  <si>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</si>
  <si>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</si>
  <si>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</si>
  <si>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</si>
  <si>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</si>
  <si>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</si>
  <si>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</si>
  <si>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</si>
  <si>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</si>
  <si>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</si>
  <si>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</si>
  <si>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</si>
  <si>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</si>
  <si>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</si>
  <si>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</si>
  <si>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</si>
  <si>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</si>
  <si>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</si>
  <si>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</si>
  <si>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</si>
  <si>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</si>
  <si>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</si>
  <si>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</si>
  <si>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</si>
  <si>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</si>
  <si>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</si>
  <si>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</si>
  <si>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</si>
  <si>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</si>
  <si>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</si>
  <si>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</si>
  <si>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</si>
  <si>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</si>
  <si>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</si>
  <si>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</si>
  <si>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</si>
  <si>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</si>
  <si>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</si>
  <si>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</si>
  <si>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</si>
  <si>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</si>
  <si>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</si>
  <si>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</si>
  <si>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</si>
  <si>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</si>
  <si>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</si>
  <si>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</si>
  <si>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</si>
  <si>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</si>
  <si>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</si>
  <si>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</si>
  <si>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</si>
  <si>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</si>
  <si>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</si>
  <si>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</si>
  <si>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</si>
  <si>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</si>
  <si>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</si>
  <si>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</si>
  <si>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</si>
  <si>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</si>
  <si>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</si>
  <si>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</si>
  <si>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</si>
  <si>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</si>
  <si>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</si>
  <si>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</si>
  <si>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</si>
  <si>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</si>
  <si>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</si>
  <si>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</si>
  <si>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</si>
  <si>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</si>
  <si>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</si>
  <si>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</si>
  <si>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</si>
  <si>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</si>
  <si>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</si>
  <si>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</si>
  <si>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</si>
  <si>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</si>
  <si>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</si>
  <si>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</si>
  <si>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</si>
  <si>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</si>
  <si>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</si>
  <si>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</si>
  <si>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</si>
  <si>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</si>
  <si>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</si>
  <si>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</si>
  <si>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</si>
  <si>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</si>
  <si>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</si>
  <si>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</si>
  <si>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</si>
  <si>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</si>
  <si>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</si>
  <si>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</si>
  <si>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</si>
  <si>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</si>
  <si>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</si>
  <si>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</si>
  <si>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</si>
  <si>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</si>
  <si>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</si>
  <si>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</si>
  <si>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</si>
  <si>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</si>
  <si>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</si>
  <si>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</si>
  <si>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</si>
  <si>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</si>
  <si>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</si>
  <si>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</si>
  <si>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</si>
  <si>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</si>
  <si>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</si>
  <si>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</si>
  <si>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</si>
  <si>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</si>
  <si>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</si>
  <si>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</si>
  <si>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</si>
  <si>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</si>
  <si>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</si>
  <si>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</si>
  <si>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</si>
  <si>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</si>
  <si>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</si>
  <si>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</si>
  <si>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</si>
  <si>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</si>
  <si>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</si>
  <si>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</si>
  <si>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</si>
  <si>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</si>
  <si>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</si>
  <si>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</si>
  <si>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</si>
  <si>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</si>
  <si>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</si>
  <si>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</si>
  <si>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</si>
  <si>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</si>
  <si>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</si>
  <si>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</si>
  <si>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</si>
  <si>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</si>
  <si>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</si>
  <si>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</si>
  <si>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</si>
  <si>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</si>
  <si>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</si>
  <si>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</si>
  <si>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</si>
  <si>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</si>
  <si>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</si>
  <si>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</si>
  <si>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</si>
  <si>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</si>
  <si>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</si>
  <si>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</si>
  <si>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</si>
  <si>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</si>
  <si>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</si>
  <si>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</si>
  <si>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</si>
  <si>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</si>
  <si>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</si>
  <si>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</si>
  <si>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</si>
  <si>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</si>
  <si>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</si>
  <si>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</si>
  <si>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</si>
  <si>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</si>
  <si>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</si>
  <si>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</si>
  <si>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</si>
  <si>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</si>
  <si>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</si>
  <si>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</si>
  <si>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</si>
  <si>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</si>
  <si>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</si>
  <si>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</si>
  <si>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</si>
  <si>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</si>
  <si>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</si>
  <si>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</si>
  <si>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</si>
  <si>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</si>
  <si>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</si>
  <si>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</si>
  <si>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</si>
  <si>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</si>
  <si>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</si>
  <si>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</si>
  <si>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</si>
  <si>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</si>
  <si>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</si>
  <si>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</si>
  <si>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</si>
  <si>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</si>
  <si>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</si>
  <si>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</si>
  <si>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</si>
  <si>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</si>
  <si>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</si>
  <si>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</si>
  <si>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</si>
  <si>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</si>
  <si>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</si>
  <si>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</si>
  <si>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</si>
  <si>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</si>
  <si>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</si>
  <si>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</si>
  <si>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</si>
  <si>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</si>
  <si>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</si>
  <si>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</si>
  <si>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</si>
  <si>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</si>
  <si>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</si>
  <si>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</si>
  <si>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</si>
  <si>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</si>
  <si>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</si>
  <si>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</si>
  <si>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</si>
  <si>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</si>
  <si>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</si>
  <si>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</si>
  <si>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</si>
  <si>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</si>
  <si>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</si>
  <si>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</si>
  <si>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</si>
  <si>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</si>
  <si>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</si>
  <si>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</si>
  <si>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</si>
  <si>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</si>
  <si>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</si>
  <si>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</si>
  <si>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</si>
  <si>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</si>
  <si>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</si>
  <si>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</si>
  <si>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</si>
  <si>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</si>
  <si>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</si>
  <si>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</si>
  <si>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</si>
  <si>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</si>
  <si>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</si>
  <si>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</si>
  <si>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</si>
  <si>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</si>
  <si>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</si>
  <si>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</si>
  <si>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</si>
  <si>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</si>
  <si>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</si>
  <si>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</si>
  <si>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</si>
  <si>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</si>
  <si>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</si>
  <si>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</si>
  <si>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</si>
  <si>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</si>
  <si>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</si>
  <si>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</si>
  <si>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</si>
  <si>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</si>
  <si>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</si>
  <si>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</si>
  <si>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</si>
  <si>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</si>
  <si>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</si>
  <si>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</si>
  <si>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</si>
  <si>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</si>
  <si>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</si>
  <si>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</si>
  <si>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</si>
  <si>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</si>
  <si>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</si>
  <si>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</si>
  <si>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</si>
  <si>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</si>
  <si>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</si>
  <si>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</si>
  <si>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</si>
  <si>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</si>
  <si>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</si>
  <si>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</si>
  <si>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</si>
  <si>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</si>
  <si>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</si>
  <si>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</si>
  <si>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</si>
  <si>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</si>
  <si>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</si>
  <si>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</si>
  <si>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</si>
  <si>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</si>
  <si>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</si>
  <si>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</si>
  <si>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</si>
  <si>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</si>
  <si>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</si>
  <si>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</si>
  <si>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</si>
  <si>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</si>
  <si>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</si>
  <si>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</si>
  <si>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</si>
  <si>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</si>
  <si>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</si>
  <si>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</si>
  <si>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</si>
  <si>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</si>
  <si>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</si>
  <si>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</si>
  <si>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</si>
  <si>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</si>
  <si>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</si>
  <si>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</si>
  <si>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</si>
  <si>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</si>
  <si>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</si>
  <si>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</si>
  <si>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</si>
  <si>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</si>
  <si>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</si>
  <si>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</si>
  <si>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</si>
  <si>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</si>
  <si>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</si>
  <si>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</si>
  <si>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</si>
  <si>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</si>
  <si>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</si>
  <si>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</si>
  <si>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</si>
  <si>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</si>
  <si>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</si>
  <si>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</si>
  <si>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</si>
  <si>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</si>
  <si>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</si>
  <si>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</si>
  <si>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</si>
  <si>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</si>
  <si>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</si>
  <si>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</si>
  <si>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</si>
  <si>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</si>
  <si>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</si>
  <si>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</si>
  <si>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</si>
  <si>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</si>
  <si>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</si>
  <si>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</si>
  <si>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</si>
  <si>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</si>
  <si>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</si>
  <si>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</si>
  <si>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</si>
  <si>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</si>
  <si>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</si>
  <si>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</si>
  <si>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</si>
  <si>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</si>
  <si>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</si>
  <si>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</si>
  <si>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</si>
  <si>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</si>
  <si>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</si>
  <si>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</si>
  <si>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</si>
  <si>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</si>
  <si>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</si>
  <si>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</si>
  <si>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</si>
  <si>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</si>
  <si>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</si>
  <si>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</si>
  <si>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</si>
  <si>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</si>
  <si>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</si>
  <si>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</si>
  <si>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</si>
  <si>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</si>
  <si>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</si>
  <si>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</si>
  <si>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</si>
  <si>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</si>
  <si>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</si>
  <si>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</si>
  <si>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</si>
  <si>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</si>
  <si>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</si>
  <si>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</si>
  <si>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</si>
  <si>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</si>
  <si>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</si>
  <si>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</si>
  <si>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</si>
  <si>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</si>
  <si>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</si>
  <si>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</si>
  <si>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</si>
  <si>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</si>
  <si>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</si>
  <si>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</si>
  <si>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</si>
  <si>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</si>
  <si>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</si>
  <si>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</si>
  <si>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</si>
  <si>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</si>
  <si>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</si>
  <si>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</si>
  <si>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</si>
  <si>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</si>
  <si>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</si>
  <si>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</si>
  <si>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</si>
  <si>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</si>
  <si>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</si>
  <si>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</si>
  <si>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</si>
  <si>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</si>
  <si>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</si>
  <si>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</si>
  <si>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</si>
  <si>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</si>
  <si>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</si>
  <si>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</si>
  <si>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</si>
  <si>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</si>
  <si>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</si>
  <si>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</si>
  <si>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</si>
  <si>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</si>
  <si>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</si>
  <si>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</si>
  <si>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</si>
  <si>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</si>
  <si>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</si>
  <si>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</si>
  <si>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</si>
  <si>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</si>
  <si>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</si>
  <si>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</si>
  <si>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</si>
  <si>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</si>
  <si>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</si>
  <si>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</si>
  <si>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</si>
  <si>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</si>
  <si>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</si>
  <si>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</si>
  <si>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</si>
  <si>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</si>
  <si>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</si>
  <si>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</si>
  <si>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</si>
  <si>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</si>
  <si>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</si>
  <si>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</si>
  <si>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</si>
  <si>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</si>
  <si>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</si>
  <si>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</si>
  <si>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</si>
  <si>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</si>
  <si>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</si>
  <si>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</si>
  <si>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</si>
  <si>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</si>
  <si>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</si>
  <si>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</si>
  <si>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</si>
  <si>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</si>
  <si>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</si>
  <si>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</si>
  <si>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</si>
  <si>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</si>
  <si>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</si>
  <si>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</si>
  <si>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</si>
  <si>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</si>
  <si>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</si>
  <si>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</si>
  <si>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</si>
  <si>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</si>
  <si>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</si>
  <si>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</si>
  <si>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</si>
  <si>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</si>
  <si>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</si>
  <si>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</si>
  <si>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</si>
  <si>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</si>
  <si>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</si>
  <si>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</si>
  <si>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</si>
  <si>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</si>
  <si>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</si>
  <si>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</si>
  <si>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</si>
  <si>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</si>
  <si>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</si>
  <si>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</si>
  <si>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</si>
  <si>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</si>
  <si>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</si>
  <si>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</si>
  <si>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</si>
  <si>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</si>
  <si>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</si>
  <si>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</si>
  <si>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</si>
  <si>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</si>
  <si>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</si>
  <si>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</si>
  <si>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</si>
  <si>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</si>
  <si>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</si>
  <si>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</si>
  <si>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</si>
  <si>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</si>
  <si>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</si>
  <si>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</si>
  <si>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</si>
  <si>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</si>
  <si>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</si>
  <si>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</si>
  <si>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</si>
  <si>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</si>
  <si>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</si>
  <si>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</si>
  <si>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</si>
  <si>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</si>
  <si>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</si>
  <si>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</si>
  <si>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</si>
  <si>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</si>
  <si>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</si>
  <si>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</si>
  <si>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</si>
  <si>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</si>
  <si>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</si>
  <si>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</si>
  <si>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</si>
  <si>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</si>
  <si>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</si>
  <si>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</si>
  <si>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</si>
  <si>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</si>
  <si>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</si>
  <si>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</si>
  <si>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</si>
  <si>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</si>
  <si>
    <t xml:space="preserve">Notes: Further information on the calculation of international bunker fuel consumption of aviation jet fuel is provided in Annex 3.3 Methodology for Estimating Emissions from Commercial Aircraft Jet Fuel Consumption. Totals may not sum due to independent rounding. </t>
  </si>
  <si>
    <t xml:space="preserve">Total </t>
  </si>
  <si>
    <t>Marine Distillate Fuel Oil</t>
  </si>
  <si>
    <t>Marine Residual Fuel Oil</t>
  </si>
  <si>
    <t>Aviation Jet Fuel</t>
  </si>
  <si>
    <t>Fuel Type</t>
  </si>
  <si>
    <t>Table A-19:  International Bunker Fuel Consumption (TBtu)</t>
  </si>
  <si>
    <t>EPA Inventory Annex</t>
  </si>
  <si>
    <t>2022 Fuel Consumption</t>
  </si>
  <si>
    <t>Combined domestic and international fuel</t>
  </si>
  <si>
    <t>Adjust Shipping Fuel Consumption</t>
  </si>
  <si>
    <t>EPA estimate for international bunker fuel</t>
  </si>
  <si>
    <t>Adjusted total fuel consumption</t>
  </si>
  <si>
    <t>percent of shipping fuel that counts towards inventory</t>
  </si>
  <si>
    <t>Fuel Economy (passenger*miles/BTU)</t>
  </si>
  <si>
    <t>PSGR</t>
  </si>
  <si>
    <t>Fuel Economy (freight ton*miles/BTU)</t>
  </si>
  <si>
    <t>FREIGHT</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</si>
  <si>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</si>
  <si>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</si>
  <si>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</si>
  <si>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</si>
  <si>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</si>
  <si>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</si>
  <si>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</si>
  <si>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</si>
  <si>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</si>
  <si>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</si>
  <si>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</si>
  <si>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</si>
  <si>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</si>
  <si>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</si>
  <si>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</si>
  <si>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</si>
  <si>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</si>
  <si>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</si>
  <si>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</si>
  <si>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</si>
  <si>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</si>
  <si>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</si>
  <si>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</si>
  <si>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</si>
  <si>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</si>
  <si>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</si>
  <si>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</si>
  <si>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</si>
  <si>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</si>
  <si>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</si>
  <si>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</si>
  <si>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</si>
  <si>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</si>
  <si>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</si>
  <si>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</si>
  <si>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</si>
  <si>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</si>
  <si>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</si>
  <si>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</si>
  <si>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</si>
  <si>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</si>
  <si>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</si>
  <si>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</si>
  <si>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</si>
  <si>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</si>
  <si>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</si>
  <si>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</si>
  <si>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</si>
  <si>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</si>
  <si>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</si>
  <si>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</si>
  <si>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</si>
  <si>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</si>
  <si>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</si>
  <si>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</si>
  <si>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</si>
  <si>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</si>
  <si>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</si>
  <si>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</si>
  <si>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</si>
  <si>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</si>
  <si>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</si>
  <si>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</si>
  <si>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</si>
  <si>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</si>
  <si>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</si>
  <si>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</si>
  <si>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</si>
  <si>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</si>
  <si>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</si>
  <si>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</si>
  <si>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</si>
  <si>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</si>
  <si>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</si>
  <si>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</si>
  <si>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</si>
  <si>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</si>
  <si>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</si>
  <si>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</si>
  <si>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</si>
  <si>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</si>
  <si>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</si>
  <si>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AEO.2026.ELECTRNP.CNSM_NA_TRN_SHDT_USE_NA_NA_MILLBPDYOEQ.A</t>
  </si>
  <si>
    <t>Transportation: Energy Use by Mode: Shipping, Domestic: Alternative Electricity and Transportation</t>
  </si>
  <si>
    <t>AEO.2026.ELECTRNP.CNSM_NA_TRN_RLF_USE_NA_NA_MILLBPDYOEQ.A</t>
  </si>
  <si>
    <t>Transportation: Energy Use by Mode: Rail, Freight: Alternative Electricity and Transportation</t>
  </si>
  <si>
    <t>AEO.2026.ELECTRNP.CNSM_NA_TRN_RLP_USE_NA_NA_MILLBPDYOEQ.A</t>
  </si>
  <si>
    <t>Transportation: Energy Use by Mode: Rail, Passenger: Alternative Electricity and Transportation</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</si>
  <si>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</si>
  <si>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</si>
  <si>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</si>
  <si>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</si>
  <si>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</si>
  <si>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</si>
  <si>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</si>
  <si>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</si>
  <si>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</si>
  <si>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</si>
  <si>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</si>
  <si>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</si>
  <si>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</si>
  <si>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</si>
  <si>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</si>
  <si>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</si>
  <si>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</si>
  <si>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</si>
  <si>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</si>
  <si>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</si>
  <si>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</si>
  <si>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</si>
  <si>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</si>
  <si>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</si>
  <si>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</si>
  <si>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</si>
  <si>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</si>
  <si>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</si>
  <si>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</si>
  <si>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</si>
  <si>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</si>
  <si>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</si>
  <si>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</si>
  <si>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</si>
  <si>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</si>
  <si>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</si>
  <si>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</si>
  <si>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</si>
  <si>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</si>
  <si>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</si>
  <si>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</si>
  <si>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</si>
  <si>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</si>
  <si>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</si>
  <si>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</si>
  <si>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</si>
  <si>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</si>
  <si>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</si>
  <si>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</si>
  <si>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</si>
  <si>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</si>
  <si>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</si>
  <si>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</si>
  <si>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</si>
  <si>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</si>
  <si>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</si>
  <si>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</si>
  <si>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</si>
  <si>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</si>
  <si>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</si>
  <si>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</si>
  <si>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</si>
  <si>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</si>
  <si>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</si>
  <si>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</si>
  <si>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</si>
  <si>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</si>
  <si>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</si>
  <si>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</si>
  <si>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</si>
  <si>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</si>
  <si>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</si>
  <si>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</si>
  <si>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</si>
  <si>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</si>
  <si>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</si>
  <si>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</si>
  <si>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Growth (2025-2050)</t>
  </si>
  <si>
    <t>Thu Apr 23 2026 14:58:03 GMT-0700 (Pacific Daylight Time)</t>
  </si>
  <si>
    <t>https://www.eia.gov/outlooks/aeo/data/browser/#/?id=7-AEO2026&amp;cases=electrnp&amp;sourcekey=0</t>
  </si>
  <si>
    <t>AEO.2026.ELECTRNP.ECI_STK_TRN_LDV_FUC_NA_NA_MILL.A</t>
  </si>
  <si>
    <t>Light-Duty Vehicle Sales: Total Vehicle Stock: Fuel Cell: Alternative Electricity and Transportation</t>
  </si>
  <si>
    <t>AEO.2026.ELECTRNP.ECI_STK_TRN_LDV_GSU_NA_NA_MILL.A</t>
  </si>
  <si>
    <t>Light-Duty Vehicle Sales: Total Vehicle Stock: Gaseous: Alternative Electricity and Transportation</t>
  </si>
  <si>
    <t>AEO.2026.ELECTRNP.ECI_STK_TRN_LDV_EHY_NA_NA_MILL.A</t>
  </si>
  <si>
    <t>Light-Duty Vehicle Sales: Total Vehicle Stock: Electric Hybrid: Alternative Electricity and Transportation</t>
  </si>
  <si>
    <t>AEO.2026.ELECTRNP.ECI_STK_TRN_LDV_PIE_NA_NA_MILL.A</t>
  </si>
  <si>
    <t>Light-Duty Vehicle Sales: Total Vehicle Stock: Plug-in Electric Hybrid: Alternative Electricity and Transportation</t>
  </si>
  <si>
    <t>AEO.2026.ELECTRNP.ECI_STK_TRN_LDV_ELE_NA_NA_MILL.A</t>
  </si>
  <si>
    <t>Light-Duty Vehicle Sales: Total Vehicle Stock: Electric: Alternative Electricity and Transportation</t>
  </si>
  <si>
    <t>AEO.2026.ELECTRNP.ECI_STK_TRN_LDV_FXF_NA_NA_MILL.A</t>
  </si>
  <si>
    <t>Light-Duty Vehicle Sales: Total Vehicle Stock: Flex-Fuel: Alternative Electricity and Transportation</t>
  </si>
  <si>
    <t>AEO.2026.ELECTRNP.ECI_STK_TRN_LDV_TDS_NA_NA_MILL.A</t>
  </si>
  <si>
    <t>Light-Duty Vehicle Sales: Total Vehicle Stock: TDI Diesel: Alternative Electricity and Transportation</t>
  </si>
  <si>
    <t>AEO.2026.ELECTRNP.ECI_STK_TRN_LDV_CVG_NA_NA_MILL.A</t>
  </si>
  <si>
    <t>Light-Duty Vehicle Sales: Total Vehicle Stock: Conventional Gasoline: Alternative Electricity and Transportation</t>
  </si>
  <si>
    <t>AEO.2026.ELECTRNP.ECI_STK_TRN_LDV_NA_NA_NA_MILL.A</t>
  </si>
  <si>
    <t>Light-Duty Vehicle Stock: Total Vehicle Stock: Alternative Electricity and Transportation</t>
  </si>
  <si>
    <t>AEO.2026.ELECTRNP.ECI_STK_TRN_LTK_NA_NA_NA_MILL.A</t>
  </si>
  <si>
    <t>Light-Duty Vehicle Stock: Light Truck Stock: Total: Alternative Electricity and Transportation</t>
  </si>
  <si>
    <t>AEO.2026.ELECTRNP.ECI_STK_TRN_LTK_ALT_NA_NA_MILL.A</t>
  </si>
  <si>
    <t>Light-Duty Vehicle Stock: Alternative-Fuel Light Trucks: Total: Alternative Electricity and Transportation</t>
  </si>
  <si>
    <t>AEO.2026.ELECTRNP.ECI_STK_TRN_LTK_FCH_NA_NA_MILL.A</t>
  </si>
  <si>
    <t>Light-Duty Vehicle Stock: Alternative-Fuel Light Trucks: Fuel Cell Hydrogen: Alternative Electricity and Transportation</t>
  </si>
  <si>
    <t>AEO.2026.ELECTRNP.ECI_STK_TRN_LTK_PBF_NA_NA_MILL.A</t>
  </si>
  <si>
    <t>Light-Duty Vehicle Stock: Alternative-Fuel Light Trucks: Propane Bi-fuel: Alternative Electricity and Transportation</t>
  </si>
  <si>
    <t>AEO.2026.ELECTRNP.ECI_STK_TRN_LTK_PROP_NA_NA_MILL.A</t>
  </si>
  <si>
    <t>Light-Duty Vehicle Stock: Alternative-Fuel Light Trucks: Propane ICE: Alternative Electricity and Transportation</t>
  </si>
  <si>
    <t>AEO.2026.ELECTRNP.ECI_STK_TRN_LTK_NBF_NA_NA_MILL.A</t>
  </si>
  <si>
    <t>Light-Duty Vehicle Stock: Alternative-Fuel Light Trucks: Natural Gas Bi-fuel: Alternative Electricity and Transportation</t>
  </si>
  <si>
    <t>AEO.2026.ELECTRNP.ECI_STK_TRN_LTK_NGI_NA_NA_MILL.A</t>
  </si>
  <si>
    <t>Light-Duty Vehicle Stock: Alternative-Fuel Light Trucks: Natural Gas ICE: Alternative Electricity and Transportation</t>
  </si>
  <si>
    <t>AEO.2026.ELECTRNP.ECI_STK_TRN_LTK_EGH_NA_NA_MILL.A</t>
  </si>
  <si>
    <t>Light-Duty Vehicle Stock: Alternative-Fuel Light Trucks: Electric-Gasoline Hybrid: Alternative Electricity and Transportation</t>
  </si>
  <si>
    <t>AEO.2026.ELECTRNP.ECI_STK_TRN_LTK_PI50GH_NA_NA_MILL.A</t>
  </si>
  <si>
    <t>Light-Duty Vehicle Stock: Alternative-Fuel Light Trucks: Plug-in 50 Gasoline Hybrid: Alternative Electricity and Transportation</t>
  </si>
  <si>
    <t>AEO.2026.ELECTRNP.ECI_STK_TRN_LTK_PI20GH_NA_NA_MILL.A</t>
  </si>
  <si>
    <t>Light-Duty Vehicle Stock: Alternative-Fuel Light Trucks: Plug-in 20 Gasoline Hybrid: Alternative Electricity and Transportation</t>
  </si>
  <si>
    <t>AEO.2026.ELECTRNP.ECI_STK_TRN_LTK_300MIEV_NA_NA_MILL.A</t>
  </si>
  <si>
    <t>Light-Duty Vehicle Stock: Alternative-Fuel Light Trucks: 300-Mile Electric Vehicle: Alternative Electricity and Transportation</t>
  </si>
  <si>
    <t>AEO.2026.ELECTRNP.ECI_STK_TRN_LTK_200MIEV_NA_NA_MILL.A</t>
  </si>
  <si>
    <t>Light-Duty Vehicle Stock: Alternative-Fuel Light Trucks: 200-Mile Electric Vehicle: Alternative Electricity and Transportation</t>
  </si>
  <si>
    <t>AEO.2026.ELECTRNP.ECI_STK_TRN_LTK_100MIEV_NA_NA_MILL.A</t>
  </si>
  <si>
    <t>Light-Duty Vehicle Stock: Alternative-Fuel Light Trucks: 100-Mile Electric Vehicle: Alternative Electricity and Transportation</t>
  </si>
  <si>
    <t>AEO.2026.ELECTRNP.ECI_STK_TRN_LTK_EFFI_NA_NA_MILL.A</t>
  </si>
  <si>
    <t>Light-Duty Vehicle Stock: Alternative-Fuel Light Trucks: Ethanol-Flex Fuel ICE: Alternative Electricity and Transportation</t>
  </si>
  <si>
    <t>AEO.2026.ELECTRNP.ECI_STK_TRN_LTK_CNV_NA_NA_MILL.A</t>
  </si>
  <si>
    <t>Light-Duty Vehicle Stock: Conventional Light Trucks: Total: Alternative Electricity and Transportation</t>
  </si>
  <si>
    <t>AEO.2026.ELECTRNP.ECI_STK_TRN_LTK_TDS_NA_NA_MILL.A</t>
  </si>
  <si>
    <t>Light-Duty Vehicle Stock: Conventional Light Trucks: TDI Diesel: Alternative Electricity and Transportation</t>
  </si>
  <si>
    <t>AEO.2026.ELECTRNP.ECI_STK_TRN_LTK_GSL_NA_NA_MILL.A</t>
  </si>
  <si>
    <t>Light-Duty Vehicle Stock: Conventional Light Trucks: Gasoline: Alternative Electricity and Transportation</t>
  </si>
  <si>
    <t>AEO.2026.ELECTRNP.ECI_STK_TRN_CAR_NA_NA_NA_MILL.A</t>
  </si>
  <si>
    <t>Light-Duty Vehicle Stock: Car Stock: Total: Alternative Electricity and Transportation</t>
  </si>
  <si>
    <t>AEO.2026.ELECTRNP.ECI_STK_TRN_CAR_ALT_NA_NA_MILL.A</t>
  </si>
  <si>
    <t>Light-Duty Vehicle Stock: Alternative-Fuel Cars: Total: Alternative Electricity and Transportation</t>
  </si>
  <si>
    <t>AEO.2026.ELECTRNP.ECI_STK_TRN_CAR_FCH_NA_NA_MILL.A</t>
  </si>
  <si>
    <t>Light-Duty Vehicle Stock: Alternative-Fuel Cars: Fuel Cell Hydrogen: Alternative Electricity and Transportation</t>
  </si>
  <si>
    <t>AEO.2026.ELECTRNP.ECI_STK_TRN_CAR_PBF_NA_NA_MILL.A</t>
  </si>
  <si>
    <t>Light-Duty Vehicle Stock: Alternative-Fuel Cars: Propane Bi-fuel: Alternative Electricity and Transportation</t>
  </si>
  <si>
    <t>AEO.2026.ELECTRNP.ECI_STK_TRN_CAR_PROP_NA_NA_MILL.A</t>
  </si>
  <si>
    <t>Light-Duty Vehicle Stock: Alternative-Fuel Cars: Propane ICE: Alternative Electricity and Transportation</t>
  </si>
  <si>
    <t>AEO.2026.ELECTRNP.ECI_STK_TRN_CAR_NBF_NA_NA_MILL.A</t>
  </si>
  <si>
    <t>Light-Duty Vehicle Stock: Alternative-Fuel Cars: Natural Gas Bi-fuel: Alternative Electricity and Transportation</t>
  </si>
  <si>
    <t>AEO.2026.ELECTRNP.ECI_STK_TRN_CAR_NGI_NA_NA_MILL.A</t>
  </si>
  <si>
    <t>Light-Duty Vehicle Stock: Alternative-Fuel Cars: Natural Gas ICE: Alternative Electricity and Transportation</t>
  </si>
  <si>
    <t>AEO.2026.ELECTRNP.ECI_STK_TRN_CAR_EGH_NA_NA_MILL.A</t>
  </si>
  <si>
    <t>Light-Duty Vehicle Stock: Alternative-Fuel Cars: Electric-Gasoline Hybrid: Alternative Electricity and Transportation</t>
  </si>
  <si>
    <t>AEO.2026.ELECTRNP.ECI_STK_TRN_CAR_PI50GH_NA_NA_MILL.A</t>
  </si>
  <si>
    <t>Light-Duty Vehicle Stock: Alternative-Fuel Cars: Plug-in 50 Gasoline Hybrid: Alternative Electricity and Transportation</t>
  </si>
  <si>
    <t>AEO.2026.ELECTRNP.ECI_STK_TRN_CAR_PI20GH_NA_NA_MILL.A</t>
  </si>
  <si>
    <t>Light-Duty Vehicle Stock: Alternative-Fuel Cars: Plug-in 20 Gasoline Hybrid: Alternative Electricity and Transportation</t>
  </si>
  <si>
    <t>AEO.2026.ELECTRNP.ECI_STK_TRN_CAR_300MIEV_NA_NA_MILL.A</t>
  </si>
  <si>
    <t>Light-Duty Vehicle Stock: Alternative-Fuel Cars: 300-Mile Electric Vehicle: Alternative Electricity and Transportation</t>
  </si>
  <si>
    <t>AEO.2026.ELECTRNP.ECI_STK_TRN_CAR_200MIEV_NA_NA_MILL.A</t>
  </si>
  <si>
    <t>Light-Duty Vehicle Stock: Alternative-Fuel Cars: 200-Mile Electric Vehicle: Alternative Electricity and Transportation</t>
  </si>
  <si>
    <t>AEO.2026.ELECTRNP.ECI_STK_TRN_CAR_100MIEV_NA_NA_MILL.A</t>
  </si>
  <si>
    <t>Light-Duty Vehicle Stock: Alternative-Fuel Cars: 100-Mile Electric Vehicle: Alternative Electricity and Transportation</t>
  </si>
  <si>
    <t>AEO.2026.ELECTRNP.ECI_STK_TRN_CAR_EFFI_NA_NA_MILL.A</t>
  </si>
  <si>
    <t>Light-Duty Vehicle Stock: Alternative-Fuel Cars: Ethanol-Flex Fuel ICE: Alternative Electricity and Transportation</t>
  </si>
  <si>
    <t>AEO.2026.ELECTRNP.ECI_STK_TRN_CAR_CNV_NA_NA_MILL.A</t>
  </si>
  <si>
    <t>Light-Duty Vehicle Stock: Conventional Cars: Total: Alternative Electricity and Transportation</t>
  </si>
  <si>
    <t>AEO.2026.ELECTRNP.ECI_STK_TRN_CAR_TDS_NA_NA_MILL.A</t>
  </si>
  <si>
    <t>Light-Duty Vehicle Stock: Conventional Cars: TDI Diesel: Alternative Electricity and Transportation</t>
  </si>
  <si>
    <t>AEO.2026.ELECTRNP.ECI_STK_TRN_CAR_GSL_NA_NA_MILL.A</t>
  </si>
  <si>
    <t>Light-Duty Vehicle Stock: Conventional Cars: Gasoline: Alternative Electricity and Transportation</t>
  </si>
  <si>
    <t>Thu Apr 23 2026 15:03:51 GMT-0700 (Pacific Daylight Time)</t>
  </si>
  <si>
    <t>https://www.eia.gov/outlooks/aeo/data/browser/#/?id=49-AEO2026&amp;cases=electrnp&amp;sourcekey=0</t>
  </si>
  <si>
    <t>AEO.2026.ELECTRNP.CNSM_NA_TRN_INTS_LNG_NA_NA_TRLBTU.A</t>
  </si>
  <si>
    <t>Freight: International Shipping: Fuel Use: LNG: Alternative Electricity and Transportation</t>
  </si>
  <si>
    <t>AEO.2026.ELECTRNP.CNSM_NA_TRN_INTS_CNG_NA_NA_TRLBTU.A</t>
  </si>
  <si>
    <t>Freight: International Shipping: Fuel Use: CNG: Alternative Electricity and Transportation</t>
  </si>
  <si>
    <t>AEO.2026.ELECTRNP.CNSM_NA_TRN_INTS_RFO_NA_NA_TRLBTU.A</t>
  </si>
  <si>
    <t>Freight: International Shipping: Fuel Use: Residual Fuel Oil: Alternative Electricity and Transportation</t>
  </si>
  <si>
    <t>AEO.2026.ELECTRNP.CNSM_NA_TRN_INTS_DFO_NA_NA_TRLBTU.A</t>
  </si>
  <si>
    <t>Freight: International Shipping: Fuel Use: Distillate Fuel Oil: Alternative Electricity and Transportation</t>
  </si>
  <si>
    <t>AEO.2026.ELECTRNP.ECI_IMP_TRN_INTS_NA_NA_NA_BLNY09DLR.A</t>
  </si>
  <si>
    <t>Freight: International Shipping: Imports: Alternative Electricity and Transportation</t>
  </si>
  <si>
    <t>AEO.2026.ELECTRNP.ECI_EXPT_TRN_INTS_NA_NA_NA_BLNY09DLR.A</t>
  </si>
  <si>
    <t>Freight: International Shipping: Exports: Alternative Electricity and Transportation</t>
  </si>
  <si>
    <t>AEO.2026.ELECTRNP.ECI_UGHT_TRN_INTS_NA_NA_NA_BLNY09DLR.A</t>
  </si>
  <si>
    <t>Freight: International Shipping: Gross Trade: Alternative Electricity and Transportation</t>
  </si>
  <si>
    <t>AEO.2026.ELECTRNP.CNSM_NA_TRN_DMT_LNG_NA_NA_TRLBTU.A</t>
  </si>
  <si>
    <t>Freight: Domestic Shipping: Fuel Use: LNG: Alternative Electricity and Transportation</t>
  </si>
  <si>
    <t>AEO.2026.ELECTRNP.CNSM_NA_TRN_DMT_CNG_NA_NA_TRLBTU.A</t>
  </si>
  <si>
    <t>Freight: Domestic Shipping: Fuel Use: CNG: Alternative Electricity and Transportation</t>
  </si>
  <si>
    <t>AEO.2026.ELECTRNP.CNSM_NA_TRN_DMT_RFO_NA_NA_TRLBTU.A</t>
  </si>
  <si>
    <t>Freight: Domestic Shipping: Fuel Use: Residual Fuel Oil: Alternative Electricity and Transportation</t>
  </si>
  <si>
    <t>AEO.2026.ELECTRNP.CNSM_NA_TRN_DMT_DFO_NA_NA_TRLBTU.A</t>
  </si>
  <si>
    <t>Freight: Domestic Shipping: Fuel Use: Distillate Fuel Oil: Alternative Electricity and Transportation</t>
  </si>
  <si>
    <t>AEO.2026.ELECTRNP.EFI_NA_TRN_DMT_NA_NA_NA_TONMLPTHBTU.A</t>
  </si>
  <si>
    <t>Freight: Domestic Shipping: Fuel Efficiency: Alternative Electricity and Transportation</t>
  </si>
  <si>
    <t>AEO.2026.ELECTRNP.ECI_FTM_TRN_DMT_NA_NA_NA_BLN.A</t>
  </si>
  <si>
    <t>Freight: Domestic Shipping: Ton Miles Shipping: Alternative Electricity and Transportation</t>
  </si>
  <si>
    <t>AEO.2026.ELECTRNP.CNSM_NA_TRN_RAIL_LNG_NA_NA_TRLBTU.A</t>
  </si>
  <si>
    <t>Freight: Railroads: Fuel Use: LNG: Alternative Electricity and Transportation</t>
  </si>
  <si>
    <t>AEO.2026.ELECTRNP.CNSM_NA_TRN_RAIL_CNG_NA_NA_TRLBTU.A</t>
  </si>
  <si>
    <t>Freight: Railroads: Fuel Use: CNG: Alternative Electricity and Transportation</t>
  </si>
  <si>
    <t>AEO.2026.ELECTRNP.CNSM_NA_TRN_RAIL_RFO_NA_NA_TRLBTU.A</t>
  </si>
  <si>
    <t>Freight: Railroads: Fuel Use: Residual Fuel Oil: Alternative Electricity and Transportation</t>
  </si>
  <si>
    <t>AEO.2026.ELECTRNP.CNSM_NA_TRN_RAIL_DFO_NA_NA_TRLBTU.A</t>
  </si>
  <si>
    <t>Freight: Railroads: Fuel Use: Distillate Fuel Oil: Alternative Electricity and Transportation</t>
  </si>
  <si>
    <t>AEO.2026.ELECTRNP.EFI_NA_TRN_RAIL_NA_NA_NA_TONMLPTHBTU.A</t>
  </si>
  <si>
    <t>Freight: Railroads: Fuel Efficiency: Alternative Electricity and Transportation</t>
  </si>
  <si>
    <t>AEO.2026.ELECTRNP.ECI_FTM_TRN_RAIL_NA_NA_NA_BLN.A</t>
  </si>
  <si>
    <t>Freight: Railroads: Ton Miles by Rail: Alternative Electricity and Transportation</t>
  </si>
  <si>
    <t>AEO.2026.ELECTRNP.ECI_SAL_FGHT_NA_NA_NA_NA_TH.A</t>
  </si>
  <si>
    <t>Freight: New Trucks: Sales: Alternative Electricity and Transportation</t>
  </si>
  <si>
    <t>AEO.2026.ELECTRNP.ECI_SAL_FGHT_RAD_NA_NA_NA_TH.A</t>
  </si>
  <si>
    <t>Freight: New Trucks: Sales: Heavy: Alternative Electricity and Transportation</t>
  </si>
  <si>
    <t>AEO.2026.ELECTRNP.ECI_SAL_FGHT_RAD_HYDICE_NA_NA_MPGDSEQ.A</t>
  </si>
  <si>
    <t>Freight: New Trucks: Sales: Heavy: Hydrogen ICE: Alternative Electricity and Transportation</t>
  </si>
  <si>
    <t>AEO.2026.ELECTRNP.ECI_SAL_FGHT_RAD_GASHEV_NA_NA_MPGGASEQ.A</t>
  </si>
  <si>
    <t>Freight: New Trucks: Sales: Heavy: Gasoline Hybrid: Alternative Electricity and Transportation</t>
  </si>
  <si>
    <t>AEO.2026.ELECTRNP.ECI_SAL_FGHT_RAD_FEUCELBATDOM_NA_NA_MPGDSEQ.A</t>
  </si>
  <si>
    <t>Freight: New Trucks: Sales: Heavy: Fuel Cell Battery Dominant: Alternative Electricity and Transportation</t>
  </si>
  <si>
    <t>AEO.2026.ELECTRNP.ECI_SAL_FGHT_RAD_FUC_NA_NA_TH.A</t>
  </si>
  <si>
    <t>Freight: New Trucks: Sales: Heavy: Fuel Cell: Alternative Electricity and Transportation</t>
  </si>
  <si>
    <t>AEO.2026.ELECTRNP.ECI_SAL_FGHT_RAD_EGH_NA_NA_TH.A</t>
  </si>
  <si>
    <t>Freight: New Trucks: Sales: Heavy: Plug-in Gasoline Hybrid: Alternative Electricity and Transportation</t>
  </si>
  <si>
    <t>AEO.2026.ELECTRNP.ECI_SAL_FGHT_RAD_EDH_NA_NA_TH.A</t>
  </si>
  <si>
    <t>Freight: New Trucks: Sales: Heavy: Plug-in Diesel Hybrid: Alternative Electricity and Transportation</t>
  </si>
  <si>
    <t>AEO.2026.ELECTRNP.ECI_SAL_FGHT_RAD_ELE_NA_NA_TH.A</t>
  </si>
  <si>
    <t>Freight: New Trucks: Sales: Heavy: Electric: Alternative Electricity and Transportation</t>
  </si>
  <si>
    <t>AEO.2026.ELECTRNP.ECI_SAL_FGHT_RAD_EFFI_NA_NA_TH.A</t>
  </si>
  <si>
    <t>Freight: New Trucks: Sales: Heavy: Ethanol-Flex Fuel: Alternative Electricity and Transportation</t>
  </si>
  <si>
    <t>AEO.2026.ELECTRNP.ECI_SAL_FGHT_RAD_NG_NA_NA_TH.A</t>
  </si>
  <si>
    <t>Freight: New Trucks: Sales: Heavy: Natural Gas: Alternative Electricity and Transportation</t>
  </si>
  <si>
    <t>AEO.2026.ELECTRNP.ECI_SAL_FGHT_RAD_PROP_NA_NA_TH.A</t>
  </si>
  <si>
    <t>Freight: New Trucks: Sales: Heavy: Propane: Alternative Electricity and Transportation</t>
  </si>
  <si>
    <t>AEO.2026.ELECTRNP.ECI_SAL_FGHT_RAD_MGS_NA_NA_TH.A</t>
  </si>
  <si>
    <t>Freight: New Trucks: Sales: Heavy: Motor Gasoline: Alternative Electricity and Transportation</t>
  </si>
  <si>
    <t>AEO.2026.ELECTRNP.ECI_SAL_FGHT_RAD_DSL_NA_NA_TH.A</t>
  </si>
  <si>
    <t>Freight: New Trucks: Sales: Heavy: Diesel: Alternative Electricity and Transportation</t>
  </si>
  <si>
    <t>AEO.2026.ELECTRNP.ECI_SAL_FGHT_SOSO_NA_NA_NA_TH.A</t>
  </si>
  <si>
    <t>Freight: New Trucks: Sales: Medium: Alternative Electricity and Transportation</t>
  </si>
  <si>
    <t>AEO.2026.ELECTRNP.ECI_SAL_FGHT_SOSO_HYDICE_NA_NA_MPGDSEQ.A</t>
  </si>
  <si>
    <t>Freight: New Trucks: Sales: Medium: Hydrogen ICE: Alternative Electricity and Transportation</t>
  </si>
  <si>
    <t>AEO.2026.ELECTRNP.ECI_SAL_FGHT_SOSO_GASHEV_NA_NA_MPGGASEQ.A</t>
  </si>
  <si>
    <t>Freight: New Trucks: Sales: Medium: Gasoline Hybrid: Alternative Electricity and Transportation</t>
  </si>
  <si>
    <t>AEO.2026.ELECTRNP.ECI_SAL_FGHT_SOSO_FEUCELBATDOM_NA_NA_MPGDSEQ.A</t>
  </si>
  <si>
    <t>Freight: New Trucks: Sales: Medium: Fuel Cell Battery Dominant: Alternative Electricity and Transportation</t>
  </si>
  <si>
    <t>AEO.2026.ELECTRNP.ECI_SAL_FGHT_SOSO_FUC_NA_NA_TH.A</t>
  </si>
  <si>
    <t>Freight: New Trucks: Sales: Medium: Fuel Cell: Alternative Electricity and Transportation</t>
  </si>
  <si>
    <t>AEO.2026.ELECTRNP.ECI_SAL_FGHT_SOSO_EGH_NA_NA_TH.A</t>
  </si>
  <si>
    <t>Freight: New Trucks: Sales: Medium: Plug-in Gasoline Hybrid: Alternative Electricity and Transportation</t>
  </si>
  <si>
    <t>AEO.2026.ELECTRNP.ECI_SAL_FGHT_SOSO_EDH_NA_NA_TH.A</t>
  </si>
  <si>
    <t>Freight: New Trucks: Sales: Medium: Plug-in Diesel Hybrid: Alternative Electricity and Transportation</t>
  </si>
  <si>
    <t>AEO.2026.ELECTRNP.ECI_SAL_FGHT_SOSO_ELE_NA_NA_TH.A</t>
  </si>
  <si>
    <t>Freight: New Trucks: Sales: Medium: Electric: Alternative Electricity and Transportation</t>
  </si>
  <si>
    <t>AEO.2026.ELECTRNP.ECI_SAL_FGHT_SOSO_EFFI_NA_NA_TH.A</t>
  </si>
  <si>
    <t>Freight: New Trucks: Sales: Medium: Ethanol-Flex Fuel: Alternative Electricity and Transportation</t>
  </si>
  <si>
    <t>AEO.2026.ELECTRNP.ECI_SAL_FGHT_SOSO_NG_NA_NA_TH.A</t>
  </si>
  <si>
    <t>Freight: New Trucks: Sales: Medium: Natural Gas: Alternative Electricity and Transportation</t>
  </si>
  <si>
    <t>AEO.2026.ELECTRNP.ECI_SAL_FGHT_SOSO_PROP_NA_NA_TH.A</t>
  </si>
  <si>
    <t>Freight: New Trucks: Sales: Medium: Propane: Alternative Electricity and Transportation</t>
  </si>
  <si>
    <t>AEO.2026.ELECTRNP.ECI_SAL_FGHT_SOSO_MGS_NA_NA_TH.A</t>
  </si>
  <si>
    <t>Freight: New Trucks: Sales: Medium: Motor Gasoline: Alternative Electricity and Transportation</t>
  </si>
  <si>
    <t>AEO.2026.ELECTRNP.ECI_SAL_FGHT_SOSO_DSL_NA_NA_TH.A</t>
  </si>
  <si>
    <t>Freight: New Trucks: Sales: Medium: Diesel: Alternative Electricity and Transportation</t>
  </si>
  <si>
    <t>AEO.2026.ELECTRNP.ECI_SAL_FGHT_LITEMED_NA_NA_NA_TH.A</t>
  </si>
  <si>
    <t>Freight: New Trucks: Sales: Light Medium: Alternative Electricity and Transportation</t>
  </si>
  <si>
    <t>AEO.2026.ELECTRNP.ECI_SAL_FGHT_LITEMED_HYDICE_NA_NA_MPGDSEQ.A</t>
  </si>
  <si>
    <t>Freight: New Trucks: Sales: Light Medium: Hydrogen ICE: Alternative Electricity and Transportation</t>
  </si>
  <si>
    <t>AEO.2026.ELECTRNP.ECI_SAL_FGHT_LITEMED_GASHEV_NA_NA_MPGGASEQ.A</t>
  </si>
  <si>
    <t>Freight: New Trucks: Sales: Light Medium: Gasoline Hybrid: Alternative Electricity and Transportation</t>
  </si>
  <si>
    <t>AEO.2026.ELECTRNP.ECI_SAL_FGHT_LITEMED_FEUCELBATDOM_NA_NA_MPGDSEQ.A</t>
  </si>
  <si>
    <t>Freight: New Trucks: Sales: Light Medium: Fuel Cell Battery Dominant: Alternative Electricity and Transportation</t>
  </si>
  <si>
    <t>AEO.2026.ELECTRNP.ECI_SAL_FGHT_LITEMED_FUC_NA_NA_TH.A</t>
  </si>
  <si>
    <t>Freight: New Trucks: Sales: Light Medium: Fuel Cell: Alternative Electricity and Transportation</t>
  </si>
  <si>
    <t>AEO.2026.ELECTRNP.ECI_SAL_FGHT_LITEMED_EGH_NA_NA_TH.A</t>
  </si>
  <si>
    <t>Freight: New Trucks: Sales: Light Medium: Plug-in Gasoline Hybrid: Alternative Electricity and Transportation</t>
  </si>
  <si>
    <t>AEO.2026.ELECTRNP.ECI_SAL_FGHT_LITEMED_EDH_NA_NA_TH.A</t>
  </si>
  <si>
    <t>Freight: New Trucks: Sales: Light Medium: Plug-in Diesel Hybrid: Alternative Electricity and Transportation</t>
  </si>
  <si>
    <t>AEO.2026.ELECTRNP.ECI_SAL_FGHT_LITEMED_ELE_NA_NA_TH.A</t>
  </si>
  <si>
    <t>Freight: New Trucks: Sales: Light Medium: Electric: Alternative Electricity and Transportation</t>
  </si>
  <si>
    <t>AEO.2026.ELECTRNP.ECI_SAL_FGHT_LITEMED_EFFI_NA_NA_TH.A</t>
  </si>
  <si>
    <t>Freight: New Trucks: Sales: Light Medium: Ethanol-Flex Fuel: Alternative Electricity and Transportation</t>
  </si>
  <si>
    <t>AEO.2026.ELECTRNP.ECI_SAL_FGHT_LITEMED_NG_NA_NA_TH.A</t>
  </si>
  <si>
    <t>Freight: New Trucks: Sales: Light Medium: Natural Gas: Alternative Electricity and Transportation</t>
  </si>
  <si>
    <t>AEO.2026.ELECTRNP.ECI_SAL_FGHT_LITEMED_PROP_NA_NA_TH.A</t>
  </si>
  <si>
    <t>Freight: New Trucks: Sales: Light Medium: Propane: Alternative Electricity and Transportation</t>
  </si>
  <si>
    <t>AEO.2026.ELECTRNP.ECI_SAL_FGHT_LITEMED_MGS_NA_NA_TH.A</t>
  </si>
  <si>
    <t>Freight: New Trucks: Sales: Light Medium: Motor Gasoline: Alternative Electricity and Transportation</t>
  </si>
  <si>
    <t>AEO.2026.ELECTRNP.ECI_SAL_FGHT_LITEMED_DSL_NA_NA_TH.A</t>
  </si>
  <si>
    <t>Freight: New Trucks: Sales: Light Medium: Diesel: Alternative Electricity and Transportation</t>
  </si>
  <si>
    <t>AEO.2026.ELECTRNP.EFI_NA_FGHT_NEW_NA_NA_NA_NA.A</t>
  </si>
  <si>
    <t>Freight: New Trucks: Fuel Efficiency: Alternative Electricity and Transportation</t>
  </si>
  <si>
    <t>AEO.2026.ELECTRNP.EFI_NA_FGHT_RADN_NA_NA_NA_NA.A</t>
  </si>
  <si>
    <t>Freight: New Trucks: Fuel Efficiency: Heavy: Average: Alternative Electricity and Transportation</t>
  </si>
  <si>
    <t>AEO.2026.ELECTRNP.EFI_NA_FGHT_RADN_HYDICE_NA_NA_MPGDSEQ.A</t>
  </si>
  <si>
    <t>Freight: New Trucks: Fuel Efficiency: Heavy: Hydrogen ICE: Alternative Electricity and Transportation</t>
  </si>
  <si>
    <t>AEO.2026.ELECTRNP.EFI_NA_FGHT_RADN_GASHEV_NA_NA_MPGGASEQ.A</t>
  </si>
  <si>
    <t>Freight: New Trucks: Fuel Efficiency: Heavy: Gasoline Hybrid: Alternative Electricity and Transportation</t>
  </si>
  <si>
    <t>AEO.2026.ELECTRNP.EFI_NA_FGHT_RADN_FEUCELBATDOM_NA_NA_MPGDSEQ.A</t>
  </si>
  <si>
    <t>Freight: New Trucks: Fuel Efficiency: Heavy: Fuel Cell Battery Dominant: Alternative Electricity and Transportation</t>
  </si>
  <si>
    <t>AEO.2026.ELECTRNP.EFI_NA_FGHT_RADN_FUC_NA_NA_MPGDSEQ.A</t>
  </si>
  <si>
    <t>Freight: New Trucks: Fuel Efficiency: Heavy: Fuel Cell: Alternative Electricity and Transportation</t>
  </si>
  <si>
    <t>AEO.2026.ELECTRNP.EFI_NA_FGHT_RADN_EGH_NA_NA_MPGGASEQ.A</t>
  </si>
  <si>
    <t>Freight: New Trucks: Fuel Efficiency: Heavy: Plug-in Gasoline Hybrid: Alternative Electricity and Transportation</t>
  </si>
  <si>
    <t>AEO.2026.ELECTRNP.EFI_NA_FGHT_RADN_EDH_NA_NA_MPGDSEQ.A</t>
  </si>
  <si>
    <t>Freight: New Trucks: Fuel Efficiency: Heavy: Plug-in Diesel Hybrid: Alternative Electricity and Transportation</t>
  </si>
  <si>
    <t>AEO.2026.ELECTRNP.EFI_NA_FGHT_RADN_ELE_NA_NA_MPGDSEQ.A</t>
  </si>
  <si>
    <t>Freight: New Trucks: Fuel Efficiency: Heavy: Electric: Alternative Electricity and Transportation</t>
  </si>
  <si>
    <t>AEO.2026.ELECTRNP.EFI_NA_FGHT_RADN_EFFI_NA_NA_MPGGASEQ.A</t>
  </si>
  <si>
    <t>Freight: New Trucks: Fuel Efficiency: Heavy: Ethanol-Flex Fuel: Alternative Electricity and Transportation</t>
  </si>
  <si>
    <t>AEO.2026.ELECTRNP.EFI_NA_FGHT_RADN_NG_NA_NA_MPGDSEQ.A</t>
  </si>
  <si>
    <t>Freight: New Trucks: Fuel Efficiency: Heavy: Natural Gas: Alternative Electricity and Transportation</t>
  </si>
  <si>
    <t>AEO.2026.ELECTRNP.EFI_NA_FGHT_RADN_PROP_NA_NA_MPGGASEQ.A</t>
  </si>
  <si>
    <t>Freight: New Trucks: Fuel Efficiency: Heavy: Propane: Alternative Electricity and Transportation</t>
  </si>
  <si>
    <t>AEO.2026.ELECTRNP.EFI_NA_FGHT_RADN_MGS_NA_NA_MPGGASEQ.A</t>
  </si>
  <si>
    <t>Freight: New Trucks: Fuel Efficiency: Heavy: Motor Gasoline: Alternative Electricity and Transportation</t>
  </si>
  <si>
    <t>AEO.2026.ELECTRNP.EFI_NA_FGHT_RADN_DSL_NA_NA_MPGDSEQ.A</t>
  </si>
  <si>
    <t>Freight: New Trucks: Fuel Efficiency: Heavy: Diesel: Alternative Electricity and Transportation</t>
  </si>
  <si>
    <t>AEO.2026.ELECTRNP.EFI_NA_FGHT_SOSON_NA_NA_NA_NA.A</t>
  </si>
  <si>
    <t>Freight: New Trucks: Fuel Efficiency: Medium: Average: Alternative Electricity and Transportation</t>
  </si>
  <si>
    <t>AEO.2026.ELECTRNP.EFI_NA_FGHT_SOSON_HYDICE_NA_NA_MPGDSEQ.A</t>
  </si>
  <si>
    <t>Freight: New Trucks: Fuel Efficiency: Medium: Hydrogen ICE: Alternative Electricity and Transportation</t>
  </si>
  <si>
    <t>AEO.2026.ELECTRNP.EFI_NA_FGHT_SOSON_GASHEV_NA_NA_MPGGASEQ.A</t>
  </si>
  <si>
    <t>Freight: New Trucks: Fuel Efficiency: Medium: Gasoline Hybrid: Alternative Electricity and Transportation</t>
  </si>
  <si>
    <t>AEO.2026.ELECTRNP.EFI_NA_FGHT_SOSON_FEUCELBATDOM_NA_NA_MPGDSEQ.A</t>
  </si>
  <si>
    <t>Freight: New Trucks: Fuel Efficiency: Medium: Fuel Cell Battery Dominant: Alternative Electricity and Transportation</t>
  </si>
  <si>
    <t>AEO.2026.ELECTRNP.EFI_NA_FGHT_SOSON_FUC_NA_NA_MPGGASEQ.A</t>
  </si>
  <si>
    <t>Freight: New Trucks: Fuel Efficiency: Medium: Fuel Cell: Alternative Electricity and Transportation</t>
  </si>
  <si>
    <t>AEO.2026.ELECTRNP.EFI_NA_FGHT_SOSON_EGH_NA_NA_MPGGASEQ.A</t>
  </si>
  <si>
    <t>Freight: New Trucks: Fuel Efficiency: Medium: Plug-in Gasoline Hybrid: Alternative Electricity and Transportation</t>
  </si>
  <si>
    <t>AEO.2026.ELECTRNP.EFI_NA_FGHT_SOSON_EDH_NA_NA_MPGGASEQ.A</t>
  </si>
  <si>
    <t>Freight: New Trucks: Fuel Efficiency: Medium: Plug-in Diesel Hybrid: Alternative Electricity and Transportation</t>
  </si>
  <si>
    <t>AEO.2026.ELECTRNP.EFI_NA_FGHT_SOSON_ELE_NA_NA_MPGGASEQ.A</t>
  </si>
  <si>
    <t>Freight: New Trucks: Fuel Efficiency: Medium: Electric: Alternative Electricity and Transportation</t>
  </si>
  <si>
    <t>AEO.2026.ELECTRNP.EFI_NA_FGHT_SOSON_EFFI_NA_NA_MPG.A</t>
  </si>
  <si>
    <t>Freight: New Trucks: Fuel Efficiency: Medium: Ethanol-Flex Fuel: Alternative Electricity and Transportation</t>
  </si>
  <si>
    <t>AEO.2026.ELECTRNP.EFI_NA_FGHT_SOSON_NG_NA_NA_MPGGASEQ.A</t>
  </si>
  <si>
    <t>Freight: New Trucks: Fuel Efficiency: Medium: Natural Gas: Alternative Electricity and Transportation</t>
  </si>
  <si>
    <t>AEO.2026.ELECTRNP.EFI_NA_FGHT_SOSON_PROP_NA_NA_MPGGASEQ.A</t>
  </si>
  <si>
    <t>Freight: New Trucks: Fuel Efficiency: Medium: Propane: Alternative Electricity and Transportation</t>
  </si>
  <si>
    <t>AEO.2026.ELECTRNP.EFI_NA_FGHT_SOSON_MGS_NA_NA_MPGGASEQ.A</t>
  </si>
  <si>
    <t>Freight: New Trucks: Fuel Efficiency: Medium: Motor Gasoline: Alternative Electricity and Transportation</t>
  </si>
  <si>
    <t>AEO.2026.ELECTRNP.EFI_NA_FGHT_SOSON_DSL_NA_NA_MPGDSEQ.A</t>
  </si>
  <si>
    <t>Freight: New Trucks: Fuel Efficiency: Medium: Diesel: Alternative Electricity and Transportation</t>
  </si>
  <si>
    <t>AEO.2026.ELECTRNP.EFI_NA_FGHT_LITEMEDN_NA_NA_NA_NA.A</t>
  </si>
  <si>
    <t>Freight: New Trucks: Fuel Efficiency: Light Medium: Average: Alternative Electricity and Transportation</t>
  </si>
  <si>
    <t>AEO.2026.ELECTRNP.EFI_NA_FGHT_LITEMEDN_HYDICE_NA_NA_MPGDSEQ.A</t>
  </si>
  <si>
    <t>Freight: New Trucks: Fuel Efficiency: Light Medium: Hydrogen ICE: Alternative Electricity and Transportation</t>
  </si>
  <si>
    <t>AEO.2026.ELECTRNP.EFI_NA_FGHT_LITEMEDN_GASHEV_NA_NA_MPGGASEQ.A</t>
  </si>
  <si>
    <t>Freight: New Trucks: Fuel Efficiency: Light Medium: Gasoline Hybrid: Alternative Electricity and Transportation</t>
  </si>
  <si>
    <t>AEO.2026.ELECTRNP.EFI_NA_FGHT_LITEMEDN_FEUCELBATDOM_NA_NA_MPGDSEQ.A</t>
  </si>
  <si>
    <t>Freight: New Trucks: Fuel Efficiency: Light Medium: Fuel Cell Battery Dominant: Alternative Electricity and Transportation</t>
  </si>
  <si>
    <t>AEO.2026.ELECTRNP.EFI_NA_FGHT_LITEMEDN_FUC_NA_NA_MPGDSEQ.A</t>
  </si>
  <si>
    <t>Freight: New Trucks: Fuel Efficiency: Light Medium: Fuel Cell: Alternative Electricity and Transportation</t>
  </si>
  <si>
    <t>AEO.2026.ELECTRNP.EFI_NA_FGHT_LITEMEDN_EGH_NA_NA_MPGGASEQ.A</t>
  </si>
  <si>
    <t>Freight: New Trucks: Fuel Efficiency: Light Medium: Plug-in Gasoline Hybrid: Alternative Electricity and Transportation</t>
  </si>
  <si>
    <t>AEO.2026.ELECTRNP.EFI_NA_FGHT_LITEMEDN_EDH_NA_NA_MPGDSEQ.A</t>
  </si>
  <si>
    <t>Freight: New Trucks: Fuel Efficiency: Light Medium: Plug-in Diesel Hybrid: Alternative Electricity and Transportation</t>
  </si>
  <si>
    <t>AEO.2026.ELECTRNP.EFI_NA_FGHT_LITEMEDN_ELE_NA_NA_MPGDSEQ.A</t>
  </si>
  <si>
    <t>Freight: New Trucks: Fuel Efficiency: Light Medium: Electric: Alternative Electricity and Transportation</t>
  </si>
  <si>
    <t>AEO.2026.ELECTRNP.EFI_NA_FGHT_LITEMEDN_EFFI_NA_NA_MPGGASEQ.A</t>
  </si>
  <si>
    <t>Freight: New Trucks: Fuel Efficiency: Light Medium: Ethanol-Flex Fuel: Alternative Electricity and Transportation</t>
  </si>
  <si>
    <t>AEO.2026.ELECTRNP.EFI_NA_FGHT_LITEMEDN_NG_NA_NA_MPGGASEQ.A</t>
  </si>
  <si>
    <t>Freight: New Trucks: Fuel Efficiency: Light Medium: Natural Gas: Alternative Electricity and Transportation</t>
  </si>
  <si>
    <t>AEO.2026.ELECTRNP.EFI_NA_FGHT_LITEMEDN_PROP_NA_NA_MPGGASEQ.A</t>
  </si>
  <si>
    <t>Freight: New Trucks: Fuel Efficiency: Light Medium: Propane: Alternative Electricity and Transportation</t>
  </si>
  <si>
    <t>AEO.2026.ELECTRNP.EFI_NA_FGHT_LITEMEDN_MGS_NA_NA_MPGGASEQ.A</t>
  </si>
  <si>
    <t>Freight: New Trucks: Fuel Efficiency: Light Medium: Motor Gasoline: Alternative Electricity and Transportation</t>
  </si>
  <si>
    <t>AEO.2026.ELECTRNP.EFI_NA_FGHT_LITEMEDN_DSL_NA_NA_MPGDSEQ.A</t>
  </si>
  <si>
    <t>Freight: New Trucks: Fuel Efficiency: Light Medium: Diesel: Alternative Electricity and Transportation</t>
  </si>
  <si>
    <t>AEO.2026.ELECTRNP.ECI_STK_FGHT_STK_NA_NA_NA_MILL.A</t>
  </si>
  <si>
    <t>Freight: Truck Stock: Alternative Electricity and Transportation</t>
  </si>
  <si>
    <t>AEO.2026.ELECTRNP.ECI_STK_FGHT_RADS_NA_NA_NA_MILL.A</t>
  </si>
  <si>
    <t>Freight: Truck Stock: Heavy: Alternative Electricity and Transportation</t>
  </si>
  <si>
    <t>AEO.2026.ELECTRNP.ECI_STK_FGHT_RADS_HYDICE_NA_NA_MILL.A</t>
  </si>
  <si>
    <t>Freight: Truck Stock: Heavy: Hydrogen ICE: Alternative Electricity and Transportation</t>
  </si>
  <si>
    <t>AEO.2026.ELECTRNP.ECI_STK_FGHT_RADS_GASHEV_NA_NA_MILL.A</t>
  </si>
  <si>
    <t>Freight: Truck Stock: Heavy: Gasoline Hybrid: Alternative Electricity and Transportation</t>
  </si>
  <si>
    <t>AEO.2026.ELECTRNP.ECI_STK_FGHT_RADS_FEUCELBATDOM_NA_NA_MILL.A</t>
  </si>
  <si>
    <t>Freight: Truck Stock: Heavy: Fuel Cell Battery Dominant: Alternative Electricity and Transportation</t>
  </si>
  <si>
    <t>AEO.2026.ELECTRNP.ECI_STK_FGHT_RADS_FUC_NA_NA_MILL.A</t>
  </si>
  <si>
    <t>Freight: Truck Stock: Heavy: Fuel Cell: Alternative Electricity and Transportation</t>
  </si>
  <si>
    <t>AEO.2026.ELECTRNP.ECI_STK_FGHT_RADS_EGH_NA_NA_MILL.A</t>
  </si>
  <si>
    <t>Freight: Truck Stock: Heavy: Plug-in Gasoline Hybrid: Alternative Electricity and Transportation</t>
  </si>
  <si>
    <t>AEO.2026.ELECTRNP.ECI_STK_FGHT_RADS_EDH_NA_NA_MILL.A</t>
  </si>
  <si>
    <t>Freight: Truck Stock: Heavy: Plug-in Diesel Hybrid: Alternative Electricity and Transportation</t>
  </si>
  <si>
    <t>AEO.2026.ELECTRNP.ECI_STK_FGHT_RADS_ELE_NA_NA_MILL.A</t>
  </si>
  <si>
    <t>Freight: Truck Stock: Heavy: Electric: Alternative Electricity and Transportation</t>
  </si>
  <si>
    <t>AEO.2026.ELECTRNP.ECI_STK_FGHT_RADS_EFFI_NA_NA_MILL.A</t>
  </si>
  <si>
    <t>Freight: Truck Stock: Heavy: Ethanol-Flex Fuel: Alternative Electricity and Transportation</t>
  </si>
  <si>
    <t>AEO.2026.ELECTRNP.ECI_STK_FGHT_RADS_NG_NA_NA_MILL.A</t>
  </si>
  <si>
    <t>Freight: Truck Stock: Heavy: Natural Gas: Alternative Electricity and Transportation</t>
  </si>
  <si>
    <t>AEO.2026.ELECTRNP.ECI_STK_FGHT_RADS_PROP_NA_NA_MILL.A</t>
  </si>
  <si>
    <t>Freight: Truck Stock: Heavy: Propane: Alternative Electricity and Transportation</t>
  </si>
  <si>
    <t>AEO.2026.ELECTRNP.ECI_STK_FGHT_RADS_MGS_NA_NA_MILL.A</t>
  </si>
  <si>
    <t>Freight: Truck Stock: Heavy: Motor Gasoline: Alternative Electricity and Transportation</t>
  </si>
  <si>
    <t>AEO.2026.ELECTRNP.ECI_STK_FGHT_RADS_DSL_NA_NA_MILL.A</t>
  </si>
  <si>
    <t>Freight: Truck Stock: Heavy: Diesel: Alternative Electricity and Transportation</t>
  </si>
  <si>
    <t>AEO.2026.ELECTRNP.ECI_STK_FGHT_SOSOS_NA_NA_NA_MILL.A</t>
  </si>
  <si>
    <t>Freight: Truck Stock: Medium: Alternative Electricity and Transportation</t>
  </si>
  <si>
    <t>AEO.2026.ELECTRNP.ECI_STK_FGHT_SOSOS_HYDICE_NA_NA_MILL.A</t>
  </si>
  <si>
    <t>Freight: Truck Stock: Medium: Hydrogen ICE: Alternative Electricity and Transportation</t>
  </si>
  <si>
    <t>AEO.2026.ELECTRNP.ECI_STK_FGHT_SOSOS_GASHEV_NA_NA_MILL.A</t>
  </si>
  <si>
    <t>Freight: Truck Stock: Medium: Gasoline Hybrid: Alternative Electricity and Transportation</t>
  </si>
  <si>
    <t>AEO.2026.ELECTRNP.ECI_STK_FGHT_SOSOS_FEUCELBATDOM_NA_NA_MILL.A</t>
  </si>
  <si>
    <t>Freight: Truck Stock: Medium: Fuel Cell Battery Dominant: Alternative Electricity and Transportation</t>
  </si>
  <si>
    <t>AEO.2026.ELECTRNP.ECI_STK_FGHT_SOSOS_FUC_NA_NA_MILL.A</t>
  </si>
  <si>
    <t>Freight: Truck Stock: Medium: Fuel Cell: Alternative Electricity and Transportation</t>
  </si>
  <si>
    <t>AEO.2026.ELECTRNP.ECI_STK_FGHT_SOSOS_EGH_NA_NA_MILL.A</t>
  </si>
  <si>
    <t>Freight: Truck Stock: Medium: Plug-in Gasoline Hybrid: Alternative Electricity and Transportation</t>
  </si>
  <si>
    <t>AEO.2026.ELECTRNP.ECI_STK_FGHT_SOSOS_EDH_NA_NA_MILL.A</t>
  </si>
  <si>
    <t>Freight: Truck Stock: Medium: Plug-in Diesel Hybrid: Alternative Electricity and Transportation</t>
  </si>
  <si>
    <t>AEO.2026.ELECTRNP.ECI_STK_FGHT_SOSOS_ELE_NA_NA_MILL.A</t>
  </si>
  <si>
    <t>Freight: Truck Stock: Medium: Electric: Alternative Electricity and Transportation</t>
  </si>
  <si>
    <t>AEO.2026.ELECTRNP.ECI_STK_FGHT_SOSOS_EFFI_NA_NA_MILL.A</t>
  </si>
  <si>
    <t>Freight: Truck Stock: Medium: Ethanol-Flex Fuel: Alternative Electricity and Transportation</t>
  </si>
  <si>
    <t>AEO.2026.ELECTRNP.ECI_STK_FGHT_SOSOS_NG_NA_NA_MILL.A</t>
  </si>
  <si>
    <t>Freight: Truck Stock: Medium: Natural Gas: Alternative Electricity and Transportation</t>
  </si>
  <si>
    <t>AEO.2026.ELECTRNP.ECI_STK_FGHT_SOSOS_PROP_NA_NA_MILL.A</t>
  </si>
  <si>
    <t>Freight: Truck Stock: Medium: Propane: Alternative Electricity and Transportation</t>
  </si>
  <si>
    <t>AEO.2026.ELECTRNP.ECI_STK_FGHT_SOSOS_MGS_NA_NA_MILL.A</t>
  </si>
  <si>
    <t>Freight: Truck Stock: Medium: Motor Gasoline: Alternative Electricity and Transportation</t>
  </si>
  <si>
    <t>AEO.2026.ELECTRNP.ECI_STK_FGHT_SOSOS_DSL_NA_NA_MILL.A</t>
  </si>
  <si>
    <t>Freight: Truck Stock: Medium: Diesel: Alternative Electricity and Transportation</t>
  </si>
  <si>
    <t>AEO.2026.ELECTRNP.ECI_STK_FGHT_LITEMEDS_NA_NA_NA_MILL.A</t>
  </si>
  <si>
    <t>Freight: Truck Stock: Light Medium: Alternative Electricity and Transportation</t>
  </si>
  <si>
    <t>AEO.2026.ELECTRNP.ECI_STK_FGHT_LITEMEDS_HYDICE_NA_NA_MILL.A</t>
  </si>
  <si>
    <t>Freight: Truck Stock: Light Medium: Hydrogen ICE: Alternative Electricity and Transportation</t>
  </si>
  <si>
    <t>AEO.2026.ELECTRNP.ECI_STK_FGHT_LITEMEDS_GASHEV_NA_NA_MILL.A</t>
  </si>
  <si>
    <t>Freight: Truck Stock: Light Medium: Gasoline Hybrid: Alternative Electricity and Transportation</t>
  </si>
  <si>
    <t>AEO.2026.ELECTRNP.ECI_STK_FGHT_LITEMEDS_FEUCELBATDOM_NA_NA_MILL.A</t>
  </si>
  <si>
    <t>Freight: Truck Stock: Light Medium: Fuel Cell Battery Dominant: Alternative Electricity and Transportation</t>
  </si>
  <si>
    <t>AEO.2026.ELECTRNP.ECI_STK_FGHT_LITEMEDS_FUC_NA_NA_MILL.A</t>
  </si>
  <si>
    <t>Freight: Truck Stock: Light Medium: Fuel Cell: Alternative Electricity and Transportation</t>
  </si>
  <si>
    <t>AEO.2026.ELECTRNP.ECI_STK_FGHT_LITEMEDS_EGH_NA_NA_MILL.A</t>
  </si>
  <si>
    <t>Freight: Truck Stock: Light Medium: Plug-in Gasoline Hybrid: Alternative Electricity and Transportation</t>
  </si>
  <si>
    <t>AEO.2026.ELECTRNP.ECI_STK_FGHT_LITEMEDS_EDH_NA_NA_MILL.A</t>
  </si>
  <si>
    <t>Freight: Truck Stock: Light Medium: Plug-in Diesel Hybrid: Alternative Electricity and Transportation</t>
  </si>
  <si>
    <t>AEO.2026.ELECTRNP.ECI_STK_FGHT_LITEMEDS_ELE_NA_NA_MILL.A</t>
  </si>
  <si>
    <t>Freight: Truck Stock: Light Medium: Electric: Alternative Electricity and Transportation</t>
  </si>
  <si>
    <t>AEO.2026.ELECTRNP.ECI_STK_FGHT_LITEMEDS_EFFI_NA_NA_MILL.A</t>
  </si>
  <si>
    <t>Freight: Truck Stock: Light Medium: Ethanol-Flex Fuel: Alternative Electricity and Transportation</t>
  </si>
  <si>
    <t>AEO.2026.ELECTRNP.ECI_STK_FGHT_LITEMEDS_NG_NA_NA_MILL.A</t>
  </si>
  <si>
    <t>Freight: Truck Stock: Light Medium: Natural Gas: Alternative Electricity and Transportation</t>
  </si>
  <si>
    <t>AEO.2026.ELECTRNP.ECI_STK_FGHT_LITEMEDS_PROP_NA_NA_MILL.A</t>
  </si>
  <si>
    <t>Freight: Truck Stock: Light Medium: Propane: Alternative Electricity and Transportation</t>
  </si>
  <si>
    <t>AEO.2026.ELECTRNP.ECI_STK_FGHT_LITEMEDS_MGS_NA_NA_MILL.A</t>
  </si>
  <si>
    <t>Freight: Truck Stock: Light Medium: Motor Gasoline: Alternative Electricity and Transportation</t>
  </si>
  <si>
    <t>AEO.2026.ELECTRNP.ECI_STK_FGHT_LITEMEDS_DSL_NA_NA_MILL.A</t>
  </si>
  <si>
    <t>Freight: Truck Stock: Light Medium: Diesel: Alternative Electricity and Transportation</t>
  </si>
  <si>
    <t>AEO.2026.ELECTRNP.EFI_NA_FGHT_STK_NA_NA_NA_NA.A</t>
  </si>
  <si>
    <t>Freight: Truck Stock: Fuel Efficiency: Alternative Electricity and Transportation</t>
  </si>
  <si>
    <t>AEO.2026.ELECTRNP.EFI_NA_FGHT_RADS_NA_NA_NA_NA.A</t>
  </si>
  <si>
    <t>Freight: Truck Stock: Fuel Efficiency: Heavy: Average: Alternative Electricity and Transportation</t>
  </si>
  <si>
    <t>AEO.2026.ELECTRNP.EFI_NA_FGHT_RADS_HYDICE_NA_NA_MPGDSEQ.A</t>
  </si>
  <si>
    <t>Freight: Truck Stock: Fuel Efficiency: Heavy: Hydrogen ICE: Alternative Electricity and Transportation</t>
  </si>
  <si>
    <t>AEO.2026.ELECTRNP.EFI_NA_FGHT_RADS_GASHEV_NA_NA_MPGGASEQ.A</t>
  </si>
  <si>
    <t>Freight: Truck Stock: Fuel Efficiency: Heavy: Gasoline Hybrid: Alternative Electricity and Transportation</t>
  </si>
  <si>
    <t>AEO.2026.ELECTRNP.EFI_NA_FGHT_RADS_FEUCELBATDOM_NA_NA_MPGDSEQ.A</t>
  </si>
  <si>
    <t>Freight: Truck Stock: Fuel Efficiency: Heavy: Fuel Cell Battery Dominant: Alternative Electricity and Transportation</t>
  </si>
  <si>
    <t>AEO.2026.ELECTRNP.EFI_NA_FGHT_RADS_FUC_NA_NA_MPGDSEQ.A</t>
  </si>
  <si>
    <t>Freight: Truck Stock: Fuel Efficiency: Heavy: Fuel Cell: Alternative Electricity and Transportation</t>
  </si>
  <si>
    <t>AEO.2026.ELECTRNP.EFI_NA_FGHT_RADS_EGH_NA_NA_MPGGASEQ.A</t>
  </si>
  <si>
    <t>Freight: Truck Stock: Fuel Efficiency: Heavy: Plug-in Gasoline Hybrid: Alternative Electricity and Transportation</t>
  </si>
  <si>
    <t>AEO.2026.ELECTRNP.EFI_NA_FGHT_RADS_EDH_NA_NA_MPGDSEQ.A</t>
  </si>
  <si>
    <t>Freight: Truck Stock: Fuel Efficiency: Heavy: Plug-in Diesel Hybrid: Alternative Electricity and Transportation</t>
  </si>
  <si>
    <t>AEO.2026.ELECTRNP.EFI_NA_FGHT_RADS_ELE_NA_NA_MPGDSEQ.A</t>
  </si>
  <si>
    <t>Freight: Truck Stock: Fuel Efficiency: Heavy: Electric: Alternative Electricity and Transportation</t>
  </si>
  <si>
    <t>AEO.2026.ELECTRNP.EFI_NA_FGHT_RADS_EFFI_NA_NA_MPGGASEQ.A</t>
  </si>
  <si>
    <t>Freight: Truck Stock: Fuel Efficiency: Heavy: Ethanol-Flex Fuel: Alternative Electricity and Transportation</t>
  </si>
  <si>
    <t>AEO.2026.ELECTRNP.EFI_NA_FGHT_RADS_NG_NA_NA_MPGDSEQ.A</t>
  </si>
  <si>
    <t>Freight: Truck Stock: Fuel Efficiency: Heavy: Natural Gas: Alternative Electricity and Transportation</t>
  </si>
  <si>
    <t>AEO.2026.ELECTRNP.EFI_NA_FGHT_RADS_PROP_NA_NA_MPGGASEQ.A</t>
  </si>
  <si>
    <t>Freight: Truck Stock: Fuel Efficiency: Heavy: Propane: Alternative Electricity and Transportation</t>
  </si>
  <si>
    <t>AEO.2026.ELECTRNP.EFI_NA_FGHT_RADS_MGS_NA_NA_MPGGASEQ.A</t>
  </si>
  <si>
    <t>Freight: Truck Stock: Fuel Efficiency: Heavy: Motor Gasoline: Alternative Electricity and Transportation</t>
  </si>
  <si>
    <t>AEO.2026.ELECTRNP.EFI_NA_FGHT_RADS_DSL_NA_NA_MPGDSEQ.A</t>
  </si>
  <si>
    <t>Freight: Truck Stock: Fuel Efficiency: Heavy: Diesel: Alternative Electricity and Transportation</t>
  </si>
  <si>
    <t>AEO.2026.ELECTRNP.EFI_NA_FGHT_SOSOS_NA_NA_NA_NA.A</t>
  </si>
  <si>
    <t>Freight: Truck Stock: Fuel Efficiency: Medium: Average: Alternative Electricity and Transportation</t>
  </si>
  <si>
    <t>AEO.2026.ELECTRNP.EFI_NA_FGHT_SOSOS_HYDICE_NA_NA_MPGDSEQ.A</t>
  </si>
  <si>
    <t>Freight: Truck Stock: Fuel Efficiency: Medium: Hydrogen ICE: Alternative Electricity and Transportation</t>
  </si>
  <si>
    <t>AEO.2026.ELECTRNP.EFI_NA_FGHT_SOSOS_GASHEV_NA_NA_MPGGASEQ.A</t>
  </si>
  <si>
    <t>Freight: Truck Stock: Fuel Efficiency: Medium: Gasoline Hybrid: Alternative Electricity and Transportation</t>
  </si>
  <si>
    <t>AEO.2026.ELECTRNP.EFI_NA_FGHT_SOSOS_FEUCELBATDOM_NA_NA_MPGDSEQ.A</t>
  </si>
  <si>
    <t>Freight: Truck Stock: Fuel Efficiency: Medium: Fuel Cell Battery Dominant: Alternative Electricity and Transportation</t>
  </si>
  <si>
    <t>AEO.2026.ELECTRNP.EFI_NA_FGHT_SOSOS_FUC_NA_NA_MPGGASEQ.A</t>
  </si>
  <si>
    <t>Freight: Truck Stock: Fuel Efficiency: Medium: Fuel Cell: Alternative Electricity and Transportation</t>
  </si>
  <si>
    <t>AEO.2026.ELECTRNP.EFI_NA_FGHT_SOSOS_EGH_NA_NA_MPGGASEQ.A</t>
  </si>
  <si>
    <t>Freight: Truck Stock: Fuel Efficiency: Medium: Plug-in Gasoline Hybrid: Alternative Electricity and Transportation</t>
  </si>
  <si>
    <t>AEO.2026.ELECTRNP.EFI_NA_FGHT_SOSOS_EDH_NA_NA_MPGGASEQ.A</t>
  </si>
  <si>
    <t>Freight: Truck Stock: Fuel Efficiency: Medium: Plug-in Diesel Hybrid: Alternative Electricity and Transportation</t>
  </si>
  <si>
    <t>AEO.2026.ELECTRNP.EFI_NA_FGHT_SOSOS_ELE_NA_NA_MPGGASEQ.A</t>
  </si>
  <si>
    <t>Freight: Truck Stock: Fuel Efficiency: Medium: Electric: Alternative Electricity and Transportation</t>
  </si>
  <si>
    <t>AEO.2026.ELECTRNP.EFI_NA_FGHT_SOSOS_EFFI_NA_NA_MPG.A</t>
  </si>
  <si>
    <t>Freight: Truck Stock: Fuel Efficiency: Medium: Ethanol-Flex Fuel: Alternative Electricity and Transportation</t>
  </si>
  <si>
    <t>AEO.2026.ELECTRNP.EFI_NA_FGHT_SOSOS_NG_NA_NA_MPGGASEQ.A</t>
  </si>
  <si>
    <t>Freight: Truck Stock: Fuel Efficiency: Medium: Natural Gas: Alternative Electricity and Transportation</t>
  </si>
  <si>
    <t>AEO.2026.ELECTRNP.EFI_NA_FGHT_SOSOS_PROP_NA_NA_MPGGASEQ.A</t>
  </si>
  <si>
    <t>Freight: Truck Stock: Fuel Efficiency: Medium: Propane: Alternative Electricity and Transportation</t>
  </si>
  <si>
    <t>AEO.2026.ELECTRNP.EFI_NA_FGHT_SOSOS_MGS_NA_NA_MPGGASEQ.A</t>
  </si>
  <si>
    <t>Freight: Truck Stock: Fuel Efficiency: Medium: Motor Gasoline: Alternative Electricity and Transportation</t>
  </si>
  <si>
    <t>AEO.2026.ELECTRNP.EFI_NA_FGHT_SOSOS_DSL_NA_NA_MPGDSEQ.A</t>
  </si>
  <si>
    <t>Freight: Truck Stock: Fuel Efficiency: Medium: Diesel: Alternative Electricity and Transportation</t>
  </si>
  <si>
    <t>AEO.2026.ELECTRNP.EFI_NA_FGHT_LITEMEDS_NA_NA_NA_NA.A</t>
  </si>
  <si>
    <t>Freight: Truck Stock: Fuel Efficiency: Light Medium: Average: Alternative Electricity and Transportation</t>
  </si>
  <si>
    <t>AEO.2026.ELECTRNP.EFI_NA_FGHT_LITEMEDS_HYDICE_NA_NA_MPGDSEQ.A</t>
  </si>
  <si>
    <t>Freight: Truck Stock: Fuel Efficiency: Light Medium: Hydrogen ICE: Alternative Electricity and Transportation</t>
  </si>
  <si>
    <t>AEO.2026.ELECTRNP.EFI_NA_FGHT_LITEMEDS_GASHEV_NA_NA_MPGGASEQ.A</t>
  </si>
  <si>
    <t>Freight: Truck Stock: Fuel Efficiency: Light Medium: Gasoline Hybrid: Alternative Electricity and Transportation</t>
  </si>
  <si>
    <t>AEO.2026.ELECTRNP.EFI_NA_FGHT_LITEMEDS_FEUCELBATDOM_NA_NA_MPGDSEQ.A</t>
  </si>
  <si>
    <t>Freight: Truck Stock: Fuel Efficiency: Light Medium: Fuel Cell Battery Dominant: Alternative Electricity and Transportation</t>
  </si>
  <si>
    <t>AEO.2026.ELECTRNP.EFI_NA_FGHT_LITEMEDS_FUC_NA_NA_MPGDSEQ.A</t>
  </si>
  <si>
    <t>Freight: Truck Stock: Fuel Efficiency: Light Medium: Fuel Cell: Alternative Electricity and Transportation</t>
  </si>
  <si>
    <t>AEO.2026.ELECTRNP.EFI_NA_FGHT_LITEMEDS_EGH_NA_NA_MPGGASEQ.A</t>
  </si>
  <si>
    <t>Freight: Truck Stock: Fuel Efficiency: Light Medium: Plug-in Gasoline Hybrid: Alternative Electricity and Transportation</t>
  </si>
  <si>
    <t>AEO.2026.ELECTRNP.EFI_NA_FGHT_LITEMEDS_EDH_NA_NA_MPGDSEQ.A</t>
  </si>
  <si>
    <t>Freight: Truck Stock: Fuel Efficiency: Light Medium: Plug-in Diesel Hybrid: Alternative Electricity and Transportation</t>
  </si>
  <si>
    <t>AEO.2026.ELECTRNP.EFI_NA_FGHT_LITEMEDS_ELE_NA_NA_MPGDSEQ.A</t>
  </si>
  <si>
    <t>Freight: Truck Stock: Fuel Efficiency: Light Medium: Electric: Alternative Electricity and Transportation</t>
  </si>
  <si>
    <t>AEO.2026.ELECTRNP.EFI_NA_FGHT_LITEMEDS_EFFI_NA_NA_MPGGASEQ.A</t>
  </si>
  <si>
    <t>Freight: Truck Stock: Fuel Efficiency: Light Medium: Ethanol-Flex Fuel: Alternative Electricity and Transportation</t>
  </si>
  <si>
    <t>AEO.2026.ELECTRNP.EFI_NA_FGHT_LITEMEDS_NG_NA_NA_MPGGASEQ.A</t>
  </si>
  <si>
    <t>Freight: Truck Stock: Fuel Efficiency: Light Medium: Natural Gas: Alternative Electricity and Transportation</t>
  </si>
  <si>
    <t>AEO.2026.ELECTRNP.EFI_NA_FGHT_LITEMEDS_PROP_NA_NA_MPGGASEQ.A</t>
  </si>
  <si>
    <t>Freight: Truck Stock: Fuel Efficiency: Light Medium: Propane: Alternative Electricity and Transportation</t>
  </si>
  <si>
    <t>AEO.2026.ELECTRNP.EFI_NA_FGHT_LITEMEDS_MGS_NA_NA_MPGGASEQ.A</t>
  </si>
  <si>
    <t>Freight: Truck Stock: Fuel Efficiency: Light Medium: Motor Gasoline: Alternative Electricity and Transportation</t>
  </si>
  <si>
    <t>AEO.2026.ELECTRNP.EFI_NA_FGHT_LITEMEDS_DSL_NA_NA_MPGDSEQ.A</t>
  </si>
  <si>
    <t>Freight: Truck Stock: Fuel Efficiency: Light Medium: Diesel: Alternative Electricity and Transportation</t>
  </si>
  <si>
    <t>AEO.2026.ELECTRNP.CNSM_NA_FGHT_STK_NA_NA_NA_TRLBTU.A</t>
  </si>
  <si>
    <t>Freight: Truck Stock: Use: Light Medium, Medium, and Heavy: Alternative Electricity and Transportation</t>
  </si>
  <si>
    <t>AEO.2026.ELECTRNP.CNSM_NA_FGHT_STK_HYDICE_NA_NA_TRLBTU.A</t>
  </si>
  <si>
    <t>Freight: Truck Stock: Use: Light Medium, Medium, and Heavy: Hydrogen ICE: Alternative Electricity and Transportation</t>
  </si>
  <si>
    <t>AEO.2026.ELECTRNP.CNSM_NA_FGHT_STK_GASHEV_NA_NA_TRLBTU.A</t>
  </si>
  <si>
    <t>Freight: Truck Stock: Use: Light Medium, Medium, and Heavy: Gasoline Hybrid: Alternative Electricity and Transportation</t>
  </si>
  <si>
    <t>AEO.2026.ELECTRNP.CNSM_NA_FGHT_STK_FEUCELBATDOM_NA_NA_TRLBTU.A</t>
  </si>
  <si>
    <t>Freight: Truck Stock: Use: Light Medium, Medium, and Heavy: Fuel Cell Battery Dominant: Alternative Electricity and Transportation</t>
  </si>
  <si>
    <t>AEO.2026.ELECTRNP.CNSM_NA_FGHT_STK_FUC_NA_NA_TRLBTU.A</t>
  </si>
  <si>
    <t>Freight: Truck Stock: Use: Light Medium, Medium, and Heavy: Fuel Cell: Alternative Electricity and Transportation</t>
  </si>
  <si>
    <t>AEO.2026.ELECTRNP.CNSM_NA_FGHT_STK_EGH_NA_NA_TRLBTU.A</t>
  </si>
  <si>
    <t>Freight: Truck Stock: Use: Light Medium, Medium, and Heavy: Plug-in Gasoline Hybrid: Alternative Electricity and Transportation</t>
  </si>
  <si>
    <t>AEO.2026.ELECTRNP.CNSM_NA_FGHT_STK_EDH_NA_NA_TRLBTU.A</t>
  </si>
  <si>
    <t>Freight: Truck Stock: Use: Light Medium, Medium, and Heavy: Plug-in Diesel Hybrid: Alternative Electricity and Transportation</t>
  </si>
  <si>
    <t>AEO.2026.ELECTRNP.CNSM_NA_FGHT_STK_ELE_NA_NA_TRLBTU.A</t>
  </si>
  <si>
    <t>Freight: Truck Stock: Use: Light Medium, Medium, and Heavy: Electric: Alternative Electricity and Transportation</t>
  </si>
  <si>
    <t>AEO.2026.ELECTRNP.CNSM_NA_FGHT_STK_EFFI_NA_NA_TRLBTU.A</t>
  </si>
  <si>
    <t>Freight: Truck Stock: Use: Light Medium, Medium, and Heavy: Ethanol-Flex Fuel: Alternative Electricity and Transportation</t>
  </si>
  <si>
    <t>AEO.2026.ELECTRNP.CNSM_NA_FGHT_STK_NG_NA_NA_TRLBTU.A</t>
  </si>
  <si>
    <t>Freight: Truck Stock: Use: Light Medium, Medium, and Heavy: Natural Gas: Alternative Electricity and Transportation</t>
  </si>
  <si>
    <t>AEO.2026.ELECTRNP.CNSM_NA_FGHT_STK_PROP_NA_NA_TRLBTU.A</t>
  </si>
  <si>
    <t>Freight: Truck Stock: Use: Light Medium, Medium, and Heavy: Propane: Alternative Electricity and Transportation</t>
  </si>
  <si>
    <t>AEO.2026.ELECTRNP.CNSM_NA_FGHT_STK_MGS_NA_NA_TRLBTU.A</t>
  </si>
  <si>
    <t>Freight: Truck Stock: Use: Light Medium, Medium, and Heavy: Motor Gasoline: Alternative Electricity and Transportation</t>
  </si>
  <si>
    <t>AEO.2026.ELECTRNP.CNSM_NA_FGHT_STK_DSL_NA_NA_TRLBTU.A</t>
  </si>
  <si>
    <t>Freight: Truck Stock: Use: Light Medium, Medium, and Heavy: Diesel: Alternative Electricity and Transportation</t>
  </si>
  <si>
    <t>AEO.2026.ELECTRNP.CNSM_NA_FGHT_RADS_NA_NA_NA_TRLBTU.A</t>
  </si>
  <si>
    <t>Freight: Truck Stock: Use: Heavy: Alternative Electricity and Transportation</t>
  </si>
  <si>
    <t>AEO.2026.ELECTRNP.CNSM_NA_FGHT_RADS_HYDICE_NA_NA_TRLBTU.A</t>
  </si>
  <si>
    <t>Freight: Truck Stock: Use: Heavy: Hydrogen ICE: Alternative Electricity and Transportation</t>
  </si>
  <si>
    <t>AEO.2026.ELECTRNP.CNSM_NA_FGHT_RADS_GASHEV_NA_NA_TRLBTU.A</t>
  </si>
  <si>
    <t>Freight: Truck Stock: Use: Heavy: Gasoline Hybrid: Alternative Electricity and Transportation</t>
  </si>
  <si>
    <t>AEO.2026.ELECTRNP.CNSM_NA_FGHT_RADS_FEUCELBATDOM_NA_NA_TRLBTU.A</t>
  </si>
  <si>
    <t>Freight: Truck Stock: Use: Heavy: Fuel Cell Battery Dominant: Alternative Electricity and Transportation</t>
  </si>
  <si>
    <t>AEO.2026.ELECTRNP.CNSM_NA_FGHT_RADS_FUC_NA_NA_TRLBTU.A</t>
  </si>
  <si>
    <t>Freight: Truck Stock: Use: Heavy: Fuel Cell: Alternative Electricity and Transportation</t>
  </si>
  <si>
    <t>AEO.2026.ELECTRNP.CNSM_NA_FGHT_RADS_EGH_NA_NA_TRLBTU.A</t>
  </si>
  <si>
    <t>Freight: Truck Stock: Use: Heavy: Plug-in Gasoline Hybrid: Alternative Electricity and Transportation</t>
  </si>
  <si>
    <t>AEO.2026.ELECTRNP.CNSM_NA_FGHT_RADS_EDH_NA_NA_TRLBTU.A</t>
  </si>
  <si>
    <t>Freight: Truck Stock: Use: Heavy: Plug-in Diesel Hybrid: Alternative Electricity and Transportation</t>
  </si>
  <si>
    <t>AEO.2026.ELECTRNP.CNSM_NA_FGHT_RADS_ELE_NA_NA_TRLBTU.A</t>
  </si>
  <si>
    <t>Freight: Truck Stock: Use: Heavy: Electric: Alternative Electricity and Transportation</t>
  </si>
  <si>
    <t>AEO.2026.ELECTRNP.CNSM_NA_FGHT_RADS_EFFI_NA_NA_TRLBTU.A</t>
  </si>
  <si>
    <t>Freight: Truck Stock: Use: Heavy: Ethanol-Flex Fuel: Alternative Electricity and Transportation</t>
  </si>
  <si>
    <t>AEO.2026.ELECTRNP.CNSM_NA_FGHT_RADS_NG_NA_NA_TRLBTU.A</t>
  </si>
  <si>
    <t>Freight: Truck Stock: Use: Heavy: Natural Gas: Alternative Electricity and Transportation</t>
  </si>
  <si>
    <t>AEO.2026.ELECTRNP.CNSM_NA_FGHT_RADS_PROP_NA_NA_TRLBTU.A</t>
  </si>
  <si>
    <t>Freight: Truck Stock: Use: Heavy: Propane: Alternative Electricity and Transportation</t>
  </si>
  <si>
    <t>AEO.2026.ELECTRNP.CNSM_NA_FGHT_RADS_MGS_NA_NA_TRLBTU.A</t>
  </si>
  <si>
    <t>Freight: Truck Stock: Use: Heavy: Motor Gasoline: Alternative Electricity and Transportation</t>
  </si>
  <si>
    <t>AEO.2026.ELECTRNP.CNSM_NA_FGHT_RADS_DSL_NA_NA_TRLBTU.A</t>
  </si>
  <si>
    <t>Freight: Truck Stock: Use: Heavy: Diesel: Alternative Electricity and Transportation</t>
  </si>
  <si>
    <t>AEO.2026.ELECTRNP.CNSM_NA_FGHT_SOSOS_NA_NA_NA_TRLBTU.A</t>
  </si>
  <si>
    <t>Freight: Truck Stock: Use: Medium: Alternative Electricity and Transportation</t>
  </si>
  <si>
    <t>AEO.2026.ELECTRNP.CNSM_NA_FGHT_SOSOS_HYDICE_NA_NA_TRLBTU.A</t>
  </si>
  <si>
    <t>Freight: Truck Stock: Use: Medium: Hydrogen ICE: Alternative Electricity and Transportation</t>
  </si>
  <si>
    <t>AEO.2026.ELECTRNP.CNSM_NA_FGHT_SOSOS_GASHEV_NA_NA_TRLBTU.A</t>
  </si>
  <si>
    <t>Freight: Truck Stock: Use: Medium: Gasoline Hybrid: Alternative Electricity and Transportation</t>
  </si>
  <si>
    <t>AEO.2026.ELECTRNP.CNSM_NA_FGHT_SOSOS_FEUCELBATDOM_NA_NA_TRLBTU.A</t>
  </si>
  <si>
    <t>Freight: Truck Stock: Use: Medium: Fuel Cell Battery Dominant: Alternative Electricity and Transportation</t>
  </si>
  <si>
    <t>AEO.2026.ELECTRNP.CNSM_NA_FGHT_SOSOS_FUC_NA_NA_TRLBTU.A</t>
  </si>
  <si>
    <t>Freight: Truck Stock: Use: Medium: Fuel Cell: Alternative Electricity and Transportation</t>
  </si>
  <si>
    <t>AEO.2026.ELECTRNP.CNSM_NA_FGHT_SOSOS_EGH_NA_NA_TRLBTU.A</t>
  </si>
  <si>
    <t>Freight: Truck Stock: Use: Medium: Plug-in Gasoline Hybrid: Alternative Electricity and Transportation</t>
  </si>
  <si>
    <t>AEO.2026.ELECTRNP.CNSM_NA_FGHT_SOSOS_EDH_NA_NA_TRLBTU.A</t>
  </si>
  <si>
    <t>Freight: Truck Stock: Use: Medium: Plug-in Diesel Hybrid: Alternative Electricity and Transportation</t>
  </si>
  <si>
    <t>AEO.2026.ELECTRNP.CNSM_NA_FGHT_SOSOS_ELE_NA_NA_TRLBTU.A</t>
  </si>
  <si>
    <t>Freight: Truck Stock: Use: Medium: Electric: Alternative Electricity and Transportation</t>
  </si>
  <si>
    <t>AEO.2026.ELECTRNP.CNSM_NA_FGHT_SOSOS_EFFI_NA_NA_TRLBTU.A</t>
  </si>
  <si>
    <t>Freight: Truck Stock: Use: Medium: Ethanol-Flex Fuel: Alternative Electricity and Transportation</t>
  </si>
  <si>
    <t>AEO.2026.ELECTRNP.CNSM_NA_FGHT_SOSOS_NG_NA_NA_TRLBTU.A</t>
  </si>
  <si>
    <t>Freight: Truck Stock: Use: Medium: Natural Gas: Alternative Electricity and Transportation</t>
  </si>
  <si>
    <t>AEO.2026.ELECTRNP.CNSM_NA_FGHT_SOSOS_PROP_NA_NA_TRLBTU.A</t>
  </si>
  <si>
    <t>Freight: Truck Stock: Use: Medium: Propane: Alternative Electricity and Transportation</t>
  </si>
  <si>
    <t>AEO.2026.ELECTRNP.CNSM_NA_FGHT_SOSOS_MGS_NA_NA_TRLBTU.A</t>
  </si>
  <si>
    <t>Freight: Truck Stock: Use: Medium: Motor Gasoline: Alternative Electricity and Transportation</t>
  </si>
  <si>
    <t>AEO.2026.ELECTRNP.CNSM_NA_FGHT_SOSOS_DSL_NA_NA_TRLBTU.A</t>
  </si>
  <si>
    <t>Freight: Truck Stock: Use: Medium: Diesel: Alternative Electricity and Transportation</t>
  </si>
  <si>
    <t>AEO.2026.ELECTRNP.CNSM_NA_FGHT_LITEMEDS_NA_NA_NA_TRLBTU.A</t>
  </si>
  <si>
    <t>Freight: Truck Stock: Use: Light Medium: Alternative Electricity and Transportation</t>
  </si>
  <si>
    <t>AEO.2026.ELECTRNP.CNSM_NA_FGHT_LITEMEDS_HYDICE_NA_NA_TRLBTU.A</t>
  </si>
  <si>
    <t>Freight: Truck Stock: Use: Light Medium: Hydrogen ICE: Alternative Electricity and Transportation</t>
  </si>
  <si>
    <t>AEO.2026.ELECTRNP.CNSM_NA_FGHT_LITEMEDS_GASHEV_NA_NA_TRLBTU.A</t>
  </si>
  <si>
    <t>Freight: Truck Stock: Use: Light Medium: Gasoline Hybrid: Alternative Electricity and Transportation</t>
  </si>
  <si>
    <t>AEO.2026.ELECTRNP.CNSM_NA_FGHT_LITEMEDS_FEUCELBATDOM_NA_NA_TRLBTU.A</t>
  </si>
  <si>
    <t>Freight: Truck Stock: Use: Light Medium: Fuel Cell Battery Dominant: Alternative Electricity and Transportation</t>
  </si>
  <si>
    <t>AEO.2026.ELECTRNP.CNSM_NA_FGHT_LITEMEDS_FUC_NA_NA_TRLBTU.A</t>
  </si>
  <si>
    <t>Freight: Truck Stock: Use: Light Medium: Fuel Cell: Alternative Electricity and Transportation</t>
  </si>
  <si>
    <t>AEO.2026.ELECTRNP.CNSM_NA_FGHT_LITEMEDS_EGH_NA_NA_TRLBTU.A</t>
  </si>
  <si>
    <t>Freight: Truck Stock: Use: Light Medium: Plug-in Gasoline Hybrid: Alternative Electricity and Transportation</t>
  </si>
  <si>
    <t>AEO.2026.ELECTRNP.CNSM_NA_FGHT_LITEMEDS_EDH_NA_NA_TRLBTU.A</t>
  </si>
  <si>
    <t>Freight: Truck Stock: Use: Light Medium: Plug-in Diesel Hybrid: Alternative Electricity and Transportation</t>
  </si>
  <si>
    <t>AEO.2026.ELECTRNP.CNSM_NA_FGHT_LITEMEDS_ELE_NA_NA_TRLBTU.A</t>
  </si>
  <si>
    <t>Freight: Truck Stock: Use: Light Medium: Electric: Alternative Electricity and Transportation</t>
  </si>
  <si>
    <t>AEO.2026.ELECTRNP.CNSM_NA_FGHT_LITEMEDS_EFFI_NA_NA_TRLBTU.A</t>
  </si>
  <si>
    <t>Freight: Truck Stock: Use: Light Medium: Ethanol-Flex Fuel: Alternative Electricity and Transportation</t>
  </si>
  <si>
    <t>AEO.2026.ELECTRNP.CNSM_NA_FGHT_LITEMEDS_NG_NA_NA_TRLBTU.A</t>
  </si>
  <si>
    <t>Freight: Truck Stock: Use: Light Medium: Natural Gas: Alternative Electricity and Transportation</t>
  </si>
  <si>
    <t>AEO.2026.ELECTRNP.CNSM_NA_FGHT_LITEMEDS_PROP_NA_NA_TRLBTU.A</t>
  </si>
  <si>
    <t>Freight: Truck Stock: Use: Light Medium: Propane: Alternative Electricity and Transportation</t>
  </si>
  <si>
    <t>AEO.2026.ELECTRNP.CNSM_NA_FGHT_LITEMEDS_MGS_NA_NA_TRLBTU.A</t>
  </si>
  <si>
    <t>Freight: Truck Stock: Use: Light Medium: Motor Gasoline: Alternative Electricity and Transportation</t>
  </si>
  <si>
    <t>AEO.2026.ELECTRNP.CNSM_NA_FGHT_LITEMEDS_DSL_NA_NA_TRLBTU.A</t>
  </si>
  <si>
    <t>Freight: Truck Stock: Use: Light Medium: Diesel: Alternative Electricity and Transportation</t>
  </si>
  <si>
    <t>AEO.2026.ELECTRNP.ECI_VMT_FGHT_STK_NA_NA_NA_BLNMLS.A</t>
  </si>
  <si>
    <t>Freight: Truck Stock: Vehicle Miles Traveled: Alternative Electricity and Transportation</t>
  </si>
  <si>
    <t>AEO.2026.ELECTRNP.ECI_VMT_FGHT_RADS_NA_NA_NA_BLNMLS.A</t>
  </si>
  <si>
    <t>Freight: Truck Stock: Vehicle Miles Traveled: Heavy: Alternative Electricity and Transportation</t>
  </si>
  <si>
    <t>AEO.2026.ELECTRNP.ECI_VMT_FGHT_RADS_HYDICE_NA_NA_BLNMLS.A</t>
  </si>
  <si>
    <t>Freight: Truck Stock: Vehicle Miles Traveled: Heavy: Hydrogen ICE: Alternative Electricity and Transportation</t>
  </si>
  <si>
    <t>AEO.2026.ELECTRNP.ECI_VMT_FGHT_RADS_GASHEV_NA_NA_BLNMLS.A</t>
  </si>
  <si>
    <t>Freight: Truck Stock: Vehicle Miles Traveled: Heavy: Gasoline Hybrid: Alternative Electricity and Transportation</t>
  </si>
  <si>
    <t>AEO.2026.ELECTRNP.ECI_VMT_FGHT_RADS_FEUCELBATDOM_NA_NA_BLNMLS.A</t>
  </si>
  <si>
    <t>Freight: Truck Stock: Vehicle Miles Traveled: Heavy: Fuel Cell Battery Dominant: Alternative Electricity and Transportation</t>
  </si>
  <si>
    <t>AEO.2026.ELECTRNP.ECI_VMT_FGHT_RADS_FUC_NA_NA_BLNMLS.A</t>
  </si>
  <si>
    <t>Freight: Truck Stock: Vehicle Miles Traveled: Heavy: Fuel Cell: Alternative Electricity and Transportation</t>
  </si>
  <si>
    <t>AEO.2026.ELECTRNP.ECI_VMT_FGHT_RADS_EGH_NA_NA_BLNMLS.A</t>
  </si>
  <si>
    <t>Freight: Truck Stock: Vehicle Miles Traveled: Heavy: Plug-in Gasoline Hybrid: Alternative Electricity and Transportation</t>
  </si>
  <si>
    <t>AEO.2026.ELECTRNP.ECI_VMT_FGHT_RADS_EDH_NA_NA_BLNMLS.A</t>
  </si>
  <si>
    <t>Freight: Truck Stock: Vehicle Miles Traveled: Heavy: Plug-in Diesel Hybrid: Alternative Electricity and Transportation</t>
  </si>
  <si>
    <t>AEO.2026.ELECTRNP.ECI_VMT_FGHT_RADS_ELE_NA_NA_BLNMLS.A</t>
  </si>
  <si>
    <t>Freight: Truck Stock: Vehicle Miles Traveled: Heavy: Electric: Alternative Electricity and Transportation</t>
  </si>
  <si>
    <t>AEO.2026.ELECTRNP.ECI_VMT_FGHT_RADS_EFFI_NA_NA_BLNMLS.A</t>
  </si>
  <si>
    <t>Freight: Truck Stock: Vehicle Miles Traveled: Heavy: Ethanol-Flex Fuel: Alternative Electricity and Transportation</t>
  </si>
  <si>
    <t>AEO.2026.ELECTRNP.ECI_VMT_FGHT_RADS_NG_NA_NA_BLNMLS.A</t>
  </si>
  <si>
    <t>Freight: Truck Stock: Vehicle Miles Traveled: Heavy: Natural Gas: Alternative Electricity and Transportation</t>
  </si>
  <si>
    <t>AEO.2026.ELECTRNP.ECI_VMT_FGHT_RADS_PROP_NA_NA_BLNMLS.A</t>
  </si>
  <si>
    <t>Freight: Truck Stock: Vehicle Miles Traveled: Heavy: Propane: Alternative Electricity and Transportation</t>
  </si>
  <si>
    <t>AEO.2026.ELECTRNP.ECI_VMT_FGHT_RADS_MGS_NA_NA_BLNMLS.A</t>
  </si>
  <si>
    <t>Freight: Truck Stock: Vehicle Miles Traveled: Heavy: Motor Gasoline: Alternative Electricity and Transportation</t>
  </si>
  <si>
    <t>AEO.2026.ELECTRNP.ECI_VMT_FGHT_RADS_DSL_NA_NA_BLNMLS.A</t>
  </si>
  <si>
    <t>Freight: Truck Stock: Vehicle Miles Traveled: Heavy: Diesel: Alternative Electricity and Transportation</t>
  </si>
  <si>
    <t>AEO.2026.ELECTRNP.ECI_VMT_FGHT_SOSOS_NA_NA_NA_BLNMLS.A</t>
  </si>
  <si>
    <t>Freight: Truck Stock: Vehicle Miles Traveled: Medium: Alternative Electricity and Transportation</t>
  </si>
  <si>
    <t>AEO.2026.ELECTRNP.ECI_VMT_FGHT_SOSOS_HYDICE_NA_NA_BLNMLS.A</t>
  </si>
  <si>
    <t>Freight: Truck Stock: Vehicle Miles Traveled: Medium: Hydrogen ICE: Alternative Electricity and Transportation</t>
  </si>
  <si>
    <t>AEO.2026.ELECTRNP.ECI_VMT_FGHT_SOSOS_GASHEV_NA_NA_BLNMLS.A</t>
  </si>
  <si>
    <t>Freight: Truck Stock: Vehicle Miles Traveled: Medium: Gasoline Hybrid: Alternative Electricity and Transportation</t>
  </si>
  <si>
    <t>AEO.2026.ELECTRNP.ECI_VMT_FGHT_SOSOS_FEUCELBATDOM_NA_NA_BLNMLS.A</t>
  </si>
  <si>
    <t>Freight: Truck Stock: Vehicle Miles Traveled: Medium: Fuel Cell Battery Dominant: Alternative Electricity and Transportation</t>
  </si>
  <si>
    <t>AEO.2026.ELECTRNP.ECI_VMT_FGHT_SOSOS_FUC_NA_NA_BLNMLS.A</t>
  </si>
  <si>
    <t>Freight: Truck Stock: Vehicle Miles Traveled: Medium: Fuel Cell: Alternative Electricity and Transportation</t>
  </si>
  <si>
    <t>AEO.2026.ELECTRNP.ECI_VMT_FGHT_SOSOS_EGH_NA_NA_BLNMLS.A</t>
  </si>
  <si>
    <t>Freight: Truck Stock: Vehicle Miles Traveled: Medium: Plug-in Gasoline Hybrid: Alternative Electricity and Transportation</t>
  </si>
  <si>
    <t>AEO.2026.ELECTRNP.ECI_VMT_FGHT_SOSOS_EDH_NA_NA_BLNMLS.A</t>
  </si>
  <si>
    <t>Freight: Truck Stock: Vehicle Miles Traveled: Medium: Plug-in Diesel Hybrid: Alternative Electricity and Transportation</t>
  </si>
  <si>
    <t>AEO.2026.ELECTRNP.ECI_VMT_FGHT_SOSOS_ELE_NA_NA_BLNMLS.A</t>
  </si>
  <si>
    <t>Freight: Truck Stock: Vehicle Miles Traveled: Medium: Electric: Alternative Electricity and Transportation</t>
  </si>
  <si>
    <t>AEO.2026.ELECTRNP.ECI_VMT_FGHT_SOSOS_EFFI_NA_NA_BLNMLS.A</t>
  </si>
  <si>
    <t>Freight: Truck Stock: Vehicle Miles Traveled: Medium: Ethanol-Flex Fuel: Alternative Electricity and Transportation</t>
  </si>
  <si>
    <t>AEO.2026.ELECTRNP.ECI_VMT_FGHT_SOSOS_NG_NA_NA_BLNMLS.A</t>
  </si>
  <si>
    <t>Freight: Truck Stock: Vehicle Miles Traveled: Medium: Natural Gas: Alternative Electricity and Transportation</t>
  </si>
  <si>
    <t>AEO.2026.ELECTRNP.ECI_VMT_FGHT_SOSOS_PROP_NA_NA_BLNMLS.A</t>
  </si>
  <si>
    <t>Freight: Truck Stock: Vehicle Miles Traveled: Medium: Propane: Alternative Electricity and Transportation</t>
  </si>
  <si>
    <t>AEO.2026.ELECTRNP.ECI_VMT_FGHT_SOSOS_MGS_NA_NA_BLNMLS.A</t>
  </si>
  <si>
    <t>Freight: Truck Stock: Vehicle Miles Traveled: Medium: Motor Gasoline: Alternative Electricity and Transportation</t>
  </si>
  <si>
    <t>AEO.2026.ELECTRNP.ECI_VMT_FGHT_SOSOS_DSL_NA_NA_BLNMLS.A</t>
  </si>
  <si>
    <t>Freight: Truck Stock: Vehicle Miles Traveled: Medium: Diesel: Alternative Electricity and Transportation</t>
  </si>
  <si>
    <t>AEO.2026.ELECTRNP.ECI_VMT_FGHT_LITEMEDS_NA_NA_NA_BLNMLS.A</t>
  </si>
  <si>
    <t>Freight: Truck Stock: Vehicle Miles Traveled: Light Medium: Alternative Electricity and Transportation</t>
  </si>
  <si>
    <t>AEO.2026.ELECTRNP.ECI_VMT_FGHT_LITEMEDS_HYDICE_NA_NA_BLNMLS.A</t>
  </si>
  <si>
    <t>Freight: Truck Stock: Vehicle Miles Traveled: Light Medium: Hydrogen ICE: Alternative Electricity and Transportation</t>
  </si>
  <si>
    <t>AEO.2026.ELECTRNP.ECI_VMT_FGHT_LITEMEDS_GASHEV_NA_NA_BLNMLS.A</t>
  </si>
  <si>
    <t>Freight: Truck Stock: Vehicle Miles Traveled: Light Medium: Gasoline Hybrid: Alternative Electricity and Transportation</t>
  </si>
  <si>
    <t>AEO.2026.ELECTRNP.ECI_VMT_FGHT_LITEMEDS_FEUCELBATDOM_NA_NA_BLNMLS.A</t>
  </si>
  <si>
    <t>Freight: Truck Stock: Vehicle Miles Traveled: Light Medium: Fuel Cell Battery Dominant: Alternative Electricity and Transportation</t>
  </si>
  <si>
    <t>AEO.2026.ELECTRNP.ECI_VMT_FGHT_LITEMEDS_FUC_NA_NA_BLNMLS.A</t>
  </si>
  <si>
    <t>Freight: Truck Stock: Vehicle Miles Traveled: Light Medium: Fuel Cell: Alternative Electricity and Transportation</t>
  </si>
  <si>
    <t>AEO.2026.ELECTRNP.ECI_VMT_FGHT_LITEMEDS_EGH_NA_NA_BLNMLS.A</t>
  </si>
  <si>
    <t>Freight: Truck Stock: Vehicle Miles Traveled: Light Medium: Plug-in Gasoline Hybrid: Alternative Electricity and Transportation</t>
  </si>
  <si>
    <t>AEO.2026.ELECTRNP.ECI_VMT_FGHT_LITEMEDS_EDH_NA_NA_BLNMLS.A</t>
  </si>
  <si>
    <t>Freight: Truck Stock: Vehicle Miles Traveled: Light Medium: Plug-in Diesel Hybrid: Alternative Electricity and Transportation</t>
  </si>
  <si>
    <t>AEO.2026.ELECTRNP.ECI_VMT_FGHT_LITEMEDS_ELE_NA_NA_BLNMLS.A</t>
  </si>
  <si>
    <t>Freight: Truck Stock: Vehicle Miles Traveled: Light Medium: Electric: Alternative Electricity and Transportation</t>
  </si>
  <si>
    <t>AEO.2026.ELECTRNP.ECI_VMT_FGHT_LITEMEDS_EFFI_NA_NA_BLNMLS.A</t>
  </si>
  <si>
    <t>Freight: Truck Stock: Vehicle Miles Traveled: Light Medium: Ethanol-Flex Fuel: Alternative Electricity and Transportation</t>
  </si>
  <si>
    <t>AEO.2026.ELECTRNP.ECI_VMT_FGHT_LITEMEDS_NG_NA_NA_BLNMLS.A</t>
  </si>
  <si>
    <t>Freight: Truck Stock: Vehicle Miles Traveled: Light Medium: Natural Gas: Alternative Electricity and Transportation</t>
  </si>
  <si>
    <t>AEO.2026.ELECTRNP.ECI_VMT_FGHT_LITEMEDS_PROP_NA_NA_BLNMLS.A</t>
  </si>
  <si>
    <t>Freight: Truck Stock: Vehicle Miles Traveled: Light Medium: Propane: Alternative Electricity and Transportation</t>
  </si>
  <si>
    <t>AEO.2026.ELECTRNP.ECI_VMT_FGHT_LITEMEDS_MGS_NA_NA_BLNMLS.A</t>
  </si>
  <si>
    <t>Freight: Truck Stock: Vehicle Miles Traveled: Light Medium: Motor Gasoline: Alternative Electricity and Transportation</t>
  </si>
  <si>
    <t>AEO.2026.ELECTRNP.ECI_VMT_FGHT_LITEMEDS_DSL_NA_NA_BLNMLS.A</t>
  </si>
  <si>
    <t>Freight: Truck Stock: Vehicle Miles Traveled: Light Medium: Diesel: Alternative Electricity and Transportation</t>
  </si>
  <si>
    <t>Thu Apr 23 2026 15:05:43 GMT-0700 (Pacific Daylight Time)</t>
  </si>
  <si>
    <t>https://www.eia.gov/outlooks/aeo/data/browser/#/?id=58-AEO2026&amp;cases=electrnp&amp;sourcekey=0</t>
  </si>
  <si>
    <t>AEO.2026.ELECTRNP.ECI_STK_NA_CLTR_NA_NA_NA_TH.A</t>
  </si>
  <si>
    <t>Fleet Stock: Commercial Light Trucks: Total: Alternative Electricity and Transportation</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</si>
  <si>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</si>
  <si>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</si>
  <si>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</si>
  <si>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</si>
  <si>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</si>
  <si>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</si>
  <si>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</si>
  <si>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</si>
  <si>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</si>
  <si>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</si>
  <si>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</si>
  <si>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</si>
  <si>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</si>
  <si>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</si>
  <si>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</si>
  <si>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</si>
  <si>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</si>
  <si>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</si>
  <si>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</si>
  <si>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</si>
  <si>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</si>
  <si>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</si>
  <si>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</si>
  <si>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</si>
  <si>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</si>
  <si>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</si>
  <si>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</si>
  <si>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</si>
  <si>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</si>
  <si>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</si>
  <si>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</si>
  <si>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</si>
  <si>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</si>
  <si>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</si>
  <si>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</si>
  <si>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</si>
  <si>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</si>
  <si>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</si>
  <si>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</si>
  <si>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</si>
  <si>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</si>
  <si>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</si>
  <si>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</si>
  <si>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</si>
  <si>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</si>
  <si>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</si>
  <si>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</si>
  <si>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</si>
  <si>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</si>
  <si>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</si>
  <si>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</si>
  <si>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</si>
  <si>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AEO.2026.ELECTRNP.ECI_STK_NA_FLC_NA_NA_NA_TH.A</t>
  </si>
  <si>
    <t>Fleet Vehicle Stock: Cars: Total: Alternative Electricity and Transportation</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</si>
  <si>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</si>
  <si>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</si>
  <si>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</si>
  <si>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</si>
  <si>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</si>
  <si>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</si>
  <si>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</si>
  <si>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</si>
  <si>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</si>
  <si>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</si>
  <si>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</si>
  <si>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</si>
  <si>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</si>
  <si>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</si>
  <si>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</si>
  <si>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</si>
  <si>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</si>
  <si>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</si>
  <si>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</si>
  <si>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</si>
  <si>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</si>
  <si>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</si>
  <si>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</si>
  <si>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</si>
  <si>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Thu Apr 23 2026 15:04:58 GMT-0700 (Pacific Daylight Time)</t>
  </si>
  <si>
    <t>https://www.eia.gov/outlooks/aeo/data/browser/#/?id=55-AEO2026&amp;cases=electrnp&amp;sourcekey=0</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</si>
  <si>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</si>
  <si>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</si>
  <si>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</si>
  <si>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</si>
  <si>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</si>
  <si>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</si>
  <si>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</si>
  <si>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</si>
  <si>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</si>
  <si>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</si>
  <si>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</si>
  <si>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</si>
  <si>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</si>
  <si>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</si>
  <si>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</si>
  <si>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</si>
  <si>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</si>
  <si>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</si>
  <si>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</si>
  <si>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</si>
  <si>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</si>
  <si>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</si>
  <si>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</si>
  <si>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</si>
  <si>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</si>
  <si>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</si>
  <si>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</si>
  <si>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</si>
  <si>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AEO Table 47, EPA Annex</t>
  </si>
  <si>
    <t>aviation adjustment</t>
  </si>
  <si>
    <t>US EPA</t>
  </si>
  <si>
    <t>https://www.epa.gov/ghgemissions/inventory-us-greenhouse-gas-emissions-and-sinks-1990-2022</t>
  </si>
  <si>
    <t>Inventory of U.S. Greenhouse Gas Emissions and Sinks: 1990-2022, Annex</t>
  </si>
  <si>
    <t>g25 = AEO 2025 miles/vehicle growth, 2024-&gt;2025 (seam bridge; see About)</t>
  </si>
  <si>
    <t>AEO 2025 -&gt; 2026 seam fix (2026-09-01, pending staff review):</t>
  </si>
  <si>
    <t>The 2024 (start-year) passenger LDV value was AEO 2025 VMT / vehicle stock, while 2025+ uses AEO 2026,</t>
  </si>
  <si>
    <t>which re-benchmarked LDV VMT ~7% lower (comparing the two editions' 2025 projections). That created a</t>
  </si>
  <si>
    <t>false -7.4% jump (11,354 -&gt; 10,518 miles/vehicle) between 2024 and 2025.</t>
  </si>
  <si>
    <t>Fix: the 2024 value is now the AEO 2026-based 2025 value extrapolated back one year at AEO 2025's own</t>
  </si>
  <si>
    <t>projected 2024-&gt;2025 miles-per-vehicle growth (helper cell AF21 on the calcs tab): 10,411 miles/vehicle.</t>
  </si>
  <si>
    <t>The AEO 2025-based derivation in calcs row 3 (11,354) is retained for reference but no longer feeds</t>
  </si>
  <si>
    <t>the 2024 column. SYAADTbVT (passenger LDVs) inherits the new 2024 value. All other vehicle types use</t>
  </si>
  <si>
    <t>non-AEO sources or are unchanged across editions. See memo-aeo-vmt-seam-2026-08-31.md at the repo root.</t>
  </si>
  <si>
    <t>FHWA Highway Statistics Table VM-1 - Annual vehicle distance traveled and related data</t>
  </si>
  <si>
    <t>https://www.fhwa.dot.gov/policyinformation/statistics/2024/vm1.cfm (2024 ed.) and /2023/vm1.cfm</t>
  </si>
  <si>
    <t>Values from the FHWA xls downloads, retrieved 2026-09-03. Total Rural and Urban rows.</t>
  </si>
  <si>
    <t>Motorcycles - VMT (millions)</t>
  </si>
  <si>
    <t>Motorcycles - registered vehicles</t>
  </si>
  <si>
    <t>Motorcycles - avg miles per vehicle</t>
  </si>
  <si>
    <t>Motorcycles - fuel consumed (thousand gallons)</t>
  </si>
  <si>
    <t>Motorcycles - avg miles per gallon</t>
  </si>
  <si>
    <t>Buses - VMT (millions)</t>
  </si>
  <si>
    <t>Buses - registered vehicles</t>
  </si>
  <si>
    <t>Buses - avg miles per vehicle</t>
  </si>
  <si>
    <t>RETIRED 2026-09-03: no longer referenced by any formula. Motorbike distance now uses FHWA VM-1 activity directly (see FHWA VM-1 tab and About); the bus multiplier was a no-op (1).</t>
  </si>
  <si>
    <t>Motorbike activity fix - calibration multiplier retired (2026-09-03, pending staff review):</t>
  </si>
  <si>
    <t>The motorbike value was NTS passenger-miles / stock / load x a hardcoded calibration multiplier of 5</t>
  </si>
  <si>
    <t>(8,797 mi/vehicle), tuned so emissions matched the EPA GHG Inventory. With no inventory covering the</t>
  </si>
  <si>
    <t>2024 start year, activity is now anchored to activity data instead: FHWA Highway Statistics Table VM-1</t>
  </si>
  <si>
    <t>for 2024 (new 'FHWA VM-1' tab) gives motorcycle VMT / registrations = 2,401 mi/vehicle. The SYVbT</t>
  </si>
  <si>
    <t>motorbike stock (9,261,249) equals VM-1 2024 registrations, so EPS total motorbike VMT now equals</t>
  </si>
  <si>
    <t>FHWA's published VMT exactly. Start-year fuel economy (SYFAFE) is re-derived from the corrected</t>
  </si>
  <si>
    <t>distance, so motorbike fuel use stays pegged to AEO 2026 Table 35 motorcycle energy - see the SYFAFE</t>
  </si>
  <si>
    <t>workbook About tab. The bus multiplier (x1, a no-op) was also removed from the formula; the NTS-based</t>
  </si>
  <si>
    <t>bus value (16,361 mi/veh) matches VM-1 2024 (16,494) within 1%, so no bus change was needed.</t>
  </si>
  <si>
    <t>The 'Calibration multiplier' tab is retired and no longer referenced.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</si>
</sst>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69">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sz val="11"/>
      <color theme="1"/>
      <name val="Calibri"/>
      <family val="2"/>
    </font>
  </fonts>
  <fills count="4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2"/>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302">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8" fillId="0" borderId="0" xfId="0" applyFont="1" applyAlignment="1">
      <alignment vertical="center"/>
    </xf>
    <xf numFmtId="0" fontId="0" fillId="44" borderId="0" xfId="0" applyFill="1"/>
    <xf numFmtId="10" fontId="0" fillId="44" borderId="0" xfId="0" applyNumberFormat="1" applyFill="1"/>
    <xf numFmtId="0" fontId="44" fillId="37" borderId="5" xfId="155" applyFont="1" applyFill="1" applyAlignment="1"/>
    <xf numFmtId="3" fontId="44" fillId="37" borderId="5" xfId="155" applyNumberFormat="1" applyFont="1" applyFill="1" applyAlignment="1">
      <alignment horizontal="right"/>
    </xf>
    <xf numFmtId="166" fontId="44" fillId="37" borderId="5" xfId="155" applyNumberFormat="1" applyFont="1" applyFill="1" applyAlignment="1">
      <alignment horizontal="right"/>
    </xf>
    <xf numFmtId="4" fontId="0" fillId="0" borderId="0" xfId="0" applyNumberFormat="1"/>
    <xf numFmtId="0" fontId="1" fillId="45" borderId="0" xfId="0" applyFont="1" applyFill="1"/>
    <xf numFmtId="0" fontId="0" fillId="45" borderId="0" xfId="0" applyFill="1"/>
    <xf numFmtId="11" fontId="0" fillId="0" borderId="0" xfId="0" applyNumberFormat="1"/>
    <xf numFmtId="171" fontId="0" fillId="0" borderId="0" xfId="172" applyNumberFormat="1" applyFont="1" applyFill="1"/>
    <xf numFmtId="0" fontId="0" fillId="28" borderId="0" xfId="0" applyFill="1"/>
    <xf numFmtId="3" fontId="0" fillId="28" borderId="0" xfId="0" applyNumberFormat="1" applyFill="1"/>
    <xf numFmtId="0" fontId="9" fillId="0" borderId="0" xfId="154"/>
    <xf numFmtId="0" fontId="55" fillId="0" borderId="9" xfId="157" applyFont="1" applyAlignment="1"/>
    <xf numFmtId="0" fontId="9" fillId="0" borderId="9" xfId="154" applyBorder="1"/>
    <xf numFmtId="0" fontId="44" fillId="0" borderId="0" xfId="154" applyFont="1"/>
    <xf numFmtId="0" fontId="0" fillId="0" borderId="0" xfId="0"/>
    <xf numFmtId="0" fontId="55" fillId="0" borderId="9" xfId="165" applyFont="1">
      <alignment wrapText="1"/>
    </xf>
    <xf numFmtId="0" fontId="0" fillId="0" borderId="9" xfId="0" applyBorder="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3.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3"/>
  <sheetViews>
    <sheetView topLeftCell="A24" workbookViewId="0">
      <selection activeCell="B41" sqref="B41"/>
    </sheetView>
  </sheetViews>
  <sheetFormatPr defaultRowHeight="15"/>
  <cols>
    <col min="2" max="2" width="51.5703125" customWidth="1"/>
  </cols>
  <sheetData>
    <row r="1" spans="1:2">
      <c r="A1" s="1" t="s">
        <v>1378</v>
      </c>
    </row>
    <row r="2" spans="1:2">
      <c r="A2" s="1" t="s">
        <v>36</v>
      </c>
    </row>
    <row r="4" spans="1:2">
      <c r="A4" s="1" t="s">
        <v>0</v>
      </c>
      <c r="B4" s="4" t="s">
        <v>186</v>
      </c>
    </row>
    <row r="5" spans="1:2">
      <c r="B5" s="281" t="s">
        <v>3926</v>
      </c>
    </row>
    <row r="6" spans="1:2">
      <c r="B6" s="2">
        <v>2025</v>
      </c>
    </row>
    <row r="7" spans="1:2">
      <c r="B7" t="s">
        <v>3927</v>
      </c>
    </row>
    <row r="8" spans="1:2">
      <c r="B8" t="s">
        <v>3928</v>
      </c>
    </row>
    <row r="9" spans="1:2">
      <c r="B9" t="s">
        <v>3929</v>
      </c>
    </row>
    <row r="10" spans="1:2">
      <c r="B10" s="282" t="s">
        <v>3930</v>
      </c>
    </row>
    <row r="11" spans="1:2">
      <c r="B11" s="282"/>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7" spans="1:2">
      <c r="B37" s="4" t="s">
        <v>4860</v>
      </c>
    </row>
    <row r="38" spans="1:2">
      <c r="B38" t="s">
        <v>4861</v>
      </c>
    </row>
    <row r="39" spans="1:2">
      <c r="B39" t="s">
        <v>4863</v>
      </c>
    </row>
    <row r="40" spans="1:2">
      <c r="B40">
        <v>2023</v>
      </c>
    </row>
    <row r="41" spans="1:2">
      <c r="B41" s="3" t="s">
        <v>4862</v>
      </c>
    </row>
    <row r="44" spans="1:2">
      <c r="B44" s="1"/>
    </row>
    <row r="45" spans="1:2">
      <c r="A45" s="1" t="s">
        <v>10</v>
      </c>
      <c r="B45" s="7"/>
    </row>
    <row r="46" spans="1:2">
      <c r="A46" t="s">
        <v>29</v>
      </c>
      <c r="B46" s="7"/>
    </row>
    <row r="47" spans="1:2">
      <c r="A47" t="s">
        <v>30</v>
      </c>
      <c r="B47" s="7"/>
    </row>
    <row r="48" spans="1:2">
      <c r="B48" s="7"/>
    </row>
    <row r="49" spans="1:2">
      <c r="A49" t="s">
        <v>12</v>
      </c>
    </row>
    <row r="50" spans="1:2">
      <c r="A50" t="s">
        <v>1375</v>
      </c>
    </row>
    <row r="53" spans="1:2">
      <c r="A53" t="s">
        <v>217</v>
      </c>
    </row>
    <row r="54" spans="1:2">
      <c r="A54" t="s">
        <v>218</v>
      </c>
    </row>
    <row r="56" spans="1:2">
      <c r="A56" t="s">
        <v>155</v>
      </c>
      <c r="B56">
        <v>2023</v>
      </c>
    </row>
    <row r="57" spans="1:2">
      <c r="A57" t="s">
        <v>190</v>
      </c>
    </row>
    <row r="58" spans="1:2">
      <c r="A58" t="s">
        <v>322</v>
      </c>
    </row>
    <row r="59" spans="1:2">
      <c r="A59" t="s">
        <v>219</v>
      </c>
    </row>
    <row r="60" spans="1:2">
      <c r="A60" t="s">
        <v>1376</v>
      </c>
    </row>
    <row r="61" spans="1:2">
      <c r="A61" t="s">
        <v>1377</v>
      </c>
    </row>
    <row r="63" spans="1:2">
      <c r="A63" t="s">
        <v>4865</v>
      </c>
    </row>
    <row r="64" spans="1:2">
      <c r="A64" t="s">
        <v>4866</v>
      </c>
    </row>
    <row r="65" spans="1:1">
      <c r="A65" t="s">
        <v>4867</v>
      </c>
    </row>
    <row r="66" spans="1:1">
      <c r="A66" t="s">
        <v>4868</v>
      </c>
    </row>
    <row r="67" spans="1:1">
      <c r="A67" t="s">
        <v>4869</v>
      </c>
    </row>
    <row r="68" spans="1:1">
      <c r="A68" t="s">
        <v>4870</v>
      </c>
    </row>
    <row r="69" spans="1:1">
      <c r="A69" t="s">
        <v>4871</v>
      </c>
    </row>
    <row r="70" spans="1:1">
      <c r="A70" t="s">
        <v>4872</v>
      </c>
    </row>
    <row r="71" spans="1:1">
      <c r="A71" t="s">
        <v>4873</v>
      </c>
    </row>
    <row r="73" spans="1:1">
      <c r="A73" t="s">
        <v>4886</v>
      </c>
    </row>
    <row r="74" spans="1:1">
      <c r="A74" t="s">
        <v>4887</v>
      </c>
    </row>
    <row r="75" spans="1:1">
      <c r="A75" t="s">
        <v>4888</v>
      </c>
    </row>
    <row r="76" spans="1:1">
      <c r="A76" t="s">
        <v>4889</v>
      </c>
    </row>
    <row r="77" spans="1:1">
      <c r="A77" t="s">
        <v>4890</v>
      </c>
    </row>
    <row r="78" spans="1:1">
      <c r="A78" t="s">
        <v>4891</v>
      </c>
    </row>
    <row r="79" spans="1:1">
      <c r="A79" t="s">
        <v>4892</v>
      </c>
    </row>
    <row r="80" spans="1:1">
      <c r="A80" t="s">
        <v>4893</v>
      </c>
    </row>
    <row r="81" spans="1:1">
      <c r="A81" t="s">
        <v>4894</v>
      </c>
    </row>
    <row r="82" spans="1:1">
      <c r="A82" t="s">
        <v>4895</v>
      </c>
    </row>
    <row r="83" spans="1:1">
      <c r="A83" t="s">
        <v>4896</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2.5703125" customWidth="1"/>
  </cols>
  <sheetData>
    <row r="1" spans="1:8">
      <c r="A1" t="s">
        <v>216</v>
      </c>
      <c r="B1" t="s">
        <v>156</v>
      </c>
      <c r="C1" t="s">
        <v>157</v>
      </c>
      <c r="D1" t="s">
        <v>158</v>
      </c>
      <c r="E1" t="s">
        <v>159</v>
      </c>
      <c r="F1" t="s">
        <v>160</v>
      </c>
      <c r="G1" t="s">
        <v>187</v>
      </c>
      <c r="H1" t="s">
        <v>188</v>
      </c>
    </row>
    <row r="2" spans="1:8">
      <c r="A2" t="s">
        <v>4</v>
      </c>
      <c r="B2">
        <v>4769953</v>
      </c>
      <c r="C2">
        <v>14506</v>
      </c>
      <c r="D2">
        <v>257649823</v>
      </c>
      <c r="E2">
        <v>1553093</v>
      </c>
      <c r="F2">
        <v>1417825</v>
      </c>
      <c r="G2">
        <v>13525</v>
      </c>
      <c r="H2">
        <v>17094</v>
      </c>
    </row>
    <row r="3" spans="1:8">
      <c r="A3" t="s">
        <v>5</v>
      </c>
      <c r="B3">
        <v>300</v>
      </c>
      <c r="C3">
        <v>128402</v>
      </c>
      <c r="D3">
        <v>101051</v>
      </c>
      <c r="E3">
        <v>802832</v>
      </c>
      <c r="F3">
        <v>0</v>
      </c>
      <c r="G3">
        <v>47038</v>
      </c>
      <c r="H3">
        <v>174</v>
      </c>
    </row>
    <row r="4" spans="1:8">
      <c r="A4" t="s">
        <v>6</v>
      </c>
      <c r="B4">
        <v>0</v>
      </c>
      <c r="C4">
        <v>0</v>
      </c>
      <c r="D4">
        <v>0</v>
      </c>
      <c r="E4">
        <v>6767</v>
      </c>
      <c r="F4">
        <v>0</v>
      </c>
      <c r="G4">
        <v>0</v>
      </c>
      <c r="H4">
        <v>0</v>
      </c>
    </row>
    <row r="5" spans="1:8">
      <c r="A5" t="s">
        <v>7</v>
      </c>
      <c r="B5">
        <v>2564</v>
      </c>
      <c r="C5">
        <v>0</v>
      </c>
      <c r="D5">
        <v>0</v>
      </c>
      <c r="E5">
        <v>173</v>
      </c>
      <c r="F5">
        <v>0</v>
      </c>
      <c r="G5">
        <v>0</v>
      </c>
      <c r="H5">
        <v>0</v>
      </c>
    </row>
    <row r="6" spans="1:8">
      <c r="A6" t="s">
        <v>8</v>
      </c>
      <c r="B6">
        <v>0</v>
      </c>
      <c r="C6">
        <v>0</v>
      </c>
      <c r="D6">
        <v>10214830</v>
      </c>
      <c r="E6">
        <v>2490170</v>
      </c>
      <c r="F6">
        <v>0</v>
      </c>
      <c r="G6">
        <v>0</v>
      </c>
      <c r="H6">
        <v>0</v>
      </c>
    </row>
    <row r="7" spans="1:8">
      <c r="A7" t="s">
        <v>9</v>
      </c>
      <c r="B7">
        <v>0</v>
      </c>
      <c r="C7">
        <v>0</v>
      </c>
      <c r="D7">
        <v>9261249</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activeCell="C18" sqref="C18"/>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0.5703125" customWidth="1"/>
  </cols>
  <sheetData>
    <row r="1" spans="1:8">
      <c r="A1" t="s">
        <v>216</v>
      </c>
      <c r="B1" t="s">
        <v>156</v>
      </c>
      <c r="C1" t="s">
        <v>157</v>
      </c>
      <c r="D1" t="s">
        <v>158</v>
      </c>
      <c r="E1" t="s">
        <v>159</v>
      </c>
      <c r="F1" t="s">
        <v>160</v>
      </c>
      <c r="G1" t="s">
        <v>187</v>
      </c>
      <c r="H1" t="s">
        <v>188</v>
      </c>
    </row>
    <row r="2" spans="1:8">
      <c r="A2" t="s">
        <v>4</v>
      </c>
      <c r="B2">
        <v>138292</v>
      </c>
      <c r="C2">
        <v>25267</v>
      </c>
      <c r="D2">
        <v>12833715</v>
      </c>
      <c r="E2">
        <v>10968619</v>
      </c>
      <c r="F2">
        <v>493</v>
      </c>
      <c r="G2">
        <v>2238</v>
      </c>
      <c r="H2">
        <v>0</v>
      </c>
    </row>
    <row r="3" spans="1:8">
      <c r="A3" t="s">
        <v>5</v>
      </c>
      <c r="B3">
        <v>2114</v>
      </c>
      <c r="C3">
        <v>57392</v>
      </c>
      <c r="D3">
        <v>38136</v>
      </c>
      <c r="E3">
        <v>5453223</v>
      </c>
      <c r="F3">
        <v>0</v>
      </c>
      <c r="G3">
        <v>3057</v>
      </c>
      <c r="H3">
        <v>0</v>
      </c>
    </row>
    <row r="4" spans="1:8">
      <c r="A4" t="s">
        <v>6</v>
      </c>
      <c r="B4">
        <v>0</v>
      </c>
      <c r="C4">
        <v>0</v>
      </c>
      <c r="D4">
        <v>0</v>
      </c>
      <c r="E4">
        <v>925</v>
      </c>
      <c r="F4">
        <v>0</v>
      </c>
      <c r="G4">
        <v>0</v>
      </c>
      <c r="H4">
        <v>0</v>
      </c>
    </row>
    <row r="5" spans="1:8">
      <c r="A5" t="s">
        <v>7</v>
      </c>
      <c r="B5">
        <v>0</v>
      </c>
      <c r="C5">
        <v>0</v>
      </c>
      <c r="D5">
        <v>0</v>
      </c>
      <c r="E5">
        <v>24526</v>
      </c>
      <c r="F5">
        <v>0</v>
      </c>
      <c r="G5">
        <v>0</v>
      </c>
      <c r="H5">
        <v>0</v>
      </c>
    </row>
    <row r="6" spans="1:8">
      <c r="A6" t="s">
        <v>8</v>
      </c>
      <c r="B6">
        <v>0</v>
      </c>
      <c r="C6">
        <v>0</v>
      </c>
      <c r="D6">
        <v>0</v>
      </c>
      <c r="E6">
        <v>164</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5"/>
  <cols>
    <col min="1" max="1" width="13.140625" customWidth="1"/>
    <col min="2" max="2" width="8.71093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7109375" defaultRowHeight="15"/>
  <cols>
    <col min="2" max="2" width="38" customWidth="1"/>
  </cols>
  <sheetData>
    <row r="1" spans="1:33" ht="15.7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5.7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6" customFormat="1">
      <c r="A18" s="231" t="s">
        <v>44</v>
      </c>
      <c r="B18" s="232" t="s">
        <v>45</v>
      </c>
      <c r="C18" s="233">
        <v>2843.298096</v>
      </c>
      <c r="D18" s="233">
        <v>2901.3588869999999</v>
      </c>
      <c r="E18" s="233">
        <v>2922.5065920000002</v>
      </c>
      <c r="F18" s="233">
        <v>2933.360107</v>
      </c>
      <c r="G18" s="233">
        <v>2954.2380370000001</v>
      </c>
      <c r="H18" s="233">
        <v>2981.9343260000001</v>
      </c>
      <c r="I18" s="233">
        <v>3007.5581050000001</v>
      </c>
      <c r="J18" s="233">
        <v>3027.5729980000001</v>
      </c>
      <c r="K18" s="233">
        <v>3042.8432619999999</v>
      </c>
      <c r="L18" s="233">
        <v>3055.7746579999998</v>
      </c>
      <c r="M18" s="233">
        <v>3066.6516109999998</v>
      </c>
      <c r="N18" s="233">
        <v>3082.359375</v>
      </c>
      <c r="O18" s="233">
        <v>3102.4182129999999</v>
      </c>
      <c r="P18" s="233">
        <v>3120.7375489999999</v>
      </c>
      <c r="Q18" s="233">
        <v>3135.6208499999998</v>
      </c>
      <c r="R18" s="233">
        <v>3152.9177249999998</v>
      </c>
      <c r="S18" s="233">
        <v>3172.435547</v>
      </c>
      <c r="T18" s="233">
        <v>3192.100586</v>
      </c>
      <c r="U18" s="233">
        <v>3214.5629880000001</v>
      </c>
      <c r="V18" s="233">
        <v>3237.5805660000001</v>
      </c>
      <c r="W18" s="233">
        <v>3261.5847170000002</v>
      </c>
      <c r="X18" s="233">
        <v>3284.897461</v>
      </c>
      <c r="Y18" s="233">
        <v>3309.0390619999998</v>
      </c>
      <c r="Z18" s="233">
        <v>3334.7033689999998</v>
      </c>
      <c r="AA18" s="233">
        <v>3364.522461</v>
      </c>
      <c r="AB18" s="233">
        <v>3396.5351559999999</v>
      </c>
      <c r="AC18" s="233">
        <v>3429.5627439999998</v>
      </c>
      <c r="AD18" s="233">
        <v>3463.0249020000001</v>
      </c>
      <c r="AE18" s="233">
        <v>3499.5429690000001</v>
      </c>
      <c r="AF18" s="234">
        <v>7.4440000000000001E-3</v>
      </c>
      <c r="AG18" s="235"/>
    </row>
    <row r="19" spans="1:33" s="254" customFormat="1">
      <c r="A19" s="249" t="s">
        <v>46</v>
      </c>
      <c r="B19" s="250" t="s">
        <v>47</v>
      </c>
      <c r="C19" s="251">
        <v>102.214951</v>
      </c>
      <c r="D19" s="251">
        <v>103.34345999999999</v>
      </c>
      <c r="E19" s="251">
        <v>103.55378</v>
      </c>
      <c r="F19" s="251">
        <v>104.36998699999999</v>
      </c>
      <c r="G19" s="251">
        <v>105.656265</v>
      </c>
      <c r="H19" s="251">
        <v>107.002548</v>
      </c>
      <c r="I19" s="251">
        <v>108.204063</v>
      </c>
      <c r="J19" s="251">
        <v>109.329842</v>
      </c>
      <c r="K19" s="251">
        <v>110.214569</v>
      </c>
      <c r="L19" s="251">
        <v>111.063705</v>
      </c>
      <c r="M19" s="251">
        <v>112.175911</v>
      </c>
      <c r="N19" s="251">
        <v>113.26731100000001</v>
      </c>
      <c r="O19" s="251">
        <v>114.361328</v>
      </c>
      <c r="P19" s="251">
        <v>115.539856</v>
      </c>
      <c r="Q19" s="251">
        <v>116.693398</v>
      </c>
      <c r="R19" s="251">
        <v>117.934776</v>
      </c>
      <c r="S19" s="251">
        <v>119.26325199999999</v>
      </c>
      <c r="T19" s="251">
        <v>120.517143</v>
      </c>
      <c r="U19" s="251">
        <v>121.965698</v>
      </c>
      <c r="V19" s="251">
        <v>123.543205</v>
      </c>
      <c r="W19" s="251">
        <v>125.055435</v>
      </c>
      <c r="X19" s="251">
        <v>126.490196</v>
      </c>
      <c r="Y19" s="251">
        <v>127.831902</v>
      </c>
      <c r="Z19" s="251">
        <v>129.14802599999999</v>
      </c>
      <c r="AA19" s="251">
        <v>130.647919</v>
      </c>
      <c r="AB19" s="251">
        <v>132.25534099999999</v>
      </c>
      <c r="AC19" s="251">
        <v>133.71923799999999</v>
      </c>
      <c r="AD19" s="251">
        <v>135.16911300000001</v>
      </c>
      <c r="AE19" s="251">
        <v>137.065033</v>
      </c>
      <c r="AF19" s="252">
        <v>1.0533000000000001E-2</v>
      </c>
      <c r="AG19" s="253"/>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s="228" customFormat="1">
      <c r="A28" s="223" t="s">
        <v>60</v>
      </c>
      <c r="B28" s="285" t="s">
        <v>62</v>
      </c>
      <c r="C28" s="286">
        <v>444.898865</v>
      </c>
      <c r="D28" s="286">
        <v>450.42761200000001</v>
      </c>
      <c r="E28" s="286">
        <v>448.61004600000001</v>
      </c>
      <c r="F28" s="286">
        <v>446.74627700000002</v>
      </c>
      <c r="G28" s="286">
        <v>445.22772200000003</v>
      </c>
      <c r="H28" s="286">
        <v>442.84777800000001</v>
      </c>
      <c r="I28" s="286">
        <v>440.43005399999998</v>
      </c>
      <c r="J28" s="286">
        <v>437.02459700000003</v>
      </c>
      <c r="K28" s="286">
        <v>434.036407</v>
      </c>
      <c r="L28" s="286">
        <v>431.39211999999998</v>
      </c>
      <c r="M28" s="286">
        <v>429.99737499999998</v>
      </c>
      <c r="N28" s="286">
        <v>428.16067500000003</v>
      </c>
      <c r="O28" s="286">
        <v>426.27862499999998</v>
      </c>
      <c r="P28" s="286">
        <v>424.17816199999999</v>
      </c>
      <c r="Q28" s="286">
        <v>421.71697999999998</v>
      </c>
      <c r="R28" s="286">
        <v>419.81463600000001</v>
      </c>
      <c r="S28" s="286">
        <v>417.567047</v>
      </c>
      <c r="T28" s="286">
        <v>415.80767800000001</v>
      </c>
      <c r="U28" s="286">
        <v>414.04513500000002</v>
      </c>
      <c r="V28" s="286">
        <v>412.52209499999998</v>
      </c>
      <c r="W28" s="286">
        <v>411.24774200000002</v>
      </c>
      <c r="X28" s="286">
        <v>409.97735599999999</v>
      </c>
      <c r="Y28" s="286">
        <v>408.52224699999999</v>
      </c>
      <c r="Z28" s="286">
        <v>406.63034099999999</v>
      </c>
      <c r="AA28" s="286">
        <v>405.358521</v>
      </c>
      <c r="AB28" s="286">
        <v>403.865906</v>
      </c>
      <c r="AC28" s="286">
        <v>401.97906499999999</v>
      </c>
      <c r="AD28" s="286">
        <v>400.55664100000001</v>
      </c>
      <c r="AE28" s="286">
        <v>400.09832799999998</v>
      </c>
      <c r="AF28" s="287">
        <v>-3.7829999999999999E-3</v>
      </c>
      <c r="AG28" s="227"/>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7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96" t="s">
        <v>662</v>
      </c>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98"/>
      <c r="C112" s="298"/>
      <c r="D112" s="298"/>
      <c r="E112" s="298"/>
      <c r="F112" s="298"/>
      <c r="G112" s="298"/>
      <c r="H112" s="298"/>
      <c r="I112" s="298"/>
      <c r="J112" s="298"/>
      <c r="K112" s="298"/>
      <c r="L112" s="298"/>
      <c r="M112" s="298"/>
      <c r="N112" s="298"/>
      <c r="O112" s="298"/>
      <c r="P112" s="298"/>
      <c r="Q112" s="298"/>
      <c r="R112" s="298"/>
      <c r="S112" s="298"/>
      <c r="T112" s="298"/>
      <c r="U112" s="298"/>
      <c r="V112" s="298"/>
      <c r="W112" s="298"/>
      <c r="X112" s="298"/>
      <c r="Y112" s="298"/>
      <c r="Z112" s="298"/>
      <c r="AA112" s="298"/>
      <c r="AB112" s="298"/>
      <c r="AC112" s="298"/>
      <c r="AD112" s="298"/>
      <c r="AE112" s="298"/>
      <c r="AF112" s="298"/>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95"/>
      <c r="C308" s="295"/>
      <c r="D308" s="295"/>
      <c r="E308" s="295"/>
      <c r="F308" s="295"/>
      <c r="G308" s="295"/>
      <c r="H308" s="295"/>
      <c r="I308" s="295"/>
      <c r="J308" s="295"/>
      <c r="K308" s="295"/>
      <c r="L308" s="295"/>
      <c r="M308" s="295"/>
      <c r="N308" s="295"/>
      <c r="O308" s="295"/>
      <c r="P308" s="295"/>
      <c r="Q308" s="295"/>
      <c r="R308" s="295"/>
      <c r="S308" s="295"/>
      <c r="T308" s="295"/>
      <c r="U308" s="295"/>
      <c r="V308" s="295"/>
      <c r="W308" s="295"/>
      <c r="X308" s="295"/>
      <c r="Y308" s="295"/>
      <c r="Z308" s="295"/>
      <c r="AA308" s="295"/>
      <c r="AB308" s="295"/>
      <c r="AC308" s="295"/>
      <c r="AD308" s="295"/>
      <c r="AE308" s="295"/>
      <c r="AF308" s="295"/>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95"/>
      <c r="C511" s="295"/>
      <c r="D511" s="295"/>
      <c r="E511" s="295"/>
      <c r="F511" s="295"/>
      <c r="G511" s="295"/>
      <c r="H511" s="295"/>
      <c r="I511" s="295"/>
      <c r="J511" s="295"/>
      <c r="K511" s="295"/>
      <c r="L511" s="295"/>
      <c r="M511" s="295"/>
      <c r="N511" s="295"/>
      <c r="O511" s="295"/>
      <c r="P511" s="295"/>
      <c r="Q511" s="295"/>
      <c r="R511" s="295"/>
      <c r="S511" s="295"/>
      <c r="T511" s="295"/>
      <c r="U511" s="295"/>
      <c r="V511" s="295"/>
      <c r="W511" s="295"/>
      <c r="X511" s="295"/>
      <c r="Y511" s="295"/>
      <c r="Z511" s="295"/>
      <c r="AA511" s="295"/>
      <c r="AB511" s="295"/>
      <c r="AC511" s="295"/>
      <c r="AD511" s="295"/>
      <c r="AE511" s="295"/>
      <c r="AF511" s="295"/>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95"/>
      <c r="C712" s="295"/>
      <c r="D712" s="295"/>
      <c r="E712" s="295"/>
      <c r="F712" s="295"/>
      <c r="G712" s="295"/>
      <c r="H712" s="295"/>
      <c r="I712" s="295"/>
      <c r="J712" s="295"/>
      <c r="K712" s="295"/>
      <c r="L712" s="295"/>
      <c r="M712" s="295"/>
      <c r="N712" s="295"/>
      <c r="O712" s="295"/>
      <c r="P712" s="295"/>
      <c r="Q712" s="295"/>
      <c r="R712" s="295"/>
      <c r="S712" s="295"/>
      <c r="T712" s="295"/>
      <c r="U712" s="295"/>
      <c r="V712" s="295"/>
      <c r="W712" s="295"/>
      <c r="X712" s="295"/>
      <c r="Y712" s="295"/>
      <c r="Z712" s="295"/>
      <c r="AA712" s="295"/>
      <c r="AB712" s="295"/>
      <c r="AC712" s="295"/>
      <c r="AD712" s="295"/>
      <c r="AE712" s="295"/>
      <c r="AF712" s="295"/>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95"/>
      <c r="C887" s="295"/>
      <c r="D887" s="295"/>
      <c r="E887" s="295"/>
      <c r="F887" s="295"/>
      <c r="G887" s="295"/>
      <c r="H887" s="295"/>
      <c r="I887" s="295"/>
      <c r="J887" s="295"/>
      <c r="K887" s="295"/>
      <c r="L887" s="295"/>
      <c r="M887" s="295"/>
      <c r="N887" s="295"/>
      <c r="O887" s="295"/>
      <c r="P887" s="295"/>
      <c r="Q887" s="295"/>
      <c r="R887" s="295"/>
      <c r="S887" s="295"/>
      <c r="T887" s="295"/>
      <c r="U887" s="295"/>
      <c r="V887" s="295"/>
      <c r="W887" s="295"/>
      <c r="X887" s="295"/>
      <c r="Y887" s="295"/>
      <c r="Z887" s="295"/>
      <c r="AA887" s="295"/>
      <c r="AB887" s="295"/>
      <c r="AC887" s="295"/>
      <c r="AD887" s="295"/>
      <c r="AE887" s="295"/>
      <c r="AF887" s="295"/>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95"/>
      <c r="C1101" s="295"/>
      <c r="D1101" s="295"/>
      <c r="E1101" s="295"/>
      <c r="F1101" s="295"/>
      <c r="G1101" s="295"/>
      <c r="H1101" s="295"/>
      <c r="I1101" s="295"/>
      <c r="J1101" s="295"/>
      <c r="K1101" s="295"/>
      <c r="L1101" s="295"/>
      <c r="M1101" s="295"/>
      <c r="N1101" s="295"/>
      <c r="O1101" s="295"/>
      <c r="P1101" s="295"/>
      <c r="Q1101" s="295"/>
      <c r="R1101" s="295"/>
      <c r="S1101" s="295"/>
      <c r="T1101" s="295"/>
      <c r="U1101" s="295"/>
      <c r="V1101" s="295"/>
      <c r="W1101" s="295"/>
      <c r="X1101" s="295"/>
      <c r="Y1101" s="295"/>
      <c r="Z1101" s="295"/>
      <c r="AA1101" s="295"/>
      <c r="AB1101" s="295"/>
      <c r="AC1101" s="295"/>
      <c r="AD1101" s="295"/>
      <c r="AE1101" s="295"/>
      <c r="AF1101" s="295"/>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95"/>
      <c r="C1229" s="295"/>
      <c r="D1229" s="295"/>
      <c r="E1229" s="295"/>
      <c r="F1229" s="295"/>
      <c r="G1229" s="295"/>
      <c r="H1229" s="295"/>
      <c r="I1229" s="295"/>
      <c r="J1229" s="295"/>
      <c r="K1229" s="295"/>
      <c r="L1229" s="295"/>
      <c r="M1229" s="295"/>
      <c r="N1229" s="295"/>
      <c r="O1229" s="295"/>
      <c r="P1229" s="295"/>
      <c r="Q1229" s="295"/>
      <c r="R1229" s="295"/>
      <c r="S1229" s="295"/>
      <c r="T1229" s="295"/>
      <c r="U1229" s="295"/>
      <c r="V1229" s="295"/>
      <c r="W1229" s="295"/>
      <c r="X1229" s="295"/>
      <c r="Y1229" s="295"/>
      <c r="Z1229" s="295"/>
      <c r="AA1229" s="295"/>
      <c r="AB1229" s="295"/>
      <c r="AC1229" s="295"/>
      <c r="AD1229" s="295"/>
      <c r="AE1229" s="295"/>
      <c r="AF1229" s="295"/>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95"/>
      <c r="C1390" s="295"/>
      <c r="D1390" s="295"/>
      <c r="E1390" s="295"/>
      <c r="F1390" s="295"/>
      <c r="G1390" s="295"/>
      <c r="H1390" s="295"/>
      <c r="I1390" s="295"/>
      <c r="J1390" s="295"/>
      <c r="K1390" s="295"/>
      <c r="L1390" s="295"/>
      <c r="M1390" s="295"/>
      <c r="N1390" s="295"/>
      <c r="O1390" s="295"/>
      <c r="P1390" s="295"/>
      <c r="Q1390" s="295"/>
      <c r="R1390" s="295"/>
      <c r="S1390" s="295"/>
      <c r="T1390" s="295"/>
      <c r="U1390" s="295"/>
      <c r="V1390" s="295"/>
      <c r="W1390" s="295"/>
      <c r="X1390" s="295"/>
      <c r="Y1390" s="295"/>
      <c r="Z1390" s="295"/>
      <c r="AA1390" s="295"/>
      <c r="AB1390" s="295"/>
      <c r="AC1390" s="295"/>
      <c r="AD1390" s="295"/>
      <c r="AE1390" s="295"/>
      <c r="AF1390" s="295"/>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95"/>
      <c r="C1502" s="295"/>
      <c r="D1502" s="295"/>
      <c r="E1502" s="295"/>
      <c r="F1502" s="295"/>
      <c r="G1502" s="295"/>
      <c r="H1502" s="295"/>
      <c r="I1502" s="295"/>
      <c r="J1502" s="295"/>
      <c r="K1502" s="295"/>
      <c r="L1502" s="295"/>
      <c r="M1502" s="295"/>
      <c r="N1502" s="295"/>
      <c r="O1502" s="295"/>
      <c r="P1502" s="295"/>
      <c r="Q1502" s="295"/>
      <c r="R1502" s="295"/>
      <c r="S1502" s="295"/>
      <c r="T1502" s="295"/>
      <c r="U1502" s="295"/>
      <c r="V1502" s="295"/>
      <c r="W1502" s="295"/>
      <c r="X1502" s="295"/>
      <c r="Y1502" s="295"/>
      <c r="Z1502" s="295"/>
      <c r="AA1502" s="295"/>
      <c r="AB1502" s="295"/>
      <c r="AC1502" s="295"/>
      <c r="AD1502" s="295"/>
      <c r="AE1502" s="295"/>
      <c r="AF1502" s="295"/>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95"/>
      <c r="C1604" s="295"/>
      <c r="D1604" s="295"/>
      <c r="E1604" s="295"/>
      <c r="F1604" s="295"/>
      <c r="G1604" s="295"/>
      <c r="H1604" s="295"/>
      <c r="I1604" s="295"/>
      <c r="J1604" s="295"/>
      <c r="K1604" s="295"/>
      <c r="L1604" s="295"/>
      <c r="M1604" s="295"/>
      <c r="N1604" s="295"/>
      <c r="O1604" s="295"/>
      <c r="P1604" s="295"/>
      <c r="Q1604" s="295"/>
      <c r="R1604" s="295"/>
      <c r="S1604" s="295"/>
      <c r="T1604" s="295"/>
      <c r="U1604" s="295"/>
      <c r="V1604" s="295"/>
      <c r="W1604" s="295"/>
      <c r="X1604" s="295"/>
      <c r="Y1604" s="295"/>
      <c r="Z1604" s="295"/>
      <c r="AA1604" s="295"/>
      <c r="AB1604" s="295"/>
      <c r="AC1604" s="295"/>
      <c r="AD1604" s="295"/>
      <c r="AE1604" s="295"/>
      <c r="AF1604" s="295"/>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95"/>
      <c r="C1699" s="295"/>
      <c r="D1699" s="295"/>
      <c r="E1699" s="295"/>
      <c r="F1699" s="295"/>
      <c r="G1699" s="295"/>
      <c r="H1699" s="295"/>
      <c r="I1699" s="295"/>
      <c r="J1699" s="295"/>
      <c r="K1699" s="295"/>
      <c r="L1699" s="295"/>
      <c r="M1699" s="295"/>
      <c r="N1699" s="295"/>
      <c r="O1699" s="295"/>
      <c r="P1699" s="295"/>
      <c r="Q1699" s="295"/>
      <c r="R1699" s="295"/>
      <c r="S1699" s="295"/>
      <c r="T1699" s="295"/>
      <c r="U1699" s="295"/>
      <c r="V1699" s="295"/>
      <c r="W1699" s="295"/>
      <c r="X1699" s="295"/>
      <c r="Y1699" s="295"/>
      <c r="Z1699" s="295"/>
      <c r="AA1699" s="295"/>
      <c r="AB1699" s="295"/>
      <c r="AC1699" s="295"/>
      <c r="AD1699" s="295"/>
      <c r="AE1699" s="295"/>
      <c r="AF1699" s="295"/>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95"/>
      <c r="C1945" s="295"/>
      <c r="D1945" s="295"/>
      <c r="E1945" s="295"/>
      <c r="F1945" s="295"/>
      <c r="G1945" s="295"/>
      <c r="H1945" s="295"/>
      <c r="I1945" s="295"/>
      <c r="J1945" s="295"/>
      <c r="K1945" s="295"/>
      <c r="L1945" s="295"/>
      <c r="M1945" s="295"/>
      <c r="N1945" s="295"/>
      <c r="O1945" s="295"/>
      <c r="P1945" s="295"/>
      <c r="Q1945" s="295"/>
      <c r="R1945" s="295"/>
      <c r="S1945" s="295"/>
      <c r="T1945" s="295"/>
      <c r="U1945" s="295"/>
      <c r="V1945" s="295"/>
      <c r="W1945" s="295"/>
      <c r="X1945" s="295"/>
      <c r="Y1945" s="295"/>
      <c r="Z1945" s="295"/>
      <c r="AA1945" s="295"/>
      <c r="AB1945" s="295"/>
      <c r="AC1945" s="295"/>
      <c r="AD1945" s="295"/>
      <c r="AE1945" s="295"/>
      <c r="AF1945" s="295"/>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95"/>
      <c r="C2031" s="295"/>
      <c r="D2031" s="295"/>
      <c r="E2031" s="295"/>
      <c r="F2031" s="295"/>
      <c r="G2031" s="295"/>
      <c r="H2031" s="295"/>
      <c r="I2031" s="295"/>
      <c r="J2031" s="295"/>
      <c r="K2031" s="295"/>
      <c r="L2031" s="295"/>
      <c r="M2031" s="295"/>
      <c r="N2031" s="295"/>
      <c r="O2031" s="295"/>
      <c r="P2031" s="295"/>
      <c r="Q2031" s="295"/>
      <c r="R2031" s="295"/>
      <c r="S2031" s="295"/>
      <c r="T2031" s="295"/>
      <c r="U2031" s="295"/>
      <c r="V2031" s="295"/>
      <c r="W2031" s="295"/>
      <c r="X2031" s="295"/>
      <c r="Y2031" s="295"/>
      <c r="Z2031" s="295"/>
      <c r="AA2031" s="295"/>
      <c r="AB2031" s="295"/>
      <c r="AC2031" s="295"/>
      <c r="AD2031" s="295"/>
      <c r="AE2031" s="295"/>
      <c r="AF2031" s="295"/>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95"/>
      <c r="C2153" s="295"/>
      <c r="D2153" s="295"/>
      <c r="E2153" s="295"/>
      <c r="F2153" s="295"/>
      <c r="G2153" s="295"/>
      <c r="H2153" s="295"/>
      <c r="I2153" s="295"/>
      <c r="J2153" s="295"/>
      <c r="K2153" s="295"/>
      <c r="L2153" s="295"/>
      <c r="M2153" s="295"/>
      <c r="N2153" s="295"/>
      <c r="O2153" s="295"/>
      <c r="P2153" s="295"/>
      <c r="Q2153" s="295"/>
      <c r="R2153" s="295"/>
      <c r="S2153" s="295"/>
      <c r="T2153" s="295"/>
      <c r="U2153" s="295"/>
      <c r="V2153" s="295"/>
      <c r="W2153" s="295"/>
      <c r="X2153" s="295"/>
      <c r="Y2153" s="295"/>
      <c r="Z2153" s="295"/>
      <c r="AA2153" s="295"/>
      <c r="AB2153" s="295"/>
      <c r="AC2153" s="295"/>
      <c r="AD2153" s="295"/>
      <c r="AE2153" s="295"/>
      <c r="AF2153" s="295"/>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95"/>
      <c r="C2317" s="295"/>
      <c r="D2317" s="295"/>
      <c r="E2317" s="295"/>
      <c r="F2317" s="295"/>
      <c r="G2317" s="295"/>
      <c r="H2317" s="295"/>
      <c r="I2317" s="295"/>
      <c r="J2317" s="295"/>
      <c r="K2317" s="295"/>
      <c r="L2317" s="295"/>
      <c r="M2317" s="295"/>
      <c r="N2317" s="295"/>
      <c r="O2317" s="295"/>
      <c r="P2317" s="295"/>
      <c r="Q2317" s="295"/>
      <c r="R2317" s="295"/>
      <c r="S2317" s="295"/>
      <c r="T2317" s="295"/>
      <c r="U2317" s="295"/>
      <c r="V2317" s="295"/>
      <c r="W2317" s="295"/>
      <c r="X2317" s="295"/>
      <c r="Y2317" s="295"/>
      <c r="Z2317" s="295"/>
      <c r="AA2317" s="295"/>
      <c r="AB2317" s="295"/>
      <c r="AC2317" s="295"/>
      <c r="AD2317" s="295"/>
      <c r="AE2317" s="295"/>
      <c r="AF2317" s="295"/>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95"/>
      <c r="C2419" s="295"/>
      <c r="D2419" s="295"/>
      <c r="E2419" s="295"/>
      <c r="F2419" s="295"/>
      <c r="G2419" s="295"/>
      <c r="H2419" s="295"/>
      <c r="I2419" s="295"/>
      <c r="J2419" s="295"/>
      <c r="K2419" s="295"/>
      <c r="L2419" s="295"/>
      <c r="M2419" s="295"/>
      <c r="N2419" s="295"/>
      <c r="O2419" s="295"/>
      <c r="P2419" s="295"/>
      <c r="Q2419" s="295"/>
      <c r="R2419" s="295"/>
      <c r="S2419" s="295"/>
      <c r="T2419" s="295"/>
      <c r="U2419" s="295"/>
      <c r="V2419" s="295"/>
      <c r="W2419" s="295"/>
      <c r="X2419" s="295"/>
      <c r="Y2419" s="295"/>
      <c r="Z2419" s="295"/>
      <c r="AA2419" s="295"/>
      <c r="AB2419" s="295"/>
      <c r="AC2419" s="295"/>
      <c r="AD2419" s="295"/>
      <c r="AE2419" s="295"/>
      <c r="AF2419" s="295"/>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95"/>
      <c r="C2509" s="295"/>
      <c r="D2509" s="295"/>
      <c r="E2509" s="295"/>
      <c r="F2509" s="295"/>
      <c r="G2509" s="295"/>
      <c r="H2509" s="295"/>
      <c r="I2509" s="295"/>
      <c r="J2509" s="295"/>
      <c r="K2509" s="295"/>
      <c r="L2509" s="295"/>
      <c r="M2509" s="295"/>
      <c r="N2509" s="295"/>
      <c r="O2509" s="295"/>
      <c r="P2509" s="295"/>
      <c r="Q2509" s="295"/>
      <c r="R2509" s="295"/>
      <c r="S2509" s="295"/>
      <c r="T2509" s="295"/>
      <c r="U2509" s="295"/>
      <c r="V2509" s="295"/>
      <c r="W2509" s="295"/>
      <c r="X2509" s="295"/>
      <c r="Y2509" s="295"/>
      <c r="Z2509" s="295"/>
      <c r="AA2509" s="295"/>
      <c r="AB2509" s="295"/>
      <c r="AC2509" s="295"/>
      <c r="AD2509" s="295"/>
      <c r="AE2509" s="295"/>
      <c r="AF2509" s="295"/>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95"/>
      <c r="C2598" s="295"/>
      <c r="D2598" s="295"/>
      <c r="E2598" s="295"/>
      <c r="F2598" s="295"/>
      <c r="G2598" s="295"/>
      <c r="H2598" s="295"/>
      <c r="I2598" s="295"/>
      <c r="J2598" s="295"/>
      <c r="K2598" s="295"/>
      <c r="L2598" s="295"/>
      <c r="M2598" s="295"/>
      <c r="N2598" s="295"/>
      <c r="O2598" s="295"/>
      <c r="P2598" s="295"/>
      <c r="Q2598" s="295"/>
      <c r="R2598" s="295"/>
      <c r="S2598" s="295"/>
      <c r="T2598" s="295"/>
      <c r="U2598" s="295"/>
      <c r="V2598" s="295"/>
      <c r="W2598" s="295"/>
      <c r="X2598" s="295"/>
      <c r="Y2598" s="295"/>
      <c r="Z2598" s="295"/>
      <c r="AA2598" s="295"/>
      <c r="AB2598" s="295"/>
      <c r="AC2598" s="295"/>
      <c r="AD2598" s="295"/>
      <c r="AE2598" s="295"/>
      <c r="AF2598" s="295"/>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95"/>
      <c r="C2719" s="295"/>
      <c r="D2719" s="295"/>
      <c r="E2719" s="295"/>
      <c r="F2719" s="295"/>
      <c r="G2719" s="295"/>
      <c r="H2719" s="295"/>
      <c r="I2719" s="295"/>
      <c r="J2719" s="295"/>
      <c r="K2719" s="295"/>
      <c r="L2719" s="295"/>
      <c r="M2719" s="295"/>
      <c r="N2719" s="295"/>
      <c r="O2719" s="295"/>
      <c r="P2719" s="295"/>
      <c r="Q2719" s="295"/>
      <c r="R2719" s="295"/>
      <c r="S2719" s="295"/>
      <c r="T2719" s="295"/>
      <c r="U2719" s="295"/>
      <c r="V2719" s="295"/>
      <c r="W2719" s="295"/>
      <c r="X2719" s="295"/>
      <c r="Y2719" s="295"/>
      <c r="Z2719" s="295"/>
      <c r="AA2719" s="295"/>
      <c r="AB2719" s="295"/>
      <c r="AC2719" s="295"/>
      <c r="AD2719" s="295"/>
      <c r="AE2719" s="295"/>
      <c r="AF2719" s="295"/>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95"/>
      <c r="C2837" s="295"/>
      <c r="D2837" s="295"/>
      <c r="E2837" s="295"/>
      <c r="F2837" s="295"/>
      <c r="G2837" s="295"/>
      <c r="H2837" s="295"/>
      <c r="I2837" s="295"/>
      <c r="J2837" s="295"/>
      <c r="K2837" s="295"/>
      <c r="L2837" s="295"/>
      <c r="M2837" s="295"/>
      <c r="N2837" s="295"/>
      <c r="O2837" s="295"/>
      <c r="P2837" s="295"/>
      <c r="Q2837" s="295"/>
      <c r="R2837" s="295"/>
      <c r="S2837" s="295"/>
      <c r="T2837" s="295"/>
      <c r="U2837" s="295"/>
      <c r="V2837" s="295"/>
      <c r="W2837" s="295"/>
      <c r="X2837" s="295"/>
      <c r="Y2837" s="295"/>
      <c r="Z2837" s="295"/>
      <c r="AA2837" s="295"/>
      <c r="AB2837" s="295"/>
      <c r="AC2837" s="295"/>
      <c r="AD2837" s="295"/>
      <c r="AE2837" s="295"/>
      <c r="AF2837" s="295"/>
    </row>
  </sheetData>
  <mergeCells count="21">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5"/>
  <cols>
    <col min="2" max="2" width="37"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6" customFormat="1">
      <c r="A65" s="231" t="s">
        <v>732</v>
      </c>
      <c r="B65" s="237" t="s">
        <v>733</v>
      </c>
      <c r="C65" s="238">
        <v>261.58056599999998</v>
      </c>
      <c r="D65" s="238">
        <v>262.14712500000002</v>
      </c>
      <c r="E65" s="238">
        <v>263.21313500000002</v>
      </c>
      <c r="F65" s="238">
        <v>264.447632</v>
      </c>
      <c r="G65" s="238">
        <v>265.72799700000002</v>
      </c>
      <c r="H65" s="238">
        <v>266.88964800000002</v>
      </c>
      <c r="I65" s="238">
        <v>267.85632299999997</v>
      </c>
      <c r="J65" s="238">
        <v>268.824524</v>
      </c>
      <c r="K65" s="238">
        <v>269.648438</v>
      </c>
      <c r="L65" s="238">
        <v>270.33343500000001</v>
      </c>
      <c r="M65" s="238">
        <v>270.91931199999999</v>
      </c>
      <c r="N65" s="238">
        <v>271.41503899999998</v>
      </c>
      <c r="O65" s="238">
        <v>271.84841899999998</v>
      </c>
      <c r="P65" s="238">
        <v>272.37396200000001</v>
      </c>
      <c r="Q65" s="238">
        <v>273.06338499999998</v>
      </c>
      <c r="R65" s="238">
        <v>273.90936299999998</v>
      </c>
      <c r="S65" s="238">
        <v>274.95187399999998</v>
      </c>
      <c r="T65" s="238">
        <v>276.16525300000001</v>
      </c>
      <c r="U65" s="238">
        <v>277.578979</v>
      </c>
      <c r="V65" s="238">
        <v>279.06506300000001</v>
      </c>
      <c r="W65" s="238">
        <v>280.62301600000001</v>
      </c>
      <c r="X65" s="238">
        <v>282.20675699999998</v>
      </c>
      <c r="Y65" s="238">
        <v>283.82251000000002</v>
      </c>
      <c r="Z65" s="238">
        <v>285.48770100000002</v>
      </c>
      <c r="AA65" s="238">
        <v>287.18682899999999</v>
      </c>
      <c r="AB65" s="238">
        <v>288.88067599999999</v>
      </c>
      <c r="AC65" s="238">
        <v>290.55407700000001</v>
      </c>
      <c r="AD65" s="238">
        <v>292.26516700000002</v>
      </c>
      <c r="AE65" s="238">
        <v>294.07318099999998</v>
      </c>
      <c r="AF65" s="239">
        <v>4.1900000000000001E-3</v>
      </c>
      <c r="AG65" s="235"/>
      <c r="AH65" s="240"/>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7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5"/>
  <cols>
    <col min="1" max="1" width="20.85546875" hidden="1" customWidth="1"/>
    <col min="2" max="2" width="45.710937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59" customFormat="1" ht="15" customHeight="1">
      <c r="A77" s="261" t="s">
        <v>1373</v>
      </c>
      <c r="B77" s="262" t="s">
        <v>1374</v>
      </c>
      <c r="C77" s="263">
        <v>14814.711914</v>
      </c>
      <c r="D77" s="263">
        <v>14797.678711</v>
      </c>
      <c r="E77" s="263">
        <v>14839.655273</v>
      </c>
      <c r="F77" s="263">
        <v>14923.662109000001</v>
      </c>
      <c r="G77" s="263">
        <v>15026.384765999999</v>
      </c>
      <c r="H77" s="263">
        <v>15135.905273</v>
      </c>
      <c r="I77" s="263">
        <v>15243.676758</v>
      </c>
      <c r="J77" s="263">
        <v>15345.804688</v>
      </c>
      <c r="K77" s="263">
        <v>15445.272461</v>
      </c>
      <c r="L77" s="263">
        <v>15533.75</v>
      </c>
      <c r="M77" s="263">
        <v>15630.535156</v>
      </c>
      <c r="N77" s="263">
        <v>15711.363281</v>
      </c>
      <c r="O77" s="263">
        <v>15783.764648</v>
      </c>
      <c r="P77" s="263">
        <v>15847.455078000001</v>
      </c>
      <c r="Q77" s="263">
        <v>15910.726562</v>
      </c>
      <c r="R77" s="263">
        <v>15968.269531</v>
      </c>
      <c r="S77" s="263">
        <v>16023.462890999999</v>
      </c>
      <c r="T77" s="263">
        <v>16085.165039</v>
      </c>
      <c r="U77" s="263">
        <v>16147.872069999999</v>
      </c>
      <c r="V77" s="263">
        <v>16223.551758</v>
      </c>
      <c r="W77" s="263">
        <v>16306.708008</v>
      </c>
      <c r="X77" s="263">
        <v>16410.376952999999</v>
      </c>
      <c r="Y77" s="263">
        <v>16528.242188</v>
      </c>
      <c r="Z77" s="263">
        <v>16646.162109000001</v>
      </c>
      <c r="AA77" s="263">
        <v>16762.939452999999</v>
      </c>
      <c r="AB77" s="263">
        <v>16879.820312</v>
      </c>
      <c r="AC77" s="263">
        <v>16994.386718999998</v>
      </c>
      <c r="AD77" s="263">
        <v>17093.916015999999</v>
      </c>
      <c r="AE77" s="263">
        <v>17188.173827999999</v>
      </c>
      <c r="AF77" s="264">
        <v>5.3210000000000002E-3</v>
      </c>
      <c r="AG77" s="265"/>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300" t="s">
        <v>406</v>
      </c>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c r="AC79" s="301"/>
      <c r="AD79" s="301"/>
      <c r="AE79" s="301"/>
      <c r="AF79" s="301"/>
      <c r="AG79" s="301"/>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99"/>
      <c r="C259" s="299"/>
      <c r="D259" s="299"/>
      <c r="E259" s="299"/>
      <c r="F259" s="299"/>
      <c r="G259" s="299"/>
      <c r="H259" s="299"/>
      <c r="I259" s="299"/>
      <c r="J259" s="299"/>
      <c r="K259" s="299"/>
      <c r="L259" s="299"/>
      <c r="M259" s="299"/>
      <c r="N259" s="299"/>
      <c r="O259" s="299"/>
      <c r="P259" s="299"/>
      <c r="Q259" s="299"/>
      <c r="R259" s="299"/>
      <c r="S259" s="299"/>
      <c r="T259" s="299"/>
      <c r="U259" s="299"/>
      <c r="V259" s="299"/>
      <c r="W259" s="299"/>
      <c r="X259" s="299"/>
      <c r="Y259" s="299"/>
      <c r="Z259" s="299"/>
      <c r="AA259" s="299"/>
      <c r="AB259" s="299"/>
      <c r="AC259" s="299"/>
      <c r="AD259" s="299"/>
      <c r="AE259" s="299"/>
      <c r="AF259" s="299"/>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99"/>
      <c r="C339" s="299"/>
      <c r="D339" s="299"/>
      <c r="E339" s="299"/>
      <c r="F339" s="299"/>
      <c r="G339" s="299"/>
      <c r="H339" s="299"/>
      <c r="I339" s="299"/>
      <c r="J339" s="299"/>
      <c r="K339" s="299"/>
      <c r="L339" s="299"/>
      <c r="M339" s="299"/>
      <c r="N339" s="299"/>
      <c r="O339" s="299"/>
      <c r="P339" s="299"/>
      <c r="Q339" s="299"/>
      <c r="R339" s="299"/>
      <c r="S339" s="299"/>
      <c r="T339" s="299"/>
      <c r="U339" s="299"/>
      <c r="V339" s="299"/>
      <c r="W339" s="299"/>
      <c r="X339" s="299"/>
      <c r="Y339" s="299"/>
      <c r="Z339" s="299"/>
      <c r="AA339" s="299"/>
      <c r="AB339" s="299"/>
      <c r="AC339" s="299"/>
      <c r="AD339" s="299"/>
      <c r="AE339" s="299"/>
      <c r="AF339" s="299"/>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99"/>
      <c r="C452" s="299"/>
      <c r="D452" s="299"/>
      <c r="E452" s="299"/>
      <c r="F452" s="299"/>
      <c r="G452" s="299"/>
      <c r="H452" s="299"/>
      <c r="I452" s="299"/>
      <c r="J452" s="299"/>
      <c r="K452" s="299"/>
      <c r="L452" s="299"/>
      <c r="M452" s="299"/>
      <c r="N452" s="299"/>
      <c r="O452" s="299"/>
      <c r="P452" s="299"/>
      <c r="Q452" s="299"/>
      <c r="R452" s="299"/>
      <c r="S452" s="299"/>
      <c r="T452" s="299"/>
      <c r="U452" s="299"/>
      <c r="V452" s="299"/>
      <c r="W452" s="299"/>
      <c r="X452" s="299"/>
      <c r="Y452" s="299"/>
      <c r="Z452" s="299"/>
      <c r="AA452" s="299"/>
      <c r="AB452" s="299"/>
      <c r="AC452" s="299"/>
      <c r="AD452" s="299"/>
      <c r="AE452" s="299"/>
      <c r="AF452" s="299"/>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99"/>
      <c r="C565" s="299"/>
      <c r="D565" s="299"/>
      <c r="E565" s="299"/>
      <c r="F565" s="299"/>
      <c r="G565" s="299"/>
      <c r="H565" s="299"/>
      <c r="I565" s="299"/>
      <c r="J565" s="299"/>
      <c r="K565" s="299"/>
      <c r="L565" s="299"/>
      <c r="M565" s="299"/>
      <c r="N565" s="299"/>
      <c r="O565" s="299"/>
      <c r="P565" s="299"/>
      <c r="Q565" s="299"/>
      <c r="R565" s="299"/>
      <c r="S565" s="299"/>
      <c r="T565" s="299"/>
      <c r="U565" s="299"/>
      <c r="V565" s="299"/>
      <c r="W565" s="299"/>
      <c r="X565" s="299"/>
      <c r="Y565" s="299"/>
      <c r="Z565" s="299"/>
      <c r="AA565" s="299"/>
      <c r="AB565" s="299"/>
      <c r="AC565" s="299"/>
      <c r="AD565" s="299"/>
      <c r="AE565" s="299"/>
      <c r="AF565" s="299"/>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99"/>
      <c r="C663" s="299"/>
      <c r="D663" s="299"/>
      <c r="E663" s="299"/>
      <c r="F663" s="299"/>
      <c r="G663" s="299"/>
      <c r="H663" s="299"/>
      <c r="I663" s="299"/>
      <c r="J663" s="299"/>
      <c r="K663" s="299"/>
      <c r="L663" s="299"/>
      <c r="M663" s="299"/>
      <c r="N663" s="299"/>
      <c r="O663" s="299"/>
      <c r="P663" s="299"/>
      <c r="Q663" s="299"/>
      <c r="R663" s="299"/>
      <c r="S663" s="299"/>
      <c r="T663" s="299"/>
      <c r="U663" s="299"/>
      <c r="V663" s="299"/>
      <c r="W663" s="299"/>
      <c r="X663" s="299"/>
      <c r="Y663" s="299"/>
      <c r="Z663" s="299"/>
      <c r="AA663" s="299"/>
      <c r="AB663" s="299"/>
      <c r="AC663" s="299"/>
      <c r="AD663" s="299"/>
      <c r="AE663" s="299"/>
      <c r="AF663" s="299"/>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99"/>
      <c r="C735" s="299"/>
      <c r="D735" s="299"/>
      <c r="E735" s="299"/>
      <c r="F735" s="299"/>
      <c r="G735" s="299"/>
      <c r="H735" s="299"/>
      <c r="I735" s="299"/>
      <c r="J735" s="299"/>
      <c r="K735" s="299"/>
      <c r="L735" s="299"/>
      <c r="M735" s="299"/>
      <c r="N735" s="299"/>
      <c r="O735" s="299"/>
      <c r="P735" s="299"/>
      <c r="Q735" s="299"/>
      <c r="R735" s="299"/>
      <c r="S735" s="299"/>
      <c r="T735" s="299"/>
      <c r="U735" s="299"/>
      <c r="V735" s="299"/>
      <c r="W735" s="299"/>
      <c r="X735" s="299"/>
      <c r="Y735" s="299"/>
      <c r="Z735" s="299"/>
      <c r="AA735" s="299"/>
      <c r="AB735" s="299"/>
      <c r="AC735" s="299"/>
      <c r="AD735" s="299"/>
      <c r="AE735" s="299"/>
      <c r="AF735" s="299"/>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99"/>
      <c r="C911" s="299"/>
      <c r="D911" s="299"/>
      <c r="E911" s="299"/>
      <c r="F911" s="299"/>
      <c r="G911" s="299"/>
      <c r="H911" s="299"/>
      <c r="I911" s="299"/>
      <c r="J911" s="299"/>
      <c r="K911" s="299"/>
      <c r="L911" s="299"/>
      <c r="M911" s="299"/>
      <c r="N911" s="299"/>
      <c r="O911" s="299"/>
      <c r="P911" s="299"/>
      <c r="Q911" s="299"/>
      <c r="R911" s="299"/>
      <c r="S911" s="299"/>
      <c r="T911" s="299"/>
      <c r="U911" s="299"/>
      <c r="V911" s="299"/>
      <c r="W911" s="299"/>
      <c r="X911" s="299"/>
      <c r="Y911" s="299"/>
      <c r="Z911" s="299"/>
      <c r="AA911" s="299"/>
      <c r="AB911" s="299"/>
      <c r="AC911" s="299"/>
      <c r="AD911" s="299"/>
      <c r="AE911" s="299"/>
      <c r="AF911" s="299"/>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99"/>
      <c r="C994" s="299"/>
      <c r="D994" s="299"/>
      <c r="E994" s="299"/>
      <c r="F994" s="299"/>
      <c r="G994" s="299"/>
      <c r="H994" s="299"/>
      <c r="I994" s="299"/>
      <c r="J994" s="299"/>
      <c r="K994" s="299"/>
      <c r="L994" s="299"/>
      <c r="M994" s="299"/>
      <c r="N994" s="299"/>
      <c r="O994" s="299"/>
      <c r="P994" s="299"/>
      <c r="Q994" s="299"/>
      <c r="R994" s="299"/>
      <c r="S994" s="299"/>
      <c r="T994" s="299"/>
      <c r="U994" s="299"/>
      <c r="V994" s="299"/>
      <c r="W994" s="299"/>
      <c r="X994" s="299"/>
      <c r="Y994" s="299"/>
      <c r="Z994" s="299"/>
      <c r="AA994" s="299"/>
      <c r="AB994" s="299"/>
      <c r="AC994" s="299"/>
      <c r="AD994" s="299"/>
      <c r="AE994" s="299"/>
      <c r="AF994" s="299"/>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99"/>
      <c r="C1096" s="299"/>
      <c r="D1096" s="299"/>
      <c r="E1096" s="299"/>
      <c r="F1096" s="299"/>
      <c r="G1096" s="299"/>
      <c r="H1096" s="299"/>
      <c r="I1096" s="299"/>
      <c r="J1096" s="299"/>
      <c r="K1096" s="299"/>
      <c r="L1096" s="299"/>
      <c r="M1096" s="299"/>
      <c r="N1096" s="299"/>
      <c r="O1096" s="299"/>
      <c r="P1096" s="299"/>
      <c r="Q1096" s="299"/>
      <c r="R1096" s="299"/>
      <c r="S1096" s="299"/>
      <c r="T1096" s="299"/>
      <c r="U1096" s="299"/>
      <c r="V1096" s="299"/>
      <c r="W1096" s="299"/>
      <c r="X1096" s="299"/>
      <c r="Y1096" s="299"/>
      <c r="Z1096" s="299"/>
      <c r="AA1096" s="299"/>
      <c r="AB1096" s="299"/>
      <c r="AC1096" s="299"/>
      <c r="AD1096" s="299"/>
      <c r="AE1096" s="299"/>
      <c r="AF1096" s="299"/>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99"/>
      <c r="C1194" s="299"/>
      <c r="D1194" s="299"/>
      <c r="E1194" s="299"/>
      <c r="F1194" s="299"/>
      <c r="G1194" s="299"/>
      <c r="H1194" s="299"/>
      <c r="I1194" s="299"/>
      <c r="J1194" s="299"/>
      <c r="K1194" s="299"/>
      <c r="L1194" s="299"/>
      <c r="M1194" s="299"/>
      <c r="N1194" s="299"/>
      <c r="O1194" s="299"/>
      <c r="P1194" s="299"/>
      <c r="Q1194" s="299"/>
      <c r="R1194" s="299"/>
      <c r="S1194" s="299"/>
      <c r="T1194" s="299"/>
      <c r="U1194" s="299"/>
      <c r="V1194" s="299"/>
      <c r="W1194" s="299"/>
      <c r="X1194" s="299"/>
      <c r="Y1194" s="299"/>
      <c r="Z1194" s="299"/>
      <c r="AA1194" s="299"/>
      <c r="AB1194" s="299"/>
      <c r="AC1194" s="299"/>
      <c r="AD1194" s="299"/>
      <c r="AE1194" s="299"/>
      <c r="AF1194" s="299"/>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99"/>
      <c r="C1294" s="299"/>
      <c r="D1294" s="299"/>
      <c r="E1294" s="299"/>
      <c r="F1294" s="299"/>
      <c r="G1294" s="299"/>
      <c r="H1294" s="299"/>
      <c r="I1294" s="299"/>
      <c r="J1294" s="299"/>
      <c r="K1294" s="299"/>
      <c r="L1294" s="299"/>
      <c r="M1294" s="299"/>
      <c r="N1294" s="299"/>
      <c r="O1294" s="299"/>
      <c r="P1294" s="299"/>
      <c r="Q1294" s="299"/>
      <c r="R1294" s="299"/>
      <c r="S1294" s="299"/>
      <c r="T1294" s="299"/>
      <c r="U1294" s="299"/>
      <c r="V1294" s="299"/>
      <c r="W1294" s="299"/>
      <c r="X1294" s="299"/>
      <c r="Y1294" s="299"/>
      <c r="Z1294" s="299"/>
      <c r="AA1294" s="299"/>
      <c r="AB1294" s="299"/>
      <c r="AC1294" s="299"/>
      <c r="AD1294" s="299"/>
      <c r="AE1294" s="299"/>
      <c r="AF1294" s="299"/>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99"/>
      <c r="C1590" s="299"/>
      <c r="D1590" s="299"/>
      <c r="E1590" s="299"/>
      <c r="F1590" s="299"/>
      <c r="G1590" s="299"/>
      <c r="H1590" s="299"/>
      <c r="I1590" s="299"/>
      <c r="J1590" s="299"/>
      <c r="K1590" s="299"/>
      <c r="L1590" s="299"/>
      <c r="M1590" s="299"/>
      <c r="N1590" s="299"/>
      <c r="O1590" s="299"/>
      <c r="P1590" s="299"/>
      <c r="Q1590" s="299"/>
      <c r="R1590" s="299"/>
      <c r="S1590" s="299"/>
      <c r="T1590" s="299"/>
      <c r="U1590" s="299"/>
      <c r="V1590" s="299"/>
      <c r="W1590" s="299"/>
      <c r="X1590" s="299"/>
      <c r="Y1590" s="299"/>
      <c r="Z1590" s="299"/>
      <c r="AA1590" s="299"/>
      <c r="AB1590" s="299"/>
      <c r="AC1590" s="299"/>
      <c r="AD1590" s="299"/>
      <c r="AE1590" s="299"/>
      <c r="AF1590" s="299"/>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99"/>
      <c r="C1813" s="299"/>
      <c r="D1813" s="299"/>
      <c r="E1813" s="299"/>
      <c r="F1813" s="299"/>
      <c r="G1813" s="299"/>
      <c r="H1813" s="299"/>
      <c r="I1813" s="299"/>
      <c r="J1813" s="299"/>
      <c r="K1813" s="299"/>
      <c r="L1813" s="299"/>
      <c r="M1813" s="299"/>
      <c r="N1813" s="299"/>
      <c r="O1813" s="299"/>
      <c r="P1813" s="299"/>
      <c r="Q1813" s="299"/>
      <c r="R1813" s="299"/>
      <c r="S1813" s="299"/>
      <c r="T1813" s="299"/>
      <c r="U1813" s="299"/>
      <c r="V1813" s="299"/>
      <c r="W1813" s="299"/>
      <c r="X1813" s="299"/>
      <c r="Y1813" s="299"/>
      <c r="Z1813" s="299"/>
      <c r="AA1813" s="299"/>
      <c r="AB1813" s="299"/>
      <c r="AC1813" s="299"/>
      <c r="AD1813" s="299"/>
      <c r="AE1813" s="299"/>
      <c r="AF1813" s="299"/>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99"/>
      <c r="C2090" s="299"/>
      <c r="D2090" s="299"/>
      <c r="E2090" s="299"/>
      <c r="F2090" s="299"/>
      <c r="G2090" s="299"/>
      <c r="H2090" s="299"/>
      <c r="I2090" s="299"/>
      <c r="J2090" s="299"/>
      <c r="K2090" s="299"/>
      <c r="L2090" s="299"/>
      <c r="M2090" s="299"/>
      <c r="N2090" s="299"/>
      <c r="O2090" s="299"/>
      <c r="P2090" s="299"/>
      <c r="Q2090" s="299"/>
      <c r="R2090" s="299"/>
      <c r="S2090" s="299"/>
      <c r="T2090" s="299"/>
      <c r="U2090" s="299"/>
      <c r="V2090" s="299"/>
      <c r="W2090" s="299"/>
      <c r="X2090" s="299"/>
      <c r="Y2090" s="299"/>
      <c r="Z2090" s="299"/>
      <c r="AA2090" s="299"/>
      <c r="AB2090" s="299"/>
      <c r="AC2090" s="299"/>
      <c r="AD2090" s="299"/>
      <c r="AE2090" s="299"/>
      <c r="AF2090" s="299"/>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99"/>
      <c r="C2425" s="299"/>
      <c r="D2425" s="299"/>
      <c r="E2425" s="299"/>
      <c r="F2425" s="299"/>
      <c r="G2425" s="299"/>
      <c r="H2425" s="299"/>
      <c r="I2425" s="299"/>
      <c r="J2425" s="299"/>
      <c r="K2425" s="299"/>
      <c r="L2425" s="299"/>
      <c r="M2425" s="299"/>
      <c r="N2425" s="299"/>
      <c r="O2425" s="299"/>
      <c r="P2425" s="299"/>
      <c r="Q2425" s="299"/>
      <c r="R2425" s="299"/>
      <c r="S2425" s="299"/>
      <c r="T2425" s="299"/>
      <c r="U2425" s="299"/>
      <c r="V2425" s="299"/>
      <c r="W2425" s="299"/>
      <c r="X2425" s="299"/>
      <c r="Y2425" s="299"/>
      <c r="Z2425" s="299"/>
      <c r="AA2425" s="299"/>
      <c r="AB2425" s="299"/>
      <c r="AC2425" s="299"/>
      <c r="AD2425" s="299"/>
      <c r="AE2425" s="299"/>
      <c r="AF2425" s="299"/>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99"/>
      <c r="C2745" s="299"/>
      <c r="D2745" s="299"/>
      <c r="E2745" s="299"/>
      <c r="F2745" s="299"/>
      <c r="G2745" s="299"/>
      <c r="H2745" s="299"/>
      <c r="I2745" s="299"/>
      <c r="J2745" s="299"/>
      <c r="K2745" s="299"/>
      <c r="L2745" s="299"/>
      <c r="M2745" s="299"/>
      <c r="N2745" s="299"/>
      <c r="O2745" s="299"/>
      <c r="P2745" s="299"/>
      <c r="Q2745" s="299"/>
      <c r="R2745" s="299"/>
      <c r="S2745" s="299"/>
      <c r="T2745" s="299"/>
      <c r="U2745" s="299"/>
      <c r="V2745" s="299"/>
      <c r="W2745" s="299"/>
      <c r="X2745" s="299"/>
      <c r="Y2745" s="299"/>
      <c r="Z2745" s="299"/>
      <c r="AA2745" s="299"/>
      <c r="AB2745" s="299"/>
      <c r="AC2745" s="299"/>
      <c r="AD2745" s="299"/>
      <c r="AE2745" s="299"/>
      <c r="AF2745" s="299"/>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99"/>
      <c r="C3076" s="299"/>
      <c r="D3076" s="299"/>
      <c r="E3076" s="299"/>
      <c r="F3076" s="299"/>
      <c r="G3076" s="299"/>
      <c r="H3076" s="299"/>
      <c r="I3076" s="299"/>
      <c r="J3076" s="299"/>
      <c r="K3076" s="299"/>
      <c r="L3076" s="299"/>
      <c r="M3076" s="299"/>
      <c r="N3076" s="299"/>
      <c r="O3076" s="299"/>
      <c r="P3076" s="299"/>
      <c r="Q3076" s="299"/>
      <c r="R3076" s="299"/>
      <c r="S3076" s="299"/>
      <c r="T3076" s="299"/>
      <c r="U3076" s="299"/>
      <c r="V3076" s="299"/>
      <c r="W3076" s="299"/>
      <c r="X3076" s="299"/>
      <c r="Y3076" s="299"/>
      <c r="Z3076" s="299"/>
      <c r="AA3076" s="299"/>
      <c r="AB3076" s="299"/>
      <c r="AC3076" s="299"/>
      <c r="AD3076" s="299"/>
      <c r="AE3076" s="299"/>
      <c r="AF3076" s="299"/>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99"/>
      <c r="C3393" s="299"/>
      <c r="D3393" s="299"/>
      <c r="E3393" s="299"/>
      <c r="F3393" s="299"/>
      <c r="G3393" s="299"/>
      <c r="H3393" s="299"/>
      <c r="I3393" s="299"/>
      <c r="J3393" s="299"/>
      <c r="K3393" s="299"/>
      <c r="L3393" s="299"/>
      <c r="M3393" s="299"/>
      <c r="N3393" s="299"/>
      <c r="O3393" s="299"/>
      <c r="P3393" s="299"/>
      <c r="Q3393" s="299"/>
      <c r="R3393" s="299"/>
      <c r="S3393" s="299"/>
      <c r="T3393" s="299"/>
      <c r="U3393" s="299"/>
      <c r="V3393" s="299"/>
      <c r="W3393" s="299"/>
      <c r="X3393" s="299"/>
      <c r="Y3393" s="299"/>
      <c r="Z3393" s="299"/>
      <c r="AA3393" s="299"/>
      <c r="AB3393" s="299"/>
      <c r="AC3393" s="299"/>
      <c r="AD3393" s="299"/>
      <c r="AE3393" s="299"/>
      <c r="AF3393" s="299"/>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99"/>
      <c r="C3502" s="299"/>
      <c r="D3502" s="299"/>
      <c r="E3502" s="299"/>
      <c r="F3502" s="299"/>
      <c r="G3502" s="299"/>
      <c r="H3502" s="299"/>
      <c r="I3502" s="299"/>
      <c r="J3502" s="299"/>
      <c r="K3502" s="299"/>
      <c r="L3502" s="299"/>
      <c r="M3502" s="299"/>
      <c r="N3502" s="299"/>
      <c r="O3502" s="299"/>
      <c r="P3502" s="299"/>
      <c r="Q3502" s="299"/>
      <c r="R3502" s="299"/>
      <c r="S3502" s="299"/>
      <c r="T3502" s="299"/>
      <c r="U3502" s="299"/>
      <c r="V3502" s="299"/>
      <c r="W3502" s="299"/>
      <c r="X3502" s="299"/>
      <c r="Y3502" s="299"/>
      <c r="Z3502" s="299"/>
      <c r="AA3502" s="299"/>
      <c r="AB3502" s="299"/>
      <c r="AC3502" s="299"/>
      <c r="AD3502" s="299"/>
      <c r="AE3502" s="299"/>
      <c r="AF3502" s="299"/>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99"/>
      <c r="C3627" s="299"/>
      <c r="D3627" s="299"/>
      <c r="E3627" s="299"/>
      <c r="F3627" s="299"/>
      <c r="G3627" s="299"/>
      <c r="H3627" s="299"/>
      <c r="I3627" s="299"/>
      <c r="J3627" s="299"/>
      <c r="K3627" s="299"/>
      <c r="L3627" s="299"/>
      <c r="M3627" s="299"/>
      <c r="N3627" s="299"/>
      <c r="O3627" s="299"/>
      <c r="P3627" s="299"/>
      <c r="Q3627" s="299"/>
      <c r="R3627" s="299"/>
      <c r="S3627" s="299"/>
      <c r="T3627" s="299"/>
      <c r="U3627" s="299"/>
      <c r="V3627" s="299"/>
      <c r="W3627" s="299"/>
      <c r="X3627" s="299"/>
      <c r="Y3627" s="299"/>
      <c r="Z3627" s="299"/>
      <c r="AA3627" s="299"/>
      <c r="AB3627" s="299"/>
      <c r="AC3627" s="299"/>
      <c r="AD3627" s="299"/>
      <c r="AE3627" s="299"/>
      <c r="AF3627" s="299"/>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99"/>
      <c r="C3752" s="299"/>
      <c r="D3752" s="299"/>
      <c r="E3752" s="299"/>
      <c r="F3752" s="299"/>
      <c r="G3752" s="299"/>
      <c r="H3752" s="299"/>
      <c r="I3752" s="299"/>
      <c r="J3752" s="299"/>
      <c r="K3752" s="299"/>
      <c r="L3752" s="299"/>
      <c r="M3752" s="299"/>
      <c r="N3752" s="299"/>
      <c r="O3752" s="299"/>
      <c r="P3752" s="299"/>
      <c r="Q3752" s="299"/>
      <c r="R3752" s="299"/>
      <c r="S3752" s="299"/>
      <c r="T3752" s="299"/>
      <c r="U3752" s="299"/>
      <c r="V3752" s="299"/>
      <c r="W3752" s="299"/>
      <c r="X3752" s="299"/>
      <c r="Y3752" s="299"/>
      <c r="Z3752" s="299"/>
      <c r="AA3752" s="299"/>
      <c r="AB3752" s="299"/>
      <c r="AC3752" s="299"/>
      <c r="AD3752" s="299"/>
      <c r="AE3752" s="299"/>
      <c r="AF3752" s="299"/>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99"/>
      <c r="C3877" s="299"/>
      <c r="D3877" s="299"/>
      <c r="E3877" s="299"/>
      <c r="F3877" s="299"/>
      <c r="G3877" s="299"/>
      <c r="H3877" s="299"/>
      <c r="I3877" s="299"/>
      <c r="J3877" s="299"/>
      <c r="K3877" s="299"/>
      <c r="L3877" s="299"/>
      <c r="M3877" s="299"/>
      <c r="N3877" s="299"/>
      <c r="O3877" s="299"/>
      <c r="P3877" s="299"/>
      <c r="Q3877" s="299"/>
      <c r="R3877" s="299"/>
      <c r="S3877" s="299"/>
      <c r="T3877" s="299"/>
      <c r="U3877" s="299"/>
      <c r="V3877" s="299"/>
      <c r="W3877" s="299"/>
      <c r="X3877" s="299"/>
      <c r="Y3877" s="299"/>
      <c r="Z3877" s="299"/>
      <c r="AA3877" s="299"/>
      <c r="AB3877" s="299"/>
      <c r="AC3877" s="299"/>
      <c r="AD3877" s="299"/>
      <c r="AE3877" s="299"/>
      <c r="AF3877" s="299"/>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99"/>
      <c r="C4002" s="299"/>
      <c r="D4002" s="299"/>
      <c r="E4002" s="299"/>
      <c r="F4002" s="299"/>
      <c r="G4002" s="299"/>
      <c r="H4002" s="299"/>
      <c r="I4002" s="299"/>
      <c r="J4002" s="299"/>
      <c r="K4002" s="299"/>
      <c r="L4002" s="299"/>
      <c r="M4002" s="299"/>
      <c r="N4002" s="299"/>
      <c r="O4002" s="299"/>
      <c r="P4002" s="299"/>
      <c r="Q4002" s="299"/>
      <c r="R4002" s="299"/>
      <c r="S4002" s="299"/>
      <c r="T4002" s="299"/>
      <c r="U4002" s="299"/>
      <c r="V4002" s="299"/>
      <c r="W4002" s="299"/>
      <c r="X4002" s="299"/>
      <c r="Y4002" s="299"/>
      <c r="Z4002" s="299"/>
      <c r="AA4002" s="299"/>
      <c r="AB4002" s="299"/>
      <c r="AC4002" s="299"/>
      <c r="AD4002" s="299"/>
      <c r="AE4002" s="299"/>
      <c r="AF4002" s="299"/>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99"/>
      <c r="C4127" s="299"/>
      <c r="D4127" s="299"/>
      <c r="E4127" s="299"/>
      <c r="F4127" s="299"/>
      <c r="G4127" s="299"/>
      <c r="H4127" s="299"/>
      <c r="I4127" s="299"/>
      <c r="J4127" s="299"/>
      <c r="K4127" s="299"/>
      <c r="L4127" s="299"/>
      <c r="M4127" s="299"/>
      <c r="N4127" s="299"/>
      <c r="O4127" s="299"/>
      <c r="P4127" s="299"/>
      <c r="Q4127" s="299"/>
      <c r="R4127" s="299"/>
      <c r="S4127" s="299"/>
      <c r="T4127" s="299"/>
      <c r="U4127" s="299"/>
      <c r="V4127" s="299"/>
      <c r="W4127" s="299"/>
      <c r="X4127" s="299"/>
      <c r="Y4127" s="299"/>
      <c r="Z4127" s="299"/>
      <c r="AA4127" s="299"/>
      <c r="AB4127" s="299"/>
      <c r="AC4127" s="299"/>
      <c r="AD4127" s="299"/>
      <c r="AE4127" s="299"/>
      <c r="AF4127" s="299"/>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99"/>
      <c r="C4252" s="299"/>
      <c r="D4252" s="299"/>
      <c r="E4252" s="299"/>
      <c r="F4252" s="299"/>
      <c r="G4252" s="299"/>
      <c r="H4252" s="299"/>
      <c r="I4252" s="299"/>
      <c r="J4252" s="299"/>
      <c r="K4252" s="299"/>
      <c r="L4252" s="299"/>
      <c r="M4252" s="299"/>
      <c r="N4252" s="299"/>
      <c r="O4252" s="299"/>
      <c r="P4252" s="299"/>
      <c r="Q4252" s="299"/>
      <c r="R4252" s="299"/>
      <c r="S4252" s="299"/>
      <c r="T4252" s="299"/>
      <c r="U4252" s="299"/>
      <c r="V4252" s="299"/>
      <c r="W4252" s="299"/>
      <c r="X4252" s="299"/>
      <c r="Y4252" s="299"/>
      <c r="Z4252" s="299"/>
      <c r="AA4252" s="299"/>
      <c r="AB4252" s="299"/>
      <c r="AC4252" s="299"/>
      <c r="AD4252" s="299"/>
      <c r="AE4252" s="299"/>
      <c r="AF4252" s="299"/>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99"/>
      <c r="C4377" s="299"/>
      <c r="D4377" s="299"/>
      <c r="E4377" s="299"/>
      <c r="F4377" s="299"/>
      <c r="G4377" s="299"/>
      <c r="H4377" s="299"/>
      <c r="I4377" s="299"/>
      <c r="J4377" s="299"/>
      <c r="K4377" s="299"/>
      <c r="L4377" s="299"/>
      <c r="M4377" s="299"/>
      <c r="N4377" s="299"/>
      <c r="O4377" s="299"/>
      <c r="P4377" s="299"/>
      <c r="Q4377" s="299"/>
      <c r="R4377" s="299"/>
      <c r="S4377" s="299"/>
      <c r="T4377" s="299"/>
      <c r="U4377" s="299"/>
      <c r="V4377" s="299"/>
      <c r="W4377" s="299"/>
      <c r="X4377" s="299"/>
      <c r="Y4377" s="299"/>
      <c r="Z4377" s="299"/>
      <c r="AA4377" s="299"/>
      <c r="AB4377" s="299"/>
      <c r="AC4377" s="299"/>
      <c r="AD4377" s="299"/>
      <c r="AE4377" s="299"/>
      <c r="AF4377" s="299"/>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99"/>
      <c r="C4502" s="299"/>
      <c r="D4502" s="299"/>
      <c r="E4502" s="299"/>
      <c r="F4502" s="299"/>
      <c r="G4502" s="299"/>
      <c r="H4502" s="299"/>
      <c r="I4502" s="299"/>
      <c r="J4502" s="299"/>
      <c r="K4502" s="299"/>
      <c r="L4502" s="299"/>
      <c r="M4502" s="299"/>
      <c r="N4502" s="299"/>
      <c r="O4502" s="299"/>
      <c r="P4502" s="299"/>
      <c r="Q4502" s="299"/>
      <c r="R4502" s="299"/>
      <c r="S4502" s="299"/>
      <c r="T4502" s="299"/>
      <c r="U4502" s="299"/>
      <c r="V4502" s="299"/>
      <c r="W4502" s="299"/>
      <c r="X4502" s="299"/>
      <c r="Y4502" s="299"/>
      <c r="Z4502" s="299"/>
      <c r="AA4502" s="299"/>
      <c r="AB4502" s="299"/>
      <c r="AC4502" s="299"/>
      <c r="AD4502" s="299"/>
      <c r="AE4502" s="299"/>
      <c r="AF4502" s="299"/>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5"/>
  <sheetData>
    <row r="1" spans="1:33" ht="15.7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37.5"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6.7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48.75">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75">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6.7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36.75">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6.75">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6.7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6.7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6.7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48.7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48.7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6.7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6.7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75">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36.75">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75">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75">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75">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4.75">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6.7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75">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8.7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48.75">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75">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8.7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48.7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6.75">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6.7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6.7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6.7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48.7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48.7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6.7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6.7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75">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36.75">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75">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75">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75">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4.75">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48.7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36.75">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75">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6.7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75">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72.7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75">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6.7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6.7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48.7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7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00" t="s">
        <v>406</v>
      </c>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5"/>
      <c r="C117" s="295"/>
      <c r="D117" s="295"/>
      <c r="E117" s="295"/>
      <c r="F117" s="295"/>
      <c r="G117" s="295"/>
      <c r="H117" s="295"/>
      <c r="I117" s="295"/>
      <c r="J117" s="295"/>
      <c r="K117" s="295"/>
      <c r="L117" s="295"/>
      <c r="M117" s="295"/>
      <c r="N117" s="295"/>
      <c r="O117" s="295"/>
      <c r="P117" s="295"/>
      <c r="Q117" s="295"/>
      <c r="R117" s="295"/>
      <c r="S117" s="295"/>
      <c r="T117" s="295"/>
      <c r="U117" s="295"/>
      <c r="V117" s="295"/>
      <c r="W117" s="295"/>
      <c r="X117" s="295"/>
      <c r="Y117" s="295"/>
      <c r="Z117" s="295"/>
      <c r="AA117" s="295"/>
      <c r="AB117" s="295"/>
      <c r="AC117" s="295"/>
      <c r="AD117" s="295"/>
      <c r="AE117" s="295"/>
      <c r="AF117" s="295"/>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5"/>
      <c r="C259" s="295"/>
      <c r="D259" s="295"/>
      <c r="E259" s="295"/>
      <c r="F259" s="295"/>
      <c r="G259" s="295"/>
      <c r="H259" s="295"/>
      <c r="I259" s="295"/>
      <c r="J259" s="295"/>
      <c r="K259" s="295"/>
      <c r="L259" s="295"/>
      <c r="M259" s="295"/>
      <c r="N259" s="295"/>
      <c r="O259" s="295"/>
      <c r="P259" s="295"/>
      <c r="Q259" s="295"/>
      <c r="R259" s="295"/>
      <c r="S259" s="295"/>
      <c r="T259" s="295"/>
      <c r="U259" s="295"/>
      <c r="V259" s="295"/>
      <c r="W259" s="295"/>
      <c r="X259" s="295"/>
      <c r="Y259" s="295"/>
      <c r="Z259" s="295"/>
      <c r="AA259" s="295"/>
      <c r="AB259" s="295"/>
      <c r="AC259" s="295"/>
      <c r="AD259" s="295"/>
      <c r="AE259" s="295"/>
      <c r="AF259" s="295"/>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5"/>
      <c r="C339" s="295"/>
      <c r="D339" s="295"/>
      <c r="E339" s="295"/>
      <c r="F339" s="295"/>
      <c r="G339" s="295"/>
      <c r="H339" s="295"/>
      <c r="I339" s="295"/>
      <c r="J339" s="295"/>
      <c r="K339" s="295"/>
      <c r="L339" s="295"/>
      <c r="M339" s="295"/>
      <c r="N339" s="295"/>
      <c r="O339" s="295"/>
      <c r="P339" s="295"/>
      <c r="Q339" s="295"/>
      <c r="R339" s="295"/>
      <c r="S339" s="295"/>
      <c r="T339" s="295"/>
      <c r="U339" s="295"/>
      <c r="V339" s="295"/>
      <c r="W339" s="295"/>
      <c r="X339" s="295"/>
      <c r="Y339" s="295"/>
      <c r="Z339" s="295"/>
      <c r="AA339" s="295"/>
      <c r="AB339" s="295"/>
      <c r="AC339" s="295"/>
      <c r="AD339" s="295"/>
      <c r="AE339" s="295"/>
      <c r="AF339" s="295"/>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5"/>
      <c r="C452" s="295"/>
      <c r="D452" s="295"/>
      <c r="E452" s="295"/>
      <c r="F452" s="295"/>
      <c r="G452" s="295"/>
      <c r="H452" s="295"/>
      <c r="I452" s="295"/>
      <c r="J452" s="295"/>
      <c r="K452" s="295"/>
      <c r="L452" s="295"/>
      <c r="M452" s="295"/>
      <c r="N452" s="295"/>
      <c r="O452" s="295"/>
      <c r="P452" s="295"/>
      <c r="Q452" s="295"/>
      <c r="R452" s="295"/>
      <c r="S452" s="295"/>
      <c r="T452" s="295"/>
      <c r="U452" s="295"/>
      <c r="V452" s="295"/>
      <c r="W452" s="295"/>
      <c r="X452" s="295"/>
      <c r="Y452" s="295"/>
      <c r="Z452" s="295"/>
      <c r="AA452" s="295"/>
      <c r="AB452" s="295"/>
      <c r="AC452" s="295"/>
      <c r="AD452" s="295"/>
      <c r="AE452" s="295"/>
      <c r="AF452" s="295"/>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5"/>
      <c r="C565" s="295"/>
      <c r="D565" s="295"/>
      <c r="E565" s="295"/>
      <c r="F565" s="295"/>
      <c r="G565" s="295"/>
      <c r="H565" s="295"/>
      <c r="I565" s="295"/>
      <c r="J565" s="295"/>
      <c r="K565" s="295"/>
      <c r="L565" s="295"/>
      <c r="M565" s="295"/>
      <c r="N565" s="295"/>
      <c r="O565" s="295"/>
      <c r="P565" s="295"/>
      <c r="Q565" s="295"/>
      <c r="R565" s="295"/>
      <c r="S565" s="295"/>
      <c r="T565" s="295"/>
      <c r="U565" s="295"/>
      <c r="V565" s="295"/>
      <c r="W565" s="295"/>
      <c r="X565" s="295"/>
      <c r="Y565" s="295"/>
      <c r="Z565" s="295"/>
      <c r="AA565" s="295"/>
      <c r="AB565" s="295"/>
      <c r="AC565" s="295"/>
      <c r="AD565" s="295"/>
      <c r="AE565" s="295"/>
      <c r="AF565" s="295"/>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5"/>
      <c r="C663" s="295"/>
      <c r="D663" s="295"/>
      <c r="E663" s="295"/>
      <c r="F663" s="295"/>
      <c r="G663" s="295"/>
      <c r="H663" s="295"/>
      <c r="I663" s="295"/>
      <c r="J663" s="295"/>
      <c r="K663" s="295"/>
      <c r="L663" s="295"/>
      <c r="M663" s="295"/>
      <c r="N663" s="295"/>
      <c r="O663" s="295"/>
      <c r="P663" s="295"/>
      <c r="Q663" s="295"/>
      <c r="R663" s="295"/>
      <c r="S663" s="295"/>
      <c r="T663" s="295"/>
      <c r="U663" s="295"/>
      <c r="V663" s="295"/>
      <c r="W663" s="295"/>
      <c r="X663" s="295"/>
      <c r="Y663" s="295"/>
      <c r="Z663" s="295"/>
      <c r="AA663" s="295"/>
      <c r="AB663" s="295"/>
      <c r="AC663" s="295"/>
      <c r="AD663" s="295"/>
      <c r="AE663" s="295"/>
      <c r="AF663" s="295"/>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5"/>
      <c r="C735" s="295"/>
      <c r="D735" s="295"/>
      <c r="E735" s="295"/>
      <c r="F735" s="295"/>
      <c r="G735" s="295"/>
      <c r="H735" s="295"/>
      <c r="I735" s="295"/>
      <c r="J735" s="295"/>
      <c r="K735" s="295"/>
      <c r="L735" s="295"/>
      <c r="M735" s="295"/>
      <c r="N735" s="295"/>
      <c r="O735" s="295"/>
      <c r="P735" s="295"/>
      <c r="Q735" s="295"/>
      <c r="R735" s="295"/>
      <c r="S735" s="295"/>
      <c r="T735" s="295"/>
      <c r="U735" s="295"/>
      <c r="V735" s="295"/>
      <c r="W735" s="295"/>
      <c r="X735" s="295"/>
      <c r="Y735" s="295"/>
      <c r="Z735" s="295"/>
      <c r="AA735" s="295"/>
      <c r="AB735" s="295"/>
      <c r="AC735" s="295"/>
      <c r="AD735" s="295"/>
      <c r="AE735" s="295"/>
      <c r="AF735" s="295"/>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5"/>
      <c r="C911" s="295"/>
      <c r="D911" s="295"/>
      <c r="E911" s="295"/>
      <c r="F911" s="295"/>
      <c r="G911" s="295"/>
      <c r="H911" s="295"/>
      <c r="I911" s="295"/>
      <c r="J911" s="295"/>
      <c r="K911" s="295"/>
      <c r="L911" s="295"/>
      <c r="M911" s="295"/>
      <c r="N911" s="295"/>
      <c r="O911" s="295"/>
      <c r="P911" s="295"/>
      <c r="Q911" s="295"/>
      <c r="R911" s="295"/>
      <c r="S911" s="295"/>
      <c r="T911" s="295"/>
      <c r="U911" s="295"/>
      <c r="V911" s="295"/>
      <c r="W911" s="295"/>
      <c r="X911" s="295"/>
      <c r="Y911" s="295"/>
      <c r="Z911" s="295"/>
      <c r="AA911" s="295"/>
      <c r="AB911" s="295"/>
      <c r="AC911" s="295"/>
      <c r="AD911" s="295"/>
      <c r="AE911" s="295"/>
      <c r="AF911" s="295"/>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5"/>
      <c r="C994" s="295"/>
      <c r="D994" s="295"/>
      <c r="E994" s="295"/>
      <c r="F994" s="295"/>
      <c r="G994" s="295"/>
      <c r="H994" s="295"/>
      <c r="I994" s="295"/>
      <c r="J994" s="295"/>
      <c r="K994" s="295"/>
      <c r="L994" s="295"/>
      <c r="M994" s="295"/>
      <c r="N994" s="295"/>
      <c r="O994" s="295"/>
      <c r="P994" s="295"/>
      <c r="Q994" s="295"/>
      <c r="R994" s="295"/>
      <c r="S994" s="295"/>
      <c r="T994" s="295"/>
      <c r="U994" s="295"/>
      <c r="V994" s="295"/>
      <c r="W994" s="295"/>
      <c r="X994" s="295"/>
      <c r="Y994" s="295"/>
      <c r="Z994" s="295"/>
      <c r="AA994" s="295"/>
      <c r="AB994" s="295"/>
      <c r="AC994" s="295"/>
      <c r="AD994" s="295"/>
      <c r="AE994" s="295"/>
      <c r="AF994" s="295"/>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5"/>
      <c r="C1096" s="295"/>
      <c r="D1096" s="295"/>
      <c r="E1096" s="295"/>
      <c r="F1096" s="295"/>
      <c r="G1096" s="295"/>
      <c r="H1096" s="295"/>
      <c r="I1096" s="295"/>
      <c r="J1096" s="295"/>
      <c r="K1096" s="295"/>
      <c r="L1096" s="295"/>
      <c r="M1096" s="295"/>
      <c r="N1096" s="295"/>
      <c r="O1096" s="295"/>
      <c r="P1096" s="295"/>
      <c r="Q1096" s="295"/>
      <c r="R1096" s="295"/>
      <c r="S1096" s="295"/>
      <c r="T1096" s="295"/>
      <c r="U1096" s="295"/>
      <c r="V1096" s="295"/>
      <c r="W1096" s="295"/>
      <c r="X1096" s="295"/>
      <c r="Y1096" s="295"/>
      <c r="Z1096" s="295"/>
      <c r="AA1096" s="295"/>
      <c r="AB1096" s="295"/>
      <c r="AC1096" s="295"/>
      <c r="AD1096" s="295"/>
      <c r="AE1096" s="295"/>
      <c r="AF1096" s="295"/>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5"/>
      <c r="C1194" s="295"/>
      <c r="D1194" s="295"/>
      <c r="E1194" s="295"/>
      <c r="F1194" s="295"/>
      <c r="G1194" s="295"/>
      <c r="H1194" s="295"/>
      <c r="I1194" s="295"/>
      <c r="J1194" s="295"/>
      <c r="K1194" s="295"/>
      <c r="L1194" s="295"/>
      <c r="M1194" s="295"/>
      <c r="N1194" s="295"/>
      <c r="O1194" s="295"/>
      <c r="P1194" s="295"/>
      <c r="Q1194" s="295"/>
      <c r="R1194" s="295"/>
      <c r="S1194" s="295"/>
      <c r="T1194" s="295"/>
      <c r="U1194" s="295"/>
      <c r="V1194" s="295"/>
      <c r="W1194" s="295"/>
      <c r="X1194" s="295"/>
      <c r="Y1194" s="295"/>
      <c r="Z1194" s="295"/>
      <c r="AA1194" s="295"/>
      <c r="AB1194" s="295"/>
      <c r="AC1194" s="295"/>
      <c r="AD1194" s="295"/>
      <c r="AE1194" s="295"/>
      <c r="AF1194" s="295"/>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5"/>
      <c r="C1294" s="295"/>
      <c r="D1294" s="295"/>
      <c r="E1294" s="295"/>
      <c r="F1294" s="295"/>
      <c r="G1294" s="295"/>
      <c r="H1294" s="295"/>
      <c r="I1294" s="295"/>
      <c r="J1294" s="295"/>
      <c r="K1294" s="295"/>
      <c r="L1294" s="295"/>
      <c r="M1294" s="295"/>
      <c r="N1294" s="295"/>
      <c r="O1294" s="295"/>
      <c r="P1294" s="295"/>
      <c r="Q1294" s="295"/>
      <c r="R1294" s="295"/>
      <c r="S1294" s="295"/>
      <c r="T1294" s="295"/>
      <c r="U1294" s="295"/>
      <c r="V1294" s="295"/>
      <c r="W1294" s="295"/>
      <c r="X1294" s="295"/>
      <c r="Y1294" s="295"/>
      <c r="Z1294" s="295"/>
      <c r="AA1294" s="295"/>
      <c r="AB1294" s="295"/>
      <c r="AC1294" s="295"/>
      <c r="AD1294" s="295"/>
      <c r="AE1294" s="295"/>
      <c r="AF1294" s="295"/>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5"/>
      <c r="C1590" s="295"/>
      <c r="D1590" s="295"/>
      <c r="E1590" s="295"/>
      <c r="F1590" s="295"/>
      <c r="G1590" s="295"/>
      <c r="H1590" s="295"/>
      <c r="I1590" s="295"/>
      <c r="J1590" s="295"/>
      <c r="K1590" s="295"/>
      <c r="L1590" s="295"/>
      <c r="M1590" s="295"/>
      <c r="N1590" s="295"/>
      <c r="O1590" s="295"/>
      <c r="P1590" s="295"/>
      <c r="Q1590" s="295"/>
      <c r="R1590" s="295"/>
      <c r="S1590" s="295"/>
      <c r="T1590" s="295"/>
      <c r="U1590" s="295"/>
      <c r="V1590" s="295"/>
      <c r="W1590" s="295"/>
      <c r="X1590" s="295"/>
      <c r="Y1590" s="295"/>
      <c r="Z1590" s="295"/>
      <c r="AA1590" s="295"/>
      <c r="AB1590" s="295"/>
      <c r="AC1590" s="295"/>
      <c r="AD1590" s="295"/>
      <c r="AE1590" s="295"/>
      <c r="AF1590" s="295"/>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5"/>
      <c r="C1813" s="295"/>
      <c r="D1813" s="295"/>
      <c r="E1813" s="295"/>
      <c r="F1813" s="295"/>
      <c r="G1813" s="295"/>
      <c r="H1813" s="295"/>
      <c r="I1813" s="295"/>
      <c r="J1813" s="295"/>
      <c r="K1813" s="295"/>
      <c r="L1813" s="295"/>
      <c r="M1813" s="295"/>
      <c r="N1813" s="295"/>
      <c r="O1813" s="295"/>
      <c r="P1813" s="295"/>
      <c r="Q1813" s="295"/>
      <c r="R1813" s="295"/>
      <c r="S1813" s="295"/>
      <c r="T1813" s="295"/>
      <c r="U1813" s="295"/>
      <c r="V1813" s="295"/>
      <c r="W1813" s="295"/>
      <c r="X1813" s="295"/>
      <c r="Y1813" s="295"/>
      <c r="Z1813" s="295"/>
      <c r="AA1813" s="295"/>
      <c r="AB1813" s="295"/>
      <c r="AC1813" s="295"/>
      <c r="AD1813" s="295"/>
      <c r="AE1813" s="295"/>
      <c r="AF1813" s="295"/>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5"/>
      <c r="C2090" s="295"/>
      <c r="D2090" s="295"/>
      <c r="E2090" s="295"/>
      <c r="F2090" s="295"/>
      <c r="G2090" s="295"/>
      <c r="H2090" s="295"/>
      <c r="I2090" s="295"/>
      <c r="J2090" s="295"/>
      <c r="K2090" s="295"/>
      <c r="L2090" s="295"/>
      <c r="M2090" s="295"/>
      <c r="N2090" s="295"/>
      <c r="O2090" s="295"/>
      <c r="P2090" s="295"/>
      <c r="Q2090" s="295"/>
      <c r="R2090" s="295"/>
      <c r="S2090" s="295"/>
      <c r="T2090" s="295"/>
      <c r="U2090" s="295"/>
      <c r="V2090" s="295"/>
      <c r="W2090" s="295"/>
      <c r="X2090" s="295"/>
      <c r="Y2090" s="295"/>
      <c r="Z2090" s="295"/>
      <c r="AA2090" s="295"/>
      <c r="AB2090" s="295"/>
      <c r="AC2090" s="295"/>
      <c r="AD2090" s="295"/>
      <c r="AE2090" s="295"/>
      <c r="AF2090" s="295"/>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5"/>
      <c r="C2425" s="295"/>
      <c r="D2425" s="295"/>
      <c r="E2425" s="295"/>
      <c r="F2425" s="295"/>
      <c r="G2425" s="295"/>
      <c r="H2425" s="295"/>
      <c r="I2425" s="295"/>
      <c r="J2425" s="295"/>
      <c r="K2425" s="295"/>
      <c r="L2425" s="295"/>
      <c r="M2425" s="295"/>
      <c r="N2425" s="295"/>
      <c r="O2425" s="295"/>
      <c r="P2425" s="295"/>
      <c r="Q2425" s="295"/>
      <c r="R2425" s="295"/>
      <c r="S2425" s="295"/>
      <c r="T2425" s="295"/>
      <c r="U2425" s="295"/>
      <c r="V2425" s="295"/>
      <c r="W2425" s="295"/>
      <c r="X2425" s="295"/>
      <c r="Y2425" s="295"/>
      <c r="Z2425" s="295"/>
      <c r="AA2425" s="295"/>
      <c r="AB2425" s="295"/>
      <c r="AC2425" s="295"/>
      <c r="AD2425" s="295"/>
      <c r="AE2425" s="295"/>
      <c r="AF2425" s="295"/>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5"/>
      <c r="C2745" s="295"/>
      <c r="D2745" s="295"/>
      <c r="E2745" s="295"/>
      <c r="F2745" s="295"/>
      <c r="G2745" s="295"/>
      <c r="H2745" s="295"/>
      <c r="I2745" s="295"/>
      <c r="J2745" s="295"/>
      <c r="K2745" s="295"/>
      <c r="L2745" s="295"/>
      <c r="M2745" s="295"/>
      <c r="N2745" s="295"/>
      <c r="O2745" s="295"/>
      <c r="P2745" s="295"/>
      <c r="Q2745" s="295"/>
      <c r="R2745" s="295"/>
      <c r="S2745" s="295"/>
      <c r="T2745" s="295"/>
      <c r="U2745" s="295"/>
      <c r="V2745" s="295"/>
      <c r="W2745" s="295"/>
      <c r="X2745" s="295"/>
      <c r="Y2745" s="295"/>
      <c r="Z2745" s="295"/>
      <c r="AA2745" s="295"/>
      <c r="AB2745" s="295"/>
      <c r="AC2745" s="295"/>
      <c r="AD2745" s="295"/>
      <c r="AE2745" s="295"/>
      <c r="AF2745" s="295"/>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5"/>
      <c r="C3076" s="295"/>
      <c r="D3076" s="295"/>
      <c r="E3076" s="295"/>
      <c r="F3076" s="295"/>
      <c r="G3076" s="295"/>
      <c r="H3076" s="295"/>
      <c r="I3076" s="295"/>
      <c r="J3076" s="295"/>
      <c r="K3076" s="295"/>
      <c r="L3076" s="295"/>
      <c r="M3076" s="295"/>
      <c r="N3076" s="295"/>
      <c r="O3076" s="295"/>
      <c r="P3076" s="295"/>
      <c r="Q3076" s="295"/>
      <c r="R3076" s="295"/>
      <c r="S3076" s="295"/>
      <c r="T3076" s="295"/>
      <c r="U3076" s="295"/>
      <c r="V3076" s="295"/>
      <c r="W3076" s="295"/>
      <c r="X3076" s="295"/>
      <c r="Y3076" s="295"/>
      <c r="Z3076" s="295"/>
      <c r="AA3076" s="295"/>
      <c r="AB3076" s="295"/>
      <c r="AC3076" s="295"/>
      <c r="AD3076" s="295"/>
      <c r="AE3076" s="295"/>
      <c r="AF3076" s="295"/>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5"/>
      <c r="C3393" s="295"/>
      <c r="D3393" s="295"/>
      <c r="E3393" s="295"/>
      <c r="F3393" s="295"/>
      <c r="G3393" s="295"/>
      <c r="H3393" s="295"/>
      <c r="I3393" s="295"/>
      <c r="J3393" s="295"/>
      <c r="K3393" s="295"/>
      <c r="L3393" s="295"/>
      <c r="M3393" s="295"/>
      <c r="N3393" s="295"/>
      <c r="O3393" s="295"/>
      <c r="P3393" s="295"/>
      <c r="Q3393" s="295"/>
      <c r="R3393" s="295"/>
      <c r="S3393" s="295"/>
      <c r="T3393" s="295"/>
      <c r="U3393" s="295"/>
      <c r="V3393" s="295"/>
      <c r="W3393" s="295"/>
      <c r="X3393" s="295"/>
      <c r="Y3393" s="295"/>
      <c r="Z3393" s="295"/>
      <c r="AA3393" s="295"/>
      <c r="AB3393" s="295"/>
      <c r="AC3393" s="295"/>
      <c r="AD3393" s="295"/>
      <c r="AE3393" s="295"/>
      <c r="AF3393" s="295"/>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5"/>
      <c r="C3502" s="295"/>
      <c r="D3502" s="295"/>
      <c r="E3502" s="295"/>
      <c r="F3502" s="295"/>
      <c r="G3502" s="295"/>
      <c r="H3502" s="295"/>
      <c r="I3502" s="295"/>
      <c r="J3502" s="295"/>
      <c r="K3502" s="295"/>
      <c r="L3502" s="295"/>
      <c r="M3502" s="295"/>
      <c r="N3502" s="295"/>
      <c r="O3502" s="295"/>
      <c r="P3502" s="295"/>
      <c r="Q3502" s="295"/>
      <c r="R3502" s="295"/>
      <c r="S3502" s="295"/>
      <c r="T3502" s="295"/>
      <c r="U3502" s="295"/>
      <c r="V3502" s="295"/>
      <c r="W3502" s="295"/>
      <c r="X3502" s="295"/>
      <c r="Y3502" s="295"/>
      <c r="Z3502" s="295"/>
      <c r="AA3502" s="295"/>
      <c r="AB3502" s="295"/>
      <c r="AC3502" s="295"/>
      <c r="AD3502" s="295"/>
      <c r="AE3502" s="295"/>
      <c r="AF3502" s="295"/>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5"/>
      <c r="C3627" s="295"/>
      <c r="D3627" s="295"/>
      <c r="E3627" s="295"/>
      <c r="F3627" s="295"/>
      <c r="G3627" s="295"/>
      <c r="H3627" s="295"/>
      <c r="I3627" s="295"/>
      <c r="J3627" s="295"/>
      <c r="K3627" s="295"/>
      <c r="L3627" s="295"/>
      <c r="M3627" s="295"/>
      <c r="N3627" s="295"/>
      <c r="O3627" s="295"/>
      <c r="P3627" s="295"/>
      <c r="Q3627" s="295"/>
      <c r="R3627" s="295"/>
      <c r="S3627" s="295"/>
      <c r="T3627" s="295"/>
      <c r="U3627" s="295"/>
      <c r="V3627" s="295"/>
      <c r="W3627" s="295"/>
      <c r="X3627" s="295"/>
      <c r="Y3627" s="295"/>
      <c r="Z3627" s="295"/>
      <c r="AA3627" s="295"/>
      <c r="AB3627" s="295"/>
      <c r="AC3627" s="295"/>
      <c r="AD3627" s="295"/>
      <c r="AE3627" s="295"/>
      <c r="AF3627" s="295"/>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5"/>
      <c r="C3752" s="295"/>
      <c r="D3752" s="295"/>
      <c r="E3752" s="295"/>
      <c r="F3752" s="295"/>
      <c r="G3752" s="295"/>
      <c r="H3752" s="295"/>
      <c r="I3752" s="295"/>
      <c r="J3752" s="295"/>
      <c r="K3752" s="295"/>
      <c r="L3752" s="295"/>
      <c r="M3752" s="295"/>
      <c r="N3752" s="295"/>
      <c r="O3752" s="295"/>
      <c r="P3752" s="295"/>
      <c r="Q3752" s="295"/>
      <c r="R3752" s="295"/>
      <c r="S3752" s="295"/>
      <c r="T3752" s="295"/>
      <c r="U3752" s="295"/>
      <c r="V3752" s="295"/>
      <c r="W3752" s="295"/>
      <c r="X3752" s="295"/>
      <c r="Y3752" s="295"/>
      <c r="Z3752" s="295"/>
      <c r="AA3752" s="295"/>
      <c r="AB3752" s="295"/>
      <c r="AC3752" s="295"/>
      <c r="AD3752" s="295"/>
      <c r="AE3752" s="295"/>
      <c r="AF3752" s="295"/>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5"/>
      <c r="C3877" s="295"/>
      <c r="D3877" s="295"/>
      <c r="E3877" s="295"/>
      <c r="F3877" s="295"/>
      <c r="G3877" s="295"/>
      <c r="H3877" s="295"/>
      <c r="I3877" s="295"/>
      <c r="J3877" s="295"/>
      <c r="K3877" s="295"/>
      <c r="L3877" s="295"/>
      <c r="M3877" s="295"/>
      <c r="N3877" s="295"/>
      <c r="O3877" s="295"/>
      <c r="P3877" s="295"/>
      <c r="Q3877" s="295"/>
      <c r="R3877" s="295"/>
      <c r="S3877" s="295"/>
      <c r="T3877" s="295"/>
      <c r="U3877" s="295"/>
      <c r="V3877" s="295"/>
      <c r="W3877" s="295"/>
      <c r="X3877" s="295"/>
      <c r="Y3877" s="295"/>
      <c r="Z3877" s="295"/>
      <c r="AA3877" s="295"/>
      <c r="AB3877" s="295"/>
      <c r="AC3877" s="295"/>
      <c r="AD3877" s="295"/>
      <c r="AE3877" s="295"/>
      <c r="AF3877" s="295"/>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5"/>
      <c r="C4002" s="295"/>
      <c r="D4002" s="295"/>
      <c r="E4002" s="295"/>
      <c r="F4002" s="295"/>
      <c r="G4002" s="295"/>
      <c r="H4002" s="295"/>
      <c r="I4002" s="295"/>
      <c r="J4002" s="295"/>
      <c r="K4002" s="295"/>
      <c r="L4002" s="295"/>
      <c r="M4002" s="295"/>
      <c r="N4002" s="295"/>
      <c r="O4002" s="295"/>
      <c r="P4002" s="295"/>
      <c r="Q4002" s="295"/>
      <c r="R4002" s="295"/>
      <c r="S4002" s="295"/>
      <c r="T4002" s="295"/>
      <c r="U4002" s="295"/>
      <c r="V4002" s="295"/>
      <c r="W4002" s="295"/>
      <c r="X4002" s="295"/>
      <c r="Y4002" s="295"/>
      <c r="Z4002" s="295"/>
      <c r="AA4002" s="295"/>
      <c r="AB4002" s="295"/>
      <c r="AC4002" s="295"/>
      <c r="AD4002" s="295"/>
      <c r="AE4002" s="295"/>
      <c r="AF4002" s="295"/>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5"/>
      <c r="C4127" s="295"/>
      <c r="D4127" s="295"/>
      <c r="E4127" s="295"/>
      <c r="F4127" s="295"/>
      <c r="G4127" s="295"/>
      <c r="H4127" s="295"/>
      <c r="I4127" s="295"/>
      <c r="J4127" s="295"/>
      <c r="K4127" s="295"/>
      <c r="L4127" s="295"/>
      <c r="M4127" s="295"/>
      <c r="N4127" s="295"/>
      <c r="O4127" s="295"/>
      <c r="P4127" s="295"/>
      <c r="Q4127" s="295"/>
      <c r="R4127" s="295"/>
      <c r="S4127" s="295"/>
      <c r="T4127" s="295"/>
      <c r="U4127" s="295"/>
      <c r="V4127" s="295"/>
      <c r="W4127" s="295"/>
      <c r="X4127" s="295"/>
      <c r="Y4127" s="295"/>
      <c r="Z4127" s="295"/>
      <c r="AA4127" s="295"/>
      <c r="AB4127" s="295"/>
      <c r="AC4127" s="295"/>
      <c r="AD4127" s="295"/>
      <c r="AE4127" s="295"/>
      <c r="AF4127" s="295"/>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5"/>
      <c r="C4252" s="295"/>
      <c r="D4252" s="295"/>
      <c r="E4252" s="295"/>
      <c r="F4252" s="295"/>
      <c r="G4252" s="295"/>
      <c r="H4252" s="295"/>
      <c r="I4252" s="295"/>
      <c r="J4252" s="295"/>
      <c r="K4252" s="295"/>
      <c r="L4252" s="295"/>
      <c r="M4252" s="295"/>
      <c r="N4252" s="295"/>
      <c r="O4252" s="295"/>
      <c r="P4252" s="295"/>
      <c r="Q4252" s="295"/>
      <c r="R4252" s="295"/>
      <c r="S4252" s="295"/>
      <c r="T4252" s="295"/>
      <c r="U4252" s="295"/>
      <c r="V4252" s="295"/>
      <c r="W4252" s="295"/>
      <c r="X4252" s="295"/>
      <c r="Y4252" s="295"/>
      <c r="Z4252" s="295"/>
      <c r="AA4252" s="295"/>
      <c r="AB4252" s="295"/>
      <c r="AC4252" s="295"/>
      <c r="AD4252" s="295"/>
      <c r="AE4252" s="295"/>
      <c r="AF4252" s="295"/>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5"/>
      <c r="C4377" s="295"/>
      <c r="D4377" s="295"/>
      <c r="E4377" s="295"/>
      <c r="F4377" s="295"/>
      <c r="G4377" s="295"/>
      <c r="H4377" s="295"/>
      <c r="I4377" s="295"/>
      <c r="J4377" s="295"/>
      <c r="K4377" s="295"/>
      <c r="L4377" s="295"/>
      <c r="M4377" s="295"/>
      <c r="N4377" s="295"/>
      <c r="O4377" s="295"/>
      <c r="P4377" s="295"/>
      <c r="Q4377" s="295"/>
      <c r="R4377" s="295"/>
      <c r="S4377" s="295"/>
      <c r="T4377" s="295"/>
      <c r="U4377" s="295"/>
      <c r="V4377" s="295"/>
      <c r="W4377" s="295"/>
      <c r="X4377" s="295"/>
      <c r="Y4377" s="295"/>
      <c r="Z4377" s="295"/>
      <c r="AA4377" s="295"/>
      <c r="AB4377" s="295"/>
      <c r="AC4377" s="295"/>
      <c r="AD4377" s="295"/>
      <c r="AE4377" s="295"/>
      <c r="AF4377" s="295"/>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5"/>
      <c r="C4502" s="295"/>
      <c r="D4502" s="295"/>
      <c r="E4502" s="295"/>
      <c r="F4502" s="295"/>
      <c r="G4502" s="295"/>
      <c r="H4502" s="295"/>
      <c r="I4502" s="295"/>
      <c r="J4502" s="295"/>
      <c r="K4502" s="295"/>
      <c r="L4502" s="295"/>
      <c r="M4502" s="295"/>
      <c r="N4502" s="295"/>
      <c r="O4502" s="295"/>
      <c r="P4502" s="295"/>
      <c r="Q4502" s="295"/>
      <c r="R4502" s="295"/>
      <c r="S4502" s="295"/>
      <c r="T4502" s="295"/>
      <c r="U4502" s="295"/>
      <c r="V4502" s="295"/>
      <c r="W4502" s="295"/>
      <c r="X4502" s="295"/>
      <c r="Y4502" s="295"/>
      <c r="Z4502" s="295"/>
      <c r="AA4502" s="295"/>
      <c r="AB4502" s="295"/>
      <c r="AC4502" s="295"/>
      <c r="AD4502" s="295"/>
      <c r="AE4502" s="295"/>
      <c r="AF4502" s="295"/>
    </row>
  </sheetData>
  <mergeCells count="29">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workbookViewId="0"/>
  </sheetViews>
  <sheetFormatPr defaultRowHeight="15"/>
  <cols>
    <col min="2" max="2" width="35.5703125" customWidth="1"/>
    <col min="3" max="3" width="0" hidden="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7" customFormat="1">
      <c r="A43" s="242" t="s">
        <v>792</v>
      </c>
      <c r="B43" s="243" t="s">
        <v>281</v>
      </c>
      <c r="C43" s="244">
        <v>710.078979</v>
      </c>
      <c r="D43" s="244">
        <v>745.46997099999999</v>
      </c>
      <c r="E43" s="244">
        <v>746.32006799999999</v>
      </c>
      <c r="F43" s="244">
        <v>755.33380099999999</v>
      </c>
      <c r="G43" s="244">
        <v>772.24121100000002</v>
      </c>
      <c r="H43" s="244">
        <v>788.825378</v>
      </c>
      <c r="I43" s="244">
        <v>803.36663799999997</v>
      </c>
      <c r="J43" s="244">
        <v>815.28930700000001</v>
      </c>
      <c r="K43" s="244">
        <v>824.81445299999996</v>
      </c>
      <c r="L43" s="244">
        <v>834.85772699999995</v>
      </c>
      <c r="M43" s="244">
        <v>848.97833300000002</v>
      </c>
      <c r="N43" s="244">
        <v>865.444885</v>
      </c>
      <c r="O43" s="244">
        <v>881.70617700000003</v>
      </c>
      <c r="P43" s="244">
        <v>898.18823199999997</v>
      </c>
      <c r="Q43" s="244">
        <v>916.51141399999995</v>
      </c>
      <c r="R43" s="244">
        <v>936.63476600000001</v>
      </c>
      <c r="S43" s="244">
        <v>957.63073699999995</v>
      </c>
      <c r="T43" s="244">
        <v>978.95721400000002</v>
      </c>
      <c r="U43" s="244">
        <v>1003.341492</v>
      </c>
      <c r="V43" s="244">
        <v>1027.651611</v>
      </c>
      <c r="W43" s="244">
        <v>1052.540894</v>
      </c>
      <c r="X43" s="244">
        <v>1078.3070070000001</v>
      </c>
      <c r="Y43" s="244">
        <v>1103.5081789999999</v>
      </c>
      <c r="Z43" s="244">
        <v>1128.1469729999999</v>
      </c>
      <c r="AA43" s="244">
        <v>1153.3220209999999</v>
      </c>
      <c r="AB43" s="244">
        <v>1180.4858400000001</v>
      </c>
      <c r="AC43" s="244">
        <v>1208.165649</v>
      </c>
      <c r="AD43" s="244">
        <v>1236.08728</v>
      </c>
      <c r="AE43" s="244">
        <v>1266.459961</v>
      </c>
      <c r="AF43" s="245">
        <v>2.0879000000000002E-2</v>
      </c>
      <c r="AG43" s="246"/>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7" customFormat="1">
      <c r="A61" s="242" t="s">
        <v>823</v>
      </c>
      <c r="B61" s="243" t="s">
        <v>281</v>
      </c>
      <c r="C61" s="244">
        <v>243.14546200000001</v>
      </c>
      <c r="D61" s="244">
        <v>335.79156499999999</v>
      </c>
      <c r="E61" s="244">
        <v>383.935181</v>
      </c>
      <c r="F61" s="244">
        <v>400.52246100000002</v>
      </c>
      <c r="G61" s="244">
        <v>410.78866599999998</v>
      </c>
      <c r="H61" s="244">
        <v>421.01507600000002</v>
      </c>
      <c r="I61" s="244">
        <v>430.45114100000001</v>
      </c>
      <c r="J61" s="244">
        <v>438.83355699999998</v>
      </c>
      <c r="K61" s="244">
        <v>446.244843</v>
      </c>
      <c r="L61" s="244">
        <v>453.952179</v>
      </c>
      <c r="M61" s="244">
        <v>463.53869600000002</v>
      </c>
      <c r="N61" s="244">
        <v>474.25561499999998</v>
      </c>
      <c r="O61" s="244">
        <v>484.97164900000001</v>
      </c>
      <c r="P61" s="244">
        <v>495.876373</v>
      </c>
      <c r="Q61" s="244">
        <v>507.70068400000002</v>
      </c>
      <c r="R61" s="244">
        <v>520.43481399999996</v>
      </c>
      <c r="S61" s="244">
        <v>533.66839600000003</v>
      </c>
      <c r="T61" s="244">
        <v>547.159851</v>
      </c>
      <c r="U61" s="244">
        <v>562.15612799999997</v>
      </c>
      <c r="V61" s="244">
        <v>577.24011199999995</v>
      </c>
      <c r="W61" s="244">
        <v>592.71466099999998</v>
      </c>
      <c r="X61" s="244">
        <v>608.72131300000001</v>
      </c>
      <c r="Y61" s="244">
        <v>624.60186799999997</v>
      </c>
      <c r="Z61" s="244">
        <v>640.35766599999999</v>
      </c>
      <c r="AA61" s="244">
        <v>656.497253</v>
      </c>
      <c r="AB61" s="244">
        <v>673.70098900000005</v>
      </c>
      <c r="AC61" s="244">
        <v>691.29357900000002</v>
      </c>
      <c r="AD61" s="244">
        <v>709.15142800000001</v>
      </c>
      <c r="AE61" s="244">
        <v>728.31231700000001</v>
      </c>
      <c r="AF61" s="245">
        <v>3.9959000000000001E-2</v>
      </c>
      <c r="AG61" s="246"/>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5"/>
  <cols>
    <col min="2" max="2" width="4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7" customFormat="1">
      <c r="A16" s="242" t="s">
        <v>1142</v>
      </c>
      <c r="B16" s="243" t="s">
        <v>286</v>
      </c>
      <c r="C16" s="244">
        <v>8417.4228519999997</v>
      </c>
      <c r="D16" s="244">
        <v>8744.3818360000005</v>
      </c>
      <c r="E16" s="244">
        <v>8724.5507809999999</v>
      </c>
      <c r="F16" s="244">
        <v>8650.2841800000006</v>
      </c>
      <c r="G16" s="244">
        <v>8751.3476559999999</v>
      </c>
      <c r="H16" s="244">
        <v>8859.109375</v>
      </c>
      <c r="I16" s="244">
        <v>8953.6679690000001</v>
      </c>
      <c r="J16" s="244">
        <v>9029.546875</v>
      </c>
      <c r="K16" s="244">
        <v>9088.5722659999992</v>
      </c>
      <c r="L16" s="244">
        <v>9156.734375</v>
      </c>
      <c r="M16" s="244">
        <v>9265.4619139999995</v>
      </c>
      <c r="N16" s="244">
        <v>9398.5556639999995</v>
      </c>
      <c r="O16" s="244">
        <v>9532.7480469999991</v>
      </c>
      <c r="P16" s="244">
        <v>9671.5986329999996</v>
      </c>
      <c r="Q16" s="244">
        <v>9829.265625</v>
      </c>
      <c r="R16" s="244">
        <v>10005.096680000001</v>
      </c>
      <c r="S16" s="244">
        <v>10190.660156</v>
      </c>
      <c r="T16" s="244">
        <v>10381.003906</v>
      </c>
      <c r="U16" s="244">
        <v>10599.732421999999</v>
      </c>
      <c r="V16" s="244">
        <v>10819.25</v>
      </c>
      <c r="W16" s="244">
        <v>11045.252930000001</v>
      </c>
      <c r="X16" s="244">
        <v>11280.291992</v>
      </c>
      <c r="Y16" s="244">
        <v>11511.640625</v>
      </c>
      <c r="Z16" s="244">
        <v>11739.291015999999</v>
      </c>
      <c r="AA16" s="244">
        <v>11972.834961</v>
      </c>
      <c r="AB16" s="244">
        <v>12224.970703000001</v>
      </c>
      <c r="AC16" s="244">
        <v>12482.743164</v>
      </c>
      <c r="AD16" s="244">
        <v>12743.724609000001</v>
      </c>
      <c r="AE16" s="244">
        <v>13027.213867</v>
      </c>
      <c r="AF16" s="245">
        <v>1.5720000000000001E-2</v>
      </c>
      <c r="AG16" s="246"/>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6" customFormat="1">
      <c r="A72" s="271" t="s">
        <v>1196</v>
      </c>
      <c r="B72" s="272" t="s">
        <v>286</v>
      </c>
      <c r="C72" s="273">
        <v>554.21826199999998</v>
      </c>
      <c r="D72" s="273">
        <v>558.18225099999995</v>
      </c>
      <c r="E72" s="273">
        <v>616.61242700000003</v>
      </c>
      <c r="F72" s="273">
        <v>642.00720200000001</v>
      </c>
      <c r="G72" s="273">
        <v>677.56213400000001</v>
      </c>
      <c r="H72" s="273">
        <v>703.04217500000004</v>
      </c>
      <c r="I72" s="273">
        <v>726.45831299999998</v>
      </c>
      <c r="J72" s="273">
        <v>751.31414800000005</v>
      </c>
      <c r="K72" s="273">
        <v>777.54492200000004</v>
      </c>
      <c r="L72" s="273">
        <v>805.10766599999999</v>
      </c>
      <c r="M72" s="273">
        <v>833.80895999999996</v>
      </c>
      <c r="N72" s="273">
        <v>863.57214399999998</v>
      </c>
      <c r="O72" s="273">
        <v>894.38806199999999</v>
      </c>
      <c r="P72" s="273">
        <v>926.25329599999998</v>
      </c>
      <c r="Q72" s="273">
        <v>959.52636700000005</v>
      </c>
      <c r="R72" s="273">
        <v>993.94397000000004</v>
      </c>
      <c r="S72" s="273">
        <v>1029.4589840000001</v>
      </c>
      <c r="T72" s="273">
        <v>1066.0639650000001</v>
      </c>
      <c r="U72" s="273">
        <v>1103.774658</v>
      </c>
      <c r="V72" s="273">
        <v>1142.943237</v>
      </c>
      <c r="W72" s="273">
        <v>1183.2827150000001</v>
      </c>
      <c r="X72" s="273">
        <v>1224.766357</v>
      </c>
      <c r="Y72" s="273">
        <v>1267.4079589999999</v>
      </c>
      <c r="Z72" s="273">
        <v>1311.251831</v>
      </c>
      <c r="AA72" s="273">
        <v>1356.5870359999999</v>
      </c>
      <c r="AB72" s="273">
        <v>1403.1583250000001</v>
      </c>
      <c r="AC72" s="273">
        <v>1450.9521480000001</v>
      </c>
      <c r="AD72" s="273">
        <v>1499.9804690000001</v>
      </c>
      <c r="AE72" s="273">
        <v>1550.2852780000001</v>
      </c>
      <c r="AF72" s="274">
        <v>3.7420000000000002E-2</v>
      </c>
      <c r="AG72" s="275"/>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7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heetViews>
  <sheetFormatPr defaultRowHeight="15"/>
  <cols>
    <col min="2" max="2" width="48"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4" customFormat="1">
      <c r="A28" s="249" t="s">
        <v>426</v>
      </c>
      <c r="B28" s="256" t="s">
        <v>1046</v>
      </c>
      <c r="C28" s="257">
        <v>75.048714000000004</v>
      </c>
      <c r="D28" s="257">
        <v>74.717513999999994</v>
      </c>
      <c r="E28" s="257">
        <v>75.046081999999998</v>
      </c>
      <c r="F28" s="257">
        <v>76.143508999999995</v>
      </c>
      <c r="G28" s="257">
        <v>77.597999999999999</v>
      </c>
      <c r="H28" s="257">
        <v>78.820419000000001</v>
      </c>
      <c r="I28" s="257">
        <v>79.976401999999993</v>
      </c>
      <c r="J28" s="257">
        <v>81.127167</v>
      </c>
      <c r="K28" s="257">
        <v>82.517714999999995</v>
      </c>
      <c r="L28" s="257">
        <v>84.228110999999998</v>
      </c>
      <c r="M28" s="257">
        <v>86.234122999999997</v>
      </c>
      <c r="N28" s="257">
        <v>88.077529999999996</v>
      </c>
      <c r="O28" s="257">
        <v>89.911659</v>
      </c>
      <c r="P28" s="257">
        <v>91.791747999999998</v>
      </c>
      <c r="Q28" s="257">
        <v>93.544196999999997</v>
      </c>
      <c r="R28" s="257">
        <v>95.400565999999998</v>
      </c>
      <c r="S28" s="257">
        <v>97.240463000000005</v>
      </c>
      <c r="T28" s="257">
        <v>99.104270999999997</v>
      </c>
      <c r="U28" s="257">
        <v>101.111</v>
      </c>
      <c r="V28" s="257">
        <v>103.19528200000001</v>
      </c>
      <c r="W28" s="257">
        <v>105.237099</v>
      </c>
      <c r="X28" s="257">
        <v>107.199234</v>
      </c>
      <c r="Y28" s="257">
        <v>109.127678</v>
      </c>
      <c r="Z28" s="257">
        <v>111.1437</v>
      </c>
      <c r="AA28" s="257">
        <v>113.446144</v>
      </c>
      <c r="AB28" s="257">
        <v>115.847984</v>
      </c>
      <c r="AC28" s="257">
        <v>118.10760500000001</v>
      </c>
      <c r="AD28" s="257">
        <v>120.49865</v>
      </c>
      <c r="AE28" s="257">
        <v>123.323883</v>
      </c>
      <c r="AF28" s="258">
        <v>1.7897E-2</v>
      </c>
      <c r="AG28" s="253"/>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59" customFormat="1">
      <c r="A146" s="266" t="s">
        <v>533</v>
      </c>
      <c r="B146" s="267" t="s">
        <v>1046</v>
      </c>
      <c r="C146" s="268">
        <v>4.5572350000000004</v>
      </c>
      <c r="D146" s="268">
        <v>4.7290020000000004</v>
      </c>
      <c r="E146" s="268">
        <v>4.9127999999999998</v>
      </c>
      <c r="F146" s="268">
        <v>5.1043260000000004</v>
      </c>
      <c r="G146" s="268">
        <v>5.2971899999999996</v>
      </c>
      <c r="H146" s="268">
        <v>5.487355</v>
      </c>
      <c r="I146" s="268">
        <v>5.6725500000000002</v>
      </c>
      <c r="J146" s="268">
        <v>5.8529099999999996</v>
      </c>
      <c r="K146" s="268">
        <v>6.02935</v>
      </c>
      <c r="L146" s="268">
        <v>6.2002790000000001</v>
      </c>
      <c r="M146" s="268">
        <v>6.3694100000000002</v>
      </c>
      <c r="N146" s="268">
        <v>6.5280370000000003</v>
      </c>
      <c r="O146" s="268">
        <v>6.6825029999999996</v>
      </c>
      <c r="P146" s="268">
        <v>6.8328829999999998</v>
      </c>
      <c r="Q146" s="268">
        <v>6.9851679999999998</v>
      </c>
      <c r="R146" s="268">
        <v>7.1385949999999996</v>
      </c>
      <c r="S146" s="268">
        <v>7.2927179999999998</v>
      </c>
      <c r="T146" s="268">
        <v>7.444204</v>
      </c>
      <c r="U146" s="268">
        <v>7.5930559999999998</v>
      </c>
      <c r="V146" s="268">
        <v>7.7457929999999999</v>
      </c>
      <c r="W146" s="268">
        <v>7.8962500000000002</v>
      </c>
      <c r="X146" s="268">
        <v>8.0561190000000007</v>
      </c>
      <c r="Y146" s="268">
        <v>8.2237679999999997</v>
      </c>
      <c r="Z146" s="268">
        <v>8.3889849999999999</v>
      </c>
      <c r="AA146" s="268">
        <v>8.5504960000000008</v>
      </c>
      <c r="AB146" s="268">
        <v>8.7149520000000003</v>
      </c>
      <c r="AC146" s="268">
        <v>8.8794520000000006</v>
      </c>
      <c r="AD146" s="268">
        <v>9.0347190000000008</v>
      </c>
      <c r="AE146" s="268">
        <v>9.1874509999999994</v>
      </c>
      <c r="AF146" s="269">
        <v>2.5356E-2</v>
      </c>
      <c r="AG146" s="270"/>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59" customFormat="1">
      <c r="A157" s="266" t="s">
        <v>543</v>
      </c>
      <c r="B157" s="267" t="s">
        <v>1048</v>
      </c>
      <c r="C157" s="268">
        <v>3.7854269999999999</v>
      </c>
      <c r="D157" s="268">
        <v>3.8392460000000002</v>
      </c>
      <c r="E157" s="268">
        <v>3.896935</v>
      </c>
      <c r="F157" s="268">
        <v>3.9585020000000002</v>
      </c>
      <c r="G157" s="268">
        <v>4.0249319999999997</v>
      </c>
      <c r="H157" s="268">
        <v>4.097626</v>
      </c>
      <c r="I157" s="268">
        <v>4.1719590000000002</v>
      </c>
      <c r="J157" s="268">
        <v>4.2410829999999997</v>
      </c>
      <c r="K157" s="268">
        <v>4.3058509999999997</v>
      </c>
      <c r="L157" s="268">
        <v>4.3627609999999999</v>
      </c>
      <c r="M157" s="268">
        <v>4.4210929999999999</v>
      </c>
      <c r="N157" s="268">
        <v>4.4727800000000002</v>
      </c>
      <c r="O157" s="268">
        <v>4.5209279999999996</v>
      </c>
      <c r="P157" s="268">
        <v>4.5731520000000003</v>
      </c>
      <c r="Q157" s="268">
        <v>4.6291640000000003</v>
      </c>
      <c r="R157" s="268">
        <v>4.6878130000000002</v>
      </c>
      <c r="S157" s="268">
        <v>4.7462020000000003</v>
      </c>
      <c r="T157" s="268">
        <v>4.8041939999999999</v>
      </c>
      <c r="U157" s="268">
        <v>4.8590020000000003</v>
      </c>
      <c r="V157" s="268">
        <v>4.9137469999999999</v>
      </c>
      <c r="W157" s="268">
        <v>4.9703020000000002</v>
      </c>
      <c r="X157" s="268">
        <v>5.0363410000000002</v>
      </c>
      <c r="Y157" s="268">
        <v>5.1081560000000001</v>
      </c>
      <c r="Z157" s="268">
        <v>5.1772010000000002</v>
      </c>
      <c r="AA157" s="268">
        <v>5.2410680000000003</v>
      </c>
      <c r="AB157" s="268">
        <v>5.3040250000000002</v>
      </c>
      <c r="AC157" s="268">
        <v>5.3662710000000002</v>
      </c>
      <c r="AD157" s="268">
        <v>5.4253349999999996</v>
      </c>
      <c r="AE157" s="268">
        <v>5.4803610000000003</v>
      </c>
      <c r="AF157" s="269">
        <v>1.3302E-2</v>
      </c>
      <c r="AG157" s="270"/>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5546875" defaultRowHeight="12.75"/>
  <cols>
    <col min="1" max="1" width="41.7109375" style="15" customWidth="1"/>
    <col min="2" max="40" width="8.7109375" style="15" customWidth="1"/>
    <col min="41" max="41" width="8.85546875" style="15"/>
    <col min="42" max="42" width="8.7109375" style="15" customWidth="1"/>
    <col min="43" max="16384" width="8.8554687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7109375" defaultRowHeight="12.75"/>
  <cols>
    <col min="1" max="1" width="34.5703125" style="54" customWidth="1"/>
    <col min="2" max="19" width="10.85546875" style="54" hidden="1" customWidth="1"/>
    <col min="20" max="20" width="10.85546875" style="77" hidden="1" customWidth="1"/>
    <col min="21" max="38" width="10.85546875" style="54" hidden="1" customWidth="1"/>
    <col min="39" max="42" width="10.85546875" style="54" customWidth="1"/>
    <col min="43" max="16384" width="8.710937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ht="13.5">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ht="13.5">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2815B-8111-4B3A-A54B-146970210931}">
  <dimension ref="A1:G106"/>
  <sheetViews>
    <sheetView workbookViewId="0"/>
  </sheetViews>
  <sheetFormatPr defaultRowHeight="15"/>
  <cols>
    <col min="2" max="2" width="37.85546875" bestFit="1" customWidth="1"/>
    <col min="3" max="3" width="17.5703125" bestFit="1" customWidth="1"/>
    <col min="4" max="4" width="13.5703125" bestFit="1" customWidth="1"/>
    <col min="5" max="6" width="13.28515625" bestFit="1" customWidth="1"/>
  </cols>
  <sheetData>
    <row r="1" spans="1:7">
      <c r="A1" t="s">
        <v>4831</v>
      </c>
    </row>
    <row r="2" spans="1:7">
      <c r="A2" t="s">
        <v>4832</v>
      </c>
      <c r="B2" t="s">
        <v>4833</v>
      </c>
      <c r="C2" t="s">
        <v>4834</v>
      </c>
      <c r="D2" t="s">
        <v>4835</v>
      </c>
      <c r="E2" t="s">
        <v>4836</v>
      </c>
      <c r="F2" t="s">
        <v>4837</v>
      </c>
      <c r="G2" t="s">
        <v>4838</v>
      </c>
    </row>
    <row r="3" spans="1:7">
      <c r="A3">
        <v>1990</v>
      </c>
      <c r="B3" t="s">
        <v>4839</v>
      </c>
      <c r="C3" s="9">
        <v>4057195988</v>
      </c>
      <c r="D3" s="9">
        <v>11568</v>
      </c>
      <c r="E3" s="9">
        <v>1562</v>
      </c>
      <c r="F3" s="9">
        <v>34820800463</v>
      </c>
      <c r="G3">
        <v>109.9</v>
      </c>
    </row>
    <row r="4" spans="1:7">
      <c r="B4" t="s">
        <v>4840</v>
      </c>
      <c r="C4" s="9">
        <v>599486893</v>
      </c>
      <c r="D4" s="9">
        <v>3155</v>
      </c>
      <c r="E4">
        <v>426</v>
      </c>
      <c r="F4" s="9">
        <v>9497397919</v>
      </c>
      <c r="G4">
        <v>30</v>
      </c>
    </row>
    <row r="5" spans="1:7">
      <c r="B5" t="s">
        <v>4841</v>
      </c>
      <c r="C5" s="9">
        <v>3984482217</v>
      </c>
      <c r="D5" s="9">
        <v>11287</v>
      </c>
      <c r="E5" s="9">
        <v>1524</v>
      </c>
      <c r="F5" s="9">
        <v>33972832399</v>
      </c>
      <c r="G5">
        <v>107.2</v>
      </c>
    </row>
    <row r="6" spans="1:7">
      <c r="B6" t="s">
        <v>4842</v>
      </c>
      <c r="C6" s="9">
        <v>617671849</v>
      </c>
      <c r="D6" s="9">
        <v>3228</v>
      </c>
      <c r="E6">
        <v>436</v>
      </c>
      <c r="F6" s="9">
        <v>9714974766</v>
      </c>
      <c r="G6">
        <v>30.7</v>
      </c>
    </row>
    <row r="7" spans="1:7">
      <c r="A7" t="s">
        <v>4843</v>
      </c>
      <c r="B7" t="s">
        <v>4839</v>
      </c>
      <c r="C7" t="s">
        <v>4844</v>
      </c>
      <c r="D7" s="9">
        <v>12136</v>
      </c>
      <c r="E7" s="9">
        <v>1638</v>
      </c>
      <c r="F7" s="9">
        <v>36528990675</v>
      </c>
      <c r="G7">
        <v>115.2</v>
      </c>
    </row>
    <row r="8" spans="1:7">
      <c r="A8" t="s">
        <v>4845</v>
      </c>
      <c r="B8" t="s">
        <v>4839</v>
      </c>
      <c r="C8" t="s">
        <v>4844</v>
      </c>
      <c r="D8" s="9">
        <v>12492</v>
      </c>
      <c r="E8" s="9">
        <v>1686</v>
      </c>
      <c r="F8" s="9">
        <v>37600624534</v>
      </c>
      <c r="G8">
        <v>118.6</v>
      </c>
    </row>
    <row r="9" spans="1:7">
      <c r="A9" t="s">
        <v>4846</v>
      </c>
      <c r="B9" t="s">
        <v>4839</v>
      </c>
      <c r="C9" t="s">
        <v>4844</v>
      </c>
      <c r="D9" s="9">
        <v>12937</v>
      </c>
      <c r="E9" s="9">
        <v>1747</v>
      </c>
      <c r="F9" s="9">
        <v>38940896854</v>
      </c>
      <c r="G9">
        <v>122.9</v>
      </c>
    </row>
    <row r="10" spans="1:7">
      <c r="A10" t="s">
        <v>4847</v>
      </c>
      <c r="B10" t="s">
        <v>4839</v>
      </c>
      <c r="C10" t="s">
        <v>4844</v>
      </c>
      <c r="D10" s="9">
        <v>12601</v>
      </c>
      <c r="E10" s="9">
        <v>1701</v>
      </c>
      <c r="F10" s="9">
        <v>37930582643</v>
      </c>
      <c r="G10">
        <v>119.7</v>
      </c>
    </row>
    <row r="11" spans="1:7">
      <c r="A11" t="s">
        <v>4848</v>
      </c>
      <c r="B11" t="s">
        <v>4839</v>
      </c>
      <c r="C11" t="s">
        <v>4844</v>
      </c>
      <c r="D11" s="9">
        <v>13726</v>
      </c>
      <c r="E11" s="9">
        <v>1853</v>
      </c>
      <c r="F11" s="9">
        <v>41314843250</v>
      </c>
      <c r="G11">
        <v>130.30000000000001</v>
      </c>
    </row>
    <row r="12" spans="1:7">
      <c r="A12">
        <v>2000</v>
      </c>
      <c r="B12" t="s">
        <v>4839</v>
      </c>
      <c r="C12" s="9">
        <v>5994679944</v>
      </c>
      <c r="D12" s="9">
        <v>14672</v>
      </c>
      <c r="E12" s="9">
        <v>1981</v>
      </c>
      <c r="F12" s="9">
        <v>44161841348</v>
      </c>
      <c r="G12">
        <v>139.30000000000001</v>
      </c>
    </row>
    <row r="13" spans="1:7">
      <c r="B13" t="s">
        <v>4840</v>
      </c>
      <c r="C13" s="9">
        <v>1309565963</v>
      </c>
      <c r="D13" s="9">
        <v>6040</v>
      </c>
      <c r="E13">
        <v>815</v>
      </c>
      <c r="F13" s="9">
        <v>18181535058</v>
      </c>
      <c r="G13">
        <v>57.4</v>
      </c>
    </row>
    <row r="14" spans="1:7">
      <c r="B14" t="s">
        <v>4841</v>
      </c>
      <c r="C14" s="9">
        <v>5891481028</v>
      </c>
      <c r="D14" s="9">
        <v>14349</v>
      </c>
      <c r="E14" s="9">
        <v>1937</v>
      </c>
      <c r="F14" s="9">
        <v>43191000202</v>
      </c>
      <c r="G14">
        <v>136.30000000000001</v>
      </c>
    </row>
    <row r="15" spans="1:7">
      <c r="B15" t="s">
        <v>4842</v>
      </c>
      <c r="C15" s="9">
        <v>1331784289</v>
      </c>
      <c r="D15" s="9">
        <v>6117</v>
      </c>
      <c r="E15">
        <v>826</v>
      </c>
      <c r="F15" s="9">
        <v>18412169613</v>
      </c>
      <c r="G15">
        <v>58.1</v>
      </c>
    </row>
    <row r="16" spans="1:7">
      <c r="A16" t="s">
        <v>4849</v>
      </c>
      <c r="B16" t="s">
        <v>4839</v>
      </c>
      <c r="C16" s="9">
        <v>5360977447</v>
      </c>
      <c r="D16" s="9">
        <v>13121</v>
      </c>
      <c r="E16" s="9">
        <v>1771</v>
      </c>
      <c r="F16" s="9">
        <v>39493457147</v>
      </c>
      <c r="G16">
        <v>124.6</v>
      </c>
    </row>
    <row r="17" spans="1:7">
      <c r="B17" t="s">
        <v>4840</v>
      </c>
      <c r="C17" s="9">
        <v>1171130679</v>
      </c>
      <c r="D17" s="9">
        <v>5402</v>
      </c>
      <c r="E17">
        <v>729</v>
      </c>
      <c r="F17" s="9">
        <v>16259550186</v>
      </c>
      <c r="G17">
        <v>51.3</v>
      </c>
    </row>
    <row r="18" spans="1:7">
      <c r="B18" t="s">
        <v>4841</v>
      </c>
      <c r="C18" s="9">
        <v>5268687772</v>
      </c>
      <c r="D18" s="9">
        <v>12832</v>
      </c>
      <c r="E18" s="9">
        <v>1732</v>
      </c>
      <c r="F18" s="9">
        <v>38625244409</v>
      </c>
      <c r="G18">
        <v>121.9</v>
      </c>
    </row>
    <row r="19" spans="1:7">
      <c r="B19" t="s">
        <v>4842</v>
      </c>
      <c r="C19" s="9">
        <v>1191000288</v>
      </c>
      <c r="D19" s="9">
        <v>5470</v>
      </c>
      <c r="E19">
        <v>739</v>
      </c>
      <c r="F19" s="9">
        <v>16465804174</v>
      </c>
      <c r="G19">
        <v>51.9</v>
      </c>
    </row>
    <row r="20" spans="1:7">
      <c r="A20" t="s">
        <v>4850</v>
      </c>
      <c r="B20" t="s">
        <v>4839</v>
      </c>
      <c r="C20" s="9">
        <v>5219345344</v>
      </c>
      <c r="D20" s="9">
        <v>12774</v>
      </c>
      <c r="E20" s="9">
        <v>1725</v>
      </c>
      <c r="F20" s="9">
        <v>38450076259</v>
      </c>
      <c r="G20">
        <v>121.3</v>
      </c>
    </row>
    <row r="21" spans="1:7">
      <c r="B21" t="s">
        <v>4840</v>
      </c>
      <c r="C21" s="9">
        <v>1140190481</v>
      </c>
      <c r="D21" s="9">
        <v>5259</v>
      </c>
      <c r="E21">
        <v>710</v>
      </c>
      <c r="F21" s="9">
        <v>15829987794</v>
      </c>
      <c r="G21">
        <v>49.9</v>
      </c>
    </row>
    <row r="22" spans="1:7">
      <c r="B22" t="s">
        <v>4841</v>
      </c>
      <c r="C22" s="9">
        <v>5129493877</v>
      </c>
      <c r="D22" s="9">
        <v>12493</v>
      </c>
      <c r="E22" s="9">
        <v>1687</v>
      </c>
      <c r="F22" s="9">
        <v>37604800905</v>
      </c>
      <c r="G22">
        <v>118.6</v>
      </c>
    </row>
    <row r="23" spans="1:7">
      <c r="B23" t="s">
        <v>4842</v>
      </c>
      <c r="C23" s="9">
        <v>1159535153</v>
      </c>
      <c r="D23" s="9">
        <v>5326</v>
      </c>
      <c r="E23">
        <v>719</v>
      </c>
      <c r="F23" s="9">
        <v>16030792741</v>
      </c>
      <c r="G23">
        <v>50.6</v>
      </c>
    </row>
    <row r="24" spans="1:7">
      <c r="A24" t="s">
        <v>4851</v>
      </c>
      <c r="B24" t="s">
        <v>4839</v>
      </c>
      <c r="C24" s="9">
        <v>5288138079</v>
      </c>
      <c r="D24" s="9">
        <v>12942</v>
      </c>
      <c r="E24" s="9">
        <v>1747</v>
      </c>
      <c r="F24" s="9">
        <v>38956861262</v>
      </c>
      <c r="G24">
        <v>122.9</v>
      </c>
    </row>
    <row r="25" spans="1:7">
      <c r="B25" t="s">
        <v>4840</v>
      </c>
      <c r="C25" s="9">
        <v>1155218577</v>
      </c>
      <c r="D25" s="9">
        <v>5328</v>
      </c>
      <c r="E25">
        <v>719</v>
      </c>
      <c r="F25" s="9">
        <v>16038632384</v>
      </c>
      <c r="G25">
        <v>50.6</v>
      </c>
    </row>
    <row r="26" spans="1:7">
      <c r="B26" t="s">
        <v>4841</v>
      </c>
      <c r="C26" s="9">
        <v>5197102340</v>
      </c>
      <c r="D26" s="9">
        <v>12658</v>
      </c>
      <c r="E26" s="9">
        <v>1709</v>
      </c>
      <c r="F26" s="9">
        <v>38100444893</v>
      </c>
      <c r="G26">
        <v>120.2</v>
      </c>
    </row>
    <row r="27" spans="1:7">
      <c r="B27" t="s">
        <v>4842</v>
      </c>
      <c r="C27" s="9">
        <v>1174818219</v>
      </c>
      <c r="D27" s="9">
        <v>5396</v>
      </c>
      <c r="E27">
        <v>728</v>
      </c>
      <c r="F27" s="9">
        <v>16242084008</v>
      </c>
      <c r="G27">
        <v>51.2</v>
      </c>
    </row>
    <row r="28" spans="1:7">
      <c r="A28" t="s">
        <v>4852</v>
      </c>
      <c r="B28" t="s">
        <v>4839</v>
      </c>
      <c r="C28" s="9">
        <v>5371498689</v>
      </c>
      <c r="D28" s="9">
        <v>13146</v>
      </c>
      <c r="E28" s="9">
        <v>1775</v>
      </c>
      <c r="F28" s="9">
        <v>39570965441</v>
      </c>
      <c r="G28">
        <v>124.8</v>
      </c>
    </row>
    <row r="29" spans="1:7">
      <c r="B29" t="s">
        <v>4840</v>
      </c>
      <c r="C29" s="9">
        <v>1173429093</v>
      </c>
      <c r="D29" s="9">
        <v>5412</v>
      </c>
      <c r="E29">
        <v>731</v>
      </c>
      <c r="F29" s="9">
        <v>16291460535</v>
      </c>
      <c r="G29">
        <v>51.4</v>
      </c>
    </row>
    <row r="30" spans="1:7">
      <c r="B30" t="s">
        <v>4841</v>
      </c>
      <c r="C30" s="9">
        <v>5279027890</v>
      </c>
      <c r="D30" s="9">
        <v>12857</v>
      </c>
      <c r="E30" s="9">
        <v>1736</v>
      </c>
      <c r="F30" s="9">
        <v>38701048784</v>
      </c>
      <c r="G30">
        <v>122.1</v>
      </c>
    </row>
    <row r="31" spans="1:7">
      <c r="B31" t="s">
        <v>4842</v>
      </c>
      <c r="C31" s="9">
        <v>1193337698</v>
      </c>
      <c r="D31" s="9">
        <v>5481</v>
      </c>
      <c r="E31">
        <v>740</v>
      </c>
      <c r="F31" s="9">
        <v>16498119309</v>
      </c>
      <c r="G31">
        <v>52.1</v>
      </c>
    </row>
    <row r="32" spans="1:7">
      <c r="A32">
        <v>2005</v>
      </c>
      <c r="B32" t="s">
        <v>4839</v>
      </c>
      <c r="C32" s="9">
        <v>6476007697</v>
      </c>
      <c r="D32" s="9">
        <v>13976</v>
      </c>
      <c r="E32" s="9">
        <v>1887</v>
      </c>
      <c r="F32" s="9">
        <v>42067562737</v>
      </c>
      <c r="G32">
        <v>132.69999999999999</v>
      </c>
    </row>
    <row r="33" spans="1:7">
      <c r="B33" t="s">
        <v>4840</v>
      </c>
      <c r="C33" s="9">
        <v>1373543928</v>
      </c>
      <c r="D33" s="9">
        <v>5858</v>
      </c>
      <c r="E33">
        <v>791</v>
      </c>
      <c r="F33" s="9">
        <v>17633508081</v>
      </c>
      <c r="G33">
        <v>55.6</v>
      </c>
    </row>
    <row r="34" spans="1:7">
      <c r="B34" t="s">
        <v>4841</v>
      </c>
      <c r="C34" s="9">
        <v>6370544998</v>
      </c>
      <c r="D34" s="9">
        <v>13654</v>
      </c>
      <c r="E34" s="9">
        <v>1843</v>
      </c>
      <c r="F34" s="9">
        <v>41098359387</v>
      </c>
      <c r="G34">
        <v>129.69999999999999</v>
      </c>
    </row>
    <row r="35" spans="1:7">
      <c r="B35" t="s">
        <v>4842</v>
      </c>
      <c r="C35" s="9">
        <v>1397051323</v>
      </c>
      <c r="D35" s="9">
        <v>5936</v>
      </c>
      <c r="E35">
        <v>801</v>
      </c>
      <c r="F35" s="9">
        <v>17868972965</v>
      </c>
      <c r="G35">
        <v>56.4</v>
      </c>
    </row>
    <row r="36" spans="1:7">
      <c r="A36" t="s">
        <v>4853</v>
      </c>
      <c r="B36" t="s">
        <v>4839</v>
      </c>
      <c r="C36" s="9">
        <v>5894323482</v>
      </c>
      <c r="D36" s="9">
        <v>14426</v>
      </c>
      <c r="E36" s="9">
        <v>1948</v>
      </c>
      <c r="F36" s="9">
        <v>43422531461</v>
      </c>
      <c r="G36">
        <v>137</v>
      </c>
    </row>
    <row r="37" spans="1:7">
      <c r="B37" t="s">
        <v>4840</v>
      </c>
      <c r="C37" s="9">
        <v>1287642623</v>
      </c>
      <c r="D37" s="9">
        <v>5939</v>
      </c>
      <c r="E37">
        <v>802</v>
      </c>
      <c r="F37" s="9">
        <v>17877159421</v>
      </c>
      <c r="G37">
        <v>56.4</v>
      </c>
    </row>
    <row r="38" spans="1:7">
      <c r="B38" t="s">
        <v>4841</v>
      </c>
      <c r="C38" s="9">
        <v>5792852211</v>
      </c>
      <c r="D38" s="9">
        <v>14109</v>
      </c>
      <c r="E38" s="9">
        <v>1905</v>
      </c>
      <c r="F38" s="9">
        <v>42467943091</v>
      </c>
      <c r="G38">
        <v>134</v>
      </c>
    </row>
    <row r="39" spans="1:7">
      <c r="B39" t="s">
        <v>4842</v>
      </c>
      <c r="C39" s="9">
        <v>1309488994</v>
      </c>
      <c r="D39" s="9">
        <v>6015</v>
      </c>
      <c r="E39">
        <v>812</v>
      </c>
      <c r="F39" s="9">
        <v>18103932940</v>
      </c>
      <c r="G39">
        <v>57.1</v>
      </c>
    </row>
    <row r="40" spans="1:7">
      <c r="A40" t="s">
        <v>4854</v>
      </c>
      <c r="B40" t="s">
        <v>4839</v>
      </c>
      <c r="C40" s="9">
        <v>6009247818</v>
      </c>
      <c r="D40" s="9">
        <v>14707</v>
      </c>
      <c r="E40" s="9">
        <v>1986</v>
      </c>
      <c r="F40" s="9">
        <v>44269160525</v>
      </c>
      <c r="G40">
        <v>139.69999999999999</v>
      </c>
    </row>
    <row r="41" spans="1:7">
      <c r="B41" t="s">
        <v>4840</v>
      </c>
      <c r="C41" s="9">
        <v>1312748383</v>
      </c>
      <c r="D41" s="9">
        <v>6055</v>
      </c>
      <c r="E41">
        <v>817</v>
      </c>
      <c r="F41" s="9">
        <v>18225718619</v>
      </c>
      <c r="G41">
        <v>57.5</v>
      </c>
    </row>
    <row r="42" spans="1:7">
      <c r="B42" t="s">
        <v>4841</v>
      </c>
      <c r="C42" s="9">
        <v>5905798114</v>
      </c>
      <c r="D42" s="9">
        <v>14384</v>
      </c>
      <c r="E42" s="9">
        <v>1942</v>
      </c>
      <c r="F42" s="9">
        <v>43295960105</v>
      </c>
      <c r="G42">
        <v>136.6</v>
      </c>
    </row>
    <row r="43" spans="1:7">
      <c r="B43" t="s">
        <v>4842</v>
      </c>
      <c r="C43" s="9">
        <v>1335020703</v>
      </c>
      <c r="D43" s="9">
        <v>6132</v>
      </c>
      <c r="E43">
        <v>828</v>
      </c>
      <c r="F43" s="9">
        <v>18456913646</v>
      </c>
      <c r="G43">
        <v>58.2</v>
      </c>
    </row>
    <row r="44" spans="1:7">
      <c r="A44" t="s">
        <v>4855</v>
      </c>
      <c r="B44" t="s">
        <v>4839</v>
      </c>
      <c r="C44" s="9">
        <v>5475092456</v>
      </c>
      <c r="D44" s="9">
        <v>13400</v>
      </c>
      <c r="E44" s="9">
        <v>1809</v>
      </c>
      <c r="F44" s="9">
        <v>40334124033</v>
      </c>
      <c r="G44">
        <v>127.3</v>
      </c>
    </row>
    <row r="45" spans="1:7">
      <c r="B45" t="s">
        <v>4840</v>
      </c>
      <c r="C45" s="9">
        <v>1196059638</v>
      </c>
      <c r="D45" s="9">
        <v>5517</v>
      </c>
      <c r="E45">
        <v>745</v>
      </c>
      <c r="F45" s="9">
        <v>16605654741</v>
      </c>
      <c r="G45">
        <v>52.4</v>
      </c>
    </row>
    <row r="46" spans="1:7">
      <c r="B46" t="s">
        <v>4841</v>
      </c>
      <c r="C46" s="9">
        <v>5380838282</v>
      </c>
      <c r="D46" s="9">
        <v>13105</v>
      </c>
      <c r="E46" s="9">
        <v>1769</v>
      </c>
      <c r="F46" s="9">
        <v>39447430318</v>
      </c>
      <c r="G46">
        <v>124.5</v>
      </c>
    </row>
    <row r="47" spans="1:7">
      <c r="B47" t="s">
        <v>4842</v>
      </c>
      <c r="C47" s="9">
        <v>1216352196</v>
      </c>
      <c r="D47" s="9">
        <v>5587</v>
      </c>
      <c r="E47">
        <v>754</v>
      </c>
      <c r="F47" s="9">
        <v>16816299099</v>
      </c>
      <c r="G47">
        <v>53.1</v>
      </c>
    </row>
    <row r="48" spans="1:7">
      <c r="A48" t="s">
        <v>4856</v>
      </c>
      <c r="B48" t="s">
        <v>4839</v>
      </c>
      <c r="C48" s="9">
        <v>5143268671</v>
      </c>
      <c r="D48" s="9">
        <v>12588</v>
      </c>
      <c r="E48" s="9">
        <v>1699</v>
      </c>
      <c r="F48" s="9">
        <v>37889631668</v>
      </c>
      <c r="G48">
        <v>119.5</v>
      </c>
    </row>
    <row r="49" spans="1:7">
      <c r="B49" t="s">
        <v>4840</v>
      </c>
      <c r="C49" s="9">
        <v>1123571175</v>
      </c>
      <c r="D49" s="9">
        <v>5182</v>
      </c>
      <c r="E49">
        <v>700</v>
      </c>
      <c r="F49" s="9">
        <v>15599251424</v>
      </c>
      <c r="G49">
        <v>49.2</v>
      </c>
    </row>
    <row r="50" spans="1:7">
      <c r="B50" t="s">
        <v>4841</v>
      </c>
      <c r="C50" s="9">
        <v>5054726871</v>
      </c>
      <c r="D50" s="9">
        <v>12311</v>
      </c>
      <c r="E50" s="9">
        <v>1662</v>
      </c>
      <c r="F50" s="9">
        <v>37056676966</v>
      </c>
      <c r="G50">
        <v>116.9</v>
      </c>
    </row>
    <row r="51" spans="1:7">
      <c r="B51" t="s">
        <v>4842</v>
      </c>
      <c r="C51" s="9">
        <v>1142633881</v>
      </c>
      <c r="D51" s="9">
        <v>5248</v>
      </c>
      <c r="E51">
        <v>709</v>
      </c>
      <c r="F51" s="9">
        <v>15797129457</v>
      </c>
      <c r="G51">
        <v>49.8</v>
      </c>
    </row>
    <row r="52" spans="1:7">
      <c r="A52">
        <v>2010</v>
      </c>
      <c r="B52" t="s">
        <v>4839</v>
      </c>
      <c r="C52" s="9">
        <v>5652264576</v>
      </c>
      <c r="D52" s="9">
        <v>11931</v>
      </c>
      <c r="E52" s="9">
        <v>1611</v>
      </c>
      <c r="F52" s="9">
        <v>35912723830</v>
      </c>
      <c r="G52">
        <v>113.3</v>
      </c>
    </row>
    <row r="53" spans="1:7">
      <c r="B53" t="s">
        <v>4840</v>
      </c>
      <c r="C53" s="9">
        <v>1474839733</v>
      </c>
      <c r="D53" s="9">
        <v>6044</v>
      </c>
      <c r="E53">
        <v>816</v>
      </c>
      <c r="F53" s="9">
        <v>18192953916</v>
      </c>
      <c r="G53">
        <v>57.4</v>
      </c>
    </row>
    <row r="54" spans="1:7">
      <c r="B54" t="s">
        <v>4841</v>
      </c>
      <c r="C54" s="9">
        <v>5554043585</v>
      </c>
      <c r="D54" s="9">
        <v>11667</v>
      </c>
      <c r="E54" s="9">
        <v>1575</v>
      </c>
      <c r="F54" s="9">
        <v>35116863245</v>
      </c>
      <c r="G54">
        <v>110.8</v>
      </c>
    </row>
    <row r="55" spans="1:7">
      <c r="B55" t="s">
        <v>4842</v>
      </c>
      <c r="C55" s="9">
        <v>1497606695</v>
      </c>
      <c r="D55" s="9">
        <v>6113</v>
      </c>
      <c r="E55">
        <v>825</v>
      </c>
      <c r="F55" s="9">
        <v>18398996825</v>
      </c>
      <c r="G55">
        <v>58</v>
      </c>
    </row>
    <row r="56" spans="1:7">
      <c r="A56">
        <v>2011</v>
      </c>
      <c r="B56" t="s">
        <v>4839</v>
      </c>
      <c r="C56" s="9">
        <v>5767378664</v>
      </c>
      <c r="D56" s="9">
        <v>12067</v>
      </c>
      <c r="E56" s="9">
        <v>1629</v>
      </c>
      <c r="F56" s="9">
        <v>36321170730</v>
      </c>
      <c r="G56">
        <v>114.6</v>
      </c>
    </row>
    <row r="57" spans="1:7">
      <c r="B57" t="s">
        <v>4840</v>
      </c>
      <c r="C57" s="9">
        <v>1576982962</v>
      </c>
      <c r="D57" s="9">
        <v>6496</v>
      </c>
      <c r="E57">
        <v>877</v>
      </c>
      <c r="F57" s="9">
        <v>19551631939</v>
      </c>
      <c r="G57">
        <v>61.7</v>
      </c>
    </row>
    <row r="58" spans="1:7">
      <c r="B58" t="s">
        <v>4841</v>
      </c>
      <c r="C58" s="9">
        <v>5673689481</v>
      </c>
      <c r="D58" s="9">
        <v>11823</v>
      </c>
      <c r="E58" s="9">
        <v>1596</v>
      </c>
      <c r="F58" s="9">
        <v>35588754827</v>
      </c>
      <c r="G58">
        <v>112.3</v>
      </c>
    </row>
    <row r="59" spans="1:7">
      <c r="B59" t="s">
        <v>4842</v>
      </c>
      <c r="C59" s="9">
        <v>1596797398</v>
      </c>
      <c r="D59" s="9">
        <v>6554</v>
      </c>
      <c r="E59">
        <v>885</v>
      </c>
      <c r="F59" s="9">
        <v>19727043614</v>
      </c>
      <c r="G59">
        <v>62.2</v>
      </c>
    </row>
    <row r="60" spans="1:7">
      <c r="A60">
        <v>2012</v>
      </c>
      <c r="B60" t="s">
        <v>4839</v>
      </c>
      <c r="C60" s="9">
        <v>5735605432</v>
      </c>
      <c r="D60" s="9">
        <v>11932</v>
      </c>
      <c r="E60" s="9">
        <v>1611</v>
      </c>
      <c r="F60" s="9">
        <v>35915745616</v>
      </c>
      <c r="G60">
        <v>113.3</v>
      </c>
    </row>
    <row r="61" spans="1:7">
      <c r="B61" t="s">
        <v>4840</v>
      </c>
      <c r="C61" s="9">
        <v>1619012587</v>
      </c>
      <c r="D61" s="9">
        <v>6464</v>
      </c>
      <c r="E61">
        <v>873</v>
      </c>
      <c r="F61" s="9">
        <v>19457378739</v>
      </c>
      <c r="G61">
        <v>61.4</v>
      </c>
    </row>
    <row r="62" spans="1:7">
      <c r="B62" t="s">
        <v>4841</v>
      </c>
      <c r="C62" s="9">
        <v>5636910529</v>
      </c>
      <c r="D62" s="9">
        <v>11672</v>
      </c>
      <c r="E62" s="9">
        <v>1576</v>
      </c>
      <c r="F62" s="9">
        <v>35132961140</v>
      </c>
      <c r="G62">
        <v>110.8</v>
      </c>
    </row>
    <row r="63" spans="1:7">
      <c r="B63" t="s">
        <v>4842</v>
      </c>
      <c r="C63" s="9">
        <v>1637917110</v>
      </c>
      <c r="D63" s="9">
        <v>6507</v>
      </c>
      <c r="E63">
        <v>879</v>
      </c>
      <c r="F63" s="9">
        <v>19587140347</v>
      </c>
      <c r="G63">
        <v>61.8</v>
      </c>
    </row>
    <row r="64" spans="1:7">
      <c r="A64">
        <v>2013</v>
      </c>
      <c r="B64" t="s">
        <v>4839</v>
      </c>
      <c r="C64" s="9">
        <v>5808034123</v>
      </c>
      <c r="D64" s="9">
        <v>12031</v>
      </c>
      <c r="E64" s="9">
        <v>1624</v>
      </c>
      <c r="F64" s="9">
        <v>36212974471</v>
      </c>
      <c r="G64">
        <v>114.3</v>
      </c>
    </row>
    <row r="65" spans="1:7">
      <c r="B65" t="s">
        <v>4840</v>
      </c>
      <c r="C65" s="9">
        <v>1641151400</v>
      </c>
      <c r="D65" s="9">
        <v>6611</v>
      </c>
      <c r="E65">
        <v>892</v>
      </c>
      <c r="F65" s="9">
        <v>19898871458</v>
      </c>
      <c r="G65">
        <v>62.8</v>
      </c>
    </row>
    <row r="66" spans="1:7">
      <c r="B66" t="s">
        <v>4841</v>
      </c>
      <c r="C66" s="9">
        <v>5708807315</v>
      </c>
      <c r="D66" s="9">
        <v>11780</v>
      </c>
      <c r="E66" s="9">
        <v>1590</v>
      </c>
      <c r="F66" s="9">
        <v>35458690595</v>
      </c>
      <c r="G66">
        <v>111.9</v>
      </c>
    </row>
    <row r="67" spans="1:7">
      <c r="B67" t="s">
        <v>4842</v>
      </c>
      <c r="C67" s="9">
        <v>1661167498</v>
      </c>
      <c r="D67" s="9">
        <v>6657</v>
      </c>
      <c r="E67">
        <v>899</v>
      </c>
      <c r="F67" s="9">
        <v>20036865038</v>
      </c>
      <c r="G67">
        <v>63.2</v>
      </c>
    </row>
    <row r="68" spans="1:7">
      <c r="A68">
        <v>2014</v>
      </c>
      <c r="B68" t="s">
        <v>4839</v>
      </c>
      <c r="C68" s="9">
        <v>5825999388</v>
      </c>
      <c r="D68" s="9">
        <v>12131</v>
      </c>
      <c r="E68" s="9">
        <v>1638</v>
      </c>
      <c r="F68" s="9">
        <v>36514970659</v>
      </c>
      <c r="G68">
        <v>115.2</v>
      </c>
    </row>
    <row r="69" spans="1:7">
      <c r="B69" t="s">
        <v>4840</v>
      </c>
      <c r="C69" s="9">
        <v>1724559209</v>
      </c>
      <c r="D69" s="9">
        <v>6980</v>
      </c>
      <c r="E69">
        <v>942</v>
      </c>
      <c r="F69" s="9">
        <v>21008818741</v>
      </c>
      <c r="G69">
        <v>66.3</v>
      </c>
    </row>
    <row r="70" spans="1:7">
      <c r="B70" t="s">
        <v>4841</v>
      </c>
      <c r="C70" s="9">
        <v>5725819482</v>
      </c>
      <c r="D70" s="9">
        <v>11882</v>
      </c>
      <c r="E70" s="9">
        <v>1604</v>
      </c>
      <c r="F70" s="9">
        <v>35764791774</v>
      </c>
      <c r="G70">
        <v>112.8</v>
      </c>
    </row>
    <row r="71" spans="1:7">
      <c r="B71" t="s">
        <v>4842</v>
      </c>
      <c r="C71" s="9">
        <v>1745315059</v>
      </c>
      <c r="D71" s="9">
        <v>7027</v>
      </c>
      <c r="E71">
        <v>949</v>
      </c>
      <c r="F71" s="9">
        <v>21152418387</v>
      </c>
      <c r="G71">
        <v>66.7</v>
      </c>
    </row>
    <row r="72" spans="1:7">
      <c r="A72">
        <v>2015</v>
      </c>
      <c r="B72" t="s">
        <v>4839</v>
      </c>
      <c r="C72" s="9">
        <v>5900440363</v>
      </c>
      <c r="D72" s="9">
        <v>12534</v>
      </c>
      <c r="E72" s="9">
        <v>1692</v>
      </c>
      <c r="F72" s="9">
        <v>37727860796</v>
      </c>
      <c r="G72">
        <v>119</v>
      </c>
    </row>
    <row r="73" spans="1:7">
      <c r="B73" t="s">
        <v>4840</v>
      </c>
      <c r="C73" s="9">
        <v>1757724661</v>
      </c>
      <c r="D73" s="9">
        <v>7227</v>
      </c>
      <c r="E73">
        <v>976</v>
      </c>
      <c r="F73" s="9">
        <v>21752301359</v>
      </c>
      <c r="G73">
        <v>68.599999999999994</v>
      </c>
    </row>
    <row r="74" spans="1:7">
      <c r="B74" t="s">
        <v>4841</v>
      </c>
      <c r="C74" s="9">
        <v>5801594806</v>
      </c>
      <c r="D74" s="9">
        <v>12291</v>
      </c>
      <c r="E74" s="9">
        <v>1659</v>
      </c>
      <c r="F74" s="9">
        <v>36997658406</v>
      </c>
      <c r="G74">
        <v>116.7</v>
      </c>
    </row>
    <row r="75" spans="1:7">
      <c r="B75" t="s">
        <v>4842</v>
      </c>
      <c r="C75" s="9">
        <v>1793787700</v>
      </c>
      <c r="D75" s="9">
        <v>7310</v>
      </c>
      <c r="E75">
        <v>987</v>
      </c>
      <c r="F75" s="9">
        <v>22002733062</v>
      </c>
      <c r="G75">
        <v>69.400000000000006</v>
      </c>
    </row>
    <row r="76" spans="1:7">
      <c r="A76">
        <v>2016</v>
      </c>
      <c r="B76" t="s">
        <v>4839</v>
      </c>
      <c r="C76" s="9">
        <v>5929429373</v>
      </c>
      <c r="D76" s="9">
        <v>12674</v>
      </c>
      <c r="E76" s="9">
        <v>1711</v>
      </c>
      <c r="F76" s="9">
        <v>38148578811</v>
      </c>
      <c r="G76">
        <v>120.4</v>
      </c>
    </row>
    <row r="77" spans="1:7">
      <c r="B77" t="s">
        <v>4840</v>
      </c>
      <c r="C77" s="9">
        <v>1817739570</v>
      </c>
      <c r="D77" s="9">
        <v>7453</v>
      </c>
      <c r="E77" s="9">
        <v>1006</v>
      </c>
      <c r="F77" s="9">
        <v>22434619940</v>
      </c>
      <c r="G77">
        <v>70.8</v>
      </c>
    </row>
    <row r="78" spans="1:7">
      <c r="B78" t="s">
        <v>4841</v>
      </c>
      <c r="C78" s="9">
        <v>5827141640</v>
      </c>
      <c r="D78" s="9">
        <v>12422</v>
      </c>
      <c r="E78" s="9">
        <v>1677</v>
      </c>
      <c r="F78" s="9">
        <v>37391339601</v>
      </c>
      <c r="G78">
        <v>118</v>
      </c>
    </row>
    <row r="79" spans="1:7">
      <c r="B79" t="s">
        <v>4842</v>
      </c>
      <c r="C79" s="9">
        <v>1839651091</v>
      </c>
      <c r="D79" s="9">
        <v>7504</v>
      </c>
      <c r="E79" s="9">
        <v>1013</v>
      </c>
      <c r="F79" s="9">
        <v>22588366704</v>
      </c>
      <c r="G79">
        <v>71.3</v>
      </c>
    </row>
    <row r="80" spans="1:7">
      <c r="A80">
        <v>2017</v>
      </c>
      <c r="B80" t="s">
        <v>4839</v>
      </c>
      <c r="C80" s="9">
        <v>6264650997</v>
      </c>
      <c r="D80" s="9">
        <v>13475</v>
      </c>
      <c r="E80" s="9">
        <v>1819</v>
      </c>
      <c r="F80" s="9">
        <v>40560206261</v>
      </c>
      <c r="G80">
        <v>128</v>
      </c>
    </row>
    <row r="81" spans="1:7">
      <c r="B81" t="s">
        <v>4840</v>
      </c>
      <c r="C81" s="9">
        <v>1944104275</v>
      </c>
      <c r="D81" s="9">
        <v>7841</v>
      </c>
      <c r="E81" s="9">
        <v>1059</v>
      </c>
      <c r="F81" s="9">
        <v>23602935694</v>
      </c>
      <c r="G81">
        <v>74.5</v>
      </c>
    </row>
    <row r="82" spans="1:7">
      <c r="B82" t="s">
        <v>4841</v>
      </c>
      <c r="C82" s="9">
        <v>6214083068</v>
      </c>
      <c r="D82" s="9">
        <v>13358</v>
      </c>
      <c r="E82" s="9">
        <v>1803</v>
      </c>
      <c r="F82" s="9">
        <v>40207759885</v>
      </c>
      <c r="G82">
        <v>126.9</v>
      </c>
    </row>
    <row r="83" spans="1:7">
      <c r="B83" t="s">
        <v>4842</v>
      </c>
      <c r="C83" s="9">
        <v>1912096739</v>
      </c>
      <c r="D83" s="9">
        <v>7755</v>
      </c>
      <c r="E83" s="9">
        <v>1047</v>
      </c>
      <c r="F83" s="9">
        <v>23343627689</v>
      </c>
      <c r="G83">
        <v>73.599999999999994</v>
      </c>
    </row>
    <row r="84" spans="1:7">
      <c r="A84">
        <v>2018</v>
      </c>
      <c r="B84" t="s">
        <v>4839</v>
      </c>
      <c r="C84" s="9">
        <v>6408870104</v>
      </c>
      <c r="D84" s="9">
        <v>13650</v>
      </c>
      <c r="E84" s="9">
        <v>1843</v>
      </c>
      <c r="F84" s="9">
        <v>41085494597</v>
      </c>
      <c r="G84">
        <v>129.6</v>
      </c>
    </row>
    <row r="85" spans="1:7">
      <c r="B85" t="s">
        <v>4840</v>
      </c>
      <c r="C85" s="9">
        <v>2037055865</v>
      </c>
      <c r="D85" s="9">
        <v>8402</v>
      </c>
      <c r="E85" s="9">
        <v>1134</v>
      </c>
      <c r="F85" s="9">
        <v>25291329878</v>
      </c>
      <c r="G85">
        <v>79.8</v>
      </c>
    </row>
    <row r="86" spans="1:7">
      <c r="B86" t="s">
        <v>4841</v>
      </c>
      <c r="C86" s="9">
        <v>6318774158</v>
      </c>
      <c r="D86" s="9">
        <v>13425</v>
      </c>
      <c r="E86" s="9">
        <v>1812</v>
      </c>
      <c r="F86" s="9">
        <v>40410478534</v>
      </c>
      <c r="G86">
        <v>127.5</v>
      </c>
    </row>
    <row r="87" spans="1:7">
      <c r="B87" t="s">
        <v>4842</v>
      </c>
      <c r="C87" s="9">
        <v>2066756708</v>
      </c>
      <c r="D87" s="9">
        <v>8254</v>
      </c>
      <c r="E87" s="9">
        <v>1114</v>
      </c>
      <c r="F87" s="9">
        <v>24843232462</v>
      </c>
      <c r="G87">
        <v>78.400000000000006</v>
      </c>
    </row>
    <row r="88" spans="1:7">
      <c r="B88" t="s">
        <v>4839</v>
      </c>
      <c r="C88" s="9">
        <v>6721417987</v>
      </c>
      <c r="D88" s="9">
        <v>14397</v>
      </c>
      <c r="E88" s="9">
        <v>1944</v>
      </c>
      <c r="F88" s="9">
        <v>43334968184</v>
      </c>
      <c r="G88">
        <v>136.69999999999999</v>
      </c>
    </row>
    <row r="89" spans="1:7">
      <c r="A89">
        <v>2019</v>
      </c>
      <c r="B89" t="s">
        <v>4840</v>
      </c>
      <c r="C89" s="9">
        <v>1980425952</v>
      </c>
      <c r="D89" s="9">
        <v>7908</v>
      </c>
      <c r="E89" s="9">
        <v>1068</v>
      </c>
      <c r="F89" s="9">
        <v>23803403228</v>
      </c>
      <c r="G89">
        <v>75.099999999999994</v>
      </c>
    </row>
    <row r="90" spans="1:7">
      <c r="B90" t="s">
        <v>4841</v>
      </c>
      <c r="C90" s="9">
        <v>6617074577</v>
      </c>
      <c r="D90" s="9">
        <v>14131</v>
      </c>
      <c r="E90" s="9">
        <v>1908</v>
      </c>
      <c r="F90" s="9">
        <v>42535165758</v>
      </c>
      <c r="G90">
        <v>134.19999999999999</v>
      </c>
    </row>
    <row r="91" spans="1:7">
      <c r="B91" t="s">
        <v>4842</v>
      </c>
      <c r="C91" s="9">
        <v>2008158986</v>
      </c>
      <c r="D91" s="9">
        <v>7973</v>
      </c>
      <c r="E91" s="9">
        <v>1076</v>
      </c>
      <c r="F91" s="9">
        <v>23997773004</v>
      </c>
      <c r="G91">
        <v>75.7</v>
      </c>
    </row>
    <row r="92" spans="1:7">
      <c r="A92">
        <v>2020</v>
      </c>
      <c r="B92" t="s">
        <v>4839</v>
      </c>
      <c r="C92" s="9">
        <v>4391123811</v>
      </c>
      <c r="D92" s="9">
        <v>9613</v>
      </c>
      <c r="E92" s="9">
        <v>1298</v>
      </c>
      <c r="F92" s="9">
        <v>28934254672</v>
      </c>
      <c r="G92">
        <v>91.3</v>
      </c>
    </row>
    <row r="93" spans="1:7">
      <c r="B93" t="s">
        <v>4840</v>
      </c>
      <c r="C93" s="9">
        <v>910801671</v>
      </c>
      <c r="D93" s="9">
        <v>3863</v>
      </c>
      <c r="E93">
        <v>521</v>
      </c>
      <c r="F93" s="9">
        <v>11626780467</v>
      </c>
      <c r="G93">
        <v>36.700000000000003</v>
      </c>
    </row>
    <row r="94" spans="1:7">
      <c r="B94" t="s">
        <v>4841</v>
      </c>
      <c r="C94" s="9">
        <v>4297034877</v>
      </c>
      <c r="D94" s="9">
        <v>9358</v>
      </c>
      <c r="E94" s="9">
        <v>1263</v>
      </c>
      <c r="F94" s="9">
        <v>28167145166</v>
      </c>
      <c r="G94">
        <v>88.9</v>
      </c>
    </row>
    <row r="95" spans="1:7">
      <c r="B95" t="s">
        <v>4842</v>
      </c>
      <c r="C95" s="9">
        <v>944600496</v>
      </c>
      <c r="D95" s="9">
        <v>3954</v>
      </c>
      <c r="E95">
        <v>534</v>
      </c>
      <c r="F95" s="9">
        <v>11900792661</v>
      </c>
      <c r="G95">
        <v>37.5</v>
      </c>
    </row>
    <row r="96" spans="1:7">
      <c r="A96">
        <v>2021</v>
      </c>
      <c r="B96" t="s">
        <v>4839</v>
      </c>
      <c r="C96" s="9">
        <v>5930926254</v>
      </c>
      <c r="D96" s="9">
        <v>12527</v>
      </c>
      <c r="E96" s="9">
        <v>1691</v>
      </c>
      <c r="F96" s="9">
        <v>37706548317</v>
      </c>
      <c r="G96">
        <v>119</v>
      </c>
    </row>
    <row r="97" spans="1:7">
      <c r="B97" t="s">
        <v>4840</v>
      </c>
      <c r="C97" s="9">
        <v>1287078625</v>
      </c>
      <c r="D97" s="9">
        <v>5013</v>
      </c>
      <c r="E97">
        <v>677</v>
      </c>
      <c r="F97" s="9">
        <v>15089773728</v>
      </c>
      <c r="G97">
        <v>47.6</v>
      </c>
    </row>
    <row r="98" spans="1:7">
      <c r="B98" t="s">
        <v>4841</v>
      </c>
      <c r="C98" s="9">
        <v>5800480719</v>
      </c>
      <c r="D98" s="9">
        <v>12207</v>
      </c>
      <c r="E98" s="9">
        <v>1648</v>
      </c>
      <c r="F98" s="9">
        <v>36742811013</v>
      </c>
      <c r="G98">
        <v>115.9</v>
      </c>
    </row>
    <row r="99" spans="1:7">
      <c r="B99" t="s">
        <v>4842</v>
      </c>
      <c r="C99" s="9">
        <v>1346199492</v>
      </c>
      <c r="D99" s="9">
        <v>5156</v>
      </c>
      <c r="E99">
        <v>696</v>
      </c>
      <c r="F99" s="9">
        <v>15520560694</v>
      </c>
      <c r="G99">
        <v>49</v>
      </c>
    </row>
    <row r="100" spans="1:7" s="293" customFormat="1">
      <c r="A100" s="293">
        <v>2022</v>
      </c>
      <c r="B100" s="293" t="s">
        <v>4839</v>
      </c>
      <c r="C100" s="294">
        <v>6469480586</v>
      </c>
      <c r="D100" s="294">
        <v>13654</v>
      </c>
      <c r="E100" s="294">
        <v>1843</v>
      </c>
      <c r="F100" s="294">
        <v>41099281239</v>
      </c>
      <c r="G100" s="293">
        <v>129.69999999999999</v>
      </c>
    </row>
    <row r="101" spans="1:7" s="293" customFormat="1">
      <c r="B101" s="293" t="s">
        <v>4840</v>
      </c>
      <c r="C101" s="294">
        <v>1757904798</v>
      </c>
      <c r="D101" s="294">
        <v>6682</v>
      </c>
      <c r="E101" s="293">
        <v>902</v>
      </c>
      <c r="F101" s="294">
        <v>20112901563</v>
      </c>
      <c r="G101" s="293">
        <v>63.5</v>
      </c>
    </row>
    <row r="102" spans="1:7">
      <c r="B102" t="s">
        <v>4841</v>
      </c>
      <c r="C102" s="9">
        <v>6344925589</v>
      </c>
      <c r="D102" s="9">
        <v>13354</v>
      </c>
      <c r="E102" s="9">
        <v>1803</v>
      </c>
      <c r="F102" s="9">
        <v>40195855499</v>
      </c>
      <c r="G102">
        <v>126.8</v>
      </c>
    </row>
    <row r="103" spans="1:7">
      <c r="B103" t="s">
        <v>4857</v>
      </c>
      <c r="C103" s="9">
        <v>1814091613</v>
      </c>
      <c r="D103" s="9">
        <v>6816</v>
      </c>
      <c r="E103">
        <v>920</v>
      </c>
      <c r="F103" s="9">
        <v>20515625892</v>
      </c>
      <c r="G103">
        <v>64.7</v>
      </c>
    </row>
    <row r="104" spans="1:7">
      <c r="A104" t="s">
        <v>4858</v>
      </c>
    </row>
    <row r="105" spans="1:7">
      <c r="E105" s="9"/>
      <c r="F105" s="9"/>
    </row>
    <row r="106" spans="1:7">
      <c r="E106" s="125"/>
      <c r="F106" s="125"/>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5"/>
  <cols>
    <col min="1" max="1" width="30.7109375" customWidth="1"/>
    <col min="2" max="2" width="38.4257812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4" customFormat="1">
      <c r="A10" s="254" t="s">
        <v>3776</v>
      </c>
      <c r="B10" s="254" t="s">
        <v>3872</v>
      </c>
      <c r="C10" s="254" t="s">
        <v>3871</v>
      </c>
      <c r="D10" s="254" t="s">
        <v>3866</v>
      </c>
      <c r="F10" s="254">
        <v>90.234665000000007</v>
      </c>
      <c r="G10" s="254">
        <v>88.746048000000002</v>
      </c>
      <c r="H10" s="254">
        <v>87.524918</v>
      </c>
      <c r="I10" s="254">
        <v>86.879401999999999</v>
      </c>
      <c r="J10" s="254">
        <v>86.146125999999995</v>
      </c>
      <c r="K10" s="254">
        <v>85.551413999999994</v>
      </c>
      <c r="L10" s="254">
        <v>85.088477999999995</v>
      </c>
      <c r="M10" s="254">
        <v>84.555840000000003</v>
      </c>
      <c r="N10" s="254">
        <v>84.013214000000005</v>
      </c>
      <c r="O10" s="254">
        <v>83.542664000000002</v>
      </c>
      <c r="P10" s="254">
        <v>83.043007000000003</v>
      </c>
      <c r="Q10" s="254">
        <v>82.538109000000006</v>
      </c>
      <c r="R10" s="254">
        <v>82.013915999999995</v>
      </c>
      <c r="S10" s="254">
        <v>81.499672000000004</v>
      </c>
      <c r="T10" s="254">
        <v>80.976737999999997</v>
      </c>
      <c r="U10" s="254">
        <v>80.459800999999999</v>
      </c>
      <c r="V10" s="254">
        <v>79.954575000000006</v>
      </c>
      <c r="W10" s="254">
        <v>79.410117999999997</v>
      </c>
      <c r="X10" s="254">
        <v>78.884186</v>
      </c>
      <c r="Y10" s="254">
        <v>78.326515000000001</v>
      </c>
      <c r="Z10" s="254">
        <v>77.806870000000004</v>
      </c>
      <c r="AA10" s="254">
        <v>77.239433000000005</v>
      </c>
      <c r="AB10" s="254">
        <v>76.680190999999994</v>
      </c>
      <c r="AC10" s="254">
        <v>76.081207000000006</v>
      </c>
      <c r="AD10" s="254">
        <v>75.451774999999998</v>
      </c>
      <c r="AE10" s="254">
        <v>74.792136999999997</v>
      </c>
      <c r="AF10" s="254">
        <v>74.117767000000001</v>
      </c>
      <c r="AG10" s="255">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5"/>
  <cols>
    <col min="1" max="1" width="27.28515625" customWidth="1"/>
    <col min="2" max="2" width="88" bestFit="1" customWidth="1"/>
  </cols>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6" customFormat="1">
      <c r="A50" s="236" t="s">
        <v>211</v>
      </c>
      <c r="B50" s="236" t="s">
        <v>3457</v>
      </c>
      <c r="C50" s="236" t="s">
        <v>3456</v>
      </c>
      <c r="D50" s="236" t="s">
        <v>3455</v>
      </c>
      <c r="E50" s="236" t="s">
        <v>1995</v>
      </c>
      <c r="F50" s="236">
        <v>265.43582199999997</v>
      </c>
      <c r="G50" s="236">
        <v>266.649292</v>
      </c>
      <c r="H50" s="236">
        <v>268.382812</v>
      </c>
      <c r="I50" s="236">
        <v>270.095642</v>
      </c>
      <c r="J50" s="236">
        <v>271.202271</v>
      </c>
      <c r="K50" s="236">
        <v>271.98632800000001</v>
      </c>
      <c r="L50" s="236">
        <v>272.49481200000002</v>
      </c>
      <c r="M50" s="236">
        <v>272.57971199999997</v>
      </c>
      <c r="N50" s="236">
        <v>272.468842</v>
      </c>
      <c r="O50" s="236">
        <v>272.35015900000002</v>
      </c>
      <c r="P50" s="236">
        <v>272.19085699999999</v>
      </c>
      <c r="Q50" s="236">
        <v>271.98223899999999</v>
      </c>
      <c r="R50" s="236">
        <v>271.77188100000001</v>
      </c>
      <c r="S50" s="236">
        <v>271.60205100000002</v>
      </c>
      <c r="T50" s="236">
        <v>271.55246</v>
      </c>
      <c r="U50" s="236">
        <v>271.63742100000002</v>
      </c>
      <c r="V50" s="236">
        <v>271.81369000000001</v>
      </c>
      <c r="W50" s="236">
        <v>271.98666400000002</v>
      </c>
      <c r="X50" s="236">
        <v>272.15136699999999</v>
      </c>
      <c r="Y50" s="236">
        <v>272.26608299999998</v>
      </c>
      <c r="Z50" s="236">
        <v>272.36206099999998</v>
      </c>
      <c r="AA50" s="236">
        <v>272.40039100000001</v>
      </c>
      <c r="AB50" s="236">
        <v>272.34985399999999</v>
      </c>
      <c r="AC50" s="236">
        <v>272.19482399999998</v>
      </c>
      <c r="AD50" s="236">
        <v>271.90271000000001</v>
      </c>
      <c r="AE50" s="236">
        <v>271.52453600000001</v>
      </c>
      <c r="AF50" s="236">
        <v>271.10485799999998</v>
      </c>
      <c r="AG50" s="241">
        <v>1E-3</v>
      </c>
      <c r="AH50" s="241"/>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5"/>
  <cols>
    <col min="1" max="1" width="30.1406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59" customFormat="1">
      <c r="A63" s="259" t="s">
        <v>3541</v>
      </c>
      <c r="B63" s="259" t="s">
        <v>3540</v>
      </c>
      <c r="C63" s="259" t="s">
        <v>3539</v>
      </c>
      <c r="D63" s="259" t="s">
        <v>1815</v>
      </c>
      <c r="F63" s="259">
        <v>14603.680664</v>
      </c>
      <c r="G63" s="259">
        <v>14392.998046999999</v>
      </c>
      <c r="H63" s="259">
        <v>14248.249023</v>
      </c>
      <c r="I63" s="259">
        <v>14134.845703000001</v>
      </c>
      <c r="J63" s="259">
        <v>14022.575194999999</v>
      </c>
      <c r="K63" s="259">
        <v>13905.910156</v>
      </c>
      <c r="L63" s="259">
        <v>13787.850586</v>
      </c>
      <c r="M63" s="259">
        <v>13651.332031</v>
      </c>
      <c r="N63" s="259">
        <v>13526.305664</v>
      </c>
      <c r="O63" s="259">
        <v>13388.733398</v>
      </c>
      <c r="P63" s="259">
        <v>13243.805664</v>
      </c>
      <c r="Q63" s="259">
        <v>13086.811523</v>
      </c>
      <c r="R63" s="259">
        <v>12927.279296999999</v>
      </c>
      <c r="S63" s="259">
        <v>12761.181640999999</v>
      </c>
      <c r="T63" s="259">
        <v>12592.228515999999</v>
      </c>
      <c r="U63" s="259">
        <v>12435.185546999999</v>
      </c>
      <c r="V63" s="259">
        <v>12281.185546999999</v>
      </c>
      <c r="W63" s="259">
        <v>12146.511719</v>
      </c>
      <c r="X63" s="259">
        <v>12027.034180000001</v>
      </c>
      <c r="Y63" s="259">
        <v>11937.974609000001</v>
      </c>
      <c r="Z63" s="259">
        <v>11873.34375</v>
      </c>
      <c r="AA63" s="259">
        <v>11809.786133</v>
      </c>
      <c r="AB63" s="259">
        <v>11744.964844</v>
      </c>
      <c r="AC63" s="259">
        <v>11682.918944999999</v>
      </c>
      <c r="AD63" s="259">
        <v>11620.030273</v>
      </c>
      <c r="AE63" s="259">
        <v>11537.429688</v>
      </c>
      <c r="AF63" s="259">
        <v>11446.416992</v>
      </c>
      <c r="AG63" s="260">
        <v>-8.9999999999999993E-3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5"/>
  <cols>
    <col min="1" max="1" width="25.7109375" customWidth="1"/>
    <col min="2" max="2" width="39" customWidth="1"/>
    <col min="3" max="4" width="0" hidden="1" customWidth="1"/>
    <col min="5" max="5" width="8.42578125"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7" customFormat="1">
      <c r="A31" s="247" t="s">
        <v>195</v>
      </c>
      <c r="B31" s="247" t="s">
        <v>2814</v>
      </c>
      <c r="C31" s="247" t="s">
        <v>2813</v>
      </c>
      <c r="D31" s="247" t="s">
        <v>2264</v>
      </c>
      <c r="F31" s="247">
        <v>769.07440199999996</v>
      </c>
      <c r="G31" s="247">
        <v>784.82141100000001</v>
      </c>
      <c r="H31" s="247">
        <v>804.30224599999997</v>
      </c>
      <c r="I31" s="247">
        <v>822.31329300000004</v>
      </c>
      <c r="J31" s="247">
        <v>836.94464100000005</v>
      </c>
      <c r="K31" s="247">
        <v>852.79473900000005</v>
      </c>
      <c r="L31" s="247">
        <v>867.11852999999996</v>
      </c>
      <c r="M31" s="247">
        <v>878.67956500000003</v>
      </c>
      <c r="N31" s="247">
        <v>892.21368399999994</v>
      </c>
      <c r="O31" s="247">
        <v>906.72900400000003</v>
      </c>
      <c r="P31" s="247">
        <v>920.58386199999995</v>
      </c>
      <c r="Q31" s="247">
        <v>935.94891399999995</v>
      </c>
      <c r="R31" s="247">
        <v>951.57720900000004</v>
      </c>
      <c r="S31" s="247">
        <v>968.24322500000005</v>
      </c>
      <c r="T31" s="247">
        <v>986.23107900000002</v>
      </c>
      <c r="U31" s="247">
        <v>1004.200562</v>
      </c>
      <c r="V31" s="247">
        <v>1022.167603</v>
      </c>
      <c r="W31" s="247">
        <v>1039.7504879999999</v>
      </c>
      <c r="X31" s="247">
        <v>1058.9343260000001</v>
      </c>
      <c r="Y31" s="247">
        <v>1077.6267089999999</v>
      </c>
      <c r="Z31" s="247">
        <v>1094.8948969999999</v>
      </c>
      <c r="AA31" s="247">
        <v>1111.753052</v>
      </c>
      <c r="AB31" s="247">
        <v>1128.2475589999999</v>
      </c>
      <c r="AC31" s="247">
        <v>1147.9022219999999</v>
      </c>
      <c r="AD31" s="247">
        <v>1168.965942</v>
      </c>
      <c r="AE31" s="247">
        <v>1189.009399</v>
      </c>
      <c r="AF31" s="247">
        <v>1208.700439</v>
      </c>
      <c r="AG31" s="248">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7" customFormat="1">
      <c r="A49" s="247" t="s">
        <v>195</v>
      </c>
      <c r="B49" s="247" t="s">
        <v>2779</v>
      </c>
      <c r="C49" s="247" t="s">
        <v>2778</v>
      </c>
      <c r="D49" s="247" t="s">
        <v>2264</v>
      </c>
      <c r="F49" s="247">
        <v>430.05841099999998</v>
      </c>
      <c r="G49" s="247">
        <v>440.68881199999998</v>
      </c>
      <c r="H49" s="247">
        <v>452.96109000000001</v>
      </c>
      <c r="I49" s="247">
        <v>464.51516700000002</v>
      </c>
      <c r="J49" s="247">
        <v>474.60986300000002</v>
      </c>
      <c r="K49" s="247">
        <v>485.356537</v>
      </c>
      <c r="L49" s="247">
        <v>495.48510700000003</v>
      </c>
      <c r="M49" s="247">
        <v>504.40972900000003</v>
      </c>
      <c r="N49" s="247">
        <v>514.33551</v>
      </c>
      <c r="O49" s="247">
        <v>524.80676300000005</v>
      </c>
      <c r="P49" s="247">
        <v>535.051514</v>
      </c>
      <c r="Q49" s="247">
        <v>546.09051499999998</v>
      </c>
      <c r="R49" s="247">
        <v>557.34069799999997</v>
      </c>
      <c r="S49" s="247">
        <v>569.17608600000005</v>
      </c>
      <c r="T49" s="247">
        <v>581.73895300000004</v>
      </c>
      <c r="U49" s="247">
        <v>594.39086899999995</v>
      </c>
      <c r="V49" s="247">
        <v>607.14080799999999</v>
      </c>
      <c r="W49" s="247">
        <v>619.80383300000005</v>
      </c>
      <c r="X49" s="247">
        <v>633.34387200000003</v>
      </c>
      <c r="Y49" s="247">
        <v>646.74987799999997</v>
      </c>
      <c r="Z49" s="247">
        <v>659.56420900000001</v>
      </c>
      <c r="AA49" s="247">
        <v>672.27984600000002</v>
      </c>
      <c r="AB49" s="247">
        <v>684.91857900000002</v>
      </c>
      <c r="AC49" s="247">
        <v>699.22735599999999</v>
      </c>
      <c r="AD49" s="247">
        <v>714.35424799999998</v>
      </c>
      <c r="AE49" s="247">
        <v>729.09729000000004</v>
      </c>
      <c r="AF49" s="247">
        <v>743.78802499999995</v>
      </c>
      <c r="AG49" s="248">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s="283" customFormat="1">
      <c r="A68" s="283" t="s">
        <v>195</v>
      </c>
      <c r="B68" s="283" t="s">
        <v>2743</v>
      </c>
      <c r="C68" s="283" t="s">
        <v>2742</v>
      </c>
      <c r="D68" s="283" t="s">
        <v>2264</v>
      </c>
      <c r="F68" s="283">
        <v>51.452095</v>
      </c>
      <c r="G68" s="283">
        <v>52.590789999999998</v>
      </c>
      <c r="H68" s="283">
        <v>53.859558</v>
      </c>
      <c r="I68" s="283">
        <v>55.048133999999997</v>
      </c>
      <c r="J68" s="283">
        <v>56.123325000000001</v>
      </c>
      <c r="K68" s="283">
        <v>57.271408000000001</v>
      </c>
      <c r="L68" s="283">
        <v>58.376846</v>
      </c>
      <c r="M68" s="283">
        <v>59.385468000000003</v>
      </c>
      <c r="N68" s="283">
        <v>60.493416000000003</v>
      </c>
      <c r="O68" s="283">
        <v>61.658783</v>
      </c>
      <c r="P68" s="283">
        <v>62.810963000000001</v>
      </c>
      <c r="Q68" s="283">
        <v>64.039214999999999</v>
      </c>
      <c r="R68" s="283">
        <v>65.291115000000005</v>
      </c>
      <c r="S68" s="283">
        <v>66.600005999999993</v>
      </c>
      <c r="T68" s="283">
        <v>67.978249000000005</v>
      </c>
      <c r="U68" s="283">
        <v>69.367919999999998</v>
      </c>
      <c r="V68" s="283">
        <v>70.769645999999995</v>
      </c>
      <c r="W68" s="283">
        <v>72.166388999999995</v>
      </c>
      <c r="X68" s="283">
        <v>73.644210999999999</v>
      </c>
      <c r="Y68" s="283">
        <v>75.112540999999993</v>
      </c>
      <c r="Z68" s="283">
        <v>76.530411000000001</v>
      </c>
      <c r="AA68" s="283">
        <v>77.9422</v>
      </c>
      <c r="AB68" s="283">
        <v>79.349777000000003</v>
      </c>
      <c r="AC68" s="283">
        <v>80.910233000000005</v>
      </c>
      <c r="AD68" s="283">
        <v>82.547386000000003</v>
      </c>
      <c r="AE68" s="283">
        <v>84.153701999999996</v>
      </c>
      <c r="AF68" s="283">
        <v>85.759247000000002</v>
      </c>
      <c r="AG68" s="284">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5"/>
  <cols>
    <col min="1" max="1" width="24.85546875" customWidth="1"/>
    <col min="2" max="2" width="36.570312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s="283" customFormat="1">
      <c r="A7" s="283" t="s">
        <v>195</v>
      </c>
      <c r="B7" s="283" t="s">
        <v>3429</v>
      </c>
      <c r="C7" s="283" t="s">
        <v>3428</v>
      </c>
      <c r="D7" s="283" t="s">
        <v>2349</v>
      </c>
      <c r="F7" s="283">
        <v>7961.8115230000003</v>
      </c>
      <c r="G7" s="283">
        <v>8114.1367190000001</v>
      </c>
      <c r="H7" s="283">
        <v>8300.2080079999996</v>
      </c>
      <c r="I7" s="283">
        <v>8472.6796880000002</v>
      </c>
      <c r="J7" s="283">
        <v>8615.5263670000004</v>
      </c>
      <c r="K7" s="283">
        <v>8770.4619139999995</v>
      </c>
      <c r="L7" s="283">
        <v>8906.6884769999997</v>
      </c>
      <c r="M7" s="283">
        <v>9018.9091800000006</v>
      </c>
      <c r="N7" s="283">
        <v>9150.0859380000002</v>
      </c>
      <c r="O7" s="283">
        <v>9291.1201170000004</v>
      </c>
      <c r="P7" s="283">
        <v>9427</v>
      </c>
      <c r="Q7" s="283">
        <v>9577.34375</v>
      </c>
      <c r="R7" s="283">
        <v>9730.7988280000009</v>
      </c>
      <c r="S7" s="283">
        <v>9894.3769530000009</v>
      </c>
      <c r="T7" s="283">
        <v>10070.627930000001</v>
      </c>
      <c r="U7" s="283">
        <v>10247.341796999999</v>
      </c>
      <c r="V7" s="283">
        <v>10424.302734000001</v>
      </c>
      <c r="W7" s="283">
        <v>10598.201171999999</v>
      </c>
      <c r="X7" s="283">
        <v>10787.068359000001</v>
      </c>
      <c r="Y7" s="283">
        <v>10971.892578000001</v>
      </c>
      <c r="Z7" s="283">
        <v>11144.199219</v>
      </c>
      <c r="AA7" s="283">
        <v>11313.208984000001</v>
      </c>
      <c r="AB7" s="283">
        <v>11479.341796999999</v>
      </c>
      <c r="AC7" s="283">
        <v>11674.663086</v>
      </c>
      <c r="AD7" s="283">
        <v>11883.263671999999</v>
      </c>
      <c r="AE7" s="283">
        <v>12083.059569999999</v>
      </c>
      <c r="AF7" s="283">
        <v>12280.137694999999</v>
      </c>
      <c r="AG7" s="284">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s="283" customFormat="1">
      <c r="A76" s="283" t="s">
        <v>195</v>
      </c>
      <c r="B76" s="283" t="s">
        <v>3293</v>
      </c>
      <c r="C76" s="283" t="s">
        <v>3292</v>
      </c>
      <c r="D76" s="283" t="s">
        <v>2349</v>
      </c>
      <c r="F76" s="283">
        <v>6646.0996089999999</v>
      </c>
      <c r="G76" s="283">
        <v>6787.3227539999998</v>
      </c>
      <c r="H76" s="283">
        <v>6959.5649409999996</v>
      </c>
      <c r="I76" s="283">
        <v>7119.3955079999996</v>
      </c>
      <c r="J76" s="283">
        <v>7251.236328</v>
      </c>
      <c r="K76" s="283">
        <v>7393.5234380000002</v>
      </c>
      <c r="L76" s="283">
        <v>7517.5341799999997</v>
      </c>
      <c r="M76" s="283">
        <v>7618.9179690000001</v>
      </c>
      <c r="N76" s="283">
        <v>7737.2568359999996</v>
      </c>
      <c r="O76" s="283">
        <v>7864.2241210000002</v>
      </c>
      <c r="P76" s="283">
        <v>7986.0410160000001</v>
      </c>
      <c r="Q76" s="283">
        <v>8120.8369140000004</v>
      </c>
      <c r="R76" s="283">
        <v>8258.1699219999991</v>
      </c>
      <c r="S76" s="283">
        <v>8404.5097659999992</v>
      </c>
      <c r="T76" s="283">
        <v>8562.2236329999996</v>
      </c>
      <c r="U76" s="283">
        <v>8720.0830079999996</v>
      </c>
      <c r="V76" s="283">
        <v>8877.8691409999992</v>
      </c>
      <c r="W76" s="283">
        <v>9032.5605469999991</v>
      </c>
      <c r="X76" s="283">
        <v>9200.7851559999999</v>
      </c>
      <c r="Y76" s="283">
        <v>9365.0214840000008</v>
      </c>
      <c r="Z76" s="283">
        <v>9517.4570309999999</v>
      </c>
      <c r="AA76" s="283">
        <v>9666.5917969999991</v>
      </c>
      <c r="AB76" s="283">
        <v>9812.8144530000009</v>
      </c>
      <c r="AC76" s="283">
        <v>9985.6748050000006</v>
      </c>
      <c r="AD76" s="283">
        <v>10170.505859000001</v>
      </c>
      <c r="AE76" s="283">
        <v>10346.943359000001</v>
      </c>
      <c r="AF76" s="283">
        <v>10520.594727</v>
      </c>
      <c r="AG76" s="284">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6" customFormat="1">
      <c r="A214" s="276" t="s">
        <v>195</v>
      </c>
      <c r="B214" s="276" t="s">
        <v>3021</v>
      </c>
      <c r="C214" s="276" t="s">
        <v>3020</v>
      </c>
      <c r="D214" s="276" t="s">
        <v>2349</v>
      </c>
      <c r="F214" s="276">
        <v>1068.7120359999999</v>
      </c>
      <c r="G214" s="276">
        <v>1079.8138429999999</v>
      </c>
      <c r="H214" s="276">
        <v>1093.642456</v>
      </c>
      <c r="I214" s="276">
        <v>1106.2845460000001</v>
      </c>
      <c r="J214" s="276">
        <v>1117.290039</v>
      </c>
      <c r="K214" s="276">
        <v>1129.9379879999999</v>
      </c>
      <c r="L214" s="276">
        <v>1142.154663</v>
      </c>
      <c r="M214" s="276">
        <v>1152.991577</v>
      </c>
      <c r="N214" s="276">
        <v>1165.8289789999999</v>
      </c>
      <c r="O214" s="276">
        <v>1179.8967290000001</v>
      </c>
      <c r="P214" s="276">
        <v>1193.9592290000001</v>
      </c>
      <c r="Q214" s="276">
        <v>1209.5074460000001</v>
      </c>
      <c r="R214" s="276">
        <v>1225.6295170000001</v>
      </c>
      <c r="S214" s="276">
        <v>1242.8675539999999</v>
      </c>
      <c r="T214" s="276">
        <v>1261.404297</v>
      </c>
      <c r="U214" s="276">
        <v>1280.2581789999999</v>
      </c>
      <c r="V214" s="276">
        <v>1299.432251</v>
      </c>
      <c r="W214" s="276">
        <v>1318.6405030000001</v>
      </c>
      <c r="X214" s="276">
        <v>1339.2829589999999</v>
      </c>
      <c r="Y214" s="276">
        <v>1359.8707280000001</v>
      </c>
      <c r="Z214" s="276">
        <v>1379.740967</v>
      </c>
      <c r="AA214" s="276">
        <v>1399.6171879999999</v>
      </c>
      <c r="AB214" s="276">
        <v>1419.5272219999999</v>
      </c>
      <c r="AC214" s="276">
        <v>1441.9884030000001</v>
      </c>
      <c r="AD214" s="276">
        <v>1465.759155</v>
      </c>
      <c r="AE214" s="276">
        <v>1489.1166989999999</v>
      </c>
      <c r="AF214" s="276">
        <v>1512.543823</v>
      </c>
      <c r="AG214" s="277">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heetViews>
  <sheetFormatPr defaultRowHeight="15"/>
  <cols>
    <col min="1" max="1" width="19.42578125" customWidth="1"/>
    <col min="2" max="2" width="10"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59" customFormat="1">
      <c r="A21" s="259" t="s">
        <v>1880</v>
      </c>
      <c r="B21" s="259" t="s">
        <v>2321</v>
      </c>
      <c r="C21" s="259" t="s">
        <v>2320</v>
      </c>
      <c r="D21" s="259" t="s">
        <v>2264</v>
      </c>
      <c r="F21" s="259">
        <v>81.913414000000003</v>
      </c>
      <c r="G21" s="259">
        <v>83.637932000000006</v>
      </c>
      <c r="H21" s="259">
        <v>84.649970999999994</v>
      </c>
      <c r="I21" s="259">
        <v>85.366112000000001</v>
      </c>
      <c r="J21" s="259">
        <v>86.041008000000005</v>
      </c>
      <c r="K21" s="259">
        <v>87.189673999999997</v>
      </c>
      <c r="L21" s="259">
        <v>88.634345999999994</v>
      </c>
      <c r="M21" s="259">
        <v>90.136009000000001</v>
      </c>
      <c r="N21" s="259">
        <v>91.764342999999997</v>
      </c>
      <c r="O21" s="259">
        <v>93.408591999999999</v>
      </c>
      <c r="P21" s="259">
        <v>95.227249</v>
      </c>
      <c r="Q21" s="259">
        <v>97.079216000000002</v>
      </c>
      <c r="R21" s="259">
        <v>99.016814999999994</v>
      </c>
      <c r="S21" s="259">
        <v>100.936539</v>
      </c>
      <c r="T21" s="259">
        <v>102.872658</v>
      </c>
      <c r="U21" s="259">
        <v>104.776962</v>
      </c>
      <c r="V21" s="259">
        <v>106.826088</v>
      </c>
      <c r="W21" s="259">
        <v>108.78827699999999</v>
      </c>
      <c r="X21" s="259">
        <v>110.690437</v>
      </c>
      <c r="Y21" s="259">
        <v>112.395782</v>
      </c>
      <c r="Z21" s="259">
        <v>114.059608</v>
      </c>
      <c r="AA21" s="259">
        <v>115.924751</v>
      </c>
      <c r="AB21" s="259">
        <v>117.859016</v>
      </c>
      <c r="AC21" s="259">
        <v>120.16201</v>
      </c>
      <c r="AD21" s="259">
        <v>122.30836499999999</v>
      </c>
      <c r="AE21" s="259">
        <v>124.313187</v>
      </c>
      <c r="AF21" s="259">
        <v>126.225555</v>
      </c>
      <c r="AG21" s="260">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59" customFormat="1">
      <c r="A35" s="259" t="s">
        <v>1852</v>
      </c>
      <c r="B35" s="259" t="s">
        <v>2295</v>
      </c>
      <c r="C35" s="259" t="s">
        <v>2294</v>
      </c>
      <c r="D35" s="259" t="s">
        <v>2264</v>
      </c>
      <c r="F35" s="259">
        <v>62.669761999999999</v>
      </c>
      <c r="G35" s="259">
        <v>62.306469</v>
      </c>
      <c r="H35" s="259">
        <v>61.636169000000002</v>
      </c>
      <c r="I35" s="259">
        <v>61.069248000000002</v>
      </c>
      <c r="J35" s="259">
        <v>60.511715000000002</v>
      </c>
      <c r="K35" s="259">
        <v>60.140095000000002</v>
      </c>
      <c r="L35" s="259">
        <v>59.894455000000001</v>
      </c>
      <c r="M35" s="259">
        <v>59.670211999999999</v>
      </c>
      <c r="N35" s="259">
        <v>59.550327000000003</v>
      </c>
      <c r="O35" s="259">
        <v>59.398045000000003</v>
      </c>
      <c r="P35" s="259">
        <v>59.327106000000001</v>
      </c>
      <c r="Q35" s="259">
        <v>59.290576999999999</v>
      </c>
      <c r="R35" s="259">
        <v>59.361587999999998</v>
      </c>
      <c r="S35" s="259">
        <v>59.521720999999999</v>
      </c>
      <c r="T35" s="259">
        <v>59.692307</v>
      </c>
      <c r="U35" s="259">
        <v>59.831532000000003</v>
      </c>
      <c r="V35" s="259">
        <v>60.013888999999999</v>
      </c>
      <c r="W35" s="259">
        <v>60.179622999999999</v>
      </c>
      <c r="X35" s="259">
        <v>60.380524000000001</v>
      </c>
      <c r="Y35" s="259">
        <v>60.561053999999999</v>
      </c>
      <c r="Z35" s="259">
        <v>60.717669999999998</v>
      </c>
      <c r="AA35" s="259">
        <v>60.904583000000002</v>
      </c>
      <c r="AB35" s="259">
        <v>61.056731999999997</v>
      </c>
      <c r="AC35" s="259">
        <v>61.433689000000001</v>
      </c>
      <c r="AD35" s="259">
        <v>61.823250000000002</v>
      </c>
      <c r="AE35" s="259">
        <v>62.164485999999997</v>
      </c>
      <c r="AF35" s="259">
        <v>62.394100000000002</v>
      </c>
      <c r="AG35" s="260">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59" customFormat="1">
      <c r="A49" s="259" t="s">
        <v>1821</v>
      </c>
      <c r="B49" s="259" t="s">
        <v>2269</v>
      </c>
      <c r="C49" s="259" t="s">
        <v>2268</v>
      </c>
      <c r="D49" s="259" t="s">
        <v>2264</v>
      </c>
      <c r="F49" s="259">
        <v>195.47178600000001</v>
      </c>
      <c r="G49" s="259">
        <v>200.263214</v>
      </c>
      <c r="H49" s="259">
        <v>203.781387</v>
      </c>
      <c r="I49" s="259">
        <v>207.091309</v>
      </c>
      <c r="J49" s="259">
        <v>209.459946</v>
      </c>
      <c r="K49" s="259">
        <v>211.624908</v>
      </c>
      <c r="L49" s="259">
        <v>213.58685299999999</v>
      </c>
      <c r="M49" s="259">
        <v>215.039703</v>
      </c>
      <c r="N49" s="259">
        <v>216.39988700000001</v>
      </c>
      <c r="O49" s="259">
        <v>217.47335799999999</v>
      </c>
      <c r="P49" s="259">
        <v>218.671783</v>
      </c>
      <c r="Q49" s="259">
        <v>219.823669</v>
      </c>
      <c r="R49" s="259">
        <v>221.246475</v>
      </c>
      <c r="S49" s="259">
        <v>222.829758</v>
      </c>
      <c r="T49" s="259">
        <v>224.413895</v>
      </c>
      <c r="U49" s="259">
        <v>225.715836</v>
      </c>
      <c r="V49" s="259">
        <v>227.05023199999999</v>
      </c>
      <c r="W49" s="259">
        <v>228.286179</v>
      </c>
      <c r="X49" s="259">
        <v>229.52342200000001</v>
      </c>
      <c r="Y49" s="259">
        <v>230.54377700000001</v>
      </c>
      <c r="Z49" s="259">
        <v>231.37148999999999</v>
      </c>
      <c r="AA49" s="259">
        <v>232.25056499999999</v>
      </c>
      <c r="AB49" s="259">
        <v>232.92233300000001</v>
      </c>
      <c r="AC49" s="259">
        <v>234.414322</v>
      </c>
      <c r="AD49" s="259">
        <v>235.96463</v>
      </c>
      <c r="AE49" s="259">
        <v>237.36372399999999</v>
      </c>
      <c r="AF49" s="259">
        <v>238.431488</v>
      </c>
      <c r="AG49" s="260">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59" customFormat="1">
      <c r="A166" s="259" t="s">
        <v>1880</v>
      </c>
      <c r="B166" s="259" t="s">
        <v>2051</v>
      </c>
      <c r="C166" s="259" t="s">
        <v>2050</v>
      </c>
      <c r="D166" s="259" t="s">
        <v>1995</v>
      </c>
      <c r="F166" s="259">
        <v>5.1058789999999998</v>
      </c>
      <c r="G166" s="259">
        <v>5.29664</v>
      </c>
      <c r="H166" s="259">
        <v>5.5026190000000001</v>
      </c>
      <c r="I166" s="259">
        <v>5.7130809999999999</v>
      </c>
      <c r="J166" s="259">
        <v>5.9153969999999996</v>
      </c>
      <c r="K166" s="259">
        <v>6.110881</v>
      </c>
      <c r="L166" s="259">
        <v>6.302073</v>
      </c>
      <c r="M166" s="259">
        <v>6.4833819999999998</v>
      </c>
      <c r="N166" s="259">
        <v>6.6625709999999998</v>
      </c>
      <c r="O166" s="259">
        <v>6.8339429999999997</v>
      </c>
      <c r="P166" s="259">
        <v>7.0044469999999999</v>
      </c>
      <c r="Q166" s="259">
        <v>7.1696759999999999</v>
      </c>
      <c r="R166" s="259">
        <v>7.3350530000000003</v>
      </c>
      <c r="S166" s="259">
        <v>7.500127</v>
      </c>
      <c r="T166" s="259">
        <v>7.6650790000000004</v>
      </c>
      <c r="U166" s="259">
        <v>7.8269320000000002</v>
      </c>
      <c r="V166" s="259">
        <v>7.9834909999999999</v>
      </c>
      <c r="W166" s="259">
        <v>8.1409230000000008</v>
      </c>
      <c r="X166" s="259">
        <v>8.2945799999999998</v>
      </c>
      <c r="Y166" s="259">
        <v>8.4563760000000006</v>
      </c>
      <c r="Z166" s="259">
        <v>8.6240450000000006</v>
      </c>
      <c r="AA166" s="259">
        <v>8.7853530000000006</v>
      </c>
      <c r="AB166" s="259">
        <v>8.9388819999999996</v>
      </c>
      <c r="AC166" s="259">
        <v>9.092746</v>
      </c>
      <c r="AD166" s="259">
        <v>9.24315</v>
      </c>
      <c r="AE166" s="259">
        <v>9.3800469999999994</v>
      </c>
      <c r="AF166" s="259">
        <v>9.5095489999999998</v>
      </c>
      <c r="AG166" s="260">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59" customFormat="1">
      <c r="A180" s="259" t="s">
        <v>1852</v>
      </c>
      <c r="B180" s="259" t="s">
        <v>2025</v>
      </c>
      <c r="C180" s="259" t="s">
        <v>2024</v>
      </c>
      <c r="D180" s="259" t="s">
        <v>1995</v>
      </c>
      <c r="F180" s="259">
        <v>3.970215</v>
      </c>
      <c r="G180" s="259">
        <v>4.0091910000000004</v>
      </c>
      <c r="H180" s="259">
        <v>4.0653360000000003</v>
      </c>
      <c r="I180" s="259">
        <v>4.1323340000000002</v>
      </c>
      <c r="J180" s="259">
        <v>4.1937249999999997</v>
      </c>
      <c r="K180" s="259">
        <v>4.2415349999999998</v>
      </c>
      <c r="L180" s="259">
        <v>4.2838779999999996</v>
      </c>
      <c r="M180" s="259">
        <v>4.3163669999999996</v>
      </c>
      <c r="N180" s="259">
        <v>4.348007</v>
      </c>
      <c r="O180" s="259">
        <v>4.369561</v>
      </c>
      <c r="P180" s="259">
        <v>4.3852000000000002</v>
      </c>
      <c r="Q180" s="259">
        <v>4.4020970000000004</v>
      </c>
      <c r="R180" s="259">
        <v>4.4208569999999998</v>
      </c>
      <c r="S180" s="259">
        <v>4.4439219999999997</v>
      </c>
      <c r="T180" s="259">
        <v>4.4644000000000004</v>
      </c>
      <c r="U180" s="259">
        <v>4.4826800000000002</v>
      </c>
      <c r="V180" s="259">
        <v>4.4933120000000004</v>
      </c>
      <c r="W180" s="259">
        <v>4.5010579999999996</v>
      </c>
      <c r="X180" s="259">
        <v>4.5099869999999997</v>
      </c>
      <c r="Y180" s="259">
        <v>4.527717</v>
      </c>
      <c r="Z180" s="259">
        <v>4.5498729999999998</v>
      </c>
      <c r="AA180" s="259">
        <v>4.5683740000000004</v>
      </c>
      <c r="AB180" s="259">
        <v>4.5803440000000002</v>
      </c>
      <c r="AC180" s="259">
        <v>4.5916600000000001</v>
      </c>
      <c r="AD180" s="259">
        <v>4.6028260000000003</v>
      </c>
      <c r="AE180" s="259">
        <v>4.6103870000000002</v>
      </c>
      <c r="AF180" s="259">
        <v>4.6110850000000001</v>
      </c>
      <c r="AG180" s="260">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v>
      </c>
    </row>
    <row r="2" spans="1:7">
      <c r="A2" s="1"/>
    </row>
    <row r="3" spans="1:7" ht="4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4C0BE-1A03-444F-B26E-901A47A7522E}">
  <dimension ref="A1:C13"/>
  <sheetViews>
    <sheetView tabSelected="1" workbookViewId="0"/>
  </sheetViews>
  <sheetFormatPr defaultRowHeight="15"/>
  <sheetData>
    <row r="1" spans="1:3">
      <c r="A1" t="s">
        <v>4874</v>
      </c>
    </row>
    <row r="2" spans="1:3">
      <c r="A2" t="s">
        <v>4875</v>
      </c>
    </row>
    <row r="3" spans="1:3">
      <c r="A3" t="s">
        <v>4876</v>
      </c>
    </row>
    <row r="5" spans="1:3">
      <c r="B5">
        <v>2023</v>
      </c>
      <c r="C5">
        <v>2024</v>
      </c>
    </row>
    <row r="6" spans="1:3">
      <c r="A6" t="s">
        <v>4877</v>
      </c>
      <c r="B6">
        <v>20181.375905453999</v>
      </c>
      <c r="C6">
        <v>22240.603460487011</v>
      </c>
    </row>
    <row r="7" spans="1:3">
      <c r="A7" t="s">
        <v>4878</v>
      </c>
      <c r="B7">
        <v>9516910</v>
      </c>
      <c r="C7">
        <v>9261249</v>
      </c>
    </row>
    <row r="8" spans="1:3">
      <c r="A8" t="s">
        <v>4879</v>
      </c>
      <c r="B8">
        <f>B6*10^6/B7</f>
        <v>2120.5807247787357</v>
      </c>
      <c r="C8">
        <f>C6*10^6/C7</f>
        <v>2401.4691172310572</v>
      </c>
    </row>
    <row r="9" spans="1:3">
      <c r="A9" t="s">
        <v>4880</v>
      </c>
      <c r="B9">
        <v>459065.23459112953</v>
      </c>
      <c r="C9">
        <v>505870.27999766968</v>
      </c>
    </row>
    <row r="10" spans="1:3">
      <c r="A10" t="s">
        <v>4881</v>
      </c>
      <c r="B10">
        <f>B6*10^6/(B9*10^3)</f>
        <v>43.96189121885633</v>
      </c>
      <c r="C10">
        <f>C6*10^6/(C9*10^3)</f>
        <v>43.965032815506504</v>
      </c>
    </row>
    <row r="11" spans="1:3">
      <c r="A11" t="s">
        <v>4882</v>
      </c>
      <c r="B11">
        <v>17700.790402829</v>
      </c>
      <c r="C11">
        <v>18083.23772452</v>
      </c>
    </row>
    <row r="12" spans="1:3">
      <c r="A12" t="s">
        <v>4883</v>
      </c>
      <c r="B12">
        <v>967525</v>
      </c>
      <c r="C12">
        <v>1096335</v>
      </c>
    </row>
    <row r="13" spans="1:3">
      <c r="A13" t="s">
        <v>4884</v>
      </c>
      <c r="B13">
        <f>B11*10^6/B12</f>
        <v>18294.917860343659</v>
      </c>
      <c r="C13">
        <f>C11*10^6/C12</f>
        <v>16494.262907341279</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5"/>
  <cols>
    <col min="14" max="14" width="9.140625" style="101"/>
    <col min="15" max="23" width="0" hidden="1" customWidth="1"/>
    <col min="24" max="24" width="11.42578125" style="101" customWidth="1"/>
    <col min="25" max="45" width="0" hidden="1" customWidth="1"/>
    <col min="46" max="46" width="13.5703125" style="101" customWidth="1"/>
  </cols>
  <sheetData>
    <row r="1" spans="1:50" ht="79.5">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99-0029-4B59-949E-D60901D75EDE}">
  <dimension ref="A1:I17"/>
  <sheetViews>
    <sheetView workbookViewId="0"/>
  </sheetViews>
  <sheetFormatPr defaultRowHeight="15"/>
  <sheetData>
    <row r="1" spans="1:9">
      <c r="A1" t="s">
        <v>3946</v>
      </c>
    </row>
    <row r="2" spans="1:9">
      <c r="B2" t="s">
        <v>3945</v>
      </c>
      <c r="C2" t="s">
        <v>156</v>
      </c>
      <c r="D2" t="s">
        <v>157</v>
      </c>
      <c r="E2" t="s">
        <v>158</v>
      </c>
      <c r="F2" t="s">
        <v>159</v>
      </c>
      <c r="G2" t="s">
        <v>160</v>
      </c>
      <c r="H2" t="s">
        <v>187</v>
      </c>
      <c r="I2" t="s">
        <v>188</v>
      </c>
    </row>
    <row r="3" spans="1:9">
      <c r="B3" t="s">
        <v>4</v>
      </c>
      <c r="C3">
        <v>1.1869960000000001E-3</v>
      </c>
      <c r="D3">
        <v>3.0452300000000001E-4</v>
      </c>
      <c r="E3">
        <v>3.2946599999999999E-4</v>
      </c>
      <c r="F3">
        <v>3.92042E-4</v>
      </c>
      <c r="G3">
        <v>6.0116399999999995E-4</v>
      </c>
      <c r="H3">
        <v>2.3340399999999999E-4</v>
      </c>
      <c r="I3">
        <v>5.8116699999999995E-4</v>
      </c>
    </row>
    <row r="4" spans="1:9">
      <c r="B4" t="s">
        <v>5</v>
      </c>
      <c r="C4">
        <v>3.2473409999999999E-3</v>
      </c>
      <c r="D4">
        <v>2.5184999999999999E-3</v>
      </c>
      <c r="E4">
        <v>9.2503799999999999E-4</v>
      </c>
      <c r="F4">
        <v>1.010539E-3</v>
      </c>
      <c r="G4">
        <v>2.2407799999999999E-3</v>
      </c>
      <c r="H4">
        <v>1.695471E-3</v>
      </c>
      <c r="I4">
        <v>3.0316169999999999E-3</v>
      </c>
    </row>
    <row r="5" spans="1:9">
      <c r="B5" t="s">
        <v>6</v>
      </c>
      <c r="C5">
        <v>1.3768789999999999E-3</v>
      </c>
      <c r="D5">
        <v>4.2847000000000002E-4</v>
      </c>
      <c r="E5">
        <v>4.2847000000000002E-4</v>
      </c>
      <c r="F5">
        <v>4.2847000000000002E-4</v>
      </c>
      <c r="G5">
        <v>0</v>
      </c>
      <c r="H5">
        <v>0</v>
      </c>
      <c r="I5">
        <v>1.285411E-3</v>
      </c>
    </row>
    <row r="6" spans="1:9">
      <c r="B6" t="s">
        <v>7</v>
      </c>
      <c r="C6">
        <v>6.7428500000000005E-4</v>
      </c>
      <c r="D6" s="291">
        <v>5.05863E-5</v>
      </c>
      <c r="E6" s="291">
        <v>5.05863E-5</v>
      </c>
      <c r="F6" s="291">
        <v>5.05863E-5</v>
      </c>
      <c r="G6">
        <v>0</v>
      </c>
      <c r="H6">
        <v>0</v>
      </c>
      <c r="I6">
        <v>1.5175900000000001E-4</v>
      </c>
    </row>
    <row r="7" spans="1:9">
      <c r="B7" t="s">
        <v>8</v>
      </c>
      <c r="C7" s="291">
        <v>3.9768799999999998E-5</v>
      </c>
      <c r="D7">
        <v>0</v>
      </c>
      <c r="E7" s="291">
        <v>1.2375600000000001E-5</v>
      </c>
      <c r="F7" s="291">
        <v>1.2375600000000001E-5</v>
      </c>
      <c r="G7">
        <v>0</v>
      </c>
      <c r="H7">
        <v>0</v>
      </c>
      <c r="I7" s="291">
        <v>3.7126899999999999E-5</v>
      </c>
    </row>
    <row r="8" spans="1:9">
      <c r="B8" t="s">
        <v>9</v>
      </c>
      <c r="C8">
        <v>2.0727097E-2</v>
      </c>
      <c r="D8">
        <v>6.5093360000000001E-3</v>
      </c>
      <c r="E8">
        <v>6.5093360000000001E-3</v>
      </c>
      <c r="F8">
        <v>6.5093360000000001E-3</v>
      </c>
      <c r="G8">
        <v>1.4329105E-2</v>
      </c>
      <c r="H8">
        <v>5.0447360000000002E-3</v>
      </c>
      <c r="I8">
        <v>1.9528008999999999E-2</v>
      </c>
    </row>
    <row r="10" spans="1:9">
      <c r="A10" t="s">
        <v>3948</v>
      </c>
    </row>
    <row r="11" spans="1:9">
      <c r="B11" t="s">
        <v>3947</v>
      </c>
      <c r="C11" t="s">
        <v>156</v>
      </c>
      <c r="D11" t="s">
        <v>157</v>
      </c>
      <c r="E11" t="s">
        <v>158</v>
      </c>
      <c r="F11" t="s">
        <v>159</v>
      </c>
      <c r="G11" t="s">
        <v>160</v>
      </c>
      <c r="H11" t="s">
        <v>187</v>
      </c>
      <c r="I11" t="s">
        <v>188</v>
      </c>
    </row>
    <row r="12" spans="1:9">
      <c r="B12" t="s">
        <v>4</v>
      </c>
      <c r="C12">
        <v>1.3226441773833212E-4</v>
      </c>
      <c r="D12" s="291">
        <v>7.0204850469879831E-5</v>
      </c>
      <c r="E12">
        <v>1.0066053377187421E-4</v>
      </c>
      <c r="F12" s="291">
        <v>7.8079341843850301E-5</v>
      </c>
      <c r="G12">
        <v>1.7525323807361898E-4</v>
      </c>
      <c r="H12" s="291">
        <v>5.5270584840087177E-5</v>
      </c>
      <c r="I12" s="291">
        <v>8.379890176963306E-5</v>
      </c>
    </row>
    <row r="13" spans="1:9">
      <c r="B13" t="s">
        <v>5</v>
      </c>
      <c r="C13">
        <v>1.421389052178215E-3</v>
      </c>
      <c r="D13">
        <v>7.9458999302765691E-4</v>
      </c>
      <c r="E13">
        <v>7.5502679371825096E-4</v>
      </c>
      <c r="F13">
        <v>7.2905101417222013E-4</v>
      </c>
      <c r="G13">
        <v>0</v>
      </c>
      <c r="H13">
        <v>8.0334858395033032E-4</v>
      </c>
      <c r="I13">
        <v>0</v>
      </c>
    </row>
    <row r="14" spans="1:9">
      <c r="B14" t="s">
        <v>6</v>
      </c>
      <c r="C14">
        <v>5.4991909569712227E-4</v>
      </c>
      <c r="D14">
        <v>1.7112912259502911E-4</v>
      </c>
      <c r="E14">
        <v>1.7112912259502911E-4</v>
      </c>
      <c r="F14">
        <v>1.7112912259502911E-4</v>
      </c>
      <c r="G14">
        <v>0</v>
      </c>
      <c r="H14">
        <v>0</v>
      </c>
      <c r="I14">
        <v>5.1338736778508724E-4</v>
      </c>
    </row>
    <row r="15" spans="1:9">
      <c r="B15" t="s">
        <v>7</v>
      </c>
      <c r="C15">
        <v>1.0829065696442089E-2</v>
      </c>
      <c r="D15">
        <v>3.3698929999999997E-3</v>
      </c>
      <c r="E15">
        <v>3.3698929999999997E-3</v>
      </c>
      <c r="F15">
        <v>3.3698929999999997E-3</v>
      </c>
      <c r="G15">
        <v>0</v>
      </c>
      <c r="H15">
        <v>0</v>
      </c>
      <c r="I15">
        <v>1.0109678999999998E-2</v>
      </c>
    </row>
    <row r="16" spans="1:9">
      <c r="B16" t="s">
        <v>8</v>
      </c>
      <c r="C16">
        <v>1.5610349625283874E-2</v>
      </c>
      <c r="D16">
        <v>4.8577789999999996E-3</v>
      </c>
      <c r="E16">
        <v>4.8577789999999996E-3</v>
      </c>
      <c r="F16">
        <v>4.8577789999999996E-3</v>
      </c>
      <c r="G16">
        <v>0</v>
      </c>
      <c r="H16">
        <v>0</v>
      </c>
      <c r="I16">
        <v>1.4573336999999997E-2</v>
      </c>
    </row>
    <row r="17" spans="2:9">
      <c r="B17" t="s">
        <v>9</v>
      </c>
      <c r="C17">
        <v>0</v>
      </c>
      <c r="D17">
        <v>0</v>
      </c>
      <c r="E17">
        <v>0</v>
      </c>
      <c r="F17">
        <v>0</v>
      </c>
      <c r="G17">
        <v>0</v>
      </c>
      <c r="H17">
        <v>0</v>
      </c>
      <c r="I17">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64FB2-15C6-460A-9BBB-AE0E50ABC5AE}">
  <dimension ref="A1:AF119"/>
  <sheetViews>
    <sheetView topLeftCell="A5" workbookViewId="0"/>
  </sheetViews>
  <sheetFormatPr defaultRowHeight="15"/>
  <cols>
    <col min="1" max="1" width="27.140625" customWidth="1"/>
  </cols>
  <sheetData>
    <row r="1" spans="1:32">
      <c r="A1" t="s">
        <v>3880</v>
      </c>
    </row>
    <row r="2" spans="1:32">
      <c r="A2" t="s">
        <v>4116</v>
      </c>
    </row>
    <row r="3" spans="1:32">
      <c r="A3" t="s">
        <v>4115</v>
      </c>
    </row>
    <row r="4" spans="1:32">
      <c r="A4" t="s">
        <v>2352</v>
      </c>
    </row>
    <row r="5" spans="1:32">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2">
      <c r="A6" t="s">
        <v>41</v>
      </c>
    </row>
    <row r="7" spans="1:32">
      <c r="A7" t="s">
        <v>42</v>
      </c>
    </row>
    <row r="8" spans="1:32">
      <c r="A8" t="s">
        <v>3877</v>
      </c>
    </row>
    <row r="9" spans="1:32">
      <c r="A9" t="s">
        <v>3876</v>
      </c>
      <c r="B9" t="s">
        <v>3875</v>
      </c>
      <c r="C9" t="s">
        <v>4113</v>
      </c>
      <c r="D9" t="s">
        <v>4112</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s="144">
        <v>3.0000000000000001E-3</v>
      </c>
      <c r="AF9" s="144"/>
    </row>
    <row r="10" spans="1:32">
      <c r="A10" t="s">
        <v>3776</v>
      </c>
      <c r="B10" t="s">
        <v>4111</v>
      </c>
      <c r="C10" t="s">
        <v>4110</v>
      </c>
      <c r="D10" t="s">
        <v>3866</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s="144">
        <v>8.9999999999999993E-3</v>
      </c>
    </row>
    <row r="11" spans="1:32">
      <c r="A11" t="s">
        <v>3870</v>
      </c>
      <c r="B11" t="s">
        <v>3869</v>
      </c>
      <c r="C11" t="s">
        <v>4109</v>
      </c>
      <c r="D11" t="s">
        <v>4108</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s="144">
        <v>8.9999999999999993E-3</v>
      </c>
      <c r="AF11" s="144"/>
    </row>
    <row r="12" spans="1:32">
      <c r="A12" t="s">
        <v>3865</v>
      </c>
    </row>
    <row r="13" spans="1:32">
      <c r="A13" t="s">
        <v>3773</v>
      </c>
      <c r="B13" t="s">
        <v>4107</v>
      </c>
      <c r="C13" t="s">
        <v>4106</v>
      </c>
      <c r="D13" t="s">
        <v>3859</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144">
        <v>5.0000000000000001E-3</v>
      </c>
    </row>
    <row r="14" spans="1:32">
      <c r="A14" t="s">
        <v>3862</v>
      </c>
      <c r="B14" t="s">
        <v>4105</v>
      </c>
      <c r="C14" t="s">
        <v>4104</v>
      </c>
      <c r="D14" t="s">
        <v>3859</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144">
        <v>1.4999999999999999E-2</v>
      </c>
    </row>
    <row r="15" spans="1:32">
      <c r="A15" t="s">
        <v>3858</v>
      </c>
    </row>
    <row r="16" spans="1:32">
      <c r="A16" t="s">
        <v>161</v>
      </c>
      <c r="B16" t="s">
        <v>4103</v>
      </c>
      <c r="C16" t="s">
        <v>4102</v>
      </c>
      <c r="D16" t="s">
        <v>3855</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144">
        <v>1.7000000000000001E-2</v>
      </c>
    </row>
    <row r="17" spans="1:31">
      <c r="A17" t="s">
        <v>3854</v>
      </c>
    </row>
    <row r="18" spans="1:31">
      <c r="A18" t="s">
        <v>168</v>
      </c>
      <c r="B18" t="s">
        <v>4101</v>
      </c>
      <c r="C18" t="s">
        <v>4100</v>
      </c>
      <c r="D18" t="s">
        <v>3849</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144">
        <v>0</v>
      </c>
    </row>
    <row r="19" spans="1:31">
      <c r="A19" t="s">
        <v>193</v>
      </c>
      <c r="B19" t="s">
        <v>4099</v>
      </c>
      <c r="C19" t="s">
        <v>4098</v>
      </c>
      <c r="D19" t="s">
        <v>3849</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144">
        <v>-2E-3</v>
      </c>
    </row>
    <row r="20" spans="1:31">
      <c r="A20" t="s">
        <v>63</v>
      </c>
    </row>
    <row r="21" spans="1:31">
      <c r="A21" t="s">
        <v>3848</v>
      </c>
    </row>
    <row r="22" spans="1:31">
      <c r="A22" t="s">
        <v>3847</v>
      </c>
      <c r="B22" t="s">
        <v>4097</v>
      </c>
      <c r="C22" t="s">
        <v>4096</v>
      </c>
      <c r="D22" t="s">
        <v>1956</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144">
        <v>4.0000000000000001E-3</v>
      </c>
    </row>
    <row r="23" spans="1:31">
      <c r="A23" t="s">
        <v>3823</v>
      </c>
      <c r="B23" t="s">
        <v>4095</v>
      </c>
      <c r="C23" t="s">
        <v>4094</v>
      </c>
      <c r="D23" t="s">
        <v>1956</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144">
        <v>4.0000000000000001E-3</v>
      </c>
    </row>
    <row r="24" spans="1:31">
      <c r="A24" t="s">
        <v>3820</v>
      </c>
      <c r="B24" t="s">
        <v>4093</v>
      </c>
      <c r="C24" t="s">
        <v>4092</v>
      </c>
      <c r="D24" t="s">
        <v>1956</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144">
        <v>4.0000000000000001E-3</v>
      </c>
    </row>
    <row r="25" spans="1:31">
      <c r="A25" t="s">
        <v>3840</v>
      </c>
      <c r="B25" t="s">
        <v>4091</v>
      </c>
      <c r="C25" t="s">
        <v>4090</v>
      </c>
      <c r="D25" t="s">
        <v>1956</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144">
        <v>8.9999999999999993E-3</v>
      </c>
    </row>
    <row r="26" spans="1:31">
      <c r="A26" t="s">
        <v>3823</v>
      </c>
      <c r="B26" t="s">
        <v>4089</v>
      </c>
      <c r="C26" t="s">
        <v>4088</v>
      </c>
      <c r="D26" t="s">
        <v>1956</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144">
        <v>1.0999999999999999E-2</v>
      </c>
    </row>
    <row r="27" spans="1:31">
      <c r="A27" t="s">
        <v>3820</v>
      </c>
      <c r="B27" t="s">
        <v>4087</v>
      </c>
      <c r="C27" t="s">
        <v>4086</v>
      </c>
      <c r="D27" t="s">
        <v>1956</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144">
        <v>0.01</v>
      </c>
    </row>
    <row r="28" spans="1:31">
      <c r="A28" t="s">
        <v>3833</v>
      </c>
      <c r="B28" t="s">
        <v>4085</v>
      </c>
      <c r="C28" t="s">
        <v>4084</v>
      </c>
      <c r="D28" t="s">
        <v>1956</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144">
        <v>0.01</v>
      </c>
    </row>
    <row r="29" spans="1:31">
      <c r="A29" t="s">
        <v>3823</v>
      </c>
      <c r="B29" t="s">
        <v>4083</v>
      </c>
      <c r="C29" t="s">
        <v>4082</v>
      </c>
      <c r="D29" t="s">
        <v>1956</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144">
        <v>1.2E-2</v>
      </c>
    </row>
    <row r="30" spans="1:31">
      <c r="A30" t="s">
        <v>3820</v>
      </c>
      <c r="B30" t="s">
        <v>4081</v>
      </c>
      <c r="C30" t="s">
        <v>4080</v>
      </c>
      <c r="D30" t="s">
        <v>1956</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144">
        <v>0.01</v>
      </c>
    </row>
    <row r="31" spans="1:31">
      <c r="A31" t="s">
        <v>3826</v>
      </c>
      <c r="B31" t="s">
        <v>4079</v>
      </c>
      <c r="C31" t="s">
        <v>4078</v>
      </c>
      <c r="D31" t="s">
        <v>1956</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144">
        <v>0.01</v>
      </c>
    </row>
    <row r="32" spans="1:31">
      <c r="A32" t="s">
        <v>3823</v>
      </c>
      <c r="B32" t="s">
        <v>4077</v>
      </c>
      <c r="C32" t="s">
        <v>4076</v>
      </c>
      <c r="D32" t="s">
        <v>1956</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144">
        <v>1.2E-2</v>
      </c>
    </row>
    <row r="33" spans="1:31">
      <c r="A33" t="s">
        <v>3820</v>
      </c>
      <c r="B33" t="s">
        <v>4075</v>
      </c>
      <c r="C33" t="s">
        <v>4074</v>
      </c>
      <c r="D33" t="s">
        <v>1956</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144">
        <v>0.01</v>
      </c>
    </row>
    <row r="34" spans="1:31">
      <c r="A34" t="s">
        <v>3817</v>
      </c>
      <c r="B34" t="s">
        <v>4073</v>
      </c>
      <c r="C34" t="s">
        <v>4072</v>
      </c>
      <c r="D34" t="s">
        <v>1956</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144">
        <v>1.2999999999999999E-2</v>
      </c>
    </row>
    <row r="35" spans="1:31">
      <c r="A35" t="s">
        <v>3814</v>
      </c>
      <c r="B35" t="s">
        <v>4071</v>
      </c>
      <c r="C35" t="s">
        <v>4070</v>
      </c>
      <c r="D35" t="s">
        <v>1956</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144">
        <v>6.0000000000000001E-3</v>
      </c>
    </row>
    <row r="36" spans="1:31">
      <c r="A36" t="s">
        <v>3811</v>
      </c>
      <c r="B36" t="s">
        <v>4069</v>
      </c>
      <c r="C36" t="s">
        <v>4068</v>
      </c>
      <c r="D36" t="s">
        <v>1956</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144">
        <v>7.0000000000000001E-3</v>
      </c>
    </row>
    <row r="37" spans="1:31">
      <c r="A37" t="s">
        <v>3808</v>
      </c>
      <c r="B37" t="s">
        <v>4067</v>
      </c>
      <c r="C37" t="s">
        <v>4066</v>
      </c>
      <c r="D37" t="s">
        <v>1956</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144">
        <v>8.0000000000000002E-3</v>
      </c>
    </row>
    <row r="38" spans="1:31">
      <c r="A38" t="s">
        <v>3805</v>
      </c>
    </row>
    <row r="39" spans="1:31">
      <c r="A39" t="s">
        <v>3804</v>
      </c>
      <c r="B39" t="s">
        <v>4065</v>
      </c>
      <c r="C39" t="s">
        <v>4064</v>
      </c>
      <c r="D39" t="s">
        <v>2409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144">
        <v>8.0000000000000002E-3</v>
      </c>
    </row>
    <row r="40" spans="1:31">
      <c r="A40" t="s">
        <v>3801</v>
      </c>
    </row>
    <row r="41" spans="1:31">
      <c r="A41" t="s">
        <v>168</v>
      </c>
      <c r="B41" t="s">
        <v>4063</v>
      </c>
      <c r="C41" t="s">
        <v>4062</v>
      </c>
      <c r="D41" t="s">
        <v>1794</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144">
        <v>1E-3</v>
      </c>
    </row>
    <row r="42" spans="1:31">
      <c r="A42" t="s">
        <v>193</v>
      </c>
      <c r="B42" t="s">
        <v>4061</v>
      </c>
      <c r="C42" t="s">
        <v>4060</v>
      </c>
      <c r="D42" t="s">
        <v>1794</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144">
        <v>4.0000000000000001E-3</v>
      </c>
    </row>
    <row r="43" spans="1:31">
      <c r="A43" t="s">
        <v>103</v>
      </c>
    </row>
    <row r="44" spans="1:31">
      <c r="A44" t="s">
        <v>3796</v>
      </c>
    </row>
    <row r="45" spans="1:31">
      <c r="A45" t="s">
        <v>3710</v>
      </c>
      <c r="B45" t="s">
        <v>4044</v>
      </c>
      <c r="C45" t="s">
        <v>4059</v>
      </c>
      <c r="D45" t="s">
        <v>3780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144">
        <v>-1.0999999999999999E-2</v>
      </c>
    </row>
    <row r="46" spans="1:31">
      <c r="A46" t="s">
        <v>3776</v>
      </c>
      <c r="B46" t="s">
        <v>4042</v>
      </c>
      <c r="C46" t="s">
        <v>4058</v>
      </c>
      <c r="D46" t="s">
        <v>3780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144">
        <v>1E-3</v>
      </c>
    </row>
    <row r="47" spans="1:31">
      <c r="A47" t="s">
        <v>3773</v>
      </c>
      <c r="B47" t="s">
        <v>4040</v>
      </c>
      <c r="C47" t="s">
        <v>4057</v>
      </c>
      <c r="D47" t="s">
        <v>3780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144">
        <v>-5.0000000000000001E-3</v>
      </c>
    </row>
    <row r="48" spans="1:31">
      <c r="A48" t="s">
        <v>3666</v>
      </c>
      <c r="B48" t="s">
        <v>4038</v>
      </c>
      <c r="C48" t="s">
        <v>4056</v>
      </c>
      <c r="D48" t="s">
        <v>3780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144">
        <v>1E-3</v>
      </c>
    </row>
    <row r="49" spans="1:32">
      <c r="A49" t="s">
        <v>168</v>
      </c>
      <c r="B49" t="s">
        <v>3768</v>
      </c>
      <c r="C49" t="s">
        <v>4036</v>
      </c>
      <c r="D49" t="s">
        <v>4055</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s="144">
        <v>8.0000000000000002E-3</v>
      </c>
      <c r="AF49" s="144"/>
    </row>
    <row r="50" spans="1:32">
      <c r="A50" t="s">
        <v>168</v>
      </c>
      <c r="B50" t="s">
        <v>3765</v>
      </c>
      <c r="C50" t="s">
        <v>4034</v>
      </c>
      <c r="D50" t="s">
        <v>4054</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s="144">
        <v>-1E-3</v>
      </c>
      <c r="AF50" s="144"/>
    </row>
    <row r="51" spans="1:32">
      <c r="A51" t="s">
        <v>3759</v>
      </c>
      <c r="B51" t="s">
        <v>3762</v>
      </c>
      <c r="C51" t="s">
        <v>4032</v>
      </c>
      <c r="D51" t="s">
        <v>4053</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s="144">
        <v>-6.0000000000000001E-3</v>
      </c>
      <c r="AF51" s="144"/>
    </row>
    <row r="52" spans="1:32">
      <c r="A52" t="s">
        <v>3759</v>
      </c>
      <c r="B52" t="s">
        <v>3758</v>
      </c>
      <c r="C52" t="s">
        <v>4030</v>
      </c>
      <c r="D52" t="s">
        <v>4052</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s="144">
        <v>1.2E-2</v>
      </c>
      <c r="AF52" s="144"/>
    </row>
    <row r="53" spans="1:32">
      <c r="A53" t="s">
        <v>3755</v>
      </c>
      <c r="B53" t="s">
        <v>4028</v>
      </c>
      <c r="C53" t="s">
        <v>4051</v>
      </c>
      <c r="D53" t="s">
        <v>3780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144">
        <v>-4.0000000000000001E-3</v>
      </c>
    </row>
    <row r="54" spans="1:32">
      <c r="A54" t="s">
        <v>161</v>
      </c>
      <c r="B54" t="s">
        <v>4026</v>
      </c>
      <c r="C54" t="s">
        <v>4050</v>
      </c>
      <c r="D54" t="s">
        <v>3780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144">
        <v>8.9999999999999993E-3</v>
      </c>
    </row>
    <row r="55" spans="1:32">
      <c r="A55" t="s">
        <v>3750</v>
      </c>
      <c r="B55" t="s">
        <v>4024</v>
      </c>
      <c r="C55" t="s">
        <v>4049</v>
      </c>
      <c r="D55" t="s">
        <v>3780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144">
        <v>1E-3</v>
      </c>
    </row>
    <row r="56" spans="1:32">
      <c r="A56" t="s">
        <v>3747</v>
      </c>
      <c r="B56" t="s">
        <v>4022</v>
      </c>
      <c r="C56" t="s">
        <v>4048</v>
      </c>
      <c r="D56" t="s">
        <v>3780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144">
        <v>2E-3</v>
      </c>
    </row>
    <row r="57" spans="1:32">
      <c r="A57" t="s">
        <v>3744</v>
      </c>
      <c r="B57" t="s">
        <v>4020</v>
      </c>
      <c r="C57" t="s">
        <v>4047</v>
      </c>
      <c r="D57" t="s">
        <v>3780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144">
        <v>1.2E-2</v>
      </c>
    </row>
    <row r="58" spans="1:32">
      <c r="A58" t="s">
        <v>3741</v>
      </c>
      <c r="B58" t="s">
        <v>4018</v>
      </c>
      <c r="C58" t="s">
        <v>4046</v>
      </c>
      <c r="D58" t="s">
        <v>3780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144">
        <v>3.7999999999999999E-2</v>
      </c>
    </row>
    <row r="59" spans="1:32">
      <c r="A59" t="s">
        <v>3738</v>
      </c>
      <c r="B59" t="s">
        <v>4016</v>
      </c>
      <c r="C59" t="s">
        <v>4045</v>
      </c>
      <c r="D59" t="s">
        <v>3780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144">
        <v>-2E-3</v>
      </c>
    </row>
    <row r="60" spans="1:32">
      <c r="A60" t="s">
        <v>3779</v>
      </c>
    </row>
    <row r="61" spans="1:32">
      <c r="A61" t="s">
        <v>3710</v>
      </c>
      <c r="B61" t="s">
        <v>4044</v>
      </c>
      <c r="C61" t="s">
        <v>4043</v>
      </c>
      <c r="D61" t="s">
        <v>3735</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144">
        <v>-1.0999999999999999E-2</v>
      </c>
    </row>
    <row r="62" spans="1:32">
      <c r="A62" t="s">
        <v>3776</v>
      </c>
      <c r="B62" t="s">
        <v>4042</v>
      </c>
      <c r="C62" t="s">
        <v>4041</v>
      </c>
      <c r="D62" t="s">
        <v>3735</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144">
        <v>2E-3</v>
      </c>
    </row>
    <row r="63" spans="1:32">
      <c r="A63" t="s">
        <v>3773</v>
      </c>
      <c r="B63" t="s">
        <v>4040</v>
      </c>
      <c r="C63" t="s">
        <v>4039</v>
      </c>
      <c r="D63" t="s">
        <v>3735</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144">
        <v>-5.0000000000000001E-3</v>
      </c>
    </row>
    <row r="64" spans="1:32">
      <c r="A64" t="s">
        <v>3666</v>
      </c>
      <c r="B64" t="s">
        <v>4038</v>
      </c>
      <c r="C64" t="s">
        <v>4037</v>
      </c>
      <c r="D64" t="s">
        <v>3735</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144">
        <v>1E-3</v>
      </c>
    </row>
    <row r="65" spans="1:32">
      <c r="A65" t="s">
        <v>168</v>
      </c>
      <c r="B65" t="s">
        <v>3768</v>
      </c>
      <c r="C65" t="s">
        <v>4036</v>
      </c>
      <c r="D65" t="s">
        <v>4035</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s="144">
        <v>8.0000000000000002E-3</v>
      </c>
      <c r="AF65" s="144"/>
    </row>
    <row r="66" spans="1:32">
      <c r="A66" t="s">
        <v>168</v>
      </c>
      <c r="B66" t="s">
        <v>3765</v>
      </c>
      <c r="C66" t="s">
        <v>4034</v>
      </c>
      <c r="D66" t="s">
        <v>4033</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s="144">
        <v>-1E-3</v>
      </c>
      <c r="AF66" s="144"/>
    </row>
    <row r="67" spans="1:32">
      <c r="A67" t="s">
        <v>3759</v>
      </c>
      <c r="B67" t="s">
        <v>3762</v>
      </c>
      <c r="C67" t="s">
        <v>4032</v>
      </c>
      <c r="D67" t="s">
        <v>4031</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s="144">
        <v>-6.0000000000000001E-3</v>
      </c>
      <c r="AF67" s="144"/>
    </row>
    <row r="68" spans="1:32">
      <c r="A68" t="s">
        <v>3759</v>
      </c>
      <c r="B68" t="s">
        <v>3758</v>
      </c>
      <c r="C68" t="s">
        <v>4030</v>
      </c>
      <c r="D68" t="s">
        <v>4029</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s="144">
        <v>1.2E-2</v>
      </c>
      <c r="AF68" s="144"/>
    </row>
    <row r="69" spans="1:32">
      <c r="A69" t="s">
        <v>3755</v>
      </c>
      <c r="B69" t="s">
        <v>4028</v>
      </c>
      <c r="C69" t="s">
        <v>4027</v>
      </c>
      <c r="D69" t="s">
        <v>3735</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144">
        <v>-3.0000000000000001E-3</v>
      </c>
    </row>
    <row r="70" spans="1:32">
      <c r="A70" t="s">
        <v>161</v>
      </c>
      <c r="B70" t="s">
        <v>4026</v>
      </c>
      <c r="C70" t="s">
        <v>4025</v>
      </c>
      <c r="D70" t="s">
        <v>3735</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144">
        <v>8.9999999999999993E-3</v>
      </c>
    </row>
    <row r="71" spans="1:32">
      <c r="A71" t="s">
        <v>3750</v>
      </c>
      <c r="B71" t="s">
        <v>4024</v>
      </c>
      <c r="C71" t="s">
        <v>4023</v>
      </c>
      <c r="D71" t="s">
        <v>3735</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144">
        <v>1E-3</v>
      </c>
    </row>
    <row r="72" spans="1:32">
      <c r="A72" t="s">
        <v>3747</v>
      </c>
      <c r="B72" t="s">
        <v>4022</v>
      </c>
      <c r="C72" t="s">
        <v>4021</v>
      </c>
      <c r="D72" t="s">
        <v>3735</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144">
        <v>2E-3</v>
      </c>
    </row>
    <row r="73" spans="1:32">
      <c r="A73" t="s">
        <v>3744</v>
      </c>
      <c r="B73" t="s">
        <v>4020</v>
      </c>
      <c r="C73" t="s">
        <v>4019</v>
      </c>
      <c r="D73" t="s">
        <v>3735</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144">
        <v>1.2E-2</v>
      </c>
    </row>
    <row r="74" spans="1:32">
      <c r="A74" t="s">
        <v>3741</v>
      </c>
      <c r="B74" t="s">
        <v>4018</v>
      </c>
      <c r="C74" t="s">
        <v>4017</v>
      </c>
      <c r="D74" t="s">
        <v>3735</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144">
        <v>3.7999999999999999E-2</v>
      </c>
    </row>
    <row r="75" spans="1:32">
      <c r="A75" t="s">
        <v>3738</v>
      </c>
      <c r="B75" t="s">
        <v>4016</v>
      </c>
      <c r="C75" t="s">
        <v>4015</v>
      </c>
      <c r="D75" t="s">
        <v>3735</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144">
        <v>-2E-3</v>
      </c>
    </row>
    <row r="76" spans="1:32">
      <c r="A76" t="s">
        <v>4014</v>
      </c>
    </row>
    <row r="77" spans="1:32">
      <c r="A77" t="s">
        <v>3710</v>
      </c>
    </row>
    <row r="78" spans="1:32">
      <c r="A78" t="s">
        <v>3733</v>
      </c>
      <c r="B78" t="s">
        <v>4013</v>
      </c>
      <c r="C78" t="s">
        <v>4010</v>
      </c>
      <c r="D78" t="s">
        <v>4009</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144">
        <v>-1.4E-2</v>
      </c>
    </row>
    <row r="79" spans="1:32">
      <c r="A79" t="s">
        <v>3731</v>
      </c>
      <c r="B79" t="s">
        <v>4012</v>
      </c>
      <c r="C79" t="s">
        <v>4010</v>
      </c>
      <c r="D79" t="s">
        <v>4009</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144">
        <v>-1.7000000000000001E-2</v>
      </c>
    </row>
    <row r="80" spans="1:32">
      <c r="A80" t="s">
        <v>3718</v>
      </c>
      <c r="B80" t="s">
        <v>4011</v>
      </c>
      <c r="C80" t="s">
        <v>4010</v>
      </c>
      <c r="D80" t="s">
        <v>4009</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144">
        <v>-1.7000000000000001E-2</v>
      </c>
    </row>
    <row r="81" spans="1:31">
      <c r="A81" t="s">
        <v>3666</v>
      </c>
    </row>
    <row r="82" spans="1:31">
      <c r="A82" t="s">
        <v>3726</v>
      </c>
      <c r="B82" t="s">
        <v>4008</v>
      </c>
      <c r="C82" t="s">
        <v>4003</v>
      </c>
      <c r="D82" t="s">
        <v>4002</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144">
        <v>-0.02</v>
      </c>
    </row>
    <row r="83" spans="1:31">
      <c r="A83" t="s">
        <v>3724</v>
      </c>
      <c r="B83" t="s">
        <v>4007</v>
      </c>
      <c r="C83" t="s">
        <v>4003</v>
      </c>
      <c r="D83" t="s">
        <v>4002</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144">
        <v>-0.02</v>
      </c>
    </row>
    <row r="84" spans="1:31">
      <c r="A84" t="s">
        <v>3722</v>
      </c>
      <c r="B84" t="s">
        <v>4006</v>
      </c>
      <c r="C84" t="s">
        <v>4003</v>
      </c>
      <c r="D84" t="s">
        <v>4002</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144">
        <v>-1.9E-2</v>
      </c>
    </row>
    <row r="85" spans="1:31">
      <c r="A85" t="s">
        <v>3720</v>
      </c>
      <c r="B85" t="s">
        <v>4005</v>
      </c>
      <c r="C85" t="s">
        <v>4003</v>
      </c>
      <c r="D85" t="s">
        <v>4002</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144">
        <v>-1.4E-2</v>
      </c>
    </row>
    <row r="86" spans="1:31">
      <c r="A86" t="s">
        <v>3718</v>
      </c>
      <c r="B86" t="s">
        <v>4004</v>
      </c>
      <c r="C86" t="s">
        <v>4003</v>
      </c>
      <c r="D86" t="s">
        <v>4002</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144">
        <v>-2.1000000000000001E-2</v>
      </c>
    </row>
    <row r="87" spans="1:31">
      <c r="A87" t="s">
        <v>4001</v>
      </c>
    </row>
    <row r="88" spans="1:31">
      <c r="A88" t="s">
        <v>3713</v>
      </c>
      <c r="B88" t="s">
        <v>4000</v>
      </c>
      <c r="C88" t="s">
        <v>3999</v>
      </c>
      <c r="D88" t="s">
        <v>3981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144">
        <v>1E-3</v>
      </c>
    </row>
    <row r="89" spans="1:31">
      <c r="A89" t="s">
        <v>3710</v>
      </c>
      <c r="B89" t="s">
        <v>3998</v>
      </c>
      <c r="C89" t="s">
        <v>3994</v>
      </c>
      <c r="D89" t="s">
        <v>3981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144">
        <v>1E-3</v>
      </c>
    </row>
    <row r="90" spans="1:31">
      <c r="A90" t="s">
        <v>3708</v>
      </c>
      <c r="B90" t="s">
        <v>3997</v>
      </c>
      <c r="C90" t="s">
        <v>3994</v>
      </c>
      <c r="D90" t="s">
        <v>3981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144">
        <v>0</v>
      </c>
    </row>
    <row r="91" spans="1:31">
      <c r="A91" t="s">
        <v>3706</v>
      </c>
      <c r="B91" t="s">
        <v>3996</v>
      </c>
      <c r="C91" t="s">
        <v>3994</v>
      </c>
      <c r="D91" t="s">
        <v>3981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144">
        <v>-2E-3</v>
      </c>
    </row>
    <row r="92" spans="1:31">
      <c r="A92" t="s">
        <v>3704</v>
      </c>
      <c r="B92" t="s">
        <v>3995</v>
      </c>
      <c r="C92" t="s">
        <v>3994</v>
      </c>
      <c r="D92" t="s">
        <v>3981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144">
        <v>-2E-3</v>
      </c>
    </row>
    <row r="93" spans="1:31">
      <c r="A93" t="s">
        <v>1072</v>
      </c>
      <c r="B93" t="s">
        <v>3993</v>
      </c>
      <c r="C93" t="s">
        <v>3989</v>
      </c>
      <c r="D93" t="s">
        <v>3981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144">
        <v>-2E-3</v>
      </c>
    </row>
    <row r="94" spans="1:31">
      <c r="A94" t="s">
        <v>3700</v>
      </c>
      <c r="B94" t="s">
        <v>3992</v>
      </c>
      <c r="C94" t="s">
        <v>3989</v>
      </c>
      <c r="D94" t="s">
        <v>3981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144">
        <v>-1E-3</v>
      </c>
    </row>
    <row r="95" spans="1:31">
      <c r="A95" t="s">
        <v>3698</v>
      </c>
      <c r="B95" t="s">
        <v>3991</v>
      </c>
      <c r="C95" t="s">
        <v>3989</v>
      </c>
      <c r="D95" t="s">
        <v>3981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144">
        <v>-2E-3</v>
      </c>
    </row>
    <row r="96" spans="1:31">
      <c r="A96" t="s">
        <v>3696</v>
      </c>
      <c r="B96" t="s">
        <v>3990</v>
      </c>
      <c r="C96" t="s">
        <v>3989</v>
      </c>
      <c r="D96" t="s">
        <v>3981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144">
        <v>-1E-3</v>
      </c>
    </row>
    <row r="97" spans="1:31">
      <c r="A97" t="s">
        <v>3693</v>
      </c>
      <c r="B97" t="s">
        <v>3988</v>
      </c>
      <c r="C97" t="s">
        <v>3985</v>
      </c>
      <c r="D97" t="s">
        <v>3981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144">
        <v>-1.4999999999999999E-2</v>
      </c>
    </row>
    <row r="98" spans="1:31">
      <c r="A98" t="s">
        <v>3660</v>
      </c>
      <c r="B98" t="s">
        <v>3987</v>
      </c>
      <c r="C98" t="s">
        <v>3985</v>
      </c>
      <c r="D98" t="s">
        <v>3981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144">
        <v>-1E-3</v>
      </c>
    </row>
    <row r="99" spans="1:31">
      <c r="A99" t="s">
        <v>3663</v>
      </c>
      <c r="B99" t="s">
        <v>3986</v>
      </c>
      <c r="C99" t="s">
        <v>3985</v>
      </c>
      <c r="D99" t="s">
        <v>3981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144">
        <v>1E-3</v>
      </c>
    </row>
    <row r="100" spans="1:31">
      <c r="A100" t="s">
        <v>3688</v>
      </c>
    </row>
    <row r="101" spans="1:31">
      <c r="A101" t="s">
        <v>3660</v>
      </c>
      <c r="B101" t="s">
        <v>3984</v>
      </c>
      <c r="C101" t="s">
        <v>3982</v>
      </c>
      <c r="D101" t="s">
        <v>3981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144">
        <v>-1E-3</v>
      </c>
    </row>
    <row r="102" spans="1:31">
      <c r="A102" t="s">
        <v>3663</v>
      </c>
      <c r="B102" t="s">
        <v>3983</v>
      </c>
      <c r="C102" t="s">
        <v>3982</v>
      </c>
      <c r="D102" t="s">
        <v>3981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144">
        <v>1E-3</v>
      </c>
    </row>
    <row r="103" spans="1:31">
      <c r="A103" t="s">
        <v>3980</v>
      </c>
      <c r="B103" t="s">
        <v>3979</v>
      </c>
      <c r="C103" t="s">
        <v>3978</v>
      </c>
      <c r="D103" t="s">
        <v>3977</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144">
        <v>1E-3</v>
      </c>
    </row>
    <row r="104" spans="1:31">
      <c r="A104" t="s">
        <v>3976</v>
      </c>
    </row>
    <row r="105" spans="1:31">
      <c r="A105" t="s">
        <v>214</v>
      </c>
    </row>
    <row r="106" spans="1:31">
      <c r="A106" t="s">
        <v>3666</v>
      </c>
      <c r="B106" t="s">
        <v>3975</v>
      </c>
      <c r="C106" t="s">
        <v>3974</v>
      </c>
      <c r="D106" t="s">
        <v>3949</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144">
        <v>2E-3</v>
      </c>
    </row>
    <row r="107" spans="1:31">
      <c r="A107" t="s">
        <v>3663</v>
      </c>
      <c r="B107" t="s">
        <v>3973</v>
      </c>
      <c r="C107" t="s">
        <v>3972</v>
      </c>
      <c r="D107" t="s">
        <v>3949</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144">
        <v>0</v>
      </c>
    </row>
    <row r="108" spans="1:31">
      <c r="A108" t="s">
        <v>3660</v>
      </c>
      <c r="B108" t="s">
        <v>3971</v>
      </c>
      <c r="C108" t="s">
        <v>3970</v>
      </c>
      <c r="D108" t="s">
        <v>3949</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144">
        <v>1E-3</v>
      </c>
    </row>
    <row r="109" spans="1:31">
      <c r="A109" t="s">
        <v>3654</v>
      </c>
      <c r="B109" t="s">
        <v>3969</v>
      </c>
      <c r="C109" t="s">
        <v>3968</v>
      </c>
      <c r="D109" t="s">
        <v>3949</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1769</v>
      </c>
    </row>
    <row r="110" spans="1:31">
      <c r="A110" t="s">
        <v>2815</v>
      </c>
      <c r="B110" t="s">
        <v>3967</v>
      </c>
      <c r="C110" t="s">
        <v>3966</v>
      </c>
      <c r="D110" t="s">
        <v>3949</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144">
        <v>1E-3</v>
      </c>
    </row>
    <row r="111" spans="1:31">
      <c r="A111" t="s">
        <v>2780</v>
      </c>
      <c r="B111" t="s">
        <v>3965</v>
      </c>
      <c r="C111" t="s">
        <v>3964</v>
      </c>
      <c r="D111" t="s">
        <v>3949</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144">
        <v>1E-3</v>
      </c>
    </row>
    <row r="112" spans="1:31">
      <c r="A112" t="s">
        <v>215</v>
      </c>
    </row>
    <row r="113" spans="1:31">
      <c r="A113" t="s">
        <v>3666</v>
      </c>
      <c r="B113" t="s">
        <v>3963</v>
      </c>
      <c r="C113" t="s">
        <v>3962</v>
      </c>
      <c r="D113" t="s">
        <v>3949</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144">
        <v>-1E-3</v>
      </c>
    </row>
    <row r="114" spans="1:31">
      <c r="A114" t="s">
        <v>3663</v>
      </c>
      <c r="B114" t="s">
        <v>3961</v>
      </c>
      <c r="C114" t="s">
        <v>3960</v>
      </c>
      <c r="D114" t="s">
        <v>3949</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144">
        <v>-1E-3</v>
      </c>
    </row>
    <row r="115" spans="1:31">
      <c r="A115" t="s">
        <v>3660</v>
      </c>
      <c r="B115" t="s">
        <v>3959</v>
      </c>
      <c r="C115" t="s">
        <v>3958</v>
      </c>
      <c r="D115" t="s">
        <v>3949</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144">
        <v>-1E-3</v>
      </c>
    </row>
    <row r="116" spans="1:31">
      <c r="A116" t="s">
        <v>3657</v>
      </c>
      <c r="B116" t="s">
        <v>3957</v>
      </c>
      <c r="C116" t="s">
        <v>3956</v>
      </c>
      <c r="D116" t="s">
        <v>3949</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144">
        <v>4.0000000000000001E-3</v>
      </c>
    </row>
    <row r="117" spans="1:31">
      <c r="A117" t="s">
        <v>3654</v>
      </c>
      <c r="B117" t="s">
        <v>3955</v>
      </c>
      <c r="C117" t="s">
        <v>3954</v>
      </c>
      <c r="D117" t="s">
        <v>3949</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144">
        <v>5.0000000000000001E-3</v>
      </c>
    </row>
    <row r="118" spans="1:31">
      <c r="A118" t="s">
        <v>2815</v>
      </c>
      <c r="B118" t="s">
        <v>3953</v>
      </c>
      <c r="C118" t="s">
        <v>3952</v>
      </c>
      <c r="D118" t="s">
        <v>3949</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144">
        <v>2E-3</v>
      </c>
    </row>
    <row r="119" spans="1:31">
      <c r="A119" t="s">
        <v>2780</v>
      </c>
      <c r="B119" t="s">
        <v>3951</v>
      </c>
      <c r="C119" t="s">
        <v>3950</v>
      </c>
      <c r="D119" t="s">
        <v>3949</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144">
        <v>6.0000000000000001E-3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A92B6-6C2E-444A-AFD0-23DAF2722EA4}">
  <dimension ref="A1:AF54"/>
  <sheetViews>
    <sheetView workbookViewId="0"/>
  </sheetViews>
  <sheetFormatPr defaultRowHeight="15"/>
  <cols>
    <col min="1" max="1" width="29" customWidth="1"/>
    <col min="2" max="2" width="21.42578125" customWidth="1"/>
  </cols>
  <sheetData>
    <row r="1" spans="1:31">
      <c r="A1" t="s">
        <v>3538</v>
      </c>
    </row>
    <row r="2" spans="1:31">
      <c r="A2" t="s">
        <v>4204</v>
      </c>
    </row>
    <row r="3" spans="1:31">
      <c r="A3" t="s">
        <v>4203</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3535</v>
      </c>
    </row>
    <row r="7" spans="1:31">
      <c r="A7" t="s">
        <v>2983</v>
      </c>
    </row>
    <row r="8" spans="1:31">
      <c r="A8" t="s">
        <v>337</v>
      </c>
      <c r="B8" t="s">
        <v>4202</v>
      </c>
      <c r="C8" t="s">
        <v>4201</v>
      </c>
      <c r="D8" t="s">
        <v>1995</v>
      </c>
      <c r="E8">
        <v>107.082031</v>
      </c>
      <c r="F8">
        <v>104.348938</v>
      </c>
      <c r="G8">
        <v>101.395248</v>
      </c>
      <c r="H8">
        <v>98.401672000000005</v>
      </c>
      <c r="I8">
        <v>95.438568000000004</v>
      </c>
      <c r="J8">
        <v>92.540779000000001</v>
      </c>
      <c r="K8">
        <v>89.663726999999994</v>
      </c>
      <c r="L8">
        <v>86.825667999999993</v>
      </c>
      <c r="M8">
        <v>84.063377000000003</v>
      </c>
      <c r="N8">
        <v>81.343422000000004</v>
      </c>
      <c r="O8">
        <v>78.709946000000002</v>
      </c>
      <c r="P8">
        <v>76.162979000000007</v>
      </c>
      <c r="Q8">
        <v>73.793532999999996</v>
      </c>
      <c r="R8">
        <v>71.618767000000005</v>
      </c>
      <c r="S8">
        <v>69.617401000000001</v>
      </c>
      <c r="T8">
        <v>67.788978999999998</v>
      </c>
      <c r="U8">
        <v>66.104500000000002</v>
      </c>
      <c r="V8">
        <v>64.548484999999999</v>
      </c>
      <c r="W8">
        <v>63.084110000000003</v>
      </c>
      <c r="X8">
        <v>61.695312000000001</v>
      </c>
      <c r="Y8">
        <v>60.369297000000003</v>
      </c>
      <c r="Z8">
        <v>59.071975999999999</v>
      </c>
      <c r="AA8">
        <v>57.806624999999997</v>
      </c>
      <c r="AB8">
        <v>56.558846000000003</v>
      </c>
      <c r="AC8">
        <v>55.336646999999999</v>
      </c>
      <c r="AD8">
        <v>54.12368</v>
      </c>
      <c r="AE8" s="144">
        <v>-2.7E-2</v>
      </c>
    </row>
    <row r="9" spans="1:31">
      <c r="A9" t="s">
        <v>339</v>
      </c>
      <c r="B9" t="s">
        <v>4200</v>
      </c>
      <c r="C9" t="s">
        <v>4199</v>
      </c>
      <c r="D9" t="s">
        <v>1995</v>
      </c>
      <c r="E9">
        <v>0.45694899999999999</v>
      </c>
      <c r="F9">
        <v>0.42525200000000002</v>
      </c>
      <c r="G9">
        <v>0.39412199999999997</v>
      </c>
      <c r="H9">
        <v>0.363342</v>
      </c>
      <c r="I9">
        <v>0.33274599999999999</v>
      </c>
      <c r="J9">
        <v>0.30277799999999999</v>
      </c>
      <c r="K9">
        <v>0.27410899999999999</v>
      </c>
      <c r="L9">
        <v>0.24629400000000001</v>
      </c>
      <c r="M9">
        <v>0.21987699999999999</v>
      </c>
      <c r="N9">
        <v>0.19539799999999999</v>
      </c>
      <c r="O9">
        <v>0.17339099999999999</v>
      </c>
      <c r="P9">
        <v>0.154365</v>
      </c>
      <c r="Q9">
        <v>0.138431</v>
      </c>
      <c r="R9">
        <v>0.12563299999999999</v>
      </c>
      <c r="S9">
        <v>0.11598</v>
      </c>
      <c r="T9">
        <v>0.108545</v>
      </c>
      <c r="U9">
        <v>0.101747</v>
      </c>
      <c r="V9">
        <v>9.5574000000000006E-2</v>
      </c>
      <c r="W9">
        <v>8.9942999999999995E-2</v>
      </c>
      <c r="X9">
        <v>8.4681000000000006E-2</v>
      </c>
      <c r="Y9">
        <v>7.9740000000000005E-2</v>
      </c>
      <c r="Z9">
        <v>7.5098999999999999E-2</v>
      </c>
      <c r="AA9">
        <v>7.0737999999999995E-2</v>
      </c>
      <c r="AB9">
        <v>6.6641000000000006E-2</v>
      </c>
      <c r="AC9">
        <v>6.2789999999999999E-2</v>
      </c>
      <c r="AD9">
        <v>5.9171000000000001E-2</v>
      </c>
      <c r="AE9" s="144">
        <v>-7.9000000000000001E-2</v>
      </c>
    </row>
    <row r="10" spans="1:31">
      <c r="A10" t="s">
        <v>2978</v>
      </c>
      <c r="B10" t="s">
        <v>4198</v>
      </c>
      <c r="C10" t="s">
        <v>4197</v>
      </c>
      <c r="D10" t="s">
        <v>1995</v>
      </c>
      <c r="E10">
        <v>107.538979</v>
      </c>
      <c r="F10">
        <v>104.774193</v>
      </c>
      <c r="G10">
        <v>101.789368</v>
      </c>
      <c r="H10">
        <v>98.765015000000005</v>
      </c>
      <c r="I10">
        <v>95.771316999999996</v>
      </c>
      <c r="J10">
        <v>92.843558999999999</v>
      </c>
      <c r="K10">
        <v>89.937836000000004</v>
      </c>
      <c r="L10">
        <v>87.071960000000004</v>
      </c>
      <c r="M10">
        <v>84.283257000000006</v>
      </c>
      <c r="N10">
        <v>81.538818000000006</v>
      </c>
      <c r="O10">
        <v>78.883339000000007</v>
      </c>
      <c r="P10">
        <v>76.317345000000003</v>
      </c>
      <c r="Q10">
        <v>73.931961000000001</v>
      </c>
      <c r="R10">
        <v>71.744399999999999</v>
      </c>
      <c r="S10">
        <v>69.733383000000003</v>
      </c>
      <c r="T10">
        <v>67.897521999999995</v>
      </c>
      <c r="U10">
        <v>66.206244999999996</v>
      </c>
      <c r="V10">
        <v>64.644058000000001</v>
      </c>
      <c r="W10">
        <v>63.174053000000001</v>
      </c>
      <c r="X10">
        <v>61.779995</v>
      </c>
      <c r="Y10">
        <v>60.449036</v>
      </c>
      <c r="Z10">
        <v>59.147075999999998</v>
      </c>
      <c r="AA10">
        <v>57.877364999999998</v>
      </c>
      <c r="AB10">
        <v>56.625487999999997</v>
      </c>
      <c r="AC10">
        <v>55.399436999999999</v>
      </c>
      <c r="AD10">
        <v>54.182850000000002</v>
      </c>
      <c r="AE10" s="144">
        <v>-2.7E-2</v>
      </c>
    </row>
    <row r="11" spans="1:31">
      <c r="A11" t="s">
        <v>2975</v>
      </c>
    </row>
    <row r="12" spans="1:31">
      <c r="A12" t="s">
        <v>344</v>
      </c>
      <c r="B12" t="s">
        <v>4196</v>
      </c>
      <c r="C12" t="s">
        <v>4195</v>
      </c>
      <c r="D12" t="s">
        <v>1995</v>
      </c>
      <c r="E12">
        <v>3.6242570000000001</v>
      </c>
      <c r="F12">
        <v>3.3917440000000001</v>
      </c>
      <c r="G12">
        <v>3.1478920000000001</v>
      </c>
      <c r="H12">
        <v>2.8942809999999999</v>
      </c>
      <c r="I12">
        <v>2.6349230000000001</v>
      </c>
      <c r="J12">
        <v>2.3754249999999999</v>
      </c>
      <c r="K12">
        <v>2.1233399999999998</v>
      </c>
      <c r="L12">
        <v>1.883864</v>
      </c>
      <c r="M12">
        <v>1.6621729999999999</v>
      </c>
      <c r="N12">
        <v>1.4592830000000001</v>
      </c>
      <c r="O12">
        <v>1.278208</v>
      </c>
      <c r="P12">
        <v>1.123745</v>
      </c>
      <c r="Q12">
        <v>0.99697000000000002</v>
      </c>
      <c r="R12">
        <v>0.89092400000000005</v>
      </c>
      <c r="S12">
        <v>0.80574000000000001</v>
      </c>
      <c r="T12">
        <v>0.73800299999999996</v>
      </c>
      <c r="U12">
        <v>0.68091599999999997</v>
      </c>
      <c r="V12">
        <v>0.63148899999999997</v>
      </c>
      <c r="W12">
        <v>0.58841399999999999</v>
      </c>
      <c r="X12">
        <v>0.55117099999999997</v>
      </c>
      <c r="Y12">
        <v>0.51771800000000001</v>
      </c>
      <c r="Z12">
        <v>0.48653000000000002</v>
      </c>
      <c r="AA12">
        <v>0.457509</v>
      </c>
      <c r="AB12">
        <v>0.43205100000000002</v>
      </c>
      <c r="AC12">
        <v>0.40806199999999998</v>
      </c>
      <c r="AD12">
        <v>0.38545400000000002</v>
      </c>
      <c r="AE12" s="144">
        <v>-8.5999999999999993E-2</v>
      </c>
    </row>
    <row r="13" spans="1:31">
      <c r="A13" t="s">
        <v>2928</v>
      </c>
      <c r="B13" t="s">
        <v>4194</v>
      </c>
      <c r="C13" t="s">
        <v>4193</v>
      </c>
      <c r="D13" t="s">
        <v>1995</v>
      </c>
      <c r="E13">
        <v>0.195577</v>
      </c>
      <c r="F13">
        <v>0.202184</v>
      </c>
      <c r="G13">
        <v>0.208983</v>
      </c>
      <c r="H13">
        <v>0.21451999999999999</v>
      </c>
      <c r="I13">
        <v>0.219387</v>
      </c>
      <c r="J13">
        <v>0.22505</v>
      </c>
      <c r="K13">
        <v>0.23008200000000001</v>
      </c>
      <c r="L13">
        <v>0.23544100000000001</v>
      </c>
      <c r="M13">
        <v>0.241676</v>
      </c>
      <c r="N13">
        <v>0.248552</v>
      </c>
      <c r="O13">
        <v>0.256359</v>
      </c>
      <c r="P13">
        <v>0.264934</v>
      </c>
      <c r="Q13">
        <v>0.27449699999999999</v>
      </c>
      <c r="R13">
        <v>0.28551500000000002</v>
      </c>
      <c r="S13">
        <v>0.29732900000000001</v>
      </c>
      <c r="T13">
        <v>0.31003599999999998</v>
      </c>
      <c r="U13">
        <v>0.32292999999999999</v>
      </c>
      <c r="V13">
        <v>0.33581800000000001</v>
      </c>
      <c r="W13">
        <v>0.34846500000000002</v>
      </c>
      <c r="X13">
        <v>0.36050199999999999</v>
      </c>
      <c r="Y13">
        <v>0.37205300000000002</v>
      </c>
      <c r="Z13">
        <v>0.38277899999999998</v>
      </c>
      <c r="AA13">
        <v>0.39297599999999999</v>
      </c>
      <c r="AB13">
        <v>0.40260299999999999</v>
      </c>
      <c r="AC13">
        <v>0.41155599999999998</v>
      </c>
      <c r="AD13">
        <v>0.419794</v>
      </c>
      <c r="AE13" s="144">
        <v>3.1E-2</v>
      </c>
    </row>
    <row r="14" spans="1:31">
      <c r="A14" t="s">
        <v>2925</v>
      </c>
      <c r="B14" t="s">
        <v>4192</v>
      </c>
      <c r="C14" t="s">
        <v>4191</v>
      </c>
      <c r="D14" t="s">
        <v>1995</v>
      </c>
      <c r="E14">
        <v>0.55810800000000005</v>
      </c>
      <c r="F14">
        <v>0.65206299999999995</v>
      </c>
      <c r="G14">
        <v>0.78747400000000001</v>
      </c>
      <c r="H14">
        <v>0.91794200000000004</v>
      </c>
      <c r="I14">
        <v>1.05427</v>
      </c>
      <c r="J14">
        <v>1.1692959999999999</v>
      </c>
      <c r="K14">
        <v>1.2809330000000001</v>
      </c>
      <c r="L14">
        <v>1.3864749999999999</v>
      </c>
      <c r="M14">
        <v>1.5004679999999999</v>
      </c>
      <c r="N14">
        <v>1.6182319999999999</v>
      </c>
      <c r="O14">
        <v>1.7415259999999999</v>
      </c>
      <c r="P14">
        <v>1.8635459999999999</v>
      </c>
      <c r="Q14">
        <v>1.988237</v>
      </c>
      <c r="R14">
        <v>2.1135299999999999</v>
      </c>
      <c r="S14">
        <v>2.238054</v>
      </c>
      <c r="T14">
        <v>2.3588110000000002</v>
      </c>
      <c r="U14">
        <v>2.4773179999999999</v>
      </c>
      <c r="V14">
        <v>2.5927920000000002</v>
      </c>
      <c r="W14">
        <v>2.7040030000000002</v>
      </c>
      <c r="X14">
        <v>2.811922</v>
      </c>
      <c r="Y14">
        <v>2.914104</v>
      </c>
      <c r="Z14">
        <v>3.0131549999999998</v>
      </c>
      <c r="AA14">
        <v>3.1100460000000001</v>
      </c>
      <c r="AB14">
        <v>3.2036829999999998</v>
      </c>
      <c r="AC14">
        <v>3.2930120000000001</v>
      </c>
      <c r="AD14">
        <v>3.3761260000000002</v>
      </c>
      <c r="AE14" s="144">
        <v>7.4999999999999997E-2</v>
      </c>
    </row>
    <row r="15" spans="1:31">
      <c r="A15" t="s">
        <v>2922</v>
      </c>
      <c r="B15" t="s">
        <v>4190</v>
      </c>
      <c r="C15" t="s">
        <v>4189</v>
      </c>
      <c r="D15" t="s">
        <v>1995</v>
      </c>
      <c r="E15">
        <v>3.6774279999999999</v>
      </c>
      <c r="F15">
        <v>4.3285650000000002</v>
      </c>
      <c r="G15">
        <v>5.0328850000000003</v>
      </c>
      <c r="H15">
        <v>5.6973469999999997</v>
      </c>
      <c r="I15">
        <v>6.4544040000000003</v>
      </c>
      <c r="J15">
        <v>7.2785549999999999</v>
      </c>
      <c r="K15">
        <v>8.1519300000000001</v>
      </c>
      <c r="L15">
        <v>9.0523930000000004</v>
      </c>
      <c r="M15">
        <v>9.9988259999999993</v>
      </c>
      <c r="N15">
        <v>10.954343</v>
      </c>
      <c r="O15">
        <v>11.929913000000001</v>
      </c>
      <c r="P15">
        <v>12.879365</v>
      </c>
      <c r="Q15">
        <v>13.819839999999999</v>
      </c>
      <c r="R15">
        <v>14.744695</v>
      </c>
      <c r="S15">
        <v>15.643188</v>
      </c>
      <c r="T15">
        <v>16.505575</v>
      </c>
      <c r="U15">
        <v>17.326941999999999</v>
      </c>
      <c r="V15">
        <v>18.105207</v>
      </c>
      <c r="W15">
        <v>18.840796000000001</v>
      </c>
      <c r="X15">
        <v>19.530777</v>
      </c>
      <c r="Y15">
        <v>20.183249</v>
      </c>
      <c r="Z15">
        <v>20.794746</v>
      </c>
      <c r="AA15">
        <v>21.377621000000001</v>
      </c>
      <c r="AB15">
        <v>21.927975</v>
      </c>
      <c r="AC15">
        <v>22.438662999999998</v>
      </c>
      <c r="AD15">
        <v>22.899031000000001</v>
      </c>
      <c r="AE15" s="144">
        <v>7.5999999999999998E-2</v>
      </c>
    </row>
    <row r="16" spans="1:31">
      <c r="A16" t="s">
        <v>2919</v>
      </c>
      <c r="B16" t="s">
        <v>4188</v>
      </c>
      <c r="C16" t="s">
        <v>4187</v>
      </c>
      <c r="D16" t="s">
        <v>1995</v>
      </c>
      <c r="E16">
        <v>0.41775000000000001</v>
      </c>
      <c r="F16">
        <v>0.42621399999999998</v>
      </c>
      <c r="G16">
        <v>0.43434499999999998</v>
      </c>
      <c r="H16">
        <v>0.44042199999999998</v>
      </c>
      <c r="I16">
        <v>0.444552</v>
      </c>
      <c r="J16">
        <v>0.44747900000000002</v>
      </c>
      <c r="K16">
        <v>0.44656400000000002</v>
      </c>
      <c r="L16">
        <v>0.44386300000000001</v>
      </c>
      <c r="M16">
        <v>0.44049500000000003</v>
      </c>
      <c r="N16">
        <v>0.43626100000000001</v>
      </c>
      <c r="O16">
        <v>0.431834</v>
      </c>
      <c r="P16">
        <v>0.42614099999999999</v>
      </c>
      <c r="Q16">
        <v>0.42042299999999999</v>
      </c>
      <c r="R16">
        <v>0.41474800000000001</v>
      </c>
      <c r="S16">
        <v>0.40931899999999999</v>
      </c>
      <c r="T16">
        <v>0.403748</v>
      </c>
      <c r="U16">
        <v>0.39846799999999999</v>
      </c>
      <c r="V16">
        <v>0.39422499999999999</v>
      </c>
      <c r="W16">
        <v>0.39049499999999998</v>
      </c>
      <c r="X16">
        <v>0.387042</v>
      </c>
      <c r="Y16">
        <v>0.38347700000000001</v>
      </c>
      <c r="Z16">
        <v>0.380139</v>
      </c>
      <c r="AA16">
        <v>0.37700499999999998</v>
      </c>
      <c r="AB16">
        <v>0.37363000000000002</v>
      </c>
      <c r="AC16">
        <v>0.37024499999999999</v>
      </c>
      <c r="AD16">
        <v>0.36652499999999999</v>
      </c>
      <c r="AE16" s="144">
        <v>-5.0000000000000001E-3</v>
      </c>
    </row>
    <row r="17" spans="1:31">
      <c r="A17" t="s">
        <v>2916</v>
      </c>
      <c r="B17" t="s">
        <v>4186</v>
      </c>
      <c r="C17" t="s">
        <v>4185</v>
      </c>
      <c r="D17" t="s">
        <v>1995</v>
      </c>
      <c r="E17">
        <v>0.27050600000000002</v>
      </c>
      <c r="F17">
        <v>0.32395499999999999</v>
      </c>
      <c r="G17">
        <v>0.416989</v>
      </c>
      <c r="H17">
        <v>0.50426899999999997</v>
      </c>
      <c r="I17">
        <v>0.53447599999999995</v>
      </c>
      <c r="J17">
        <v>0.550203</v>
      </c>
      <c r="K17">
        <v>0.55957699999999999</v>
      </c>
      <c r="L17">
        <v>0.56188800000000005</v>
      </c>
      <c r="M17">
        <v>0.56587100000000001</v>
      </c>
      <c r="N17">
        <v>0.57067699999999999</v>
      </c>
      <c r="O17">
        <v>0.57720899999999997</v>
      </c>
      <c r="P17">
        <v>0.58390799999999998</v>
      </c>
      <c r="Q17">
        <v>0.59125700000000003</v>
      </c>
      <c r="R17">
        <v>0.59914699999999999</v>
      </c>
      <c r="S17">
        <v>0.60717299999999996</v>
      </c>
      <c r="T17">
        <v>0.61444200000000004</v>
      </c>
      <c r="U17">
        <v>0.61998299999999995</v>
      </c>
      <c r="V17">
        <v>0.62433899999999998</v>
      </c>
      <c r="W17">
        <v>0.62735200000000002</v>
      </c>
      <c r="X17">
        <v>0.62853199999999998</v>
      </c>
      <c r="Y17">
        <v>0.62863100000000005</v>
      </c>
      <c r="Z17">
        <v>0.62733300000000003</v>
      </c>
      <c r="AA17">
        <v>0.62582599999999999</v>
      </c>
      <c r="AB17">
        <v>0.62424900000000005</v>
      </c>
      <c r="AC17">
        <v>0.62314800000000004</v>
      </c>
      <c r="AD17">
        <v>0.62222100000000002</v>
      </c>
      <c r="AE17" s="144">
        <v>3.4000000000000002E-2</v>
      </c>
    </row>
    <row r="18" spans="1:31">
      <c r="A18" t="s">
        <v>353</v>
      </c>
      <c r="B18" t="s">
        <v>4184</v>
      </c>
      <c r="C18" t="s">
        <v>4183</v>
      </c>
      <c r="D18" t="s">
        <v>1995</v>
      </c>
      <c r="E18">
        <v>4.6848660000000004</v>
      </c>
      <c r="F18">
        <v>5.0196959999999997</v>
      </c>
      <c r="G18">
        <v>5.4157279999999997</v>
      </c>
      <c r="H18">
        <v>5.801984</v>
      </c>
      <c r="I18">
        <v>6.1870539999999998</v>
      </c>
      <c r="J18">
        <v>6.5948719999999996</v>
      </c>
      <c r="K18">
        <v>7.0177360000000002</v>
      </c>
      <c r="L18">
        <v>7.4429340000000002</v>
      </c>
      <c r="M18">
        <v>7.8882940000000001</v>
      </c>
      <c r="N18">
        <v>8.3345909999999996</v>
      </c>
      <c r="O18">
        <v>8.7852530000000009</v>
      </c>
      <c r="P18">
        <v>9.2187540000000006</v>
      </c>
      <c r="Q18">
        <v>9.6471199999999993</v>
      </c>
      <c r="R18">
        <v>10.067786999999999</v>
      </c>
      <c r="S18">
        <v>10.472375</v>
      </c>
      <c r="T18">
        <v>10.857034000000001</v>
      </c>
      <c r="U18">
        <v>11.214824999999999</v>
      </c>
      <c r="V18">
        <v>11.545736</v>
      </c>
      <c r="W18">
        <v>11.845893999999999</v>
      </c>
      <c r="X18">
        <v>12.117362</v>
      </c>
      <c r="Y18">
        <v>12.363866</v>
      </c>
      <c r="Z18">
        <v>12.583424000000001</v>
      </c>
      <c r="AA18">
        <v>12.783735</v>
      </c>
      <c r="AB18">
        <v>12.963245000000001</v>
      </c>
      <c r="AC18">
        <v>13.123507</v>
      </c>
      <c r="AD18">
        <v>13.262541000000001</v>
      </c>
      <c r="AE18" s="144">
        <v>4.2999999999999997E-2</v>
      </c>
    </row>
    <row r="19" spans="1:31">
      <c r="A19" t="s">
        <v>355</v>
      </c>
      <c r="B19" t="s">
        <v>4182</v>
      </c>
      <c r="C19" t="s">
        <v>4181</v>
      </c>
      <c r="D19" t="s">
        <v>1995</v>
      </c>
      <c r="E19">
        <v>9.0900000000000009E-3</v>
      </c>
      <c r="F19">
        <v>8.2159999999999993E-3</v>
      </c>
      <c r="G19">
        <v>7.3429999999999997E-3</v>
      </c>
      <c r="H19">
        <v>6.4949999999999999E-3</v>
      </c>
      <c r="I19">
        <v>5.6889999999999996E-3</v>
      </c>
      <c r="J19">
        <v>5.0229999999999997E-3</v>
      </c>
      <c r="K19">
        <v>4.3940000000000003E-3</v>
      </c>
      <c r="L19">
        <v>3.8379999999999998E-3</v>
      </c>
      <c r="M19">
        <v>3.3579999999999999E-3</v>
      </c>
      <c r="N19">
        <v>2.9610000000000001E-3</v>
      </c>
      <c r="O19">
        <v>2.63E-3</v>
      </c>
      <c r="P19">
        <v>2.3570000000000002E-3</v>
      </c>
      <c r="Q19">
        <v>2.1779999999999998E-3</v>
      </c>
      <c r="R19">
        <v>2.0240000000000002E-3</v>
      </c>
      <c r="S19">
        <v>1.895E-3</v>
      </c>
      <c r="T19">
        <v>1.781E-3</v>
      </c>
      <c r="U19">
        <v>1.673E-3</v>
      </c>
      <c r="V19">
        <v>1.572E-3</v>
      </c>
      <c r="W19">
        <v>1.477E-3</v>
      </c>
      <c r="X19">
        <v>1.3879999999999999E-3</v>
      </c>
      <c r="Y19">
        <v>1.304E-3</v>
      </c>
      <c r="Z19">
        <v>1.225E-3</v>
      </c>
      <c r="AA19">
        <v>1.1509999999999999E-3</v>
      </c>
      <c r="AB19">
        <v>1.0820000000000001E-3</v>
      </c>
      <c r="AC19">
        <v>1.0169999999999999E-3</v>
      </c>
      <c r="AD19">
        <v>9.5500000000000001E-4</v>
      </c>
      <c r="AE19" s="144">
        <v>-8.5999999999999993E-2</v>
      </c>
    </row>
    <row r="20" spans="1:31">
      <c r="A20" t="s">
        <v>357</v>
      </c>
      <c r="B20" t="s">
        <v>4180</v>
      </c>
      <c r="C20" t="s">
        <v>4179</v>
      </c>
      <c r="D20" t="s">
        <v>1995</v>
      </c>
      <c r="E20">
        <v>2.0799999999999999E-4</v>
      </c>
      <c r="F20">
        <v>1.95E-4</v>
      </c>
      <c r="G20">
        <v>1.83E-4</v>
      </c>
      <c r="H20">
        <v>1.7200000000000001E-4</v>
      </c>
      <c r="I20">
        <v>1.6200000000000001E-4</v>
      </c>
      <c r="J20">
        <v>1.5200000000000001E-4</v>
      </c>
      <c r="K20">
        <v>1.4300000000000001E-4</v>
      </c>
      <c r="L20">
        <v>1.34E-4</v>
      </c>
      <c r="M20">
        <v>1.26E-4</v>
      </c>
      <c r="N20">
        <v>1.1900000000000001E-4</v>
      </c>
      <c r="O20">
        <v>1.11E-4</v>
      </c>
      <c r="P20">
        <v>1.05E-4</v>
      </c>
      <c r="Q20">
        <v>9.7999999999999997E-5</v>
      </c>
      <c r="R20">
        <v>9.2E-5</v>
      </c>
      <c r="S20">
        <v>8.7000000000000001E-5</v>
      </c>
      <c r="T20">
        <v>8.2000000000000001E-5</v>
      </c>
      <c r="U20">
        <v>7.7000000000000001E-5</v>
      </c>
      <c r="V20">
        <v>7.2000000000000002E-5</v>
      </c>
      <c r="W20">
        <v>6.7999999999999999E-5</v>
      </c>
      <c r="X20">
        <v>6.3999999999999997E-5</v>
      </c>
      <c r="Y20">
        <v>6.0000000000000002E-5</v>
      </c>
      <c r="Z20">
        <v>5.5999999999999999E-5</v>
      </c>
      <c r="AA20">
        <v>5.3000000000000001E-5</v>
      </c>
      <c r="AB20">
        <v>5.0000000000000002E-5</v>
      </c>
      <c r="AC20">
        <v>4.6999999999999997E-5</v>
      </c>
      <c r="AD20">
        <v>4.3999999999999999E-5</v>
      </c>
      <c r="AE20" s="144">
        <v>-0.06</v>
      </c>
    </row>
    <row r="21" spans="1:31">
      <c r="A21" t="s">
        <v>359</v>
      </c>
      <c r="B21" t="s">
        <v>4178</v>
      </c>
      <c r="C21" t="s">
        <v>4177</v>
      </c>
      <c r="D21" t="s">
        <v>1995</v>
      </c>
      <c r="E21">
        <v>1.3060000000000001E-3</v>
      </c>
      <c r="F21">
        <v>1.183E-3</v>
      </c>
      <c r="G21">
        <v>1.109E-3</v>
      </c>
      <c r="H21">
        <v>1.042E-3</v>
      </c>
      <c r="I21">
        <v>9.7900000000000005E-4</v>
      </c>
      <c r="J21">
        <v>9.2000000000000003E-4</v>
      </c>
      <c r="K21">
        <v>8.6399999999999997E-4</v>
      </c>
      <c r="L21">
        <v>8.12E-4</v>
      </c>
      <c r="M21">
        <v>7.6300000000000001E-4</v>
      </c>
      <c r="N21">
        <v>7.1699999999999997E-4</v>
      </c>
      <c r="O21">
        <v>6.7299999999999999E-4</v>
      </c>
      <c r="P21">
        <v>6.3299999999999999E-4</v>
      </c>
      <c r="Q21">
        <v>5.9500000000000004E-4</v>
      </c>
      <c r="R21">
        <v>5.5900000000000004E-4</v>
      </c>
      <c r="S21">
        <v>5.2499999999999997E-4</v>
      </c>
      <c r="T21">
        <v>4.9299999999999995E-4</v>
      </c>
      <c r="U21">
        <v>4.6299999999999998E-4</v>
      </c>
      <c r="V21">
        <v>4.35E-4</v>
      </c>
      <c r="W21">
        <v>4.0900000000000002E-4</v>
      </c>
      <c r="X21">
        <v>3.8400000000000001E-4</v>
      </c>
      <c r="Y21">
        <v>3.6099999999999999E-4</v>
      </c>
      <c r="Z21">
        <v>3.39E-4</v>
      </c>
      <c r="AA21">
        <v>3.19E-4</v>
      </c>
      <c r="AB21">
        <v>2.9999999999999997E-4</v>
      </c>
      <c r="AC21">
        <v>2.81E-4</v>
      </c>
      <c r="AD21">
        <v>2.6400000000000002E-4</v>
      </c>
      <c r="AE21" s="144">
        <v>-6.2E-2</v>
      </c>
    </row>
    <row r="22" spans="1:31">
      <c r="A22" t="s">
        <v>361</v>
      </c>
      <c r="B22" t="s">
        <v>4176</v>
      </c>
      <c r="C22" t="s">
        <v>4175</v>
      </c>
      <c r="D22" t="s">
        <v>1995</v>
      </c>
      <c r="E22">
        <v>2.5539999999999998E-3</v>
      </c>
      <c r="F22">
        <v>2.2769999999999999E-3</v>
      </c>
      <c r="G22">
        <v>2.1090000000000002E-3</v>
      </c>
      <c r="H22">
        <v>1.9659999999999999E-3</v>
      </c>
      <c r="I22">
        <v>1.8469999999999999E-3</v>
      </c>
      <c r="J22">
        <v>1.7359999999999999E-3</v>
      </c>
      <c r="K22">
        <v>1.6310000000000001E-3</v>
      </c>
      <c r="L22">
        <v>1.5319999999999999E-3</v>
      </c>
      <c r="M22">
        <v>1.4400000000000001E-3</v>
      </c>
      <c r="N22">
        <v>1.353E-3</v>
      </c>
      <c r="O22">
        <v>1.271E-3</v>
      </c>
      <c r="P22">
        <v>1.194E-3</v>
      </c>
      <c r="Q22">
        <v>1.122E-3</v>
      </c>
      <c r="R22">
        <v>1.054E-3</v>
      </c>
      <c r="S22">
        <v>9.9099999999999991E-4</v>
      </c>
      <c r="T22">
        <v>9.3099999999999997E-4</v>
      </c>
      <c r="U22">
        <v>8.7500000000000002E-4</v>
      </c>
      <c r="V22">
        <v>8.2200000000000003E-4</v>
      </c>
      <c r="W22">
        <v>7.7200000000000001E-4</v>
      </c>
      <c r="X22">
        <v>7.2599999999999997E-4</v>
      </c>
      <c r="Y22">
        <v>6.8199999999999999E-4</v>
      </c>
      <c r="Z22">
        <v>6.4099999999999997E-4</v>
      </c>
      <c r="AA22">
        <v>6.02E-4</v>
      </c>
      <c r="AB22">
        <v>5.6599999999999999E-4</v>
      </c>
      <c r="AC22">
        <v>5.31E-4</v>
      </c>
      <c r="AD22">
        <v>4.9899999999999999E-4</v>
      </c>
      <c r="AE22" s="144">
        <v>-6.3E-2</v>
      </c>
    </row>
    <row r="23" spans="1:31">
      <c r="A23" t="s">
        <v>365</v>
      </c>
      <c r="B23" t="s">
        <v>4174</v>
      </c>
      <c r="C23" t="s">
        <v>4173</v>
      </c>
      <c r="D23" t="s">
        <v>1995</v>
      </c>
      <c r="E23">
        <v>1.6455000000000001E-2</v>
      </c>
      <c r="F23">
        <v>1.6056999999999998E-2</v>
      </c>
      <c r="G23">
        <v>1.5644999999999999E-2</v>
      </c>
      <c r="H23">
        <v>1.52E-2</v>
      </c>
      <c r="I23">
        <v>1.4726E-2</v>
      </c>
      <c r="J23">
        <v>1.4234999999999999E-2</v>
      </c>
      <c r="K23">
        <v>1.3712E-2</v>
      </c>
      <c r="L23">
        <v>1.3146E-2</v>
      </c>
      <c r="M23">
        <v>1.252E-2</v>
      </c>
      <c r="N23">
        <v>1.1832000000000001E-2</v>
      </c>
      <c r="O23">
        <v>1.1087E-2</v>
      </c>
      <c r="P23">
        <v>1.0276E-2</v>
      </c>
      <c r="Q23">
        <v>9.4240000000000001E-3</v>
      </c>
      <c r="R23">
        <v>8.5380000000000005E-3</v>
      </c>
      <c r="S23">
        <v>7.6530000000000001E-3</v>
      </c>
      <c r="T23">
        <v>6.7910000000000002E-3</v>
      </c>
      <c r="U23">
        <v>5.973E-3</v>
      </c>
      <c r="V23">
        <v>5.267E-3</v>
      </c>
      <c r="W23">
        <v>4.6369999999999996E-3</v>
      </c>
      <c r="X23">
        <v>4.1070000000000004E-3</v>
      </c>
      <c r="Y23">
        <v>3.6389999999999999E-3</v>
      </c>
      <c r="Z23">
        <v>3.2729999999999999E-3</v>
      </c>
      <c r="AA23">
        <v>2.9870000000000001E-3</v>
      </c>
      <c r="AB23">
        <v>2.7690000000000002E-3</v>
      </c>
      <c r="AC23">
        <v>2.5730000000000002E-3</v>
      </c>
      <c r="AD23">
        <v>2.3960000000000001E-3</v>
      </c>
      <c r="AE23" s="144">
        <v>-7.3999999999999996E-2</v>
      </c>
    </row>
    <row r="24" spans="1:31">
      <c r="A24" t="s">
        <v>2946</v>
      </c>
      <c r="B24" t="s">
        <v>4172</v>
      </c>
      <c r="C24" t="s">
        <v>4171</v>
      </c>
      <c r="D24" t="s">
        <v>1995</v>
      </c>
      <c r="E24">
        <v>13.458102999999999</v>
      </c>
      <c r="F24">
        <v>14.372351999999999</v>
      </c>
      <c r="G24">
        <v>15.470682999999999</v>
      </c>
      <c r="H24">
        <v>16.495640000000002</v>
      </c>
      <c r="I24">
        <v>17.552471000000001</v>
      </c>
      <c r="J24">
        <v>18.662945000000001</v>
      </c>
      <c r="K24">
        <v>19.830904</v>
      </c>
      <c r="L24">
        <v>21.026319999999998</v>
      </c>
      <c r="M24">
        <v>22.316009999999999</v>
      </c>
      <c r="N24">
        <v>23.638922000000001</v>
      </c>
      <c r="O24">
        <v>25.016076999999999</v>
      </c>
      <c r="P24">
        <v>26.374957999999999</v>
      </c>
      <c r="Q24">
        <v>27.751760000000001</v>
      </c>
      <c r="R24">
        <v>29.128613000000001</v>
      </c>
      <c r="S24">
        <v>30.484324999999998</v>
      </c>
      <c r="T24">
        <v>31.797726000000001</v>
      </c>
      <c r="U24">
        <v>33.050446000000001</v>
      </c>
      <c r="V24">
        <v>34.237777999999999</v>
      </c>
      <c r="W24">
        <v>35.352783000000002</v>
      </c>
      <c r="X24">
        <v>36.393977999999997</v>
      </c>
      <c r="Y24">
        <v>37.369140999999999</v>
      </c>
      <c r="Z24">
        <v>38.27364</v>
      </c>
      <c r="AA24">
        <v>39.129832999999998</v>
      </c>
      <c r="AB24">
        <v>39.932200999999999</v>
      </c>
      <c r="AC24">
        <v>40.672646</v>
      </c>
      <c r="AD24">
        <v>41.335853999999998</v>
      </c>
      <c r="AE24" s="144">
        <v>4.5999999999999999E-2</v>
      </c>
    </row>
    <row r="25" spans="1:31">
      <c r="A25" t="s">
        <v>708</v>
      </c>
      <c r="B25" t="s">
        <v>4170</v>
      </c>
      <c r="C25" t="s">
        <v>4169</v>
      </c>
      <c r="D25" t="s">
        <v>1995</v>
      </c>
      <c r="E25">
        <v>120.997086</v>
      </c>
      <c r="F25">
        <v>119.146545</v>
      </c>
      <c r="G25">
        <v>117.260048</v>
      </c>
      <c r="H25">
        <v>115.260651</v>
      </c>
      <c r="I25">
        <v>113.323792</v>
      </c>
      <c r="J25">
        <v>111.5065</v>
      </c>
      <c r="K25">
        <v>109.768738</v>
      </c>
      <c r="L25">
        <v>108.098282</v>
      </c>
      <c r="M25">
        <v>106.599266</v>
      </c>
      <c r="N25">
        <v>105.17774199999999</v>
      </c>
      <c r="O25">
        <v>103.89941399999999</v>
      </c>
      <c r="P25">
        <v>102.692307</v>
      </c>
      <c r="Q25">
        <v>101.683723</v>
      </c>
      <c r="R25">
        <v>100.87301600000001</v>
      </c>
      <c r="S25">
        <v>100.21771200000001</v>
      </c>
      <c r="T25">
        <v>99.695250999999999</v>
      </c>
      <c r="U25">
        <v>99.256691000000004</v>
      </c>
      <c r="V25">
        <v>98.881836000000007</v>
      </c>
      <c r="W25">
        <v>98.526840000000007</v>
      </c>
      <c r="X25">
        <v>98.173973000000004</v>
      </c>
      <c r="Y25">
        <v>97.818175999999994</v>
      </c>
      <c r="Z25">
        <v>97.420715000000001</v>
      </c>
      <c r="AA25">
        <v>97.007202000000007</v>
      </c>
      <c r="AB25">
        <v>96.557693</v>
      </c>
      <c r="AC25">
        <v>96.072083000000006</v>
      </c>
      <c r="AD25">
        <v>95.518707000000006</v>
      </c>
      <c r="AE25" s="144">
        <v>-8.9999999999999993E-3</v>
      </c>
    </row>
    <row r="26" spans="1:31">
      <c r="A26" t="s">
        <v>3496</v>
      </c>
    </row>
    <row r="27" spans="1:31">
      <c r="A27" t="s">
        <v>2939</v>
      </c>
    </row>
    <row r="28" spans="1:31">
      <c r="A28" t="s">
        <v>337</v>
      </c>
      <c r="B28" t="s">
        <v>4168</v>
      </c>
      <c r="C28" t="s">
        <v>4167</v>
      </c>
      <c r="D28" t="s">
        <v>1995</v>
      </c>
      <c r="E28">
        <v>126.88201100000001</v>
      </c>
      <c r="F28">
        <v>129.08213799999999</v>
      </c>
      <c r="G28">
        <v>131.21653699999999</v>
      </c>
      <c r="H28">
        <v>133.15033</v>
      </c>
      <c r="I28">
        <v>135.380402</v>
      </c>
      <c r="J28">
        <v>137.845001</v>
      </c>
      <c r="K28">
        <v>140.41305500000001</v>
      </c>
      <c r="L28">
        <v>142.96816999999999</v>
      </c>
      <c r="M28">
        <v>145.25007600000001</v>
      </c>
      <c r="N28">
        <v>147.206604</v>
      </c>
      <c r="O28">
        <v>148.824387</v>
      </c>
      <c r="P28">
        <v>150.037521</v>
      </c>
      <c r="Q28">
        <v>150.945099</v>
      </c>
      <c r="R28">
        <v>151.57351700000001</v>
      </c>
      <c r="S28">
        <v>151.85792499999999</v>
      </c>
      <c r="T28">
        <v>151.94551100000001</v>
      </c>
      <c r="U28">
        <v>151.83879099999999</v>
      </c>
      <c r="V28">
        <v>151.55465699999999</v>
      </c>
      <c r="W28">
        <v>151.13227800000001</v>
      </c>
      <c r="X28">
        <v>150.60131799999999</v>
      </c>
      <c r="Y28">
        <v>149.941284</v>
      </c>
      <c r="Z28">
        <v>149.17553699999999</v>
      </c>
      <c r="AA28">
        <v>148.279663</v>
      </c>
      <c r="AB28">
        <v>147.26391599999999</v>
      </c>
      <c r="AC28">
        <v>146.132721</v>
      </c>
      <c r="AD28">
        <v>144.871048</v>
      </c>
      <c r="AE28" s="144">
        <v>5.0000000000000001E-3</v>
      </c>
    </row>
    <row r="29" spans="1:31">
      <c r="A29" t="s">
        <v>339</v>
      </c>
      <c r="B29" t="s">
        <v>4166</v>
      </c>
      <c r="C29" t="s">
        <v>4165</v>
      </c>
      <c r="D29" t="s">
        <v>1995</v>
      </c>
      <c r="E29">
        <v>1.0264880000000001</v>
      </c>
      <c r="F29">
        <v>1.102185</v>
      </c>
      <c r="G29">
        <v>1.1747369999999999</v>
      </c>
      <c r="H29">
        <v>1.2449539999999999</v>
      </c>
      <c r="I29">
        <v>1.312881</v>
      </c>
      <c r="J29">
        <v>1.3808819999999999</v>
      </c>
      <c r="K29">
        <v>1.446272</v>
      </c>
      <c r="L29">
        <v>1.508645</v>
      </c>
      <c r="M29">
        <v>1.567307</v>
      </c>
      <c r="N29">
        <v>1.6231169999999999</v>
      </c>
      <c r="O29">
        <v>1.674641</v>
      </c>
      <c r="P29">
        <v>1.720396</v>
      </c>
      <c r="Q29">
        <v>1.7623</v>
      </c>
      <c r="R29">
        <v>1.8002560000000001</v>
      </c>
      <c r="S29">
        <v>1.8347629999999999</v>
      </c>
      <c r="T29">
        <v>1.865464</v>
      </c>
      <c r="U29">
        <v>1.8937999999999999</v>
      </c>
      <c r="V29">
        <v>1.9186179999999999</v>
      </c>
      <c r="W29">
        <v>1.9407220000000001</v>
      </c>
      <c r="X29">
        <v>1.959327</v>
      </c>
      <c r="Y29">
        <v>1.9746330000000001</v>
      </c>
      <c r="Z29">
        <v>1.9896659999999999</v>
      </c>
      <c r="AA29">
        <v>2.002802</v>
      </c>
      <c r="AB29">
        <v>2.0145369999999998</v>
      </c>
      <c r="AC29">
        <v>2.0230640000000002</v>
      </c>
      <c r="AD29">
        <v>2.0290560000000002</v>
      </c>
      <c r="AE29" s="144">
        <v>2.8000000000000001E-2</v>
      </c>
    </row>
    <row r="30" spans="1:31">
      <c r="A30" t="s">
        <v>2934</v>
      </c>
      <c r="B30" t="s">
        <v>4164</v>
      </c>
      <c r="C30" t="s">
        <v>4163</v>
      </c>
      <c r="D30" t="s">
        <v>1995</v>
      </c>
      <c r="E30">
        <v>127.908501</v>
      </c>
      <c r="F30">
        <v>130.184326</v>
      </c>
      <c r="G30">
        <v>132.39128099999999</v>
      </c>
      <c r="H30">
        <v>134.39527899999999</v>
      </c>
      <c r="I30">
        <v>136.69328300000001</v>
      </c>
      <c r="J30">
        <v>139.225876</v>
      </c>
      <c r="K30">
        <v>141.859329</v>
      </c>
      <c r="L30">
        <v>144.476822</v>
      </c>
      <c r="M30">
        <v>146.81738300000001</v>
      </c>
      <c r="N30">
        <v>148.82972699999999</v>
      </c>
      <c r="O30">
        <v>150.49902299999999</v>
      </c>
      <c r="P30">
        <v>151.75791899999999</v>
      </c>
      <c r="Q30">
        <v>152.70739699999999</v>
      </c>
      <c r="R30">
        <v>153.37377900000001</v>
      </c>
      <c r="S30">
        <v>153.692688</v>
      </c>
      <c r="T30">
        <v>153.81097399999999</v>
      </c>
      <c r="U30">
        <v>153.73258999999999</v>
      </c>
      <c r="V30">
        <v>153.47328200000001</v>
      </c>
      <c r="W30">
        <v>153.07299800000001</v>
      </c>
      <c r="X30">
        <v>152.56063800000001</v>
      </c>
      <c r="Y30">
        <v>151.91592399999999</v>
      </c>
      <c r="Z30">
        <v>151.16520700000001</v>
      </c>
      <c r="AA30">
        <v>150.28247099999999</v>
      </c>
      <c r="AB30">
        <v>149.278458</v>
      </c>
      <c r="AC30">
        <v>148.15579199999999</v>
      </c>
      <c r="AD30">
        <v>146.90010100000001</v>
      </c>
      <c r="AE30" s="144">
        <v>6.0000000000000001E-3</v>
      </c>
    </row>
    <row r="31" spans="1:31">
      <c r="A31" t="s">
        <v>2931</v>
      </c>
    </row>
    <row r="32" spans="1:31">
      <c r="A32" t="s">
        <v>344</v>
      </c>
      <c r="B32" t="s">
        <v>4162</v>
      </c>
      <c r="C32" t="s">
        <v>4161</v>
      </c>
      <c r="D32" t="s">
        <v>1995</v>
      </c>
      <c r="E32">
        <v>14.217026000000001</v>
      </c>
      <c r="F32">
        <v>13.629429</v>
      </c>
      <c r="G32">
        <v>13.009528</v>
      </c>
      <c r="H32">
        <v>12.356524</v>
      </c>
      <c r="I32">
        <v>11.671499000000001</v>
      </c>
      <c r="J32">
        <v>10.961964</v>
      </c>
      <c r="K32">
        <v>10.234736</v>
      </c>
      <c r="L32">
        <v>9.5127520000000008</v>
      </c>
      <c r="M32">
        <v>8.7994629999999994</v>
      </c>
      <c r="N32">
        <v>8.1028850000000006</v>
      </c>
      <c r="O32">
        <v>7.4397149999999996</v>
      </c>
      <c r="P32">
        <v>6.8216590000000004</v>
      </c>
      <c r="Q32">
        <v>6.2519619999999998</v>
      </c>
      <c r="R32">
        <v>5.740386</v>
      </c>
      <c r="S32">
        <v>5.2863239999999996</v>
      </c>
      <c r="T32">
        <v>4.8798469999999998</v>
      </c>
      <c r="U32">
        <v>4.5146389999999998</v>
      </c>
      <c r="V32">
        <v>4.1937059999999997</v>
      </c>
      <c r="W32">
        <v>3.9087939999999999</v>
      </c>
      <c r="X32">
        <v>3.657295</v>
      </c>
      <c r="Y32">
        <v>3.4304169999999998</v>
      </c>
      <c r="Z32">
        <v>3.2261540000000002</v>
      </c>
      <c r="AA32">
        <v>3.0387900000000001</v>
      </c>
      <c r="AB32">
        <v>2.866136</v>
      </c>
      <c r="AC32">
        <v>2.703694</v>
      </c>
      <c r="AD32">
        <v>2.5508350000000002</v>
      </c>
      <c r="AE32" s="144">
        <v>-6.6000000000000003E-2</v>
      </c>
    </row>
    <row r="33" spans="1:32">
      <c r="A33" t="s">
        <v>2928</v>
      </c>
      <c r="B33" t="s">
        <v>4160</v>
      </c>
      <c r="C33" t="s">
        <v>4159</v>
      </c>
      <c r="D33" t="s">
        <v>1995</v>
      </c>
      <c r="E33">
        <v>6.0990000000000003E-3</v>
      </c>
      <c r="F33">
        <v>7.9030000000000003E-3</v>
      </c>
      <c r="G33">
        <v>9.9959999999999997E-3</v>
      </c>
      <c r="H33">
        <v>1.2184E-2</v>
      </c>
      <c r="I33">
        <v>1.4499E-2</v>
      </c>
      <c r="J33">
        <v>1.7212000000000002E-2</v>
      </c>
      <c r="K33">
        <v>2.0240000000000001E-2</v>
      </c>
      <c r="L33">
        <v>2.3619999999999999E-2</v>
      </c>
      <c r="M33">
        <v>2.7352999999999999E-2</v>
      </c>
      <c r="N33">
        <v>3.1321000000000002E-2</v>
      </c>
      <c r="O33">
        <v>3.5570999999999998E-2</v>
      </c>
      <c r="P33">
        <v>3.9981999999999997E-2</v>
      </c>
      <c r="Q33">
        <v>4.4578E-2</v>
      </c>
      <c r="R33">
        <v>4.9347000000000002E-2</v>
      </c>
      <c r="S33">
        <v>5.4264E-2</v>
      </c>
      <c r="T33">
        <v>5.9301E-2</v>
      </c>
      <c r="U33">
        <v>6.4359E-2</v>
      </c>
      <c r="V33">
        <v>6.9422999999999999E-2</v>
      </c>
      <c r="W33">
        <v>7.4478000000000003E-2</v>
      </c>
      <c r="X33">
        <v>7.9505999999999993E-2</v>
      </c>
      <c r="Y33">
        <v>8.4542000000000006E-2</v>
      </c>
      <c r="Z33">
        <v>8.9469000000000007E-2</v>
      </c>
      <c r="AA33">
        <v>9.4325000000000006E-2</v>
      </c>
      <c r="AB33">
        <v>9.9043999999999993E-2</v>
      </c>
      <c r="AC33">
        <v>0.10366499999999999</v>
      </c>
      <c r="AD33">
        <v>0.10810500000000001</v>
      </c>
      <c r="AE33" s="144">
        <v>0.122</v>
      </c>
    </row>
    <row r="34" spans="1:32">
      <c r="A34" t="s">
        <v>2925</v>
      </c>
      <c r="B34" t="s">
        <v>4158</v>
      </c>
      <c r="C34" t="s">
        <v>4157</v>
      </c>
      <c r="D34" t="s">
        <v>1995</v>
      </c>
      <c r="E34">
        <v>0.211062</v>
      </c>
      <c r="F34">
        <v>0.43526199999999998</v>
      </c>
      <c r="G34">
        <v>0.75587899999999997</v>
      </c>
      <c r="H34">
        <v>1.1686879999999999</v>
      </c>
      <c r="I34">
        <v>1.62182</v>
      </c>
      <c r="J34">
        <v>2.005207</v>
      </c>
      <c r="K34">
        <v>2.3734959999999998</v>
      </c>
      <c r="L34">
        <v>2.6913450000000001</v>
      </c>
      <c r="M34">
        <v>3.0393189999999999</v>
      </c>
      <c r="N34">
        <v>3.412061</v>
      </c>
      <c r="O34">
        <v>3.8149540000000002</v>
      </c>
      <c r="P34">
        <v>4.2342370000000003</v>
      </c>
      <c r="Q34">
        <v>4.6760089999999996</v>
      </c>
      <c r="R34">
        <v>5.1381360000000003</v>
      </c>
      <c r="S34">
        <v>5.6095189999999997</v>
      </c>
      <c r="T34">
        <v>6.0931940000000004</v>
      </c>
      <c r="U34">
        <v>6.5815359999999998</v>
      </c>
      <c r="V34">
        <v>7.0717910000000002</v>
      </c>
      <c r="W34">
        <v>7.5614780000000001</v>
      </c>
      <c r="X34">
        <v>8.0478860000000001</v>
      </c>
      <c r="Y34">
        <v>8.5314540000000001</v>
      </c>
      <c r="Z34">
        <v>9.0052559999999993</v>
      </c>
      <c r="AA34">
        <v>9.4732380000000003</v>
      </c>
      <c r="AB34">
        <v>9.9300350000000002</v>
      </c>
      <c r="AC34">
        <v>10.377029</v>
      </c>
      <c r="AD34">
        <v>10.806226000000001</v>
      </c>
      <c r="AE34" s="144">
        <v>0.17</v>
      </c>
    </row>
    <row r="35" spans="1:32">
      <c r="A35" t="s">
        <v>2922</v>
      </c>
      <c r="B35" t="s">
        <v>4156</v>
      </c>
      <c r="C35" t="s">
        <v>4155</v>
      </c>
      <c r="D35" t="s">
        <v>1995</v>
      </c>
      <c r="E35">
        <v>0.95796599999999998</v>
      </c>
      <c r="F35">
        <v>1.487296</v>
      </c>
      <c r="G35">
        <v>2.1403889999999999</v>
      </c>
      <c r="H35">
        <v>2.9122780000000001</v>
      </c>
      <c r="I35">
        <v>3.7158890000000002</v>
      </c>
      <c r="J35">
        <v>4.5282819999999999</v>
      </c>
      <c r="K35">
        <v>5.285679</v>
      </c>
      <c r="L35">
        <v>6.0674489999999999</v>
      </c>
      <c r="M35">
        <v>6.9220980000000001</v>
      </c>
      <c r="N35">
        <v>7.8317240000000004</v>
      </c>
      <c r="O35">
        <v>8.8029989999999998</v>
      </c>
      <c r="P35">
        <v>9.8035540000000001</v>
      </c>
      <c r="Q35">
        <v>10.845307</v>
      </c>
      <c r="R35">
        <v>11.922313000000001</v>
      </c>
      <c r="S35">
        <v>13.020491</v>
      </c>
      <c r="T35">
        <v>14.136728</v>
      </c>
      <c r="U35">
        <v>15.251779000000001</v>
      </c>
      <c r="V35">
        <v>16.361359</v>
      </c>
      <c r="W35">
        <v>17.460260000000002</v>
      </c>
      <c r="X35">
        <v>18.543323999999998</v>
      </c>
      <c r="Y35">
        <v>19.614153000000002</v>
      </c>
      <c r="Z35">
        <v>20.654502999999998</v>
      </c>
      <c r="AA35">
        <v>21.672916000000001</v>
      </c>
      <c r="AB35">
        <v>22.659389000000001</v>
      </c>
      <c r="AC35">
        <v>23.615309</v>
      </c>
      <c r="AD35">
        <v>24.526198999999998</v>
      </c>
      <c r="AE35" s="144">
        <v>0.13800000000000001</v>
      </c>
    </row>
    <row r="36" spans="1:32">
      <c r="A36" t="s">
        <v>2919</v>
      </c>
      <c r="B36" t="s">
        <v>4154</v>
      </c>
      <c r="C36" t="s">
        <v>4153</v>
      </c>
      <c r="D36" t="s">
        <v>1995</v>
      </c>
      <c r="E36">
        <v>0.85378600000000004</v>
      </c>
      <c r="F36">
        <v>0.99402299999999999</v>
      </c>
      <c r="G36">
        <v>1.1426179999999999</v>
      </c>
      <c r="H36">
        <v>1.288937</v>
      </c>
      <c r="I36">
        <v>1.430005</v>
      </c>
      <c r="J36">
        <v>1.5789219999999999</v>
      </c>
      <c r="K36">
        <v>1.7359979999999999</v>
      </c>
      <c r="L36">
        <v>1.898552</v>
      </c>
      <c r="M36">
        <v>2.0706470000000001</v>
      </c>
      <c r="N36">
        <v>2.2496900000000002</v>
      </c>
      <c r="O36">
        <v>2.437538</v>
      </c>
      <c r="P36">
        <v>2.6233740000000001</v>
      </c>
      <c r="Q36">
        <v>2.8093340000000002</v>
      </c>
      <c r="R36">
        <v>2.9945599999999999</v>
      </c>
      <c r="S36">
        <v>3.177162</v>
      </c>
      <c r="T36">
        <v>3.352805</v>
      </c>
      <c r="U36">
        <v>3.5209280000000001</v>
      </c>
      <c r="V36">
        <v>3.6814119999999999</v>
      </c>
      <c r="W36">
        <v>3.835305</v>
      </c>
      <c r="X36">
        <v>3.981122</v>
      </c>
      <c r="Y36">
        <v>4.1190100000000003</v>
      </c>
      <c r="Z36">
        <v>4.2500850000000003</v>
      </c>
      <c r="AA36">
        <v>4.3749710000000004</v>
      </c>
      <c r="AB36">
        <v>4.4926180000000002</v>
      </c>
      <c r="AC36">
        <v>4.6037569999999999</v>
      </c>
      <c r="AD36">
        <v>4.7060170000000001</v>
      </c>
      <c r="AE36" s="144">
        <v>7.0999999999999994E-2</v>
      </c>
    </row>
    <row r="37" spans="1:32">
      <c r="A37" t="s">
        <v>2916</v>
      </c>
      <c r="B37" t="s">
        <v>4152</v>
      </c>
      <c r="C37" t="s">
        <v>4151</v>
      </c>
      <c r="D37" t="s">
        <v>1995</v>
      </c>
      <c r="E37">
        <v>0.24466599999999999</v>
      </c>
      <c r="F37">
        <v>0.530447</v>
      </c>
      <c r="G37">
        <v>0.97142399999999995</v>
      </c>
      <c r="H37">
        <v>1.517587</v>
      </c>
      <c r="I37">
        <v>1.7755879999999999</v>
      </c>
      <c r="J37">
        <v>1.9773430000000001</v>
      </c>
      <c r="K37">
        <v>2.1101869999999998</v>
      </c>
      <c r="L37">
        <v>2.173521</v>
      </c>
      <c r="M37">
        <v>2.2373780000000001</v>
      </c>
      <c r="N37">
        <v>2.2986119999999999</v>
      </c>
      <c r="O37">
        <v>2.3605330000000002</v>
      </c>
      <c r="P37">
        <v>2.4175620000000002</v>
      </c>
      <c r="Q37">
        <v>2.4705339999999998</v>
      </c>
      <c r="R37">
        <v>2.51728</v>
      </c>
      <c r="S37">
        <v>2.5571320000000002</v>
      </c>
      <c r="T37">
        <v>2.5884559999999999</v>
      </c>
      <c r="U37">
        <v>2.6070009999999999</v>
      </c>
      <c r="V37">
        <v>2.6123699999999999</v>
      </c>
      <c r="W37">
        <v>2.6045060000000002</v>
      </c>
      <c r="X37">
        <v>2.5848330000000002</v>
      </c>
      <c r="Y37">
        <v>2.5566409999999999</v>
      </c>
      <c r="Z37">
        <v>2.5199159999999998</v>
      </c>
      <c r="AA37">
        <v>2.4790969999999999</v>
      </c>
      <c r="AB37">
        <v>2.4358939999999998</v>
      </c>
      <c r="AC37">
        <v>2.3938929999999998</v>
      </c>
      <c r="AD37">
        <v>2.3522940000000001</v>
      </c>
      <c r="AE37" s="144">
        <v>9.5000000000000001E-2</v>
      </c>
    </row>
    <row r="38" spans="1:32">
      <c r="A38" t="s">
        <v>353</v>
      </c>
      <c r="B38" t="s">
        <v>4150</v>
      </c>
      <c r="C38" t="s">
        <v>4149</v>
      </c>
      <c r="D38" t="s">
        <v>1995</v>
      </c>
      <c r="E38">
        <v>4.905017</v>
      </c>
      <c r="F38">
        <v>6.5995249999999999</v>
      </c>
      <c r="G38">
        <v>8.4097570000000008</v>
      </c>
      <c r="H38">
        <v>10.351018</v>
      </c>
      <c r="I38">
        <v>12.394314</v>
      </c>
      <c r="J38">
        <v>14.555717</v>
      </c>
      <c r="K38">
        <v>16.767797000000002</v>
      </c>
      <c r="L38">
        <v>18.986816000000001</v>
      </c>
      <c r="M38">
        <v>21.214272000000001</v>
      </c>
      <c r="N38">
        <v>23.425937999999999</v>
      </c>
      <c r="O38">
        <v>25.617578999999999</v>
      </c>
      <c r="P38">
        <v>27.738834000000001</v>
      </c>
      <c r="Q38">
        <v>29.818680000000001</v>
      </c>
      <c r="R38">
        <v>31.841459</v>
      </c>
      <c r="S38">
        <v>33.896023</v>
      </c>
      <c r="T38">
        <v>35.876998999999998</v>
      </c>
      <c r="U38">
        <v>37.757815999999998</v>
      </c>
      <c r="V38">
        <v>39.531959999999998</v>
      </c>
      <c r="W38">
        <v>41.202553000000002</v>
      </c>
      <c r="X38">
        <v>42.773197000000003</v>
      </c>
      <c r="Y38">
        <v>44.248638</v>
      </c>
      <c r="Z38">
        <v>45.628619999999998</v>
      </c>
      <c r="AA38">
        <v>46.918514000000002</v>
      </c>
      <c r="AB38">
        <v>48.114063000000002</v>
      </c>
      <c r="AC38">
        <v>49.225681000000002</v>
      </c>
      <c r="AD38">
        <v>50.248488999999999</v>
      </c>
      <c r="AE38" s="144">
        <v>9.8000000000000004E-2</v>
      </c>
    </row>
    <row r="39" spans="1:32">
      <c r="A39" t="s">
        <v>355</v>
      </c>
      <c r="B39" t="s">
        <v>4148</v>
      </c>
      <c r="C39" t="s">
        <v>4147</v>
      </c>
      <c r="D39" t="s">
        <v>1995</v>
      </c>
      <c r="E39">
        <v>2.2550000000000001E-3</v>
      </c>
      <c r="F39">
        <v>2.098E-3</v>
      </c>
      <c r="G39">
        <v>1.9480000000000001E-3</v>
      </c>
      <c r="H39">
        <v>1.812E-3</v>
      </c>
      <c r="I39">
        <v>1.694E-3</v>
      </c>
      <c r="J39">
        <v>1.583E-3</v>
      </c>
      <c r="K39">
        <v>1.4760000000000001E-3</v>
      </c>
      <c r="L39">
        <v>1.372E-3</v>
      </c>
      <c r="M39">
        <v>1.2750000000000001E-3</v>
      </c>
      <c r="N39">
        <v>1.183E-3</v>
      </c>
      <c r="O39">
        <v>1.098E-3</v>
      </c>
      <c r="P39">
        <v>1.0219999999999999E-3</v>
      </c>
      <c r="Q39">
        <v>9.5799999999999998E-4</v>
      </c>
      <c r="R39">
        <v>8.9800000000000004E-4</v>
      </c>
      <c r="S39">
        <v>8.4500000000000005E-4</v>
      </c>
      <c r="T39">
        <v>7.9500000000000003E-4</v>
      </c>
      <c r="U39">
        <v>7.4799999999999997E-4</v>
      </c>
      <c r="V39">
        <v>7.0299999999999996E-4</v>
      </c>
      <c r="W39">
        <v>6.6200000000000005E-4</v>
      </c>
      <c r="X39">
        <v>6.2200000000000005E-4</v>
      </c>
      <c r="Y39">
        <v>5.8500000000000002E-4</v>
      </c>
      <c r="Z39">
        <v>5.5099999999999995E-4</v>
      </c>
      <c r="AA39">
        <v>5.1800000000000001E-4</v>
      </c>
      <c r="AB39">
        <v>4.8700000000000002E-4</v>
      </c>
      <c r="AC39">
        <v>4.5800000000000002E-4</v>
      </c>
      <c r="AD39">
        <v>4.3100000000000001E-4</v>
      </c>
      <c r="AE39" s="144">
        <v>-6.4000000000000001E-2</v>
      </c>
    </row>
    <row r="40" spans="1:32">
      <c r="A40" t="s">
        <v>357</v>
      </c>
      <c r="B40" t="s">
        <v>4146</v>
      </c>
      <c r="C40" t="s">
        <v>4145</v>
      </c>
      <c r="D40" t="s">
        <v>1995</v>
      </c>
      <c r="E40">
        <v>1.665E-3</v>
      </c>
      <c r="F40">
        <v>1.5659999999999999E-3</v>
      </c>
      <c r="G40">
        <v>1.4729999999999999E-3</v>
      </c>
      <c r="H40">
        <v>1.3849999999999999E-3</v>
      </c>
      <c r="I40">
        <v>1.3029999999999999E-3</v>
      </c>
      <c r="J40">
        <v>1.2260000000000001E-3</v>
      </c>
      <c r="K40">
        <v>1.1529999999999999E-3</v>
      </c>
      <c r="L40">
        <v>1.0839999999999999E-3</v>
      </c>
      <c r="M40">
        <v>1.0200000000000001E-3</v>
      </c>
      <c r="N40">
        <v>9.59E-4</v>
      </c>
      <c r="O40">
        <v>9.0200000000000002E-4</v>
      </c>
      <c r="P40">
        <v>8.4900000000000004E-4</v>
      </c>
      <c r="Q40">
        <v>7.9799999999999999E-4</v>
      </c>
      <c r="R40">
        <v>7.5100000000000004E-4</v>
      </c>
      <c r="S40">
        <v>7.0600000000000003E-4</v>
      </c>
      <c r="T40">
        <v>6.6399999999999999E-4</v>
      </c>
      <c r="U40">
        <v>6.2500000000000001E-4</v>
      </c>
      <c r="V40">
        <v>5.8799999999999998E-4</v>
      </c>
      <c r="W40">
        <v>5.53E-4</v>
      </c>
      <c r="X40">
        <v>5.1999999999999995E-4</v>
      </c>
      <c r="Y40">
        <v>4.8899999999999996E-4</v>
      </c>
      <c r="Z40">
        <v>4.6000000000000001E-4</v>
      </c>
      <c r="AA40">
        <v>4.3300000000000001E-4</v>
      </c>
      <c r="AB40">
        <v>4.0700000000000003E-4</v>
      </c>
      <c r="AC40">
        <v>3.8299999999999999E-4</v>
      </c>
      <c r="AD40">
        <v>3.6000000000000002E-4</v>
      </c>
      <c r="AE40" s="144">
        <v>-5.8999999999999997E-2</v>
      </c>
    </row>
    <row r="41" spans="1:32">
      <c r="A41" t="s">
        <v>359</v>
      </c>
      <c r="B41" t="s">
        <v>4144</v>
      </c>
      <c r="C41" t="s">
        <v>4143</v>
      </c>
      <c r="D41" t="s">
        <v>1995</v>
      </c>
      <c r="E41">
        <v>4.2449999999999996E-3</v>
      </c>
      <c r="F41">
        <v>3.9350000000000001E-3</v>
      </c>
      <c r="G41">
        <v>3.6909999999999998E-3</v>
      </c>
      <c r="H41">
        <v>3.4719999999999998E-3</v>
      </c>
      <c r="I41">
        <v>3.2659999999999998E-3</v>
      </c>
      <c r="J41">
        <v>3.0720000000000001E-3</v>
      </c>
      <c r="K41">
        <v>2.8890000000000001E-3</v>
      </c>
      <c r="L41">
        <v>2.7169999999999998E-3</v>
      </c>
      <c r="M41">
        <v>2.5560000000000001E-3</v>
      </c>
      <c r="N41">
        <v>2.4039999999999999E-3</v>
      </c>
      <c r="O41">
        <v>2.261E-3</v>
      </c>
      <c r="P41">
        <v>2.127E-3</v>
      </c>
      <c r="Q41">
        <v>2E-3</v>
      </c>
      <c r="R41">
        <v>1.882E-3</v>
      </c>
      <c r="S41">
        <v>1.7700000000000001E-3</v>
      </c>
      <c r="T41">
        <v>1.665E-3</v>
      </c>
      <c r="U41">
        <v>1.5659999999999999E-3</v>
      </c>
      <c r="V41">
        <v>1.4729999999999999E-3</v>
      </c>
      <c r="W41">
        <v>1.3849999999999999E-3</v>
      </c>
      <c r="X41">
        <v>1.3029999999999999E-3</v>
      </c>
      <c r="Y41">
        <v>1.225E-3</v>
      </c>
      <c r="Z41">
        <v>1.1529999999999999E-3</v>
      </c>
      <c r="AA41">
        <v>1.0839999999999999E-3</v>
      </c>
      <c r="AB41">
        <v>1.0200000000000001E-3</v>
      </c>
      <c r="AC41">
        <v>9.59E-4</v>
      </c>
      <c r="AD41">
        <v>9.0200000000000002E-4</v>
      </c>
      <c r="AE41" s="144">
        <v>-0.06</v>
      </c>
    </row>
    <row r="42" spans="1:32">
      <c r="A42" t="s">
        <v>361</v>
      </c>
      <c r="B42" t="s">
        <v>4142</v>
      </c>
      <c r="C42" t="s">
        <v>4141</v>
      </c>
      <c r="D42" t="s">
        <v>1995</v>
      </c>
      <c r="E42">
        <v>3.9060000000000002E-3</v>
      </c>
      <c r="F42">
        <v>3.673E-3</v>
      </c>
      <c r="G42">
        <v>3.4550000000000002E-3</v>
      </c>
      <c r="H42">
        <v>3.2499999999999999E-3</v>
      </c>
      <c r="I42">
        <v>3.0569999999999998E-3</v>
      </c>
      <c r="J42">
        <v>2.875E-3</v>
      </c>
      <c r="K42">
        <v>2.7039999999999998E-3</v>
      </c>
      <c r="L42">
        <v>2.5430000000000001E-3</v>
      </c>
      <c r="M42">
        <v>2.392E-3</v>
      </c>
      <c r="N42">
        <v>2.2499999999999998E-3</v>
      </c>
      <c r="O42">
        <v>2.1159999999999998E-3</v>
      </c>
      <c r="P42">
        <v>1.9910000000000001E-3</v>
      </c>
      <c r="Q42">
        <v>1.872E-3</v>
      </c>
      <c r="R42">
        <v>1.761E-3</v>
      </c>
      <c r="S42">
        <v>1.6559999999999999E-3</v>
      </c>
      <c r="T42">
        <v>1.5579999999999999E-3</v>
      </c>
      <c r="U42">
        <v>1.4660000000000001E-3</v>
      </c>
      <c r="V42">
        <v>1.3780000000000001E-3</v>
      </c>
      <c r="W42">
        <v>1.297E-3</v>
      </c>
      <c r="X42">
        <v>1.2199999999999999E-3</v>
      </c>
      <c r="Y42">
        <v>1.147E-3</v>
      </c>
      <c r="Z42">
        <v>1.0790000000000001E-3</v>
      </c>
      <c r="AA42">
        <v>1.0150000000000001E-3</v>
      </c>
      <c r="AB42">
        <v>9.5500000000000001E-4</v>
      </c>
      <c r="AC42">
        <v>8.9800000000000004E-4</v>
      </c>
      <c r="AD42">
        <v>8.4500000000000005E-4</v>
      </c>
      <c r="AE42" s="144">
        <v>-5.8999999999999997E-2</v>
      </c>
    </row>
    <row r="43" spans="1:32">
      <c r="A43" t="s">
        <v>365</v>
      </c>
      <c r="B43" t="s">
        <v>4140</v>
      </c>
      <c r="C43" t="s">
        <v>4139</v>
      </c>
      <c r="D43" t="s">
        <v>1995</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1769</v>
      </c>
    </row>
    <row r="44" spans="1:32">
      <c r="A44" t="s">
        <v>2897</v>
      </c>
      <c r="B44" t="s">
        <v>4138</v>
      </c>
      <c r="C44" t="s">
        <v>4137</v>
      </c>
      <c r="D44" t="s">
        <v>1995</v>
      </c>
      <c r="E44">
        <v>21.407693999999999</v>
      </c>
      <c r="F44">
        <v>23.695156000000001</v>
      </c>
      <c r="G44">
        <v>26.450157000000001</v>
      </c>
      <c r="H44">
        <v>29.617134</v>
      </c>
      <c r="I44">
        <v>32.632935000000003</v>
      </c>
      <c r="J44">
        <v>35.633400000000002</v>
      </c>
      <c r="K44">
        <v>38.536354000000003</v>
      </c>
      <c r="L44">
        <v>41.361770999999997</v>
      </c>
      <c r="M44">
        <v>44.317763999999997</v>
      </c>
      <c r="N44">
        <v>47.359023999999998</v>
      </c>
      <c r="O44">
        <v>50.515265999999997</v>
      </c>
      <c r="P44">
        <v>53.685192000000001</v>
      </c>
      <c r="Q44">
        <v>56.922030999999997</v>
      </c>
      <c r="R44">
        <v>60.208778000000002</v>
      </c>
      <c r="S44">
        <v>63.605888</v>
      </c>
      <c r="T44">
        <v>66.992003999999994</v>
      </c>
      <c r="U44">
        <v>70.302459999999996</v>
      </c>
      <c r="V44">
        <v>73.526154000000005</v>
      </c>
      <c r="W44">
        <v>76.651275999999996</v>
      </c>
      <c r="X44">
        <v>79.670829999999995</v>
      </c>
      <c r="Y44">
        <v>82.588302999999996</v>
      </c>
      <c r="Z44">
        <v>85.377234999999999</v>
      </c>
      <c r="AA44">
        <v>88.054901000000001</v>
      </c>
      <c r="AB44">
        <v>90.600052000000005</v>
      </c>
      <c r="AC44">
        <v>93.025734</v>
      </c>
      <c r="AD44">
        <v>95.300704999999994</v>
      </c>
      <c r="AE44" s="144">
        <v>6.2E-2</v>
      </c>
    </row>
    <row r="45" spans="1:32">
      <c r="A45" t="s">
        <v>731</v>
      </c>
      <c r="B45" t="s">
        <v>4136</v>
      </c>
      <c r="C45" t="s">
        <v>4135</v>
      </c>
      <c r="D45" t="s">
        <v>1995</v>
      </c>
      <c r="E45">
        <v>149.316193</v>
      </c>
      <c r="F45">
        <v>153.87948600000001</v>
      </c>
      <c r="G45">
        <v>158.841431</v>
      </c>
      <c r="H45">
        <v>164.01242099999999</v>
      </c>
      <c r="I45">
        <v>169.32621800000001</v>
      </c>
      <c r="J45">
        <v>174.859283</v>
      </c>
      <c r="K45">
        <v>180.395691</v>
      </c>
      <c r="L45">
        <v>185.838593</v>
      </c>
      <c r="M45">
        <v>191.13514699999999</v>
      </c>
      <c r="N45">
        <v>196.188751</v>
      </c>
      <c r="O45">
        <v>201.01428200000001</v>
      </c>
      <c r="P45">
        <v>205.44311500000001</v>
      </c>
      <c r="Q45">
        <v>209.629425</v>
      </c>
      <c r="R45">
        <v>213.58255</v>
      </c>
      <c r="S45">
        <v>217.29858400000001</v>
      </c>
      <c r="T45">
        <v>220.80297899999999</v>
      </c>
      <c r="U45">
        <v>224.03504899999999</v>
      </c>
      <c r="V45">
        <v>226.99943500000001</v>
      </c>
      <c r="W45">
        <v>229.72427400000001</v>
      </c>
      <c r="X45">
        <v>232.23147599999999</v>
      </c>
      <c r="Y45">
        <v>234.50422699999999</v>
      </c>
      <c r="Z45">
        <v>236.54245</v>
      </c>
      <c r="AA45">
        <v>238.33737199999999</v>
      </c>
      <c r="AB45">
        <v>239.87851000000001</v>
      </c>
      <c r="AC45">
        <v>241.18151900000001</v>
      </c>
      <c r="AD45">
        <v>242.200806</v>
      </c>
      <c r="AE45" s="144">
        <v>0.02</v>
      </c>
    </row>
    <row r="46" spans="1:32">
      <c r="A46" t="s">
        <v>211</v>
      </c>
      <c r="B46" t="s">
        <v>3457</v>
      </c>
      <c r="C46" t="s">
        <v>4134</v>
      </c>
      <c r="D46" t="s">
        <v>4133</v>
      </c>
      <c r="E46">
        <v>270.31329299999999</v>
      </c>
      <c r="F46">
        <v>273.02603099999999</v>
      </c>
      <c r="G46">
        <v>276.101471</v>
      </c>
      <c r="H46">
        <v>279.27307100000002</v>
      </c>
      <c r="I46">
        <v>282.65002399999997</v>
      </c>
      <c r="J46">
        <v>286.36578400000002</v>
      </c>
      <c r="K46">
        <v>290.16442899999998</v>
      </c>
      <c r="L46">
        <v>293.93689000000001</v>
      </c>
      <c r="M46">
        <v>297.73440599999998</v>
      </c>
      <c r="N46">
        <v>301.36648600000001</v>
      </c>
      <c r="O46">
        <v>304.91369600000002</v>
      </c>
      <c r="P46">
        <v>308.13543700000002</v>
      </c>
      <c r="Q46">
        <v>311.31314099999997</v>
      </c>
      <c r="R46">
        <v>314.45556599999998</v>
      </c>
      <c r="S46">
        <v>317.51629600000001</v>
      </c>
      <c r="T46">
        <v>320.49822999999998</v>
      </c>
      <c r="U46">
        <v>323.29174799999998</v>
      </c>
      <c r="V46">
        <v>325.88128699999999</v>
      </c>
      <c r="W46">
        <v>328.25109900000001</v>
      </c>
      <c r="X46">
        <v>330.40545700000001</v>
      </c>
      <c r="Y46">
        <v>332.32238799999999</v>
      </c>
      <c r="Z46">
        <v>333.963165</v>
      </c>
      <c r="AA46">
        <v>335.34457400000002</v>
      </c>
      <c r="AB46">
        <v>336.436218</v>
      </c>
      <c r="AC46">
        <v>337.253601</v>
      </c>
      <c r="AD46">
        <v>337.71951300000001</v>
      </c>
      <c r="AE46" s="144">
        <v>8.9999999999999993E-3</v>
      </c>
      <c r="AF46" s="144"/>
    </row>
    <row r="47" spans="1:32">
      <c r="A47" t="s">
        <v>3454</v>
      </c>
      <c r="B47" t="s">
        <v>4132</v>
      </c>
      <c r="C47" t="s">
        <v>4131</v>
      </c>
      <c r="D47" t="s">
        <v>1995</v>
      </c>
      <c r="E47">
        <v>233.96404999999999</v>
      </c>
      <c r="F47">
        <v>233.43107599999999</v>
      </c>
      <c r="G47">
        <v>232.611786</v>
      </c>
      <c r="H47">
        <v>231.55200199999999</v>
      </c>
      <c r="I47">
        <v>230.81897000000001</v>
      </c>
      <c r="J47">
        <v>230.385773</v>
      </c>
      <c r="K47">
        <v>230.07678200000001</v>
      </c>
      <c r="L47">
        <v>229.79383899999999</v>
      </c>
      <c r="M47">
        <v>229.313446</v>
      </c>
      <c r="N47">
        <v>228.55001799999999</v>
      </c>
      <c r="O47">
        <v>227.53433200000001</v>
      </c>
      <c r="P47">
        <v>226.20050000000001</v>
      </c>
      <c r="Q47">
        <v>224.738632</v>
      </c>
      <c r="R47">
        <v>223.19229100000001</v>
      </c>
      <c r="S47">
        <v>221.47532699999999</v>
      </c>
      <c r="T47">
        <v>219.734497</v>
      </c>
      <c r="U47">
        <v>217.943298</v>
      </c>
      <c r="V47">
        <v>216.103149</v>
      </c>
      <c r="W47">
        <v>214.216385</v>
      </c>
      <c r="X47">
        <v>212.29663099999999</v>
      </c>
      <c r="Y47">
        <v>210.31057699999999</v>
      </c>
      <c r="Z47">
        <v>208.247513</v>
      </c>
      <c r="AA47">
        <v>206.086288</v>
      </c>
      <c r="AB47">
        <v>203.822754</v>
      </c>
      <c r="AC47">
        <v>201.46935999999999</v>
      </c>
      <c r="AD47">
        <v>198.99472</v>
      </c>
      <c r="AE47" s="144">
        <v>-6.0000000000000001E-3</v>
      </c>
    </row>
    <row r="48" spans="1:32">
      <c r="A48" t="s">
        <v>3451</v>
      </c>
      <c r="B48" t="s">
        <v>4130</v>
      </c>
      <c r="C48" t="s">
        <v>4129</v>
      </c>
      <c r="D48" t="s">
        <v>1995</v>
      </c>
      <c r="E48">
        <v>1.4834369999999999</v>
      </c>
      <c r="F48">
        <v>1.5274369999999999</v>
      </c>
      <c r="G48">
        <v>1.568859</v>
      </c>
      <c r="H48">
        <v>1.6082959999999999</v>
      </c>
      <c r="I48">
        <v>1.645627</v>
      </c>
      <c r="J48">
        <v>1.6836599999999999</v>
      </c>
      <c r="K48">
        <v>1.7203809999999999</v>
      </c>
      <c r="L48">
        <v>1.754939</v>
      </c>
      <c r="M48">
        <v>1.7871840000000001</v>
      </c>
      <c r="N48">
        <v>1.8185150000000001</v>
      </c>
      <c r="O48">
        <v>1.8480319999999999</v>
      </c>
      <c r="P48">
        <v>1.87476</v>
      </c>
      <c r="Q48">
        <v>1.9007309999999999</v>
      </c>
      <c r="R48">
        <v>1.925889</v>
      </c>
      <c r="S48">
        <v>1.9507429999999999</v>
      </c>
      <c r="T48">
        <v>1.9740089999999999</v>
      </c>
      <c r="U48">
        <v>1.995547</v>
      </c>
      <c r="V48">
        <v>2.014192</v>
      </c>
      <c r="W48">
        <v>2.0306660000000001</v>
      </c>
      <c r="X48">
        <v>2.0440079999999998</v>
      </c>
      <c r="Y48">
        <v>2.054373</v>
      </c>
      <c r="Z48">
        <v>2.0647639999999998</v>
      </c>
      <c r="AA48">
        <v>2.0735399999999999</v>
      </c>
      <c r="AB48">
        <v>2.081178</v>
      </c>
      <c r="AC48">
        <v>2.0858539999999999</v>
      </c>
      <c r="AD48">
        <v>2.0882269999999998</v>
      </c>
      <c r="AE48" s="144">
        <v>1.4E-2</v>
      </c>
    </row>
    <row r="49" spans="1:31">
      <c r="A49" t="s">
        <v>3448</v>
      </c>
      <c r="B49" t="s">
        <v>4128</v>
      </c>
      <c r="C49" t="s">
        <v>4127</v>
      </c>
      <c r="D49" t="s">
        <v>1995</v>
      </c>
      <c r="E49">
        <v>17.841282</v>
      </c>
      <c r="F49">
        <v>17.021173000000001</v>
      </c>
      <c r="G49">
        <v>16.157419000000001</v>
      </c>
      <c r="H49">
        <v>15.250804</v>
      </c>
      <c r="I49">
        <v>14.306422</v>
      </c>
      <c r="J49">
        <v>13.337389</v>
      </c>
      <c r="K49">
        <v>12.358076000000001</v>
      </c>
      <c r="L49">
        <v>11.396616</v>
      </c>
      <c r="M49">
        <v>10.461637</v>
      </c>
      <c r="N49">
        <v>9.5621679999999998</v>
      </c>
      <c r="O49">
        <v>8.717924</v>
      </c>
      <c r="P49">
        <v>7.9454039999999999</v>
      </c>
      <c r="Q49">
        <v>7.2489319999999999</v>
      </c>
      <c r="R49">
        <v>6.63131</v>
      </c>
      <c r="S49">
        <v>6.0920639999999997</v>
      </c>
      <c r="T49">
        <v>5.6178489999999996</v>
      </c>
      <c r="U49">
        <v>5.1955559999999998</v>
      </c>
      <c r="V49">
        <v>4.8251949999999999</v>
      </c>
      <c r="W49">
        <v>4.4972089999999998</v>
      </c>
      <c r="X49">
        <v>4.2084659999999996</v>
      </c>
      <c r="Y49">
        <v>3.9481350000000002</v>
      </c>
      <c r="Z49">
        <v>3.7126839999999999</v>
      </c>
      <c r="AA49">
        <v>3.496299</v>
      </c>
      <c r="AB49">
        <v>3.298187</v>
      </c>
      <c r="AC49">
        <v>3.1117560000000002</v>
      </c>
      <c r="AD49">
        <v>2.9362889999999999</v>
      </c>
      <c r="AE49" s="144">
        <v>-7.0000000000000007E-2</v>
      </c>
    </row>
    <row r="50" spans="1:31">
      <c r="A50" t="s">
        <v>206</v>
      </c>
      <c r="B50" t="s">
        <v>4126</v>
      </c>
      <c r="C50" t="s">
        <v>4125</v>
      </c>
      <c r="D50" t="s">
        <v>1995</v>
      </c>
      <c r="E50">
        <v>5.6062409999999998</v>
      </c>
      <c r="F50">
        <v>7.1132720000000003</v>
      </c>
      <c r="G50">
        <v>8.9356059999999999</v>
      </c>
      <c r="H50">
        <v>10.922958</v>
      </c>
      <c r="I50">
        <v>13.080271</v>
      </c>
      <c r="J50">
        <v>15.223602</v>
      </c>
      <c r="K50">
        <v>17.342359999999999</v>
      </c>
      <c r="L50">
        <v>19.456721999999999</v>
      </c>
      <c r="M50">
        <v>21.72974</v>
      </c>
      <c r="N50">
        <v>24.096233000000002</v>
      </c>
      <c r="O50">
        <v>26.581322</v>
      </c>
      <c r="P50">
        <v>29.085616999999999</v>
      </c>
      <c r="Q50">
        <v>31.648468000000001</v>
      </c>
      <c r="R50">
        <v>34.253535999999997</v>
      </c>
      <c r="S50">
        <v>36.862842999999998</v>
      </c>
      <c r="T50">
        <v>39.463645999999997</v>
      </c>
      <c r="U50">
        <v>42.024864000000001</v>
      </c>
      <c r="V50">
        <v>44.536391999999999</v>
      </c>
      <c r="W50">
        <v>46.989479000000003</v>
      </c>
      <c r="X50">
        <v>49.373916999999999</v>
      </c>
      <c r="Y50">
        <v>51.699553999999999</v>
      </c>
      <c r="Z50">
        <v>53.939906999999998</v>
      </c>
      <c r="AA50">
        <v>56.121119999999998</v>
      </c>
      <c r="AB50">
        <v>58.222729000000001</v>
      </c>
      <c r="AC50">
        <v>60.239235000000001</v>
      </c>
      <c r="AD50">
        <v>62.135483000000001</v>
      </c>
      <c r="AE50" s="144">
        <v>0.10100000000000001</v>
      </c>
    </row>
    <row r="51" spans="1:31">
      <c r="A51" t="s">
        <v>3443</v>
      </c>
      <c r="B51" t="s">
        <v>4124</v>
      </c>
      <c r="C51" t="s">
        <v>4123</v>
      </c>
      <c r="D51" t="s">
        <v>1995</v>
      </c>
      <c r="E51">
        <v>1.786708</v>
      </c>
      <c r="F51">
        <v>2.2746390000000001</v>
      </c>
      <c r="G51">
        <v>2.965376</v>
      </c>
      <c r="H51">
        <v>3.7512150000000002</v>
      </c>
      <c r="I51">
        <v>4.1846209999999999</v>
      </c>
      <c r="J51">
        <v>4.5539459999999998</v>
      </c>
      <c r="K51">
        <v>4.8523250000000004</v>
      </c>
      <c r="L51">
        <v>5.0778239999999997</v>
      </c>
      <c r="M51">
        <v>5.3143900000000004</v>
      </c>
      <c r="N51">
        <v>5.5552400000000004</v>
      </c>
      <c r="O51">
        <v>5.8071130000000002</v>
      </c>
      <c r="P51">
        <v>6.0509839999999997</v>
      </c>
      <c r="Q51">
        <v>6.2915469999999996</v>
      </c>
      <c r="R51">
        <v>6.5257350000000001</v>
      </c>
      <c r="S51">
        <v>6.7507859999999997</v>
      </c>
      <c r="T51">
        <v>6.9594500000000004</v>
      </c>
      <c r="U51">
        <v>7.1463809999999999</v>
      </c>
      <c r="V51">
        <v>7.3123459999999998</v>
      </c>
      <c r="W51">
        <v>7.4576580000000003</v>
      </c>
      <c r="X51">
        <v>7.5815299999999999</v>
      </c>
      <c r="Y51">
        <v>7.6877599999999999</v>
      </c>
      <c r="Z51">
        <v>7.7774729999999996</v>
      </c>
      <c r="AA51">
        <v>7.8569009999999997</v>
      </c>
      <c r="AB51">
        <v>7.9263909999999997</v>
      </c>
      <c r="AC51">
        <v>7.9910430000000003</v>
      </c>
      <c r="AD51">
        <v>8.0470570000000006</v>
      </c>
      <c r="AE51" s="144">
        <v>6.2E-2</v>
      </c>
    </row>
    <row r="52" spans="1:31">
      <c r="A52" t="s">
        <v>3440</v>
      </c>
      <c r="B52" t="s">
        <v>4122</v>
      </c>
      <c r="C52" t="s">
        <v>4121</v>
      </c>
      <c r="D52" t="s">
        <v>1995</v>
      </c>
      <c r="E52">
        <v>9.5898830000000004</v>
      </c>
      <c r="F52">
        <v>11.619221</v>
      </c>
      <c r="G52">
        <v>13.825483999999999</v>
      </c>
      <c r="H52">
        <v>16.153002000000001</v>
      </c>
      <c r="I52">
        <v>18.581367</v>
      </c>
      <c r="J52">
        <v>21.150589</v>
      </c>
      <c r="K52">
        <v>23.785533999999998</v>
      </c>
      <c r="L52">
        <v>26.429749999999999</v>
      </c>
      <c r="M52">
        <v>29.102565999999999</v>
      </c>
      <c r="N52">
        <v>31.760528999999998</v>
      </c>
      <c r="O52">
        <v>34.402831999999997</v>
      </c>
      <c r="P52">
        <v>36.957588000000001</v>
      </c>
      <c r="Q52">
        <v>39.465797000000002</v>
      </c>
      <c r="R52">
        <v>41.909247999999998</v>
      </c>
      <c r="S52">
        <v>44.368397000000002</v>
      </c>
      <c r="T52">
        <v>46.734031999999999</v>
      </c>
      <c r="U52">
        <v>48.972641000000003</v>
      </c>
      <c r="V52">
        <v>51.077697999999998</v>
      </c>
      <c r="W52">
        <v>53.048447000000003</v>
      </c>
      <c r="X52">
        <v>54.890560000000001</v>
      </c>
      <c r="Y52">
        <v>56.612502999999997</v>
      </c>
      <c r="Z52">
        <v>58.212043999999999</v>
      </c>
      <c r="AA52">
        <v>59.702247999999997</v>
      </c>
      <c r="AB52">
        <v>61.077309</v>
      </c>
      <c r="AC52">
        <v>62.34919</v>
      </c>
      <c r="AD52">
        <v>63.511032</v>
      </c>
      <c r="AE52" s="144">
        <v>7.9000000000000001E-2</v>
      </c>
    </row>
    <row r="53" spans="1:31">
      <c r="A53" t="s">
        <v>3437</v>
      </c>
      <c r="B53" t="s">
        <v>4120</v>
      </c>
      <c r="C53" t="s">
        <v>4119</v>
      </c>
      <c r="D53" t="s">
        <v>1995</v>
      </c>
      <c r="E53">
        <v>2.5228E-2</v>
      </c>
      <c r="F53">
        <v>2.3144000000000001E-2</v>
      </c>
      <c r="G53">
        <v>2.1311E-2</v>
      </c>
      <c r="H53">
        <v>1.9594E-2</v>
      </c>
      <c r="I53">
        <v>1.7996999999999999E-2</v>
      </c>
      <c r="J53">
        <v>1.6586E-2</v>
      </c>
      <c r="K53">
        <v>1.5252999999999999E-2</v>
      </c>
      <c r="L53">
        <v>1.4034E-2</v>
      </c>
      <c r="M53">
        <v>1.2930000000000001E-2</v>
      </c>
      <c r="N53">
        <v>1.1946E-2</v>
      </c>
      <c r="O53">
        <v>1.1063999999999999E-2</v>
      </c>
      <c r="P53">
        <v>1.0277E-2</v>
      </c>
      <c r="Q53">
        <v>9.6220000000000003E-3</v>
      </c>
      <c r="R53">
        <v>9.0209999999999995E-3</v>
      </c>
      <c r="S53">
        <v>8.4749999999999999E-3</v>
      </c>
      <c r="T53">
        <v>7.9679999999999994E-3</v>
      </c>
      <c r="U53">
        <v>7.4920000000000004E-3</v>
      </c>
      <c r="V53">
        <v>7.0439999999999999E-3</v>
      </c>
      <c r="W53">
        <v>6.6220000000000003E-3</v>
      </c>
      <c r="X53">
        <v>6.2259999999999998E-3</v>
      </c>
      <c r="Y53">
        <v>5.8539999999999998E-3</v>
      </c>
      <c r="Z53">
        <v>5.5040000000000002E-3</v>
      </c>
      <c r="AA53">
        <v>5.1749999999999999E-3</v>
      </c>
      <c r="AB53">
        <v>4.8650000000000004E-3</v>
      </c>
      <c r="AC53">
        <v>4.5739999999999999E-3</v>
      </c>
      <c r="AD53">
        <v>4.3010000000000001E-3</v>
      </c>
      <c r="AE53" s="144">
        <v>-6.8000000000000005E-2</v>
      </c>
    </row>
    <row r="54" spans="1:31">
      <c r="A54" t="s">
        <v>209</v>
      </c>
      <c r="B54" t="s">
        <v>4118</v>
      </c>
      <c r="C54" t="s">
        <v>4117</v>
      </c>
      <c r="D54" t="s">
        <v>1995</v>
      </c>
      <c r="E54">
        <v>1.6455000000000001E-2</v>
      </c>
      <c r="F54">
        <v>1.6056999999999998E-2</v>
      </c>
      <c r="G54">
        <v>1.5644999999999999E-2</v>
      </c>
      <c r="H54">
        <v>1.52E-2</v>
      </c>
      <c r="I54">
        <v>1.4726E-2</v>
      </c>
      <c r="J54">
        <v>1.4234999999999999E-2</v>
      </c>
      <c r="K54">
        <v>1.3712E-2</v>
      </c>
      <c r="L54">
        <v>1.3146E-2</v>
      </c>
      <c r="M54">
        <v>1.252E-2</v>
      </c>
      <c r="N54">
        <v>1.1832000000000001E-2</v>
      </c>
      <c r="O54">
        <v>1.1087E-2</v>
      </c>
      <c r="P54">
        <v>1.0276E-2</v>
      </c>
      <c r="Q54">
        <v>9.4240000000000001E-3</v>
      </c>
      <c r="R54">
        <v>8.5380000000000005E-3</v>
      </c>
      <c r="S54">
        <v>7.6530000000000001E-3</v>
      </c>
      <c r="T54">
        <v>6.7910000000000002E-3</v>
      </c>
      <c r="U54">
        <v>5.973E-3</v>
      </c>
      <c r="V54">
        <v>5.267E-3</v>
      </c>
      <c r="W54">
        <v>4.6369999999999996E-3</v>
      </c>
      <c r="X54">
        <v>4.1070000000000004E-3</v>
      </c>
      <c r="Y54">
        <v>3.6389999999999999E-3</v>
      </c>
      <c r="Z54">
        <v>3.2729999999999999E-3</v>
      </c>
      <c r="AA54">
        <v>2.9870000000000001E-3</v>
      </c>
      <c r="AB54">
        <v>2.7690000000000002E-3</v>
      </c>
      <c r="AC54">
        <v>2.5730000000000002E-3</v>
      </c>
      <c r="AD54">
        <v>2.3960000000000001E-3</v>
      </c>
      <c r="AE54" s="144">
        <v>-7.3999999999999996E-2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45FCA-22A8-4C38-89D6-D17222B68E75}">
  <dimension ref="A1:AE309"/>
  <sheetViews>
    <sheetView topLeftCell="A163" workbookViewId="0"/>
  </sheetViews>
  <sheetFormatPr defaultRowHeight="15"/>
  <sheetData>
    <row r="1" spans="1:31">
      <c r="A1" t="s">
        <v>2355</v>
      </c>
    </row>
    <row r="2" spans="1:31">
      <c r="A2" t="s">
        <v>4748</v>
      </c>
    </row>
    <row r="3" spans="1:31">
      <c r="A3" t="s">
        <v>4747</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2347</v>
      </c>
    </row>
    <row r="7" spans="1:31">
      <c r="A7" t="s">
        <v>2346</v>
      </c>
    </row>
    <row r="8" spans="1:31">
      <c r="A8" t="s">
        <v>1905</v>
      </c>
    </row>
    <row r="9" spans="1:31">
      <c r="A9" t="s">
        <v>201</v>
      </c>
      <c r="B9" t="s">
        <v>4746</v>
      </c>
      <c r="C9" t="s">
        <v>4745</v>
      </c>
      <c r="D9" t="s">
        <v>2264</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s="144">
        <v>-2.1999999999999999E-2</v>
      </c>
    </row>
    <row r="10" spans="1:31">
      <c r="A10" t="s">
        <v>202</v>
      </c>
      <c r="B10" t="s">
        <v>4744</v>
      </c>
      <c r="C10" t="s">
        <v>4743</v>
      </c>
      <c r="D10" t="s">
        <v>2264</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s="144">
        <v>7.0000000000000001E-3</v>
      </c>
    </row>
    <row r="11" spans="1:31">
      <c r="A11" t="s">
        <v>203</v>
      </c>
      <c r="B11" t="s">
        <v>4742</v>
      </c>
      <c r="C11" t="s">
        <v>4741</v>
      </c>
      <c r="D11" t="s">
        <v>2264</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s="144">
        <v>2.5999999999999999E-2</v>
      </c>
    </row>
    <row r="12" spans="1:31">
      <c r="A12" t="s">
        <v>204</v>
      </c>
      <c r="B12" t="s">
        <v>4740</v>
      </c>
      <c r="C12" t="s">
        <v>4739</v>
      </c>
      <c r="D12" t="s">
        <v>2264</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s="144">
        <v>9.7000000000000003E-2</v>
      </c>
    </row>
    <row r="13" spans="1:31">
      <c r="A13" t="s">
        <v>205</v>
      </c>
      <c r="B13" t="s">
        <v>4738</v>
      </c>
      <c r="C13" t="s">
        <v>4737</v>
      </c>
      <c r="D13" t="s">
        <v>2264</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s="144">
        <v>-0.115</v>
      </c>
    </row>
    <row r="14" spans="1:31">
      <c r="A14" t="s">
        <v>206</v>
      </c>
      <c r="B14" t="s">
        <v>4736</v>
      </c>
      <c r="C14" t="s">
        <v>4735</v>
      </c>
      <c r="D14" t="s">
        <v>2264</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s="144">
        <v>0.192</v>
      </c>
    </row>
    <row r="15" spans="1:31">
      <c r="A15" t="s">
        <v>207</v>
      </c>
      <c r="B15" t="s">
        <v>4734</v>
      </c>
      <c r="C15" t="s">
        <v>4733</v>
      </c>
      <c r="D15" t="s">
        <v>2264</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1769</v>
      </c>
    </row>
    <row r="16" spans="1:31">
      <c r="A16" t="s">
        <v>208</v>
      </c>
      <c r="B16" t="s">
        <v>4732</v>
      </c>
      <c r="C16" t="s">
        <v>4731</v>
      </c>
      <c r="D16" t="s">
        <v>2264</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1769</v>
      </c>
    </row>
    <row r="17" spans="1:31">
      <c r="A17" t="s">
        <v>209</v>
      </c>
      <c r="B17" t="s">
        <v>4730</v>
      </c>
      <c r="C17" t="s">
        <v>4729</v>
      </c>
      <c r="D17" t="s">
        <v>2264</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1769</v>
      </c>
    </row>
    <row r="18" spans="1:31">
      <c r="A18" t="s">
        <v>1830</v>
      </c>
      <c r="B18" t="s">
        <v>4728</v>
      </c>
      <c r="C18" t="s">
        <v>4727</v>
      </c>
      <c r="D18" t="s">
        <v>2264</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1769</v>
      </c>
    </row>
    <row r="19" spans="1:31">
      <c r="A19" t="s">
        <v>1827</v>
      </c>
      <c r="B19" t="s">
        <v>4726</v>
      </c>
      <c r="C19" t="s">
        <v>4725</v>
      </c>
      <c r="D19" t="s">
        <v>2264</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s="144">
        <v>0.27300000000000002</v>
      </c>
    </row>
    <row r="20" spans="1:31">
      <c r="A20" t="s">
        <v>1824</v>
      </c>
      <c r="B20" t="s">
        <v>4724</v>
      </c>
      <c r="C20" t="s">
        <v>4723</v>
      </c>
      <c r="D20" t="s">
        <v>2264</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1769</v>
      </c>
    </row>
    <row r="21" spans="1:31">
      <c r="A21" t="s">
        <v>1880</v>
      </c>
      <c r="B21" t="s">
        <v>4722</v>
      </c>
      <c r="C21" t="s">
        <v>4721</v>
      </c>
      <c r="D21" t="s">
        <v>2264</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s="144">
        <v>1.2999999999999999E-2</v>
      </c>
    </row>
    <row r="22" spans="1:31">
      <c r="A22" t="s">
        <v>1877</v>
      </c>
    </row>
    <row r="23" spans="1:31">
      <c r="A23" t="s">
        <v>201</v>
      </c>
      <c r="B23" t="s">
        <v>4720</v>
      </c>
      <c r="C23" t="s">
        <v>4719</v>
      </c>
      <c r="D23" t="s">
        <v>2264</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s="144">
        <v>-1.2E-2</v>
      </c>
    </row>
    <row r="24" spans="1:31">
      <c r="A24" t="s">
        <v>202</v>
      </c>
      <c r="B24" t="s">
        <v>4718</v>
      </c>
      <c r="C24" t="s">
        <v>4717</v>
      </c>
      <c r="D24" t="s">
        <v>2264</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s="144">
        <v>1E-3</v>
      </c>
    </row>
    <row r="25" spans="1:31">
      <c r="A25" t="s">
        <v>203</v>
      </c>
      <c r="B25" t="s">
        <v>4716</v>
      </c>
      <c r="C25" t="s">
        <v>4715</v>
      </c>
      <c r="D25" t="s">
        <v>2264</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s="144">
        <v>-0.1</v>
      </c>
    </row>
    <row r="26" spans="1:31">
      <c r="A26" t="s">
        <v>204</v>
      </c>
      <c r="B26" t="s">
        <v>4714</v>
      </c>
      <c r="C26" t="s">
        <v>4713</v>
      </c>
      <c r="D26" t="s">
        <v>2264</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s="144">
        <v>3.9E-2</v>
      </c>
    </row>
    <row r="27" spans="1:31">
      <c r="A27" t="s">
        <v>205</v>
      </c>
      <c r="B27" t="s">
        <v>4712</v>
      </c>
      <c r="C27" t="s">
        <v>4711</v>
      </c>
      <c r="D27" t="s">
        <v>2264</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s="144">
        <v>-9.5000000000000001E-2</v>
      </c>
    </row>
    <row r="28" spans="1:31">
      <c r="A28" t="s">
        <v>206</v>
      </c>
      <c r="B28" t="s">
        <v>4710</v>
      </c>
      <c r="C28" t="s">
        <v>4709</v>
      </c>
      <c r="D28" t="s">
        <v>2264</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s="144">
        <v>4.3999999999999997E-2</v>
      </c>
    </row>
    <row r="29" spans="1:31">
      <c r="A29" t="s">
        <v>207</v>
      </c>
      <c r="B29" t="s">
        <v>4708</v>
      </c>
      <c r="C29" t="s">
        <v>4707</v>
      </c>
      <c r="D29" t="s">
        <v>2264</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1769</v>
      </c>
    </row>
    <row r="30" spans="1:31">
      <c r="A30" t="s">
        <v>208</v>
      </c>
      <c r="B30" t="s">
        <v>4706</v>
      </c>
      <c r="C30" t="s">
        <v>4705</v>
      </c>
      <c r="D30" t="s">
        <v>2264</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s="144">
        <v>-8.3000000000000004E-2</v>
      </c>
    </row>
    <row r="31" spans="1:31">
      <c r="A31" t="s">
        <v>209</v>
      </c>
      <c r="B31" t="s">
        <v>4704</v>
      </c>
      <c r="C31" t="s">
        <v>4703</v>
      </c>
      <c r="D31" t="s">
        <v>2264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1769</v>
      </c>
    </row>
    <row r="32" spans="1:31">
      <c r="A32" t="s">
        <v>1830</v>
      </c>
      <c r="B32" t="s">
        <v>4702</v>
      </c>
      <c r="C32" t="s">
        <v>4701</v>
      </c>
      <c r="D32" t="s">
        <v>2264</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1769</v>
      </c>
    </row>
    <row r="33" spans="1:31">
      <c r="A33" t="s">
        <v>1827</v>
      </c>
      <c r="B33" t="s">
        <v>4700</v>
      </c>
      <c r="C33" t="s">
        <v>4699</v>
      </c>
      <c r="D33" t="s">
        <v>2264</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s="144">
        <v>0.22800000000000001</v>
      </c>
    </row>
    <row r="34" spans="1:31">
      <c r="A34" t="s">
        <v>1824</v>
      </c>
      <c r="B34" t="s">
        <v>4698</v>
      </c>
      <c r="C34" t="s">
        <v>4697</v>
      </c>
      <c r="D34" t="s">
        <v>2264</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1769</v>
      </c>
    </row>
    <row r="35" spans="1:31">
      <c r="A35" t="s">
        <v>1852</v>
      </c>
      <c r="B35" t="s">
        <v>4696</v>
      </c>
      <c r="C35" t="s">
        <v>4695</v>
      </c>
      <c r="D35" t="s">
        <v>2264</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s="144">
        <v>-1E-3</v>
      </c>
    </row>
    <row r="36" spans="1:31">
      <c r="A36" t="s">
        <v>1849</v>
      </c>
    </row>
    <row r="37" spans="1:31">
      <c r="A37" t="s">
        <v>201</v>
      </c>
      <c r="B37" t="s">
        <v>4694</v>
      </c>
      <c r="C37" t="s">
        <v>4693</v>
      </c>
      <c r="D37" t="s">
        <v>2264</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s="144">
        <v>8.0000000000000002E-3</v>
      </c>
    </row>
    <row r="38" spans="1:31">
      <c r="A38" t="s">
        <v>202</v>
      </c>
      <c r="B38" t="s">
        <v>4692</v>
      </c>
      <c r="C38" t="s">
        <v>4691</v>
      </c>
      <c r="D38" t="s">
        <v>2264</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s="144">
        <v>-3.5999999999999997E-2</v>
      </c>
    </row>
    <row r="39" spans="1:31">
      <c r="A39" t="s">
        <v>203</v>
      </c>
      <c r="B39" t="s">
        <v>4690</v>
      </c>
      <c r="C39" t="s">
        <v>4689</v>
      </c>
      <c r="D39" t="s">
        <v>2264</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s="144">
        <v>-9.2999999999999999E-2</v>
      </c>
    </row>
    <row r="40" spans="1:31">
      <c r="A40" t="s">
        <v>204</v>
      </c>
      <c r="B40" t="s">
        <v>4688</v>
      </c>
      <c r="C40" t="s">
        <v>4687</v>
      </c>
      <c r="D40" t="s">
        <v>2264</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s="144">
        <v>4.4999999999999998E-2</v>
      </c>
    </row>
    <row r="41" spans="1:31">
      <c r="A41" t="s">
        <v>205</v>
      </c>
      <c r="B41" t="s">
        <v>4686</v>
      </c>
      <c r="C41" t="s">
        <v>4685</v>
      </c>
      <c r="D41" t="s">
        <v>2264</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1769</v>
      </c>
    </row>
    <row r="42" spans="1:31">
      <c r="A42" t="s">
        <v>206</v>
      </c>
      <c r="B42" t="s">
        <v>4684</v>
      </c>
      <c r="C42" t="s">
        <v>4683</v>
      </c>
      <c r="D42" t="s">
        <v>2264</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s="144">
        <v>0.05</v>
      </c>
    </row>
    <row r="43" spans="1:31">
      <c r="A43" t="s">
        <v>207</v>
      </c>
      <c r="B43" t="s">
        <v>4682</v>
      </c>
      <c r="C43" t="s">
        <v>4681</v>
      </c>
      <c r="D43" t="s">
        <v>2264</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1769</v>
      </c>
    </row>
    <row r="44" spans="1:31">
      <c r="A44" t="s">
        <v>208</v>
      </c>
      <c r="B44" t="s">
        <v>4680</v>
      </c>
      <c r="C44" t="s">
        <v>4679</v>
      </c>
      <c r="D44" t="s">
        <v>2264</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1769</v>
      </c>
    </row>
    <row r="45" spans="1:31">
      <c r="A45" t="s">
        <v>209</v>
      </c>
      <c r="B45" t="s">
        <v>4678</v>
      </c>
      <c r="C45" t="s">
        <v>4677</v>
      </c>
      <c r="D45" t="s">
        <v>2264</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1769</v>
      </c>
    </row>
    <row r="46" spans="1:31">
      <c r="A46" t="s">
        <v>1830</v>
      </c>
      <c r="B46" t="s">
        <v>4676</v>
      </c>
      <c r="C46" t="s">
        <v>4675</v>
      </c>
      <c r="D46" t="s">
        <v>2264</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1769</v>
      </c>
    </row>
    <row r="47" spans="1:31">
      <c r="A47" t="s">
        <v>1827</v>
      </c>
      <c r="B47" t="s">
        <v>4674</v>
      </c>
      <c r="C47" t="s">
        <v>4673</v>
      </c>
      <c r="D47" t="s">
        <v>2264</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1769</v>
      </c>
    </row>
    <row r="48" spans="1:31">
      <c r="A48" t="s">
        <v>1824</v>
      </c>
      <c r="B48" t="s">
        <v>4672</v>
      </c>
      <c r="C48" t="s">
        <v>4671</v>
      </c>
      <c r="D48" t="s">
        <v>2264</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1769</v>
      </c>
    </row>
    <row r="49" spans="1:31">
      <c r="A49" t="s">
        <v>1821</v>
      </c>
      <c r="B49" t="s">
        <v>4670</v>
      </c>
      <c r="C49" t="s">
        <v>4669</v>
      </c>
      <c r="D49" t="s">
        <v>2264</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s="144">
        <v>8.9999999999999993E-3</v>
      </c>
    </row>
    <row r="50" spans="1:31">
      <c r="A50" t="s">
        <v>2267</v>
      </c>
      <c r="B50" t="s">
        <v>4668</v>
      </c>
      <c r="C50" t="s">
        <v>4667</v>
      </c>
      <c r="D50" t="s">
        <v>2264</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s="144">
        <v>8.9999999999999993E-3</v>
      </c>
    </row>
    <row r="51" spans="1:31">
      <c r="A51" t="s">
        <v>2263</v>
      </c>
    </row>
    <row r="52" spans="1:31">
      <c r="A52" t="s">
        <v>1905</v>
      </c>
    </row>
    <row r="53" spans="1:31">
      <c r="A53" t="s">
        <v>201</v>
      </c>
      <c r="B53" t="s">
        <v>4666</v>
      </c>
      <c r="C53" t="s">
        <v>4665</v>
      </c>
      <c r="D53" t="s">
        <v>1766</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s="144">
        <v>-2.5000000000000001E-2</v>
      </c>
    </row>
    <row r="54" spans="1:31">
      <c r="A54" t="s">
        <v>202</v>
      </c>
      <c r="B54" t="s">
        <v>4664</v>
      </c>
      <c r="C54" t="s">
        <v>4663</v>
      </c>
      <c r="D54" t="s">
        <v>1766</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s="144">
        <v>5.0000000000000001E-3</v>
      </c>
    </row>
    <row r="55" spans="1:31">
      <c r="A55" t="s">
        <v>203</v>
      </c>
      <c r="B55" t="s">
        <v>4662</v>
      </c>
      <c r="C55" t="s">
        <v>4661</v>
      </c>
      <c r="D55" t="s">
        <v>1766</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s="144">
        <v>1.6E-2</v>
      </c>
    </row>
    <row r="56" spans="1:31">
      <c r="A56" t="s">
        <v>204</v>
      </c>
      <c r="B56" t="s">
        <v>4660</v>
      </c>
      <c r="C56" t="s">
        <v>4659</v>
      </c>
      <c r="D56" t="s">
        <v>1766</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s="144">
        <v>9.1999999999999998E-2</v>
      </c>
    </row>
    <row r="57" spans="1:31">
      <c r="A57" t="s">
        <v>205</v>
      </c>
      <c r="B57" t="s">
        <v>4658</v>
      </c>
      <c r="C57" t="s">
        <v>4657</v>
      </c>
      <c r="D57" t="s">
        <v>1766</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s="144">
        <v>-0.115</v>
      </c>
    </row>
    <row r="58" spans="1:31">
      <c r="A58" t="s">
        <v>206</v>
      </c>
      <c r="B58" t="s">
        <v>4656</v>
      </c>
      <c r="C58" t="s">
        <v>4655</v>
      </c>
      <c r="D58" t="s">
        <v>1766</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s="144">
        <v>0.189</v>
      </c>
    </row>
    <row r="59" spans="1:31">
      <c r="A59" t="s">
        <v>207</v>
      </c>
      <c r="B59" t="s">
        <v>4654</v>
      </c>
      <c r="C59" t="s">
        <v>4653</v>
      </c>
      <c r="D59" t="s">
        <v>1766</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1769</v>
      </c>
    </row>
    <row r="60" spans="1:31">
      <c r="A60" t="s">
        <v>208</v>
      </c>
      <c r="B60" t="s">
        <v>4652</v>
      </c>
      <c r="C60" t="s">
        <v>4651</v>
      </c>
      <c r="D60" t="s">
        <v>1766</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1769</v>
      </c>
    </row>
    <row r="61" spans="1:31">
      <c r="A61" t="s">
        <v>209</v>
      </c>
      <c r="B61" t="s">
        <v>4650</v>
      </c>
      <c r="C61" t="s">
        <v>4649</v>
      </c>
      <c r="D61" t="s">
        <v>1766</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1769</v>
      </c>
    </row>
    <row r="62" spans="1:31">
      <c r="A62" t="s">
        <v>1830</v>
      </c>
      <c r="B62" t="s">
        <v>4648</v>
      </c>
      <c r="C62" t="s">
        <v>4647</v>
      </c>
      <c r="D62" t="s">
        <v>1766</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1769</v>
      </c>
    </row>
    <row r="63" spans="1:31">
      <c r="A63" t="s">
        <v>1827</v>
      </c>
      <c r="B63" t="s">
        <v>4646</v>
      </c>
      <c r="C63" t="s">
        <v>4645</v>
      </c>
      <c r="D63" t="s">
        <v>1766</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s="144">
        <v>0.27100000000000002</v>
      </c>
    </row>
    <row r="64" spans="1:31">
      <c r="A64" t="s">
        <v>1824</v>
      </c>
      <c r="B64" t="s">
        <v>4644</v>
      </c>
      <c r="C64" t="s">
        <v>4643</v>
      </c>
      <c r="D64" t="s">
        <v>1766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1769</v>
      </c>
    </row>
    <row r="65" spans="1:31">
      <c r="A65" t="s">
        <v>1880</v>
      </c>
      <c r="B65" t="s">
        <v>4642</v>
      </c>
      <c r="C65" t="s">
        <v>4641</v>
      </c>
      <c r="D65" t="s">
        <v>1766</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s="144">
        <v>6.0000000000000001E-3</v>
      </c>
    </row>
    <row r="66" spans="1:31">
      <c r="A66" t="s">
        <v>1877</v>
      </c>
    </row>
    <row r="67" spans="1:31">
      <c r="A67" t="s">
        <v>201</v>
      </c>
      <c r="B67" t="s">
        <v>4640</v>
      </c>
      <c r="C67" t="s">
        <v>4639</v>
      </c>
      <c r="D67" t="s">
        <v>1766</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s="144">
        <v>-2.1000000000000001E-2</v>
      </c>
    </row>
    <row r="68" spans="1:31">
      <c r="A68" t="s">
        <v>202</v>
      </c>
      <c r="B68" t="s">
        <v>4638</v>
      </c>
      <c r="C68" t="s">
        <v>4637</v>
      </c>
      <c r="D68" t="s">
        <v>1766</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s="144">
        <v>-4.0000000000000001E-3</v>
      </c>
    </row>
    <row r="69" spans="1:31">
      <c r="A69" t="s">
        <v>203</v>
      </c>
      <c r="B69" t="s">
        <v>4636</v>
      </c>
      <c r="C69" t="s">
        <v>4635</v>
      </c>
      <c r="D69" t="s">
        <v>1766</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s="144">
        <v>-0.104</v>
      </c>
    </row>
    <row r="70" spans="1:31">
      <c r="A70" t="s">
        <v>204</v>
      </c>
      <c r="B70" t="s">
        <v>4634</v>
      </c>
      <c r="C70" t="s">
        <v>4633</v>
      </c>
      <c r="D70" t="s">
        <v>1766</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s="144">
        <v>2.8000000000000001E-2</v>
      </c>
    </row>
    <row r="71" spans="1:31">
      <c r="A71" t="s">
        <v>205</v>
      </c>
      <c r="B71" t="s">
        <v>4632</v>
      </c>
      <c r="C71" t="s">
        <v>4631</v>
      </c>
      <c r="D71" t="s">
        <v>1766</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s="144">
        <v>-9.5000000000000001E-2</v>
      </c>
    </row>
    <row r="72" spans="1:31">
      <c r="A72" t="s">
        <v>206</v>
      </c>
      <c r="B72" t="s">
        <v>4630</v>
      </c>
      <c r="C72" t="s">
        <v>4629</v>
      </c>
      <c r="D72" t="s">
        <v>1766</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s="144">
        <v>4.5999999999999999E-2</v>
      </c>
    </row>
    <row r="73" spans="1:31">
      <c r="A73" t="s">
        <v>207</v>
      </c>
      <c r="B73" t="s">
        <v>4628</v>
      </c>
      <c r="C73" t="s">
        <v>4627</v>
      </c>
      <c r="D73" t="s">
        <v>1766</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1769</v>
      </c>
    </row>
    <row r="74" spans="1:31">
      <c r="A74" t="s">
        <v>208</v>
      </c>
      <c r="B74" t="s">
        <v>4626</v>
      </c>
      <c r="C74" t="s">
        <v>4625</v>
      </c>
      <c r="D74" t="s">
        <v>1766</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s="144">
        <v>-8.3000000000000004E-2</v>
      </c>
    </row>
    <row r="75" spans="1:31">
      <c r="A75" t="s">
        <v>209</v>
      </c>
      <c r="B75" t="s">
        <v>4624</v>
      </c>
      <c r="C75" t="s">
        <v>4623</v>
      </c>
      <c r="D75" t="s">
        <v>1766</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1769</v>
      </c>
    </row>
    <row r="76" spans="1:31">
      <c r="A76" t="s">
        <v>1830</v>
      </c>
      <c r="B76" t="s">
        <v>4622</v>
      </c>
      <c r="C76" t="s">
        <v>4621</v>
      </c>
      <c r="D76" t="s">
        <v>1766</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1769</v>
      </c>
    </row>
    <row r="77" spans="1:31">
      <c r="A77" t="s">
        <v>1827</v>
      </c>
      <c r="B77" t="s">
        <v>4620</v>
      </c>
      <c r="C77" t="s">
        <v>4619</v>
      </c>
      <c r="D77" t="s">
        <v>1766</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s="144">
        <v>0.22500000000000001</v>
      </c>
    </row>
    <row r="78" spans="1:31">
      <c r="A78" t="s">
        <v>1824</v>
      </c>
      <c r="B78" t="s">
        <v>4618</v>
      </c>
      <c r="C78" t="s">
        <v>4617</v>
      </c>
      <c r="D78" t="s">
        <v>1766</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1769</v>
      </c>
    </row>
    <row r="79" spans="1:31">
      <c r="A79" t="s">
        <v>1852</v>
      </c>
      <c r="B79" t="s">
        <v>4616</v>
      </c>
      <c r="C79" t="s">
        <v>4615</v>
      </c>
      <c r="D79" t="s">
        <v>1766</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s="144">
        <v>-8.9999999999999993E-3</v>
      </c>
    </row>
    <row r="80" spans="1:31">
      <c r="A80" t="s">
        <v>1849</v>
      </c>
    </row>
    <row r="81" spans="1:31">
      <c r="A81" t="s">
        <v>201</v>
      </c>
      <c r="B81" t="s">
        <v>4614</v>
      </c>
      <c r="C81" t="s">
        <v>4613</v>
      </c>
      <c r="D81" t="s">
        <v>1766</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s="144">
        <v>0</v>
      </c>
    </row>
    <row r="82" spans="1:31">
      <c r="A82" t="s">
        <v>202</v>
      </c>
      <c r="B82" t="s">
        <v>4612</v>
      </c>
      <c r="C82" t="s">
        <v>4611</v>
      </c>
      <c r="D82" t="s">
        <v>1766</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s="144">
        <v>-4.3999999999999997E-2</v>
      </c>
    </row>
    <row r="83" spans="1:31">
      <c r="A83" t="s">
        <v>203</v>
      </c>
      <c r="B83" t="s">
        <v>4610</v>
      </c>
      <c r="C83" t="s">
        <v>4609</v>
      </c>
      <c r="D83" t="s">
        <v>1766</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s="144">
        <v>-9.2999999999999999E-2</v>
      </c>
    </row>
    <row r="84" spans="1:31">
      <c r="A84" t="s">
        <v>204</v>
      </c>
      <c r="B84" t="s">
        <v>4608</v>
      </c>
      <c r="C84" t="s">
        <v>4607</v>
      </c>
      <c r="D84" t="s">
        <v>1766</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s="144">
        <v>3.6999999999999998E-2</v>
      </c>
    </row>
    <row r="85" spans="1:31">
      <c r="A85" t="s">
        <v>205</v>
      </c>
      <c r="B85" t="s">
        <v>4606</v>
      </c>
      <c r="C85" t="s">
        <v>4605</v>
      </c>
      <c r="D85" t="s">
        <v>1766</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1769</v>
      </c>
    </row>
    <row r="86" spans="1:31">
      <c r="A86" t="s">
        <v>206</v>
      </c>
      <c r="B86" t="s">
        <v>4604</v>
      </c>
      <c r="C86" t="s">
        <v>4603</v>
      </c>
      <c r="D86" t="s">
        <v>1766</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s="144">
        <v>4.4999999999999998E-2</v>
      </c>
    </row>
    <row r="87" spans="1:31">
      <c r="A87" t="s">
        <v>207</v>
      </c>
      <c r="B87" t="s">
        <v>4602</v>
      </c>
      <c r="C87" t="s">
        <v>4601</v>
      </c>
      <c r="D87" t="s">
        <v>1766</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1769</v>
      </c>
    </row>
    <row r="88" spans="1:31">
      <c r="A88" t="s">
        <v>208</v>
      </c>
      <c r="B88" t="s">
        <v>4600</v>
      </c>
      <c r="C88" t="s">
        <v>4599</v>
      </c>
      <c r="D88" t="s">
        <v>1766</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1769</v>
      </c>
    </row>
    <row r="89" spans="1:31">
      <c r="A89" t="s">
        <v>209</v>
      </c>
      <c r="B89" t="s">
        <v>4598</v>
      </c>
      <c r="C89" t="s">
        <v>4597</v>
      </c>
      <c r="D89" t="s">
        <v>1766</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1769</v>
      </c>
    </row>
    <row r="90" spans="1:31">
      <c r="A90" t="s">
        <v>1830</v>
      </c>
      <c r="B90" t="s">
        <v>4596</v>
      </c>
      <c r="C90" t="s">
        <v>4595</v>
      </c>
      <c r="D90" t="s">
        <v>1766</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1769</v>
      </c>
    </row>
    <row r="91" spans="1:31">
      <c r="A91" t="s">
        <v>1827</v>
      </c>
      <c r="B91" t="s">
        <v>4594</v>
      </c>
      <c r="C91" t="s">
        <v>4593</v>
      </c>
      <c r="D91" t="s">
        <v>1766</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1769</v>
      </c>
    </row>
    <row r="92" spans="1:31">
      <c r="A92" t="s">
        <v>1824</v>
      </c>
      <c r="B92" t="s">
        <v>4592</v>
      </c>
      <c r="C92" t="s">
        <v>4591</v>
      </c>
      <c r="D92" t="s">
        <v>1766</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1769</v>
      </c>
    </row>
    <row r="93" spans="1:31">
      <c r="A93" t="s">
        <v>1821</v>
      </c>
      <c r="B93" t="s">
        <v>4590</v>
      </c>
      <c r="C93" t="s">
        <v>4589</v>
      </c>
      <c r="D93" t="s">
        <v>1766</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s="144">
        <v>1E-3</v>
      </c>
    </row>
    <row r="94" spans="1:31">
      <c r="A94" t="s">
        <v>1905</v>
      </c>
      <c r="B94" t="s">
        <v>210</v>
      </c>
      <c r="C94" t="s">
        <v>2184</v>
      </c>
    </row>
    <row r="95" spans="1:31">
      <c r="A95" t="s">
        <v>201</v>
      </c>
      <c r="B95" t="s">
        <v>4588</v>
      </c>
      <c r="C95" t="s">
        <v>4587</v>
      </c>
      <c r="D95" t="s">
        <v>1766</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s="144">
        <v>-4.0000000000000001E-3</v>
      </c>
    </row>
    <row r="96" spans="1:31">
      <c r="A96" t="s">
        <v>202</v>
      </c>
      <c r="B96" t="s">
        <v>4586</v>
      </c>
      <c r="C96" t="s">
        <v>4585</v>
      </c>
      <c r="D96" t="s">
        <v>1766</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s="144">
        <v>1E-3</v>
      </c>
    </row>
    <row r="97" spans="1:31">
      <c r="A97" t="s">
        <v>203</v>
      </c>
      <c r="B97" t="s">
        <v>4584</v>
      </c>
      <c r="C97" t="s">
        <v>4583</v>
      </c>
      <c r="D97" t="s">
        <v>1766</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s="144">
        <v>-9.1999999999999998E-2</v>
      </c>
    </row>
    <row r="98" spans="1:31">
      <c r="A98" t="s">
        <v>204</v>
      </c>
      <c r="B98" t="s">
        <v>4582</v>
      </c>
      <c r="C98" t="s">
        <v>4581</v>
      </c>
      <c r="D98" t="s">
        <v>1766</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s="144">
        <v>3.7999999999999999E-2</v>
      </c>
    </row>
    <row r="99" spans="1:31">
      <c r="A99" t="s">
        <v>205</v>
      </c>
      <c r="B99" t="s">
        <v>4580</v>
      </c>
      <c r="C99" t="s">
        <v>4579</v>
      </c>
      <c r="D99" t="s">
        <v>1766</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s="144">
        <v>-0.111</v>
      </c>
    </row>
    <row r="100" spans="1:31">
      <c r="A100" t="s">
        <v>206</v>
      </c>
      <c r="B100" t="s">
        <v>4578</v>
      </c>
      <c r="C100" t="s">
        <v>4577</v>
      </c>
      <c r="D100" t="s">
        <v>1766</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s="144">
        <v>0.123</v>
      </c>
    </row>
    <row r="101" spans="1:31">
      <c r="A101" t="s">
        <v>207</v>
      </c>
      <c r="B101" t="s">
        <v>4576</v>
      </c>
      <c r="C101" t="s">
        <v>4575</v>
      </c>
      <c r="D101" t="s">
        <v>1766</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1769</v>
      </c>
    </row>
    <row r="102" spans="1:31">
      <c r="A102" t="s">
        <v>208</v>
      </c>
      <c r="B102" t="s">
        <v>4574</v>
      </c>
      <c r="C102" t="s">
        <v>4573</v>
      </c>
      <c r="D102" t="s">
        <v>1766</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s="144">
        <v>-8.3000000000000004E-2</v>
      </c>
    </row>
    <row r="103" spans="1:31">
      <c r="A103" t="s">
        <v>209</v>
      </c>
      <c r="B103" t="s">
        <v>4572</v>
      </c>
      <c r="C103" t="s">
        <v>4571</v>
      </c>
      <c r="D103" t="s">
        <v>1766</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1769</v>
      </c>
    </row>
    <row r="104" spans="1:31">
      <c r="A104" t="s">
        <v>1830</v>
      </c>
      <c r="B104" t="s">
        <v>4570</v>
      </c>
      <c r="C104" t="s">
        <v>4569</v>
      </c>
      <c r="D104" t="s">
        <v>1766</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1769</v>
      </c>
    </row>
    <row r="105" spans="1:31">
      <c r="A105" t="s">
        <v>1827</v>
      </c>
      <c r="B105" t="s">
        <v>4568</v>
      </c>
      <c r="C105" t="s">
        <v>4567</v>
      </c>
      <c r="D105" t="s">
        <v>1766</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s="144">
        <v>0.25700000000000001</v>
      </c>
    </row>
    <row r="106" spans="1:31">
      <c r="A106" t="s">
        <v>1824</v>
      </c>
      <c r="B106" t="s">
        <v>4566</v>
      </c>
      <c r="C106" t="s">
        <v>4565</v>
      </c>
      <c r="D106" t="s">
        <v>1766</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1769</v>
      </c>
    </row>
    <row r="107" spans="1:31">
      <c r="A107" t="s">
        <v>2159</v>
      </c>
      <c r="B107" t="s">
        <v>4564</v>
      </c>
      <c r="C107" t="s">
        <v>4563</v>
      </c>
      <c r="D107" t="s">
        <v>1766</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s="144">
        <v>0</v>
      </c>
    </row>
    <row r="108" spans="1:31">
      <c r="A108" t="s">
        <v>1994</v>
      </c>
    </row>
    <row r="109" spans="1:31">
      <c r="A109" t="s">
        <v>1905</v>
      </c>
    </row>
    <row r="110" spans="1:31">
      <c r="A110" t="s">
        <v>201</v>
      </c>
      <c r="B110" t="s">
        <v>4562</v>
      </c>
      <c r="C110" t="s">
        <v>4561</v>
      </c>
      <c r="D110" t="s">
        <v>1913</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s="144">
        <v>3.0000000000000001E-3</v>
      </c>
    </row>
    <row r="111" spans="1:31">
      <c r="A111" t="s">
        <v>202</v>
      </c>
      <c r="B111" t="s">
        <v>4560</v>
      </c>
      <c r="C111" t="s">
        <v>4559</v>
      </c>
      <c r="D111" t="s">
        <v>1916</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s="144">
        <v>2E-3</v>
      </c>
    </row>
    <row r="112" spans="1:31">
      <c r="A112" t="s">
        <v>203</v>
      </c>
      <c r="B112" t="s">
        <v>4558</v>
      </c>
      <c r="C112" t="s">
        <v>4557</v>
      </c>
      <c r="D112" t="s">
        <v>1916</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s="144">
        <v>0.01</v>
      </c>
    </row>
    <row r="113" spans="1:31">
      <c r="A113" t="s">
        <v>204</v>
      </c>
      <c r="B113" t="s">
        <v>4556</v>
      </c>
      <c r="C113" t="s">
        <v>4555</v>
      </c>
      <c r="D113" t="s">
        <v>1916</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s="144">
        <v>5.0000000000000001E-3</v>
      </c>
    </row>
    <row r="114" spans="1:31">
      <c r="A114" t="s">
        <v>205</v>
      </c>
      <c r="B114" t="s">
        <v>4554</v>
      </c>
      <c r="C114" t="s">
        <v>4553</v>
      </c>
      <c r="D114" t="s">
        <v>1916</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s="144">
        <v>0</v>
      </c>
    </row>
    <row r="115" spans="1:31">
      <c r="A115" t="s">
        <v>206</v>
      </c>
      <c r="B115" t="s">
        <v>4552</v>
      </c>
      <c r="C115" t="s">
        <v>4551</v>
      </c>
      <c r="D115" t="s">
        <v>1913</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s="144">
        <v>1E-3</v>
      </c>
    </row>
    <row r="116" spans="1:31">
      <c r="A116" t="s">
        <v>207</v>
      </c>
      <c r="B116" t="s">
        <v>4550</v>
      </c>
      <c r="C116" t="s">
        <v>4549</v>
      </c>
      <c r="D116" t="s">
        <v>1913</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1769</v>
      </c>
    </row>
    <row r="117" spans="1:31">
      <c r="A117" t="s">
        <v>208</v>
      </c>
      <c r="B117" t="s">
        <v>4548</v>
      </c>
      <c r="C117" t="s">
        <v>4547</v>
      </c>
      <c r="D117" t="s">
        <v>1916</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1769</v>
      </c>
    </row>
    <row r="118" spans="1:31">
      <c r="A118" t="s">
        <v>209</v>
      </c>
      <c r="B118" t="s">
        <v>4546</v>
      </c>
      <c r="C118" t="s">
        <v>4545</v>
      </c>
      <c r="D118" t="s">
        <v>1913</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1769</v>
      </c>
    </row>
    <row r="119" spans="1:31">
      <c r="A119" t="s">
        <v>1830</v>
      </c>
      <c r="B119" t="s">
        <v>4544</v>
      </c>
      <c r="C119" t="s">
        <v>4543</v>
      </c>
      <c r="D119" t="s">
        <v>1913</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1769</v>
      </c>
    </row>
    <row r="120" spans="1:31">
      <c r="A120" t="s">
        <v>1827</v>
      </c>
      <c r="B120" t="s">
        <v>4542</v>
      </c>
      <c r="C120" t="s">
        <v>4541</v>
      </c>
      <c r="D120" t="s">
        <v>1916</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s="144">
        <v>1E-3</v>
      </c>
    </row>
    <row r="121" spans="1:31">
      <c r="A121" t="s">
        <v>1824</v>
      </c>
      <c r="B121" t="s">
        <v>4540</v>
      </c>
      <c r="C121" t="s">
        <v>4539</v>
      </c>
      <c r="D121" t="s">
        <v>1913</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1769</v>
      </c>
    </row>
    <row r="122" spans="1:31">
      <c r="A122" t="s">
        <v>1969</v>
      </c>
      <c r="B122" t="s">
        <v>4538</v>
      </c>
      <c r="C122" t="s">
        <v>4537</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s="144">
        <v>6.0000000000000001E-3</v>
      </c>
    </row>
    <row r="123" spans="1:31">
      <c r="A123" t="s">
        <v>1877</v>
      </c>
    </row>
    <row r="124" spans="1:31">
      <c r="A124" t="s">
        <v>201</v>
      </c>
      <c r="B124" t="s">
        <v>4536</v>
      </c>
      <c r="C124" t="s">
        <v>4535</v>
      </c>
      <c r="D124" t="s">
        <v>1913</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s="144">
        <v>8.9999999999999993E-3</v>
      </c>
    </row>
    <row r="125" spans="1:31">
      <c r="A125" t="s">
        <v>202</v>
      </c>
      <c r="B125" t="s">
        <v>4534</v>
      </c>
      <c r="C125" t="s">
        <v>4533</v>
      </c>
      <c r="D125" t="s">
        <v>1916</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s="144">
        <v>5.0000000000000001E-3</v>
      </c>
    </row>
    <row r="126" spans="1:31">
      <c r="A126" t="s">
        <v>203</v>
      </c>
      <c r="B126" t="s">
        <v>4532</v>
      </c>
      <c r="C126" t="s">
        <v>4531</v>
      </c>
      <c r="D126" t="s">
        <v>1916</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s="144">
        <v>4.0000000000000001E-3</v>
      </c>
    </row>
    <row r="127" spans="1:31">
      <c r="A127" t="s">
        <v>204</v>
      </c>
      <c r="B127" t="s">
        <v>4530</v>
      </c>
      <c r="C127" t="s">
        <v>4529</v>
      </c>
      <c r="D127" t="s">
        <v>1916</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s="144">
        <v>0.01</v>
      </c>
    </row>
    <row r="128" spans="1:31">
      <c r="A128" t="s">
        <v>205</v>
      </c>
      <c r="B128" t="s">
        <v>4528</v>
      </c>
      <c r="C128" t="s">
        <v>4527</v>
      </c>
      <c r="D128" t="s">
        <v>1956</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s="144">
        <v>0</v>
      </c>
    </row>
    <row r="129" spans="1:31">
      <c r="A129" t="s">
        <v>206</v>
      </c>
      <c r="B129" t="s">
        <v>4526</v>
      </c>
      <c r="C129" t="s">
        <v>4525</v>
      </c>
      <c r="D129" t="s">
        <v>1916</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s="144">
        <v>-3.0000000000000001E-3</v>
      </c>
    </row>
    <row r="130" spans="1:31">
      <c r="A130" t="s">
        <v>207</v>
      </c>
      <c r="B130" t="s">
        <v>4524</v>
      </c>
      <c r="C130" t="s">
        <v>4523</v>
      </c>
      <c r="D130" t="s">
        <v>1916</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1769</v>
      </c>
    </row>
    <row r="131" spans="1:31">
      <c r="A131" t="s">
        <v>208</v>
      </c>
      <c r="B131" t="s">
        <v>4522</v>
      </c>
      <c r="C131" t="s">
        <v>4521</v>
      </c>
      <c r="D131" t="s">
        <v>1916</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s="144">
        <v>0</v>
      </c>
    </row>
    <row r="132" spans="1:31">
      <c r="A132" t="s">
        <v>209</v>
      </c>
      <c r="B132" t="s">
        <v>4520</v>
      </c>
      <c r="C132" t="s">
        <v>4519</v>
      </c>
      <c r="D132" t="s">
        <v>1916</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1769</v>
      </c>
    </row>
    <row r="133" spans="1:31">
      <c r="A133" t="s">
        <v>1830</v>
      </c>
      <c r="B133" t="s">
        <v>4518</v>
      </c>
      <c r="C133" t="s">
        <v>4517</v>
      </c>
      <c r="D133" t="s">
        <v>1913</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1769</v>
      </c>
    </row>
    <row r="134" spans="1:31">
      <c r="A134" t="s">
        <v>1827</v>
      </c>
      <c r="B134" t="s">
        <v>4516</v>
      </c>
      <c r="C134" t="s">
        <v>4515</v>
      </c>
      <c r="D134" t="s">
        <v>1916</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s="144">
        <v>3.0000000000000001E-3</v>
      </c>
    </row>
    <row r="135" spans="1:31">
      <c r="A135" t="s">
        <v>1824</v>
      </c>
      <c r="B135" t="s">
        <v>4514</v>
      </c>
      <c r="C135" t="s">
        <v>4513</v>
      </c>
      <c r="D135" t="s">
        <v>1913</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1769</v>
      </c>
    </row>
    <row r="136" spans="1:31">
      <c r="A136" t="s">
        <v>1941</v>
      </c>
      <c r="B136" t="s">
        <v>4512</v>
      </c>
      <c r="C136" t="s">
        <v>4511</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s="144">
        <v>7.0000000000000001E-3</v>
      </c>
    </row>
    <row r="137" spans="1:31">
      <c r="A137" t="s">
        <v>1849</v>
      </c>
    </row>
    <row r="138" spans="1:31">
      <c r="A138" t="s">
        <v>201</v>
      </c>
      <c r="B138" t="s">
        <v>4510</v>
      </c>
      <c r="C138" t="s">
        <v>4509</v>
      </c>
      <c r="D138" t="s">
        <v>1913</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s="144">
        <v>8.0000000000000002E-3</v>
      </c>
    </row>
    <row r="139" spans="1:31">
      <c r="A139" t="s">
        <v>202</v>
      </c>
      <c r="B139" t="s">
        <v>4508</v>
      </c>
      <c r="C139" t="s">
        <v>4507</v>
      </c>
      <c r="D139" t="s">
        <v>1916</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s="144">
        <v>8.9999999999999993E-3</v>
      </c>
    </row>
    <row r="140" spans="1:31">
      <c r="A140" t="s">
        <v>203</v>
      </c>
      <c r="B140" t="s">
        <v>4506</v>
      </c>
      <c r="C140" t="s">
        <v>4505</v>
      </c>
      <c r="D140" t="s">
        <v>1916</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s="144">
        <v>0</v>
      </c>
    </row>
    <row r="141" spans="1:31">
      <c r="A141" t="s">
        <v>204</v>
      </c>
      <c r="B141" t="s">
        <v>4504</v>
      </c>
      <c r="C141" t="s">
        <v>4503</v>
      </c>
      <c r="D141" t="s">
        <v>1913</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s="144">
        <v>8.0000000000000002E-3</v>
      </c>
    </row>
    <row r="142" spans="1:31">
      <c r="A142" t="s">
        <v>205</v>
      </c>
      <c r="B142" t="s">
        <v>4502</v>
      </c>
      <c r="C142" t="s">
        <v>4501</v>
      </c>
      <c r="D142" t="s">
        <v>1916</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1769</v>
      </c>
    </row>
    <row r="143" spans="1:31">
      <c r="A143" t="s">
        <v>206</v>
      </c>
      <c r="B143" t="s">
        <v>4500</v>
      </c>
      <c r="C143" t="s">
        <v>4499</v>
      </c>
      <c r="D143" t="s">
        <v>1913</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s="144">
        <v>3.0000000000000001E-3</v>
      </c>
    </row>
    <row r="144" spans="1:31">
      <c r="A144" t="s">
        <v>207</v>
      </c>
      <c r="B144" t="s">
        <v>4498</v>
      </c>
      <c r="C144" t="s">
        <v>4497</v>
      </c>
      <c r="D144" t="s">
        <v>1913</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1769</v>
      </c>
    </row>
    <row r="145" spans="1:31">
      <c r="A145" t="s">
        <v>208</v>
      </c>
      <c r="B145" t="s">
        <v>4496</v>
      </c>
      <c r="C145" t="s">
        <v>4495</v>
      </c>
      <c r="D145" t="s">
        <v>1916</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1769</v>
      </c>
    </row>
    <row r="146" spans="1:31">
      <c r="A146" t="s">
        <v>209</v>
      </c>
      <c r="B146" t="s">
        <v>4494</v>
      </c>
      <c r="C146" t="s">
        <v>4493</v>
      </c>
      <c r="D146" t="s">
        <v>1913</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1769</v>
      </c>
    </row>
    <row r="147" spans="1:31">
      <c r="A147" t="s">
        <v>1830</v>
      </c>
      <c r="B147" t="s">
        <v>4492</v>
      </c>
      <c r="C147" t="s">
        <v>4491</v>
      </c>
      <c r="D147" t="s">
        <v>1913</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1769</v>
      </c>
    </row>
    <row r="148" spans="1:31">
      <c r="A148" t="s">
        <v>1827</v>
      </c>
      <c r="B148" t="s">
        <v>4490</v>
      </c>
      <c r="C148" t="s">
        <v>4489</v>
      </c>
      <c r="D148" t="s">
        <v>1916</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1769</v>
      </c>
    </row>
    <row r="149" spans="1:31">
      <c r="A149" t="s">
        <v>1824</v>
      </c>
      <c r="B149" t="s">
        <v>4488</v>
      </c>
      <c r="C149" t="s">
        <v>4487</v>
      </c>
      <c r="D149" t="s">
        <v>1913</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1769</v>
      </c>
    </row>
    <row r="150" spans="1:31">
      <c r="A150" t="s">
        <v>1912</v>
      </c>
      <c r="B150" t="s">
        <v>4486</v>
      </c>
      <c r="C150" t="s">
        <v>4485</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s="144">
        <v>8.0000000000000002E-3</v>
      </c>
    </row>
    <row r="151" spans="1:31">
      <c r="A151" t="s">
        <v>1909</v>
      </c>
      <c r="B151" t="s">
        <v>4484</v>
      </c>
      <c r="C151" t="s">
        <v>4483</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s="144">
        <v>8.0000000000000002E-3</v>
      </c>
    </row>
    <row r="152" spans="1:31">
      <c r="A152" t="s">
        <v>2076</v>
      </c>
    </row>
    <row r="153" spans="1:31">
      <c r="A153" t="s">
        <v>1905</v>
      </c>
    </row>
    <row r="154" spans="1:31">
      <c r="A154" t="s">
        <v>201</v>
      </c>
      <c r="B154" t="s">
        <v>4482</v>
      </c>
      <c r="C154" t="s">
        <v>4481</v>
      </c>
      <c r="D154" t="s">
        <v>1995</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s="144">
        <v>-4.0000000000000001E-3</v>
      </c>
    </row>
    <row r="155" spans="1:31">
      <c r="A155" t="s">
        <v>202</v>
      </c>
      <c r="B155" t="s">
        <v>4480</v>
      </c>
      <c r="C155" t="s">
        <v>4479</v>
      </c>
      <c r="D155" t="s">
        <v>1995</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s="144">
        <v>2.3E-2</v>
      </c>
    </row>
    <row r="156" spans="1:31">
      <c r="A156" t="s">
        <v>203</v>
      </c>
      <c r="B156" t="s">
        <v>4478</v>
      </c>
      <c r="C156" t="s">
        <v>4477</v>
      </c>
      <c r="D156" t="s">
        <v>1995</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s="144">
        <v>-6.0000000000000001E-3</v>
      </c>
    </row>
    <row r="157" spans="1:31">
      <c r="A157" t="s">
        <v>204</v>
      </c>
      <c r="B157" t="s">
        <v>4476</v>
      </c>
      <c r="C157" t="s">
        <v>4475</v>
      </c>
      <c r="D157" t="s">
        <v>1995</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s="144">
        <v>0.126</v>
      </c>
    </row>
    <row r="158" spans="1:31">
      <c r="A158" t="s">
        <v>205</v>
      </c>
      <c r="B158" t="s">
        <v>4474</v>
      </c>
      <c r="C158" t="s">
        <v>4473</v>
      </c>
      <c r="D158" t="s">
        <v>1995</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s="144">
        <v>-6.5000000000000002E-2</v>
      </c>
    </row>
    <row r="159" spans="1:31">
      <c r="A159" t="s">
        <v>206</v>
      </c>
      <c r="B159" t="s">
        <v>4472</v>
      </c>
      <c r="C159" t="s">
        <v>4471</v>
      </c>
      <c r="D159" t="s">
        <v>1995</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s="144">
        <v>0.21199999999999999</v>
      </c>
    </row>
    <row r="160" spans="1:31">
      <c r="A160" t="s">
        <v>207</v>
      </c>
      <c r="B160" t="s">
        <v>4470</v>
      </c>
      <c r="C160" t="s">
        <v>4469</v>
      </c>
      <c r="D160" t="s">
        <v>1995</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1769</v>
      </c>
    </row>
    <row r="161" spans="1:31">
      <c r="A161" t="s">
        <v>208</v>
      </c>
      <c r="B161" t="s">
        <v>4468</v>
      </c>
      <c r="C161" t="s">
        <v>4467</v>
      </c>
      <c r="D161" t="s">
        <v>1995</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1769</v>
      </c>
    </row>
    <row r="162" spans="1:31">
      <c r="A162" t="s">
        <v>209</v>
      </c>
      <c r="B162" t="s">
        <v>4466</v>
      </c>
      <c r="C162" t="s">
        <v>4465</v>
      </c>
      <c r="D162" t="s">
        <v>1995</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1769</v>
      </c>
    </row>
    <row r="163" spans="1:31">
      <c r="A163" t="s">
        <v>1830</v>
      </c>
      <c r="B163" t="s">
        <v>4464</v>
      </c>
      <c r="C163" t="s">
        <v>4463</v>
      </c>
      <c r="D163" t="s">
        <v>1995</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1769</v>
      </c>
    </row>
    <row r="164" spans="1:31">
      <c r="A164" t="s">
        <v>1827</v>
      </c>
      <c r="B164" t="s">
        <v>4462</v>
      </c>
      <c r="C164" t="s">
        <v>4461</v>
      </c>
      <c r="D164" t="s">
        <v>1995</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s="144">
        <v>0.33</v>
      </c>
    </row>
    <row r="165" spans="1:31">
      <c r="A165" t="s">
        <v>1824</v>
      </c>
      <c r="B165" t="s">
        <v>4460</v>
      </c>
      <c r="C165" t="s">
        <v>4459</v>
      </c>
      <c r="D165" t="s">
        <v>1995</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1769</v>
      </c>
    </row>
    <row r="166" spans="1:31">
      <c r="A166" t="s">
        <v>1880</v>
      </c>
      <c r="B166" t="s">
        <v>4458</v>
      </c>
      <c r="C166" t="s">
        <v>4457</v>
      </c>
      <c r="D166" t="s">
        <v>1995</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s="144">
        <v>2.3E-2</v>
      </c>
    </row>
    <row r="167" spans="1:31">
      <c r="A167" t="s">
        <v>1877</v>
      </c>
    </row>
    <row r="168" spans="1:31">
      <c r="A168" t="s">
        <v>201</v>
      </c>
      <c r="B168" t="s">
        <v>4456</v>
      </c>
      <c r="C168" t="s">
        <v>4455</v>
      </c>
      <c r="D168" t="s">
        <v>1995</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s="144">
        <v>-5.0000000000000001E-3</v>
      </c>
    </row>
    <row r="169" spans="1:31">
      <c r="A169" t="s">
        <v>202</v>
      </c>
      <c r="B169" t="s">
        <v>4454</v>
      </c>
      <c r="C169" t="s">
        <v>4453</v>
      </c>
      <c r="D169" t="s">
        <v>1995</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s="144">
        <v>8.0000000000000002E-3</v>
      </c>
    </row>
    <row r="170" spans="1:31">
      <c r="A170" t="s">
        <v>203</v>
      </c>
      <c r="B170" t="s">
        <v>4452</v>
      </c>
      <c r="C170" t="s">
        <v>4451</v>
      </c>
      <c r="D170" t="s">
        <v>1995</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s="144">
        <v>-8.2000000000000003E-2</v>
      </c>
    </row>
    <row r="171" spans="1:31">
      <c r="A171" t="s">
        <v>204</v>
      </c>
      <c r="B171" t="s">
        <v>4450</v>
      </c>
      <c r="C171" t="s">
        <v>4449</v>
      </c>
      <c r="D171" t="s">
        <v>1995</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s="144">
        <v>6.4000000000000001E-2</v>
      </c>
    </row>
    <row r="172" spans="1:31">
      <c r="A172" t="s">
        <v>205</v>
      </c>
      <c r="B172" t="s">
        <v>4448</v>
      </c>
      <c r="C172" t="s">
        <v>4447</v>
      </c>
      <c r="D172" t="s">
        <v>1995</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s="144">
        <v>-5.1999999999999998E-2</v>
      </c>
    </row>
    <row r="173" spans="1:31">
      <c r="A173" t="s">
        <v>206</v>
      </c>
      <c r="B173" t="s">
        <v>4446</v>
      </c>
      <c r="C173" t="s">
        <v>4445</v>
      </c>
      <c r="D173" t="s">
        <v>1995</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s="144">
        <v>7.0999999999999994E-2</v>
      </c>
    </row>
    <row r="174" spans="1:31">
      <c r="A174" t="s">
        <v>207</v>
      </c>
      <c r="B174" t="s">
        <v>4444</v>
      </c>
      <c r="C174" t="s">
        <v>4443</v>
      </c>
      <c r="D174" t="s">
        <v>1995</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1769</v>
      </c>
    </row>
    <row r="175" spans="1:31">
      <c r="A175" t="s">
        <v>208</v>
      </c>
      <c r="B175" t="s">
        <v>4442</v>
      </c>
      <c r="C175" t="s">
        <v>4441</v>
      </c>
      <c r="D175" t="s">
        <v>1995</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s="144">
        <v>-1.9E-2</v>
      </c>
    </row>
    <row r="176" spans="1:31">
      <c r="A176" t="s">
        <v>209</v>
      </c>
      <c r="B176" t="s">
        <v>4440</v>
      </c>
      <c r="C176" t="s">
        <v>4439</v>
      </c>
      <c r="D176" t="s">
        <v>1995</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1769</v>
      </c>
    </row>
    <row r="177" spans="1:31">
      <c r="A177" t="s">
        <v>1830</v>
      </c>
      <c r="B177" t="s">
        <v>4438</v>
      </c>
      <c r="C177" t="s">
        <v>4437</v>
      </c>
      <c r="D177" t="s">
        <v>1995</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1769</v>
      </c>
    </row>
    <row r="178" spans="1:31">
      <c r="A178" t="s">
        <v>1827</v>
      </c>
      <c r="B178" t="s">
        <v>4436</v>
      </c>
      <c r="C178" t="s">
        <v>4435</v>
      </c>
      <c r="D178" t="s">
        <v>1995</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s="144">
        <v>0.27500000000000002</v>
      </c>
    </row>
    <row r="179" spans="1:31">
      <c r="A179" t="s">
        <v>1824</v>
      </c>
      <c r="B179" t="s">
        <v>4434</v>
      </c>
      <c r="C179" t="s">
        <v>4433</v>
      </c>
      <c r="D179" t="s">
        <v>1995</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1769</v>
      </c>
    </row>
    <row r="180" spans="1:31">
      <c r="A180" t="s">
        <v>1852</v>
      </c>
      <c r="B180" t="s">
        <v>4432</v>
      </c>
      <c r="C180" t="s">
        <v>4431</v>
      </c>
      <c r="D180" t="s">
        <v>1995</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s="144">
        <v>6.0000000000000001E-3</v>
      </c>
    </row>
    <row r="181" spans="1:31">
      <c r="A181" t="s">
        <v>1849</v>
      </c>
    </row>
    <row r="182" spans="1:31">
      <c r="A182" t="s">
        <v>201</v>
      </c>
      <c r="B182" t="s">
        <v>4430</v>
      </c>
      <c r="C182" t="s">
        <v>4429</v>
      </c>
      <c r="D182" t="s">
        <v>1995</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s="144">
        <v>1.2E-2</v>
      </c>
    </row>
    <row r="183" spans="1:31">
      <c r="A183" t="s">
        <v>202</v>
      </c>
      <c r="B183" t="s">
        <v>4428</v>
      </c>
      <c r="C183" t="s">
        <v>4427</v>
      </c>
      <c r="D183" t="s">
        <v>1995</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s="144">
        <v>-5.0999999999999997E-2</v>
      </c>
    </row>
    <row r="184" spans="1:31">
      <c r="A184" t="s">
        <v>203</v>
      </c>
      <c r="B184" t="s">
        <v>4426</v>
      </c>
      <c r="C184" t="s">
        <v>4425</v>
      </c>
      <c r="D184" t="s">
        <v>1995</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s="144">
        <v>-5.7000000000000002E-2</v>
      </c>
    </row>
    <row r="185" spans="1:31">
      <c r="A185" t="s">
        <v>204</v>
      </c>
      <c r="B185" t="s">
        <v>4424</v>
      </c>
      <c r="C185" t="s">
        <v>4423</v>
      </c>
      <c r="D185" t="s">
        <v>1995</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s="144">
        <v>4.3999999999999997E-2</v>
      </c>
    </row>
    <row r="186" spans="1:31">
      <c r="A186" t="s">
        <v>205</v>
      </c>
      <c r="B186" t="s">
        <v>4422</v>
      </c>
      <c r="C186" t="s">
        <v>4421</v>
      </c>
      <c r="D186" t="s">
        <v>1995</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1769</v>
      </c>
    </row>
    <row r="187" spans="1:31">
      <c r="A187" t="s">
        <v>206</v>
      </c>
      <c r="B187" t="s">
        <v>4420</v>
      </c>
      <c r="C187" t="s">
        <v>4419</v>
      </c>
      <c r="D187" t="s">
        <v>1995</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s="144">
        <v>8.4000000000000005E-2</v>
      </c>
    </row>
    <row r="188" spans="1:31">
      <c r="A188" t="s">
        <v>207</v>
      </c>
      <c r="B188" t="s">
        <v>4418</v>
      </c>
      <c r="C188" t="s">
        <v>4417</v>
      </c>
      <c r="D188" t="s">
        <v>1995</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1769</v>
      </c>
    </row>
    <row r="189" spans="1:31">
      <c r="A189" t="s">
        <v>208</v>
      </c>
      <c r="B189" t="s">
        <v>4416</v>
      </c>
      <c r="C189" t="s">
        <v>4415</v>
      </c>
      <c r="D189" t="s">
        <v>1995</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1769</v>
      </c>
    </row>
    <row r="190" spans="1:31">
      <c r="A190" t="s">
        <v>209</v>
      </c>
      <c r="B190" t="s">
        <v>4414</v>
      </c>
      <c r="C190" t="s">
        <v>4413</v>
      </c>
      <c r="D190" t="s">
        <v>1995</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1769</v>
      </c>
    </row>
    <row r="191" spans="1:31">
      <c r="A191" t="s">
        <v>1830</v>
      </c>
      <c r="B191" t="s">
        <v>4412</v>
      </c>
      <c r="C191" t="s">
        <v>4411</v>
      </c>
      <c r="D191" t="s">
        <v>1995</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1769</v>
      </c>
    </row>
    <row r="192" spans="1:31">
      <c r="A192" t="s">
        <v>1827</v>
      </c>
      <c r="B192" t="s">
        <v>4410</v>
      </c>
      <c r="C192" t="s">
        <v>4409</v>
      </c>
      <c r="D192" t="s">
        <v>1995</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1769</v>
      </c>
    </row>
    <row r="193" spans="1:31">
      <c r="A193" t="s">
        <v>1824</v>
      </c>
      <c r="B193" t="s">
        <v>4408</v>
      </c>
      <c r="C193" t="s">
        <v>4407</v>
      </c>
      <c r="D193" t="s">
        <v>1995</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1769</v>
      </c>
    </row>
    <row r="194" spans="1:31">
      <c r="A194" t="s">
        <v>1821</v>
      </c>
      <c r="B194" t="s">
        <v>4406</v>
      </c>
      <c r="C194" t="s">
        <v>4405</v>
      </c>
      <c r="D194" t="s">
        <v>1995</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s="144">
        <v>1.2E-2</v>
      </c>
    </row>
    <row r="195" spans="1:31">
      <c r="A195" t="s">
        <v>211</v>
      </c>
      <c r="B195" t="s">
        <v>4404</v>
      </c>
      <c r="C195" t="s">
        <v>4403</v>
      </c>
      <c r="D195" t="s">
        <v>1995</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s="144">
        <v>1.4999999999999999E-2</v>
      </c>
    </row>
    <row r="196" spans="1:31">
      <c r="A196" t="s">
        <v>191</v>
      </c>
    </row>
    <row r="197" spans="1:31">
      <c r="A197" t="s">
        <v>1994</v>
      </c>
    </row>
    <row r="198" spans="1:31">
      <c r="A198" t="s">
        <v>1905</v>
      </c>
    </row>
    <row r="199" spans="1:31">
      <c r="A199" t="s">
        <v>201</v>
      </c>
      <c r="B199" t="s">
        <v>4402</v>
      </c>
      <c r="C199" t="s">
        <v>4401</v>
      </c>
      <c r="D199" t="s">
        <v>1913</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s="144">
        <v>3.0000000000000001E-3</v>
      </c>
    </row>
    <row r="200" spans="1:31">
      <c r="A200" t="s">
        <v>202</v>
      </c>
      <c r="B200" t="s">
        <v>4400</v>
      </c>
      <c r="C200" t="s">
        <v>4399</v>
      </c>
      <c r="D200" t="s">
        <v>1916</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s="144">
        <v>2E-3</v>
      </c>
    </row>
    <row r="201" spans="1:31">
      <c r="A201" t="s">
        <v>203</v>
      </c>
      <c r="B201" t="s">
        <v>4398</v>
      </c>
      <c r="C201" t="s">
        <v>4397</v>
      </c>
      <c r="D201" t="s">
        <v>1916</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s="144">
        <v>2E-3</v>
      </c>
    </row>
    <row r="202" spans="1:31">
      <c r="A202" t="s">
        <v>204</v>
      </c>
      <c r="B202" t="s">
        <v>4396</v>
      </c>
      <c r="C202" t="s">
        <v>4395</v>
      </c>
      <c r="D202" t="s">
        <v>1916</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s="144">
        <v>5.0000000000000001E-3</v>
      </c>
    </row>
    <row r="203" spans="1:31">
      <c r="A203" t="s">
        <v>205</v>
      </c>
      <c r="B203" t="s">
        <v>4394</v>
      </c>
      <c r="C203" t="s">
        <v>4393</v>
      </c>
      <c r="D203" t="s">
        <v>1916</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s="144">
        <v>2E-3</v>
      </c>
    </row>
    <row r="204" spans="1:31">
      <c r="A204" t="s">
        <v>206</v>
      </c>
      <c r="B204" t="s">
        <v>4392</v>
      </c>
      <c r="C204" t="s">
        <v>4391</v>
      </c>
      <c r="D204" t="s">
        <v>1913</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s="144">
        <v>0</v>
      </c>
    </row>
    <row r="205" spans="1:31">
      <c r="A205" t="s">
        <v>207</v>
      </c>
      <c r="B205" t="s">
        <v>4390</v>
      </c>
      <c r="C205" t="s">
        <v>4389</v>
      </c>
      <c r="D205" t="s">
        <v>1913</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1769</v>
      </c>
    </row>
    <row r="206" spans="1:31">
      <c r="A206" t="s">
        <v>208</v>
      </c>
      <c r="B206" t="s">
        <v>4388</v>
      </c>
      <c r="C206" t="s">
        <v>4387</v>
      </c>
      <c r="D206" t="s">
        <v>1916</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1769</v>
      </c>
    </row>
    <row r="207" spans="1:31">
      <c r="A207" t="s">
        <v>209</v>
      </c>
      <c r="B207" t="s">
        <v>4386</v>
      </c>
      <c r="C207" t="s">
        <v>4385</v>
      </c>
      <c r="D207" t="s">
        <v>1913</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1769</v>
      </c>
    </row>
    <row r="208" spans="1:31">
      <c r="A208" t="s">
        <v>1830</v>
      </c>
      <c r="B208" t="s">
        <v>4384</v>
      </c>
      <c r="C208" t="s">
        <v>4383</v>
      </c>
      <c r="D208" t="s">
        <v>1913</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1769</v>
      </c>
    </row>
    <row r="209" spans="1:31">
      <c r="A209" t="s">
        <v>1827</v>
      </c>
      <c r="B209" t="s">
        <v>4382</v>
      </c>
      <c r="C209" t="s">
        <v>4381</v>
      </c>
      <c r="D209" t="s">
        <v>1916</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s="144">
        <v>1E-3</v>
      </c>
    </row>
    <row r="210" spans="1:31">
      <c r="A210" t="s">
        <v>1824</v>
      </c>
      <c r="B210" t="s">
        <v>4380</v>
      </c>
      <c r="C210" t="s">
        <v>4379</v>
      </c>
      <c r="D210" t="s">
        <v>1913</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1769</v>
      </c>
    </row>
    <row r="211" spans="1:31">
      <c r="A211" t="s">
        <v>1969</v>
      </c>
      <c r="B211" t="s">
        <v>4378</v>
      </c>
      <c r="C211" t="s">
        <v>4377</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s="144">
        <v>1.0999999999999999E-2</v>
      </c>
    </row>
    <row r="212" spans="1:31">
      <c r="A212" t="s">
        <v>1877</v>
      </c>
    </row>
    <row r="213" spans="1:31">
      <c r="A213" t="s">
        <v>201</v>
      </c>
      <c r="B213" t="s">
        <v>4376</v>
      </c>
      <c r="C213" t="s">
        <v>4375</v>
      </c>
      <c r="D213" t="s">
        <v>1913</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s="144">
        <v>6.0000000000000001E-3</v>
      </c>
    </row>
    <row r="214" spans="1:31">
      <c r="A214" t="s">
        <v>202</v>
      </c>
      <c r="B214" t="s">
        <v>4374</v>
      </c>
      <c r="C214" t="s">
        <v>4373</v>
      </c>
      <c r="D214" t="s">
        <v>1916</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s="144">
        <v>6.0000000000000001E-3</v>
      </c>
    </row>
    <row r="215" spans="1:31">
      <c r="A215" t="s">
        <v>203</v>
      </c>
      <c r="B215" t="s">
        <v>4372</v>
      </c>
      <c r="C215" t="s">
        <v>4371</v>
      </c>
      <c r="D215" t="s">
        <v>1916</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s="144">
        <v>1.2E-2</v>
      </c>
    </row>
    <row r="216" spans="1:31">
      <c r="A216" t="s">
        <v>204</v>
      </c>
      <c r="B216" t="s">
        <v>4370</v>
      </c>
      <c r="C216" t="s">
        <v>4369</v>
      </c>
      <c r="D216" t="s">
        <v>1916</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s="144">
        <v>8.9999999999999993E-3</v>
      </c>
    </row>
    <row r="217" spans="1:31">
      <c r="A217" t="s">
        <v>205</v>
      </c>
      <c r="B217" t="s">
        <v>4368</v>
      </c>
      <c r="C217" t="s">
        <v>4367</v>
      </c>
      <c r="D217" t="s">
        <v>1956</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s="144">
        <v>7.0000000000000001E-3</v>
      </c>
    </row>
    <row r="218" spans="1:31">
      <c r="A218" t="s">
        <v>206</v>
      </c>
      <c r="B218" t="s">
        <v>4366</v>
      </c>
      <c r="C218" t="s">
        <v>4365</v>
      </c>
      <c r="D218" t="s">
        <v>1916</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s="144">
        <v>1E-3</v>
      </c>
    </row>
    <row r="219" spans="1:31">
      <c r="A219" t="s">
        <v>207</v>
      </c>
      <c r="B219" t="s">
        <v>4364</v>
      </c>
      <c r="C219" t="s">
        <v>4363</v>
      </c>
      <c r="D219" t="s">
        <v>1916</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1769</v>
      </c>
    </row>
    <row r="220" spans="1:31">
      <c r="A220" t="s">
        <v>208</v>
      </c>
      <c r="B220" t="s">
        <v>4362</v>
      </c>
      <c r="C220" t="s">
        <v>4361</v>
      </c>
      <c r="D220" t="s">
        <v>1916</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s="144">
        <v>0</v>
      </c>
    </row>
    <row r="221" spans="1:31">
      <c r="A221" t="s">
        <v>209</v>
      </c>
      <c r="B221" t="s">
        <v>4360</v>
      </c>
      <c r="C221" t="s">
        <v>4359</v>
      </c>
      <c r="D221" t="s">
        <v>1916</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1769</v>
      </c>
    </row>
    <row r="222" spans="1:31">
      <c r="A222" t="s">
        <v>1830</v>
      </c>
      <c r="B222" t="s">
        <v>4358</v>
      </c>
      <c r="C222" t="s">
        <v>4357</v>
      </c>
      <c r="D222" t="s">
        <v>1913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1769</v>
      </c>
    </row>
    <row r="223" spans="1:31">
      <c r="A223" t="s">
        <v>1827</v>
      </c>
      <c r="B223" t="s">
        <v>4356</v>
      </c>
      <c r="C223" t="s">
        <v>4355</v>
      </c>
      <c r="D223" t="s">
        <v>1916</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s="144">
        <v>3.0000000000000001E-3</v>
      </c>
    </row>
    <row r="224" spans="1:31">
      <c r="A224" t="s">
        <v>1824</v>
      </c>
      <c r="B224" t="s">
        <v>4354</v>
      </c>
      <c r="C224" t="s">
        <v>4353</v>
      </c>
      <c r="D224" t="s">
        <v>1913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1769</v>
      </c>
    </row>
    <row r="225" spans="1:31">
      <c r="A225" t="s">
        <v>1941</v>
      </c>
      <c r="B225" t="s">
        <v>4352</v>
      </c>
      <c r="C225" t="s">
        <v>4351</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s="144">
        <v>6.0000000000000001E-3</v>
      </c>
    </row>
    <row r="226" spans="1:31">
      <c r="A226" t="s">
        <v>1849</v>
      </c>
    </row>
    <row r="227" spans="1:31">
      <c r="A227" t="s">
        <v>201</v>
      </c>
      <c r="B227" t="s">
        <v>4350</v>
      </c>
      <c r="C227" t="s">
        <v>4349</v>
      </c>
      <c r="D227" t="s">
        <v>1913</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s="144">
        <v>6.0000000000000001E-3</v>
      </c>
    </row>
    <row r="228" spans="1:31">
      <c r="A228" t="s">
        <v>202</v>
      </c>
      <c r="B228" t="s">
        <v>4348</v>
      </c>
      <c r="C228" t="s">
        <v>4347</v>
      </c>
      <c r="D228" t="s">
        <v>1916</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s="144">
        <v>7.0000000000000001E-3</v>
      </c>
    </row>
    <row r="229" spans="1:31">
      <c r="A229" t="s">
        <v>203</v>
      </c>
      <c r="B229" t="s">
        <v>4346</v>
      </c>
      <c r="C229" t="s">
        <v>4345</v>
      </c>
      <c r="D229" t="s">
        <v>1916</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s="144">
        <v>0</v>
      </c>
    </row>
    <row r="230" spans="1:31">
      <c r="A230" t="s">
        <v>204</v>
      </c>
      <c r="B230" t="s">
        <v>4344</v>
      </c>
      <c r="C230" t="s">
        <v>4343</v>
      </c>
      <c r="D230" t="s">
        <v>1913</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s="144">
        <v>0.01</v>
      </c>
    </row>
    <row r="231" spans="1:31">
      <c r="A231" t="s">
        <v>205</v>
      </c>
      <c r="B231" t="s">
        <v>4342</v>
      </c>
      <c r="C231" t="s">
        <v>4341</v>
      </c>
      <c r="D231" t="s">
        <v>1916</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1769</v>
      </c>
    </row>
    <row r="232" spans="1:31">
      <c r="A232" t="s">
        <v>206</v>
      </c>
      <c r="B232" t="s">
        <v>4340</v>
      </c>
      <c r="C232" t="s">
        <v>4339</v>
      </c>
      <c r="D232" t="s">
        <v>1913</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s="144">
        <v>5.0000000000000001E-3</v>
      </c>
    </row>
    <row r="233" spans="1:31">
      <c r="A233" t="s">
        <v>207</v>
      </c>
      <c r="B233" t="s">
        <v>4338</v>
      </c>
      <c r="C233" t="s">
        <v>4337</v>
      </c>
      <c r="D233" t="s">
        <v>1913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1769</v>
      </c>
    </row>
    <row r="234" spans="1:31">
      <c r="A234" t="s">
        <v>208</v>
      </c>
      <c r="B234" t="s">
        <v>4336</v>
      </c>
      <c r="C234" t="s">
        <v>4335</v>
      </c>
      <c r="D234" t="s">
        <v>1916</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1769</v>
      </c>
    </row>
    <row r="235" spans="1:31">
      <c r="A235" t="s">
        <v>209</v>
      </c>
      <c r="B235" t="s">
        <v>4334</v>
      </c>
      <c r="C235" t="s">
        <v>4333</v>
      </c>
      <c r="D235" t="s">
        <v>1913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1769</v>
      </c>
    </row>
    <row r="236" spans="1:31">
      <c r="A236" t="s">
        <v>1830</v>
      </c>
      <c r="B236" t="s">
        <v>4332</v>
      </c>
      <c r="C236" t="s">
        <v>4331</v>
      </c>
      <c r="D236" t="s">
        <v>1913</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1769</v>
      </c>
    </row>
    <row r="237" spans="1:31">
      <c r="A237" t="s">
        <v>1827</v>
      </c>
      <c r="B237" t="s">
        <v>4330</v>
      </c>
      <c r="C237" t="s">
        <v>4329</v>
      </c>
      <c r="D237" t="s">
        <v>1916</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1769</v>
      </c>
    </row>
    <row r="238" spans="1:31">
      <c r="A238" t="s">
        <v>1824</v>
      </c>
      <c r="B238" t="s">
        <v>4328</v>
      </c>
      <c r="C238" t="s">
        <v>4327</v>
      </c>
      <c r="D238" t="s">
        <v>1913</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1769</v>
      </c>
    </row>
    <row r="239" spans="1:31">
      <c r="A239" t="s">
        <v>1912</v>
      </c>
      <c r="B239" t="s">
        <v>4326</v>
      </c>
      <c r="C239" t="s">
        <v>4325</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s="144">
        <v>6.0000000000000001E-3</v>
      </c>
    </row>
    <row r="240" spans="1:31">
      <c r="A240" t="s">
        <v>1909</v>
      </c>
      <c r="B240" t="s">
        <v>4324</v>
      </c>
      <c r="C240" t="s">
        <v>4323</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s="144">
        <v>8.0000000000000002E-3</v>
      </c>
    </row>
    <row r="241" spans="1:31">
      <c r="A241" t="s">
        <v>1906</v>
      </c>
    </row>
    <row r="242" spans="1:31">
      <c r="A242" t="s">
        <v>1905</v>
      </c>
    </row>
    <row r="243" spans="1:31">
      <c r="A243" t="s">
        <v>201</v>
      </c>
      <c r="B243" t="s">
        <v>4322</v>
      </c>
      <c r="C243" t="s">
        <v>4321</v>
      </c>
      <c r="D243" t="s">
        <v>1815</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s="144">
        <v>-5.8000000000000003E-2</v>
      </c>
    </row>
    <row r="244" spans="1:31">
      <c r="A244" t="s">
        <v>202</v>
      </c>
      <c r="B244" t="s">
        <v>4320</v>
      </c>
      <c r="C244" t="s">
        <v>4319</v>
      </c>
      <c r="D244" t="s">
        <v>1815</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s="144">
        <v>-4.1000000000000002E-2</v>
      </c>
    </row>
    <row r="245" spans="1:31">
      <c r="A245" t="s">
        <v>203</v>
      </c>
      <c r="B245" t="s">
        <v>4318</v>
      </c>
      <c r="C245" t="s">
        <v>4317</v>
      </c>
      <c r="D245" t="s">
        <v>1815</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s="144">
        <v>1.0999999999999999E-2</v>
      </c>
    </row>
    <row r="246" spans="1:31">
      <c r="A246" t="s">
        <v>204</v>
      </c>
      <c r="B246" t="s">
        <v>4316</v>
      </c>
      <c r="C246" t="s">
        <v>4315</v>
      </c>
      <c r="D246" t="s">
        <v>1815</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s="144">
        <v>4.9000000000000002E-2</v>
      </c>
    </row>
    <row r="247" spans="1:31">
      <c r="A247" t="s">
        <v>205</v>
      </c>
      <c r="B247" t="s">
        <v>4314</v>
      </c>
      <c r="C247" t="s">
        <v>4313</v>
      </c>
      <c r="D247" t="s">
        <v>1815</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s="144">
        <v>1.0999999999999999E-2</v>
      </c>
    </row>
    <row r="248" spans="1:31">
      <c r="A248" t="s">
        <v>206</v>
      </c>
      <c r="B248" t="s">
        <v>4312</v>
      </c>
      <c r="C248" t="s">
        <v>4311</v>
      </c>
      <c r="D248" t="s">
        <v>1815</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s="144">
        <v>0.192</v>
      </c>
    </row>
    <row r="249" spans="1:31">
      <c r="A249" t="s">
        <v>207</v>
      </c>
      <c r="B249" t="s">
        <v>4310</v>
      </c>
      <c r="C249" t="s">
        <v>4309</v>
      </c>
      <c r="D249" t="s">
        <v>1815</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1769</v>
      </c>
    </row>
    <row r="250" spans="1:31">
      <c r="A250" t="s">
        <v>208</v>
      </c>
      <c r="B250" t="s">
        <v>4308</v>
      </c>
      <c r="C250" t="s">
        <v>4307</v>
      </c>
      <c r="D250" t="s">
        <v>1815</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1769</v>
      </c>
    </row>
    <row r="251" spans="1:31">
      <c r="A251" t="s">
        <v>209</v>
      </c>
      <c r="B251" t="s">
        <v>4306</v>
      </c>
      <c r="C251" t="s">
        <v>4305</v>
      </c>
      <c r="D251" t="s">
        <v>1815</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1769</v>
      </c>
    </row>
    <row r="252" spans="1:31">
      <c r="A252" t="s">
        <v>1830</v>
      </c>
      <c r="B252" t="s">
        <v>4304</v>
      </c>
      <c r="C252" t="s">
        <v>4303</v>
      </c>
      <c r="D252" t="s">
        <v>1815</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1769</v>
      </c>
    </row>
    <row r="253" spans="1:31">
      <c r="A253" t="s">
        <v>1827</v>
      </c>
      <c r="B253" t="s">
        <v>4302</v>
      </c>
      <c r="C253" t="s">
        <v>4301</v>
      </c>
      <c r="D253" t="s">
        <v>1815</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s="144">
        <v>0.19500000000000001</v>
      </c>
    </row>
    <row r="254" spans="1:31">
      <c r="A254" t="s">
        <v>1824</v>
      </c>
      <c r="B254" t="s">
        <v>4300</v>
      </c>
      <c r="C254" t="s">
        <v>4299</v>
      </c>
      <c r="D254" t="s">
        <v>1815</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1769</v>
      </c>
    </row>
    <row r="255" spans="1:31">
      <c r="A255" t="s">
        <v>1880</v>
      </c>
      <c r="B255" t="s">
        <v>4298</v>
      </c>
      <c r="C255" t="s">
        <v>4297</v>
      </c>
      <c r="D255" t="s">
        <v>1815</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s="144">
        <v>1.2E-2</v>
      </c>
    </row>
    <row r="256" spans="1:31">
      <c r="A256" t="s">
        <v>1877</v>
      </c>
    </row>
    <row r="257" spans="1:31">
      <c r="A257" t="s">
        <v>201</v>
      </c>
      <c r="B257" t="s">
        <v>4296</v>
      </c>
      <c r="C257" t="s">
        <v>4295</v>
      </c>
      <c r="D257" t="s">
        <v>1815</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s="144">
        <v>-1.0999999999999999E-2</v>
      </c>
    </row>
    <row r="258" spans="1:31">
      <c r="A258" t="s">
        <v>202</v>
      </c>
      <c r="B258" t="s">
        <v>4294</v>
      </c>
      <c r="C258" t="s">
        <v>4293</v>
      </c>
      <c r="D258" t="s">
        <v>1815</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s="144">
        <v>-1E-3</v>
      </c>
    </row>
    <row r="259" spans="1:31">
      <c r="A259" t="s">
        <v>203</v>
      </c>
      <c r="B259" t="s">
        <v>4292</v>
      </c>
      <c r="C259" t="s">
        <v>4291</v>
      </c>
      <c r="D259" t="s">
        <v>1815</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s="144">
        <v>2E-3</v>
      </c>
    </row>
    <row r="260" spans="1:31">
      <c r="A260" t="s">
        <v>204</v>
      </c>
      <c r="B260" t="s">
        <v>4290</v>
      </c>
      <c r="C260" t="s">
        <v>4289</v>
      </c>
      <c r="D260" t="s">
        <v>1815</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s="144">
        <v>0</v>
      </c>
    </row>
    <row r="261" spans="1:31">
      <c r="A261" t="s">
        <v>205</v>
      </c>
      <c r="B261" t="s">
        <v>4288</v>
      </c>
      <c r="C261" t="s">
        <v>4287</v>
      </c>
      <c r="D261" t="s">
        <v>1815</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s="144">
        <v>2E-3</v>
      </c>
    </row>
    <row r="262" spans="1:31">
      <c r="A262" t="s">
        <v>206</v>
      </c>
      <c r="B262" t="s">
        <v>4286</v>
      </c>
      <c r="C262" t="s">
        <v>4285</v>
      </c>
      <c r="D262" t="s">
        <v>1815</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s="144">
        <v>2E-3</v>
      </c>
    </row>
    <row r="263" spans="1:31">
      <c r="A263" t="s">
        <v>207</v>
      </c>
      <c r="B263" t="s">
        <v>4284</v>
      </c>
      <c r="C263" t="s">
        <v>4283</v>
      </c>
      <c r="D263" t="s">
        <v>1815</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1769</v>
      </c>
    </row>
    <row r="264" spans="1:31">
      <c r="A264" t="s">
        <v>208</v>
      </c>
      <c r="B264" t="s">
        <v>4282</v>
      </c>
      <c r="C264" t="s">
        <v>4281</v>
      </c>
      <c r="D264" t="s">
        <v>1815</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s="144">
        <v>-1</v>
      </c>
    </row>
    <row r="265" spans="1:31">
      <c r="A265" t="s">
        <v>209</v>
      </c>
      <c r="B265" t="s">
        <v>4280</v>
      </c>
      <c r="C265" t="s">
        <v>4279</v>
      </c>
      <c r="D265" t="s">
        <v>1815</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1769</v>
      </c>
    </row>
    <row r="266" spans="1:31">
      <c r="A266" t="s">
        <v>1830</v>
      </c>
      <c r="B266" t="s">
        <v>4278</v>
      </c>
      <c r="C266" t="s">
        <v>4277</v>
      </c>
      <c r="D266" t="s">
        <v>1815</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1769</v>
      </c>
    </row>
    <row r="267" spans="1:31">
      <c r="A267" t="s">
        <v>1827</v>
      </c>
      <c r="B267" t="s">
        <v>4276</v>
      </c>
      <c r="C267" t="s">
        <v>4275</v>
      </c>
      <c r="D267" t="s">
        <v>1815</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s="144">
        <v>0.14099999999999999</v>
      </c>
    </row>
    <row r="268" spans="1:31">
      <c r="A268" t="s">
        <v>1824</v>
      </c>
      <c r="B268" t="s">
        <v>4274</v>
      </c>
      <c r="C268" t="s">
        <v>4273</v>
      </c>
      <c r="D268" t="s">
        <v>1815</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1769</v>
      </c>
    </row>
    <row r="269" spans="1:31">
      <c r="A269" t="s">
        <v>1852</v>
      </c>
      <c r="B269" t="s">
        <v>4272</v>
      </c>
      <c r="C269" t="s">
        <v>4271</v>
      </c>
      <c r="D269" t="s">
        <v>1815</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s="144">
        <v>2E-3</v>
      </c>
    </row>
    <row r="270" spans="1:31">
      <c r="A270" t="s">
        <v>1849</v>
      </c>
    </row>
    <row r="271" spans="1:31">
      <c r="A271" t="s">
        <v>201</v>
      </c>
      <c r="B271" t="s">
        <v>4270</v>
      </c>
      <c r="C271" t="s">
        <v>4269</v>
      </c>
      <c r="D271" t="s">
        <v>1815</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s="144">
        <v>1E-3</v>
      </c>
    </row>
    <row r="272" spans="1:31">
      <c r="A272" t="s">
        <v>202</v>
      </c>
      <c r="B272" t="s">
        <v>4268</v>
      </c>
      <c r="C272" t="s">
        <v>4267</v>
      </c>
      <c r="D272" t="s">
        <v>1815</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s="144">
        <v>2E-3</v>
      </c>
    </row>
    <row r="273" spans="1:31">
      <c r="A273" t="s">
        <v>203</v>
      </c>
      <c r="B273" t="s">
        <v>4266</v>
      </c>
      <c r="C273" t="s">
        <v>4265</v>
      </c>
      <c r="D273" t="s">
        <v>1815</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1769</v>
      </c>
    </row>
    <row r="274" spans="1:31">
      <c r="A274" t="s">
        <v>204</v>
      </c>
      <c r="B274" t="s">
        <v>4264</v>
      </c>
      <c r="C274" t="s">
        <v>4263</v>
      </c>
      <c r="D274" t="s">
        <v>1815</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s="144">
        <v>3.6999999999999998E-2</v>
      </c>
    </row>
    <row r="275" spans="1:31">
      <c r="A275" t="s">
        <v>205</v>
      </c>
      <c r="B275" t="s">
        <v>4262</v>
      </c>
      <c r="C275" t="s">
        <v>4261</v>
      </c>
      <c r="D275" t="s">
        <v>1815</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1769</v>
      </c>
    </row>
    <row r="276" spans="1:31">
      <c r="A276" t="s">
        <v>206</v>
      </c>
      <c r="B276" t="s">
        <v>4260</v>
      </c>
      <c r="C276" t="s">
        <v>4259</v>
      </c>
      <c r="D276" t="s">
        <v>1815</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s="144">
        <v>2E-3</v>
      </c>
    </row>
    <row r="277" spans="1:31">
      <c r="A277" t="s">
        <v>207</v>
      </c>
      <c r="B277" t="s">
        <v>4258</v>
      </c>
      <c r="C277" t="s">
        <v>4257</v>
      </c>
      <c r="D277" t="s">
        <v>1815</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1769</v>
      </c>
    </row>
    <row r="278" spans="1:31">
      <c r="A278" t="s">
        <v>208</v>
      </c>
      <c r="B278" t="s">
        <v>4256</v>
      </c>
      <c r="C278" t="s">
        <v>4255</v>
      </c>
      <c r="D278" t="s">
        <v>1815</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1769</v>
      </c>
    </row>
    <row r="279" spans="1:31">
      <c r="A279" t="s">
        <v>209</v>
      </c>
      <c r="B279" t="s">
        <v>4254</v>
      </c>
      <c r="C279" t="s">
        <v>4253</v>
      </c>
      <c r="D279" t="s">
        <v>1815</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1769</v>
      </c>
    </row>
    <row r="280" spans="1:31">
      <c r="A280" t="s">
        <v>1830</v>
      </c>
      <c r="B280" t="s">
        <v>4252</v>
      </c>
      <c r="C280" t="s">
        <v>4251</v>
      </c>
      <c r="D280" t="s">
        <v>1815</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1769</v>
      </c>
    </row>
    <row r="281" spans="1:31">
      <c r="A281" t="s">
        <v>1827</v>
      </c>
      <c r="B281" t="s">
        <v>4250</v>
      </c>
      <c r="C281" t="s">
        <v>4249</v>
      </c>
      <c r="D281" t="s">
        <v>1815</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1769</v>
      </c>
    </row>
    <row r="282" spans="1:31">
      <c r="A282" t="s">
        <v>1824</v>
      </c>
      <c r="B282" t="s">
        <v>4248</v>
      </c>
      <c r="C282" t="s">
        <v>4247</v>
      </c>
      <c r="D282" t="s">
        <v>1815</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1769</v>
      </c>
    </row>
    <row r="283" spans="1:31">
      <c r="A283" t="s">
        <v>1821</v>
      </c>
      <c r="B283" t="s">
        <v>4246</v>
      </c>
      <c r="C283" t="s">
        <v>4245</v>
      </c>
      <c r="D283" t="s">
        <v>1815</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s="144">
        <v>2E-3</v>
      </c>
    </row>
    <row r="284" spans="1:31">
      <c r="A284" t="s">
        <v>1818</v>
      </c>
      <c r="B284" t="s">
        <v>4244</v>
      </c>
      <c r="C284" t="s">
        <v>4243</v>
      </c>
      <c r="D284" t="s">
        <v>1815</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s="144">
        <v>7.0000000000000001E-3</v>
      </c>
    </row>
    <row r="285" spans="1:31">
      <c r="A285" t="s">
        <v>192</v>
      </c>
    </row>
    <row r="286" spans="1:31">
      <c r="A286" t="s">
        <v>1814</v>
      </c>
      <c r="B286" t="s">
        <v>4242</v>
      </c>
      <c r="C286" t="s">
        <v>4241</v>
      </c>
      <c r="D286" t="s">
        <v>1798</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s="144">
        <v>0</v>
      </c>
    </row>
    <row r="287" spans="1:31">
      <c r="A287" t="s">
        <v>1797</v>
      </c>
      <c r="B287" t="s">
        <v>4240</v>
      </c>
      <c r="C287" t="s">
        <v>4239</v>
      </c>
      <c r="D287" t="s">
        <v>1794</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s="144">
        <v>1E-3</v>
      </c>
    </row>
    <row r="288" spans="1:31">
      <c r="A288" t="s">
        <v>154</v>
      </c>
    </row>
    <row r="289" spans="1:31">
      <c r="A289" t="s">
        <v>212</v>
      </c>
      <c r="B289" t="s">
        <v>4238</v>
      </c>
      <c r="C289" t="s">
        <v>4237</v>
      </c>
      <c r="D289" t="s">
        <v>1766</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s="144">
        <v>-1E-3</v>
      </c>
    </row>
    <row r="290" spans="1:31">
      <c r="A290" t="s">
        <v>213</v>
      </c>
      <c r="B290" t="s">
        <v>4236</v>
      </c>
      <c r="C290" t="s">
        <v>4235</v>
      </c>
      <c r="D290" t="s">
        <v>1766</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1769</v>
      </c>
    </row>
    <row r="291" spans="1:31">
      <c r="A291" t="s">
        <v>214</v>
      </c>
      <c r="B291" t="s">
        <v>4234</v>
      </c>
      <c r="C291" t="s">
        <v>4233</v>
      </c>
      <c r="D291" t="s">
        <v>1766</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1769</v>
      </c>
    </row>
    <row r="292" spans="1:31">
      <c r="A292" t="s">
        <v>215</v>
      </c>
      <c r="B292" t="s">
        <v>4232</v>
      </c>
      <c r="C292" t="s">
        <v>4231</v>
      </c>
      <c r="D292" t="s">
        <v>1766</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1769</v>
      </c>
    </row>
    <row r="293" spans="1:31">
      <c r="A293" t="s">
        <v>193</v>
      </c>
    </row>
    <row r="294" spans="1:31">
      <c r="A294" t="s">
        <v>1801</v>
      </c>
      <c r="B294" t="s">
        <v>4230</v>
      </c>
      <c r="C294" t="s">
        <v>4229</v>
      </c>
      <c r="D294" t="s">
        <v>1798</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s="144">
        <v>-2E-3</v>
      </c>
    </row>
    <row r="295" spans="1:31">
      <c r="A295" t="s">
        <v>1797</v>
      </c>
      <c r="B295" t="s">
        <v>4228</v>
      </c>
      <c r="C295" t="s">
        <v>4227</v>
      </c>
      <c r="D295" t="s">
        <v>1794</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s="144">
        <v>4.0000000000000001E-3</v>
      </c>
    </row>
    <row r="296" spans="1:31">
      <c r="A296" t="s">
        <v>154</v>
      </c>
    </row>
    <row r="297" spans="1:31">
      <c r="A297" t="s">
        <v>212</v>
      </c>
      <c r="B297" t="s">
        <v>4226</v>
      </c>
      <c r="C297" t="s">
        <v>4225</v>
      </c>
      <c r="D297" t="s">
        <v>1766</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s="144">
        <v>-7.0000000000000001E-3</v>
      </c>
    </row>
    <row r="298" spans="1:31">
      <c r="A298" t="s">
        <v>213</v>
      </c>
      <c r="B298" t="s">
        <v>4224</v>
      </c>
      <c r="C298" t="s">
        <v>4223</v>
      </c>
      <c r="D298" t="s">
        <v>1766</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s="144">
        <v>-5.3999999999999999E-2</v>
      </c>
    </row>
    <row r="299" spans="1:31">
      <c r="A299" t="s">
        <v>214</v>
      </c>
      <c r="B299" t="s">
        <v>4222</v>
      </c>
      <c r="C299" t="s">
        <v>4221</v>
      </c>
      <c r="D299" t="s">
        <v>1766</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1769</v>
      </c>
    </row>
    <row r="300" spans="1:31">
      <c r="A300" t="s">
        <v>215</v>
      </c>
      <c r="B300" t="s">
        <v>4220</v>
      </c>
      <c r="C300" t="s">
        <v>4219</v>
      </c>
      <c r="D300" t="s">
        <v>1766</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s="144">
        <v>5.0999999999999997E-2</v>
      </c>
    </row>
    <row r="301" spans="1:31">
      <c r="A301" t="s">
        <v>194</v>
      </c>
    </row>
    <row r="302" spans="1:31">
      <c r="A302" t="s">
        <v>1785</v>
      </c>
      <c r="B302" t="s">
        <v>4218</v>
      </c>
      <c r="C302" t="s">
        <v>4217</v>
      </c>
      <c r="D302" t="s">
        <v>1776</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s="144">
        <v>2.5000000000000001E-2</v>
      </c>
    </row>
    <row r="303" spans="1:31">
      <c r="A303" t="s">
        <v>1782</v>
      </c>
      <c r="B303" t="s">
        <v>4216</v>
      </c>
      <c r="C303" t="s">
        <v>4215</v>
      </c>
      <c r="D303" t="s">
        <v>1776</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s="144">
        <v>2.3E-2</v>
      </c>
    </row>
    <row r="304" spans="1:31">
      <c r="A304" t="s">
        <v>1779</v>
      </c>
      <c r="B304" t="s">
        <v>4214</v>
      </c>
      <c r="C304" t="s">
        <v>4213</v>
      </c>
      <c r="D304" t="s">
        <v>1776</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s="144">
        <v>2.7E-2</v>
      </c>
    </row>
    <row r="305" spans="1:31">
      <c r="A305" t="s">
        <v>154</v>
      </c>
    </row>
    <row r="306" spans="1:31">
      <c r="A306" t="s">
        <v>212</v>
      </c>
      <c r="B306" t="s">
        <v>4212</v>
      </c>
      <c r="C306" t="s">
        <v>4211</v>
      </c>
      <c r="D306" t="s">
        <v>1766</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s="144">
        <v>1.4999999999999999E-2</v>
      </c>
    </row>
    <row r="307" spans="1:31">
      <c r="A307" t="s">
        <v>213</v>
      </c>
      <c r="B307" t="s">
        <v>4210</v>
      </c>
      <c r="C307" t="s">
        <v>4209</v>
      </c>
      <c r="D307" t="s">
        <v>1766</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s="144">
        <v>0.01</v>
      </c>
    </row>
    <row r="308" spans="1:31">
      <c r="A308" t="s">
        <v>214</v>
      </c>
      <c r="B308" t="s">
        <v>4208</v>
      </c>
      <c r="C308" t="s">
        <v>4207</v>
      </c>
      <c r="D308" t="s">
        <v>1766</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1769</v>
      </c>
    </row>
    <row r="309" spans="1:31">
      <c r="A309" t="s">
        <v>215</v>
      </c>
      <c r="B309" t="s">
        <v>4206</v>
      </c>
      <c r="C309" t="s">
        <v>4205</v>
      </c>
      <c r="D309" t="s">
        <v>1766</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s="144">
        <v>2.5000000000000001E-2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ACBED-6027-4C8F-8ED2-8B568C572E2D}">
  <dimension ref="A1:AE51"/>
  <sheetViews>
    <sheetView topLeftCell="A32" workbookViewId="0"/>
  </sheetViews>
  <sheetFormatPr defaultRowHeight="15"/>
  <sheetData>
    <row r="1" spans="1:31">
      <c r="A1" t="s">
        <v>3646</v>
      </c>
    </row>
    <row r="2" spans="1:31">
      <c r="A2" t="s">
        <v>4830</v>
      </c>
    </row>
    <row r="3" spans="1:31">
      <c r="A3" t="s">
        <v>4829</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3535</v>
      </c>
    </row>
    <row r="7" spans="1:31">
      <c r="A7" t="s">
        <v>2983</v>
      </c>
    </row>
    <row r="8" spans="1:31">
      <c r="A8" t="s">
        <v>337</v>
      </c>
      <c r="B8" t="s">
        <v>4828</v>
      </c>
      <c r="C8" t="s">
        <v>4827</v>
      </c>
      <c r="D8" t="s">
        <v>1815</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144">
        <v>-3.6999999999999998E-2</v>
      </c>
    </row>
    <row r="9" spans="1:31">
      <c r="A9" t="s">
        <v>339</v>
      </c>
      <c r="B9" t="s">
        <v>4826</v>
      </c>
      <c r="C9" t="s">
        <v>4825</v>
      </c>
      <c r="D9" t="s">
        <v>1815</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144">
        <v>-0.11700000000000001</v>
      </c>
    </row>
    <row r="10" spans="1:31">
      <c r="A10" t="s">
        <v>2978</v>
      </c>
      <c r="B10" t="s">
        <v>4824</v>
      </c>
      <c r="C10" t="s">
        <v>4823</v>
      </c>
      <c r="D10" t="s">
        <v>1815</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144">
        <v>-3.6999999999999998E-2</v>
      </c>
    </row>
    <row r="11" spans="1:31">
      <c r="A11" t="s">
        <v>2975</v>
      </c>
    </row>
    <row r="12" spans="1:31">
      <c r="A12" t="s">
        <v>344</v>
      </c>
      <c r="B12" t="s">
        <v>4822</v>
      </c>
      <c r="C12" t="s">
        <v>4821</v>
      </c>
      <c r="D12" t="s">
        <v>1815</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144">
        <v>-0.113</v>
      </c>
    </row>
    <row r="13" spans="1:31">
      <c r="A13" t="s">
        <v>2928</v>
      </c>
      <c r="B13" t="s">
        <v>4820</v>
      </c>
      <c r="C13" t="s">
        <v>4819</v>
      </c>
      <c r="D13" t="s">
        <v>1815</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144">
        <v>1.7000000000000001E-2</v>
      </c>
    </row>
    <row r="14" spans="1:31">
      <c r="A14" t="s">
        <v>2925</v>
      </c>
      <c r="B14" t="s">
        <v>4818</v>
      </c>
      <c r="C14" t="s">
        <v>4817</v>
      </c>
      <c r="D14" t="s">
        <v>1815</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144">
        <v>5.3999999999999999E-2</v>
      </c>
    </row>
    <row r="15" spans="1:31">
      <c r="A15" t="s">
        <v>2922</v>
      </c>
      <c r="B15" t="s">
        <v>4816</v>
      </c>
      <c r="C15" t="s">
        <v>4815</v>
      </c>
      <c r="D15" t="s">
        <v>1815</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144">
        <v>6.2E-2</v>
      </c>
    </row>
    <row r="16" spans="1:31">
      <c r="A16" t="s">
        <v>2919</v>
      </c>
      <c r="B16" t="s">
        <v>4814</v>
      </c>
      <c r="C16" t="s">
        <v>4813</v>
      </c>
      <c r="D16" t="s">
        <v>1815</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144">
        <v>-3.2000000000000001E-2</v>
      </c>
    </row>
    <row r="17" spans="1:31">
      <c r="A17" t="s">
        <v>2916</v>
      </c>
      <c r="B17" t="s">
        <v>4812</v>
      </c>
      <c r="C17" t="s">
        <v>4811</v>
      </c>
      <c r="D17" t="s">
        <v>1815</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144">
        <v>0.01</v>
      </c>
    </row>
    <row r="18" spans="1:31">
      <c r="A18" t="s">
        <v>353</v>
      </c>
      <c r="B18" t="s">
        <v>4810</v>
      </c>
      <c r="C18" t="s">
        <v>4809</v>
      </c>
      <c r="D18" t="s">
        <v>1815</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144">
        <v>2.3E-2</v>
      </c>
    </row>
    <row r="19" spans="1:31">
      <c r="A19" t="s">
        <v>365</v>
      </c>
      <c r="B19" t="s">
        <v>4808</v>
      </c>
      <c r="C19" t="s">
        <v>4807</v>
      </c>
      <c r="D19" t="s">
        <v>1815</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144">
        <v>-0.113</v>
      </c>
    </row>
    <row r="20" spans="1:31">
      <c r="A20" t="s">
        <v>2946</v>
      </c>
      <c r="B20" t="s">
        <v>4806</v>
      </c>
      <c r="C20" t="s">
        <v>4805</v>
      </c>
      <c r="D20" t="s">
        <v>1815</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144">
        <v>3.3000000000000002E-2</v>
      </c>
    </row>
    <row r="21" spans="1:31">
      <c r="A21" t="s">
        <v>708</v>
      </c>
      <c r="B21" t="s">
        <v>4804</v>
      </c>
      <c r="C21" t="s">
        <v>4803</v>
      </c>
      <c r="D21" t="s">
        <v>1815</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144">
        <v>-1.7000000000000001E-2</v>
      </c>
    </row>
    <row r="22" spans="1:31">
      <c r="A22" t="s">
        <v>3496</v>
      </c>
    </row>
    <row r="23" spans="1:31">
      <c r="A23" t="s">
        <v>2939</v>
      </c>
    </row>
    <row r="24" spans="1:31">
      <c r="A24" t="s">
        <v>337</v>
      </c>
      <c r="B24" t="s">
        <v>4802</v>
      </c>
      <c r="C24" t="s">
        <v>4801</v>
      </c>
      <c r="D24" t="s">
        <v>1815</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144">
        <v>-5.0000000000000001E-3</v>
      </c>
    </row>
    <row r="25" spans="1:31">
      <c r="A25" t="s">
        <v>339</v>
      </c>
      <c r="B25" t="s">
        <v>4800</v>
      </c>
      <c r="C25" t="s">
        <v>4799</v>
      </c>
      <c r="D25" t="s">
        <v>1815</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144">
        <v>2.1999999999999999E-2</v>
      </c>
    </row>
    <row r="26" spans="1:31">
      <c r="A26" t="s">
        <v>2934</v>
      </c>
      <c r="B26" t="s">
        <v>4798</v>
      </c>
      <c r="C26" t="s">
        <v>4797</v>
      </c>
      <c r="D26" t="s">
        <v>1815</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144">
        <v>-4.0000000000000001E-3</v>
      </c>
    </row>
    <row r="27" spans="1:31">
      <c r="A27" t="s">
        <v>2931</v>
      </c>
    </row>
    <row r="28" spans="1:31">
      <c r="A28" t="s">
        <v>344</v>
      </c>
      <c r="B28" t="s">
        <v>4796</v>
      </c>
      <c r="C28" t="s">
        <v>4795</v>
      </c>
      <c r="D28" t="s">
        <v>1815</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144">
        <v>-0.114</v>
      </c>
    </row>
    <row r="29" spans="1:31">
      <c r="A29" t="s">
        <v>2928</v>
      </c>
      <c r="B29" t="s">
        <v>4794</v>
      </c>
      <c r="C29" t="s">
        <v>4793</v>
      </c>
      <c r="D29" t="s">
        <v>1815</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144">
        <v>8.8999999999999996E-2</v>
      </c>
    </row>
    <row r="30" spans="1:31">
      <c r="A30" t="s">
        <v>2925</v>
      </c>
      <c r="B30" t="s">
        <v>4792</v>
      </c>
      <c r="C30" t="s">
        <v>4791</v>
      </c>
      <c r="D30" t="s">
        <v>1815</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144">
        <v>0.14199999999999999</v>
      </c>
    </row>
    <row r="31" spans="1:31">
      <c r="A31" t="s">
        <v>2922</v>
      </c>
      <c r="B31" t="s">
        <v>4790</v>
      </c>
      <c r="C31" t="s">
        <v>4789</v>
      </c>
      <c r="D31" t="s">
        <v>1815</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144">
        <v>0.113</v>
      </c>
    </row>
    <row r="32" spans="1:31">
      <c r="A32" t="s">
        <v>2919</v>
      </c>
      <c r="B32" t="s">
        <v>4788</v>
      </c>
      <c r="C32" t="s">
        <v>4787</v>
      </c>
      <c r="D32" t="s">
        <v>1815</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144">
        <v>3.5000000000000003E-2</v>
      </c>
    </row>
    <row r="33" spans="1:31">
      <c r="A33" t="s">
        <v>2916</v>
      </c>
      <c r="B33" t="s">
        <v>4786</v>
      </c>
      <c r="C33" t="s">
        <v>4785</v>
      </c>
      <c r="D33" t="s">
        <v>1815</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144">
        <v>6.5000000000000002E-2</v>
      </c>
    </row>
    <row r="34" spans="1:31">
      <c r="A34" t="s">
        <v>353</v>
      </c>
      <c r="B34" t="s">
        <v>4784</v>
      </c>
      <c r="C34" t="s">
        <v>4783</v>
      </c>
      <c r="D34" t="s">
        <v>1815</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144">
        <v>7.3999999999999996E-2</v>
      </c>
    </row>
    <row r="35" spans="1:31">
      <c r="A35" t="s">
        <v>365</v>
      </c>
      <c r="B35" t="s">
        <v>4782</v>
      </c>
      <c r="C35" t="s">
        <v>4781</v>
      </c>
      <c r="D35" t="s">
        <v>1815</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1769</v>
      </c>
    </row>
    <row r="36" spans="1:31">
      <c r="A36" t="s">
        <v>2897</v>
      </c>
      <c r="B36" t="s">
        <v>4780</v>
      </c>
      <c r="C36" t="s">
        <v>4779</v>
      </c>
      <c r="D36" t="s">
        <v>1815</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144">
        <v>5.0999999999999997E-2</v>
      </c>
    </row>
    <row r="37" spans="1:31">
      <c r="A37" t="s">
        <v>731</v>
      </c>
      <c r="B37" t="s">
        <v>4778</v>
      </c>
      <c r="C37" t="s">
        <v>4777</v>
      </c>
      <c r="D37" t="s">
        <v>1815</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144">
        <v>1.0999999999999999E-2</v>
      </c>
    </row>
    <row r="38" spans="1:31">
      <c r="A38" t="s">
        <v>393</v>
      </c>
      <c r="B38" t="s">
        <v>4776</v>
      </c>
      <c r="C38" t="s">
        <v>4775</v>
      </c>
      <c r="D38" t="s">
        <v>1815</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s="144">
        <v>3.0000000000000001E-3</v>
      </c>
    </row>
    <row r="39" spans="1:31">
      <c r="A39" t="s">
        <v>202</v>
      </c>
      <c r="B39" t="s">
        <v>4774</v>
      </c>
      <c r="C39" t="s">
        <v>4773</v>
      </c>
      <c r="D39" t="s">
        <v>1815</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s="144">
        <v>-8.9999999999999993E-3</v>
      </c>
    </row>
    <row r="40" spans="1:31">
      <c r="A40" t="s">
        <v>201</v>
      </c>
      <c r="B40" t="s">
        <v>4772</v>
      </c>
      <c r="C40" t="s">
        <v>4771</v>
      </c>
      <c r="D40" t="s">
        <v>1815</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s="144">
        <v>-3.5999999999999997E-2</v>
      </c>
    </row>
    <row r="41" spans="1:31">
      <c r="A41" t="s">
        <v>203</v>
      </c>
      <c r="B41" t="s">
        <v>4770</v>
      </c>
      <c r="C41" t="s">
        <v>4769</v>
      </c>
      <c r="D41" t="s">
        <v>1815</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s="144">
        <v>5.8000000000000003E-2</v>
      </c>
    </row>
    <row r="42" spans="1:31">
      <c r="A42" t="s">
        <v>204</v>
      </c>
      <c r="B42" t="s">
        <v>4768</v>
      </c>
      <c r="C42" t="s">
        <v>4767</v>
      </c>
      <c r="D42" t="s">
        <v>1815</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s="144">
        <v>0.11799999999999999</v>
      </c>
    </row>
    <row r="43" spans="1:31">
      <c r="A43" t="s">
        <v>205</v>
      </c>
      <c r="B43" t="s">
        <v>4766</v>
      </c>
      <c r="C43" t="s">
        <v>4765</v>
      </c>
      <c r="D43" t="s">
        <v>1815</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s="144">
        <v>-6.4000000000000001E-2</v>
      </c>
    </row>
    <row r="44" spans="1:31">
      <c r="A44" t="s">
        <v>206</v>
      </c>
      <c r="B44" t="s">
        <v>4764</v>
      </c>
      <c r="C44" t="s">
        <v>4763</v>
      </c>
      <c r="D44" t="s">
        <v>1815</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s="144">
        <v>0.10100000000000001</v>
      </c>
    </row>
    <row r="45" spans="1:31">
      <c r="A45" t="s">
        <v>208</v>
      </c>
      <c r="B45" t="s">
        <v>4762</v>
      </c>
      <c r="C45" t="s">
        <v>4761</v>
      </c>
      <c r="D45" t="s">
        <v>1815</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1769</v>
      </c>
    </row>
    <row r="46" spans="1:31">
      <c r="A46" t="s">
        <v>207</v>
      </c>
      <c r="B46" t="s">
        <v>4760</v>
      </c>
      <c r="C46" t="s">
        <v>4759</v>
      </c>
      <c r="D46" t="s">
        <v>1815</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1769</v>
      </c>
    </row>
    <row r="47" spans="1:31">
      <c r="A47" t="s">
        <v>209</v>
      </c>
      <c r="B47" t="s">
        <v>4758</v>
      </c>
      <c r="C47" t="s">
        <v>4757</v>
      </c>
      <c r="D47" t="s">
        <v>1815</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1769</v>
      </c>
    </row>
    <row r="48" spans="1:31">
      <c r="A48" t="s">
        <v>1830</v>
      </c>
      <c r="B48" t="s">
        <v>4756</v>
      </c>
      <c r="C48" t="s">
        <v>4755</v>
      </c>
      <c r="D48" t="s">
        <v>1815</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1769</v>
      </c>
    </row>
    <row r="49" spans="1:31">
      <c r="A49" t="s">
        <v>1827</v>
      </c>
      <c r="B49" t="s">
        <v>4754</v>
      </c>
      <c r="C49" t="s">
        <v>4753</v>
      </c>
      <c r="D49" t="s">
        <v>1815</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s="144">
        <v>0.35499999999999998</v>
      </c>
    </row>
    <row r="50" spans="1:31">
      <c r="A50" t="s">
        <v>1824</v>
      </c>
      <c r="B50" t="s">
        <v>4752</v>
      </c>
      <c r="C50" t="s">
        <v>4751</v>
      </c>
      <c r="D50" t="s">
        <v>1815</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1769</v>
      </c>
    </row>
    <row r="51" spans="1:31">
      <c r="A51" t="s">
        <v>3541</v>
      </c>
      <c r="B51" t="s">
        <v>4750</v>
      </c>
      <c r="C51" t="s">
        <v>4749</v>
      </c>
      <c r="D51" t="s">
        <v>1815</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s="144">
        <v>-1E-3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5"/>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election activeCell="A17" sqref="A17"/>
    </sheetView>
  </sheetViews>
  <sheetFormatPr defaultRowHeight="15"/>
  <cols>
    <col min="1" max="1" width="14.28515625" customWidth="1"/>
    <col min="2" max="2" width="32.710937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78"/>
    </row>
    <row r="11" spans="1:33">
      <c r="A11" t="s">
        <v>3921</v>
      </c>
      <c r="B11" s="279">
        <v>0.32500000000000001</v>
      </c>
      <c r="C11" s="279"/>
      <c r="D11" s="279"/>
      <c r="E11" s="279"/>
      <c r="F11" s="279"/>
      <c r="G11" s="279"/>
      <c r="H11" s="279"/>
      <c r="I11" s="279"/>
      <c r="J11" s="279"/>
      <c r="K11" s="279"/>
      <c r="L11" s="279"/>
      <c r="M11" s="279"/>
      <c r="N11" s="279"/>
      <c r="O11" s="279"/>
      <c r="P11" s="279"/>
      <c r="Q11" s="279"/>
      <c r="R11" s="279"/>
      <c r="S11" s="279"/>
      <c r="T11" s="279"/>
      <c r="U11" s="279"/>
      <c r="V11" s="279"/>
      <c r="W11" s="279"/>
      <c r="X11" s="279"/>
      <c r="Y11" s="279"/>
      <c r="Z11" s="279"/>
      <c r="AA11" s="279"/>
      <c r="AB11" s="279"/>
      <c r="AC11" s="279"/>
      <c r="AD11" s="279"/>
      <c r="AE11" s="279"/>
      <c r="AF11" s="279"/>
      <c r="AG11" s="279"/>
    </row>
    <row r="12" spans="1:33">
      <c r="A12" t="s">
        <v>3922</v>
      </c>
      <c r="B12" s="279">
        <v>0.95</v>
      </c>
      <c r="C12" s="279"/>
      <c r="D12" s="279"/>
      <c r="E12" s="279"/>
      <c r="F12" s="279"/>
      <c r="G12" s="279"/>
      <c r="H12" s="279"/>
      <c r="I12" s="279"/>
      <c r="J12" s="279"/>
      <c r="K12" s="279"/>
      <c r="L12" s="279"/>
      <c r="M12" s="279"/>
      <c r="N12" s="279"/>
      <c r="O12" s="279"/>
      <c r="P12" s="279"/>
      <c r="Q12" s="279"/>
      <c r="R12" s="279"/>
      <c r="S12" s="279"/>
      <c r="T12" s="279"/>
      <c r="U12" s="279"/>
      <c r="V12" s="279"/>
      <c r="W12" s="279"/>
      <c r="X12" s="279"/>
      <c r="Y12" s="279"/>
      <c r="Z12" s="279"/>
      <c r="AA12" s="279"/>
      <c r="AB12" s="279"/>
      <c r="AC12" s="279"/>
      <c r="AD12" s="279"/>
      <c r="AE12" s="279"/>
      <c r="AF12" s="279"/>
      <c r="AG12" s="279"/>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0">
        <f>'EPA-Annex3-Table A94'!E100/SUM('EPA-Annex3-Table A94'!$E$100:$E$101)</f>
        <v>0.67140255009107463</v>
      </c>
      <c r="B17" t="s">
        <v>3925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8"/>
  <sheetViews>
    <sheetView workbookViewId="0"/>
  </sheetViews>
  <sheetFormatPr defaultRowHeight="15"/>
  <sheetData>
    <row r="1" spans="1:2">
      <c r="A1" t="s">
        <v>1764</v>
      </c>
    </row>
    <row r="2" spans="1:2">
      <c r="A2" t="s">
        <v>1762</v>
      </c>
    </row>
    <row r="3" spans="1:2">
      <c r="A3" t="s">
        <v>1763</v>
      </c>
    </row>
    <row r="5" spans="1:2">
      <c r="A5" t="s">
        <v>9</v>
      </c>
      <c r="B5">
        <v>5</v>
      </c>
    </row>
    <row r="6" spans="1:2">
      <c r="A6" t="s">
        <v>1765</v>
      </c>
      <c r="B6">
        <v>1</v>
      </c>
    </row>
    <row r="8" spans="1:2">
      <c r="A8" t="s">
        <v>4885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33834-23A8-427D-A4DA-ED5CB4C88658}">
  <dimension ref="A2:D19"/>
  <sheetViews>
    <sheetView workbookViewId="0"/>
  </sheetViews>
  <sheetFormatPr defaultRowHeight="15"/>
  <cols>
    <col min="1" max="1" width="51" customWidth="1"/>
    <col min="2" max="2" width="22.85546875" bestFit="1" customWidth="1"/>
  </cols>
  <sheetData>
    <row r="2" spans="1:4">
      <c r="A2" s="289" t="s">
        <v>3938</v>
      </c>
      <c r="B2" s="290"/>
      <c r="C2" s="290"/>
      <c r="D2" s="290"/>
    </row>
    <row r="3" spans="1:4">
      <c r="A3" t="s">
        <v>3937</v>
      </c>
    </row>
    <row r="4" spans="1:4">
      <c r="A4" t="s">
        <v>3936</v>
      </c>
      <c r="B4">
        <v>2020</v>
      </c>
      <c r="C4">
        <v>2021</v>
      </c>
      <c r="D4">
        <v>2022</v>
      </c>
    </row>
    <row r="5" spans="1:4">
      <c r="A5" t="s">
        <v>3935</v>
      </c>
      <c r="B5">
        <v>563.70000000000005</v>
      </c>
      <c r="C5">
        <v>721.5</v>
      </c>
      <c r="D5">
        <v>945.6</v>
      </c>
    </row>
    <row r="6" spans="1:4">
      <c r="A6" t="s">
        <v>3934</v>
      </c>
      <c r="B6">
        <v>294</v>
      </c>
      <c r="C6">
        <v>292.3</v>
      </c>
      <c r="D6">
        <v>325.2</v>
      </c>
    </row>
    <row r="7" spans="1:4">
      <c r="A7" t="s">
        <v>3933</v>
      </c>
      <c r="B7">
        <v>105</v>
      </c>
      <c r="C7">
        <v>100.1</v>
      </c>
      <c r="D7">
        <v>96.8</v>
      </c>
    </row>
    <row r="8" spans="1:4">
      <c r="A8" t="s">
        <v>3932</v>
      </c>
      <c r="B8">
        <v>962.6</v>
      </c>
      <c r="C8" s="288">
        <v>1113.9000000000001</v>
      </c>
      <c r="D8" s="288">
        <v>1367.5</v>
      </c>
    </row>
    <row r="9" spans="1:4">
      <c r="A9" t="s">
        <v>3931</v>
      </c>
    </row>
    <row r="11" spans="1:4">
      <c r="A11" s="289" t="s">
        <v>3939</v>
      </c>
      <c r="B11" s="289"/>
      <c r="C11" s="289"/>
      <c r="D11" s="289"/>
    </row>
    <row r="13" spans="1:4">
      <c r="A13" t="s">
        <v>3940</v>
      </c>
      <c r="B13" s="291">
        <f>SUM('AEO 2023 Table 7'!C62:C63)*10^15</f>
        <v>1033266999999999.9</v>
      </c>
    </row>
    <row r="15" spans="1:4">
      <c r="A15" s="289" t="s">
        <v>3941</v>
      </c>
      <c r="B15" s="289"/>
      <c r="C15" s="289"/>
      <c r="D15" s="289"/>
    </row>
    <row r="16" spans="1:4">
      <c r="A16" t="s">
        <v>3738</v>
      </c>
      <c r="B16" s="291">
        <f>B13</f>
        <v>1033266999999999.9</v>
      </c>
    </row>
    <row r="17" spans="1:2">
      <c r="A17" t="s">
        <v>3942</v>
      </c>
      <c r="B17" s="291">
        <f>SUM(D6:D7)*10^12</f>
        <v>422000000000000</v>
      </c>
    </row>
    <row r="18" spans="1:2">
      <c r="A18" t="s">
        <v>3943</v>
      </c>
      <c r="B18" s="291">
        <f>B16-B17</f>
        <v>611266999999999.88</v>
      </c>
    </row>
    <row r="19" spans="1:2">
      <c r="A19" t="s">
        <v>3944</v>
      </c>
      <c r="B19" s="125">
        <f>B18/B16</f>
        <v>0.59158668572595463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F35"/>
  <sheetViews>
    <sheetView workbookViewId="0">
      <selection activeCell="C14" sqref="C14"/>
    </sheetView>
  </sheetViews>
  <sheetFormatPr defaultRowHeight="15"/>
  <cols>
    <col min="1" max="2" width="19" customWidth="1"/>
    <col min="3" max="3" width="13.28515625" bestFit="1" customWidth="1"/>
    <col min="4" max="4" width="12.5703125" bestFit="1" customWidth="1"/>
  </cols>
  <sheetData>
    <row r="1" spans="1:4" s="146" customFormat="1">
      <c r="A1" s="145" t="s">
        <v>3886</v>
      </c>
      <c r="B1" s="145" t="s">
        <v>3881</v>
      </c>
    </row>
    <row r="2" spans="1:4" ht="30">
      <c r="A2" s="8"/>
      <c r="B2" s="8" t="s">
        <v>189</v>
      </c>
      <c r="C2" s="5">
        <v>2024</v>
      </c>
    </row>
    <row r="3" spans="1:4">
      <c r="A3" t="s">
        <v>3885</v>
      </c>
      <c r="B3" t="s">
        <v>4</v>
      </c>
      <c r="C3" s="6">
        <f>INDEX('AEO 2025 Table 7'!9:9,MATCH(C2,'AEO 2025 Table 7'!5:5,0))*1000000000/SUM('SYVbT-passenger'!B2:H2)</f>
        <v>11353.892430019025</v>
      </c>
      <c r="D3" s="125"/>
    </row>
    <row r="4" spans="1:4">
      <c r="A4" t="s">
        <v>3887</v>
      </c>
      <c r="B4" t="s">
        <v>5</v>
      </c>
      <c r="C4" s="6">
        <f>SUM('NTS 1-40'!AO12,'NTS 1-40'!AO14,'NTS 1-40'!AO18,'NTS 1-40'!AK20)*10^6/SUM('SYVbT-passenger'!B3:H3)/'AVLo-passengers'!B3</f>
        <v>16360.697127270498</v>
      </c>
      <c r="D4" s="125"/>
    </row>
    <row r="5" spans="1:4">
      <c r="A5" t="s">
        <v>4859</v>
      </c>
      <c r="B5" t="s">
        <v>6</v>
      </c>
      <c r="C5" s="292">
        <f>(SUM('AEO 2025 Table 47'!F31)*10^9)/'SYVbT-passenger'!E4/'AVLo-passengers'!C4*Misc!$A$17</f>
        <v>685003.40700490924</v>
      </c>
      <c r="D5" s="131"/>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'FHWA VM-1'!C6*10^6/'SYVbT-passenger'!D7</f>
        <v>2401.4691172310572</v>
      </c>
      <c r="D8" s="125"/>
    </row>
    <row r="9" spans="1:4">
      <c r="C9" s="6"/>
    </row>
    <row r="10" spans="1:4" s="146" customFormat="1">
      <c r="A10" s="145"/>
      <c r="B10" s="145" t="s">
        <v>3882</v>
      </c>
    </row>
    <row r="11" spans="1:4" ht="30">
      <c r="A11" s="8"/>
      <c r="B11" s="8" t="s">
        <v>189</v>
      </c>
      <c r="C11" s="1">
        <v>2024</v>
      </c>
    </row>
    <row r="12" spans="1:4">
      <c r="A12" t="s">
        <v>3890</v>
      </c>
      <c r="B12" t="s">
        <v>4</v>
      </c>
      <c r="C12" s="6">
        <f>(INDEX('AEO 2025 Table 7'!10:10,MATCH(C11,'AEO 2025 Table 7'!5:5,0))+
INDEX('AEO 2025 Table 49'!21:21,MATCH(C11,'AEO 2025 Table 49'!5:5,0))+
INDEX('AEO 2025 Table 49'!35:35,MATCH(C11,'AEO 2025 Table 49'!5:5,0)))*1000000000/SUM('SYVbT-freight'!$B$2:$H$2)</f>
        <v>9796.8845020056215</v>
      </c>
      <c r="D12" s="131"/>
    </row>
    <row r="13" spans="1:4">
      <c r="A13" t="s">
        <v>3890</v>
      </c>
      <c r="B13" t="s">
        <v>5</v>
      </c>
      <c r="C13" s="6">
        <f>(INDEX('AEO 2025 Table 49'!49:49,MATCH(C11,'AEO 2025 Table 49'!5:5,0)))*1000000000/SUM('SYVbT-freight'!$B$3:$H$3)</f>
        <v>35195.270297278214</v>
      </c>
    </row>
    <row r="14" spans="1:4">
      <c r="A14" t="s">
        <v>4859</v>
      </c>
      <c r="B14" t="s">
        <v>6</v>
      </c>
      <c r="C14" s="292">
        <f>('AEO 2025 Table 47'!F68*10^9)/'SYVbT-freight'!E4/'AVLo-freight'!B4*Misc!$A$17</f>
        <v>889421.41850474558</v>
      </c>
    </row>
    <row r="15" spans="1:4">
      <c r="A15" t="s">
        <v>3890</v>
      </c>
      <c r="B15" t="s">
        <v>7</v>
      </c>
      <c r="C15" s="6">
        <f>INDEX('AEO 2025 Table 7'!18:18,MATCH(C11,'AEO 2025 Table 7'!5:5,0))*1000000000/'SYVbT-freight'!E5/'AVLo-freight'!B5</f>
        <v>17004.703401126964</v>
      </c>
    </row>
    <row r="16" spans="1:4">
      <c r="A16" t="s">
        <v>3890</v>
      </c>
      <c r="B16" t="s">
        <v>8</v>
      </c>
      <c r="C16" s="6">
        <f>SUM('AEO 2025 Table 7'!F51:F52)*10^15*'intl shipping adjustment'!$B$19*syfafe!$F$16/'SYVbT-freight'!E6/'AVLo-freight'!B6</f>
        <v>7513091.8771984363</v>
      </c>
      <c r="D16" s="131"/>
    </row>
    <row r="17" spans="1:32">
      <c r="B17" t="s">
        <v>9</v>
      </c>
      <c r="C17" s="6">
        <v>0</v>
      </c>
    </row>
    <row r="19" spans="1:32" s="146" customFormat="1">
      <c r="A19" s="145"/>
      <c r="B19" s="145" t="s">
        <v>3883</v>
      </c>
    </row>
    <row r="20" spans="1:32" ht="30">
      <c r="A20" s="8"/>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c r="AF20" t="s">
        <v>4864</v>
      </c>
    </row>
    <row r="21" spans="1:32">
      <c r="A21" t="s">
        <v>3890</v>
      </c>
      <c r="B21" t="s">
        <v>4</v>
      </c>
      <c r="C21" s="6">
        <f>D21</f>
        <v>10411.405758404355</v>
      </c>
      <c r="D21" s="6">
        <f>E21/$AF$21</f>
        <v>10411.405758404355</v>
      </c>
      <c r="E21" s="6">
        <f>INDEX('AEO 2026 Table 7'!9:9,MATCH(E20,'AEO 2026 Table 7'!5:5,0))*1000000000/(INDEX('AEO 2026 Table 39'!46:46,MATCH(E20,'AEO 2026 Table 39'!5:5,0))*10^6)</f>
        <v>10517.545916619054</v>
      </c>
      <c r="F21" s="6">
        <f>INDEX('AEO 2026 Table 7'!9:9,MATCH(F20,'AEO 2026 Table 7'!5:5,0))*1000000000/(INDEX('AEO 2026 Table 39'!46:46,MATCH(F20,'AEO 2026 Table 39'!5:5,0))*10^6)</f>
        <v>10488.262212623968</v>
      </c>
      <c r="G21" s="6">
        <f>INDEX('AEO 2026 Table 7'!9:9,MATCH(G20,'AEO 2026 Table 7'!5:5,0))*1000000000/(INDEX('AEO 2026 Table 39'!46:46,MATCH(G20,'AEO 2026 Table 39'!5:5,0))*10^6)</f>
        <v>10460.640544722053</v>
      </c>
      <c r="H21" s="6">
        <f>INDEX('AEO 2026 Table 7'!9:9,MATCH(H20,'AEO 2026 Table 7'!5:5,0))*1000000000/(INDEX('AEO 2026 Table 39'!46:46,MATCH(H20,'AEO 2026 Table 39'!5:5,0))*10^6)</f>
        <v>10398.703572103448</v>
      </c>
      <c r="I21" s="6">
        <f>INDEX('AEO 2026 Table 7'!9:9,MATCH(I20,'AEO 2026 Table 7'!5:5,0))*1000000000/(INDEX('AEO 2026 Table 39'!46:46,MATCH(I20,'AEO 2026 Table 39'!5:5,0))*10^6)</f>
        <v>10326.586117678871</v>
      </c>
      <c r="J21" s="6">
        <f>INDEX('AEO 2026 Table 7'!9:9,MATCH(J20,'AEO 2026 Table 7'!5:5,0))*1000000000/(INDEX('AEO 2026 Table 39'!46:46,MATCH(J20,'AEO 2026 Table 39'!5:5,0))*10^6)</f>
        <v>10236.687396983154</v>
      </c>
      <c r="K21" s="6">
        <f>INDEX('AEO 2026 Table 7'!9:9,MATCH(K20,'AEO 2026 Table 7'!5:5,0))*1000000000/(INDEX('AEO 2026 Table 39'!46:46,MATCH(K20,'AEO 2026 Table 39'!5:5,0))*10^6)</f>
        <v>10141.162878376108</v>
      </c>
      <c r="L21" s="6">
        <f>INDEX('AEO 2026 Table 7'!9:9,MATCH(L20,'AEO 2026 Table 7'!5:5,0))*1000000000/(INDEX('AEO 2026 Table 39'!46:46,MATCH(L20,'AEO 2026 Table 39'!5:5,0))*10^6)</f>
        <v>10050.631838011213</v>
      </c>
      <c r="M21" s="6">
        <f>INDEX('AEO 2026 Table 7'!9:9,MATCH(M20,'AEO 2026 Table 7'!5:5,0))*1000000000/(INDEX('AEO 2026 Table 39'!46:46,MATCH(M20,'AEO 2026 Table 39'!5:5,0))*10^6)</f>
        <v>9948.1367564889351</v>
      </c>
      <c r="N21" s="6">
        <f>INDEX('AEO 2026 Table 7'!9:9,MATCH(N20,'AEO 2026 Table 7'!5:5,0))*1000000000/(INDEX('AEO 2026 Table 39'!46:46,MATCH(N20,'AEO 2026 Table 39'!5:5,0))*10^6)</f>
        <v>9859.3424585373432</v>
      </c>
      <c r="O21" s="6">
        <f>INDEX('AEO 2026 Table 7'!9:9,MATCH(O20,'AEO 2026 Table 7'!5:5,0))*1000000000/(INDEX('AEO 2026 Table 39'!46:46,MATCH(O20,'AEO 2026 Table 39'!5:5,0))*10^6)</f>
        <v>9767.3978508331747</v>
      </c>
      <c r="P21" s="6">
        <f>INDEX('AEO 2026 Table 7'!9:9,MATCH(P20,'AEO 2026 Table 7'!5:5,0))*1000000000/(INDEX('AEO 2026 Table 39'!46:46,MATCH(P20,'AEO 2026 Table 39'!5:5,0))*10^6)</f>
        <v>9694.3066759309477</v>
      </c>
      <c r="Q21" s="6">
        <f>INDEX('AEO 2026 Table 7'!9:9,MATCH(Q20,'AEO 2026 Table 7'!5:5,0))*1000000000/(INDEX('AEO 2026 Table 39'!46:46,MATCH(Q20,'AEO 2026 Table 39'!5:5,0))*10^6)</f>
        <v>9628.1084678015559</v>
      </c>
      <c r="R21" s="6">
        <f>INDEX('AEO 2026 Table 7'!9:9,MATCH(R20,'AEO 2026 Table 7'!5:5,0))*1000000000/(INDEX('AEO 2026 Table 39'!46:46,MATCH(R20,'AEO 2026 Table 39'!5:5,0))*10^6)</f>
        <v>9564.8527684194341</v>
      </c>
      <c r="S21" s="6">
        <f>INDEX('AEO 2026 Table 7'!9:9,MATCH(S20,'AEO 2026 Table 7'!5:5,0))*1000000000/(INDEX('AEO 2026 Table 39'!46:46,MATCH(S20,'AEO 2026 Table 39'!5:5,0))*10^6)</f>
        <v>9499.8261412069387</v>
      </c>
      <c r="T21" s="6">
        <f>INDEX('AEO 2026 Table 7'!9:9,MATCH(T20,'AEO 2026 Table 7'!5:5,0))*1000000000/(INDEX('AEO 2026 Table 39'!46:46,MATCH(T20,'AEO 2026 Table 39'!5:5,0))*10^6)</f>
        <v>9440.1816914870324</v>
      </c>
      <c r="U21" s="6">
        <f>INDEX('AEO 2026 Table 7'!9:9,MATCH(U20,'AEO 2026 Table 7'!5:5,0))*1000000000/(INDEX('AEO 2026 Table 39'!46:46,MATCH(U20,'AEO 2026 Table 39'!5:5,0))*10^6)</f>
        <v>9379.5822867708957</v>
      </c>
      <c r="V21" s="6">
        <f>INDEX('AEO 2026 Table 7'!9:9,MATCH(V20,'AEO 2026 Table 7'!5:5,0))*1000000000/(INDEX('AEO 2026 Table 39'!46:46,MATCH(V20,'AEO 2026 Table 39'!5:5,0))*10^6)</f>
        <v>9324.7535719962962</v>
      </c>
      <c r="W21" s="6">
        <f>INDEX('AEO 2026 Table 7'!9:9,MATCH(W20,'AEO 2026 Table 7'!5:5,0))*1000000000/(INDEX('AEO 2026 Table 39'!46:46,MATCH(W20,'AEO 2026 Table 39'!5:5,0))*10^6)</f>
        <v>9273.9955121978128</v>
      </c>
      <c r="X21" s="6">
        <f>INDEX('AEO 2026 Table 7'!9:9,MATCH(X20,'AEO 2026 Table 7'!5:5,0))*1000000000/(INDEX('AEO 2026 Table 39'!46:46,MATCH(X20,'AEO 2026 Table 39'!5:5,0))*10^6)</f>
        <v>9231.9646645545563</v>
      </c>
      <c r="Y21" s="6">
        <f>INDEX('AEO 2026 Table 7'!9:9,MATCH(Y20,'AEO 2026 Table 7'!5:5,0))*1000000000/(INDEX('AEO 2026 Table 39'!46:46,MATCH(Y20,'AEO 2026 Table 39'!5:5,0))*10^6)</f>
        <v>9195.1042853002127</v>
      </c>
      <c r="Z21" s="6">
        <f>INDEX('AEO 2026 Table 7'!9:9,MATCH(Z20,'AEO 2026 Table 7'!5:5,0))*1000000000/(INDEX('AEO 2026 Table 39'!46:46,MATCH(Z20,'AEO 2026 Table 39'!5:5,0))*10^6)</f>
        <v>9163.8853225025578</v>
      </c>
      <c r="AA21" s="6">
        <f>INDEX('AEO 2026 Table 7'!9:9,MATCH(AA20,'AEO 2026 Table 7'!5:5,0))*1000000000/(INDEX('AEO 2026 Table 39'!46:46,MATCH(AA20,'AEO 2026 Table 39'!5:5,0))*10^6)</f>
        <v>9133.1533457285041</v>
      </c>
      <c r="AB21" s="6">
        <f>INDEX('AEO 2026 Table 7'!9:9,MATCH(AB20,'AEO 2026 Table 7'!5:5,0))*1000000000/(INDEX('AEO 2026 Table 39'!46:46,MATCH(AB20,'AEO 2026 Table 39'!5:5,0))*10^6)</f>
        <v>9111.5787302067456</v>
      </c>
      <c r="AC21" s="6">
        <f>INDEX('AEO 2026 Table 7'!9:9,MATCH(AC20,'AEO 2026 Table 7'!5:5,0))*1000000000/(INDEX('AEO 2026 Table 39'!46:46,MATCH(AC20,'AEO 2026 Table 39'!5:5,0))*10^6)</f>
        <v>9095.4822184389359</v>
      </c>
      <c r="AD21" s="6">
        <f>INDEX('AEO 2026 Table 7'!9:9,MATCH(AD20,'AEO 2026 Table 7'!5:5,0))*1000000000/(INDEX('AEO 2026 Table 39'!46:46,MATCH(AD20,'AEO 2026 Table 39'!5:5,0))*10^6)</f>
        <v>9092.3197825409625</v>
      </c>
      <c r="AF21">
        <f>(INDEX('AEO 2025 Table 7'!9:9,MATCH($E$20,'AEO 2025 Table 7'!5:5,0))/INDEX('AEO 2025 Table 39'!50:50,MATCH($E$20,'AEO 2025 Table 39'!5:5,0)))/(INDEX('AEO 2025 Table 7'!9:9,MATCH($D$20,'AEO 2025 Table 7'!5:5,0))/INDEX('AEO 2025 Table 39'!50:50,MATCH($D$20,'AEO 2025 Table 39'!5:5,0)))</f>
        <v>1.0101946039447189</v>
      </c>
    </row>
    <row r="22" spans="1:32">
      <c r="A22" t="s">
        <v>3887</v>
      </c>
      <c r="B22" t="s">
        <v>5</v>
      </c>
      <c r="C22" s="6">
        <f t="shared" ref="C22:C26" si="0">C4</f>
        <v>16360.697127270498</v>
      </c>
      <c r="D22" s="6">
        <f t="shared" ref="D22:D26" si="1">C4</f>
        <v>16360.697127270498</v>
      </c>
      <c r="E22" s="6">
        <f t="shared" ref="E22:AD23" si="2">D22</f>
        <v>16360.697127270498</v>
      </c>
      <c r="F22" s="6">
        <f t="shared" si="2"/>
        <v>16360.697127270498</v>
      </c>
      <c r="G22" s="6">
        <f t="shared" si="2"/>
        <v>16360.697127270498</v>
      </c>
      <c r="H22" s="6">
        <f t="shared" si="2"/>
        <v>16360.697127270498</v>
      </c>
      <c r="I22" s="6">
        <f t="shared" si="2"/>
        <v>16360.697127270498</v>
      </c>
      <c r="J22" s="6">
        <f t="shared" si="2"/>
        <v>16360.697127270498</v>
      </c>
      <c r="K22" s="6">
        <f t="shared" si="2"/>
        <v>16360.697127270498</v>
      </c>
      <c r="L22" s="6">
        <f t="shared" si="2"/>
        <v>16360.697127270498</v>
      </c>
      <c r="M22" s="6">
        <f t="shared" si="2"/>
        <v>16360.697127270498</v>
      </c>
      <c r="N22" s="6">
        <f t="shared" si="2"/>
        <v>16360.697127270498</v>
      </c>
      <c r="O22" s="6">
        <f t="shared" si="2"/>
        <v>16360.697127270498</v>
      </c>
      <c r="P22" s="6">
        <f t="shared" si="2"/>
        <v>16360.697127270498</v>
      </c>
      <c r="Q22" s="6">
        <f t="shared" si="2"/>
        <v>16360.697127270498</v>
      </c>
      <c r="R22" s="6">
        <f t="shared" si="2"/>
        <v>16360.697127270498</v>
      </c>
      <c r="S22" s="6">
        <f t="shared" si="2"/>
        <v>16360.697127270498</v>
      </c>
      <c r="T22" s="6">
        <f t="shared" si="2"/>
        <v>16360.697127270498</v>
      </c>
      <c r="U22" s="6">
        <f t="shared" si="2"/>
        <v>16360.697127270498</v>
      </c>
      <c r="V22" s="6">
        <f t="shared" si="2"/>
        <v>16360.697127270498</v>
      </c>
      <c r="W22" s="6">
        <f t="shared" si="2"/>
        <v>16360.697127270498</v>
      </c>
      <c r="X22" s="6">
        <f t="shared" si="2"/>
        <v>16360.697127270498</v>
      </c>
      <c r="Y22" s="6">
        <f t="shared" si="2"/>
        <v>16360.697127270498</v>
      </c>
      <c r="Z22" s="6">
        <f t="shared" si="2"/>
        <v>16360.697127270498</v>
      </c>
      <c r="AA22" s="6">
        <f t="shared" si="2"/>
        <v>16360.697127270498</v>
      </c>
      <c r="AB22" s="6">
        <f t="shared" si="2"/>
        <v>16360.697127270498</v>
      </c>
      <c r="AC22" s="6">
        <f t="shared" si="2"/>
        <v>16360.697127270498</v>
      </c>
      <c r="AD22" s="6">
        <f t="shared" si="2"/>
        <v>16360.697127270498</v>
      </c>
    </row>
    <row r="23" spans="1:32">
      <c r="A23" t="s">
        <v>3890</v>
      </c>
      <c r="B23" t="s">
        <v>6</v>
      </c>
      <c r="C23" s="6">
        <f>C5</f>
        <v>685003.40700490924</v>
      </c>
      <c r="D23" s="6">
        <f t="shared" si="1"/>
        <v>685003.40700490924</v>
      </c>
      <c r="E23" s="6">
        <f>D23</f>
        <v>685003.40700490924</v>
      </c>
      <c r="F23" s="6">
        <f t="shared" si="2"/>
        <v>685003.40700490924</v>
      </c>
      <c r="G23" s="6">
        <f t="shared" si="2"/>
        <v>685003.40700490924</v>
      </c>
      <c r="H23" s="6">
        <f t="shared" si="2"/>
        <v>685003.40700490924</v>
      </c>
      <c r="I23" s="6">
        <f t="shared" si="2"/>
        <v>685003.40700490924</v>
      </c>
      <c r="J23" s="6">
        <f t="shared" si="2"/>
        <v>685003.40700490924</v>
      </c>
      <c r="K23" s="6">
        <f t="shared" si="2"/>
        <v>685003.40700490924</v>
      </c>
      <c r="L23" s="6">
        <f t="shared" si="2"/>
        <v>685003.40700490924</v>
      </c>
      <c r="M23" s="6">
        <f t="shared" si="2"/>
        <v>685003.40700490924</v>
      </c>
      <c r="N23" s="6">
        <f t="shared" si="2"/>
        <v>685003.40700490924</v>
      </c>
      <c r="O23" s="6">
        <f t="shared" si="2"/>
        <v>685003.40700490924</v>
      </c>
      <c r="P23" s="6">
        <f t="shared" si="2"/>
        <v>685003.40700490924</v>
      </c>
      <c r="Q23" s="6">
        <f t="shared" si="2"/>
        <v>685003.40700490924</v>
      </c>
      <c r="R23" s="6">
        <f t="shared" si="2"/>
        <v>685003.40700490924</v>
      </c>
      <c r="S23" s="6">
        <f t="shared" si="2"/>
        <v>685003.40700490924</v>
      </c>
      <c r="T23" s="6">
        <f t="shared" si="2"/>
        <v>685003.40700490924</v>
      </c>
      <c r="U23" s="6">
        <f t="shared" si="2"/>
        <v>685003.40700490924</v>
      </c>
      <c r="V23" s="6">
        <f t="shared" si="2"/>
        <v>685003.40700490924</v>
      </c>
      <c r="W23" s="6">
        <f t="shared" si="2"/>
        <v>685003.40700490924</v>
      </c>
      <c r="X23" s="6">
        <f t="shared" si="2"/>
        <v>685003.40700490924</v>
      </c>
      <c r="Y23" s="6">
        <f t="shared" si="2"/>
        <v>685003.40700490924</v>
      </c>
      <c r="Z23" s="6">
        <f t="shared" si="2"/>
        <v>685003.40700490924</v>
      </c>
      <c r="AA23" s="6">
        <f t="shared" si="2"/>
        <v>685003.40700490924</v>
      </c>
      <c r="AB23" s="6">
        <f t="shared" si="2"/>
        <v>685003.40700490924</v>
      </c>
      <c r="AC23" s="6">
        <f t="shared" si="2"/>
        <v>685003.40700490924</v>
      </c>
      <c r="AD23" s="6">
        <f t="shared" si="2"/>
        <v>685003.40700490924</v>
      </c>
    </row>
    <row r="24" spans="1:32">
      <c r="A24" t="s">
        <v>3908</v>
      </c>
      <c r="B24" t="s">
        <v>7</v>
      </c>
      <c r="C24" s="6">
        <f t="shared" si="0"/>
        <v>395569.47080291971</v>
      </c>
      <c r="D24" s="6">
        <f t="shared" si="1"/>
        <v>395569.47080291971</v>
      </c>
      <c r="E24" s="6">
        <f t="shared" ref="E24:AD24" si="3">D24</f>
        <v>395569.47080291971</v>
      </c>
      <c r="F24" s="6">
        <f t="shared" si="3"/>
        <v>395569.47080291971</v>
      </c>
      <c r="G24" s="6">
        <f t="shared" si="3"/>
        <v>395569.47080291971</v>
      </c>
      <c r="H24" s="6">
        <f t="shared" si="3"/>
        <v>395569.47080291971</v>
      </c>
      <c r="I24" s="6">
        <f t="shared" si="3"/>
        <v>395569.47080291971</v>
      </c>
      <c r="J24" s="6">
        <f t="shared" si="3"/>
        <v>395569.47080291971</v>
      </c>
      <c r="K24" s="6">
        <f t="shared" si="3"/>
        <v>395569.47080291971</v>
      </c>
      <c r="L24" s="6">
        <f t="shared" si="3"/>
        <v>395569.47080291971</v>
      </c>
      <c r="M24" s="6">
        <f t="shared" si="3"/>
        <v>395569.47080291971</v>
      </c>
      <c r="N24" s="6">
        <f t="shared" si="3"/>
        <v>395569.47080291971</v>
      </c>
      <c r="O24" s="6">
        <f t="shared" si="3"/>
        <v>395569.47080291971</v>
      </c>
      <c r="P24" s="6">
        <f t="shared" si="3"/>
        <v>395569.47080291971</v>
      </c>
      <c r="Q24" s="6">
        <f t="shared" si="3"/>
        <v>395569.47080291971</v>
      </c>
      <c r="R24" s="6">
        <f t="shared" si="3"/>
        <v>395569.47080291971</v>
      </c>
      <c r="S24" s="6">
        <f t="shared" si="3"/>
        <v>395569.47080291971</v>
      </c>
      <c r="T24" s="6">
        <f t="shared" si="3"/>
        <v>395569.47080291971</v>
      </c>
      <c r="U24" s="6">
        <f t="shared" si="3"/>
        <v>395569.47080291971</v>
      </c>
      <c r="V24" s="6">
        <f t="shared" si="3"/>
        <v>395569.47080291971</v>
      </c>
      <c r="W24" s="6">
        <f t="shared" si="3"/>
        <v>395569.47080291971</v>
      </c>
      <c r="X24" s="6">
        <f t="shared" si="3"/>
        <v>395569.47080291971</v>
      </c>
      <c r="Y24" s="6">
        <f t="shared" si="3"/>
        <v>395569.47080291971</v>
      </c>
      <c r="Z24" s="6">
        <f t="shared" si="3"/>
        <v>395569.47080291971</v>
      </c>
      <c r="AA24" s="6">
        <f t="shared" si="3"/>
        <v>395569.47080291971</v>
      </c>
      <c r="AB24" s="6">
        <f t="shared" si="3"/>
        <v>395569.47080291971</v>
      </c>
      <c r="AC24" s="6">
        <f t="shared" si="3"/>
        <v>395569.47080291971</v>
      </c>
      <c r="AD24" s="6">
        <f t="shared" si="3"/>
        <v>395569.47080291971</v>
      </c>
    </row>
    <row r="25" spans="1:32">
      <c r="A25" t="s">
        <v>3889</v>
      </c>
      <c r="B25" t="s">
        <v>8</v>
      </c>
      <c r="C25" s="6">
        <f t="shared" si="0"/>
        <v>194.17552144824873</v>
      </c>
      <c r="D25" s="6">
        <f t="shared" si="1"/>
        <v>194.17552144824873</v>
      </c>
      <c r="E25" s="6">
        <f t="shared" ref="E25:AD25" si="4">D25</f>
        <v>194.17552144824873</v>
      </c>
      <c r="F25" s="6">
        <f t="shared" si="4"/>
        <v>194.17552144824873</v>
      </c>
      <c r="G25" s="6">
        <f t="shared" si="4"/>
        <v>194.17552144824873</v>
      </c>
      <c r="H25" s="6">
        <f t="shared" si="4"/>
        <v>194.17552144824873</v>
      </c>
      <c r="I25" s="6">
        <f t="shared" si="4"/>
        <v>194.17552144824873</v>
      </c>
      <c r="J25" s="6">
        <f t="shared" si="4"/>
        <v>194.17552144824873</v>
      </c>
      <c r="K25" s="6">
        <f t="shared" si="4"/>
        <v>194.17552144824873</v>
      </c>
      <c r="L25" s="6">
        <f t="shared" si="4"/>
        <v>194.17552144824873</v>
      </c>
      <c r="M25" s="6">
        <f t="shared" si="4"/>
        <v>194.17552144824873</v>
      </c>
      <c r="N25" s="6">
        <f t="shared" si="4"/>
        <v>194.17552144824873</v>
      </c>
      <c r="O25" s="6">
        <f t="shared" si="4"/>
        <v>194.17552144824873</v>
      </c>
      <c r="P25" s="6">
        <f t="shared" si="4"/>
        <v>194.17552144824873</v>
      </c>
      <c r="Q25" s="6">
        <f t="shared" si="4"/>
        <v>194.17552144824873</v>
      </c>
      <c r="R25" s="6">
        <f t="shared" si="4"/>
        <v>194.17552144824873</v>
      </c>
      <c r="S25" s="6">
        <f t="shared" si="4"/>
        <v>194.17552144824873</v>
      </c>
      <c r="T25" s="6">
        <f t="shared" si="4"/>
        <v>194.17552144824873</v>
      </c>
      <c r="U25" s="6">
        <f t="shared" si="4"/>
        <v>194.17552144824873</v>
      </c>
      <c r="V25" s="6">
        <f t="shared" si="4"/>
        <v>194.17552144824873</v>
      </c>
      <c r="W25" s="6">
        <f t="shared" si="4"/>
        <v>194.17552144824873</v>
      </c>
      <c r="X25" s="6">
        <f t="shared" si="4"/>
        <v>194.17552144824873</v>
      </c>
      <c r="Y25" s="6">
        <f t="shared" si="4"/>
        <v>194.17552144824873</v>
      </c>
      <c r="Z25" s="6">
        <f t="shared" si="4"/>
        <v>194.17552144824873</v>
      </c>
      <c r="AA25" s="6">
        <f t="shared" si="4"/>
        <v>194.17552144824873</v>
      </c>
      <c r="AB25" s="6">
        <f t="shared" si="4"/>
        <v>194.17552144824873</v>
      </c>
      <c r="AC25" s="6">
        <f t="shared" si="4"/>
        <v>194.17552144824873</v>
      </c>
      <c r="AD25" s="6">
        <f t="shared" si="4"/>
        <v>194.17552144824873</v>
      </c>
    </row>
    <row r="26" spans="1:32">
      <c r="A26" t="s">
        <v>3887</v>
      </c>
      <c r="B26" t="s">
        <v>9</v>
      </c>
      <c r="C26" s="6">
        <f t="shared" si="0"/>
        <v>2401.4691172310572</v>
      </c>
      <c r="D26" s="6">
        <f t="shared" si="1"/>
        <v>2401.4691172310572</v>
      </c>
      <c r="E26" s="6">
        <f t="shared" ref="E26:AD26" si="5">D26</f>
        <v>2401.4691172310572</v>
      </c>
      <c r="F26" s="6">
        <f t="shared" si="5"/>
        <v>2401.4691172310572</v>
      </c>
      <c r="G26" s="6">
        <f t="shared" si="5"/>
        <v>2401.4691172310572</v>
      </c>
      <c r="H26" s="6">
        <f t="shared" si="5"/>
        <v>2401.4691172310572</v>
      </c>
      <c r="I26" s="6">
        <f t="shared" si="5"/>
        <v>2401.4691172310572</v>
      </c>
      <c r="J26" s="6">
        <f t="shared" si="5"/>
        <v>2401.4691172310572</v>
      </c>
      <c r="K26" s="6">
        <f t="shared" si="5"/>
        <v>2401.4691172310572</v>
      </c>
      <c r="L26" s="6">
        <f t="shared" si="5"/>
        <v>2401.4691172310572</v>
      </c>
      <c r="M26" s="6">
        <f t="shared" si="5"/>
        <v>2401.4691172310572</v>
      </c>
      <c r="N26" s="6">
        <f t="shared" si="5"/>
        <v>2401.4691172310572</v>
      </c>
      <c r="O26" s="6">
        <f t="shared" si="5"/>
        <v>2401.4691172310572</v>
      </c>
      <c r="P26" s="6">
        <f t="shared" si="5"/>
        <v>2401.4691172310572</v>
      </c>
      <c r="Q26" s="6">
        <f t="shared" si="5"/>
        <v>2401.4691172310572</v>
      </c>
      <c r="R26" s="6">
        <f t="shared" si="5"/>
        <v>2401.4691172310572</v>
      </c>
      <c r="S26" s="6">
        <f t="shared" si="5"/>
        <v>2401.4691172310572</v>
      </c>
      <c r="T26" s="6">
        <f t="shared" si="5"/>
        <v>2401.4691172310572</v>
      </c>
      <c r="U26" s="6">
        <f t="shared" si="5"/>
        <v>2401.4691172310572</v>
      </c>
      <c r="V26" s="6">
        <f t="shared" si="5"/>
        <v>2401.4691172310572</v>
      </c>
      <c r="W26" s="6">
        <f t="shared" si="5"/>
        <v>2401.4691172310572</v>
      </c>
      <c r="X26" s="6">
        <f t="shared" si="5"/>
        <v>2401.4691172310572</v>
      </c>
      <c r="Y26" s="6">
        <f t="shared" si="5"/>
        <v>2401.4691172310572</v>
      </c>
      <c r="Z26" s="6">
        <f t="shared" si="5"/>
        <v>2401.4691172310572</v>
      </c>
      <c r="AA26" s="6">
        <f t="shared" si="5"/>
        <v>2401.4691172310572</v>
      </c>
      <c r="AB26" s="6">
        <f t="shared" si="5"/>
        <v>2401.4691172310572</v>
      </c>
      <c r="AC26" s="6">
        <f t="shared" si="5"/>
        <v>2401.4691172310572</v>
      </c>
      <c r="AD26" s="6">
        <f t="shared" si="5"/>
        <v>2401.4691172310572</v>
      </c>
    </row>
    <row r="28" spans="1:32" s="146" customFormat="1">
      <c r="A28" s="145"/>
      <c r="B28" s="145" t="s">
        <v>3884</v>
      </c>
    </row>
    <row r="29" spans="1:32" ht="30">
      <c r="A29" s="8"/>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2">
      <c r="A30" t="s">
        <v>3890</v>
      </c>
      <c r="B30" t="s">
        <v>4</v>
      </c>
      <c r="C30" s="6">
        <f>C12</f>
        <v>9796.8845020056215</v>
      </c>
      <c r="D30" s="6">
        <f>C30</f>
        <v>9796.8845020056215</v>
      </c>
      <c r="E30" s="6">
        <f>SUM('AEO 2026 Table 7'!E10,'AEO 2026 Table 49'!E21,'AEO 2026 Table 49'!E35)*10^9/SUM('AEO 2026 Table 45'!E51*1000,'AEO 2026 Table 49'!E166*10^6,'AEO 2026 Table 49'!E180*10^6)</f>
        <v>9796.8831407537509</v>
      </c>
      <c r="F30" s="6">
        <f>SUM('AEO 2026 Table 7'!F10,'AEO 2026 Table 49'!F21,'AEO 2026 Table 49'!F35)*10^9/SUM('AEO 2026 Table 45'!F51*1000,'AEO 2026 Table 49'!F166*10^6,'AEO 2026 Table 49'!F180*10^6)</f>
        <v>9781.9579835334389</v>
      </c>
      <c r="G30" s="6">
        <f>SUM('AEO 2026 Table 7'!G10,'AEO 2026 Table 49'!G21,'AEO 2026 Table 49'!G35)*10^9/SUM('AEO 2026 Table 45'!G51*1000,'AEO 2026 Table 49'!G166*10^6,'AEO 2026 Table 49'!G180*10^6)</f>
        <v>9778.2770759992782</v>
      </c>
      <c r="H30" s="6">
        <f>SUM('AEO 2026 Table 7'!H10,'AEO 2026 Table 49'!H21,'AEO 2026 Table 49'!H35)*10^9/SUM('AEO 2026 Table 45'!H51*1000,'AEO 2026 Table 49'!H166*10^6,'AEO 2026 Table 49'!H180*10^6)</f>
        <v>9749.8080070947071</v>
      </c>
      <c r="I30" s="6">
        <f>SUM('AEO 2026 Table 7'!I10,'AEO 2026 Table 49'!I21,'AEO 2026 Table 49'!I35)*10^9/SUM('AEO 2026 Table 45'!I51*1000,'AEO 2026 Table 49'!I166*10^6,'AEO 2026 Table 49'!I180*10^6)</f>
        <v>9718.4174035039705</v>
      </c>
      <c r="J30" s="6">
        <f>SUM('AEO 2026 Table 7'!J10,'AEO 2026 Table 49'!J21,'AEO 2026 Table 49'!J35)*10^9/SUM('AEO 2026 Table 45'!J51*1000,'AEO 2026 Table 49'!J166*10^6,'AEO 2026 Table 49'!J180*10^6)</f>
        <v>9713.5998926996908</v>
      </c>
      <c r="K30" s="6">
        <f>SUM('AEO 2026 Table 7'!K10,'AEO 2026 Table 49'!K21,'AEO 2026 Table 49'!K35)*10^9/SUM('AEO 2026 Table 45'!K51*1000,'AEO 2026 Table 49'!K166*10^6,'AEO 2026 Table 49'!K180*10^6)</f>
        <v>9690.5972539067698</v>
      </c>
      <c r="L30" s="6">
        <f>SUM('AEO 2026 Table 7'!L10,'AEO 2026 Table 49'!L21,'AEO 2026 Table 49'!L35)*10^9/SUM('AEO 2026 Table 45'!L51*1000,'AEO 2026 Table 49'!L166*10^6,'AEO 2026 Table 49'!L180*10^6)</f>
        <v>9668.9007150629132</v>
      </c>
      <c r="M30" s="6">
        <f>SUM('AEO 2026 Table 7'!M10,'AEO 2026 Table 49'!M21,'AEO 2026 Table 49'!M35)*10^9/SUM('AEO 2026 Table 45'!M51*1000,'AEO 2026 Table 49'!M166*10^6,'AEO 2026 Table 49'!M180*10^6)</f>
        <v>9644.4093481420769</v>
      </c>
      <c r="N30" s="6">
        <f>SUM('AEO 2026 Table 7'!N10,'AEO 2026 Table 49'!N21,'AEO 2026 Table 49'!N35)*10^9/SUM('AEO 2026 Table 45'!N51*1000,'AEO 2026 Table 49'!N166*10^6,'AEO 2026 Table 49'!N180*10^6)</f>
        <v>9644.6492678550112</v>
      </c>
      <c r="O30" s="6">
        <f>SUM('AEO 2026 Table 7'!O10,'AEO 2026 Table 49'!O21,'AEO 2026 Table 49'!O35)*10^9/SUM('AEO 2026 Table 45'!O51*1000,'AEO 2026 Table 49'!O166*10^6,'AEO 2026 Table 49'!O180*10^6)</f>
        <v>9657.6442542489185</v>
      </c>
      <c r="P30" s="6">
        <f>SUM('AEO 2026 Table 7'!P10,'AEO 2026 Table 49'!P21,'AEO 2026 Table 49'!P35)*10^9/SUM('AEO 2026 Table 45'!P51*1000,'AEO 2026 Table 49'!P166*10^6,'AEO 2026 Table 49'!P180*10^6)</f>
        <v>9681.4590584550206</v>
      </c>
      <c r="Q30" s="6">
        <f>SUM('AEO 2026 Table 7'!Q10,'AEO 2026 Table 49'!Q21,'AEO 2026 Table 49'!Q35)*10^9/SUM('AEO 2026 Table 45'!Q51*1000,'AEO 2026 Table 49'!Q166*10^6,'AEO 2026 Table 49'!Q180*10^6)</f>
        <v>9720.8338119792315</v>
      </c>
      <c r="R30" s="6">
        <f>SUM('AEO 2026 Table 7'!R10,'AEO 2026 Table 49'!R21,'AEO 2026 Table 49'!R35)*10^9/SUM('AEO 2026 Table 45'!R51*1000,'AEO 2026 Table 49'!R166*10^6,'AEO 2026 Table 49'!R180*10^6)</f>
        <v>9776.9021666480749</v>
      </c>
      <c r="S30" s="6">
        <f>SUM('AEO 2026 Table 7'!S10,'AEO 2026 Table 49'!S21,'AEO 2026 Table 49'!S35)*10^9/SUM('AEO 2026 Table 45'!S51*1000,'AEO 2026 Table 49'!S166*10^6,'AEO 2026 Table 49'!S180*10^6)</f>
        <v>9838.9659364380659</v>
      </c>
      <c r="T30" s="6">
        <f>SUM('AEO 2026 Table 7'!T10,'AEO 2026 Table 49'!T21,'AEO 2026 Table 49'!T35)*10^9/SUM('AEO 2026 Table 45'!T51*1000,'AEO 2026 Table 49'!T166*10^6,'AEO 2026 Table 49'!T180*10^6)</f>
        <v>9910.8684279685458</v>
      </c>
      <c r="U30" s="6">
        <f>SUM('AEO 2026 Table 7'!U10,'AEO 2026 Table 49'!U21,'AEO 2026 Table 49'!U35)*10^9/SUM('AEO 2026 Table 45'!U51*1000,'AEO 2026 Table 49'!U166*10^6,'AEO 2026 Table 49'!U180*10^6)</f>
        <v>9969.2558767355204</v>
      </c>
      <c r="V30" s="6">
        <f>SUM('AEO 2026 Table 7'!V10,'AEO 2026 Table 49'!V21,'AEO 2026 Table 49'!V35)*10^9/SUM('AEO 2026 Table 45'!V51*1000,'AEO 2026 Table 49'!V166*10^6,'AEO 2026 Table 49'!V180*10^6)</f>
        <v>10020.371927912847</v>
      </c>
      <c r="W30" s="6">
        <f>SUM('AEO 2026 Table 7'!W10,'AEO 2026 Table 49'!W21,'AEO 2026 Table 49'!W35)*10^9/SUM('AEO 2026 Table 45'!W51*1000,'AEO 2026 Table 49'!W166*10^6,'AEO 2026 Table 49'!W180*10^6)</f>
        <v>10030.388270957388</v>
      </c>
      <c r="X30" s="6">
        <f>SUM('AEO 2026 Table 7'!X10,'AEO 2026 Table 49'!X21,'AEO 2026 Table 49'!X35)*10^9/SUM('AEO 2026 Table 45'!X51*1000,'AEO 2026 Table 49'!X166*10^6,'AEO 2026 Table 49'!X180*10^6)</f>
        <v>10027.302441248998</v>
      </c>
      <c r="Y30" s="6">
        <f>SUM('AEO 2026 Table 7'!Y10,'AEO 2026 Table 49'!Y21,'AEO 2026 Table 49'!Y35)*10^9/SUM('AEO 2026 Table 45'!Y51*1000,'AEO 2026 Table 49'!Y166*10^6,'AEO 2026 Table 49'!Y180*10^6)</f>
        <v>10039.539908228737</v>
      </c>
      <c r="Z30" s="6">
        <f>SUM('AEO 2026 Table 7'!Z10,'AEO 2026 Table 49'!Z21,'AEO 2026 Table 49'!Z35)*10^9/SUM('AEO 2026 Table 45'!Z51*1000,'AEO 2026 Table 49'!Z166*10^6,'AEO 2026 Table 49'!Z180*10^6)</f>
        <v>10065.615302226226</v>
      </c>
      <c r="AA30" s="6">
        <f>SUM('AEO 2026 Table 7'!AA10,'AEO 2026 Table 49'!AA21,'AEO 2026 Table 49'!AA35)*10^9/SUM('AEO 2026 Table 45'!AA51*1000,'AEO 2026 Table 49'!AA166*10^6,'AEO 2026 Table 49'!AA180*10^6)</f>
        <v>10100.957836420414</v>
      </c>
      <c r="AB30" s="6">
        <f>SUM('AEO 2026 Table 7'!AB10,'AEO 2026 Table 49'!AB21,'AEO 2026 Table 49'!AB35)*10^9/SUM('AEO 2026 Table 45'!AB51*1000,'AEO 2026 Table 49'!AB166*10^6,'AEO 2026 Table 49'!AB180*10^6)</f>
        <v>10131.604690945611</v>
      </c>
      <c r="AC30" s="6">
        <f>SUM('AEO 2026 Table 7'!AC10,'AEO 2026 Table 49'!AC21,'AEO 2026 Table 49'!AC35)*10^9/SUM('AEO 2026 Table 45'!AC51*1000,'AEO 2026 Table 49'!AC166*10^6,'AEO 2026 Table 49'!AC180*10^6)</f>
        <v>10185.059653163298</v>
      </c>
      <c r="AD30" s="6">
        <f>SUM('AEO 2026 Table 7'!AD10,'AEO 2026 Table 49'!AD21,'AEO 2026 Table 49'!AD35)*10^9/SUM('AEO 2026 Table 45'!AD51*1000,'AEO 2026 Table 49'!AD166*10^6,'AEO 2026 Table 49'!AD180*10^6)</f>
        <v>10246.043579546358</v>
      </c>
    </row>
    <row r="31" spans="1:32">
      <c r="A31" t="s">
        <v>3890</v>
      </c>
      <c r="B31" t="s">
        <v>5</v>
      </c>
      <c r="C31" s="6">
        <f t="shared" ref="C31:C35" si="6">C13</f>
        <v>35195.270297278214</v>
      </c>
      <c r="D31" s="6">
        <f>C31</f>
        <v>35195.270297278214</v>
      </c>
      <c r="E31" s="6">
        <f t="shared" ref="E31:AD31" si="7">D31</f>
        <v>35195.270297278214</v>
      </c>
      <c r="F31" s="6">
        <f t="shared" si="7"/>
        <v>35195.270297278214</v>
      </c>
      <c r="G31" s="6">
        <f t="shared" si="7"/>
        <v>35195.270297278214</v>
      </c>
      <c r="H31" s="6">
        <f t="shared" si="7"/>
        <v>35195.270297278214</v>
      </c>
      <c r="I31" s="6">
        <f t="shared" si="7"/>
        <v>35195.270297278214</v>
      </c>
      <c r="J31" s="6">
        <f t="shared" si="7"/>
        <v>35195.270297278214</v>
      </c>
      <c r="K31" s="6">
        <f t="shared" si="7"/>
        <v>35195.270297278214</v>
      </c>
      <c r="L31" s="6">
        <f t="shared" si="7"/>
        <v>35195.270297278214</v>
      </c>
      <c r="M31" s="6">
        <f t="shared" si="7"/>
        <v>35195.270297278214</v>
      </c>
      <c r="N31" s="6">
        <f t="shared" si="7"/>
        <v>35195.270297278214</v>
      </c>
      <c r="O31" s="6">
        <f t="shared" si="7"/>
        <v>35195.270297278214</v>
      </c>
      <c r="P31" s="6">
        <f t="shared" si="7"/>
        <v>35195.270297278214</v>
      </c>
      <c r="Q31" s="6">
        <f t="shared" si="7"/>
        <v>35195.270297278214</v>
      </c>
      <c r="R31" s="6">
        <f t="shared" si="7"/>
        <v>35195.270297278214</v>
      </c>
      <c r="S31" s="6">
        <f t="shared" si="7"/>
        <v>35195.270297278214</v>
      </c>
      <c r="T31" s="6">
        <f t="shared" si="7"/>
        <v>35195.270297278214</v>
      </c>
      <c r="U31" s="6">
        <f t="shared" si="7"/>
        <v>35195.270297278214</v>
      </c>
      <c r="V31" s="6">
        <f t="shared" si="7"/>
        <v>35195.270297278214</v>
      </c>
      <c r="W31" s="6">
        <f t="shared" si="7"/>
        <v>35195.270297278214</v>
      </c>
      <c r="X31" s="6">
        <f t="shared" si="7"/>
        <v>35195.270297278214</v>
      </c>
      <c r="Y31" s="6">
        <f t="shared" si="7"/>
        <v>35195.270297278214</v>
      </c>
      <c r="Z31" s="6">
        <f t="shared" si="7"/>
        <v>35195.270297278214</v>
      </c>
      <c r="AA31" s="6">
        <f t="shared" si="7"/>
        <v>35195.270297278214</v>
      </c>
      <c r="AB31" s="6">
        <f t="shared" si="7"/>
        <v>35195.270297278214</v>
      </c>
      <c r="AC31" s="6">
        <f t="shared" si="7"/>
        <v>35195.270297278214</v>
      </c>
      <c r="AD31" s="6">
        <f t="shared" si="7"/>
        <v>35195.270297278214</v>
      </c>
    </row>
    <row r="32" spans="1:32">
      <c r="A32" t="s">
        <v>3909</v>
      </c>
      <c r="B32" t="s">
        <v>6</v>
      </c>
      <c r="C32" s="6">
        <f>C14</f>
        <v>889421.41850474558</v>
      </c>
      <c r="D32" s="6">
        <f>C32</f>
        <v>889421.41850474558</v>
      </c>
      <c r="E32" s="6">
        <f t="shared" ref="E32:AD32" si="8">D32</f>
        <v>889421.41850474558</v>
      </c>
      <c r="F32" s="6">
        <f t="shared" si="8"/>
        <v>889421.41850474558</v>
      </c>
      <c r="G32" s="6">
        <f t="shared" si="8"/>
        <v>889421.41850474558</v>
      </c>
      <c r="H32" s="6">
        <f t="shared" si="8"/>
        <v>889421.41850474558</v>
      </c>
      <c r="I32" s="6">
        <f t="shared" si="8"/>
        <v>889421.41850474558</v>
      </c>
      <c r="J32" s="6">
        <f t="shared" si="8"/>
        <v>889421.41850474558</v>
      </c>
      <c r="K32" s="6">
        <f t="shared" si="8"/>
        <v>889421.41850474558</v>
      </c>
      <c r="L32" s="6">
        <f t="shared" si="8"/>
        <v>889421.41850474558</v>
      </c>
      <c r="M32" s="6">
        <f t="shared" si="8"/>
        <v>889421.41850474558</v>
      </c>
      <c r="N32" s="6">
        <f t="shared" si="8"/>
        <v>889421.41850474558</v>
      </c>
      <c r="O32" s="6">
        <f t="shared" si="8"/>
        <v>889421.41850474558</v>
      </c>
      <c r="P32" s="6">
        <f t="shared" si="8"/>
        <v>889421.41850474558</v>
      </c>
      <c r="Q32" s="6">
        <f t="shared" si="8"/>
        <v>889421.41850474558</v>
      </c>
      <c r="R32" s="6">
        <f t="shared" si="8"/>
        <v>889421.41850474558</v>
      </c>
      <c r="S32" s="6">
        <f t="shared" si="8"/>
        <v>889421.41850474558</v>
      </c>
      <c r="T32" s="6">
        <f t="shared" si="8"/>
        <v>889421.41850474558</v>
      </c>
      <c r="U32" s="6">
        <f t="shared" si="8"/>
        <v>889421.41850474558</v>
      </c>
      <c r="V32" s="6">
        <f t="shared" si="8"/>
        <v>889421.41850474558</v>
      </c>
      <c r="W32" s="6">
        <f t="shared" si="8"/>
        <v>889421.41850474558</v>
      </c>
      <c r="X32" s="6">
        <f t="shared" si="8"/>
        <v>889421.41850474558</v>
      </c>
      <c r="Y32" s="6">
        <f t="shared" si="8"/>
        <v>889421.41850474558</v>
      </c>
      <c r="Z32" s="6">
        <f t="shared" si="8"/>
        <v>889421.41850474558</v>
      </c>
      <c r="AA32" s="6">
        <f t="shared" si="8"/>
        <v>889421.41850474558</v>
      </c>
      <c r="AB32" s="6">
        <f t="shared" si="8"/>
        <v>889421.41850474558</v>
      </c>
      <c r="AC32" s="6">
        <f t="shared" si="8"/>
        <v>889421.41850474558</v>
      </c>
      <c r="AD32" s="6">
        <f t="shared" si="8"/>
        <v>889421.41850474558</v>
      </c>
    </row>
    <row r="33" spans="1:30">
      <c r="A33" t="s">
        <v>3890</v>
      </c>
      <c r="B33" t="s">
        <v>7</v>
      </c>
      <c r="C33" s="6">
        <f t="shared" si="6"/>
        <v>17004.703401126964</v>
      </c>
      <c r="D33" s="6">
        <f t="shared" ref="D33:AD33" si="9">C33</f>
        <v>17004.703401126964</v>
      </c>
      <c r="E33" s="6">
        <f t="shared" si="9"/>
        <v>17004.703401126964</v>
      </c>
      <c r="F33" s="6">
        <f t="shared" si="9"/>
        <v>17004.703401126964</v>
      </c>
      <c r="G33" s="6">
        <f t="shared" si="9"/>
        <v>17004.703401126964</v>
      </c>
      <c r="H33" s="6">
        <f t="shared" si="9"/>
        <v>17004.703401126964</v>
      </c>
      <c r="I33" s="6">
        <f t="shared" si="9"/>
        <v>17004.703401126964</v>
      </c>
      <c r="J33" s="6">
        <f t="shared" si="9"/>
        <v>17004.703401126964</v>
      </c>
      <c r="K33" s="6">
        <f t="shared" si="9"/>
        <v>17004.703401126964</v>
      </c>
      <c r="L33" s="6">
        <f t="shared" si="9"/>
        <v>17004.703401126964</v>
      </c>
      <c r="M33" s="6">
        <f t="shared" si="9"/>
        <v>17004.703401126964</v>
      </c>
      <c r="N33" s="6">
        <f t="shared" si="9"/>
        <v>17004.703401126964</v>
      </c>
      <c r="O33" s="6">
        <f t="shared" si="9"/>
        <v>17004.703401126964</v>
      </c>
      <c r="P33" s="6">
        <f t="shared" si="9"/>
        <v>17004.703401126964</v>
      </c>
      <c r="Q33" s="6">
        <f t="shared" si="9"/>
        <v>17004.703401126964</v>
      </c>
      <c r="R33" s="6">
        <f t="shared" si="9"/>
        <v>17004.703401126964</v>
      </c>
      <c r="S33" s="6">
        <f t="shared" si="9"/>
        <v>17004.703401126964</v>
      </c>
      <c r="T33" s="6">
        <f t="shared" si="9"/>
        <v>17004.703401126964</v>
      </c>
      <c r="U33" s="6">
        <f t="shared" si="9"/>
        <v>17004.703401126964</v>
      </c>
      <c r="V33" s="6">
        <f t="shared" si="9"/>
        <v>17004.703401126964</v>
      </c>
      <c r="W33" s="6">
        <f t="shared" si="9"/>
        <v>17004.703401126964</v>
      </c>
      <c r="X33" s="6">
        <f t="shared" si="9"/>
        <v>17004.703401126964</v>
      </c>
      <c r="Y33" s="6">
        <f t="shared" si="9"/>
        <v>17004.703401126964</v>
      </c>
      <c r="Z33" s="6">
        <f t="shared" si="9"/>
        <v>17004.703401126964</v>
      </c>
      <c r="AA33" s="6">
        <f t="shared" si="9"/>
        <v>17004.703401126964</v>
      </c>
      <c r="AB33" s="6">
        <f t="shared" si="9"/>
        <v>17004.703401126964</v>
      </c>
      <c r="AC33" s="6">
        <f t="shared" si="9"/>
        <v>17004.703401126964</v>
      </c>
      <c r="AD33" s="6">
        <f t="shared" si="9"/>
        <v>17004.703401126964</v>
      </c>
    </row>
    <row r="34" spans="1:30">
      <c r="A34" t="s">
        <v>3890</v>
      </c>
      <c r="B34" t="s">
        <v>8</v>
      </c>
      <c r="C34" s="6">
        <f t="shared" si="6"/>
        <v>7513091.8771984363</v>
      </c>
      <c r="D34" s="6">
        <f t="shared" ref="D34:AD34" si="10">C34</f>
        <v>7513091.8771984363</v>
      </c>
      <c r="E34" s="6">
        <f t="shared" si="10"/>
        <v>7513091.8771984363</v>
      </c>
      <c r="F34" s="6">
        <f t="shared" si="10"/>
        <v>7513091.8771984363</v>
      </c>
      <c r="G34" s="6">
        <f t="shared" si="10"/>
        <v>7513091.8771984363</v>
      </c>
      <c r="H34" s="6">
        <f t="shared" si="10"/>
        <v>7513091.8771984363</v>
      </c>
      <c r="I34" s="6">
        <f t="shared" si="10"/>
        <v>7513091.8771984363</v>
      </c>
      <c r="J34" s="6">
        <f t="shared" si="10"/>
        <v>7513091.8771984363</v>
      </c>
      <c r="K34" s="6">
        <f t="shared" si="10"/>
        <v>7513091.8771984363</v>
      </c>
      <c r="L34" s="6">
        <f t="shared" si="10"/>
        <v>7513091.8771984363</v>
      </c>
      <c r="M34" s="6">
        <f t="shared" si="10"/>
        <v>7513091.8771984363</v>
      </c>
      <c r="N34" s="6">
        <f t="shared" si="10"/>
        <v>7513091.8771984363</v>
      </c>
      <c r="O34" s="6">
        <f t="shared" si="10"/>
        <v>7513091.8771984363</v>
      </c>
      <c r="P34" s="6">
        <f t="shared" si="10"/>
        <v>7513091.8771984363</v>
      </c>
      <c r="Q34" s="6">
        <f t="shared" si="10"/>
        <v>7513091.8771984363</v>
      </c>
      <c r="R34" s="6">
        <f t="shared" si="10"/>
        <v>7513091.8771984363</v>
      </c>
      <c r="S34" s="6">
        <f t="shared" si="10"/>
        <v>7513091.8771984363</v>
      </c>
      <c r="T34" s="6">
        <f t="shared" si="10"/>
        <v>7513091.8771984363</v>
      </c>
      <c r="U34" s="6">
        <f t="shared" si="10"/>
        <v>7513091.8771984363</v>
      </c>
      <c r="V34" s="6">
        <f t="shared" si="10"/>
        <v>7513091.8771984363</v>
      </c>
      <c r="W34" s="6">
        <f t="shared" si="10"/>
        <v>7513091.8771984363</v>
      </c>
      <c r="X34" s="6">
        <f t="shared" si="10"/>
        <v>7513091.8771984363</v>
      </c>
      <c r="Y34" s="6">
        <f t="shared" si="10"/>
        <v>7513091.8771984363</v>
      </c>
      <c r="Z34" s="6">
        <f t="shared" si="10"/>
        <v>7513091.8771984363</v>
      </c>
      <c r="AA34" s="6">
        <f t="shared" si="10"/>
        <v>7513091.8771984363</v>
      </c>
      <c r="AB34" s="6">
        <f t="shared" si="10"/>
        <v>7513091.8771984363</v>
      </c>
      <c r="AC34" s="6">
        <f t="shared" si="10"/>
        <v>7513091.8771984363</v>
      </c>
      <c r="AD34" s="6">
        <f t="shared" si="10"/>
        <v>7513091.8771984363</v>
      </c>
    </row>
    <row r="35" spans="1:30">
      <c r="B35" t="s">
        <v>9</v>
      </c>
      <c r="C35" s="6">
        <f t="shared" si="6"/>
        <v>0</v>
      </c>
      <c r="D35" s="6">
        <f t="shared" ref="D35:AD35" si="11">C35</f>
        <v>0</v>
      </c>
      <c r="E35" s="6">
        <f t="shared" si="11"/>
        <v>0</v>
      </c>
      <c r="F35" s="6">
        <f t="shared" si="11"/>
        <v>0</v>
      </c>
      <c r="G35" s="6">
        <f t="shared" si="11"/>
        <v>0</v>
      </c>
      <c r="H35" s="6">
        <f t="shared" si="11"/>
        <v>0</v>
      </c>
      <c r="I35" s="6">
        <f t="shared" si="11"/>
        <v>0</v>
      </c>
      <c r="J35" s="6">
        <f t="shared" si="11"/>
        <v>0</v>
      </c>
      <c r="K35" s="6">
        <f t="shared" si="11"/>
        <v>0</v>
      </c>
      <c r="L35" s="6">
        <f t="shared" si="11"/>
        <v>0</v>
      </c>
      <c r="M35" s="6">
        <f t="shared" si="11"/>
        <v>0</v>
      </c>
      <c r="N35" s="6">
        <f t="shared" si="11"/>
        <v>0</v>
      </c>
      <c r="O35" s="6">
        <f t="shared" si="11"/>
        <v>0</v>
      </c>
      <c r="P35" s="6">
        <f t="shared" si="11"/>
        <v>0</v>
      </c>
      <c r="Q35" s="6">
        <f t="shared" si="11"/>
        <v>0</v>
      </c>
      <c r="R35" s="6">
        <f t="shared" si="11"/>
        <v>0</v>
      </c>
      <c r="S35" s="6">
        <f t="shared" si="11"/>
        <v>0</v>
      </c>
      <c r="T35" s="6">
        <f t="shared" si="11"/>
        <v>0</v>
      </c>
      <c r="U35" s="6">
        <f t="shared" si="11"/>
        <v>0</v>
      </c>
      <c r="V35" s="6">
        <f t="shared" si="11"/>
        <v>0</v>
      </c>
      <c r="W35" s="6">
        <f t="shared" si="11"/>
        <v>0</v>
      </c>
      <c r="X35" s="6">
        <f t="shared" si="11"/>
        <v>0</v>
      </c>
      <c r="Y35" s="6">
        <f t="shared" si="11"/>
        <v>0</v>
      </c>
      <c r="Z35" s="6">
        <f t="shared" si="11"/>
        <v>0</v>
      </c>
      <c r="AA35" s="6">
        <f t="shared" si="11"/>
        <v>0</v>
      </c>
      <c r="AB35" s="6">
        <f t="shared" si="11"/>
        <v>0</v>
      </c>
      <c r="AC35" s="6">
        <f t="shared" si="11"/>
        <v>0</v>
      </c>
      <c r="AD35" s="6">
        <f t="shared" si="11"/>
        <v>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249977111117893"/>
  </sheetPr>
  <dimension ref="A1:B9"/>
  <sheetViews>
    <sheetView workbookViewId="0">
      <selection activeCell="B2" sqref="B2"/>
    </sheetView>
  </sheetViews>
  <sheetFormatPr defaultColWidth="9.140625" defaultRowHeight="15"/>
  <cols>
    <col min="1" max="1" width="16.5703125" customWidth="1"/>
    <col min="2" max="2" width="9" customWidth="1"/>
  </cols>
  <sheetData>
    <row r="1" spans="1:2">
      <c r="A1" t="s">
        <v>189</v>
      </c>
      <c r="B1">
        <v>2024</v>
      </c>
    </row>
    <row r="2" spans="1:2">
      <c r="A2" t="s">
        <v>4</v>
      </c>
      <c r="B2" s="6">
        <f>'BAADTbVT-passengers'!B2</f>
        <v>10411</v>
      </c>
    </row>
    <row r="3" spans="1:2">
      <c r="A3" t="s">
        <v>5</v>
      </c>
      <c r="B3" s="6">
        <f>'BAADTbVT-passengers'!B3</f>
        <v>16361</v>
      </c>
    </row>
    <row r="4" spans="1:2">
      <c r="A4" t="s">
        <v>6</v>
      </c>
      <c r="B4" s="6">
        <f>'BAADTbVT-passengers'!B4</f>
        <v>685003</v>
      </c>
    </row>
    <row r="5" spans="1:2">
      <c r="A5" t="s">
        <v>7</v>
      </c>
      <c r="B5" s="6">
        <f>'BAADTbVT-passengers'!B5</f>
        <v>395569</v>
      </c>
    </row>
    <row r="6" spans="1:2">
      <c r="A6" t="s">
        <v>8</v>
      </c>
      <c r="B6" s="6">
        <f>'BAADTbVT-passengers'!B6</f>
        <v>194</v>
      </c>
    </row>
    <row r="7" spans="1:2">
      <c r="A7" t="s">
        <v>9</v>
      </c>
      <c r="B7" s="6">
        <f>'BAADTbVT-passengers'!B7</f>
        <v>2401</v>
      </c>
    </row>
    <row r="9" spans="1:2">
      <c r="B9" s="6"/>
    </row>
  </sheetData>
  <pageMargins left="0.7" right="0.7" top="0.75" bottom="0.75" header="0.3" footer="0.3"/>
  <pageSetup orientation="portrait" horizontalDpi="1200" verticalDpi="1200"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249977111117893"/>
  </sheetPr>
  <dimension ref="A1:B7"/>
  <sheetViews>
    <sheetView workbookViewId="0"/>
  </sheetViews>
  <sheetFormatPr defaultColWidth="9.140625" defaultRowHeight="15"/>
  <cols>
    <col min="1" max="1" width="16.5703125" customWidth="1"/>
    <col min="2" max="2" width="12" bestFit="1" customWidth="1"/>
  </cols>
  <sheetData>
    <row r="1" spans="1:2">
      <c r="A1" t="s">
        <v>189</v>
      </c>
      <c r="B1">
        <f>calcs!C11</f>
        <v>2024</v>
      </c>
    </row>
    <row r="2" spans="1:2">
      <c r="A2" t="s">
        <v>4</v>
      </c>
      <c r="B2" s="6">
        <f>'BAADTbVT-freight'!B2</f>
        <v>9797</v>
      </c>
    </row>
    <row r="3" spans="1:2">
      <c r="A3" t="s">
        <v>5</v>
      </c>
      <c r="B3" s="6">
        <f>'BAADTbVT-freight'!B3</f>
        <v>35195</v>
      </c>
    </row>
    <row r="4" spans="1:2">
      <c r="A4" t="s">
        <v>6</v>
      </c>
      <c r="B4" s="6">
        <f>'BAADTbVT-freight'!B4</f>
        <v>889421</v>
      </c>
    </row>
    <row r="5" spans="1:2">
      <c r="A5" t="s">
        <v>7</v>
      </c>
      <c r="B5" s="6">
        <f>'BAADTbVT-freight'!B5</f>
        <v>17005</v>
      </c>
    </row>
    <row r="6" spans="1:2">
      <c r="A6" t="s">
        <v>8</v>
      </c>
      <c r="B6" s="6">
        <f>'BAADTbVT-freight'!B6</f>
        <v>7513092</v>
      </c>
    </row>
    <row r="7" spans="1:2">
      <c r="A7" t="s">
        <v>9</v>
      </c>
      <c r="B7" s="6">
        <f>'BAADTbVT-freight'!B7</f>
        <v>0</v>
      </c>
    </row>
  </sheetData>
  <pageMargins left="0.7" right="0.7" top="0.75" bottom="0.75" header="0.3" footer="0.3"/>
  <pageSetup orientation="portrait" horizontalDpi="1200" verticalDpi="1200"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4" tint="-0.249977111117893"/>
  </sheetPr>
  <dimension ref="A1:AC7"/>
  <sheetViews>
    <sheetView workbookViewId="0">
      <selection activeCell="B2" sqref="B2"/>
    </sheetView>
  </sheetViews>
  <sheetFormatPr defaultColWidth="9.140625" defaultRowHeight="15"/>
  <cols>
    <col min="1" max="1" width="16.5703125" customWidth="1"/>
  </cols>
  <sheetData>
    <row r="1" spans="1:29">
      <c r="A1" t="s">
        <v>189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c r="AC1" s="5"/>
    </row>
    <row r="2" spans="1:29">
      <c r="A2" t="s">
        <v>4</v>
      </c>
      <c r="B2" s="6">
        <f>ROUND(calcs!D21,0)</f>
        <v>10411</v>
      </c>
      <c r="C2" s="6">
        <f>ROUND(calcs!E21,0)</f>
        <v>10518</v>
      </c>
      <c r="D2" s="6">
        <f>ROUND(calcs!F21,0)</f>
        <v>10488</v>
      </c>
      <c r="E2" s="6">
        <f>ROUND(calcs!G21,0)</f>
        <v>10461</v>
      </c>
      <c r="F2" s="6">
        <f>ROUND(calcs!H21,0)</f>
        <v>10399</v>
      </c>
      <c r="G2" s="6">
        <f>ROUND(calcs!I21,0)</f>
        <v>10327</v>
      </c>
      <c r="H2" s="6">
        <f>ROUND(calcs!J21,0)</f>
        <v>10237</v>
      </c>
      <c r="I2" s="6">
        <f>ROUND(calcs!K21,0)</f>
        <v>10141</v>
      </c>
      <c r="J2" s="6">
        <f>ROUND(calcs!L21,0)</f>
        <v>10051</v>
      </c>
      <c r="K2" s="6">
        <f>ROUND(calcs!M21,0)</f>
        <v>9948</v>
      </c>
      <c r="L2" s="6">
        <f>ROUND(calcs!N21,0)</f>
        <v>9859</v>
      </c>
      <c r="M2" s="6">
        <f>ROUND(calcs!O21,0)</f>
        <v>9767</v>
      </c>
      <c r="N2" s="6">
        <f>ROUND(calcs!P21,0)</f>
        <v>9694</v>
      </c>
      <c r="O2" s="6">
        <f>ROUND(calcs!Q21,0)</f>
        <v>9628</v>
      </c>
      <c r="P2" s="6">
        <f>ROUND(calcs!R21,0)</f>
        <v>9565</v>
      </c>
      <c r="Q2" s="6">
        <f>ROUND(calcs!S21,0)</f>
        <v>9500</v>
      </c>
      <c r="R2" s="6">
        <f>ROUND(calcs!T21,0)</f>
        <v>9440</v>
      </c>
      <c r="S2" s="6">
        <f>ROUND(calcs!U21,0)</f>
        <v>9380</v>
      </c>
      <c r="T2" s="6">
        <f>ROUND(calcs!V21,0)</f>
        <v>9325</v>
      </c>
      <c r="U2" s="6">
        <f>ROUND(calcs!W21,0)</f>
        <v>9274</v>
      </c>
      <c r="V2" s="6">
        <f>ROUND(calcs!X21,0)</f>
        <v>9232</v>
      </c>
      <c r="W2" s="6">
        <f>ROUND(calcs!Y21,0)</f>
        <v>9195</v>
      </c>
      <c r="X2" s="6">
        <f>ROUND(calcs!Z21,0)</f>
        <v>9164</v>
      </c>
      <c r="Y2" s="6">
        <f>ROUND(calcs!AA21,0)</f>
        <v>9133</v>
      </c>
      <c r="Z2" s="6">
        <f>ROUND(calcs!AB21,0)</f>
        <v>9112</v>
      </c>
      <c r="AA2" s="6">
        <f>ROUND(calcs!AC21,0)</f>
        <v>9095</v>
      </c>
      <c r="AB2" s="6">
        <f>ROUND(calcs!AD21,0)</f>
        <v>9092</v>
      </c>
      <c r="AC2" s="6"/>
    </row>
    <row r="3" spans="1:29">
      <c r="A3" t="s">
        <v>5</v>
      </c>
      <c r="B3" s="6">
        <f>ROUND(calcs!D22,0)</f>
        <v>16361</v>
      </c>
      <c r="C3" s="6">
        <f>ROUND(calcs!E22,0)</f>
        <v>16361</v>
      </c>
      <c r="D3" s="6">
        <f>ROUND(calcs!F22,0)</f>
        <v>16361</v>
      </c>
      <c r="E3" s="6">
        <f>ROUND(calcs!G22,0)</f>
        <v>16361</v>
      </c>
      <c r="F3" s="6">
        <f>ROUND(calcs!H22,0)</f>
        <v>16361</v>
      </c>
      <c r="G3" s="6">
        <f>ROUND(calcs!I22,0)</f>
        <v>16361</v>
      </c>
      <c r="H3" s="6">
        <f>ROUND(calcs!J22,0)</f>
        <v>16361</v>
      </c>
      <c r="I3" s="6">
        <f>ROUND(calcs!K22,0)</f>
        <v>16361</v>
      </c>
      <c r="J3" s="6">
        <f>ROUND(calcs!L22,0)</f>
        <v>16361</v>
      </c>
      <c r="K3" s="6">
        <f>ROUND(calcs!M22,0)</f>
        <v>16361</v>
      </c>
      <c r="L3" s="6">
        <f>ROUND(calcs!N22,0)</f>
        <v>16361</v>
      </c>
      <c r="M3" s="6">
        <f>ROUND(calcs!O22,0)</f>
        <v>16361</v>
      </c>
      <c r="N3" s="6">
        <f>ROUND(calcs!P22,0)</f>
        <v>16361</v>
      </c>
      <c r="O3" s="6">
        <f>ROUND(calcs!Q22,0)</f>
        <v>16361</v>
      </c>
      <c r="P3" s="6">
        <f>ROUND(calcs!R22,0)</f>
        <v>16361</v>
      </c>
      <c r="Q3" s="6">
        <f>ROUND(calcs!S22,0)</f>
        <v>16361</v>
      </c>
      <c r="R3" s="6">
        <f>ROUND(calcs!T22,0)</f>
        <v>16361</v>
      </c>
      <c r="S3" s="6">
        <f>ROUND(calcs!U22,0)</f>
        <v>16361</v>
      </c>
      <c r="T3" s="6">
        <f>ROUND(calcs!V22,0)</f>
        <v>16361</v>
      </c>
      <c r="U3" s="6">
        <f>ROUND(calcs!W22,0)</f>
        <v>16361</v>
      </c>
      <c r="V3" s="6">
        <f>ROUND(calcs!X22,0)</f>
        <v>16361</v>
      </c>
      <c r="W3" s="6">
        <f>ROUND(calcs!Y22,0)</f>
        <v>16361</v>
      </c>
      <c r="X3" s="6">
        <f>ROUND(calcs!Z22,0)</f>
        <v>16361</v>
      </c>
      <c r="Y3" s="6">
        <f>ROUND(calcs!AA22,0)</f>
        <v>16361</v>
      </c>
      <c r="Z3" s="6">
        <f>ROUND(calcs!AB22,0)</f>
        <v>16361</v>
      </c>
      <c r="AA3" s="6">
        <f>ROUND(calcs!AC22,0)</f>
        <v>16361</v>
      </c>
      <c r="AB3" s="6">
        <f>ROUND(calcs!AD22,0)</f>
        <v>16361</v>
      </c>
      <c r="AC3" s="6"/>
    </row>
    <row r="4" spans="1:29">
      <c r="A4" t="s">
        <v>6</v>
      </c>
      <c r="B4" s="6">
        <f>ROUND(calcs!D23,0)</f>
        <v>685003</v>
      </c>
      <c r="C4" s="6">
        <f>ROUND(calcs!E23,0)</f>
        <v>685003</v>
      </c>
      <c r="D4" s="6">
        <f>ROUND(calcs!F23,0)</f>
        <v>685003</v>
      </c>
      <c r="E4" s="6">
        <f>ROUND(calcs!G23,0)</f>
        <v>685003</v>
      </c>
      <c r="F4" s="6">
        <f>ROUND(calcs!H23,0)</f>
        <v>685003</v>
      </c>
      <c r="G4" s="6">
        <f>ROUND(calcs!I23,0)</f>
        <v>685003</v>
      </c>
      <c r="H4" s="6">
        <f>ROUND(calcs!J23,0)</f>
        <v>685003</v>
      </c>
      <c r="I4" s="6">
        <f>ROUND(calcs!K23,0)</f>
        <v>685003</v>
      </c>
      <c r="J4" s="6">
        <f>ROUND(calcs!L23,0)</f>
        <v>685003</v>
      </c>
      <c r="K4" s="6">
        <f>ROUND(calcs!M23,0)</f>
        <v>685003</v>
      </c>
      <c r="L4" s="6">
        <f>ROUND(calcs!N23,0)</f>
        <v>685003</v>
      </c>
      <c r="M4" s="6">
        <f>ROUND(calcs!O23,0)</f>
        <v>685003</v>
      </c>
      <c r="N4" s="6">
        <f>ROUND(calcs!P23,0)</f>
        <v>685003</v>
      </c>
      <c r="O4" s="6">
        <f>ROUND(calcs!Q23,0)</f>
        <v>685003</v>
      </c>
      <c r="P4" s="6">
        <f>ROUND(calcs!R23,0)</f>
        <v>685003</v>
      </c>
      <c r="Q4" s="6">
        <f>ROUND(calcs!S23,0)</f>
        <v>685003</v>
      </c>
      <c r="R4" s="6">
        <f>ROUND(calcs!T23,0)</f>
        <v>685003</v>
      </c>
      <c r="S4" s="6">
        <f>ROUND(calcs!U23,0)</f>
        <v>685003</v>
      </c>
      <c r="T4" s="6">
        <f>ROUND(calcs!V23,0)</f>
        <v>685003</v>
      </c>
      <c r="U4" s="6">
        <f>ROUND(calcs!W23,0)</f>
        <v>685003</v>
      </c>
      <c r="V4" s="6">
        <f>ROUND(calcs!X23,0)</f>
        <v>685003</v>
      </c>
      <c r="W4" s="6">
        <f>ROUND(calcs!Y23,0)</f>
        <v>685003</v>
      </c>
      <c r="X4" s="6">
        <f>ROUND(calcs!Z23,0)</f>
        <v>685003</v>
      </c>
      <c r="Y4" s="6">
        <f>ROUND(calcs!AA23,0)</f>
        <v>685003</v>
      </c>
      <c r="Z4" s="6">
        <f>ROUND(calcs!AB23,0)</f>
        <v>685003</v>
      </c>
      <c r="AA4" s="6">
        <f>ROUND(calcs!AC23,0)</f>
        <v>685003</v>
      </c>
      <c r="AB4" s="6">
        <f>ROUND(calcs!AD23,0)</f>
        <v>685003</v>
      </c>
      <c r="AC4" s="6"/>
    </row>
    <row r="5" spans="1:29">
      <c r="A5" t="s">
        <v>7</v>
      </c>
      <c r="B5" s="6">
        <f>ROUND(calcs!D24,0)</f>
        <v>395569</v>
      </c>
      <c r="C5" s="6">
        <f>ROUND(calcs!E24,0)</f>
        <v>395569</v>
      </c>
      <c r="D5" s="6">
        <f>ROUND(calcs!F24,0)</f>
        <v>395569</v>
      </c>
      <c r="E5" s="6">
        <f>ROUND(calcs!G24,0)</f>
        <v>395569</v>
      </c>
      <c r="F5" s="6">
        <f>ROUND(calcs!H24,0)</f>
        <v>395569</v>
      </c>
      <c r="G5" s="6">
        <f>ROUND(calcs!I24,0)</f>
        <v>395569</v>
      </c>
      <c r="H5" s="6">
        <f>ROUND(calcs!J24,0)</f>
        <v>395569</v>
      </c>
      <c r="I5" s="6">
        <f>ROUND(calcs!K24,0)</f>
        <v>395569</v>
      </c>
      <c r="J5" s="6">
        <f>ROUND(calcs!L24,0)</f>
        <v>395569</v>
      </c>
      <c r="K5" s="6">
        <f>ROUND(calcs!M24,0)</f>
        <v>395569</v>
      </c>
      <c r="L5" s="6">
        <f>ROUND(calcs!N24,0)</f>
        <v>395569</v>
      </c>
      <c r="M5" s="6">
        <f>ROUND(calcs!O24,0)</f>
        <v>395569</v>
      </c>
      <c r="N5" s="6">
        <f>ROUND(calcs!P24,0)</f>
        <v>395569</v>
      </c>
      <c r="O5" s="6">
        <f>ROUND(calcs!Q24,0)</f>
        <v>395569</v>
      </c>
      <c r="P5" s="6">
        <f>ROUND(calcs!R24,0)</f>
        <v>395569</v>
      </c>
      <c r="Q5" s="6">
        <f>ROUND(calcs!S24,0)</f>
        <v>395569</v>
      </c>
      <c r="R5" s="6">
        <f>ROUND(calcs!T24,0)</f>
        <v>395569</v>
      </c>
      <c r="S5" s="6">
        <f>ROUND(calcs!U24,0)</f>
        <v>395569</v>
      </c>
      <c r="T5" s="6">
        <f>ROUND(calcs!V24,0)</f>
        <v>395569</v>
      </c>
      <c r="U5" s="6">
        <f>ROUND(calcs!W24,0)</f>
        <v>395569</v>
      </c>
      <c r="V5" s="6">
        <f>ROUND(calcs!X24,0)</f>
        <v>395569</v>
      </c>
      <c r="W5" s="6">
        <f>ROUND(calcs!Y24,0)</f>
        <v>395569</v>
      </c>
      <c r="X5" s="6">
        <f>ROUND(calcs!Z24,0)</f>
        <v>395569</v>
      </c>
      <c r="Y5" s="6">
        <f>ROUND(calcs!AA24,0)</f>
        <v>395569</v>
      </c>
      <c r="Z5" s="6">
        <f>ROUND(calcs!AB24,0)</f>
        <v>395569</v>
      </c>
      <c r="AA5" s="6">
        <f>ROUND(calcs!AC24,0)</f>
        <v>395569</v>
      </c>
      <c r="AB5" s="6">
        <f>ROUND(calcs!AD24,0)</f>
        <v>395569</v>
      </c>
      <c r="AC5" s="6"/>
    </row>
    <row r="6" spans="1:29">
      <c r="A6" t="s">
        <v>8</v>
      </c>
      <c r="B6" s="6">
        <f>ROUND(calcs!D25,0)</f>
        <v>194</v>
      </c>
      <c r="C6" s="6">
        <f>ROUND(calcs!E25,0)</f>
        <v>194</v>
      </c>
      <c r="D6" s="6">
        <f>ROUND(calcs!F25,0)</f>
        <v>194</v>
      </c>
      <c r="E6" s="6">
        <f>ROUND(calcs!G25,0)</f>
        <v>194</v>
      </c>
      <c r="F6" s="6">
        <f>ROUND(calcs!H25,0)</f>
        <v>194</v>
      </c>
      <c r="G6" s="6">
        <f>ROUND(calcs!I25,0)</f>
        <v>194</v>
      </c>
      <c r="H6" s="6">
        <f>ROUND(calcs!J25,0)</f>
        <v>194</v>
      </c>
      <c r="I6" s="6">
        <f>ROUND(calcs!K25,0)</f>
        <v>194</v>
      </c>
      <c r="J6" s="6">
        <f>ROUND(calcs!L25,0)</f>
        <v>194</v>
      </c>
      <c r="K6" s="6">
        <f>ROUND(calcs!M25,0)</f>
        <v>194</v>
      </c>
      <c r="L6" s="6">
        <f>ROUND(calcs!N25,0)</f>
        <v>194</v>
      </c>
      <c r="M6" s="6">
        <f>ROUND(calcs!O25,0)</f>
        <v>194</v>
      </c>
      <c r="N6" s="6">
        <f>ROUND(calcs!P25,0)</f>
        <v>194</v>
      </c>
      <c r="O6" s="6">
        <f>ROUND(calcs!Q25,0)</f>
        <v>194</v>
      </c>
      <c r="P6" s="6">
        <f>ROUND(calcs!R25,0)</f>
        <v>194</v>
      </c>
      <c r="Q6" s="6">
        <f>ROUND(calcs!S25,0)</f>
        <v>194</v>
      </c>
      <c r="R6" s="6">
        <f>ROUND(calcs!T25,0)</f>
        <v>194</v>
      </c>
      <c r="S6" s="6">
        <f>ROUND(calcs!U25,0)</f>
        <v>194</v>
      </c>
      <c r="T6" s="6">
        <f>ROUND(calcs!V25,0)</f>
        <v>194</v>
      </c>
      <c r="U6" s="6">
        <f>ROUND(calcs!W25,0)</f>
        <v>194</v>
      </c>
      <c r="V6" s="6">
        <f>ROUND(calcs!X25,0)</f>
        <v>194</v>
      </c>
      <c r="W6" s="6">
        <f>ROUND(calcs!Y25,0)</f>
        <v>194</v>
      </c>
      <c r="X6" s="6">
        <f>ROUND(calcs!Z25,0)</f>
        <v>194</v>
      </c>
      <c r="Y6" s="6">
        <f>ROUND(calcs!AA25,0)</f>
        <v>194</v>
      </c>
      <c r="Z6" s="6">
        <f>ROUND(calcs!AB25,0)</f>
        <v>194</v>
      </c>
      <c r="AA6" s="6">
        <f>ROUND(calcs!AC25,0)</f>
        <v>194</v>
      </c>
      <c r="AB6" s="6">
        <f>ROUND(calcs!AD25,0)</f>
        <v>194</v>
      </c>
      <c r="AC6" s="6"/>
    </row>
    <row r="7" spans="1:29">
      <c r="A7" t="s">
        <v>9</v>
      </c>
      <c r="B7" s="6">
        <f>ROUND(calcs!D26,0)</f>
        <v>2401</v>
      </c>
      <c r="C7" s="6">
        <f>ROUND(calcs!E26,0)</f>
        <v>2401</v>
      </c>
      <c r="D7" s="6">
        <f>ROUND(calcs!F26,0)</f>
        <v>2401</v>
      </c>
      <c r="E7" s="6">
        <f>ROUND(calcs!G26,0)</f>
        <v>2401</v>
      </c>
      <c r="F7" s="6">
        <f>ROUND(calcs!H26,0)</f>
        <v>2401</v>
      </c>
      <c r="G7" s="6">
        <f>ROUND(calcs!I26,0)</f>
        <v>2401</v>
      </c>
      <c r="H7" s="6">
        <f>ROUND(calcs!J26,0)</f>
        <v>2401</v>
      </c>
      <c r="I7" s="6">
        <f>ROUND(calcs!K26,0)</f>
        <v>2401</v>
      </c>
      <c r="J7" s="6">
        <f>ROUND(calcs!L26,0)</f>
        <v>2401</v>
      </c>
      <c r="K7" s="6">
        <f>ROUND(calcs!M26,0)</f>
        <v>2401</v>
      </c>
      <c r="L7" s="6">
        <f>ROUND(calcs!N26,0)</f>
        <v>2401</v>
      </c>
      <c r="M7" s="6">
        <f>ROUND(calcs!O26,0)</f>
        <v>2401</v>
      </c>
      <c r="N7" s="6">
        <f>ROUND(calcs!P26,0)</f>
        <v>2401</v>
      </c>
      <c r="O7" s="6">
        <f>ROUND(calcs!Q26,0)</f>
        <v>2401</v>
      </c>
      <c r="P7" s="6">
        <f>ROUND(calcs!R26,0)</f>
        <v>2401</v>
      </c>
      <c r="Q7" s="6">
        <f>ROUND(calcs!S26,0)</f>
        <v>2401</v>
      </c>
      <c r="R7" s="6">
        <f>ROUND(calcs!T26,0)</f>
        <v>2401</v>
      </c>
      <c r="S7" s="6">
        <f>ROUND(calcs!U26,0)</f>
        <v>2401</v>
      </c>
      <c r="T7" s="6">
        <f>ROUND(calcs!V26,0)</f>
        <v>2401</v>
      </c>
      <c r="U7" s="6">
        <f>ROUND(calcs!W26,0)</f>
        <v>2401</v>
      </c>
      <c r="V7" s="6">
        <f>ROUND(calcs!X26,0)</f>
        <v>2401</v>
      </c>
      <c r="W7" s="6">
        <f>ROUND(calcs!Y26,0)</f>
        <v>2401</v>
      </c>
      <c r="X7" s="6">
        <f>ROUND(calcs!Z26,0)</f>
        <v>2401</v>
      </c>
      <c r="Y7" s="6">
        <f>ROUND(calcs!AA26,0)</f>
        <v>2401</v>
      </c>
      <c r="Z7" s="6">
        <f>ROUND(calcs!AB26,0)</f>
        <v>2401</v>
      </c>
      <c r="AA7" s="6">
        <f>ROUND(calcs!AC26,0)</f>
        <v>2401</v>
      </c>
      <c r="AB7" s="6">
        <f>ROUND(calcs!AD26,0)</f>
        <v>2401</v>
      </c>
      <c r="AC7" s="6"/>
    </row>
  </sheetData>
  <pageMargins left="0.7" right="0.7" top="0.75" bottom="0.75" header="0.3" footer="0.3"/>
  <pageSetup orientation="portrait" horizontalDpi="1200" verticalDpi="1200"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4" tint="-0.249977111117893"/>
  </sheetPr>
  <dimension ref="A1:AB7"/>
  <sheetViews>
    <sheetView workbookViewId="0"/>
  </sheetViews>
  <sheetFormatPr defaultColWidth="9.140625" defaultRowHeight="15"/>
  <cols>
    <col min="1" max="1" width="16.5703125" customWidth="1"/>
  </cols>
  <sheetData>
    <row r="1" spans="1:28" ht="30">
      <c r="A1" s="8" t="s">
        <v>189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t="s">
        <v>4</v>
      </c>
      <c r="B2" s="6">
        <f>ROUND(calcs!D30,0)</f>
        <v>9797</v>
      </c>
      <c r="C2" s="6">
        <f>ROUND(calcs!E30,0)</f>
        <v>9797</v>
      </c>
      <c r="D2" s="6">
        <f>ROUND(calcs!F30,0)</f>
        <v>9782</v>
      </c>
      <c r="E2" s="6">
        <f>ROUND(calcs!G30,0)</f>
        <v>9778</v>
      </c>
      <c r="F2" s="6">
        <f>ROUND(calcs!H30,0)</f>
        <v>9750</v>
      </c>
      <c r="G2" s="6">
        <f>ROUND(calcs!I30,0)</f>
        <v>9718</v>
      </c>
      <c r="H2" s="6">
        <f>ROUND(calcs!J30,0)</f>
        <v>9714</v>
      </c>
      <c r="I2" s="6">
        <f>ROUND(calcs!K30,0)</f>
        <v>9691</v>
      </c>
      <c r="J2" s="6">
        <f>ROUND(calcs!L30,0)</f>
        <v>9669</v>
      </c>
      <c r="K2" s="6">
        <f>ROUND(calcs!M30,0)</f>
        <v>9644</v>
      </c>
      <c r="L2" s="6">
        <f>ROUND(calcs!N30,0)</f>
        <v>9645</v>
      </c>
      <c r="M2" s="6">
        <f>ROUND(calcs!O30,0)</f>
        <v>9658</v>
      </c>
      <c r="N2" s="6">
        <f>ROUND(calcs!P30,0)</f>
        <v>9681</v>
      </c>
      <c r="O2" s="6">
        <f>ROUND(calcs!Q30,0)</f>
        <v>9721</v>
      </c>
      <c r="P2" s="6">
        <f>ROUND(calcs!R30,0)</f>
        <v>9777</v>
      </c>
      <c r="Q2" s="6">
        <f>ROUND(calcs!S30,0)</f>
        <v>9839</v>
      </c>
      <c r="R2" s="6">
        <f>ROUND(calcs!T30,0)</f>
        <v>9911</v>
      </c>
      <c r="S2" s="6">
        <f>ROUND(calcs!U30,0)</f>
        <v>9969</v>
      </c>
      <c r="T2" s="6">
        <f>ROUND(calcs!V30,0)</f>
        <v>10020</v>
      </c>
      <c r="U2" s="6">
        <f>ROUND(calcs!W30,0)</f>
        <v>10030</v>
      </c>
      <c r="V2" s="6">
        <f>ROUND(calcs!X30,0)</f>
        <v>10027</v>
      </c>
      <c r="W2" s="6">
        <f>ROUND(calcs!Y30,0)</f>
        <v>10040</v>
      </c>
      <c r="X2" s="6">
        <f>ROUND(calcs!Z30,0)</f>
        <v>10066</v>
      </c>
      <c r="Y2" s="6">
        <f>ROUND(calcs!AA30,0)</f>
        <v>10101</v>
      </c>
      <c r="Z2" s="6">
        <f>ROUND(calcs!AB30,0)</f>
        <v>10132</v>
      </c>
      <c r="AA2" s="6">
        <f>ROUND(calcs!AC30,0)</f>
        <v>10185</v>
      </c>
      <c r="AB2" s="6">
        <f>ROUND(calcs!AD30,0)</f>
        <v>10246</v>
      </c>
    </row>
    <row r="3" spans="1:28">
      <c r="A3" t="s">
        <v>5</v>
      </c>
      <c r="B3" s="6">
        <f>ROUND(calcs!D31,0)</f>
        <v>35195</v>
      </c>
      <c r="C3" s="6">
        <f>ROUND(calcs!E31,0)</f>
        <v>35195</v>
      </c>
      <c r="D3" s="6">
        <f>ROUND(calcs!F31,0)</f>
        <v>35195</v>
      </c>
      <c r="E3" s="6">
        <f>ROUND(calcs!G31,0)</f>
        <v>35195</v>
      </c>
      <c r="F3" s="6">
        <f>ROUND(calcs!H31,0)</f>
        <v>35195</v>
      </c>
      <c r="G3" s="6">
        <f>ROUND(calcs!I31,0)</f>
        <v>35195</v>
      </c>
      <c r="H3" s="6">
        <f>ROUND(calcs!J31,0)</f>
        <v>35195</v>
      </c>
      <c r="I3" s="6">
        <f>ROUND(calcs!K31,0)</f>
        <v>35195</v>
      </c>
      <c r="J3" s="6">
        <f>ROUND(calcs!L31,0)</f>
        <v>35195</v>
      </c>
      <c r="K3" s="6">
        <f>ROUND(calcs!M31,0)</f>
        <v>35195</v>
      </c>
      <c r="L3" s="6">
        <f>ROUND(calcs!N31,0)</f>
        <v>35195</v>
      </c>
      <c r="M3" s="6">
        <f>ROUND(calcs!O31,0)</f>
        <v>35195</v>
      </c>
      <c r="N3" s="6">
        <f>ROUND(calcs!P31,0)</f>
        <v>35195</v>
      </c>
      <c r="O3" s="6">
        <f>ROUND(calcs!Q31,0)</f>
        <v>35195</v>
      </c>
      <c r="P3" s="6">
        <f>ROUND(calcs!R31,0)</f>
        <v>35195</v>
      </c>
      <c r="Q3" s="6">
        <f>ROUND(calcs!S31,0)</f>
        <v>35195</v>
      </c>
      <c r="R3" s="6">
        <f>ROUND(calcs!T31,0)</f>
        <v>35195</v>
      </c>
      <c r="S3" s="6">
        <f>ROUND(calcs!U31,0)</f>
        <v>35195</v>
      </c>
      <c r="T3" s="6">
        <f>ROUND(calcs!V31,0)</f>
        <v>35195</v>
      </c>
      <c r="U3" s="6">
        <f>ROUND(calcs!W31,0)</f>
        <v>35195</v>
      </c>
      <c r="V3" s="6">
        <f>ROUND(calcs!X31,0)</f>
        <v>35195</v>
      </c>
      <c r="W3" s="6">
        <f>ROUND(calcs!Y31,0)</f>
        <v>35195</v>
      </c>
      <c r="X3" s="6">
        <f>ROUND(calcs!Z31,0)</f>
        <v>35195</v>
      </c>
      <c r="Y3" s="6">
        <f>ROUND(calcs!AA31,0)</f>
        <v>35195</v>
      </c>
      <c r="Z3" s="6">
        <f>ROUND(calcs!AB31,0)</f>
        <v>35195</v>
      </c>
      <c r="AA3" s="6">
        <f>ROUND(calcs!AC31,0)</f>
        <v>35195</v>
      </c>
      <c r="AB3" s="6">
        <f>ROUND(calcs!AD31,0)</f>
        <v>35195</v>
      </c>
    </row>
    <row r="4" spans="1:28">
      <c r="A4" t="s">
        <v>6</v>
      </c>
      <c r="B4" s="6">
        <f>ROUND(calcs!D32,0)</f>
        <v>889421</v>
      </c>
      <c r="C4" s="6">
        <f>ROUND(calcs!E32,0)</f>
        <v>889421</v>
      </c>
      <c r="D4" s="6">
        <f>ROUND(calcs!F32,0)</f>
        <v>889421</v>
      </c>
      <c r="E4" s="6">
        <f>ROUND(calcs!G32,0)</f>
        <v>889421</v>
      </c>
      <c r="F4" s="6">
        <f>ROUND(calcs!H32,0)</f>
        <v>889421</v>
      </c>
      <c r="G4" s="6">
        <f>ROUND(calcs!I32,0)</f>
        <v>889421</v>
      </c>
      <c r="H4" s="6">
        <f>ROUND(calcs!J32,0)</f>
        <v>889421</v>
      </c>
      <c r="I4" s="6">
        <f>ROUND(calcs!K32,0)</f>
        <v>889421</v>
      </c>
      <c r="J4" s="6">
        <f>ROUND(calcs!L32,0)</f>
        <v>889421</v>
      </c>
      <c r="K4" s="6">
        <f>ROUND(calcs!M32,0)</f>
        <v>889421</v>
      </c>
      <c r="L4" s="6">
        <f>ROUND(calcs!N32,0)</f>
        <v>889421</v>
      </c>
      <c r="M4" s="6">
        <f>ROUND(calcs!O32,0)</f>
        <v>889421</v>
      </c>
      <c r="N4" s="6">
        <f>ROUND(calcs!P32,0)</f>
        <v>889421</v>
      </c>
      <c r="O4" s="6">
        <f>ROUND(calcs!Q32,0)</f>
        <v>889421</v>
      </c>
      <c r="P4" s="6">
        <f>ROUND(calcs!R32,0)</f>
        <v>889421</v>
      </c>
      <c r="Q4" s="6">
        <f>ROUND(calcs!S32,0)</f>
        <v>889421</v>
      </c>
      <c r="R4" s="6">
        <f>ROUND(calcs!T32,0)</f>
        <v>889421</v>
      </c>
      <c r="S4" s="6">
        <f>ROUND(calcs!U32,0)</f>
        <v>889421</v>
      </c>
      <c r="T4" s="6">
        <f>ROUND(calcs!V32,0)</f>
        <v>889421</v>
      </c>
      <c r="U4" s="6">
        <f>ROUND(calcs!W32,0)</f>
        <v>889421</v>
      </c>
      <c r="V4" s="6">
        <f>ROUND(calcs!X32,0)</f>
        <v>889421</v>
      </c>
      <c r="W4" s="6">
        <f>ROUND(calcs!Y32,0)</f>
        <v>889421</v>
      </c>
      <c r="X4" s="6">
        <f>ROUND(calcs!Z32,0)</f>
        <v>889421</v>
      </c>
      <c r="Y4" s="6">
        <f>ROUND(calcs!AA32,0)</f>
        <v>889421</v>
      </c>
      <c r="Z4" s="6">
        <f>ROUND(calcs!AB32,0)</f>
        <v>889421</v>
      </c>
      <c r="AA4" s="6">
        <f>ROUND(calcs!AC32,0)</f>
        <v>889421</v>
      </c>
      <c r="AB4" s="6">
        <f>ROUND(calcs!AD32,0)</f>
        <v>889421</v>
      </c>
    </row>
    <row r="5" spans="1:28">
      <c r="A5" t="s">
        <v>7</v>
      </c>
      <c r="B5" s="6">
        <f>ROUND(calcs!D33,0)</f>
        <v>17005</v>
      </c>
      <c r="C5" s="6">
        <f>ROUND(calcs!E33,0)</f>
        <v>17005</v>
      </c>
      <c r="D5" s="6">
        <f>ROUND(calcs!F33,0)</f>
        <v>17005</v>
      </c>
      <c r="E5" s="6">
        <f>ROUND(calcs!G33,0)</f>
        <v>17005</v>
      </c>
      <c r="F5" s="6">
        <f>ROUND(calcs!H33,0)</f>
        <v>17005</v>
      </c>
      <c r="G5" s="6">
        <f>ROUND(calcs!I33,0)</f>
        <v>17005</v>
      </c>
      <c r="H5" s="6">
        <f>ROUND(calcs!J33,0)</f>
        <v>17005</v>
      </c>
      <c r="I5" s="6">
        <f>ROUND(calcs!K33,0)</f>
        <v>17005</v>
      </c>
      <c r="J5" s="6">
        <f>ROUND(calcs!L33,0)</f>
        <v>17005</v>
      </c>
      <c r="K5" s="6">
        <f>ROUND(calcs!M33,0)</f>
        <v>17005</v>
      </c>
      <c r="L5" s="6">
        <f>ROUND(calcs!N33,0)</f>
        <v>17005</v>
      </c>
      <c r="M5" s="6">
        <f>ROUND(calcs!O33,0)</f>
        <v>17005</v>
      </c>
      <c r="N5" s="6">
        <f>ROUND(calcs!P33,0)</f>
        <v>17005</v>
      </c>
      <c r="O5" s="6">
        <f>ROUND(calcs!Q33,0)</f>
        <v>17005</v>
      </c>
      <c r="P5" s="6">
        <f>ROUND(calcs!R33,0)</f>
        <v>17005</v>
      </c>
      <c r="Q5" s="6">
        <f>ROUND(calcs!S33,0)</f>
        <v>17005</v>
      </c>
      <c r="R5" s="6">
        <f>ROUND(calcs!T33,0)</f>
        <v>17005</v>
      </c>
      <c r="S5" s="6">
        <f>ROUND(calcs!U33,0)</f>
        <v>17005</v>
      </c>
      <c r="T5" s="6">
        <f>ROUND(calcs!V33,0)</f>
        <v>17005</v>
      </c>
      <c r="U5" s="6">
        <f>ROUND(calcs!W33,0)</f>
        <v>17005</v>
      </c>
      <c r="V5" s="6">
        <f>ROUND(calcs!X33,0)</f>
        <v>17005</v>
      </c>
      <c r="W5" s="6">
        <f>ROUND(calcs!Y33,0)</f>
        <v>17005</v>
      </c>
      <c r="X5" s="6">
        <f>ROUND(calcs!Z33,0)</f>
        <v>17005</v>
      </c>
      <c r="Y5" s="6">
        <f>ROUND(calcs!AA33,0)</f>
        <v>17005</v>
      </c>
      <c r="Z5" s="6">
        <f>ROUND(calcs!AB33,0)</f>
        <v>17005</v>
      </c>
      <c r="AA5" s="6">
        <f>ROUND(calcs!AC33,0)</f>
        <v>17005</v>
      </c>
      <c r="AB5" s="6">
        <f>ROUND(calcs!AD33,0)</f>
        <v>17005</v>
      </c>
    </row>
    <row r="6" spans="1:28">
      <c r="A6" t="s">
        <v>8</v>
      </c>
      <c r="B6" s="6">
        <f>ROUND(calcs!D34,0)</f>
        <v>7513092</v>
      </c>
      <c r="C6" s="6">
        <f>ROUND(calcs!E34,0)</f>
        <v>7513092</v>
      </c>
      <c r="D6" s="6">
        <f>ROUND(calcs!F34,0)</f>
        <v>7513092</v>
      </c>
      <c r="E6" s="6">
        <f>ROUND(calcs!G34,0)</f>
        <v>7513092</v>
      </c>
      <c r="F6" s="6">
        <f>ROUND(calcs!H34,0)</f>
        <v>7513092</v>
      </c>
      <c r="G6" s="6">
        <f>ROUND(calcs!I34,0)</f>
        <v>7513092</v>
      </c>
      <c r="H6" s="6">
        <f>ROUND(calcs!J34,0)</f>
        <v>7513092</v>
      </c>
      <c r="I6" s="6">
        <f>ROUND(calcs!K34,0)</f>
        <v>7513092</v>
      </c>
      <c r="J6" s="6">
        <f>ROUND(calcs!L34,0)</f>
        <v>7513092</v>
      </c>
      <c r="K6" s="6">
        <f>ROUND(calcs!M34,0)</f>
        <v>7513092</v>
      </c>
      <c r="L6" s="6">
        <f>ROUND(calcs!N34,0)</f>
        <v>7513092</v>
      </c>
      <c r="M6" s="6">
        <f>ROUND(calcs!O34,0)</f>
        <v>7513092</v>
      </c>
      <c r="N6" s="6">
        <f>ROUND(calcs!P34,0)</f>
        <v>7513092</v>
      </c>
      <c r="O6" s="6">
        <f>ROUND(calcs!Q34,0)</f>
        <v>7513092</v>
      </c>
      <c r="P6" s="6">
        <f>ROUND(calcs!R34,0)</f>
        <v>7513092</v>
      </c>
      <c r="Q6" s="6">
        <f>ROUND(calcs!S34,0)</f>
        <v>7513092</v>
      </c>
      <c r="R6" s="6">
        <f>ROUND(calcs!T34,0)</f>
        <v>7513092</v>
      </c>
      <c r="S6" s="6">
        <f>ROUND(calcs!U34,0)</f>
        <v>7513092</v>
      </c>
      <c r="T6" s="6">
        <f>ROUND(calcs!V34,0)</f>
        <v>7513092</v>
      </c>
      <c r="U6" s="6">
        <f>ROUND(calcs!W34,0)</f>
        <v>7513092</v>
      </c>
      <c r="V6" s="6">
        <f>ROUND(calcs!X34,0)</f>
        <v>7513092</v>
      </c>
      <c r="W6" s="6">
        <f>ROUND(calcs!Y34,0)</f>
        <v>7513092</v>
      </c>
      <c r="X6" s="6">
        <f>ROUND(calcs!Z34,0)</f>
        <v>7513092</v>
      </c>
      <c r="Y6" s="6">
        <f>ROUND(calcs!AA34,0)</f>
        <v>7513092</v>
      </c>
      <c r="Z6" s="6">
        <f>ROUND(calcs!AB34,0)</f>
        <v>7513092</v>
      </c>
      <c r="AA6" s="6">
        <f>ROUND(calcs!AC34,0)</f>
        <v>7513092</v>
      </c>
      <c r="AB6" s="6">
        <f>ROUND(calcs!AD34,0)</f>
        <v>7513092</v>
      </c>
    </row>
    <row r="7" spans="1:28">
      <c r="A7" t="s">
        <v>9</v>
      </c>
      <c r="B7" s="6">
        <f>ROUND(calcs!D35,0)</f>
        <v>0</v>
      </c>
      <c r="C7" s="6">
        <f>ROUND(calcs!E35,0)</f>
        <v>0</v>
      </c>
      <c r="D7" s="6">
        <f>ROUND(calcs!F35,0)</f>
        <v>0</v>
      </c>
      <c r="E7" s="6">
        <f>ROUND(calcs!G35,0)</f>
        <v>0</v>
      </c>
      <c r="F7" s="6">
        <f>ROUND(calcs!H35,0)</f>
        <v>0</v>
      </c>
      <c r="G7" s="6">
        <f>ROUND(calcs!I35,0)</f>
        <v>0</v>
      </c>
      <c r="H7" s="6">
        <f>ROUND(calcs!J35,0)</f>
        <v>0</v>
      </c>
      <c r="I7" s="6">
        <f>ROUND(calcs!K35,0)</f>
        <v>0</v>
      </c>
      <c r="J7" s="6">
        <f>ROUND(calcs!L35,0)</f>
        <v>0</v>
      </c>
      <c r="K7" s="6">
        <f>ROUND(calcs!M35,0)</f>
        <v>0</v>
      </c>
      <c r="L7" s="6">
        <f>ROUND(calcs!N35,0)</f>
        <v>0</v>
      </c>
      <c r="M7" s="6">
        <f>ROUND(calcs!O35,0)</f>
        <v>0</v>
      </c>
      <c r="N7" s="6">
        <f>ROUND(calcs!P35,0)</f>
        <v>0</v>
      </c>
      <c r="O7" s="6">
        <f>ROUND(calcs!Q35,0)</f>
        <v>0</v>
      </c>
      <c r="P7" s="6">
        <f>ROUND(calcs!R35,0)</f>
        <v>0</v>
      </c>
      <c r="Q7" s="6">
        <f>ROUND(calcs!S35,0)</f>
        <v>0</v>
      </c>
      <c r="R7" s="6">
        <f>ROUND(calcs!T35,0)</f>
        <v>0</v>
      </c>
      <c r="S7" s="6">
        <f>ROUND(calcs!U35,0)</f>
        <v>0</v>
      </c>
      <c r="T7" s="6">
        <f>ROUND(calcs!V35,0)</f>
        <v>0</v>
      </c>
      <c r="U7" s="6">
        <f>ROUND(calcs!W35,0)</f>
        <v>0</v>
      </c>
      <c r="V7" s="6">
        <f>ROUND(calcs!X35,0)</f>
        <v>0</v>
      </c>
      <c r="W7" s="6">
        <f>ROUND(calcs!Y35,0)</f>
        <v>0</v>
      </c>
      <c r="X7" s="6">
        <f>ROUND(calcs!Z35,0)</f>
        <v>0</v>
      </c>
      <c r="Y7" s="6">
        <f>ROUND(calcs!AA35,0)</f>
        <v>0</v>
      </c>
      <c r="Z7" s="6">
        <f>ROUND(calcs!AB35,0)</f>
        <v>0</v>
      </c>
      <c r="AA7" s="6">
        <f>ROUND(calcs!AC35,0)</f>
        <v>0</v>
      </c>
      <c r="AB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EPA-Annex3-Table A94</vt:lpstr>
      <vt:lpstr>AEO 2025 Table 7</vt:lpstr>
      <vt:lpstr>AEO 2025 Table 39</vt:lpstr>
      <vt:lpstr>AEO 2025 Table 45</vt:lpstr>
      <vt:lpstr>AEO 2025 Table 46</vt:lpstr>
      <vt:lpstr>AEO 2025 Table 47</vt:lpstr>
      <vt:lpstr>AEO 2025 Table 48</vt:lpstr>
      <vt:lpstr>AEO 2025 Table 49</vt:lpstr>
      <vt:lpstr>NRBS 40</vt:lpstr>
      <vt:lpstr>FHWA VM-1</vt:lpstr>
      <vt:lpstr>Annual Service Data_rail only</vt:lpstr>
      <vt:lpstr>Fuel and Energy_rail only</vt:lpstr>
      <vt:lpstr>syfafe</vt:lpstr>
      <vt:lpstr>AEO 2026 Table 7</vt:lpstr>
      <vt:lpstr>AEO 2026 Table 39</vt:lpstr>
      <vt:lpstr>AEO 2026 Table 49</vt:lpstr>
      <vt:lpstr>AEO 2026 Table 45</vt:lpstr>
      <vt:lpstr>calcs&gt;</vt:lpstr>
      <vt:lpstr>psgr rail calcs</vt:lpstr>
      <vt:lpstr>Misc</vt:lpstr>
      <vt:lpstr>Calibration multiplier</vt:lpstr>
      <vt:lpstr>intl shipping adjustment</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2015-03-31T22:53:51Z</dcterms:created>
  <dcterms:modified xsi:type="dcterms:W3CDTF">2026-09-03T17:53:50Z</dcterms:modified>
</cp:coreProperties>
</file>